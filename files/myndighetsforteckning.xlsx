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sv.local\DFS\HOME\UlWa1\Statsförvaltningen i korthet\"/>
    </mc:Choice>
  </mc:AlternateContent>
  <xr:revisionPtr revIDLastSave="0" documentId="13_ncr:1_{EC499165-9A05-469B-89F4-0DB71D3757CF}" xr6:coauthVersionLast="47" xr6:coauthVersionMax="47" xr10:uidLastSave="{00000000-0000-0000-0000-000000000000}"/>
  <bookViews>
    <workbookView xWindow="-28920" yWindow="-120" windowWidth="29040" windowHeight="15720" xr2:uid="{8D9A23A2-6E24-4F18-81D2-66CFBBBEB730}"/>
  </bookViews>
  <sheets>
    <sheet name="Information " sheetId="1" r:id="rId1"/>
    <sheet name="Summerande statistik 2026" sheetId="4" r:id="rId2"/>
    <sheet name="Tidsserier 2007-2026" sheetId="7" r:id="rId3"/>
    <sheet name="Förteckning 2026" sheetId="8" r:id="rId4"/>
    <sheet name="Förteckning 2007-2026"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265" i="8" l="1"/>
  <c r="Y265" i="8"/>
  <c r="V265" i="8" a="1"/>
  <c r="V265" i="8" s="1"/>
  <c r="U265" i="8"/>
  <c r="T265" i="8"/>
  <c r="S265" i="8"/>
  <c r="R265" i="8"/>
  <c r="Q265" i="8"/>
  <c r="P265" i="8"/>
  <c r="O265" i="8" a="1"/>
  <c r="O265" i="8" s="1"/>
  <c r="N265" i="8"/>
  <c r="M265" i="8"/>
  <c r="I265" i="8"/>
  <c r="D26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Lirigzon Karaqica</author>
  </authors>
  <commentList>
    <comment ref="B286" authorId="0" shapeId="0" xr:uid="{8FA24BFC-42C9-4241-AD5D-76D412D293FD}">
      <text>
        <r>
          <rPr>
            <b/>
            <sz val="9"/>
            <color indexed="81"/>
            <rFont val="Tahoma"/>
            <family val="2"/>
          </rPr>
          <t>Lirigzon Karaqica:</t>
        </r>
        <r>
          <rPr>
            <sz val="9"/>
            <color indexed="81"/>
            <rFont val="Tahoma"/>
            <family val="2"/>
          </rPr>
          <t xml:space="preserve">
I SCBs leverans för 2019 har de bytt namn till Sveriges domstolar för denna siffra. I vår förteckning har vi inte denna samlade siffra, utan de fördelade siffrorna från DV. 
Detta är varför siffrorna diffar med den "gamla" förteckningen</t>
        </r>
      </text>
    </comment>
    <comment ref="B469" authorId="0" shapeId="0" xr:uid="{7975B0AD-31E1-4C34-A0DA-67BB008A7808}">
      <text>
        <r>
          <rPr>
            <b/>
            <sz val="9"/>
            <color indexed="81"/>
            <rFont val="Tahoma"/>
            <family val="2"/>
          </rPr>
          <t>Lirigzon Karaqica:</t>
        </r>
        <r>
          <rPr>
            <sz val="9"/>
            <color indexed="81"/>
            <rFont val="Tahoma"/>
            <family val="2"/>
          </rPr>
          <t xml:space="preserve">
Från 2023 i FÖ</t>
        </r>
      </text>
    </comment>
    <comment ref="B557" authorId="0" shapeId="0" xr:uid="{534903DA-AD36-444E-9F45-7A0284B7BED3}">
      <text>
        <r>
          <rPr>
            <b/>
            <sz val="9"/>
            <color indexed="81"/>
            <rFont val="Tahoma"/>
            <family val="2"/>
          </rPr>
          <t>Lirigzon Karaqica:</t>
        </r>
        <r>
          <rPr>
            <sz val="9"/>
            <color indexed="81"/>
            <rFont val="Tahoma"/>
            <family val="2"/>
          </rPr>
          <t xml:space="preserve">
I SCBs leverans för 2019 har de bytt namn till Sveriges domstolar för denna siffra. I vår förteckning har vi inte denna samlade siffra, utan de fördelade siffrorna från DV. 
Detta är varför siffrorna diffar med den "gamla" förteckningen</t>
        </r>
      </text>
    </comment>
    <comment ref="B738" authorId="0" shapeId="0" xr:uid="{F2F02C3D-1FA9-4A14-A66B-177AF01F4DF9}">
      <text>
        <r>
          <rPr>
            <b/>
            <sz val="9"/>
            <color indexed="81"/>
            <rFont val="Tahoma"/>
            <family val="2"/>
          </rPr>
          <t>Lirigzon Karaqica:</t>
        </r>
        <r>
          <rPr>
            <sz val="9"/>
            <color indexed="81"/>
            <rFont val="Tahoma"/>
            <family val="2"/>
          </rPr>
          <t xml:space="preserve">
Från 2023 i FÖ</t>
        </r>
      </text>
    </comment>
    <comment ref="B826" authorId="0" shapeId="0" xr:uid="{B035F3D0-D896-4A44-BC47-636B3A82665B}">
      <text>
        <r>
          <rPr>
            <b/>
            <sz val="9"/>
            <color indexed="81"/>
            <rFont val="Tahoma"/>
            <family val="2"/>
          </rPr>
          <t>Lirigzon Karaqica:</t>
        </r>
        <r>
          <rPr>
            <sz val="9"/>
            <color indexed="81"/>
            <rFont val="Tahoma"/>
            <family val="2"/>
          </rPr>
          <t xml:space="preserve">
I SCBs leverans för 2019 har de bytt namn till Sveriges domstolar för denna siffra. I vår förteckning har vi inte denna samlade siffra, utan de fördelade siffrorna från DV. 
Detta är varför siffrorna diffar med den "gamla" förteckningen</t>
        </r>
      </text>
    </comment>
    <comment ref="B912" authorId="0" shapeId="0" xr:uid="{B5A7A9FB-FCA4-4FAE-9910-608264482DE1}">
      <text>
        <r>
          <rPr>
            <b/>
            <sz val="9"/>
            <color indexed="81"/>
            <rFont val="Tahoma"/>
            <family val="2"/>
          </rPr>
          <t>Lirigzon Karaqica:</t>
        </r>
        <r>
          <rPr>
            <sz val="9"/>
            <color indexed="81"/>
            <rFont val="Tahoma"/>
            <family val="2"/>
          </rPr>
          <t xml:space="preserve">
Enligt Michael B så aktiverades den 2023. Inga ÅAK</t>
        </r>
      </text>
    </comment>
    <comment ref="I1072" authorId="0" shapeId="0" xr:uid="{5232212A-5401-4F22-B29A-32D5F48F3C75}">
      <text>
        <r>
          <rPr>
            <b/>
            <sz val="9"/>
            <color indexed="81"/>
            <rFont val="Tahoma"/>
            <family val="2"/>
          </rPr>
          <t>Lirigzon Karaqica:</t>
        </r>
        <r>
          <rPr>
            <sz val="9"/>
            <color indexed="81"/>
            <rFont val="Tahoma"/>
            <family val="2"/>
          </rPr>
          <t xml:space="preserve">
Enligt Michael B. Innan 2023 ska det vara ingår i Kriminalvården. 2023 och framåt ska det vara 2 åak per nämnd
</t>
        </r>
      </text>
    </comment>
    <comment ref="B1096" authorId="0" shapeId="0" xr:uid="{1FEA4BC3-5441-4DF4-837F-1981FA5672AD}">
      <text>
        <r>
          <rPr>
            <b/>
            <sz val="9"/>
            <color indexed="81"/>
            <rFont val="Tahoma"/>
            <family val="2"/>
          </rPr>
          <t>Lirigzon Karaqica:</t>
        </r>
        <r>
          <rPr>
            <sz val="9"/>
            <color indexed="81"/>
            <rFont val="Tahoma"/>
            <family val="2"/>
          </rPr>
          <t xml:space="preserve">
I SCBs leverans för 2019 har de bytt namn till Sveriges domstolar för denna siffra. I vår förteckning har vi inte denna samlade siffra, utan de fördelade siffrorna från DV. 
Detta är varför siffrorna diffar med den "gamla" förteckningen</t>
        </r>
      </text>
    </comment>
    <comment ref="B1364" authorId="0" shapeId="0" xr:uid="{F692209D-E965-4054-8A42-AB2517EB3167}">
      <text>
        <r>
          <rPr>
            <b/>
            <sz val="9"/>
            <color indexed="81"/>
            <rFont val="Tahoma"/>
            <family val="2"/>
          </rPr>
          <t>Lirigzon Karaqica:</t>
        </r>
        <r>
          <rPr>
            <sz val="9"/>
            <color indexed="81"/>
            <rFont val="Tahoma"/>
            <family val="2"/>
          </rPr>
          <t xml:space="preserve">
I SCBs leverans för 2019 har de bytt namn till Sveriges domstolar för denna siffra. I vår förteckning har vi inte denna samlade siffra, utan de fördelade siffrorna från DV. 
Detta är varför siffrorna diffar med den "gamla" förteckningen</t>
        </r>
      </text>
    </comment>
    <comment ref="B1630" authorId="0" shapeId="0" xr:uid="{67079987-4705-4A54-B1AB-B957DBD810EC}">
      <text>
        <r>
          <rPr>
            <b/>
            <sz val="9"/>
            <color indexed="81"/>
            <rFont val="Tahoma"/>
            <family val="2"/>
          </rPr>
          <t>Lirigzon Karaqica:</t>
        </r>
        <r>
          <rPr>
            <sz val="9"/>
            <color indexed="81"/>
            <rFont val="Tahoma"/>
            <family val="2"/>
          </rPr>
          <t xml:space="preserve">
I SCBs leverans för 2019 har de bytt namn till Sveriges domstolar för denna siffra. I vår förteckning har vi inte denna samlade siffra, utan de fördelade siffrorna från DV. 
Detta är varför siffrorna diffar med den "gamla" förteckningen</t>
        </r>
      </text>
    </comment>
    <comment ref="B1895" authorId="0" shapeId="0" xr:uid="{0B76FC99-3686-42F6-8EB0-A27AA295B777}">
      <text>
        <r>
          <rPr>
            <b/>
            <sz val="9"/>
            <color indexed="81"/>
            <rFont val="Tahoma"/>
            <family val="2"/>
          </rPr>
          <t>Lirigzon Karaqica:</t>
        </r>
        <r>
          <rPr>
            <sz val="9"/>
            <color indexed="81"/>
            <rFont val="Tahoma"/>
            <family val="2"/>
          </rPr>
          <t xml:space="preserve">
I SCBs leverans för 2019 har de bytt namn till Sveriges domstolar för denna siffra. I vår förteckning har vi inte denna samlade siffra, utan de fördelade siffrorna från DV. 
Detta är varför siffrorna diffar med den "gamla" förteckningen</t>
        </r>
      </text>
    </comment>
    <comment ref="I3205" authorId="0" shapeId="0" xr:uid="{80B22299-BD0C-4D1A-AF67-E43ACD5557E3}">
      <text>
        <r>
          <rPr>
            <b/>
            <sz val="9"/>
            <color indexed="81"/>
            <rFont val="Tahoma"/>
            <family val="2"/>
          </rPr>
          <t>Lirigzon Karaqica:</t>
        </r>
        <r>
          <rPr>
            <sz val="9"/>
            <color indexed="81"/>
            <rFont val="Tahoma"/>
            <family val="2"/>
          </rPr>
          <t xml:space="preserve">
Inrättad sep 2015</t>
        </r>
      </text>
    </comment>
    <comment ref="B4446" authorId="0" shapeId="0" xr:uid="{9C0CB598-6B1C-4D11-B480-20984BE9DD3B}">
      <text>
        <r>
          <rPr>
            <b/>
            <sz val="9"/>
            <color indexed="81"/>
            <rFont val="Tahoma"/>
            <family val="2"/>
          </rPr>
          <t>Lirigzon Karaqica:</t>
        </r>
        <r>
          <rPr>
            <sz val="9"/>
            <color indexed="81"/>
            <rFont val="Tahoma"/>
            <family val="2"/>
          </rPr>
          <t xml:space="preserve">
Om vi ska använda DV siffror, använd förvaltningsrätternas ÅAK för detta år på Länsrätterna. Förvaltningsrätterna ersatte länsrätterna feb 2010
Exemepel (ÅAK_länsrätter_2010 + ÅAK_förvaltningsrätter_2010)</t>
        </r>
      </text>
    </comment>
    <comment ref="K4872" authorId="0" shapeId="0" xr:uid="{3F140F0F-B4EF-4D81-8514-51CEB2C45C3F}">
      <text>
        <r>
          <rPr>
            <b/>
            <sz val="9"/>
            <color indexed="81"/>
            <rFont val="Tahoma"/>
            <family val="2"/>
          </rPr>
          <t>Lirigzon Karaqica:</t>
        </r>
        <r>
          <rPr>
            <sz val="9"/>
            <color indexed="81"/>
            <rFont val="Tahoma"/>
            <family val="2"/>
          </rPr>
          <t xml:space="preserve">
Men finns även en nämnd som tar beslut..
</t>
        </r>
      </text>
    </comment>
    <comment ref="L4872" authorId="0" shapeId="0" xr:uid="{AECACEA7-7782-4B8F-836F-4BAC34C4F1C6}">
      <text>
        <r>
          <rPr>
            <b/>
            <sz val="9"/>
            <color indexed="81"/>
            <rFont val="Tahoma"/>
            <family val="2"/>
          </rPr>
          <t>Lirigzon Karaqica:</t>
        </r>
        <r>
          <rPr>
            <sz val="9"/>
            <color indexed="81"/>
            <rFont val="Tahoma"/>
            <family val="2"/>
          </rPr>
          <t xml:space="preserve">
Men finns även en nämnd som tar beslut..
</t>
        </r>
      </text>
    </comment>
    <comment ref="B5502" authorId="0" shapeId="0" xr:uid="{06D11AE3-0C41-4A3F-9213-9B90209DC65A}">
      <text>
        <r>
          <rPr>
            <b/>
            <sz val="9"/>
            <color indexed="81"/>
            <rFont val="Tahoma"/>
            <family val="2"/>
          </rPr>
          <t>Lirigzon Karaqica:</t>
        </r>
        <r>
          <rPr>
            <sz val="9"/>
            <color indexed="81"/>
            <rFont val="Tahoma"/>
            <family val="2"/>
          </rPr>
          <t xml:space="preserve">
Kungliga Maj:t beslutade den 11 juni 1943 om statens förhållande till Zornsamlingarna. Detta beslut är i praktiken att likställa med en instruktion.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<sst xmlns="http://schemas.openxmlformats.org/spreadsheetml/2006/main" count="45036" uniqueCount="2062">
  <si>
    <t>orgnr</t>
  </si>
  <si>
    <t>myndighet</t>
  </si>
  <si>
    <t>alternativt_namn</t>
  </si>
  <si>
    <t>antal</t>
  </si>
  <si>
    <t>cofog</t>
  </si>
  <si>
    <t>cofog_10</t>
  </si>
  <si>
    <t>år</t>
  </si>
  <si>
    <t>värdmyndighet</t>
  </si>
  <si>
    <t>årsarbetskrafter</t>
  </si>
  <si>
    <t>departement</t>
  </si>
  <si>
    <t>ledningsform</t>
  </si>
  <si>
    <t>typ_av_myndighet</t>
  </si>
  <si>
    <t>insynsråd</t>
  </si>
  <si>
    <t>överdirektör</t>
  </si>
  <si>
    <t>domstolar</t>
  </si>
  <si>
    <t>universitet_och_högskola</t>
  </si>
  <si>
    <t>ap_fond</t>
  </si>
  <si>
    <t>affärsverk</t>
  </si>
  <si>
    <t>myndighetschef</t>
  </si>
  <si>
    <t>agv</t>
  </si>
  <si>
    <t>dv</t>
  </si>
  <si>
    <t>sfs</t>
  </si>
  <si>
    <t>senaste_sfs</t>
  </si>
  <si>
    <t>antal_beslutsfattande_organ</t>
  </si>
  <si>
    <t>antal_rådgivande_organ</t>
  </si>
  <si>
    <t>start_år</t>
  </si>
  <si>
    <t>end_år</t>
  </si>
  <si>
    <t>span</t>
  </si>
  <si>
    <t>2021004284</t>
  </si>
  <si>
    <t>Affärsverket svenska kraftnät</t>
  </si>
  <si>
    <t>0435</t>
  </si>
  <si>
    <t>Miljödepartementet</t>
  </si>
  <si>
    <t>Styrelse</t>
  </si>
  <si>
    <t>Affärsverk</t>
  </si>
  <si>
    <t>1991:2013</t>
  </si>
  <si>
    <t>2007-9999</t>
  </si>
  <si>
    <t>2021005943</t>
  </si>
  <si>
    <t>Alkohol- och läkemedelssortimentsnämnden</t>
  </si>
  <si>
    <t>04</t>
  </si>
  <si>
    <t>Kammarkollegiet</t>
  </si>
  <si>
    <t>Socialdepartementet</t>
  </si>
  <si>
    <t>Nämnd</t>
  </si>
  <si>
    <t>1994:2048</t>
  </si>
  <si>
    <t>2021003625</t>
  </si>
  <si>
    <t>Allmänna reklamationsnämnden</t>
  </si>
  <si>
    <t>0411</t>
  </si>
  <si>
    <t>Integrations- och jämställdhetsdepartementet</t>
  </si>
  <si>
    <t>Enrådighet</t>
  </si>
  <si>
    <t>2004:1034</t>
  </si>
  <si>
    <t>8572090606</t>
  </si>
  <si>
    <t>Andra AP-fonden</t>
  </si>
  <si>
    <t>10</t>
  </si>
  <si>
    <t>Finansdepartementet</t>
  </si>
  <si>
    <t>Övrigt</t>
  </si>
  <si>
    <t>AP-fond</t>
  </si>
  <si>
    <t>Lag 2000:192</t>
  </si>
  <si>
    <t>2021002122</t>
  </si>
  <si>
    <t>Arbetsdomstolen</t>
  </si>
  <si>
    <t>0412</t>
  </si>
  <si>
    <t>Arbetsmarknadsdepartementet</t>
  </si>
  <si>
    <t>Domstol</t>
  </si>
  <si>
    <t>1988:1137</t>
  </si>
  <si>
    <t>2021003476</t>
  </si>
  <si>
    <t>Arbetsgivarverket</t>
  </si>
  <si>
    <t>0131</t>
  </si>
  <si>
    <t>Arbetsgivarkollegium</t>
  </si>
  <si>
    <t>1994:272</t>
  </si>
  <si>
    <t>2021003963</t>
  </si>
  <si>
    <t>Arbetslivsinstitutet</t>
  </si>
  <si>
    <t>1995:864</t>
  </si>
  <si>
    <t>2007-2007</t>
  </si>
  <si>
    <t>2021002114</t>
  </si>
  <si>
    <t>Arbetsmarknadsstyrelsen/Arbetsmarknadsverket</t>
  </si>
  <si>
    <t>2001:623</t>
  </si>
  <si>
    <t>2021002148</t>
  </si>
  <si>
    <t>Arbetsmiljöverket</t>
  </si>
  <si>
    <t>SBA</t>
  </si>
  <si>
    <t>2000:1211</t>
  </si>
  <si>
    <t>2021003427</t>
  </si>
  <si>
    <t>Arkitekturmuseet</t>
  </si>
  <si>
    <t>0820</t>
  </si>
  <si>
    <t>Kulturdepartementet</t>
  </si>
  <si>
    <t>1988:1186</t>
  </si>
  <si>
    <t>2021005950</t>
  </si>
  <si>
    <t>Arvsfondsdelegationen</t>
  </si>
  <si>
    <t>01</t>
  </si>
  <si>
    <t>2004:484</t>
  </si>
  <si>
    <t>2021004003</t>
  </si>
  <si>
    <t>Banverket</t>
  </si>
  <si>
    <t>Näringsdepartementet</t>
  </si>
  <si>
    <t>1998:1392</t>
  </si>
  <si>
    <t>2007-2010</t>
  </si>
  <si>
    <t>2021003690</t>
  </si>
  <si>
    <t>Barnombudsmannen</t>
  </si>
  <si>
    <t>BO</t>
  </si>
  <si>
    <t>1090</t>
  </si>
  <si>
    <t>Lag 1993:335</t>
  </si>
  <si>
    <t>2021002528</t>
  </si>
  <si>
    <t>Bergstaten</t>
  </si>
  <si>
    <t>Sveriges geologiska undersökning</t>
  </si>
  <si>
    <t>1988:368</t>
  </si>
  <si>
    <t>2021004011</t>
  </si>
  <si>
    <t>Blekinge tekniska högskola</t>
  </si>
  <si>
    <t>0941</t>
  </si>
  <si>
    <t>Utbildningsdepartementet</t>
  </si>
  <si>
    <t>Universitet/högskola</t>
  </si>
  <si>
    <t>1993:100</t>
  </si>
  <si>
    <t>2021003278</t>
  </si>
  <si>
    <t>Bokföringsnämnden</t>
  </si>
  <si>
    <t>2007:783</t>
  </si>
  <si>
    <t>2021005489</t>
  </si>
  <si>
    <t>Bolagsverket</t>
  </si>
  <si>
    <t>2004:368</t>
  </si>
  <si>
    <t>2021003989</t>
  </si>
  <si>
    <t>Boverket</t>
  </si>
  <si>
    <t>0610</t>
  </si>
  <si>
    <t>2004:1258</t>
  </si>
  <si>
    <t>2021000068</t>
  </si>
  <si>
    <t>Brottsförebyggande rådet</t>
  </si>
  <si>
    <t>Brå</t>
  </si>
  <si>
    <t>0360</t>
  </si>
  <si>
    <t>Justitiedepartementet</t>
  </si>
  <si>
    <t>2005:1033</t>
  </si>
  <si>
    <t>2021003435</t>
  </si>
  <si>
    <t>Brottsoffermyndigheten</t>
  </si>
  <si>
    <t>2005:1032</t>
  </si>
  <si>
    <t>2021005463</t>
  </si>
  <si>
    <t>Centrala etikprövningsnämnden</t>
  </si>
  <si>
    <t>09</t>
  </si>
  <si>
    <t>Vetenskapsrådet</t>
  </si>
  <si>
    <t>2003:617</t>
  </si>
  <si>
    <t>2021001819</t>
  </si>
  <si>
    <t>Centrala studiestödsnämnden</t>
  </si>
  <si>
    <t>CSN</t>
  </si>
  <si>
    <t>0960</t>
  </si>
  <si>
    <t>1996:502</t>
  </si>
  <si>
    <t>2021001298</t>
  </si>
  <si>
    <t>Danshögskolan</t>
  </si>
  <si>
    <t>08</t>
  </si>
  <si>
    <t>2007-2013</t>
  </si>
  <si>
    <t>2021000050</t>
  </si>
  <si>
    <t>Datainspektionen</t>
  </si>
  <si>
    <t>1998:1192</t>
  </si>
  <si>
    <t>2021006842</t>
  </si>
  <si>
    <t>Delegationen för folkrättslig granskning av vapenprojekt</t>
  </si>
  <si>
    <t>02</t>
  </si>
  <si>
    <t>RK/Fö</t>
  </si>
  <si>
    <t>Försvarsdepartementet</t>
  </si>
  <si>
    <t>1994:536</t>
  </si>
  <si>
    <t>2021005455</t>
  </si>
  <si>
    <t>Djurskyddsmyndigheten</t>
  </si>
  <si>
    <t>Jordbruksdepartementet</t>
  </si>
  <si>
    <t>2003:1125</t>
  </si>
  <si>
    <t>2021002742</t>
  </si>
  <si>
    <t>Domstolsverket</t>
  </si>
  <si>
    <t>0330</t>
  </si>
  <si>
    <t>1988:317</t>
  </si>
  <si>
    <t>2021001306</t>
  </si>
  <si>
    <t>Dramatiska institutet</t>
  </si>
  <si>
    <t>2021004979</t>
  </si>
  <si>
    <t>Ekobrottsmyndigheten</t>
  </si>
  <si>
    <t>1997:898</t>
  </si>
  <si>
    <t>Ekonomiska rådet</t>
  </si>
  <si>
    <t>Konjunkturinstitutet</t>
  </si>
  <si>
    <t>1988:1214</t>
  </si>
  <si>
    <t>2021005026</t>
  </si>
  <si>
    <t>Ekonomistyrningsverket</t>
  </si>
  <si>
    <t>ESV</t>
  </si>
  <si>
    <t>0112</t>
  </si>
  <si>
    <t>2003:884</t>
  </si>
  <si>
    <t>2021004466</t>
  </si>
  <si>
    <t>Elsäkerhetsverket</t>
  </si>
  <si>
    <t>1992:1139</t>
  </si>
  <si>
    <t>2021002098</t>
  </si>
  <si>
    <t>Exportkreditnämnden</t>
  </si>
  <si>
    <t>EKN</t>
  </si>
  <si>
    <t>Utrikesdepartementet</t>
  </si>
  <si>
    <t>1988:1225</t>
  </si>
  <si>
    <t>2021004870</t>
  </si>
  <si>
    <t>Fastighetsmäklarnämnden</t>
  </si>
  <si>
    <t>1998:1808</t>
  </si>
  <si>
    <t>2021000043</t>
  </si>
  <si>
    <t>Fideikommissnämnden</t>
  </si>
  <si>
    <t>1988:1117</t>
  </si>
  <si>
    <t>2021004235</t>
  </si>
  <si>
    <t>Finansinspektionen</t>
  </si>
  <si>
    <t>FI</t>
  </si>
  <si>
    <t>2006:1022</t>
  </si>
  <si>
    <t>2021001843</t>
  </si>
  <si>
    <t>Fiskeriverket</t>
  </si>
  <si>
    <t>1996:145</t>
  </si>
  <si>
    <t>2007-2011</t>
  </si>
  <si>
    <t>8020051952</t>
  </si>
  <si>
    <t>Fjärde AP-fonden</t>
  </si>
  <si>
    <t>2021005380</t>
  </si>
  <si>
    <t>Folke Bernadotteakademin</t>
  </si>
  <si>
    <t>FBA</t>
  </si>
  <si>
    <t>0230</t>
  </si>
  <si>
    <t>2002:710</t>
  </si>
  <si>
    <t>2021000829</t>
  </si>
  <si>
    <t>Fonden för fukt- och mögelskador</t>
  </si>
  <si>
    <t>06</t>
  </si>
  <si>
    <t>1993:712</t>
  </si>
  <si>
    <t>2021005893</t>
  </si>
  <si>
    <t>Forskarskattenämnden</t>
  </si>
  <si>
    <t>Skatteverket</t>
  </si>
  <si>
    <t>Lag 1999:1305</t>
  </si>
  <si>
    <t>2021005240</t>
  </si>
  <si>
    <t>Forskningsrådet för arbetsliv och socialvetenskap</t>
  </si>
  <si>
    <t>FORTE</t>
  </si>
  <si>
    <t>1080</t>
  </si>
  <si>
    <t>2000:1198</t>
  </si>
  <si>
    <t>2021005232</t>
  </si>
  <si>
    <t>Forskningsrådet för miljö, areella näringar och samhällsbyggande</t>
  </si>
  <si>
    <t>Formas</t>
  </si>
  <si>
    <t>2006:931</t>
  </si>
  <si>
    <t>2021004607</t>
  </si>
  <si>
    <t>Fortifikationsverket</t>
  </si>
  <si>
    <t>0210</t>
  </si>
  <si>
    <t>1996:102</t>
  </si>
  <si>
    <t>2021005356</t>
  </si>
  <si>
    <t>Forum för levande historia</t>
  </si>
  <si>
    <t>0850</t>
  </si>
  <si>
    <t>2002:795</t>
  </si>
  <si>
    <t>8020057538</t>
  </si>
  <si>
    <t>Första AP-fonden</t>
  </si>
  <si>
    <t>2021000340</t>
  </si>
  <si>
    <t>Försvarets materielverk</t>
  </si>
  <si>
    <t>FMV</t>
  </si>
  <si>
    <t>1996:103</t>
  </si>
  <si>
    <t>2021000365</t>
  </si>
  <si>
    <t>Försvarets radioanstalt</t>
  </si>
  <si>
    <t>FRA</t>
  </si>
  <si>
    <t>1994:714</t>
  </si>
  <si>
    <t>Försvarets underrättelsenämnd</t>
  </si>
  <si>
    <t>1988:552</t>
  </si>
  <si>
    <t>2007-2009</t>
  </si>
  <si>
    <t>2021004730</t>
  </si>
  <si>
    <t>Försvarshögskolan</t>
  </si>
  <si>
    <t>1996:1476</t>
  </si>
  <si>
    <t>2021004615</t>
  </si>
  <si>
    <t xml:space="preserve">Försvarsmakten </t>
  </si>
  <si>
    <t>2000:555</t>
  </si>
  <si>
    <t>2021005521</t>
  </si>
  <si>
    <t>Försäkringskassan</t>
  </si>
  <si>
    <t>2004:1299</t>
  </si>
  <si>
    <t>2021004813</t>
  </si>
  <si>
    <t>Gentekniknämnden</t>
  </si>
  <si>
    <t>1994:902</t>
  </si>
  <si>
    <t>2021004128</t>
  </si>
  <si>
    <t>Glesbygdsverket</t>
  </si>
  <si>
    <t>1990:1008</t>
  </si>
  <si>
    <t>2021006859</t>
  </si>
  <si>
    <t>Granskningsnämnden för försvarsuppfinningar</t>
  </si>
  <si>
    <t>Patent- och registreringsverket</t>
  </si>
  <si>
    <t>1988:345</t>
  </si>
  <si>
    <t>2021004714</t>
  </si>
  <si>
    <t>Granskningsnämnden för radio och tv</t>
  </si>
  <si>
    <t>1994:728</t>
  </si>
  <si>
    <t>2021003153</t>
  </si>
  <si>
    <t>Göteborgs universitet</t>
  </si>
  <si>
    <t>GU</t>
  </si>
  <si>
    <t>2021004672</t>
  </si>
  <si>
    <t>Handikappombudsmannen</t>
  </si>
  <si>
    <t>Lag 1994:749</t>
  </si>
  <si>
    <t>2007-2008</t>
  </si>
  <si>
    <t>2021004250</t>
  </si>
  <si>
    <t>Harpsundsnämnden</t>
  </si>
  <si>
    <t>Statsrådsberedningen</t>
  </si>
  <si>
    <t>1999:241</t>
  </si>
  <si>
    <t>Hovrätter</t>
  </si>
  <si>
    <t>1996:379</t>
  </si>
  <si>
    <t>Hyres- och arrendenämnder</t>
  </si>
  <si>
    <t>1980:1030</t>
  </si>
  <si>
    <t>2021003765</t>
  </si>
  <si>
    <t>Hälso- och sjukvårdens ansvarsnämnd</t>
  </si>
  <si>
    <t>HSAN</t>
  </si>
  <si>
    <t>1996:571</t>
  </si>
  <si>
    <t>2021002908</t>
  </si>
  <si>
    <t>Högskolan Dalarna</t>
  </si>
  <si>
    <t>2021003138</t>
  </si>
  <si>
    <t>Högskolan i Borås</t>
  </si>
  <si>
    <t>2021002890</t>
  </si>
  <si>
    <t>Högskolan i Gävle</t>
  </si>
  <si>
    <t>2021003203</t>
  </si>
  <si>
    <t>Högskolan i Halmstad</t>
  </si>
  <si>
    <t>2021003179</t>
  </si>
  <si>
    <t>Högskolan i Kalmar</t>
  </si>
  <si>
    <t>2021003146</t>
  </si>
  <si>
    <t>Högskolan i Skövde</t>
  </si>
  <si>
    <t>Högskolan Kristianstad</t>
  </si>
  <si>
    <t>2021004987</t>
  </si>
  <si>
    <t>Högskolan på Gotland</t>
  </si>
  <si>
    <t>2021004052</t>
  </si>
  <si>
    <t xml:space="preserve">Högskolan Väst </t>
  </si>
  <si>
    <t>2021006867</t>
  </si>
  <si>
    <t>Högskolans avskiljandenämnd</t>
  </si>
  <si>
    <t>Högskoleverket</t>
  </si>
  <si>
    <t>1987:915</t>
  </si>
  <si>
    <t>2021004797</t>
  </si>
  <si>
    <t>0980</t>
  </si>
  <si>
    <t>2003:7</t>
  </si>
  <si>
    <t>2007-2012</t>
  </si>
  <si>
    <t>Högsta domstolen</t>
  </si>
  <si>
    <t>1996:377</t>
  </si>
  <si>
    <t>2021004334</t>
  </si>
  <si>
    <t>Idrottshögskolan i Stockholm</t>
  </si>
  <si>
    <t>2021005414</t>
  </si>
  <si>
    <t>Inspektionen för arbetslöshetsförsäkringen</t>
  </si>
  <si>
    <t>1050</t>
  </si>
  <si>
    <t>2003:1108</t>
  </si>
  <si>
    <t>2021004912</t>
  </si>
  <si>
    <t>Inspektionen för strategiska produkter</t>
  </si>
  <si>
    <t>ISP</t>
  </si>
  <si>
    <t>0250</t>
  </si>
  <si>
    <t>2005:1177</t>
  </si>
  <si>
    <t>2021004946</t>
  </si>
  <si>
    <t>Institutet för arbetsmarknadspolitisk utvärdering</t>
  </si>
  <si>
    <t>0481</t>
  </si>
  <si>
    <t>2007:180</t>
  </si>
  <si>
    <t>2021003641</t>
  </si>
  <si>
    <t xml:space="preserve">Institutet för psykosocial medicin </t>
  </si>
  <si>
    <t>07</t>
  </si>
  <si>
    <t>1996:615</t>
  </si>
  <si>
    <t>2021003567</t>
  </si>
  <si>
    <t>Institutet för rymdfysik</t>
  </si>
  <si>
    <t>1996:645</t>
  </si>
  <si>
    <t>2021001082</t>
  </si>
  <si>
    <t>Institutet för språk och folkminnen</t>
  </si>
  <si>
    <t>2006:888</t>
  </si>
  <si>
    <t>2021005190</t>
  </si>
  <si>
    <t>Institutet för tillväxtpolitiska studier</t>
  </si>
  <si>
    <t>2000:1133</t>
  </si>
  <si>
    <t>2021005604</t>
  </si>
  <si>
    <t>Institutet för utvärdering av internationellt utvecklingssamarbete</t>
  </si>
  <si>
    <t>0121</t>
  </si>
  <si>
    <t>2005:1214</t>
  </si>
  <si>
    <t>2021004516</t>
  </si>
  <si>
    <t>Insättningsgarantinämnden</t>
  </si>
  <si>
    <t>1996:595</t>
  </si>
  <si>
    <t>2021005018</t>
  </si>
  <si>
    <t>Integrationsverket</t>
  </si>
  <si>
    <t>1998:201</t>
  </si>
  <si>
    <t>2021004854</t>
  </si>
  <si>
    <t>Internationella programkontoret för utbildningsområdet</t>
  </si>
  <si>
    <t>1999:1222</t>
  </si>
  <si>
    <t>2021000035</t>
  </si>
  <si>
    <t>Justitiekanslern</t>
  </si>
  <si>
    <t>0111</t>
  </si>
  <si>
    <t>1975:1345</t>
  </si>
  <si>
    <t>Jämställdhetsnämnden</t>
  </si>
  <si>
    <t>Jämställdhetsombudsmannen</t>
  </si>
  <si>
    <t>1991:1437</t>
  </si>
  <si>
    <t>2021006073</t>
  </si>
  <si>
    <t>1991:1438</t>
  </si>
  <si>
    <t>2021005505</t>
  </si>
  <si>
    <t>Järnvägsstyrelsen</t>
  </si>
  <si>
    <t>2004:527</t>
  </si>
  <si>
    <t>0133</t>
  </si>
  <si>
    <t>1994:634</t>
  </si>
  <si>
    <t>Kammarrätter</t>
  </si>
  <si>
    <t>1996:380</t>
  </si>
  <si>
    <t>2021003120</t>
  </si>
  <si>
    <t>Karlstads universitet</t>
  </si>
  <si>
    <t>2021002973</t>
  </si>
  <si>
    <t>Karolinska institutet</t>
  </si>
  <si>
    <t>KI</t>
  </si>
  <si>
    <t>2021003880</t>
  </si>
  <si>
    <t>Kemikalieinspektionen</t>
  </si>
  <si>
    <t>KemI</t>
  </si>
  <si>
    <t>0560</t>
  </si>
  <si>
    <t>1988:525</t>
  </si>
  <si>
    <t>2021002007</t>
  </si>
  <si>
    <t>Kommerskollegium</t>
  </si>
  <si>
    <t>1998:279</t>
  </si>
  <si>
    <t>2021000845</t>
  </si>
  <si>
    <t>1996:99</t>
  </si>
  <si>
    <t>2021004342</t>
  </si>
  <si>
    <t>Konkurrensverket</t>
  </si>
  <si>
    <t>1996:353</t>
  </si>
  <si>
    <t>2021001199</t>
  </si>
  <si>
    <t>Konstfack</t>
  </si>
  <si>
    <t>2021003252</t>
  </si>
  <si>
    <t>Konstnärsnämnden</t>
  </si>
  <si>
    <t>1997:1153</t>
  </si>
  <si>
    <t>2021002064</t>
  </si>
  <si>
    <t>Konsumentverket</t>
  </si>
  <si>
    <t>1995:868</t>
  </si>
  <si>
    <t>2021005810</t>
  </si>
  <si>
    <t>Krigsförsäkringsnämnden</t>
  </si>
  <si>
    <t>1999:1352</t>
  </si>
  <si>
    <t>2021000225</t>
  </si>
  <si>
    <t>Kriminalvården</t>
  </si>
  <si>
    <t>0340</t>
  </si>
  <si>
    <t>2005:985</t>
  </si>
  <si>
    <t>Kriminalvårdsnämnden</t>
  </si>
  <si>
    <t>03</t>
  </si>
  <si>
    <t>1988:682</t>
  </si>
  <si>
    <t>2021005349</t>
  </si>
  <si>
    <t>Krisberedskapsmyndigheten</t>
  </si>
  <si>
    <t>2002:518</t>
  </si>
  <si>
    <t>2021005646</t>
  </si>
  <si>
    <t>Kronofogdemyndigheten</t>
  </si>
  <si>
    <t>2006:883</t>
  </si>
  <si>
    <t>2021001710</t>
  </si>
  <si>
    <t>Kungl. Biblioteket</t>
  </si>
  <si>
    <t>KB</t>
  </si>
  <si>
    <t>1996:505</t>
  </si>
  <si>
    <t>2021002957</t>
  </si>
  <si>
    <t>Kungl. Konsthögskolan</t>
  </si>
  <si>
    <t>2021001215</t>
  </si>
  <si>
    <t>Kungl. Musikhögskolan i Stockholm</t>
  </si>
  <si>
    <t>KMH</t>
  </si>
  <si>
    <t>2021003054</t>
  </si>
  <si>
    <t>Kungl. Tekniska högskolan</t>
  </si>
  <si>
    <t>KTH</t>
  </si>
  <si>
    <t>2021003997</t>
  </si>
  <si>
    <t>Kustbevakningen</t>
  </si>
  <si>
    <t>KBV</t>
  </si>
  <si>
    <t>2005:742</t>
  </si>
  <si>
    <t>2021004904</t>
  </si>
  <si>
    <t>Kärnavfallsfonden</t>
  </si>
  <si>
    <t>1995:1548</t>
  </si>
  <si>
    <t>2021005315</t>
  </si>
  <si>
    <t>Lagrådet</t>
  </si>
  <si>
    <t>Lagråd</t>
  </si>
  <si>
    <t>Lag 2003:333</t>
  </si>
  <si>
    <t>2021004888</t>
  </si>
  <si>
    <t>Lantmäteriverket</t>
  </si>
  <si>
    <t>1995:1418</t>
  </si>
  <si>
    <t>2021003096</t>
  </si>
  <si>
    <t>Linköpings universitet</t>
  </si>
  <si>
    <t>2021003732</t>
  </si>
  <si>
    <t>Livrustkammaren och Skoklosters slott med Stiftelsen Hallwylska museet</t>
  </si>
  <si>
    <t>1988:1183</t>
  </si>
  <si>
    <t>2007-2017</t>
  </si>
  <si>
    <t>2021005117</t>
  </si>
  <si>
    <t>Livsmedelsekonomiska institutet</t>
  </si>
  <si>
    <t>1999:380</t>
  </si>
  <si>
    <t>2021001850</t>
  </si>
  <si>
    <t>Livsmedelsverket</t>
  </si>
  <si>
    <t>SLV</t>
  </si>
  <si>
    <t>0421</t>
  </si>
  <si>
    <t>2001:1259</t>
  </si>
  <si>
    <t>Lokala säkerhetsnämnder vid kärntekniska anläggningar</t>
  </si>
  <si>
    <t>Barsebäck_Forsmark_Oskarshamn_Ringhals_Studsvik</t>
  </si>
  <si>
    <t>1988:810</t>
  </si>
  <si>
    <t>2021003310</t>
  </si>
  <si>
    <t>Lotteriinspektionen</t>
  </si>
  <si>
    <t>1994:1452</t>
  </si>
  <si>
    <t>2021005547</t>
  </si>
  <si>
    <t>Luftfartsstyrelsen</t>
  </si>
  <si>
    <t>2004:1110</t>
  </si>
  <si>
    <t>2021000795</t>
  </si>
  <si>
    <t>Luftfartsverket</t>
  </si>
  <si>
    <t>LFV</t>
  </si>
  <si>
    <t>0454</t>
  </si>
  <si>
    <t>2004:1120</t>
  </si>
  <si>
    <t>2021002841</t>
  </si>
  <si>
    <t>Luleå tekniska universitet</t>
  </si>
  <si>
    <t>2021003211</t>
  </si>
  <si>
    <t>Lunds universitet</t>
  </si>
  <si>
    <t>2021005364</t>
  </si>
  <si>
    <t>Läkemedelsförmånsnämnden</t>
  </si>
  <si>
    <t>2002:719</t>
  </si>
  <si>
    <t>2021004078</t>
  </si>
  <si>
    <t>Läkemedelsverket</t>
  </si>
  <si>
    <t>LV</t>
  </si>
  <si>
    <t>0760</t>
  </si>
  <si>
    <t>1996:611</t>
  </si>
  <si>
    <t>Länsarbetsnämnder</t>
  </si>
  <si>
    <t>Ingår i Arbetsmarknadsstyrelsen/Arbetsmarknadsverket</t>
  </si>
  <si>
    <t>2021000076</t>
  </si>
  <si>
    <t>Länspolismyndigheter</t>
  </si>
  <si>
    <t>Ingår i Rikspolisstyrelsen</t>
  </si>
  <si>
    <t>1989:773</t>
  </si>
  <si>
    <t>Länsrätterna</t>
  </si>
  <si>
    <t>1996:382</t>
  </si>
  <si>
    <t>2021002320</t>
  </si>
  <si>
    <t>Länsstyrelsen i Blekinge län</t>
  </si>
  <si>
    <t>2002:864</t>
  </si>
  <si>
    <t>2021002429</t>
  </si>
  <si>
    <t>Länsstyrelsen i Dalarnas län</t>
  </si>
  <si>
    <t>2021002312</t>
  </si>
  <si>
    <t>Länsstyrelsen i Gotlands län</t>
  </si>
  <si>
    <t>2021002437</t>
  </si>
  <si>
    <t>Länsstyrelsen i Gävleborgs län</t>
  </si>
  <si>
    <t>2021002353</t>
  </si>
  <si>
    <t>Länsstyrelsen i Hallands län</t>
  </si>
  <si>
    <t>2021002452</t>
  </si>
  <si>
    <t>Länsstyrelsen i Jämtlands län</t>
  </si>
  <si>
    <t>2021002288</t>
  </si>
  <si>
    <t>Länsstyrelsen i Jönköpings län</t>
  </si>
  <si>
    <t>2021002304</t>
  </si>
  <si>
    <t>Länsstyrelsen i Kalmar län</t>
  </si>
  <si>
    <t>2021002296</t>
  </si>
  <si>
    <t>Länsstyrelsen i Kronobergs län</t>
  </si>
  <si>
    <t>2021002478</t>
  </si>
  <si>
    <t>Länsstyrelsen i Norrbottens län</t>
  </si>
  <si>
    <t>2021002346</t>
  </si>
  <si>
    <t>Länsstyrelsen i Skåne län</t>
  </si>
  <si>
    <t>2021002247</t>
  </si>
  <si>
    <t>Länsstyrelsen i Stockholms län</t>
  </si>
  <si>
    <t>2021002262</t>
  </si>
  <si>
    <t>Länsstyrelsen i Södermanlands län</t>
  </si>
  <si>
    <t>2021002254</t>
  </si>
  <si>
    <t>Länsstyrelsen i Uppsala län</t>
  </si>
  <si>
    <t>2021002395</t>
  </si>
  <si>
    <t>Länsstyrelsen i Värmlands län</t>
  </si>
  <si>
    <t>2021002460</t>
  </si>
  <si>
    <t>Länsstyrelsen i Västerbottens län</t>
  </si>
  <si>
    <t>2021002445</t>
  </si>
  <si>
    <t>Länsstyrelsen i Västernorrlands län</t>
  </si>
  <si>
    <t>2021002411</t>
  </si>
  <si>
    <t>Länsstyrelsen i Västmanlands län</t>
  </si>
  <si>
    <t>2021002361</t>
  </si>
  <si>
    <t>Länsstyrelsen i Västra Götalands län</t>
  </si>
  <si>
    <t>2021002403</t>
  </si>
  <si>
    <t>Länsstyrelsen i Örebro län</t>
  </si>
  <si>
    <t>2021002270</t>
  </si>
  <si>
    <t>Länsstyrelsen i Östergötlands län</t>
  </si>
  <si>
    <t>2021003005</t>
  </si>
  <si>
    <t>Lärarhögskolan i Stockholm</t>
  </si>
  <si>
    <t>2021004920</t>
  </si>
  <si>
    <t>Malmö högskola</t>
  </si>
  <si>
    <t>2021002015</t>
  </si>
  <si>
    <t>Marknadsdomstolen</t>
  </si>
  <si>
    <t>1988:1564</t>
  </si>
  <si>
    <t>2007-2016</t>
  </si>
  <si>
    <t>2021005174</t>
  </si>
  <si>
    <t>Medlingsinstitutet</t>
  </si>
  <si>
    <t>2000:258</t>
  </si>
  <si>
    <t>2021002163</t>
  </si>
  <si>
    <t>Migrationsverket</t>
  </si>
  <si>
    <t>1070</t>
  </si>
  <si>
    <t>2004:294</t>
  </si>
  <si>
    <t>2021004524</t>
  </si>
  <si>
    <t>Mittuniversitetet</t>
  </si>
  <si>
    <t>2021005091</t>
  </si>
  <si>
    <t>Moderna museet</t>
  </si>
  <si>
    <t>1999:563</t>
  </si>
  <si>
    <t>2021005588</t>
  </si>
  <si>
    <t>Myndigheten för handikappolitisk samordning</t>
  </si>
  <si>
    <t>1012</t>
  </si>
  <si>
    <t>2005:1073</t>
  </si>
  <si>
    <t>2021004169</t>
  </si>
  <si>
    <t>Myndigheten för internationella adoptionsfrågor</t>
  </si>
  <si>
    <t>2004:1145</t>
  </si>
  <si>
    <t>Myndigheten för kvalificerad yrkesutbildning</t>
  </si>
  <si>
    <t>2001:723</t>
  </si>
  <si>
    <t>2021005323</t>
  </si>
  <si>
    <t>Myndigheten för nätverk och samarbete inom högre utbildning</t>
  </si>
  <si>
    <t>2005:1236</t>
  </si>
  <si>
    <t>2021005406</t>
  </si>
  <si>
    <t>Myndigheten för skolutveckling</t>
  </si>
  <si>
    <t>2002:1161</t>
  </si>
  <si>
    <t>2021004862</t>
  </si>
  <si>
    <t>Myndigheten för utländska investeringar i Sverige</t>
  </si>
  <si>
    <t>1995:962</t>
  </si>
  <si>
    <t>2021002916</t>
  </si>
  <si>
    <t>Mälardalens högskola</t>
  </si>
  <si>
    <t>MDH</t>
  </si>
  <si>
    <t>2021001108</t>
  </si>
  <si>
    <t>Nationalmuseum med Prins Eugens Waldemarsudde</t>
  </si>
  <si>
    <t>1999:562</t>
  </si>
  <si>
    <t>2021005307</t>
  </si>
  <si>
    <t>Nationellt centrum för flexibelt lärande</t>
  </si>
  <si>
    <t>2001:1201</t>
  </si>
  <si>
    <t>2021001124</t>
  </si>
  <si>
    <t>Naturhistoriska riksmuseet</t>
  </si>
  <si>
    <t>2005:736</t>
  </si>
  <si>
    <t>2021001975</t>
  </si>
  <si>
    <t>Naturvårdsverket</t>
  </si>
  <si>
    <t>2001:1096</t>
  </si>
  <si>
    <t>2021002726</t>
  </si>
  <si>
    <t>Nordiska afrikainstitutet</t>
  </si>
  <si>
    <t>1995:1352</t>
  </si>
  <si>
    <t>2021006032</t>
  </si>
  <si>
    <t>Notarienämnden</t>
  </si>
  <si>
    <t>Domstolsverket/Kammarrätten i Jömköping</t>
  </si>
  <si>
    <t>1990:469</t>
  </si>
  <si>
    <t>2021004144</t>
  </si>
  <si>
    <t>Nämnden för hemslöjdsfrågor</t>
  </si>
  <si>
    <t>Nutek</t>
  </si>
  <si>
    <t>1988:315</t>
  </si>
  <si>
    <t>2021004482</t>
  </si>
  <si>
    <t>Nämnden för offentlig upphandling</t>
  </si>
  <si>
    <t>1993:98</t>
  </si>
  <si>
    <t>Nämnden för Rh-anpassad utbildning</t>
  </si>
  <si>
    <t>1990:1110</t>
  </si>
  <si>
    <t>2021005141</t>
  </si>
  <si>
    <t>Nämnden för statligt stöd till trossamfund</t>
  </si>
  <si>
    <t>0840</t>
  </si>
  <si>
    <t>1999:975</t>
  </si>
  <si>
    <t>2021005786</t>
  </si>
  <si>
    <t>Nämnden för styrelserepresentationsfrågor</t>
  </si>
  <si>
    <t>RK/N</t>
  </si>
  <si>
    <t>1976:465</t>
  </si>
  <si>
    <t>Nämnden mot diskriminering</t>
  </si>
  <si>
    <t>RK/FA</t>
  </si>
  <si>
    <t>1999:171</t>
  </si>
  <si>
    <t>2021006776</t>
  </si>
  <si>
    <t>Oljekrisnämnden</t>
  </si>
  <si>
    <t>RK/M</t>
  </si>
  <si>
    <t>1988:519</t>
  </si>
  <si>
    <t>2021005083</t>
  </si>
  <si>
    <t>Ombudsmannen mot diskriminering på grund av sexuell läggning</t>
  </si>
  <si>
    <t>1999:170</t>
  </si>
  <si>
    <t>2021003948</t>
  </si>
  <si>
    <t>Ombudsmannen mot etnisk diskriminering</t>
  </si>
  <si>
    <t>1988:895</t>
  </si>
  <si>
    <t>2021002965</t>
  </si>
  <si>
    <t>Operahögskolan i Stockholm</t>
  </si>
  <si>
    <t>2021002072</t>
  </si>
  <si>
    <t>PRV</t>
  </si>
  <si>
    <t>1995:1386</t>
  </si>
  <si>
    <t>2021003971</t>
  </si>
  <si>
    <t>Patentbesvärsrätten</t>
  </si>
  <si>
    <t>1988:346</t>
  </si>
  <si>
    <t>Polarforskningssekretariatet</t>
  </si>
  <si>
    <t>0550</t>
  </si>
  <si>
    <t>1998:414</t>
  </si>
  <si>
    <t>2021004359</t>
  </si>
  <si>
    <t>Post- och telestyrelsen</t>
  </si>
  <si>
    <t>PTS</t>
  </si>
  <si>
    <t>0460</t>
  </si>
  <si>
    <t>1997:401</t>
  </si>
  <si>
    <t>Premiepensionsmyndigheten</t>
  </si>
  <si>
    <t>2000:585</t>
  </si>
  <si>
    <t>2021003294</t>
  </si>
  <si>
    <t>Presstödsnämnden</t>
  </si>
  <si>
    <t>0830</t>
  </si>
  <si>
    <t>1988:673</t>
  </si>
  <si>
    <t>2007-2014</t>
  </si>
  <si>
    <t>2021004680</t>
  </si>
  <si>
    <t>Radio- och TV-verket</t>
  </si>
  <si>
    <t>1994:729</t>
  </si>
  <si>
    <t>2620001046</t>
  </si>
  <si>
    <t>Rederinämnden</t>
  </si>
  <si>
    <t>Svenska skeppshypotekskassan</t>
  </si>
  <si>
    <t>1989:10</t>
  </si>
  <si>
    <t>2021003831</t>
  </si>
  <si>
    <t>Regeringskansliet</t>
  </si>
  <si>
    <t>1996:1515</t>
  </si>
  <si>
    <t>Regeringsrätten</t>
  </si>
  <si>
    <t>1996:378</t>
  </si>
  <si>
    <t>2022001545</t>
  </si>
  <si>
    <t>Regionala etikprövningsnämnden i Göteborg</t>
  </si>
  <si>
    <t>2003:616</t>
  </si>
  <si>
    <t>2007-2018</t>
  </si>
  <si>
    <t>2022001552</t>
  </si>
  <si>
    <t>Regionala etikprövningsnämnden i Linköping</t>
  </si>
  <si>
    <t>2022001560</t>
  </si>
  <si>
    <t>Regionala etikprövningsnämnden i Lund</t>
  </si>
  <si>
    <t>2022001578</t>
  </si>
  <si>
    <t>Regionala etikprövningsnämnden i Stockholm</t>
  </si>
  <si>
    <t>2022001586</t>
  </si>
  <si>
    <t>Regionala etikprövningsnämnden i Umeå</t>
  </si>
  <si>
    <t>Umeå universitet</t>
  </si>
  <si>
    <t>2022001594</t>
  </si>
  <si>
    <t>Regionala etikprövningsnämnden i Uppsala</t>
  </si>
  <si>
    <t>Uppsala universitet</t>
  </si>
  <si>
    <t>Registernämnden</t>
  </si>
  <si>
    <t>Säkerhetspolisen/RPS</t>
  </si>
  <si>
    <t>2006:1076</t>
  </si>
  <si>
    <t>Resegarantinämnden</t>
  </si>
  <si>
    <t>1988:1584</t>
  </si>
  <si>
    <t>2021004805</t>
  </si>
  <si>
    <t>Revisorsnämnden</t>
  </si>
  <si>
    <t>1995:666</t>
  </si>
  <si>
    <t>2021001090</t>
  </si>
  <si>
    <t>Riksantikvarieämbetet</t>
  </si>
  <si>
    <t>1997:1171</t>
  </si>
  <si>
    <t>2021001074</t>
  </si>
  <si>
    <t>Riksarkivet och landsarkiven</t>
  </si>
  <si>
    <t>1995:679</t>
  </si>
  <si>
    <t>2021002635</t>
  </si>
  <si>
    <t>Riksgäldskontoret</t>
  </si>
  <si>
    <t>Riksgälden</t>
  </si>
  <si>
    <t>1996:311</t>
  </si>
  <si>
    <t>Rikspolisstyrelsen</t>
  </si>
  <si>
    <t>0310</t>
  </si>
  <si>
    <t>2021005059</t>
  </si>
  <si>
    <t>Rikstrafiken</t>
  </si>
  <si>
    <t>1999:279</t>
  </si>
  <si>
    <t>2021004995</t>
  </si>
  <si>
    <t>Riksutställningar</t>
  </si>
  <si>
    <t>1997:1170</t>
  </si>
  <si>
    <t>2021006784</t>
  </si>
  <si>
    <t>Riksvärderingsnämnden</t>
  </si>
  <si>
    <t>1988:1042</t>
  </si>
  <si>
    <t>2021002585</t>
  </si>
  <si>
    <t>Rymdstyrelsen</t>
  </si>
  <si>
    <t>1996:80</t>
  </si>
  <si>
    <t>2021005224</t>
  </si>
  <si>
    <t>Rådet för europeiska socialfonden i Sverige</t>
  </si>
  <si>
    <t>Svenska ESF-rådet</t>
  </si>
  <si>
    <t>2000:1212</t>
  </si>
  <si>
    <t>2021006016</t>
  </si>
  <si>
    <t>Rättshjälpsmyndigheten</t>
  </si>
  <si>
    <t>Sundsvalls tingsrätt</t>
  </si>
  <si>
    <t>2003:502</t>
  </si>
  <si>
    <t>2021006008</t>
  </si>
  <si>
    <t>Rättshjälpsnämnden</t>
  </si>
  <si>
    <t>Hovrätten för nedre Norrland</t>
  </si>
  <si>
    <t>1990:1049</t>
  </si>
  <si>
    <t>2021004227</t>
  </si>
  <si>
    <t>Rättsmedicinalverket</t>
  </si>
  <si>
    <t>RMV</t>
  </si>
  <si>
    <t>1996:613</t>
  </si>
  <si>
    <t>2021004631</t>
  </si>
  <si>
    <t>Sameskolstyrelsen</t>
  </si>
  <si>
    <t>0912</t>
  </si>
  <si>
    <t>1995:205</t>
  </si>
  <si>
    <t>2021004573</t>
  </si>
  <si>
    <t>Sametinget</t>
  </si>
  <si>
    <t>1993:327</t>
  </si>
  <si>
    <t>8024062302</t>
  </si>
  <si>
    <t>Sjunde AP-fonden</t>
  </si>
  <si>
    <t>8551040721</t>
  </si>
  <si>
    <t>Sjätte AP-fonden</t>
  </si>
  <si>
    <t>Lag 2000:193</t>
  </si>
  <si>
    <t>2021000654</t>
  </si>
  <si>
    <t>Sjöfartsverket</t>
  </si>
  <si>
    <t>0452</t>
  </si>
  <si>
    <t>1995:589</t>
  </si>
  <si>
    <t>2021005901</t>
  </si>
  <si>
    <t>Skatterättsnämnden</t>
  </si>
  <si>
    <t>1998:196</t>
  </si>
  <si>
    <t>2021005448</t>
  </si>
  <si>
    <t>2003:1106</t>
  </si>
  <si>
    <t>2021005869</t>
  </si>
  <si>
    <t>Skiljenämnden i vissa trygghetsfrågor</t>
  </si>
  <si>
    <t>1998:1526</t>
  </si>
  <si>
    <t>2021005612</t>
  </si>
  <si>
    <t>Skogsstyrelsen</t>
  </si>
  <si>
    <t>0422</t>
  </si>
  <si>
    <t>2005:1160</t>
  </si>
  <si>
    <t>2021005729</t>
  </si>
  <si>
    <t>Skolväsendets överklagandenämnd</t>
  </si>
  <si>
    <t>Statens Skolverk</t>
  </si>
  <si>
    <t>1991:1122</t>
  </si>
  <si>
    <t>2021004532</t>
  </si>
  <si>
    <t>Smittskyddsinstitutet</t>
  </si>
  <si>
    <t>1996:609</t>
  </si>
  <si>
    <t>2021000555</t>
  </si>
  <si>
    <t>Socialstyrelsen</t>
  </si>
  <si>
    <t>1996:570</t>
  </si>
  <si>
    <t>2021005265</t>
  </si>
  <si>
    <t>Specialpedagogiska institutet</t>
  </si>
  <si>
    <t>2001:286</t>
  </si>
  <si>
    <t>2021005166</t>
  </si>
  <si>
    <t>Specialskolemyndigheten</t>
  </si>
  <si>
    <t>1995:401</t>
  </si>
  <si>
    <t>2021005836</t>
  </si>
  <si>
    <t>Statens ansvarsnämnd</t>
  </si>
  <si>
    <t>Svea hovrätt</t>
  </si>
  <si>
    <t>1988:1102</t>
  </si>
  <si>
    <t>2021004417</t>
  </si>
  <si>
    <t>Statens beredning för medicinsk utvärdering</t>
  </si>
  <si>
    <t>0750</t>
  </si>
  <si>
    <t>2002:1085</t>
  </si>
  <si>
    <t>2021001041</t>
  </si>
  <si>
    <t>Statens biografbyrå</t>
  </si>
  <si>
    <t>1990:994</t>
  </si>
  <si>
    <t>2021004276</t>
  </si>
  <si>
    <t>Statens bostadskreditnämnd</t>
  </si>
  <si>
    <t>1996:125</t>
  </si>
  <si>
    <t>2021005000</t>
  </si>
  <si>
    <t>Statens energimyndighet</t>
  </si>
  <si>
    <t>Energimyndigheten</t>
  </si>
  <si>
    <t>2004:1200</t>
  </si>
  <si>
    <t>2021004474</t>
  </si>
  <si>
    <t>Statens fastighetsverk</t>
  </si>
  <si>
    <t>SFV</t>
  </si>
  <si>
    <t>1996:312</t>
  </si>
  <si>
    <t>2021004383</t>
  </si>
  <si>
    <t>Statens folkhälsoinstitut</t>
  </si>
  <si>
    <t>2001:309</t>
  </si>
  <si>
    <t>2021000464</t>
  </si>
  <si>
    <t>Statens försvarshistoriska museer</t>
  </si>
  <si>
    <t>1992:514</t>
  </si>
  <si>
    <t>2021000712</t>
  </si>
  <si>
    <t>Statens geotekniska institut</t>
  </si>
  <si>
    <t>0650</t>
  </si>
  <si>
    <t>1996:285</t>
  </si>
  <si>
    <t>2021003260</t>
  </si>
  <si>
    <t>Statens haverikommission</t>
  </si>
  <si>
    <t>SHK</t>
  </si>
  <si>
    <t>1996:282</t>
  </si>
  <si>
    <t>2021004953</t>
  </si>
  <si>
    <t>Statens historiska museer</t>
  </si>
  <si>
    <t>1997:1172</t>
  </si>
  <si>
    <t>2021004847</t>
  </si>
  <si>
    <t>Statens institut för kommunikationsanalys</t>
  </si>
  <si>
    <t>1995:810</t>
  </si>
  <si>
    <t>2021004508</t>
  </si>
  <si>
    <t>Statens institutionsstyrelse</t>
  </si>
  <si>
    <t>SiS</t>
  </si>
  <si>
    <t>1996:610</t>
  </si>
  <si>
    <t>2021004151</t>
  </si>
  <si>
    <t>Statens jordbruksverk</t>
  </si>
  <si>
    <t>SJV_Jordbruksverket</t>
  </si>
  <si>
    <t>1998:415</t>
  </si>
  <si>
    <t>5561961599</t>
  </si>
  <si>
    <t>Statens järnvägar</t>
  </si>
  <si>
    <t>0453</t>
  </si>
  <si>
    <t>2006:172</t>
  </si>
  <si>
    <t>2021001033</t>
  </si>
  <si>
    <t>Statens konstråd</t>
  </si>
  <si>
    <t>1996:1597</t>
  </si>
  <si>
    <t>Statens kriminaltekniska laboratorium</t>
  </si>
  <si>
    <t>Ingår i RPS</t>
  </si>
  <si>
    <t>1978:677</t>
  </si>
  <si>
    <t>2021001280</t>
  </si>
  <si>
    <t>Statens kulturråd</t>
  </si>
  <si>
    <t>1988:676</t>
  </si>
  <si>
    <t>2021002544</t>
  </si>
  <si>
    <t>Statens kärnkraftinspektion</t>
  </si>
  <si>
    <t>2006:520</t>
  </si>
  <si>
    <t>Statens ljud- och bildarkiv</t>
  </si>
  <si>
    <t>1996:503</t>
  </si>
  <si>
    <t>2021001132</t>
  </si>
  <si>
    <t>Statens maritima museer</t>
  </si>
  <si>
    <t>1990:571</t>
  </si>
  <si>
    <t>2021005075</t>
  </si>
  <si>
    <t>Statens museer för världskultur</t>
  </si>
  <si>
    <t>1998:1714</t>
  </si>
  <si>
    <t>2021003666</t>
  </si>
  <si>
    <t>Statens musiksamlingar</t>
  </si>
  <si>
    <t>1999:561</t>
  </si>
  <si>
    <t>2021005778</t>
  </si>
  <si>
    <t>Statens nämnd för arbetstagares uppfinningar</t>
  </si>
  <si>
    <t>SNAU</t>
  </si>
  <si>
    <t>RK/Ju</t>
  </si>
  <si>
    <t>1988:1140</t>
  </si>
  <si>
    <t>2021000928</t>
  </si>
  <si>
    <t>Statens pensionsverk</t>
  </si>
  <si>
    <t>1997:131</t>
  </si>
  <si>
    <t>2021003922</t>
  </si>
  <si>
    <t>Statens personadressregisternämnd</t>
  </si>
  <si>
    <t>1998:1235</t>
  </si>
  <si>
    <t>2021003914</t>
  </si>
  <si>
    <t>Statens räddningsverk</t>
  </si>
  <si>
    <t>2005:890</t>
  </si>
  <si>
    <t>2021004185</t>
  </si>
  <si>
    <t>Statens skolverk</t>
  </si>
  <si>
    <t>Skolverket</t>
  </si>
  <si>
    <t>2002:1160</t>
  </si>
  <si>
    <t>2021000571</t>
  </si>
  <si>
    <t>Statens strålskyddsinstitut</t>
  </si>
  <si>
    <t>2006:524</t>
  </si>
  <si>
    <t>2021005851</t>
  </si>
  <si>
    <t>Statens tjänstepensions- och grupplivnämnd</t>
  </si>
  <si>
    <t>2021005844</t>
  </si>
  <si>
    <t>Statens utlandslönenämnd</t>
  </si>
  <si>
    <t>1988:1534</t>
  </si>
  <si>
    <t>2021004029</t>
  </si>
  <si>
    <t>Statens va-nämnd</t>
  </si>
  <si>
    <t>0520</t>
  </si>
  <si>
    <t>1970:350</t>
  </si>
  <si>
    <t>2007-2015</t>
  </si>
  <si>
    <t>2021001868</t>
  </si>
  <si>
    <t>Statens veterinärmedicinska anstalt</t>
  </si>
  <si>
    <t>SVA</t>
  </si>
  <si>
    <t>1999:341</t>
  </si>
  <si>
    <t>2021000704</t>
  </si>
  <si>
    <t>Statens väg- och transportforskningsinstitut</t>
  </si>
  <si>
    <t>VTI</t>
  </si>
  <si>
    <t>0485</t>
  </si>
  <si>
    <t>1996:284</t>
  </si>
  <si>
    <t>2021000837</t>
  </si>
  <si>
    <t>Statistiska centralbyrån</t>
  </si>
  <si>
    <t>SCB</t>
  </si>
  <si>
    <t>0132</t>
  </si>
  <si>
    <t>1988:137</t>
  </si>
  <si>
    <t>2021000852</t>
  </si>
  <si>
    <t>Statskontoret</t>
  </si>
  <si>
    <t>Kungl. Maj:ts Staats Contoir</t>
  </si>
  <si>
    <t>2005:862</t>
  </si>
  <si>
    <t>2021003062</t>
  </si>
  <si>
    <t>Stockholms universitet</t>
  </si>
  <si>
    <t>SU</t>
  </si>
  <si>
    <t>2021003815</t>
  </si>
  <si>
    <t>Styrelsen för ackreditering och teknisk kontroll</t>
  </si>
  <si>
    <t>SWEDAC</t>
  </si>
  <si>
    <t>1996:81</t>
  </si>
  <si>
    <t>2021004789</t>
  </si>
  <si>
    <t>Styrelsen för internationellt utvecklingssamarbete</t>
  </si>
  <si>
    <t>SIDA</t>
  </si>
  <si>
    <t>1995:869</t>
  </si>
  <si>
    <t>2021000498</t>
  </si>
  <si>
    <t>Styrelsen för psykologiskt försvar</t>
  </si>
  <si>
    <t>2005:629</t>
  </si>
  <si>
    <t>2021006800</t>
  </si>
  <si>
    <t>Styrelsen för samefonden</t>
  </si>
  <si>
    <t>RK/J</t>
  </si>
  <si>
    <t>1993:384</t>
  </si>
  <si>
    <t>Stängselnämnden</t>
  </si>
  <si>
    <t>1975:1012</t>
  </si>
  <si>
    <t>2021006818</t>
  </si>
  <si>
    <t>Svenska FAO-kommittén</t>
  </si>
  <si>
    <t>Kommitté</t>
  </si>
  <si>
    <t>1995:1100</t>
  </si>
  <si>
    <t>2021005877</t>
  </si>
  <si>
    <t>Svenska ILO-Kommittén</t>
  </si>
  <si>
    <t>RK/A</t>
  </si>
  <si>
    <t>1977:987</t>
  </si>
  <si>
    <t>2021004961</t>
  </si>
  <si>
    <t>Svenska institutet</t>
  </si>
  <si>
    <t>SI</t>
  </si>
  <si>
    <t>0113</t>
  </si>
  <si>
    <t>1997:1226</t>
  </si>
  <si>
    <t>2021005331</t>
  </si>
  <si>
    <t>Svenska institutet för europapolitiska studier</t>
  </si>
  <si>
    <t>SIEPS</t>
  </si>
  <si>
    <t>2006:948</t>
  </si>
  <si>
    <t>Svenska Unescorådet</t>
  </si>
  <si>
    <t>RK/U</t>
  </si>
  <si>
    <t>1996:646</t>
  </si>
  <si>
    <t>2021001165</t>
  </si>
  <si>
    <t>Svenskt biografiskt lexikon</t>
  </si>
  <si>
    <t>1988:630</t>
  </si>
  <si>
    <t>SGU</t>
  </si>
  <si>
    <t>1997:1294</t>
  </si>
  <si>
    <t>2021002817</t>
  </si>
  <si>
    <t>Sveriges lantbruksuniversitet</t>
  </si>
  <si>
    <t>SLU</t>
  </si>
  <si>
    <t>1993:221</t>
  </si>
  <si>
    <t>2021000696</t>
  </si>
  <si>
    <t>Sveriges meteorologiska och hydrologiska institut</t>
  </si>
  <si>
    <t>SMHI</t>
  </si>
  <si>
    <t>1996:280</t>
  </si>
  <si>
    <t>2021006594</t>
  </si>
  <si>
    <t>Säkerhetspolisen</t>
  </si>
  <si>
    <t>SÄPO</t>
  </si>
  <si>
    <t>2002:1050</t>
  </si>
  <si>
    <t>2021004896</t>
  </si>
  <si>
    <t>Södertörns högskola</t>
  </si>
  <si>
    <t>2021003591</t>
  </si>
  <si>
    <t>Talboks- och punktskriftsbiblioteket</t>
  </si>
  <si>
    <t>1988:341</t>
  </si>
  <si>
    <t>Taltidningsnämnden</t>
  </si>
  <si>
    <t>1988:674</t>
  </si>
  <si>
    <t>2021001249</t>
  </si>
  <si>
    <t>Teaterhögskolan i Stockholm</t>
  </si>
  <si>
    <t>Tingsrätter</t>
  </si>
  <si>
    <t>1996:381</t>
  </si>
  <si>
    <t>Tjänsteförslagsnämnden för domstolsväsendet</t>
  </si>
  <si>
    <t>1988:318</t>
  </si>
  <si>
    <t>2021005182</t>
  </si>
  <si>
    <t>Totalförsvarets forskningsinstitut</t>
  </si>
  <si>
    <t>FOI</t>
  </si>
  <si>
    <t>2000:1074</t>
  </si>
  <si>
    <t>2021004771</t>
  </si>
  <si>
    <t>Totalförsvarets pliktverk</t>
  </si>
  <si>
    <t>Plikt- och prövningsverket/Rekryteringsmyndigheten</t>
  </si>
  <si>
    <t>1995:648</t>
  </si>
  <si>
    <t>8020144120</t>
  </si>
  <si>
    <t>Tredje AP-fonden</t>
  </si>
  <si>
    <t>2021000969</t>
  </si>
  <si>
    <t>Tullverket</t>
  </si>
  <si>
    <t>1991:1524</t>
  </si>
  <si>
    <t>2021002874</t>
  </si>
  <si>
    <t>2021001173</t>
  </si>
  <si>
    <t>Ungdomsstyrelsen</t>
  </si>
  <si>
    <t>1994:1389</t>
  </si>
  <si>
    <t>2021002932</t>
  </si>
  <si>
    <t>2021006826</t>
  </si>
  <si>
    <t>Utrikesförvaltningens antagningsnämnd</t>
  </si>
  <si>
    <t>RK/UD</t>
  </si>
  <si>
    <t>1991:360</t>
  </si>
  <si>
    <t>2021005471</t>
  </si>
  <si>
    <t>Valideringsdelegationen</t>
  </si>
  <si>
    <t>2003:1096</t>
  </si>
  <si>
    <t>2021005281</t>
  </si>
  <si>
    <t>Valmyndigheten</t>
  </si>
  <si>
    <t>0160</t>
  </si>
  <si>
    <t>2001:240</t>
  </si>
  <si>
    <t>2021005596</t>
  </si>
  <si>
    <t>Verket för förvaltningsutveckling</t>
  </si>
  <si>
    <t>2005:860</t>
  </si>
  <si>
    <t>2021004367</t>
  </si>
  <si>
    <t>Verket för högskoleservice</t>
  </si>
  <si>
    <t>1995:943</t>
  </si>
  <si>
    <t>2021005216</t>
  </si>
  <si>
    <t>Verket för innovationssystem</t>
  </si>
  <si>
    <t>Vinnova</t>
  </si>
  <si>
    <t>0486</t>
  </si>
  <si>
    <t>2000:1132</t>
  </si>
  <si>
    <t>2021004219</t>
  </si>
  <si>
    <t>Verket för näringslivsutveckling</t>
  </si>
  <si>
    <t>2000:1178</t>
  </si>
  <si>
    <t>2021005208</t>
  </si>
  <si>
    <t>0140</t>
  </si>
  <si>
    <t>2000:1199</t>
  </si>
  <si>
    <t>2021006834</t>
  </si>
  <si>
    <t>Veterinära ansvarsnämnden</t>
  </si>
  <si>
    <t>Jordbruksverket</t>
  </si>
  <si>
    <t>1994:844</t>
  </si>
  <si>
    <t>2021000639</t>
  </si>
  <si>
    <t>Vägverket</t>
  </si>
  <si>
    <t>1997:652</t>
  </si>
  <si>
    <t>2021003187</t>
  </si>
  <si>
    <t>Växjö universitet</t>
  </si>
  <si>
    <t>62620001582</t>
  </si>
  <si>
    <t>Zornsamlingarna</t>
  </si>
  <si>
    <t>Kungliga Maj:t beslutade den 11 juni 1943 om statens förhållande till Zornsamlingarna. Detta beslut är i praktiken att likställa med en instruktion.</t>
  </si>
  <si>
    <t>2021000084</t>
  </si>
  <si>
    <t>Åklagarmyndigheten</t>
  </si>
  <si>
    <t>2004:1266</t>
  </si>
  <si>
    <t>2021002924</t>
  </si>
  <si>
    <t>Örebro universitet</t>
  </si>
  <si>
    <t>2021004375</t>
  </si>
  <si>
    <t>Överklagandenämnden för högskolan</t>
  </si>
  <si>
    <t>1992:404</t>
  </si>
  <si>
    <t>2021006024</t>
  </si>
  <si>
    <t>Överklagandenämnden för nämndemannauppdrag</t>
  </si>
  <si>
    <t>Kammarrätten i Sundsvall</t>
  </si>
  <si>
    <t>2006:853</t>
  </si>
  <si>
    <t>2021005273</t>
  </si>
  <si>
    <t>Överklagandenämnden för studiestöd</t>
  </si>
  <si>
    <t>2001:79</t>
  </si>
  <si>
    <t>2021004763</t>
  </si>
  <si>
    <t>Överklagandenämnden för totalförsvaret</t>
  </si>
  <si>
    <t>1995:625</t>
  </si>
  <si>
    <t>Övervakningsnämnder</t>
  </si>
  <si>
    <t>Ingår i Kriminalvården</t>
  </si>
  <si>
    <t>1988:683</t>
  </si>
  <si>
    <t>2007:1119</t>
  </si>
  <si>
    <t>2007:1216</t>
  </si>
  <si>
    <t>2007:1041</t>
  </si>
  <si>
    <t>Arbetsförmedlingen</t>
  </si>
  <si>
    <t>2007:1030</t>
  </si>
  <si>
    <t>2007:829</t>
  </si>
  <si>
    <t>2007:913</t>
  </si>
  <si>
    <t>2007:1194</t>
  </si>
  <si>
    <t>2007:1027</t>
  </si>
  <si>
    <t>2007:1319</t>
  </si>
  <si>
    <t>2007:1110</t>
  </si>
  <si>
    <t>2007:1065</t>
  </si>
  <si>
    <t>2007:1170</t>
  </si>
  <si>
    <t>2007:1171</t>
  </si>
  <si>
    <t>2007:1068</t>
  </si>
  <si>
    <t>2007:1071</t>
  </si>
  <si>
    <t>2007:975</t>
  </si>
  <si>
    <t>2007:936</t>
  </si>
  <si>
    <t>2007:1073</t>
  </si>
  <si>
    <t>2007:972</t>
  </si>
  <si>
    <t>2007:761</t>
  </si>
  <si>
    <t>2007:1121</t>
  </si>
  <si>
    <t>2021005695</t>
  </si>
  <si>
    <t>Energimarknadsinspektionen</t>
  </si>
  <si>
    <t>2007:1118</t>
  </si>
  <si>
    <t>2008-9999</t>
  </si>
  <si>
    <t>2007:1217</t>
  </si>
  <si>
    <t>2007:1040</t>
  </si>
  <si>
    <t>2007:1074</t>
  </si>
  <si>
    <t>2007:841</t>
  </si>
  <si>
    <t>2021005687</t>
  </si>
  <si>
    <t>Finanspolitiska rådet</t>
  </si>
  <si>
    <t>2007:760</t>
  </si>
  <si>
    <t>2007:1045</t>
  </si>
  <si>
    <t>2007:1218</t>
  </si>
  <si>
    <t>2007:786</t>
  </si>
  <si>
    <t>2007:1431</t>
  </si>
  <si>
    <t>2007:1059</t>
  </si>
  <si>
    <t>2007:758</t>
  </si>
  <si>
    <t>2007:1197</t>
  </si>
  <si>
    <t>2007:854</t>
  </si>
  <si>
    <t>2007:937</t>
  </si>
  <si>
    <t>2007:852</t>
  </si>
  <si>
    <t>2007:1164</t>
  </si>
  <si>
    <t>2007:1266</t>
  </si>
  <si>
    <t>2007:1235</t>
  </si>
  <si>
    <t>2007:1075</t>
  </si>
  <si>
    <t>2007:1154</t>
  </si>
  <si>
    <t>2007:855</t>
  </si>
  <si>
    <t>2007:1183</t>
  </si>
  <si>
    <t xml:space="preserve">2007:1227 </t>
  </si>
  <si>
    <t>2007:1019</t>
  </si>
  <si>
    <t>2007:990</t>
  </si>
  <si>
    <t>2007:1293</t>
  </si>
  <si>
    <t>2007:906</t>
  </si>
  <si>
    <t>2007:1219</t>
  </si>
  <si>
    <t>2007:911</t>
  </si>
  <si>
    <t>2007:1163</t>
  </si>
  <si>
    <t>2007:1181</t>
  </si>
  <si>
    <t>2007:1116</t>
  </si>
  <si>
    <t>2007:1300</t>
  </si>
  <si>
    <t>2007:949</t>
  </si>
  <si>
    <t>2007:1033</t>
  </si>
  <si>
    <t>2007:1035</t>
  </si>
  <si>
    <t>2007:1028</t>
  </si>
  <si>
    <t>2007:824</t>
  </si>
  <si>
    <t>2007:1064</t>
  </si>
  <si>
    <t>2007:1221</t>
  </si>
  <si>
    <t>2007:759</t>
  </si>
  <si>
    <t>2007:1117</t>
  </si>
  <si>
    <t>2007:1199</t>
  </si>
  <si>
    <t>2007:1139</t>
  </si>
  <si>
    <t>2007:842</t>
  </si>
  <si>
    <t>2007:1172</t>
  </si>
  <si>
    <t>2007:1173</t>
  </si>
  <si>
    <t>2007:856</t>
  </si>
  <si>
    <t>2007:781</t>
  </si>
  <si>
    <t>2007:1066</t>
  </si>
  <si>
    <t>2007:853</t>
  </si>
  <si>
    <t>2007:1055</t>
  </si>
  <si>
    <t>lantmäteriverket</t>
  </si>
  <si>
    <t>2007:1057</t>
  </si>
  <si>
    <t>2007:1195</t>
  </si>
  <si>
    <t>2007:1047</t>
  </si>
  <si>
    <t>2007:1043</t>
  </si>
  <si>
    <t>2007:1054</t>
  </si>
  <si>
    <t>2007:756</t>
  </si>
  <si>
    <t>2007:959</t>
  </si>
  <si>
    <t>2007:1156</t>
  </si>
  <si>
    <t>2007:1206</t>
  </si>
  <si>
    <t>2007:1205</t>
  </si>
  <si>
    <t>2007:825</t>
  </si>
  <si>
    <t>2007:912</t>
  </si>
  <si>
    <t>2007:996</t>
  </si>
  <si>
    <t>2007:1177</t>
  </si>
  <si>
    <t>2007:1134</t>
  </si>
  <si>
    <t>2007:1020</t>
  </si>
  <si>
    <t>2007:1166</t>
  </si>
  <si>
    <t>2007:1220</t>
  </si>
  <si>
    <t>2007:1175</t>
  </si>
  <si>
    <t>2007:1176</t>
  </si>
  <si>
    <t>2007:1052</t>
  </si>
  <si>
    <t>2007:1222</t>
  </si>
  <si>
    <t>2007:1076</t>
  </si>
  <si>
    <t>2007:1193</t>
  </si>
  <si>
    <t>2007:1192</t>
  </si>
  <si>
    <t>2007:909</t>
  </si>
  <si>
    <t>2007:1032</t>
  </si>
  <si>
    <t>2007:1152</t>
  </si>
  <si>
    <t>2007:1036</t>
  </si>
  <si>
    <t>2007:1037</t>
  </si>
  <si>
    <t>2007:1111</t>
  </si>
  <si>
    <t>2007:1072</t>
  </si>
  <si>
    <t>2007:951</t>
  </si>
  <si>
    <t>2007:843</t>
  </si>
  <si>
    <t>2007:1191</t>
  </si>
  <si>
    <t>2007:1190</t>
  </si>
  <si>
    <t>2007:1160</t>
  </si>
  <si>
    <t>2007:1069</t>
  </si>
  <si>
    <t>2007:1039</t>
  </si>
  <si>
    <t>2007:1077</t>
  </si>
  <si>
    <t>2007:1184</t>
  </si>
  <si>
    <t>2007:1179</t>
  </si>
  <si>
    <t>2007:1447</t>
  </si>
  <si>
    <t>2007:1187</t>
  </si>
  <si>
    <t>2007:859</t>
  </si>
  <si>
    <t>2007:1115</t>
  </si>
  <si>
    <t>2007:907</t>
  </si>
  <si>
    <t>2007:1078</t>
  </si>
  <si>
    <t>2007:1079</t>
  </si>
  <si>
    <t>2007:976</t>
  </si>
  <si>
    <t>2007:1239</t>
  </si>
  <si>
    <t>2007:1161</t>
  </si>
  <si>
    <t>2007:785</t>
  </si>
  <si>
    <t>2007:780</t>
  </si>
  <si>
    <t>2007:830</t>
  </si>
  <si>
    <t>2007:1046</t>
  </si>
  <si>
    <t>2007:948</t>
  </si>
  <si>
    <t>2007:1215</t>
  </si>
  <si>
    <t>2007:1202</t>
  </si>
  <si>
    <t>2007:831</t>
  </si>
  <si>
    <t>2007:1233</t>
  </si>
  <si>
    <t>2007:1182</t>
  </si>
  <si>
    <t>2007:836</t>
  </si>
  <si>
    <t>2007:1153</t>
  </si>
  <si>
    <t>2007:757</t>
  </si>
  <si>
    <t>2007:1214</t>
  </si>
  <si>
    <t>2007:1178</t>
  </si>
  <si>
    <t>2007:1056</t>
  </si>
  <si>
    <t>2007:860</t>
  </si>
  <si>
    <t>2007:1180</t>
  </si>
  <si>
    <t>2007:958</t>
  </si>
  <si>
    <t>2007:1132</t>
  </si>
  <si>
    <t>2007:1042</t>
  </si>
  <si>
    <t>2007:1029</t>
  </si>
  <si>
    <t>2007:1188</t>
  </si>
  <si>
    <t>2007:1186</t>
  </si>
  <si>
    <t>2007:1067</t>
  </si>
  <si>
    <t>2007:1198</t>
  </si>
  <si>
    <t>2007:1185</t>
  </si>
  <si>
    <t>2007:1196</t>
  </si>
  <si>
    <t>2007:908</t>
  </si>
  <si>
    <t>2007:832</t>
  </si>
  <si>
    <t>2007:784</t>
  </si>
  <si>
    <t>2007:857</t>
  </si>
  <si>
    <t>2021005828</t>
  </si>
  <si>
    <t>Statens skaderegleringsnämnd</t>
  </si>
  <si>
    <t>2007:834</t>
  </si>
  <si>
    <t>2007:1058</t>
  </si>
  <si>
    <t>2007:1044</t>
  </si>
  <si>
    <t>2007:964</t>
  </si>
  <si>
    <t>Statens överklagandenämnd</t>
  </si>
  <si>
    <t>2007:762</t>
  </si>
  <si>
    <t>2007:827</t>
  </si>
  <si>
    <t>2007:1223</t>
  </si>
  <si>
    <t>2007:1371</t>
  </si>
  <si>
    <t>2007:1265</t>
  </si>
  <si>
    <t>2007:1224</t>
  </si>
  <si>
    <t>2007:1228</t>
  </si>
  <si>
    <t>2007:950</t>
  </si>
  <si>
    <t>2007:1201</t>
  </si>
  <si>
    <t>2007:1318</t>
  </si>
  <si>
    <t>2007:1053</t>
  </si>
  <si>
    <t>2021005703</t>
  </si>
  <si>
    <t>Säkerhets- och integritetsskyddsnämnden</t>
  </si>
  <si>
    <t>2007:1290</t>
  </si>
  <si>
    <t>2007:1189</t>
  </si>
  <si>
    <t>2007:861</t>
  </si>
  <si>
    <t>2007:1263</t>
  </si>
  <si>
    <t>2007:782</t>
  </si>
  <si>
    <t>2007:1140</t>
  </si>
  <si>
    <t>2007:977</t>
  </si>
  <si>
    <t>2007:828</t>
  </si>
  <si>
    <t>2007:1291</t>
  </si>
  <si>
    <t>2007:1114</t>
  </si>
  <si>
    <t>2007:1155</t>
  </si>
  <si>
    <t>2007:1397</t>
  </si>
  <si>
    <t>nämnd</t>
  </si>
  <si>
    <t>2007:960</t>
  </si>
  <si>
    <t>2007:971</t>
  </si>
  <si>
    <t>2007:991</t>
  </si>
  <si>
    <t>2007:1081</t>
  </si>
  <si>
    <t>2007:1348</t>
  </si>
  <si>
    <t>2007:1174</t>
  </si>
  <si>
    <t>Diskrimineringsombudsmannen</t>
  </si>
  <si>
    <t>DO</t>
  </si>
  <si>
    <t>2008:1401</t>
  </si>
  <si>
    <t>2021006081</t>
  </si>
  <si>
    <t>Domarnämnden</t>
  </si>
  <si>
    <t>2008:427</t>
  </si>
  <si>
    <t>2009-9999</t>
  </si>
  <si>
    <t>2009:606</t>
  </si>
  <si>
    <t>2021006115</t>
  </si>
  <si>
    <t>Kompetensrådet för utveckling i staten</t>
  </si>
  <si>
    <t>2008:1085</t>
  </si>
  <si>
    <t>2009-2012</t>
  </si>
  <si>
    <t>2008:1421</t>
  </si>
  <si>
    <t>Lantmäteriet</t>
  </si>
  <si>
    <t>2008:694</t>
  </si>
  <si>
    <t>2021005984</t>
  </si>
  <si>
    <t>Myndigheten för samhällsskydd och beredskap</t>
  </si>
  <si>
    <t>MSB</t>
  </si>
  <si>
    <t>0220</t>
  </si>
  <si>
    <t>2008:1002</t>
  </si>
  <si>
    <t>2021006206</t>
  </si>
  <si>
    <t>2008:1328</t>
  </si>
  <si>
    <t>Prövningsnämnden för stöd till kreditinstitut</t>
  </si>
  <si>
    <t>2008:850</t>
  </si>
  <si>
    <t>2008:1338</t>
  </si>
  <si>
    <t>2021006131</t>
  </si>
  <si>
    <t>Signalspaningsnämnden</t>
  </si>
  <si>
    <t>2008:924</t>
  </si>
  <si>
    <t>2009-2009</t>
  </si>
  <si>
    <t>Statens skolinspektion</t>
  </si>
  <si>
    <t>2021005745</t>
  </si>
  <si>
    <t>Specialpedagogiska skolmyndigheten</t>
  </si>
  <si>
    <t>SPSM</t>
  </si>
  <si>
    <t>2008:390</t>
  </si>
  <si>
    <t>2007:826</t>
  </si>
  <si>
    <t>2021006065</t>
  </si>
  <si>
    <t>2008:613</t>
  </si>
  <si>
    <t>2008:612</t>
  </si>
  <si>
    <t>2007:835</t>
  </si>
  <si>
    <t>2021005737</t>
  </si>
  <si>
    <t>Strålsäkerhetsmyndigheten</t>
  </si>
  <si>
    <t>0433</t>
  </si>
  <si>
    <t>2008:452</t>
  </si>
  <si>
    <t>2008:748</t>
  </si>
  <si>
    <t>2008:1233</t>
  </si>
  <si>
    <t>2007:1141</t>
  </si>
  <si>
    <t>Tandvårds- och läkemedelsförmånsverket</t>
  </si>
  <si>
    <t>TLV</t>
  </si>
  <si>
    <t>2021006099</t>
  </si>
  <si>
    <t>Transportstyrelsen</t>
  </si>
  <si>
    <t>2008:1300</t>
  </si>
  <si>
    <t>2008:1380</t>
  </si>
  <si>
    <t>2009:1482</t>
  </si>
  <si>
    <t>Dans- och cirkushögskolan</t>
  </si>
  <si>
    <t>2009:93</t>
  </si>
  <si>
    <t>2009:1024</t>
  </si>
  <si>
    <t>2021006313</t>
  </si>
  <si>
    <t>Försvarsunderrättelsedomstolen</t>
  </si>
  <si>
    <t>2009:968</t>
  </si>
  <si>
    <t>2010-9999</t>
  </si>
  <si>
    <t>2009:1174</t>
  </si>
  <si>
    <t>2021006248</t>
  </si>
  <si>
    <t>Inspektionen för socialförsäkringen</t>
  </si>
  <si>
    <t>ISF</t>
  </si>
  <si>
    <t>2009:602</t>
  </si>
  <si>
    <t>2009:947</t>
  </si>
  <si>
    <t>2009:894</t>
  </si>
  <si>
    <t>2009:607</t>
  </si>
  <si>
    <t>2009:946</t>
  </si>
  <si>
    <t>2021006271</t>
  </si>
  <si>
    <t>Linnéuniversitetet</t>
  </si>
  <si>
    <t>2009:1426</t>
  </si>
  <si>
    <t>2021006164</t>
  </si>
  <si>
    <t>Myndigheten för tillväxtpolitiska utvärderingar och analyser</t>
  </si>
  <si>
    <t>Tillväxtanalys</t>
  </si>
  <si>
    <t>2009:146</t>
  </si>
  <si>
    <t>2021006230</t>
  </si>
  <si>
    <t>Myndigheten för yrkeshögskolan</t>
  </si>
  <si>
    <t>MYH</t>
  </si>
  <si>
    <t>0930</t>
  </si>
  <si>
    <t>2009:279</t>
  </si>
  <si>
    <t>2009:1476</t>
  </si>
  <si>
    <t>Tillväxtverket</t>
  </si>
  <si>
    <t xml:space="preserve">Nämnden mot diskriminering </t>
  </si>
  <si>
    <t>2021006255</t>
  </si>
  <si>
    <t>Pensionsmyndigheten</t>
  </si>
  <si>
    <t>1020</t>
  </si>
  <si>
    <t>2009:1173</t>
  </si>
  <si>
    <t>Riksarkivet</t>
  </si>
  <si>
    <t>2009:1593</t>
  </si>
  <si>
    <t>2009:1395</t>
  </si>
  <si>
    <t>2009:1393</t>
  </si>
  <si>
    <t>2009:1243</t>
  </si>
  <si>
    <t>2009:945</t>
  </si>
  <si>
    <t>2021006214</t>
  </si>
  <si>
    <t>Statens inspektion för försvarsunderrättelseverksamheten</t>
  </si>
  <si>
    <t>SIUN</t>
  </si>
  <si>
    <t>2009:969</t>
  </si>
  <si>
    <t>2009:1464</t>
  </si>
  <si>
    <t>2009:1215</t>
  </si>
  <si>
    <t>2009:1214</t>
  </si>
  <si>
    <t>2009:1394</t>
  </si>
  <si>
    <t>2009:895</t>
  </si>
  <si>
    <t>2009:974</t>
  </si>
  <si>
    <t>2021006149</t>
  </si>
  <si>
    <t>2009:145</t>
  </si>
  <si>
    <t>2009:1101</t>
  </si>
  <si>
    <t>2009:975</t>
  </si>
  <si>
    <t>2009:302</t>
  </si>
  <si>
    <t>Ansvarsnämnden för djurens hälso- och sjukvård</t>
  </si>
  <si>
    <t>Landsbygdsdepartementet</t>
  </si>
  <si>
    <t>2009:1386</t>
  </si>
  <si>
    <t>Lag 1994:243</t>
  </si>
  <si>
    <t>2007:1021</t>
  </si>
  <si>
    <t>2010:1793</t>
  </si>
  <si>
    <t>2010:1764</t>
  </si>
  <si>
    <t>E-legitimationsnämnden</t>
  </si>
  <si>
    <t>2010:1497</t>
  </si>
  <si>
    <t>2007:652</t>
  </si>
  <si>
    <t>2021006339</t>
  </si>
  <si>
    <t>Försvarsexportmyndigheten</t>
  </si>
  <si>
    <t>2010:654</t>
  </si>
  <si>
    <t>2011-2015</t>
  </si>
  <si>
    <t>Förvaltningsrätter</t>
  </si>
  <si>
    <t>Högsta förvaltningsdomstolen</t>
  </si>
  <si>
    <t>2010:1101</t>
  </si>
  <si>
    <t>2010:1773</t>
  </si>
  <si>
    <t>2010:184</t>
  </si>
  <si>
    <t>1040</t>
  </si>
  <si>
    <t>2021006347</t>
  </si>
  <si>
    <t>Myndigheten för radio och TV</t>
  </si>
  <si>
    <t>2010:1062</t>
  </si>
  <si>
    <t>2011-9999</t>
  </si>
  <si>
    <t>2021006412</t>
  </si>
  <si>
    <t>Myndigheten för vårdanalys</t>
  </si>
  <si>
    <t>Vårdanalys</t>
  </si>
  <si>
    <t>2010:1385</t>
  </si>
  <si>
    <t>2021006370</t>
  </si>
  <si>
    <t>Patentombudsnämnden</t>
  </si>
  <si>
    <t>2010:1054</t>
  </si>
  <si>
    <t>2010:604</t>
  </si>
  <si>
    <t>2021006396</t>
  </si>
  <si>
    <t>Statens medieråd</t>
  </si>
  <si>
    <t>2010:1923</t>
  </si>
  <si>
    <t>2011-2023</t>
  </si>
  <si>
    <t>2021006388</t>
  </si>
  <si>
    <t>Stockholms dramatiska högskola</t>
  </si>
  <si>
    <t>2011-2013</t>
  </si>
  <si>
    <t>2010:1080</t>
  </si>
  <si>
    <t>RK/L</t>
  </si>
  <si>
    <t>Totalförsvarets rekryteringsmyndighet</t>
  </si>
  <si>
    <t>2010:1472</t>
  </si>
  <si>
    <t>2021006305</t>
  </si>
  <si>
    <t>Trafikanalys</t>
  </si>
  <si>
    <t>2010:186</t>
  </si>
  <si>
    <t>2021006297</t>
  </si>
  <si>
    <t>Trafikverket</t>
  </si>
  <si>
    <t>0451</t>
  </si>
  <si>
    <t>2010:185</t>
  </si>
  <si>
    <t>2011:446</t>
  </si>
  <si>
    <t>2021006420</t>
  </si>
  <si>
    <t>Havs- och vattenmyndigheten</t>
  </si>
  <si>
    <t>HaV</t>
  </si>
  <si>
    <t>0540</t>
  </si>
  <si>
    <t>2011:619</t>
  </si>
  <si>
    <t>2012-9999</t>
  </si>
  <si>
    <t>2011:582</t>
  </si>
  <si>
    <t>2021006404</t>
  </si>
  <si>
    <t xml:space="preserve">Myndigheten för kulturanalys </t>
  </si>
  <si>
    <t>2011:124</t>
  </si>
  <si>
    <t>Myndigheten för radio och tv</t>
  </si>
  <si>
    <t>2011:1162</t>
  </si>
  <si>
    <t xml:space="preserve">Polismyndigheter </t>
  </si>
  <si>
    <t>2011:131</t>
  </si>
  <si>
    <t>2011:130</t>
  </si>
  <si>
    <t>Statens musikverk</t>
  </si>
  <si>
    <t>Musikverket</t>
  </si>
  <si>
    <t>2010:1922</t>
  </si>
  <si>
    <t>2011:556</t>
  </si>
  <si>
    <t>2011:555</t>
  </si>
  <si>
    <t>Statens tjänstepensionsverk</t>
  </si>
  <si>
    <t>Tandvårds- och Läkemedelsförmånsverket</t>
  </si>
  <si>
    <t>2012:546</t>
  </si>
  <si>
    <t>2021006909</t>
  </si>
  <si>
    <t>Centrala djurförsöksetiska nämnden</t>
  </si>
  <si>
    <t>Lag 1988:534</t>
  </si>
  <si>
    <t>2013-9999</t>
  </si>
  <si>
    <t>2021006503</t>
  </si>
  <si>
    <t>Ersättningsnämnden</t>
  </si>
  <si>
    <t>2012:666</t>
  </si>
  <si>
    <t>2013-2016</t>
  </si>
  <si>
    <t>Fastighetsmäklarinspektionen</t>
  </si>
  <si>
    <t>FMI</t>
  </si>
  <si>
    <t>Forte</t>
  </si>
  <si>
    <t>SFS 2024:614</t>
  </si>
  <si>
    <t>Universitetkanslerämbetet</t>
  </si>
  <si>
    <t>2012:990</t>
  </si>
  <si>
    <t>2012:989</t>
  </si>
  <si>
    <t>2009:267</t>
  </si>
  <si>
    <t>2012:515</t>
  </si>
  <si>
    <t>2021006453</t>
  </si>
  <si>
    <t>Statens servicecenter</t>
  </si>
  <si>
    <t>2012:208</t>
  </si>
  <si>
    <t>Svenska ILO-kommittén</t>
  </si>
  <si>
    <t>2021006487</t>
  </si>
  <si>
    <t>Universitets- och högskolerådet</t>
  </si>
  <si>
    <t>UHR</t>
  </si>
  <si>
    <t>2012:811</t>
  </si>
  <si>
    <t>2021006495</t>
  </si>
  <si>
    <t>Universitetskanslersämbetet</t>
  </si>
  <si>
    <t>UKÄ</t>
  </si>
  <si>
    <t>2012:810</t>
  </si>
  <si>
    <t>Alkoholsortimentsnämnden</t>
  </si>
  <si>
    <t>2021006552</t>
  </si>
  <si>
    <t>E-hälsomyndigheten</t>
  </si>
  <si>
    <t>2013:1031</t>
  </si>
  <si>
    <t>2014-9999</t>
  </si>
  <si>
    <t>2013:727</t>
  </si>
  <si>
    <t>2021006545</t>
  </si>
  <si>
    <t>Folkhälsomyndigheten</t>
  </si>
  <si>
    <t>2013:1020</t>
  </si>
  <si>
    <t xml:space="preserve">Forskningsrådet för hälsa, arbetsliv och välfärd </t>
  </si>
  <si>
    <t>Gymnastik- och idrottshögskolan</t>
  </si>
  <si>
    <t>GIH</t>
  </si>
  <si>
    <t>2021006537</t>
  </si>
  <si>
    <t>Inspektionen för vård och omsorg</t>
  </si>
  <si>
    <t>IVO</t>
  </si>
  <si>
    <t>2013:196</t>
  </si>
  <si>
    <t>Institutet för arbetsmarknads- och utbildningspolitisk utvärdering</t>
  </si>
  <si>
    <t>IFAU</t>
  </si>
  <si>
    <t>Myndigheten för tillgängliga medier</t>
  </si>
  <si>
    <t>2010:769</t>
  </si>
  <si>
    <t>Statens centrum för arkitektur och design</t>
  </si>
  <si>
    <t>ArkDes</t>
  </si>
  <si>
    <t>2013:71</t>
  </si>
  <si>
    <t>2021006560</t>
  </si>
  <si>
    <t>Stockholms konstnärliga högskola</t>
  </si>
  <si>
    <t>E-Hälsomyndigheten</t>
  </si>
  <si>
    <t>Miljö- och energidepartementet</t>
  </si>
  <si>
    <t>Forskningsrådet för hälsa, arbetsliv och välfärd</t>
  </si>
  <si>
    <t>Patent- och registeringsverket</t>
  </si>
  <si>
    <t>2021003195</t>
  </si>
  <si>
    <t>2015-9999</t>
  </si>
  <si>
    <t>Högsta Domstolen</t>
  </si>
  <si>
    <t>Högsta Förvaltningsdomstolen</t>
  </si>
  <si>
    <t>2021002744</t>
  </si>
  <si>
    <t>Myndigheten för delaktighet</t>
  </si>
  <si>
    <t>2014:134</t>
  </si>
  <si>
    <t>Myndigheten för familjerätt och föräldraskapsstöd</t>
  </si>
  <si>
    <t>MFoF</t>
  </si>
  <si>
    <t>Myndigheten för press, radio och tv</t>
  </si>
  <si>
    <t>Myndigheten för ungdoms- och civilsamhällesfrågor</t>
  </si>
  <si>
    <t>MUCF</t>
  </si>
  <si>
    <t>2015:49</t>
  </si>
  <si>
    <t>Myndigheten för vård- och omsorgsanalys</t>
  </si>
  <si>
    <t>RK/ME</t>
  </si>
  <si>
    <t>2021004060</t>
  </si>
  <si>
    <t>Polismyndigheten</t>
  </si>
  <si>
    <t>2014:1102</t>
  </si>
  <si>
    <t>Göteborgs Universitet</t>
  </si>
  <si>
    <t>Linköpings Universitet</t>
  </si>
  <si>
    <t>Lunds Universitet</t>
  </si>
  <si>
    <t>Karolinska Institutet</t>
  </si>
  <si>
    <t>Umeå Universitet</t>
  </si>
  <si>
    <t>Uppsala Universitet</t>
  </si>
  <si>
    <t>2014:1585</t>
  </si>
  <si>
    <t>2021006602</t>
  </si>
  <si>
    <t>Skolforskningsinstitutet</t>
  </si>
  <si>
    <t>2014:1578</t>
  </si>
  <si>
    <t>Statens Skolinspektion</t>
  </si>
  <si>
    <t>Svea Hovrätt</t>
  </si>
  <si>
    <t>Statens beredning för medicinsk och social utvärdering</t>
  </si>
  <si>
    <t>SBU</t>
  </si>
  <si>
    <t>2014:520</t>
  </si>
  <si>
    <t>2014:1079</t>
  </si>
  <si>
    <t>2014:1103</t>
  </si>
  <si>
    <t>2021002745</t>
  </si>
  <si>
    <t>2021006610</t>
  </si>
  <si>
    <t>Upphandlingsmyndigheten</t>
  </si>
  <si>
    <t>2015:527</t>
  </si>
  <si>
    <t>Universitetkanslersämbetet</t>
  </si>
  <si>
    <t>2015:739</t>
  </si>
  <si>
    <t>2015:744</t>
  </si>
  <si>
    <t>2015:284</t>
  </si>
  <si>
    <t>2015:1047</t>
  </si>
  <si>
    <t>2015:152</t>
  </si>
  <si>
    <t>2015:743</t>
  </si>
  <si>
    <t>2017:153</t>
  </si>
  <si>
    <t>2016:1201</t>
  </si>
  <si>
    <t>2017:1114</t>
  </si>
  <si>
    <t>2016:1023</t>
  </si>
  <si>
    <t>2016:742</t>
  </si>
  <si>
    <t>2016:1333</t>
  </si>
  <si>
    <t>2016:1048</t>
  </si>
  <si>
    <t>Revisorsinspektionen</t>
  </si>
  <si>
    <t>2016:822</t>
  </si>
  <si>
    <t>2021003583</t>
  </si>
  <si>
    <t>Sveriges författarfond</t>
  </si>
  <si>
    <t>1962:652</t>
  </si>
  <si>
    <t>2017-9999</t>
  </si>
  <si>
    <t>2016:1332</t>
  </si>
  <si>
    <t>Lag 2018:1192</t>
  </si>
  <si>
    <t>2021006701</t>
  </si>
  <si>
    <t>Delegationen mot segregation</t>
  </si>
  <si>
    <t>Delmos</t>
  </si>
  <si>
    <t>2017:1085</t>
  </si>
  <si>
    <t>2018-2022</t>
  </si>
  <si>
    <t>2021006693</t>
  </si>
  <si>
    <t>Jämställdhetsmyndigheten</t>
  </si>
  <si>
    <t>2017:937</t>
  </si>
  <si>
    <t>2018-9999</t>
  </si>
  <si>
    <t>2021006719</t>
  </si>
  <si>
    <t>Klimatpolitiska rådet</t>
  </si>
  <si>
    <t>05</t>
  </si>
  <si>
    <t>2017:1268</t>
  </si>
  <si>
    <t>2017:868</t>
  </si>
  <si>
    <t>Malmö universitet</t>
  </si>
  <si>
    <t>2017:292</t>
  </si>
  <si>
    <t>Myndigheten för stöd till trossamfund</t>
  </si>
  <si>
    <t>SST</t>
  </si>
  <si>
    <t>2017:104</t>
  </si>
  <si>
    <t>Nationalmuseum</t>
  </si>
  <si>
    <t>2017:154</t>
  </si>
  <si>
    <t>Infrastrukturdepartementet</t>
  </si>
  <si>
    <t>2021006925</t>
  </si>
  <si>
    <t>Etikprövningsmyndigheten</t>
  </si>
  <si>
    <t>2018:1879</t>
  </si>
  <si>
    <t>2019-9999</t>
  </si>
  <si>
    <t>2021006875</t>
  </si>
  <si>
    <t>Myndigheten för arbetsmiljökunskap</t>
  </si>
  <si>
    <t>Mynak</t>
  </si>
  <si>
    <t>2018:254</t>
  </si>
  <si>
    <t>2021006883</t>
  </si>
  <si>
    <t>Myndigheten för digital förvaltning</t>
  </si>
  <si>
    <t>DIGG</t>
  </si>
  <si>
    <t>2018:1486</t>
  </si>
  <si>
    <t>2018:1425</t>
  </si>
  <si>
    <t>RK/I</t>
  </si>
  <si>
    <t>Spelinspektionen</t>
  </si>
  <si>
    <t>2018:1476</t>
  </si>
  <si>
    <t>Överklagandenämnden för etikprövning</t>
  </si>
  <si>
    <t>2019:84</t>
  </si>
  <si>
    <t>2019:502</t>
  </si>
  <si>
    <t>2021006933</t>
  </si>
  <si>
    <t>Nämnden för prövning av oredlighet i forskning</t>
  </si>
  <si>
    <t>2019:1152</t>
  </si>
  <si>
    <t>2020-9999</t>
  </si>
  <si>
    <t>2020:767</t>
  </si>
  <si>
    <t xml:space="preserve">Integritetsskyddsmyndigheten                                                     </t>
  </si>
  <si>
    <t>IMY</t>
  </si>
  <si>
    <t>2020:57</t>
  </si>
  <si>
    <t>2020:879</t>
  </si>
  <si>
    <t>Totalförsvarets plikt- och prövningsverk</t>
  </si>
  <si>
    <t>2022:208</t>
  </si>
  <si>
    <t>2021:248</t>
  </si>
  <si>
    <t>2021007030</t>
  </si>
  <si>
    <t>Fondtorgsnämnden</t>
  </si>
  <si>
    <t>2022:759</t>
  </si>
  <si>
    <t>2022-9999</t>
  </si>
  <si>
    <t>2021007022</t>
  </si>
  <si>
    <t>Institutet för mänskliga rättigheter</t>
  </si>
  <si>
    <t>2021:1198</t>
  </si>
  <si>
    <t>Integritetsskyddsmyndigheten</t>
  </si>
  <si>
    <t>2021007014</t>
  </si>
  <si>
    <t>Myndigheten för psykologiskt försvar</t>
  </si>
  <si>
    <t>2021:936</t>
  </si>
  <si>
    <t>Mucf</t>
  </si>
  <si>
    <t>Mälardalens universitet</t>
  </si>
  <si>
    <t>MDU</t>
  </si>
  <si>
    <t>2021:371</t>
  </si>
  <si>
    <t>Statens maritima och transporthistoriska museer</t>
  </si>
  <si>
    <t>fd. Statens maritima museer</t>
  </si>
  <si>
    <t>Skolinspektionen</t>
  </si>
  <si>
    <t>2021:1252</t>
  </si>
  <si>
    <t>Centrala etikprövningsnämnden (gammalt namn)</t>
  </si>
  <si>
    <t>Landsbygds- och infrastrukturdepartementet</t>
  </si>
  <si>
    <t>2022:811</t>
  </si>
  <si>
    <t>Klimat- och näringslivsdepartementet</t>
  </si>
  <si>
    <t>Forsmark_Oskarshamn_Ringhals</t>
  </si>
  <si>
    <t>Lokala värderingsnämnden vid Länsstyrelsen i Hallands län</t>
  </si>
  <si>
    <t>2007:858</t>
  </si>
  <si>
    <t>2021007055</t>
  </si>
  <si>
    <t>Myndigheten för totalförsvarsanalys</t>
  </si>
  <si>
    <t>2022:1768</t>
  </si>
  <si>
    <t>2023-9999</t>
  </si>
  <si>
    <t>RK/KN</t>
  </si>
  <si>
    <t>2022:1718</t>
  </si>
  <si>
    <t>2022:1719</t>
  </si>
  <si>
    <t>SFS 2023:150</t>
  </si>
  <si>
    <t>SFS 2019:461</t>
  </si>
  <si>
    <t>SFS 2022:1821</t>
  </si>
  <si>
    <t>SFS 2022:1547</t>
  </si>
  <si>
    <t>SFS 2023:90</t>
  </si>
  <si>
    <t>SFS 2020:134</t>
  </si>
  <si>
    <t>SFS 2022:811</t>
  </si>
  <si>
    <t>SFS 2013:34</t>
  </si>
  <si>
    <t>SFS 2022:1216</t>
  </si>
  <si>
    <t>Lag 2021:401</t>
  </si>
  <si>
    <t>SFS 2021:403</t>
  </si>
  <si>
    <t>SFS 2019:1062; lag SFS 2019:882</t>
  </si>
  <si>
    <t>SFS 2023:83</t>
  </si>
  <si>
    <t>SFS 2022:566</t>
  </si>
  <si>
    <t>SFS 2022:534</t>
  </si>
  <si>
    <t>SFS 2022:1204</t>
  </si>
  <si>
    <t>SFS 2022:249</t>
  </si>
  <si>
    <t>SFS 2014:328</t>
  </si>
  <si>
    <t>SFS 2022:1465</t>
  </si>
  <si>
    <t>SFS 2019:337</t>
  </si>
  <si>
    <t>SFS 2007:936</t>
  </si>
  <si>
    <t>SFS 2022:1299</t>
  </si>
  <si>
    <t>SFS 2021:93</t>
  </si>
  <si>
    <t>SFS 2022:1511</t>
  </si>
  <si>
    <t>SFS 2023:101</t>
  </si>
  <si>
    <t>SFS 2022:1723</t>
  </si>
  <si>
    <t>SFS 2021:1056</t>
  </si>
  <si>
    <t>SFS 2022:1662</t>
  </si>
  <si>
    <t>SFS 2022:1001</t>
  </si>
  <si>
    <t>SFS 2023:63</t>
  </si>
  <si>
    <t> SFS 2022:1361</t>
  </si>
  <si>
    <t>SFS 2021:520</t>
  </si>
  <si>
    <t>SFS 2007:1074</t>
  </si>
  <si>
    <t>2023:910</t>
  </si>
  <si>
    <t>SFS 2023:925</t>
  </si>
  <si>
    <t>SFS 2022:553</t>
  </si>
  <si>
    <t>SFS 2020:767</t>
  </si>
  <si>
    <t>SFS 2022:575</t>
  </si>
  <si>
    <t>SFS 2022:764</t>
  </si>
  <si>
    <t>SFS 2017:156</t>
  </si>
  <si>
    <t>SFS 2018:1552</t>
  </si>
  <si>
    <t>SFS 2019:147</t>
  </si>
  <si>
    <t>SFS 2014:529</t>
  </si>
  <si>
    <t>SFS 2014:177</t>
  </si>
  <si>
    <t>SFS 2020:1234</t>
  </si>
  <si>
    <t>SFS 2022:776</t>
  </si>
  <si>
    <t>SFS 2024:144</t>
  </si>
  <si>
    <t>SFS 2023:147</t>
  </si>
  <si>
    <t>SFS 2013:403</t>
  </si>
  <si>
    <t>SFS 2023:468</t>
  </si>
  <si>
    <t>SFS 2019:594</t>
  </si>
  <si>
    <t>SFS 2019:516</t>
  </si>
  <si>
    <t>SFS 2007:855</t>
  </si>
  <si>
    <t>SFS 2017:172</t>
  </si>
  <si>
    <t>SFS 2021:190</t>
  </si>
  <si>
    <t>SFS 2020:958</t>
  </si>
  <si>
    <t>SFS 2024:317</t>
  </si>
  <si>
    <t>SFS 2020:132</t>
  </si>
  <si>
    <t>SFS 2012:721</t>
  </si>
  <si>
    <t>SFS 2020:412</t>
  </si>
  <si>
    <t>SFS 2020:413</t>
  </si>
  <si>
    <t>2017:823</t>
  </si>
  <si>
    <t>SFS 2023:170</t>
  </si>
  <si>
    <t>SFS 2023:628</t>
  </si>
  <si>
    <t>SFS 2021:636</t>
  </si>
  <si>
    <t>SFS 2012:16</t>
  </si>
  <si>
    <t>SFS 2021:1198</t>
  </si>
  <si>
    <t>SFS 2023:891</t>
  </si>
  <si>
    <t>SFS 2014:171</t>
  </si>
  <si>
    <t>SFS 2023:61</t>
  </si>
  <si>
    <t>SFS 2016:310</t>
  </si>
  <si>
    <t>SFS 2021:966</t>
  </si>
  <si>
    <t>SFS 2023:733</t>
  </si>
  <si>
    <t>SFS 2020:959</t>
  </si>
  <si>
    <t> SFS 2024:131</t>
  </si>
  <si>
    <t>SFS 2022:570</t>
  </si>
  <si>
    <t>SFS 2020:517</t>
  </si>
  <si>
    <t>SFS 2023:681</t>
  </si>
  <si>
    <t>SFS 2023:819</t>
  </si>
  <si>
    <t>SFS 2017:926</t>
  </si>
  <si>
    <t>SFS 2023:734</t>
  </si>
  <si>
    <t>SFS 2016:1103</t>
  </si>
  <si>
    <t>2023:797</t>
  </si>
  <si>
    <t>SFS 2023:797</t>
  </si>
  <si>
    <t>SFS 2022:1336</t>
  </si>
  <si>
    <t>SFS 2022:1311</t>
  </si>
  <si>
    <t>SFS 2022:1069</t>
  </si>
  <si>
    <t>SFS 2018:1453</t>
  </si>
  <si>
    <t>SFS 2022:1531</t>
  </si>
  <si>
    <t>SFS 2023:685</t>
  </si>
  <si>
    <t>SFS 2023:620</t>
  </si>
  <si>
    <t>SFS 2022:1745</t>
  </si>
  <si>
    <t>SFS 2007:858</t>
  </si>
  <si>
    <t>SFS 2023:484</t>
  </si>
  <si>
    <t>SFS 2023:104</t>
  </si>
  <si>
    <t>SFS 2023:77</t>
  </si>
  <si>
    <t xml:space="preserve">Mediemyndigheten </t>
  </si>
  <si>
    <t>2023:844</t>
  </si>
  <si>
    <t>SFS 2023:844</t>
  </si>
  <si>
    <t>2024-9999</t>
  </si>
  <si>
    <t>SFS 2008:953</t>
  </si>
  <si>
    <t>SFS 2022:1070</t>
  </si>
  <si>
    <t>SFS 2022:1814</t>
  </si>
  <si>
    <t>SFS 2018:254</t>
  </si>
  <si>
    <t>2024:78</t>
  </si>
  <si>
    <t>SFS 2024:78</t>
  </si>
  <si>
    <t>SFS 2024:504</t>
  </si>
  <si>
    <t>SFS 2021:535</t>
  </si>
  <si>
    <t>SFS 2021:849</t>
  </si>
  <si>
    <t>SFS 2022:576</t>
  </si>
  <si>
    <t>SFS 2023:919</t>
  </si>
  <si>
    <t>SFS 2023:604</t>
  </si>
  <si>
    <t>SFS 2019:638</t>
  </si>
  <si>
    <t>SFS 2023:185</t>
  </si>
  <si>
    <t>SFS 2022:1768</t>
  </si>
  <si>
    <t>SFS 2022:120</t>
  </si>
  <si>
    <t>SFS 2018:1524</t>
  </si>
  <si>
    <t>SFS 2024:110</t>
  </si>
  <si>
    <t>SFS 2022:1812</t>
  </si>
  <si>
    <t>SFS 2021:1813</t>
  </si>
  <si>
    <t>SFS 2023:613</t>
  </si>
  <si>
    <t>SFS 2021:371</t>
  </si>
  <si>
    <t>SFS 2017:520</t>
  </si>
  <si>
    <t>SFS 2014:175</t>
  </si>
  <si>
    <t>SFS 2021:220</t>
  </si>
  <si>
    <t>SFS 2021:1197</t>
  </si>
  <si>
    <t> SFS 2020:138</t>
  </si>
  <si>
    <t>SFS 2007:1152</t>
  </si>
  <si>
    <t>SFS 2022:1717</t>
  </si>
  <si>
    <t>SFS 2021:1270</t>
  </si>
  <si>
    <t>SFS 2024:73</t>
  </si>
  <si>
    <t>SFS 2017:1271</t>
  </si>
  <si>
    <t>2023:686</t>
  </si>
  <si>
    <t>SFS 2024:503</t>
  </si>
  <si>
    <t>SFS 2024:437</t>
  </si>
  <si>
    <t>SFS 2017:672</t>
  </si>
  <si>
    <t>SFS 2020:870</t>
  </si>
  <si>
    <t>SFS 2020:869</t>
  </si>
  <si>
    <t>2023:909</t>
  </si>
  <si>
    <t>SFS 2007:859</t>
  </si>
  <si>
    <t>SFS 2021:40</t>
  </si>
  <si>
    <t>SFS 2022:1383</t>
  </si>
  <si>
    <t>SFS 2017:552</t>
  </si>
  <si>
    <t>SFS 2007:1079</t>
  </si>
  <si>
    <t>SFS 2022:1510</t>
  </si>
  <si>
    <t>SFS 2019:1277</t>
  </si>
  <si>
    <t>SFS 2019:308</t>
  </si>
  <si>
    <t>SFS 2023:809</t>
  </si>
  <si>
    <t>SFS 2023:183</t>
  </si>
  <si>
    <t>SFS 2017:155</t>
  </si>
  <si>
    <t>SFS 2023:470</t>
  </si>
  <si>
    <t>SFS 2018:1024</t>
  </si>
  <si>
    <t>SFS 2023:900</t>
  </si>
  <si>
    <t>SFS 2019:1279</t>
  </si>
  <si>
    <t>SFS 2019:411</t>
  </si>
  <si>
    <t>SFS 2023:404</t>
  </si>
  <si>
    <t>SFS 2022:1618</t>
  </si>
  <si>
    <t>SFS 2022:1680</t>
  </si>
  <si>
    <t>SFS 2018:1025</t>
  </si>
  <si>
    <t>SFS 2023:293</t>
  </si>
  <si>
    <t>SFS 2024:76</t>
  </si>
  <si>
    <t>SFS 2022:1186</t>
  </si>
  <si>
    <t>SFS 2024:105</t>
  </si>
  <si>
    <t>SFS 2022:1815</t>
  </si>
  <si>
    <t>SFS 2019:1073</t>
  </si>
  <si>
    <t>SFS 2014:1381</t>
  </si>
  <si>
    <t>SFS 2022:1819</t>
  </si>
  <si>
    <t>SFS 2024:428</t>
  </si>
  <si>
    <t>SFS 2024:615</t>
  </si>
  <si>
    <t>SFS 2023:100</t>
  </si>
  <si>
    <t>SFS 2019:19</t>
  </si>
  <si>
    <t>SFS 2024:482</t>
  </si>
  <si>
    <t>SFS 2022:1817</t>
  </si>
  <si>
    <t>SFS 2022:1816</t>
  </si>
  <si>
    <t>SFS 2021:1275</t>
  </si>
  <si>
    <t>SFS 2017:1092</t>
  </si>
  <si>
    <t>SFS 2023:947</t>
  </si>
  <si>
    <t>SFS 2021:1073</t>
  </si>
  <si>
    <t>SFS 2021:1272</t>
  </si>
  <si>
    <t>SFS 2023:602</t>
  </si>
  <si>
    <t>2018:1137</t>
  </si>
  <si>
    <t>SFS 2018:1137</t>
  </si>
  <si>
    <t>SFS 2023:99</t>
  </si>
  <si>
    <t>SFS 2016:1263</t>
  </si>
  <si>
    <t>SFS 2017:1042</t>
  </si>
  <si>
    <t>SFS 2024:505</t>
  </si>
  <si>
    <t>SFS 2024:189</t>
  </si>
  <si>
    <t>SFS 2022:540</t>
  </si>
  <si>
    <t>SFS 2021:1252</t>
  </si>
  <si>
    <t>SFS 2022:234</t>
  </si>
  <si>
    <t>SFS 2021:1057</t>
  </si>
  <si>
    <t>SFS 2023:389</t>
  </si>
  <si>
    <t>SFS 2007:1335</t>
  </si>
  <si>
    <t>SFS 2019:1301</t>
  </si>
  <si>
    <t>SFS 2019:643</t>
  </si>
  <si>
    <t>SFS 2019:1270</t>
  </si>
  <si>
    <t>SFS 2023:626</t>
  </si>
  <si>
    <t>SFS 2019:701</t>
  </si>
  <si>
    <t>SFS 2022:545</t>
  </si>
  <si>
    <t>SFS 2020:1124</t>
  </si>
  <si>
    <t>SFS 2022:1719</t>
  </si>
  <si>
    <t>SFS 2022:1359</t>
  </si>
  <si>
    <t>SFS 2024:201</t>
  </si>
  <si>
    <t>SFS 2019:593</t>
  </si>
  <si>
    <t>SFS 2020:1235</t>
  </si>
  <si>
    <t>SFS 2020:1288</t>
  </si>
  <si>
    <t>SFS 2022:235</t>
  </si>
  <si>
    <t>SFS 2023:46</t>
  </si>
  <si>
    <t>SFS 2022:1415</t>
  </si>
  <si>
    <t>SFS 2022:1068</t>
  </si>
  <si>
    <t>SFS 2024:72</t>
  </si>
  <si>
    <t>2022:1099</t>
  </si>
  <si>
    <t>SFS 2019:1315</t>
  </si>
  <si>
    <t>2021007071</t>
  </si>
  <si>
    <t>Utbetalningsmyndigheten</t>
  </si>
  <si>
    <t>2023:461</t>
  </si>
  <si>
    <t>SFS 2023:461</t>
  </si>
  <si>
    <t>SFS 2024:65</t>
  </si>
  <si>
    <t>SFS 2021:230</t>
  </si>
  <si>
    <t>SFS 2022:1870</t>
  </si>
  <si>
    <t>SFS 2023:8</t>
  </si>
  <si>
    <t> SFS 2022:1514</t>
  </si>
  <si>
    <t>SFS 2023:44</t>
  </si>
  <si>
    <t>SFS 2015:547</t>
  </si>
  <si>
    <t>SFS 2018:1027</t>
  </si>
  <si>
    <t>SFS 2022:869</t>
  </si>
  <si>
    <t>SFS 2022:1402</t>
  </si>
  <si>
    <t>SFS 2024:55</t>
  </si>
  <si>
    <t>SFS 2024:1359</t>
  </si>
  <si>
    <t>SFS 2024:213</t>
  </si>
  <si>
    <t>SFS 2024:1305</t>
  </si>
  <si>
    <t>SFS 2024:1268</t>
  </si>
  <si>
    <t>SFS 2024:701</t>
  </si>
  <si>
    <t>SFS 2024:1324</t>
  </si>
  <si>
    <t>SFS 2024:1106</t>
  </si>
  <si>
    <t>2024:1026</t>
  </si>
  <si>
    <t>SFS 2024:1026</t>
  </si>
  <si>
    <t>SFS 2024:705</t>
  </si>
  <si>
    <t>SFS 2024:670</t>
  </si>
  <si>
    <t>SFS 2024:1309</t>
  </si>
  <si>
    <t>SFS 2024:1069</t>
  </si>
  <si>
    <t>SFS 2024:1356</t>
  </si>
  <si>
    <t>SFS 2024:1067</t>
  </si>
  <si>
    <t>SFS 2024:1322</t>
  </si>
  <si>
    <t>SFS 2024:1103</t>
  </si>
  <si>
    <t>SFS 2024:1337</t>
  </si>
  <si>
    <t>SFS 2025:1</t>
  </si>
  <si>
    <t>SFS 2024:667</t>
  </si>
  <si>
    <t>Lokala säkerhetsnämnden vid Forsmark</t>
  </si>
  <si>
    <t>Lokala säkerhetsnämnden vid Oskarshamn</t>
  </si>
  <si>
    <t>Lokala säkerhetsnämnden vid Ringhals</t>
  </si>
  <si>
    <t>SFS 2024:912</t>
  </si>
  <si>
    <t>SFS 2024:1171</t>
  </si>
  <si>
    <t>SFS 2024:919</t>
  </si>
  <si>
    <t>SFS 2025:7</t>
  </si>
  <si>
    <t>SFS 2024:1065</t>
  </si>
  <si>
    <t>SFS 2024:1058</t>
  </si>
  <si>
    <t>SFS 2024:1066</t>
  </si>
  <si>
    <t>SFS 2024:1025</t>
  </si>
  <si>
    <t>SFS 2024:1068</t>
  </si>
  <si>
    <t>SFS 2024:1326</t>
  </si>
  <si>
    <t>SFS 2024:940</t>
  </si>
  <si>
    <t>SFS 2024:1105</t>
  </si>
  <si>
    <t>SFS 2024:624</t>
  </si>
  <si>
    <t>SFS 2024:1332</t>
  </si>
  <si>
    <t> SFS 2024:625</t>
  </si>
  <si>
    <t>SFS 2024:1311</t>
  </si>
  <si>
    <t>SFS 2024:623</t>
  </si>
  <si>
    <t>SFS 2024:1104</t>
  </si>
  <si>
    <t>SFS 2024:528</t>
  </si>
  <si>
    <t>SFS 2024:1338</t>
  </si>
  <si>
    <t>SFS 2024:622</t>
  </si>
  <si>
    <t>SFS 2024:1029</t>
  </si>
  <si>
    <t> SFS 2024:1364</t>
  </si>
  <si>
    <t>SFS 2024:1306</t>
  </si>
  <si>
    <t>SFS 2024:781</t>
  </si>
  <si>
    <t>2024:1230</t>
  </si>
  <si>
    <t>SFS 2024:1230</t>
  </si>
  <si>
    <t>SFS 2024:1003</t>
  </si>
  <si>
    <t>SFS 2024:661</t>
  </si>
  <si>
    <t>2000:192</t>
  </si>
  <si>
    <t>SFS 2024:776</t>
  </si>
  <si>
    <t>SFS 2024:1151</t>
  </si>
  <si>
    <t>SFS 2024:1323</t>
  </si>
  <si>
    <t>TOTAL</t>
  </si>
  <si>
    <t>Antal</t>
  </si>
  <si>
    <t>Typ av summerad statistik</t>
  </si>
  <si>
    <t>Ledningsform</t>
  </si>
  <si>
    <t>Nämndmyndighet</t>
  </si>
  <si>
    <t>Styrelse med begränsat ansvar (SBA)</t>
  </si>
  <si>
    <t>Styrelsemyndighet</t>
  </si>
  <si>
    <t>Enrådighetsmyndighet</t>
  </si>
  <si>
    <t>Myndigheter</t>
  </si>
  <si>
    <t xml:space="preserve">Årsarbetskrafter </t>
  </si>
  <si>
    <t>Myndigheter med insynsråd</t>
  </si>
  <si>
    <t>Myndigheter med överdirektör</t>
  </si>
  <si>
    <t>Domstolar</t>
  </si>
  <si>
    <t>Universitet- och högskolor</t>
  </si>
  <si>
    <t>AP-fonder</t>
  </si>
  <si>
    <t>Myndigheter med myndighetschef</t>
  </si>
  <si>
    <t>Myndigheter som ingår i Hermes</t>
  </si>
  <si>
    <t>Myndigheter som ingår i Arbetsgivarverkets register</t>
  </si>
  <si>
    <t>Myndigheter som ingår i Domstolsverket</t>
  </si>
  <si>
    <t xml:space="preserve">Beslutsfattande organ </t>
  </si>
  <si>
    <t>Myndigheter per departement</t>
  </si>
  <si>
    <t>År</t>
  </si>
  <si>
    <t>Årsarbetskrafter</t>
  </si>
  <si>
    <t>sro</t>
  </si>
  <si>
    <t>Myndigheten för civilt försvar</t>
  </si>
  <si>
    <t>MCF</t>
  </si>
  <si>
    <t>Myndigheten för säkerhet och integritetsskydd</t>
  </si>
  <si>
    <t>Statens museer för maritim-, transport- och försvarshistoria</t>
  </si>
  <si>
    <t>SMMTF</t>
  </si>
  <si>
    <t>SFS 2025:610</t>
  </si>
  <si>
    <t>SFS 2023:444</t>
  </si>
  <si>
    <t>SFS 2025:1540</t>
  </si>
  <si>
    <t>SFS 2025:741</t>
  </si>
  <si>
    <t>SFS 2025:1170</t>
  </si>
  <si>
    <t>2025:782</t>
  </si>
  <si>
    <t>SFS 2025:377</t>
  </si>
  <si>
    <t>SFS 2025:1560</t>
  </si>
  <si>
    <t>SFS 2026:297</t>
  </si>
  <si>
    <t>Lag  2018:1192</t>
  </si>
  <si>
    <t>SFS 2025:745</t>
  </si>
  <si>
    <t>SFS 2023:548</t>
  </si>
  <si>
    <t>SFS 2023:793</t>
  </si>
  <si>
    <t>SFS 2025:1274</t>
  </si>
  <si>
    <t>SFS 2026:218</t>
  </si>
  <si>
    <t>SFS 2025:792</t>
  </si>
  <si>
    <t>SFS 2026:222</t>
  </si>
  <si>
    <t>SFS 2025:1250</t>
  </si>
  <si>
    <t>SFS 2025:1012</t>
  </si>
  <si>
    <t>SFS 2024:1</t>
  </si>
  <si>
    <t>SFS 2025:1429</t>
  </si>
  <si>
    <t>SFS 2025:1051</t>
  </si>
  <si>
    <t>SFS 2023:199</t>
  </si>
  <si>
    <t>SFS 2025:832</t>
  </si>
  <si>
    <t>SFS 2025:1032</t>
  </si>
  <si>
    <t>SFS 2026:29</t>
  </si>
  <si>
    <t>SFS 2025:234</t>
  </si>
  <si>
    <t>SFS 2025:1405</t>
  </si>
  <si>
    <t>Lag 2021:642</t>
  </si>
  <si>
    <t>SFS 2025:1028</t>
  </si>
  <si>
    <t>SFS 2025:1027</t>
  </si>
  <si>
    <t>SFS 2026:182</t>
  </si>
  <si>
    <t>SFS 2022:1053</t>
  </si>
  <si>
    <t>SFS 2025:1407</t>
  </si>
  <si>
    <t>SFS 2025:1411</t>
  </si>
  <si>
    <t>SFS 2026:10</t>
  </si>
  <si>
    <t>SFS 2025:1210</t>
  </si>
  <si>
    <t>SFS 2025:1406</t>
  </si>
  <si>
    <t>SFS 2025:1431</t>
  </si>
  <si>
    <t>SFS 2026:217</t>
  </si>
  <si>
    <t>SFS 2025:1129</t>
  </si>
  <si>
    <t>SFS 2025:691</t>
  </si>
  <si>
    <t>SFS 2026:55</t>
  </si>
  <si>
    <t>SFS 2025:1042</t>
  </si>
  <si>
    <t>SFS 2025:1043</t>
  </si>
  <si>
    <t>SFS 2025:1044</t>
  </si>
  <si>
    <t>SFS 2025:1045</t>
  </si>
  <si>
    <t>SFS 2025:1046</t>
  </si>
  <si>
    <t>SFS 2025:1047</t>
  </si>
  <si>
    <t>SFS 2025:1048</t>
  </si>
  <si>
    <t>SFS 2025:1049</t>
  </si>
  <si>
    <t>SFS 2025:1050</t>
  </si>
  <si>
    <t>SFS 2025:1052</t>
  </si>
  <si>
    <t>SFS 2025:1053</t>
  </si>
  <si>
    <t>SFS 2025:1054</t>
  </si>
  <si>
    <t>SFS 2025:1055</t>
  </si>
  <si>
    <t>SFS 2025:1056</t>
  </si>
  <si>
    <t>SFS 2025:1057</t>
  </si>
  <si>
    <t>SFS 2025:1058</t>
  </si>
  <si>
    <t>SFS 2025:1059</t>
  </si>
  <si>
    <t>SFS 2025:1060</t>
  </si>
  <si>
    <t>SFS 2025:1061</t>
  </si>
  <si>
    <t>SFS 2025:1062</t>
  </si>
  <si>
    <t>SFS 2025:500</t>
  </si>
  <si>
    <t>2025:1536</t>
  </si>
  <si>
    <t>SFS: 2025:1536</t>
  </si>
  <si>
    <t>SFS 2025:1412</t>
  </si>
  <si>
    <t>SFS 2025:973</t>
  </si>
  <si>
    <t>SFS 2026:7</t>
  </si>
  <si>
    <t>SFS 2025:930</t>
  </si>
  <si>
    <t>SFS 2025:554</t>
  </si>
  <si>
    <t>2025:1484</t>
  </si>
  <si>
    <t>SFS 2025:1484</t>
  </si>
  <si>
    <t>SFS 2025:367</t>
  </si>
  <si>
    <t>SFS 2025:695</t>
  </si>
  <si>
    <t>SFS 2026:30</t>
  </si>
  <si>
    <t>SFS 2025:1175</t>
  </si>
  <si>
    <t>SFS 2025:726</t>
  </si>
  <si>
    <t>SFS 2025:931</t>
  </si>
  <si>
    <t>SFS 2025:1513</t>
  </si>
  <si>
    <t>SFS 2025:1455</t>
  </si>
  <si>
    <t>SFS 2025:719</t>
  </si>
  <si>
    <t>SFS 2025:1237</t>
  </si>
  <si>
    <t>SFS 2026:278</t>
  </si>
  <si>
    <t>SFS 2025:511</t>
  </si>
  <si>
    <t>SFS 2026:190</t>
  </si>
  <si>
    <t>SFS 2026:280</t>
  </si>
  <si>
    <t>SFS 2025:1575</t>
  </si>
  <si>
    <t>SFS 2025:232</t>
  </si>
  <si>
    <t>SFS 2025:487</t>
  </si>
  <si>
    <t>SFS 2025:784</t>
  </si>
  <si>
    <t>2025:784</t>
  </si>
  <si>
    <t>SFS 2025:1128</t>
  </si>
  <si>
    <t>SFS 2025:686</t>
  </si>
  <si>
    <t>SFS 2025:1515</t>
  </si>
  <si>
    <t>2025:1519</t>
  </si>
  <si>
    <t>SFS 2025:1519</t>
  </si>
  <si>
    <t>2007:833</t>
  </si>
  <si>
    <t>SFS 2010:562</t>
  </si>
  <si>
    <t>2025:269</t>
  </si>
  <si>
    <t>SFS 2026:20</t>
  </si>
  <si>
    <t>SFS 2025:1443</t>
  </si>
  <si>
    <t>SFS 2025:1517</t>
  </si>
  <si>
    <t>SFS 2025:1031</t>
  </si>
  <si>
    <t>SFS 2025:1485</t>
  </si>
  <si>
    <t>SFS 2024:249</t>
  </si>
  <si>
    <t>SFS 2025:1457</t>
  </si>
  <si>
    <t>SFS 2025:1035</t>
  </si>
  <si>
    <t>SFS 2025:1554</t>
  </si>
  <si>
    <t>SFS 2025:1327</t>
  </si>
  <si>
    <t>SFS 2022:1099</t>
  </si>
  <si>
    <t>SFS: 2025:697</t>
  </si>
  <si>
    <t>SFS 2020:138</t>
  </si>
  <si>
    <t>SFS 2024:131</t>
  </si>
  <si>
    <t>SFS 2024:1364</t>
  </si>
  <si>
    <t>SFS 2024:625</t>
  </si>
  <si>
    <t>SFS 2025:269</t>
  </si>
  <si>
    <t>2025:681</t>
  </si>
  <si>
    <t>SFS: 2025:681</t>
  </si>
  <si>
    <t>Svenskt Kraftnät</t>
  </si>
  <si>
    <t>EBM</t>
  </si>
  <si>
    <t>RK</t>
  </si>
  <si>
    <t>2019-2025</t>
  </si>
  <si>
    <t>2007-2025</t>
  </si>
  <si>
    <t>2026-9999</t>
  </si>
  <si>
    <t>Rådgivande organ</t>
  </si>
  <si>
    <t>Summerande statistik för året 2026</t>
  </si>
  <si>
    <t>Tidsserier 2007-2026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</si>
</sst>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18" x14ac:knownFonts="1">
    <font>
      <sz val="11"/>
      <color theme="1"/>
      <name val="Aptos Narrow"/>
      <family val="2"/>
      <scheme val="minor"/>
    </font>
    <font>
      <sz val="11"/>
      <color rgb="FF9C0006"/>
      <name val="Aptos Narrow"/>
      <family val="2"/>
      <scheme val="minor"/>
    </font>
    <font>
      <b/>
      <sz val="11"/>
      <color theme="1"/>
      <name val="Aptos Narrow"/>
      <family val="2"/>
      <scheme val="minor"/>
    </font>
    <font>
      <sz val="11"/>
      <color theme="0"/>
      <name val="Aptos Narrow"/>
      <family val="2"/>
      <scheme val="minor"/>
    </font>
    <font>
      <sz val="10"/>
      <name val="Arial"/>
      <family val="2"/>
    </font>
    <font>
      <sz val="11"/>
      <name val="Aptos Narrow"/>
      <family val="2"/>
      <scheme val="minor"/>
    </font>
    <font>
      <sz val="11"/>
      <color rgb="FF000000"/>
      <name val="Calibri"/>
      <family val="2"/>
    </font>
    <font>
      <sz val="10"/>
      <color theme="1"/>
      <name val="Arial"/>
      <family val="2"/>
    </font>
    <font>
      <sz val="11"/>
      <color rgb="FF000000"/>
      <name val="Aptos Narrow"/>
      <family val="2"/>
      <scheme val="minor"/>
    </font>
    <font>
      <b/>
      <sz val="9"/>
      <color indexed="81"/>
      <name val="Tahoma"/>
      <family val="2"/>
    </font>
    <font>
      <sz val="9"/>
      <color indexed="81"/>
      <name val="Tahoma"/>
      <family val="2"/>
    </font>
    <font>
      <sz val="10"/>
      <color theme="0"/>
      <name val="Arial"/>
      <family val="2"/>
    </font>
    <font>
      <i/>
      <sz val="11"/>
      <color theme="1"/>
      <name val="Aptos Narrow"/>
      <family val="2"/>
      <scheme val="minor"/>
    </font>
    <font>
      <sz val="18"/>
      <color theme="0"/>
      <name val="Aptos Narrow"/>
      <family val="2"/>
      <scheme val="minor"/>
    </font>
    <font>
      <sz val="20"/>
      <color theme="0"/>
      <name val="Aptos Narrow"/>
      <family val="2"/>
      <scheme val="minor"/>
    </font>
    <font>
      <sz val="10"/>
      <color theme="1"/>
      <name val="Aptos Narrow"/>
      <family val="2"/>
      <scheme val="minor"/>
    </font>
    <font>
      <sz val="11"/>
      <color rgb="FF222222"/>
      <name val="Aptos Narrow"/>
      <family val="2"/>
      <scheme val="minor"/>
    </font>
    <font>
      <sz val="8"/>
      <name val="Aptos Narrow"/>
      <family val="2"/>
      <scheme val="minor"/>
    </font>
  </fonts>
  <fills count="6">
    <fill>
      <patternFill patternType="none"/>
    </fill>
    <fill>
      <patternFill patternType="gray125"/>
    </fill>
    <fill>
      <patternFill patternType="solid">
        <fgColor rgb="FFFFC7CE"/>
      </patternFill>
    </fill>
    <fill>
      <patternFill patternType="solid">
        <fgColor theme="4"/>
        <bgColor indexed="64"/>
      </patternFill>
    </fill>
    <fill>
      <patternFill patternType="solid">
        <fgColor theme="6" tint="0.79998168889431442"/>
        <bgColor indexed="64"/>
      </patternFill>
    </fill>
    <fill>
      <patternFill patternType="solid">
        <fgColor theme="7" tint="0.59999389629810485"/>
        <bgColor indexed="64"/>
      </patternFill>
    </fill>
  </fills>
  <borders count="2">
    <border>
      <left/>
      <right/>
      <top/>
      <bottom/>
      <diagonal/>
    </border>
    <border>
      <left/>
      <right/>
      <top/>
      <bottom style="thin">
        <color theme="1"/>
      </bottom>
      <diagonal/>
    </border>
  </borders>
  <cellStyleXfs count="3">
    <xf numFmtId="0" fontId="0" fillId="0" borderId="0"/>
    <xf numFmtId="0" fontId="1" fillId="2" borderId="0" applyNumberFormat="0" applyBorder="0" applyAlignment="0" applyProtection="0"/>
    <xf numFmtId="0" fontId="15" fillId="0" borderId="0"/>
  </cellStyleXfs>
  <cellXfs count="60">
    <xf numFmtId="0" fontId="0" fillId="0" borderId="0" xfId="0"/>
    <xf numFmtId="0" fontId="4" fillId="0" borderId="0" xfId="0" applyFont="1"/>
    <xf numFmtId="0" fontId="5" fillId="0" borderId="0" xfId="0" applyFont="1"/>
    <xf numFmtId="0" fontId="6" fillId="0" borderId="0" xfId="0" applyFont="1" applyAlignment="1">
      <alignment vertical="center"/>
    </xf>
    <xf numFmtId="164" fontId="0" fillId="0" borderId="0" xfId="0" applyNumberFormat="1" applyAlignment="1">
      <alignment horizontal="left"/>
    </xf>
    <xf numFmtId="49" fontId="0" fillId="0" borderId="0" xfId="0" applyNumberFormat="1"/>
    <xf numFmtId="49" fontId="4" fillId="0" borderId="0" xfId="0" applyNumberFormat="1" applyFont="1"/>
    <xf numFmtId="1" fontId="0" fillId="0" borderId="0" xfId="0" applyNumberFormat="1"/>
    <xf numFmtId="165" fontId="0" fillId="0" borderId="0" xfId="0" applyNumberFormat="1"/>
    <xf numFmtId="0" fontId="0" fillId="0" borderId="0" xfId="0" applyAlignment="1">
      <alignment vertical="center"/>
    </xf>
    <xf numFmtId="165" fontId="5" fillId="0" borderId="0" xfId="0" applyNumberFormat="1" applyFont="1"/>
    <xf numFmtId="4" fontId="0" fillId="0" borderId="0" xfId="0" applyNumberFormat="1"/>
    <xf numFmtId="3" fontId="0" fillId="0" borderId="0" xfId="0" applyNumberFormat="1"/>
    <xf numFmtId="166" fontId="0" fillId="0" borderId="0" xfId="0" applyNumberFormat="1"/>
    <xf numFmtId="2" fontId="0" fillId="0" borderId="0" xfId="0" applyNumberFormat="1"/>
    <xf numFmtId="0" fontId="8" fillId="0" borderId="0" xfId="0" applyFont="1"/>
    <xf numFmtId="4" fontId="8" fillId="0" borderId="0" xfId="0" applyNumberFormat="1" applyFont="1"/>
    <xf numFmtId="0" fontId="5" fillId="0" borderId="0" xfId="1" applyFont="1" applyFill="1"/>
    <xf numFmtId="49" fontId="0" fillId="0" borderId="0" xfId="0" applyNumberFormat="1" applyAlignment="1">
      <alignment horizontal="right"/>
    </xf>
    <xf numFmtId="165" fontId="0" fillId="0" borderId="0" xfId="0" applyNumberFormat="1" applyAlignment="1">
      <alignment horizontal="right"/>
    </xf>
    <xf numFmtId="49" fontId="0" fillId="0" borderId="0" xfId="0" applyNumberFormat="1" applyAlignment="1">
      <alignment horizontal="left"/>
    </xf>
    <xf numFmtId="0" fontId="3" fillId="0" borderId="0" xfId="0" applyFont="1" applyAlignment="1">
      <alignment vertical="center"/>
    </xf>
    <xf numFmtId="0" fontId="11" fillId="0" borderId="0" xfId="0" applyFont="1" applyAlignment="1">
      <alignment vertical="center"/>
    </xf>
    <xf numFmtId="0" fontId="0" fillId="0" borderId="0" xfId="0" applyAlignment="1">
      <alignment wrapText="1"/>
    </xf>
    <xf numFmtId="0" fontId="5" fillId="0" borderId="0" xfId="0" applyFont="1" applyAlignment="1">
      <alignment wrapText="1"/>
    </xf>
    <xf numFmtId="0" fontId="6" fillId="0" borderId="0" xfId="0" applyFont="1" applyAlignment="1">
      <alignment vertical="center" wrapText="1"/>
    </xf>
    <xf numFmtId="0" fontId="4" fillId="0" borderId="0" xfId="0" applyFont="1" applyAlignment="1">
      <alignment wrapText="1"/>
    </xf>
    <xf numFmtId="0" fontId="7" fillId="0" borderId="0" xfId="0" applyFont="1" applyAlignment="1">
      <alignment vertical="center" wrapText="1"/>
    </xf>
    <xf numFmtId="0" fontId="0" fillId="0" borderId="0" xfId="0" applyAlignment="1">
      <alignment vertical="center" wrapText="1"/>
    </xf>
    <xf numFmtId="0" fontId="2" fillId="0" borderId="0" xfId="0" applyFont="1"/>
    <xf numFmtId="0" fontId="2" fillId="0" borderId="0" xfId="0" applyFont="1" applyAlignment="1">
      <alignment wrapText="1"/>
    </xf>
    <xf numFmtId="0" fontId="0" fillId="0" borderId="0" xfId="0" applyAlignment="1">
      <alignment horizontal="left"/>
    </xf>
    <xf numFmtId="0" fontId="12" fillId="0" borderId="0" xfId="0" applyFont="1"/>
    <xf numFmtId="0" fontId="13" fillId="3" borderId="0" xfId="0" applyFont="1" applyFill="1"/>
    <xf numFmtId="0" fontId="0" fillId="3" borderId="0" xfId="0" applyFill="1"/>
    <xf numFmtId="0" fontId="14" fillId="3" borderId="0" xfId="0" applyFont="1" applyFill="1"/>
    <xf numFmtId="0" fontId="4" fillId="0" borderId="0" xfId="2" applyFont="1"/>
    <xf numFmtId="0" fontId="0" fillId="4" borderId="0" xfId="0" applyFill="1" applyAlignment="1">
      <alignment vertical="center"/>
    </xf>
    <xf numFmtId="0" fontId="0" fillId="4" borderId="0" xfId="0" applyFill="1"/>
    <xf numFmtId="0" fontId="0" fillId="0" borderId="0" xfId="0" applyFill="1" applyAlignment="1">
      <alignment wrapText="1"/>
    </xf>
    <xf numFmtId="0" fontId="4" fillId="0" borderId="0" xfId="2" applyFont="1" applyFill="1"/>
    <xf numFmtId="0" fontId="0" fillId="5" borderId="0" xfId="0" applyFill="1" applyAlignment="1">
      <alignment vertical="center"/>
    </xf>
    <xf numFmtId="0" fontId="0" fillId="5" borderId="0" xfId="0" applyFill="1"/>
    <xf numFmtId="0" fontId="0" fillId="0" borderId="0" xfId="0" applyFill="1"/>
    <xf numFmtId="0" fontId="0" fillId="0" borderId="0" xfId="0" applyFont="1" applyFill="1"/>
    <xf numFmtId="0" fontId="0" fillId="0" borderId="0" xfId="0" applyFont="1"/>
    <xf numFmtId="0" fontId="0" fillId="0" borderId="0" xfId="0" applyFont="1" applyFill="1" applyAlignment="1">
      <alignment wrapText="1"/>
    </xf>
    <xf numFmtId="0" fontId="12" fillId="0" borderId="0" xfId="0" applyFont="1" applyAlignment="1">
      <alignment horizontal="left"/>
    </xf>
    <xf numFmtId="0" fontId="0" fillId="0" borderId="0" xfId="0" applyNumberFormat="1"/>
    <xf numFmtId="165" fontId="0" fillId="0" borderId="0" xfId="0" applyNumberFormat="1" applyBorder="1"/>
    <xf numFmtId="0" fontId="0" fillId="0" borderId="1" xfId="0" applyBorder="1"/>
    <xf numFmtId="0" fontId="16" fillId="0" borderId="0" xfId="0" applyFont="1" applyFill="1"/>
    <xf numFmtId="0" fontId="2" fillId="0" borderId="0" xfId="0" applyFont="1" applyFill="1"/>
    <xf numFmtId="0" fontId="0" fillId="0" borderId="0" xfId="0" applyFill="1" applyAlignment="1">
      <alignment vertical="center"/>
    </xf>
    <xf numFmtId="0" fontId="0" fillId="0" borderId="0" xfId="0" applyBorder="1"/>
    <xf numFmtId="0" fontId="3" fillId="0" borderId="0" xfId="0" applyFont="1" applyAlignment="1">
      <alignment horizontal="left" vertical="center"/>
    </xf>
    <xf numFmtId="0" fontId="0" fillId="0" borderId="0" xfId="0" applyFill="1" applyAlignment="1">
      <alignment horizontal="left"/>
    </xf>
    <xf numFmtId="0" fontId="0" fillId="0" borderId="0" xfId="0" applyFont="1" applyFill="1" applyAlignment="1">
      <alignment horizontal="left"/>
    </xf>
    <xf numFmtId="0" fontId="0" fillId="0" borderId="0" xfId="0" applyAlignment="1">
      <alignment horizontal="left" vertical="center"/>
    </xf>
    <xf numFmtId="0" fontId="2" fillId="0" borderId="0" xfId="0" applyFont="1" applyAlignment="1">
      <alignment horizontal="left"/>
    </xf>
  </cellXfs>
  <cellStyles count="3">
    <cellStyle name="Dålig" xfId="1" builtinId="27"/>
    <cellStyle name="Normal" xfId="0" builtinId="0"/>
    <cellStyle name="Normal 2" xfId="2" xr:uid="{1D7D1A57-EE2E-44EA-95A4-44E27E9D539E}"/>
  </cellStyles>
  <dxfs count="45">
    <dxf>
      <alignment horizontal="general" textRotation="0" wrapText="1" indent="0" justifyLastLine="0" shrinkToFit="0" readingOrder="0"/>
    </dxf>
    <dxf>
      <alignment horizontal="left" textRotation="0" wrapText="0" indent="0" justifyLastLine="0" shrinkToFit="0" readingOrder="0"/>
    </dxf>
    <dxf>
      <font>
        <strike val="0"/>
        <outline val="0"/>
        <shadow val="0"/>
        <u val="none"/>
        <vertAlign val="baseline"/>
        <color theme="0"/>
      </font>
      <alignment horizontal="general"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dxf>
    <dxf>
      <fill>
        <patternFill patternType="none">
          <fgColor indexed="64"/>
          <bgColor auto="1"/>
        </patternFill>
      </fill>
    </dxf>
    <dxf>
      <alignment horizontal="general" vertical="center" textRotation="0" wrapText="0" indent="0" justifyLastLine="0" shrinkToFit="0" readingOrder="0"/>
    </dxf>
    <dxf>
      <numFmt numFmtId="3" formatCode="#,##0"/>
    </dxf>
    <dxf>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font>
        <b val="0"/>
        <i/>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140" b="1" i="0" u="none" strike="noStrike" kern="1200" spc="0" baseline="0">
                <a:solidFill>
                  <a:schemeClr val="tx1">
                    <a:lumMod val="65000"/>
                    <a:lumOff val="35000"/>
                  </a:schemeClr>
                </a:solidFill>
                <a:latin typeface="+mn-lt"/>
                <a:ea typeface="+mn-ea"/>
                <a:cs typeface="+mn-cs"/>
              </a:defRPr>
            </a:pPr>
            <a:r>
              <a:rPr lang="sv-SE" b="1"/>
              <a:t>Antal</a:t>
            </a:r>
            <a:r>
              <a:rPr lang="sv-SE" b="1" baseline="0"/>
              <a:t> å</a:t>
            </a:r>
            <a:r>
              <a:rPr lang="sv-SE" b="1"/>
              <a:t>rsarbetskrafter 2007-2025</a:t>
            </a:r>
          </a:p>
        </c:rich>
      </c:tx>
      <c:overlay val="0"/>
      <c:spPr>
        <a:noFill/>
        <a:ln>
          <a:noFill/>
        </a:ln>
        <a:effectLst/>
      </c:spPr>
      <c:txPr>
        <a:bodyPr rot="0" spcFirstLastPara="1" vertOverflow="ellipsis" vert="horz" wrap="square" anchor="ctr" anchorCtr="1"/>
        <a:lstStyle/>
        <a:p>
          <a:pPr>
            <a:defRPr sz="1140" b="1"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lineChart>
        <c:grouping val="standard"/>
        <c:varyColors val="0"/>
        <c:ser>
          <c:idx val="0"/>
          <c:order val="0"/>
          <c:tx>
            <c:v>Årsarbetskrafter</c:v>
          </c:tx>
          <c:spPr>
            <a:ln w="19050" cap="rnd">
              <a:solidFill>
                <a:srgbClr val="00627D"/>
              </a:solidFill>
              <a:round/>
            </a:ln>
            <a:effectLst/>
          </c:spPr>
          <c:marker>
            <c:symbol val="square"/>
            <c:size val="5"/>
            <c:spPr>
              <a:solidFill>
                <a:srgbClr val="00627D"/>
              </a:solidFill>
              <a:ln w="9525">
                <a:solidFill>
                  <a:schemeClr val="accent1"/>
                </a:solidFill>
              </a:ln>
              <a:effectLst/>
            </c:spPr>
          </c:marker>
          <c:cat>
            <c:numRef>
              <c:f>'Tidsserier 2007-2026'!$A$6:$A$25</c:f>
              <c:numCache>
                <c:formatCode>General</c:formatCode>
                <c:ptCount val="20"/>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numCache>
            </c:numRef>
          </c:cat>
          <c:val>
            <c:numRef>
              <c:f>'Tidsserier 2007-2026'!$B$6:$B$25</c:f>
              <c:numCache>
                <c:formatCode>#,##0</c:formatCode>
                <c:ptCount val="20"/>
                <c:pt idx="0">
                  <c:v>204704.15664710008</c:v>
                </c:pt>
                <c:pt idx="1">
                  <c:v>200913.02821631936</c:v>
                </c:pt>
                <c:pt idx="2">
                  <c:v>196841.03649203185</c:v>
                </c:pt>
                <c:pt idx="3">
                  <c:v>198573.90019649206</c:v>
                </c:pt>
                <c:pt idx="4">
                  <c:v>200502.58626151193</c:v>
                </c:pt>
                <c:pt idx="5">
                  <c:v>204566.97476119999</c:v>
                </c:pt>
                <c:pt idx="6">
                  <c:v>209417.44907594993</c:v>
                </c:pt>
                <c:pt idx="7">
                  <c:v>212833.34622941763</c:v>
                </c:pt>
                <c:pt idx="8">
                  <c:v>214383.7634113048</c:v>
                </c:pt>
                <c:pt idx="9">
                  <c:v>218079.97558522728</c:v>
                </c:pt>
                <c:pt idx="10">
                  <c:v>220064.3115395417</c:v>
                </c:pt>
                <c:pt idx="11">
                  <c:v>222337.75686679996</c:v>
                </c:pt>
                <c:pt idx="12">
                  <c:v>226081.07268964988</c:v>
                </c:pt>
                <c:pt idx="13">
                  <c:v>228988.31942043643</c:v>
                </c:pt>
                <c:pt idx="14">
                  <c:v>238152.20126099893</c:v>
                </c:pt>
                <c:pt idx="15">
                  <c:v>240961.44482208494</c:v>
                </c:pt>
                <c:pt idx="16">
                  <c:v>248621.43100000013</c:v>
                </c:pt>
                <c:pt idx="17">
                  <c:v>256548.94350000005</c:v>
                </c:pt>
                <c:pt idx="18">
                  <c:v>262487.86889561766</c:v>
                </c:pt>
                <c:pt idx="19" formatCode="0">
                  <c:v>268036.08100000012</c:v>
                </c:pt>
              </c:numCache>
            </c:numRef>
          </c:val>
          <c:smooth val="1"/>
          <c:extLst>
            <c:ext xmlns:c16="http://schemas.microsoft.com/office/drawing/2014/chart" uri="{C3380CC4-5D6E-409C-BE32-E72D297353CC}">
              <c16:uniqueId val="{00000000-A94B-465F-9B8F-54640BD63A05}"/>
            </c:ext>
          </c:extLst>
        </c:ser>
        <c:dLbls>
          <c:showLegendKey val="0"/>
          <c:showVal val="0"/>
          <c:showCatName val="0"/>
          <c:showSerName val="0"/>
          <c:showPercent val="0"/>
          <c:showBubbleSize val="0"/>
        </c:dLbls>
        <c:marker val="1"/>
        <c:smooth val="0"/>
        <c:axId val="2097685887"/>
        <c:axId val="2097699615"/>
      </c:lineChart>
      <c:catAx>
        <c:axId val="209768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sv-SE"/>
          </a:p>
        </c:txPr>
        <c:crossAx val="2097699615"/>
        <c:crosses val="autoZero"/>
        <c:auto val="1"/>
        <c:lblAlgn val="ctr"/>
        <c:lblOffset val="100"/>
        <c:noMultiLvlLbl val="0"/>
      </c:catAx>
      <c:valAx>
        <c:axId val="2097699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sv-SE"/>
          </a:p>
        </c:txPr>
        <c:crossAx val="2097685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chart>
  <c:spPr>
    <a:solidFill>
      <a:schemeClr val="bg1"/>
    </a:solidFill>
    <a:ln w="9525" cap="flat" cmpd="sng" algn="ctr">
      <a:noFill/>
      <a:round/>
    </a:ln>
    <a:effectLst/>
  </c:spPr>
  <c:txPr>
    <a:bodyPr/>
    <a:lstStyle/>
    <a:p>
      <a:pPr>
        <a:defRPr sz="950"/>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100" b="1" i="0" u="none" strike="noStrike" kern="1200" spc="0" baseline="0">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sv-SE"/>
              <a:t>Antal myndigheter 2007-2025</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sv-SE"/>
        </a:p>
      </c:txPr>
    </c:title>
    <c:autoTitleDeleted val="0"/>
    <c:plotArea>
      <c:layout/>
      <c:barChart>
        <c:barDir val="col"/>
        <c:grouping val="clustered"/>
        <c:varyColors val="0"/>
        <c:ser>
          <c:idx val="0"/>
          <c:order val="0"/>
          <c:tx>
            <c:v>Myndigheter</c:v>
          </c:tx>
          <c:spPr>
            <a:solidFill>
              <a:srgbClr val="00627D"/>
            </a:solidFill>
            <a:ln w="12700">
              <a:solidFill>
                <a:srgbClr val="00627D"/>
              </a:solidFill>
            </a:ln>
            <a:effectLst/>
          </c:spPr>
          <c:invertIfNegative val="0"/>
          <c:dLbls>
            <c:spPr>
              <a:solidFill>
                <a:srgbClr val="FFFFFF"/>
              </a:solid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sv-S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'Tidsserier 2007-2026'!$A$6:$A$25</c:f>
              <c:numCache>
                <c:formatCode>General</c:formatCode>
                <c:ptCount val="20"/>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numCache>
            </c:numRef>
          </c:cat>
          <c:val>
            <c:numRef>
              <c:f>'Tidsserier 2007-2026'!$C$6:$C$25</c:f>
              <c:numCache>
                <c:formatCode>General</c:formatCode>
                <c:ptCount val="20"/>
                <c:pt idx="0">
                  <c:v>497</c:v>
                </c:pt>
                <c:pt idx="1">
                  <c:v>467</c:v>
                </c:pt>
                <c:pt idx="2">
                  <c:v>429</c:v>
                </c:pt>
                <c:pt idx="3">
                  <c:v>414</c:v>
                </c:pt>
                <c:pt idx="4">
                  <c:v>401</c:v>
                </c:pt>
                <c:pt idx="5">
                  <c:v>400</c:v>
                </c:pt>
                <c:pt idx="6">
                  <c:v>397</c:v>
                </c:pt>
                <c:pt idx="7">
                  <c:v>395</c:v>
                </c:pt>
                <c:pt idx="8">
                  <c:v>374</c:v>
                </c:pt>
                <c:pt idx="9">
                  <c:v>372</c:v>
                </c:pt>
                <c:pt idx="10">
                  <c:v>368</c:v>
                </c:pt>
                <c:pt idx="11">
                  <c:v>369</c:v>
                </c:pt>
                <c:pt idx="12">
                  <c:v>364</c:v>
                </c:pt>
                <c:pt idx="13">
                  <c:v>365</c:v>
                </c:pt>
                <c:pt idx="14">
                  <c:v>365</c:v>
                </c:pt>
                <c:pt idx="15">
                  <c:v>368</c:v>
                </c:pt>
                <c:pt idx="16">
                  <c:v>367</c:v>
                </c:pt>
                <c:pt idx="17">
                  <c:v>367</c:v>
                </c:pt>
                <c:pt idx="18">
                  <c:v>367</c:v>
                </c:pt>
                <c:pt idx="19">
                  <c:v>358</c:v>
                </c:pt>
              </c:numCache>
            </c:numRef>
          </c:val>
          <c:extLst>
            <c:ext xmlns:c16="http://schemas.microsoft.com/office/drawing/2014/chart" uri="{C3380CC4-5D6E-409C-BE32-E72D297353CC}">
              <c16:uniqueId val="{00000000-F5FF-4C60-BAB6-33CD6C9C6FF7}"/>
            </c:ext>
          </c:extLst>
        </c:ser>
        <c:dLbls>
          <c:dLblPos val="outEnd"/>
          <c:showLegendKey val="0"/>
          <c:showVal val="1"/>
          <c:showCatName val="0"/>
          <c:showSerName val="0"/>
          <c:showPercent val="0"/>
          <c:showBubbleSize val="0"/>
        </c:dLbls>
        <c:gapWidth val="219"/>
        <c:overlap val="-27"/>
        <c:axId val="242921935"/>
        <c:axId val="1657365056"/>
      </c:barChart>
      <c:catAx>
        <c:axId val="242921935"/>
        <c:scaling>
          <c:orientation val="minMax"/>
        </c:scaling>
        <c:delete val="0"/>
        <c:axPos val="b"/>
        <c:numFmt formatCode="General" sourceLinked="1"/>
        <c:majorTickMark val="none"/>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sv-SE"/>
          </a:p>
        </c:txPr>
        <c:crossAx val="1657365056"/>
        <c:crosses val="autoZero"/>
        <c:auto val="1"/>
        <c:lblAlgn val="ctr"/>
        <c:lblOffset val="100"/>
        <c:noMultiLvlLbl val="0"/>
      </c:catAx>
      <c:valAx>
        <c:axId val="1657365056"/>
        <c:scaling>
          <c:orientation val="minMax"/>
        </c:scaling>
        <c:delete val="0"/>
        <c:axPos val="l"/>
        <c:majorGridlines>
          <c:spPr>
            <a:ln w="9525" cap="flat" cmpd="sng" algn="ctr">
              <a:solidFill>
                <a:srgbClr val="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sv-SE"/>
          </a:p>
        </c:txPr>
        <c:crossAx val="242921935"/>
        <c:crosses val="autoZero"/>
        <c:crossBetween val="between"/>
      </c:valAx>
      <c:spPr>
        <a:noFill/>
        <a:ln>
          <a:solidFill>
            <a:srgbClr val="000000"/>
          </a:solid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sv-SE"/>
        </a:p>
      </c:txPr>
    </c:legend>
    <c:plotVisOnly val="1"/>
    <c:dispBlanksAs val="gap"/>
    <c:showDLblsOverMax val="0"/>
    <c:extLst/>
  </c:chart>
  <c:spPr>
    <a:solidFill>
      <a:schemeClr val="bg1"/>
    </a:solidFill>
    <a:ln w="9525" cap="flat" cmpd="sng" algn="ctr">
      <a:noFill/>
      <a:round/>
    </a:ln>
    <a:effectLst/>
  </c:spPr>
  <c:txPr>
    <a:bodyPr/>
    <a:lstStyle/>
    <a:p>
      <a:pPr>
        <a:defRPr sz="950">
          <a:latin typeface="Calibri" panose="020F0502020204030204" pitchFamily="34" charset="0"/>
          <a:ea typeface="Calibri" panose="020F0502020204030204" pitchFamily="34" charset="0"/>
          <a:cs typeface="Calibri" panose="020F0502020204030204" pitchFamily="34"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28575</xdr:rowOff>
    </xdr:from>
    <xdr:to>
      <xdr:col>14</xdr:col>
      <xdr:colOff>390525</xdr:colOff>
      <xdr:row>38</xdr:row>
      <xdr:rowOff>0</xdr:rowOff>
    </xdr:to>
    <xdr:sp macro="" textlink="">
      <xdr:nvSpPr>
        <xdr:cNvPr id="2" name="TextBox 1">
          <a:extLst>
            <a:ext uri="{FF2B5EF4-FFF2-40B4-BE49-F238E27FC236}">
              <a16:creationId xmlns:a16="http://schemas.microsoft.com/office/drawing/2014/main" id="{9203A22B-D1F2-EBD3-6A1E-5463E85329FF}"/>
            </a:ext>
          </a:extLst>
        </xdr:cNvPr>
        <xdr:cNvSpPr txBox="1"/>
      </xdr:nvSpPr>
      <xdr:spPr>
        <a:xfrm>
          <a:off x="0" y="28575"/>
          <a:ext cx="8924925" cy="7210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600">
              <a:solidFill>
                <a:schemeClr val="bg1"/>
              </a:solidFill>
            </a:rPr>
            <a:t>Syftet med vår myndighetsförteckning är att komplettera SCB:s myndighetsregister. Vi kompletterar </a:t>
          </a:r>
        </a:p>
        <a:p>
          <a:endParaRPr lang="sv-SE" sz="1400">
            <a:solidFill>
              <a:sysClr val="windowText" lastClr="000000"/>
            </a:solidFill>
          </a:endParaRPr>
        </a:p>
        <a:p>
          <a:r>
            <a:rPr lang="sv-SE" sz="1200">
              <a:solidFill>
                <a:sysClr val="windowText" lastClr="000000"/>
              </a:solidFill>
            </a:rPr>
            <a:t>Syftet med Statskontorets myndighetsförteckning är att komplettera SCB:s myndighetsregister. Vi kompletterar myndighetsregistret med bland annat information gällande myndigheternas årsarbetskrafter, myndigheternas ledningsform och deras särskilda organ. </a:t>
          </a:r>
        </a:p>
        <a:p>
          <a:endParaRPr lang="sv-SE" sz="1200">
            <a:solidFill>
              <a:sysClr val="windowText" lastClr="000000"/>
            </a:solidFill>
          </a:endParaRPr>
        </a:p>
        <a:p>
          <a:r>
            <a:rPr lang="sv-SE" sz="1200" b="1" u="sng">
              <a:solidFill>
                <a:sysClr val="windowText" lastClr="000000"/>
              </a:solidFill>
            </a:rPr>
            <a:t>Myndighets</a:t>
          </a:r>
          <a:r>
            <a:rPr lang="sv-SE" sz="1200" b="1" u="sng" baseline="0">
              <a:solidFill>
                <a:sysClr val="windowText" lastClr="000000"/>
              </a:solidFill>
            </a:rPr>
            <a:t>definition* </a:t>
          </a:r>
        </a:p>
        <a:p>
          <a:r>
            <a:rPr lang="sv-SE" sz="1200" b="0" u="none">
              <a:solidFill>
                <a:sysClr val="windowText" lastClr="000000"/>
              </a:solidFill>
            </a:rPr>
            <a:t>Statskontorets definition av en myndighet bygger på kriteriet att regeringen har utfärdat en specifik förordning med instruktion för organisationen eller att organisationen styrs av en särskild lag. För att komma med i vår förteckning gäller också att myndighetens uppdrag inte får vara tidsbegränsat. Därmed faller olika typer av delegationer, kommittéer, särskilda utredare, råd och samordnare som enligt sina direktiv ska arbeta under en bestämd tid utanför vår definition av myndighetsbegreppet. Det gäller också så kallade avvecklingsmyndigheter som brukar bildas när större myndigheter läggs ned eller slås samman. Myndigheter under riksdagen ingår inte i vårt register. Det gör inte heller de så kallade utlandsmyndigheterna som lyder under Regeringskansliet. </a:t>
          </a:r>
        </a:p>
        <a:p>
          <a:endParaRPr lang="sv-SE" sz="1200" b="0" u="none">
            <a:solidFill>
              <a:sysClr val="windowText" lastClr="000000"/>
            </a:solidFill>
          </a:endParaRPr>
        </a:p>
        <a:p>
          <a:r>
            <a:rPr lang="sv-SE" sz="1200" b="1" u="sng">
              <a:solidFill>
                <a:sysClr val="windowText" lastClr="000000"/>
              </a:solidFill>
            </a:rPr>
            <a:t>Uppdateringen</a:t>
          </a:r>
          <a:r>
            <a:rPr lang="sv-SE" sz="1200" b="1" u="sng" baseline="0">
              <a:solidFill>
                <a:sysClr val="windowText" lastClr="000000"/>
              </a:solidFill>
            </a:rPr>
            <a:t> av myndighetsförteckningen</a:t>
          </a:r>
        </a:p>
        <a:p>
          <a:r>
            <a:rPr lang="sv-SE" sz="1200" b="0" u="none">
              <a:solidFill>
                <a:sysClr val="windowText" lastClr="000000"/>
              </a:solidFill>
            </a:rPr>
            <a:t>Vi</a:t>
          </a:r>
          <a:r>
            <a:rPr lang="sv-SE" sz="1200" b="0" u="none" baseline="0">
              <a:solidFill>
                <a:sysClr val="windowText" lastClr="000000"/>
              </a:solidFill>
            </a:rPr>
            <a:t> uppdaterar myndighetsförteckningen årsvis. Vi publicerar den uppdaterade verisonen av myndighetsförteckningen i samband med rapportsläppet av den årliga rapporten </a:t>
          </a:r>
          <a:r>
            <a:rPr lang="sv-SE" sz="1200" b="0" i="1" u="none" baseline="0">
              <a:solidFill>
                <a:sysClr val="windowText" lastClr="000000"/>
              </a:solidFill>
            </a:rPr>
            <a:t>Statsförvaltningen i korthet.</a:t>
          </a:r>
        </a:p>
        <a:p>
          <a:endParaRPr lang="sv-SE" sz="1200" b="1" i="0" u="sng" baseline="0">
            <a:solidFill>
              <a:sysClr val="windowText" lastClr="000000"/>
            </a:solidFill>
          </a:endParaRPr>
        </a:p>
        <a:p>
          <a:r>
            <a:rPr lang="sv-SE" sz="1200" b="1" i="0" u="sng" baseline="0">
              <a:solidFill>
                <a:sysClr val="windowText" lastClr="000000"/>
              </a:solidFill>
            </a:rPr>
            <a:t>Andra register/förteckningar</a:t>
          </a:r>
        </a:p>
        <a:p>
          <a:r>
            <a:rPr lang="sv-SE" sz="1200" b="0" i="0" u="none" baseline="0">
              <a:solidFill>
                <a:sysClr val="windowText" lastClr="000000"/>
              </a:solidFill>
            </a:rPr>
            <a:t>Utöver Statskontoret och SCB finns andra som för register över antal myndigheter. Här kan särskilt ESV, Arbetsgivarverket och Regeringskansliet nämnas. ESV räknar myndigheter som ingår i den statliga redovisningsorganisationen.  Arbetsgivarverket räknar myndigheter med egna anställda, arbetsgivare, som är obligatoriska medlemmar i medlemsorganisationen Arbetsgivarverket.</a:t>
          </a:r>
        </a:p>
        <a:p>
          <a:endParaRPr lang="sv-SE" sz="1200" b="0" i="0" u="none" baseline="0">
            <a:solidFill>
              <a:sysClr val="windowText" lastClr="000000"/>
            </a:solidFill>
          </a:endParaRPr>
        </a:p>
        <a:p>
          <a:r>
            <a:rPr lang="sv-SE" sz="1200" b="1" i="0" u="sng" baseline="0">
              <a:solidFill>
                <a:sysClr val="windowText" lastClr="000000"/>
              </a:solidFill>
            </a:rPr>
            <a:t>Filen innehåller fyra delar</a:t>
          </a:r>
        </a:p>
        <a:p>
          <a:r>
            <a:rPr lang="sv-SE" sz="1200" b="0" i="0" u="none" baseline="0">
              <a:solidFill>
                <a:sysClr val="windowText" lastClr="000000"/>
              </a:solidFill>
            </a:rPr>
            <a:t>Denna excel-fil innehåller fyra delar. Den första delen (summerande statistik 2025) innehåller tabeller med summerad statistik för året. Den andra delen (Tidsserier 2007-2025) innehåller tabeller och grafer som visar utvecklingen av årsarbetskrafter och antal myndigheter över tid. Den tredje delen (Förteckning 2025) är ett urklipp av vår förteckning och visar enbart det senaste året. Den gör det enklare att överblicka statsförvaltningen i dess nuvarande form. Och den fjärde delen (Förteckning 2007-2025) visar hela vår förteckning. Där kan användaren till exempel se utvecklingen av en specfick myndigheten genom att använda Excels filtreringsverktyg. </a:t>
          </a:r>
        </a:p>
        <a:p>
          <a:endParaRPr lang="sv-SE" sz="1200" b="0" i="0" u="none" baseline="0">
            <a:solidFill>
              <a:sysClr val="windowText" lastClr="000000"/>
            </a:solidFill>
          </a:endParaRPr>
        </a:p>
        <a:p>
          <a:r>
            <a:rPr lang="sv-SE" sz="1200" b="1" i="0" u="sng" baseline="0">
              <a:solidFill>
                <a:sysClr val="windowText" lastClr="000000"/>
              </a:solidFill>
            </a:rPr>
            <a:t>Kontakt</a:t>
          </a:r>
        </a:p>
        <a:p>
          <a:r>
            <a:rPr lang="sv-SE" sz="1200" b="0" i="0" u="none" baseline="0">
              <a:solidFill>
                <a:sysClr val="windowText" lastClr="000000"/>
              </a:solidFill>
            </a:rPr>
            <a:t>Erik Nyberg</a:t>
          </a:r>
        </a:p>
        <a:p>
          <a:r>
            <a:rPr lang="sv-SE" sz="1200" b="0" i="0" u="none" baseline="0">
              <a:solidFill>
                <a:sysClr val="windowText" lastClr="000000"/>
              </a:solidFill>
            </a:rPr>
            <a:t>Enhetschef Statskontoret</a:t>
          </a:r>
        </a:p>
        <a:p>
          <a:r>
            <a:rPr lang="sv-SE" sz="1200" u="sng">
              <a:solidFill>
                <a:schemeClr val="dk1"/>
              </a:solidFill>
              <a:effectLst/>
              <a:latin typeface="+mn-lt"/>
              <a:ea typeface="+mn-ea"/>
              <a:cs typeface="+mn-cs"/>
            </a:rPr>
            <a:t>erik.nyberg@statskontoret.se</a:t>
          </a:r>
        </a:p>
        <a:p>
          <a:endParaRPr lang="sv-SE" sz="1200" b="0" u="none">
            <a:solidFill>
              <a:sysClr val="windowText" lastClr="000000"/>
            </a:solidFill>
          </a:endParaRPr>
        </a:p>
        <a:p>
          <a:endParaRPr lang="sv-SE" sz="1200" b="0" u="none">
            <a:solidFill>
              <a:sysClr val="windowText" lastClr="000000"/>
            </a:solidFill>
          </a:endParaRPr>
        </a:p>
        <a:p>
          <a:r>
            <a:rPr lang="sv-SE" sz="1200" b="1" u="none">
              <a:solidFill>
                <a:sysClr val="windowText" lastClr="000000"/>
              </a:solidFill>
            </a:rPr>
            <a:t>*</a:t>
          </a:r>
          <a:r>
            <a:rPr lang="sv-SE" sz="1200" b="0" u="none">
              <a:solidFill>
                <a:sysClr val="windowText" lastClr="000000"/>
              </a:solidFill>
            </a:rPr>
            <a:t>Se</a:t>
          </a:r>
          <a:r>
            <a:rPr lang="sv-SE" sz="1200" b="0" u="none" baseline="0">
              <a:solidFill>
                <a:sysClr val="windowText" lastClr="000000"/>
              </a:solidFill>
            </a:rPr>
            <a:t> även </a:t>
          </a:r>
          <a:r>
            <a:rPr lang="sv-SE" sz="1200" b="0" u="none">
              <a:solidFill>
                <a:sysClr val="windowText" lastClr="000000"/>
              </a:solidFill>
            </a:rPr>
            <a:t>Statskontoret (2005:32). </a:t>
          </a:r>
          <a:r>
            <a:rPr lang="sv-SE" sz="1200" b="0" i="1" u="none">
              <a:solidFill>
                <a:sysClr val="windowText" lastClr="000000"/>
              </a:solidFill>
            </a:rPr>
            <a:t>Statförvaltningens utveckling 1990-2005.</a:t>
          </a:r>
          <a:r>
            <a:rPr lang="sv-SE" sz="1200" b="0" i="1" u="none" baseline="0">
              <a:solidFill>
                <a:sysClr val="windowText" lastClr="000000"/>
              </a:solidFill>
            </a:rPr>
            <a:t> </a:t>
          </a:r>
          <a:r>
            <a:rPr lang="sv-SE" sz="1200" b="0" i="0" u="none" baseline="0">
              <a:solidFill>
                <a:sysClr val="windowText" lastClr="000000"/>
              </a:solidFill>
            </a:rPr>
            <a:t>s. 14-17</a:t>
          </a:r>
          <a:r>
            <a:rPr lang="sv-SE" sz="1200" b="0" u="none">
              <a:solidFill>
                <a:sysClr val="windowText" lastClr="000000"/>
              </a:solidFill>
            </a:rPr>
            <a:t> </a:t>
          </a:r>
        </a:p>
        <a:p>
          <a:endParaRPr lang="sv-SE" sz="1400">
            <a:solidFill>
              <a:schemeClr val="bg1"/>
            </a:solidFill>
          </a:endParaRPr>
        </a:p>
      </xdr:txBody>
    </xdr:sp>
    <xdr:clientData/>
  </xdr:twoCellAnchor>
  <xdr:twoCellAnchor>
    <xdr:from>
      <xdr:col>15</xdr:col>
      <xdr:colOff>552450</xdr:colOff>
      <xdr:row>0</xdr:row>
      <xdr:rowOff>0</xdr:rowOff>
    </xdr:from>
    <xdr:to>
      <xdr:col>36</xdr:col>
      <xdr:colOff>419100</xdr:colOff>
      <xdr:row>88</xdr:row>
      <xdr:rowOff>38100</xdr:rowOff>
    </xdr:to>
    <xdr:sp macro="" textlink="">
      <xdr:nvSpPr>
        <xdr:cNvPr id="3" name="TextBox 2">
          <a:extLst>
            <a:ext uri="{FF2B5EF4-FFF2-40B4-BE49-F238E27FC236}">
              <a16:creationId xmlns:a16="http://schemas.microsoft.com/office/drawing/2014/main" id="{78A1EA47-2EAF-F221-8661-EEA870E9978A}"/>
            </a:ext>
          </a:extLst>
        </xdr:cNvPr>
        <xdr:cNvSpPr txBox="1"/>
      </xdr:nvSpPr>
      <xdr:spPr>
        <a:xfrm>
          <a:off x="9696450" y="0"/>
          <a:ext cx="12668250" cy="1680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sv-SE" sz="1600" b="1">
              <a:solidFill>
                <a:schemeClr val="dk1"/>
              </a:solidFill>
              <a:effectLst/>
              <a:latin typeface="+mn-lt"/>
              <a:ea typeface="+mn-ea"/>
              <a:cs typeface="+mn-cs"/>
            </a:rPr>
            <a:t>Variabler</a:t>
          </a:r>
          <a:r>
            <a:rPr lang="sv-SE" sz="1600" b="1" baseline="0">
              <a:solidFill>
                <a:schemeClr val="dk1"/>
              </a:solidFill>
              <a:effectLst/>
              <a:latin typeface="+mn-lt"/>
              <a:ea typeface="+mn-ea"/>
              <a:cs typeface="+mn-cs"/>
            </a:rPr>
            <a:t> i myndighetsförteckningen</a:t>
          </a:r>
        </a:p>
        <a:p>
          <a:pPr lvl="0"/>
          <a:endParaRPr lang="sv-SE" sz="1200" b="0" baseline="0">
            <a:solidFill>
              <a:schemeClr val="dk1"/>
            </a:solidFill>
            <a:effectLst/>
            <a:latin typeface="+mn-lt"/>
            <a:ea typeface="+mn-ea"/>
            <a:cs typeface="+mn-cs"/>
          </a:endParaRPr>
        </a:p>
        <a:p>
          <a:pPr lvl="0"/>
          <a:r>
            <a:rPr lang="sv-SE" sz="1200" b="0" baseline="0">
              <a:solidFill>
                <a:schemeClr val="dk1"/>
              </a:solidFill>
              <a:effectLst/>
              <a:latin typeface="+mn-lt"/>
              <a:ea typeface="+mn-ea"/>
              <a:cs typeface="+mn-cs"/>
            </a:rPr>
            <a:t>M</a:t>
          </a:r>
          <a:r>
            <a:rPr lang="sv-SE" sz="1200" b="0">
              <a:solidFill>
                <a:schemeClr val="dk1"/>
              </a:solidFill>
              <a:effectLst/>
              <a:latin typeface="+mn-lt"/>
              <a:ea typeface="+mn-ea"/>
              <a:cs typeface="+mn-cs"/>
            </a:rPr>
            <a:t>yndighetsförteckning</a:t>
          </a:r>
          <a:r>
            <a:rPr lang="sv-SE" sz="1200" b="0" baseline="0">
              <a:solidFill>
                <a:schemeClr val="dk1"/>
              </a:solidFill>
              <a:effectLst/>
              <a:latin typeface="+mn-lt"/>
              <a:ea typeface="+mn-ea"/>
              <a:cs typeface="+mn-cs"/>
            </a:rPr>
            <a:t> </a:t>
          </a:r>
          <a:r>
            <a:rPr lang="sv-SE" sz="1200" b="0">
              <a:solidFill>
                <a:schemeClr val="dk1"/>
              </a:solidFill>
              <a:effectLst/>
              <a:latin typeface="+mn-lt"/>
              <a:ea typeface="+mn-ea"/>
              <a:cs typeface="+mn-cs"/>
            </a:rPr>
            <a:t>innehåller</a:t>
          </a:r>
          <a:r>
            <a:rPr lang="sv-SE" sz="1200" b="0" baseline="0">
              <a:solidFill>
                <a:schemeClr val="dk1"/>
              </a:solidFill>
              <a:effectLst/>
              <a:latin typeface="+mn-lt"/>
              <a:ea typeface="+mn-ea"/>
              <a:cs typeface="+mn-cs"/>
            </a:rPr>
            <a:t> 29</a:t>
          </a:r>
          <a:r>
            <a:rPr lang="sv-SE" sz="1200" b="0">
              <a:solidFill>
                <a:schemeClr val="dk1"/>
              </a:solidFill>
              <a:effectLst/>
              <a:latin typeface="+mn-lt"/>
              <a:ea typeface="+mn-ea"/>
              <a:cs typeface="+mn-cs"/>
            </a:rPr>
            <a:t> variabler. I nedanstående lista är variablerna beskrivna. </a:t>
          </a:r>
          <a:r>
            <a:rPr lang="sv-SE" sz="1200" b="0" baseline="0">
              <a:solidFill>
                <a:schemeClr val="dk1"/>
              </a:solidFill>
              <a:effectLst/>
              <a:latin typeface="+mn-lt"/>
              <a:ea typeface="+mn-ea"/>
              <a:cs typeface="+mn-cs"/>
            </a:rPr>
            <a:t> </a:t>
          </a:r>
          <a:r>
            <a:rPr lang="sv-SE" sz="1200" b="0">
              <a:solidFill>
                <a:schemeClr val="dk1"/>
              </a:solidFill>
              <a:effectLst/>
              <a:latin typeface="+mn-lt"/>
              <a:ea typeface="+mn-ea"/>
              <a:cs typeface="+mn-cs"/>
            </a:rPr>
            <a:t>I de fall det inte finns något värde i variabeln kopplat till observationen (blank) </a:t>
          </a:r>
          <a:r>
            <a:rPr lang="sv-SE" sz="1200" b="1">
              <a:solidFill>
                <a:schemeClr val="dk1"/>
              </a:solidFill>
              <a:effectLst/>
              <a:latin typeface="+mn-lt"/>
              <a:ea typeface="+mn-ea"/>
              <a:cs typeface="+mn-cs"/>
            </a:rPr>
            <a:t>innebär det att data saknas</a:t>
          </a:r>
          <a:r>
            <a:rPr lang="sv-SE" sz="1200" b="0">
              <a:solidFill>
                <a:schemeClr val="dk1"/>
              </a:solidFill>
              <a:effectLst/>
              <a:latin typeface="+mn-lt"/>
              <a:ea typeface="+mn-ea"/>
              <a:cs typeface="+mn-cs"/>
            </a:rPr>
            <a:t>.</a:t>
          </a:r>
          <a:endParaRPr lang="sv-SE" sz="1400" b="1">
            <a:solidFill>
              <a:schemeClr val="dk1"/>
            </a:solidFill>
            <a:effectLst/>
            <a:latin typeface="+mn-lt"/>
            <a:ea typeface="+mn-ea"/>
            <a:cs typeface="+mn-cs"/>
          </a:endParaRPr>
        </a:p>
        <a:p>
          <a:pPr marL="171450" lvl="0" indent="-171450">
            <a:buFont typeface="Arial" panose="020B0604020202020204" pitchFamily="34" charset="0"/>
            <a:buChar char="•"/>
          </a:pPr>
          <a:endParaRPr lang="sv-SE" sz="1100" b="1">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orgnr</a:t>
          </a:r>
          <a:r>
            <a:rPr lang="sv-SE" sz="1100">
              <a:solidFill>
                <a:schemeClr val="dk1"/>
              </a:solidFill>
              <a:effectLst/>
              <a:latin typeface="+mn-lt"/>
              <a:ea typeface="+mn-ea"/>
              <a:cs typeface="+mn-cs"/>
            </a:rPr>
            <a:t> – Myndighetens organisationsnummer</a:t>
          </a:r>
          <a:r>
            <a:rPr lang="sv-SE" sz="1100" u="sng">
              <a:solidFill>
                <a:schemeClr val="dk1"/>
              </a:solidFill>
              <a:effectLst/>
              <a:latin typeface="+mn-lt"/>
              <a:ea typeface="+mn-ea"/>
              <a:cs typeface="+mn-cs"/>
            </a:rPr>
            <a:t>. </a:t>
          </a:r>
          <a:r>
            <a:rPr lang="sv-SE" sz="1100">
              <a:solidFill>
                <a:schemeClr val="dk1"/>
              </a:solidFill>
              <a:effectLst/>
              <a:latin typeface="+mn-lt"/>
              <a:ea typeface="+mn-ea"/>
              <a:cs typeface="+mn-cs"/>
            </a:rPr>
            <a:t>Observera att vissa myndigheter saknar organisationsnummer och att Domstolsverkets organisationsnummer också omfattar alla de olika domstolarna.</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myndighet </a:t>
          </a:r>
          <a:r>
            <a:rPr lang="sv-SE" sz="1100">
              <a:solidFill>
                <a:schemeClr val="dk1"/>
              </a:solidFill>
              <a:effectLst/>
              <a:latin typeface="+mn-lt"/>
              <a:ea typeface="+mn-ea"/>
              <a:cs typeface="+mn-cs"/>
            </a:rPr>
            <a:t>– Myndighetens formella namn enligt intruktionen.</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alternativt_namn</a:t>
          </a:r>
          <a:r>
            <a:rPr lang="sv-SE" sz="1100">
              <a:solidFill>
                <a:schemeClr val="dk1"/>
              </a:solidFill>
              <a:effectLst/>
              <a:latin typeface="+mn-lt"/>
              <a:ea typeface="+mn-ea"/>
              <a:cs typeface="+mn-cs"/>
            </a:rPr>
            <a:t> – Alternativa (förkortade eller vardagliga) namn på myndigheten som till exempel CSN, Vinnova och Plikt- och prövningsverket.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antal</a:t>
          </a:r>
          <a:r>
            <a:rPr lang="sv-SE" sz="1100">
              <a:solidFill>
                <a:schemeClr val="dk1"/>
              </a:solidFill>
              <a:effectLst/>
              <a:latin typeface="+mn-lt"/>
              <a:ea typeface="+mn-ea"/>
              <a:cs typeface="+mn-cs"/>
            </a:rPr>
            <a:t> – Antal myndigheter. Vi samlar till exempel samtliga tingsrätter i en rad, och de har därför antalet 48 i denna variabel (från 2010 och framåt). Samma gäller även för övervakningsnämnderna som är 24 stycken.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en-US" sz="1100" b="1">
              <a:solidFill>
                <a:schemeClr val="dk1"/>
              </a:solidFill>
              <a:effectLst/>
              <a:latin typeface="+mn-lt"/>
              <a:ea typeface="+mn-ea"/>
              <a:cs typeface="+mn-cs"/>
            </a:rPr>
            <a:t>cofog</a:t>
          </a:r>
          <a:r>
            <a:rPr lang="en-US" sz="1100">
              <a:solidFill>
                <a:schemeClr val="dk1"/>
              </a:solidFill>
              <a:effectLst/>
              <a:latin typeface="+mn-lt"/>
              <a:ea typeface="+mn-ea"/>
              <a:cs typeface="+mn-cs"/>
            </a:rPr>
            <a:t> – OECD:s klassificering </a:t>
          </a:r>
          <a:r>
            <a:rPr lang="en-US" sz="1100" i="1">
              <a:solidFill>
                <a:schemeClr val="dk1"/>
              </a:solidFill>
              <a:effectLst/>
              <a:latin typeface="+mn-lt"/>
              <a:ea typeface="+mn-ea"/>
              <a:cs typeface="+mn-cs"/>
            </a:rPr>
            <a:t>Classification of the Functions of Government. </a:t>
          </a:r>
          <a:r>
            <a:rPr lang="en-US" sz="1100">
              <a:solidFill>
                <a:schemeClr val="dk1"/>
              </a:solidFill>
              <a:effectLst/>
              <a:latin typeface="+mn-lt"/>
              <a:ea typeface="+mn-ea"/>
              <a:cs typeface="+mn-cs"/>
            </a:rPr>
            <a:t>Fyra siffror i formatet xxxx.</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en-US" sz="1100" b="1">
              <a:solidFill>
                <a:schemeClr val="dk1"/>
              </a:solidFill>
              <a:effectLst/>
              <a:latin typeface="+mn-lt"/>
              <a:ea typeface="+mn-ea"/>
              <a:cs typeface="+mn-cs"/>
            </a:rPr>
            <a:t>cofog_10</a:t>
          </a:r>
          <a:r>
            <a:rPr lang="en-US" sz="1100">
              <a:solidFill>
                <a:schemeClr val="dk1"/>
              </a:solidFill>
              <a:effectLst/>
              <a:latin typeface="+mn-lt"/>
              <a:ea typeface="+mn-ea"/>
              <a:cs typeface="+mn-cs"/>
            </a:rPr>
            <a:t> - OECD:s klassificering </a:t>
          </a:r>
          <a:r>
            <a:rPr lang="en-US" sz="1100" i="1">
              <a:solidFill>
                <a:schemeClr val="dk1"/>
              </a:solidFill>
              <a:effectLst/>
              <a:latin typeface="+mn-lt"/>
              <a:ea typeface="+mn-ea"/>
              <a:cs typeface="+mn-cs"/>
            </a:rPr>
            <a:t>Classification of the Functions of Government.</a:t>
          </a:r>
          <a:r>
            <a:rPr lang="en-US" sz="1100">
              <a:solidFill>
                <a:schemeClr val="dk1"/>
              </a:solidFill>
              <a:effectLst/>
              <a:latin typeface="+mn-lt"/>
              <a:ea typeface="+mn-ea"/>
              <a:cs typeface="+mn-cs"/>
            </a:rPr>
            <a:t> </a:t>
          </a:r>
          <a:r>
            <a:rPr lang="sv-SE" sz="1100">
              <a:solidFill>
                <a:schemeClr val="dk1"/>
              </a:solidFill>
              <a:effectLst/>
              <a:latin typeface="+mn-lt"/>
              <a:ea typeface="+mn-ea"/>
              <a:cs typeface="+mn-cs"/>
            </a:rPr>
            <a:t>Variabeln har 10 kategorier som sträcker sig 1-10. Kategorierna är följande:</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685800" lvl="1" indent="-228600">
            <a:buFont typeface="+mj-lt"/>
            <a:buAutoNum type="arabicPeriod"/>
          </a:pPr>
          <a:r>
            <a:rPr lang="sv-SE" sz="1100">
              <a:solidFill>
                <a:schemeClr val="dk1"/>
              </a:solidFill>
              <a:effectLst/>
              <a:latin typeface="+mn-lt"/>
              <a:ea typeface="+mn-ea"/>
              <a:cs typeface="+mn-cs"/>
            </a:rPr>
            <a:t>Allmän offentlig förvaltning. </a:t>
          </a:r>
        </a:p>
        <a:p>
          <a:pPr marL="685800" lvl="1" indent="-228600">
            <a:buFont typeface="+mj-lt"/>
            <a:buAutoNum type="arabicPeriod"/>
          </a:pPr>
          <a:r>
            <a:rPr lang="sv-SE" sz="1100">
              <a:solidFill>
                <a:schemeClr val="dk1"/>
              </a:solidFill>
              <a:effectLst/>
              <a:latin typeface="+mn-lt"/>
              <a:ea typeface="+mn-ea"/>
              <a:cs typeface="+mn-cs"/>
            </a:rPr>
            <a:t>Försvar</a:t>
          </a:r>
        </a:p>
        <a:p>
          <a:pPr marL="685800" lvl="1" indent="-228600">
            <a:buFont typeface="+mj-lt"/>
            <a:buAutoNum type="arabicPeriod"/>
          </a:pPr>
          <a:r>
            <a:rPr lang="sv-SE" sz="1100">
              <a:solidFill>
                <a:schemeClr val="dk1"/>
              </a:solidFill>
              <a:effectLst/>
              <a:latin typeface="+mn-lt"/>
              <a:ea typeface="+mn-ea"/>
              <a:cs typeface="+mn-cs"/>
            </a:rPr>
            <a:t>Samhällsskydd och rättsskipning.</a:t>
          </a:r>
        </a:p>
        <a:p>
          <a:pPr marL="685800" lvl="1" indent="-228600">
            <a:buFont typeface="+mj-lt"/>
            <a:buAutoNum type="arabicPeriod"/>
          </a:pPr>
          <a:r>
            <a:rPr lang="sv-SE" sz="1100">
              <a:solidFill>
                <a:schemeClr val="dk1"/>
              </a:solidFill>
              <a:effectLst/>
              <a:latin typeface="+mn-lt"/>
              <a:ea typeface="+mn-ea"/>
              <a:cs typeface="+mn-cs"/>
            </a:rPr>
            <a:t>Näringslivsfrågor.</a:t>
          </a:r>
        </a:p>
        <a:p>
          <a:pPr marL="685800" lvl="1" indent="-228600">
            <a:buFont typeface="+mj-lt"/>
            <a:buAutoNum type="arabicPeriod"/>
          </a:pPr>
          <a:r>
            <a:rPr lang="sv-SE" sz="1100">
              <a:solidFill>
                <a:schemeClr val="dk1"/>
              </a:solidFill>
              <a:effectLst/>
              <a:latin typeface="+mn-lt"/>
              <a:ea typeface="+mn-ea"/>
              <a:cs typeface="+mn-cs"/>
            </a:rPr>
            <a:t>Miljöskydd.</a:t>
          </a:r>
        </a:p>
        <a:p>
          <a:pPr marL="685800" lvl="1" indent="-228600">
            <a:buFont typeface="+mj-lt"/>
            <a:buAutoNum type="arabicPeriod"/>
          </a:pPr>
          <a:r>
            <a:rPr lang="sv-SE" sz="1100">
              <a:solidFill>
                <a:schemeClr val="dk1"/>
              </a:solidFill>
              <a:effectLst/>
              <a:latin typeface="+mn-lt"/>
              <a:ea typeface="+mn-ea"/>
              <a:cs typeface="+mn-cs"/>
            </a:rPr>
            <a:t>Bostadsförsörjning och samhällsutveckling.</a:t>
          </a:r>
        </a:p>
        <a:p>
          <a:pPr marL="685800" lvl="1" indent="-228600">
            <a:buFont typeface="+mj-lt"/>
            <a:buAutoNum type="arabicPeriod"/>
          </a:pPr>
          <a:r>
            <a:rPr lang="sv-SE" sz="1100">
              <a:solidFill>
                <a:schemeClr val="dk1"/>
              </a:solidFill>
              <a:effectLst/>
              <a:latin typeface="+mn-lt"/>
              <a:ea typeface="+mn-ea"/>
              <a:cs typeface="+mn-cs"/>
            </a:rPr>
            <a:t>Hälso- och sjukvård.</a:t>
          </a:r>
        </a:p>
        <a:p>
          <a:pPr marL="685800" lvl="1" indent="-228600">
            <a:buFont typeface="+mj-lt"/>
            <a:buAutoNum type="arabicPeriod"/>
          </a:pPr>
          <a:r>
            <a:rPr lang="sv-SE" sz="1100">
              <a:solidFill>
                <a:schemeClr val="dk1"/>
              </a:solidFill>
              <a:effectLst/>
              <a:latin typeface="+mn-lt"/>
              <a:ea typeface="+mn-ea"/>
              <a:cs typeface="+mn-cs"/>
            </a:rPr>
            <a:t>Fritid, kultur och religion.</a:t>
          </a:r>
        </a:p>
        <a:p>
          <a:pPr marL="685800" lvl="1" indent="-228600">
            <a:buFont typeface="+mj-lt"/>
            <a:buAutoNum type="arabicPeriod"/>
          </a:pPr>
          <a:r>
            <a:rPr lang="sv-SE" sz="1100">
              <a:solidFill>
                <a:schemeClr val="dk1"/>
              </a:solidFill>
              <a:effectLst/>
              <a:latin typeface="+mn-lt"/>
              <a:ea typeface="+mn-ea"/>
              <a:cs typeface="+mn-cs"/>
            </a:rPr>
            <a:t>Utbildning.</a:t>
          </a:r>
        </a:p>
        <a:p>
          <a:pPr marL="685800" lvl="1" indent="-228600">
            <a:buFont typeface="+mj-lt"/>
            <a:buAutoNum type="arabicPeriod"/>
          </a:pPr>
          <a:r>
            <a:rPr lang="sv-SE" sz="1100">
              <a:solidFill>
                <a:schemeClr val="dk1"/>
              </a:solidFill>
              <a:effectLst/>
              <a:latin typeface="+mn-lt"/>
              <a:ea typeface="+mn-ea"/>
              <a:cs typeface="+mn-cs"/>
            </a:rPr>
            <a:t>Socialt skydd.</a:t>
          </a:r>
        </a:p>
        <a:p>
          <a:pPr marL="171450" lvl="0" indent="-171450">
            <a:buFont typeface="Courier New" panose="02070309020205020404" pitchFamily="49" charset="0"/>
            <a:buChar char="o"/>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år</a:t>
          </a:r>
          <a:r>
            <a:rPr lang="sv-SE" sz="1100">
              <a:solidFill>
                <a:schemeClr val="dk1"/>
              </a:solidFill>
              <a:effectLst/>
              <a:latin typeface="+mn-lt"/>
              <a:ea typeface="+mn-ea"/>
              <a:cs typeface="+mn-cs"/>
            </a:rPr>
            <a:t> – årsvariabel, 2007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värdmyndighet </a:t>
          </a:r>
          <a:r>
            <a:rPr lang="sv-SE" sz="1100">
              <a:solidFill>
                <a:schemeClr val="dk1"/>
              </a:solidFill>
              <a:effectLst/>
              <a:latin typeface="+mn-lt"/>
              <a:ea typeface="+mn-ea"/>
              <a:cs typeface="+mn-cs"/>
            </a:rPr>
            <a:t>– Namnet på myndighetens värdmyndighet, om myndigheten har en sådan.</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årsarbetskrafter*</a:t>
          </a:r>
          <a:r>
            <a:rPr lang="sv-SE" sz="1100">
              <a:solidFill>
                <a:schemeClr val="dk1"/>
              </a:solidFill>
              <a:effectLst/>
              <a:latin typeface="+mn-lt"/>
              <a:ea typeface="+mn-ea"/>
              <a:cs typeface="+mn-cs"/>
            </a:rPr>
            <a:t> – Antal årsarbetskrafter.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departement</a:t>
          </a:r>
          <a:r>
            <a:rPr lang="sv-SE" sz="1100">
              <a:solidFill>
                <a:schemeClr val="dk1"/>
              </a:solidFill>
              <a:effectLst/>
              <a:latin typeface="+mn-lt"/>
              <a:ea typeface="+mn-ea"/>
              <a:cs typeface="+mn-cs"/>
            </a:rPr>
            <a:t> – Vilken departement myndigheten låg under det givna året.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ledningsform**</a:t>
          </a:r>
          <a:r>
            <a:rPr lang="sv-SE" sz="1100">
              <a:solidFill>
                <a:schemeClr val="dk1"/>
              </a:solidFill>
              <a:effectLst/>
              <a:latin typeface="+mn-lt"/>
              <a:ea typeface="+mn-ea"/>
              <a:cs typeface="+mn-cs"/>
            </a:rPr>
            <a:t> – Myndighetens ledningsform som följer av instruktionen det givna året: enrådighet, nämnd, styrelse, styrelse med begränsat ansvar (SBA) och övrigt.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typ_av_myndighet </a:t>
          </a:r>
          <a:r>
            <a:rPr lang="sv-SE" sz="1100">
              <a:solidFill>
                <a:schemeClr val="dk1"/>
              </a:solidFill>
              <a:effectLst/>
              <a:latin typeface="+mn-lt"/>
              <a:ea typeface="+mn-ea"/>
              <a:cs typeface="+mn-cs"/>
            </a:rPr>
            <a:t>– Kategorisering av myndigheterna i följande kategorier: affärsverk, AP-fond, arbetsgivarkollegium, domstol, kommitté, lagråd, Regeringskansliet, universitet/högskola och övrigt.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insynsråd</a:t>
          </a:r>
          <a:r>
            <a:rPr lang="sv-SE" sz="1100">
              <a:solidFill>
                <a:schemeClr val="dk1"/>
              </a:solidFill>
              <a:effectLst/>
              <a:latin typeface="+mn-lt"/>
              <a:ea typeface="+mn-ea"/>
              <a:cs typeface="+mn-cs"/>
            </a:rPr>
            <a:t> – Om myndigheten har ett insynsråd eller inte. 1 = har insynsråd, 0 = har inget insynsråd. Observera att denna variabel finns med 2014 samt 2024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överdirektör –</a:t>
          </a:r>
          <a:r>
            <a:rPr lang="sv-SE" sz="1100">
              <a:solidFill>
                <a:schemeClr val="dk1"/>
              </a:solidFill>
              <a:effectLst/>
              <a:latin typeface="+mn-lt"/>
              <a:ea typeface="+mn-ea"/>
              <a:cs typeface="+mn-cs"/>
            </a:rPr>
            <a:t> Om myndigheten har en överdirektör eller inte. 1 = har en överdirektör, 0 = har ingen överdirektör. Här ingår inte exempelvis titlar som länsöverdirektör eller överantikvarie.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domstolar – </a:t>
          </a:r>
          <a:r>
            <a:rPr lang="sv-SE" sz="1100">
              <a:solidFill>
                <a:schemeClr val="dk1"/>
              </a:solidFill>
              <a:effectLst/>
              <a:latin typeface="+mn-lt"/>
              <a:ea typeface="+mn-ea"/>
              <a:cs typeface="+mn-cs"/>
            </a:rPr>
            <a:t>Om myndigheten är en domstol eller inte (obs. Domstolsverket, Rättshjälpsmyndigheten och Rättshjälpsnämnden ingår ej!). 1 = domstol, 0 = ingen domstol.</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universitet_och_högskola</a:t>
          </a:r>
          <a:r>
            <a:rPr lang="sv-SE" sz="1100">
              <a:solidFill>
                <a:schemeClr val="dk1"/>
              </a:solidFill>
              <a:effectLst/>
              <a:latin typeface="+mn-lt"/>
              <a:ea typeface="+mn-ea"/>
              <a:cs typeface="+mn-cs"/>
            </a:rPr>
            <a:t> – Om myndigheten är ett universitet/högskola eller inte. 1 = är ett universitet/högskola,</a:t>
          </a:r>
          <a:r>
            <a:rPr lang="sv-SE" sz="1100" baseline="0">
              <a:solidFill>
                <a:schemeClr val="dk1"/>
              </a:solidFill>
              <a:effectLst/>
              <a:latin typeface="+mn-lt"/>
              <a:ea typeface="+mn-ea"/>
              <a:cs typeface="+mn-cs"/>
            </a:rPr>
            <a:t> 0</a:t>
          </a:r>
          <a:r>
            <a:rPr lang="sv-SE" sz="1100">
              <a:solidFill>
                <a:schemeClr val="dk1"/>
              </a:solidFill>
              <a:effectLst/>
              <a:latin typeface="+mn-lt"/>
              <a:ea typeface="+mn-ea"/>
              <a:cs typeface="+mn-cs"/>
            </a:rPr>
            <a:t> = är inte ett universitet/högskola. Observera att denna variabel finns med från 2017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ap_fond </a:t>
          </a:r>
          <a:r>
            <a:rPr lang="sv-SE" sz="1100">
              <a:solidFill>
                <a:schemeClr val="dk1"/>
              </a:solidFill>
              <a:effectLst/>
              <a:latin typeface="+mn-lt"/>
              <a:ea typeface="+mn-ea"/>
              <a:cs typeface="+mn-cs"/>
            </a:rPr>
            <a:t>– Om myndigheten är en AP-fond eller inte. 1 = är en AP-fond, 0 = är inte en AP-fond.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affärsverk - </a:t>
          </a:r>
          <a:r>
            <a:rPr lang="sv-SE" sz="1100">
              <a:solidFill>
                <a:schemeClr val="dk1"/>
              </a:solidFill>
              <a:effectLst/>
              <a:latin typeface="+mn-lt"/>
              <a:ea typeface="+mn-ea"/>
              <a:cs typeface="+mn-cs"/>
            </a:rPr>
            <a:t>Om myndigheten är ett affärsverk eller inte. 1 = är ett affärsverk, 0 = är inte ett affärsverk.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myndighetschef *** – </a:t>
          </a:r>
          <a:r>
            <a:rPr lang="sv-SE" sz="1100">
              <a:solidFill>
                <a:schemeClr val="dk1"/>
              </a:solidFill>
              <a:effectLst/>
              <a:latin typeface="+mn-lt"/>
              <a:ea typeface="+mn-ea"/>
              <a:cs typeface="+mn-cs"/>
            </a:rPr>
            <a:t>Om myndigheten har en myndighetschef eller inte. 1 = myndigheten har en myndighetschef, 0 = har inte en myndighetschef. Observera att denna variabel finns med från år 2017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sro**** – </a:t>
          </a:r>
          <a:r>
            <a:rPr lang="sv-SE" sz="1100">
              <a:solidFill>
                <a:schemeClr val="dk1"/>
              </a:solidFill>
              <a:effectLst/>
              <a:latin typeface="+mn-lt"/>
              <a:ea typeface="+mn-ea"/>
              <a:cs typeface="+mn-cs"/>
            </a:rPr>
            <a:t>Om myndigheten ingår i Hermes. 1 = ingår i Hermes, 0 = ingår inte. Observera att denna variabel finns med från år 2017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agv – </a:t>
          </a:r>
          <a:r>
            <a:rPr lang="sv-SE" sz="1100">
              <a:solidFill>
                <a:schemeClr val="dk1"/>
              </a:solidFill>
              <a:effectLst/>
              <a:latin typeface="+mn-lt"/>
              <a:ea typeface="+mn-ea"/>
              <a:cs typeface="+mn-cs"/>
            </a:rPr>
            <a:t>Om myndigheten ingår i Arbetsgivarverkets register över sina medlemmar. 1 = ingår i Arbetsgivarverkets register,</a:t>
          </a:r>
          <a:r>
            <a:rPr lang="sv-SE" sz="1100" baseline="0">
              <a:solidFill>
                <a:schemeClr val="dk1"/>
              </a:solidFill>
              <a:effectLst/>
              <a:latin typeface="+mn-lt"/>
              <a:ea typeface="+mn-ea"/>
              <a:cs typeface="+mn-cs"/>
            </a:rPr>
            <a:t> 0</a:t>
          </a:r>
          <a:r>
            <a:rPr lang="sv-SE" sz="1100">
              <a:solidFill>
                <a:schemeClr val="dk1"/>
              </a:solidFill>
              <a:effectLst/>
              <a:latin typeface="+mn-lt"/>
              <a:ea typeface="+mn-ea"/>
              <a:cs typeface="+mn-cs"/>
            </a:rPr>
            <a:t> = ingår inte. Observera att denna variabel finns med från år 2017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dv – </a:t>
          </a:r>
          <a:r>
            <a:rPr lang="sv-SE" sz="1100">
              <a:solidFill>
                <a:schemeClr val="dk1"/>
              </a:solidFill>
              <a:effectLst/>
              <a:latin typeface="+mn-lt"/>
              <a:ea typeface="+mn-ea"/>
              <a:cs typeface="+mn-cs"/>
            </a:rPr>
            <a:t>Om myndigheten ingår i Domstolsverket (inkl. domstolar, rättshjälpsmyndigheten och rättshjälpsnämnden). 1 = ingår i Domstolsverket, 0 = ingår inte.</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sfs – </a:t>
          </a:r>
          <a:r>
            <a:rPr lang="sv-SE" sz="1100">
              <a:solidFill>
                <a:schemeClr val="dk1"/>
              </a:solidFill>
              <a:effectLst/>
              <a:latin typeface="+mn-lt"/>
              <a:ea typeface="+mn-ea"/>
              <a:cs typeface="+mn-cs"/>
            </a:rPr>
            <a:t>Myndighetens förordning med instruktion det givna året. Formatet är xxxx:xxxx. Om myndighetens uppgifter regleras i en lag så är formatet ”lag xxxx:xxxx”.</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senaste_sfs – </a:t>
          </a:r>
          <a:r>
            <a:rPr lang="sv-SE" sz="1100">
              <a:solidFill>
                <a:schemeClr val="dk1"/>
              </a:solidFill>
              <a:effectLst/>
              <a:latin typeface="+mn-lt"/>
              <a:ea typeface="+mn-ea"/>
              <a:cs typeface="+mn-cs"/>
            </a:rPr>
            <a:t>Myndighetens senaste instruktionsändring vid uppdateringstillfället. Formatet är ”SFS xxxx:xxxx”. Observera att denna variabel finns med från 2024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antal_beslutsfattande_organ – </a:t>
          </a:r>
          <a:r>
            <a:rPr lang="sv-SE" sz="1100">
              <a:solidFill>
                <a:schemeClr val="dk1"/>
              </a:solidFill>
              <a:effectLst/>
              <a:latin typeface="+mn-lt"/>
              <a:ea typeface="+mn-ea"/>
              <a:cs typeface="+mn-cs"/>
            </a:rPr>
            <a:t>Hur många beslutsfattande organ myndigheten har det givna året. Siffran visar antalet. Information om myndigheten har ett beslutsfattande organ hämtas från myndighetens instruktion. Observera att denna variabel finns med från 2024 och framåt. </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marL="171450" lvl="0" indent="-171450">
            <a:buFont typeface="Arial" panose="020B0604020202020204" pitchFamily="34" charset="0"/>
            <a:buChar char="•"/>
          </a:pPr>
          <a:r>
            <a:rPr lang="sv-SE" sz="1100" b="1">
              <a:solidFill>
                <a:schemeClr val="dk1"/>
              </a:solidFill>
              <a:effectLst/>
              <a:latin typeface="+mn-lt"/>
              <a:ea typeface="+mn-ea"/>
              <a:cs typeface="+mn-cs"/>
            </a:rPr>
            <a:t>antal_rådgivande_organ</a:t>
          </a:r>
          <a:r>
            <a:rPr lang="sv-SE" sz="1100">
              <a:solidFill>
                <a:schemeClr val="dk1"/>
              </a:solidFill>
              <a:effectLst/>
              <a:latin typeface="+mn-lt"/>
              <a:ea typeface="+mn-ea"/>
              <a:cs typeface="+mn-cs"/>
            </a:rPr>
            <a:t> – Hur många rådgivande organ myndigheten har det givna året. Siffran visar antalet. Information om myndigheten har ett rådgivande organ hämtas från myndighetens instruktion. Observera att denna variabel finns med från 2024 och framåt.</a:t>
          </a:r>
        </a:p>
        <a:p>
          <a:pPr marL="171450" lvl="0" indent="-171450">
            <a:buFont typeface="Arial" panose="020B0604020202020204" pitchFamily="34" charset="0"/>
            <a:buChar char="•"/>
          </a:pPr>
          <a:endParaRPr lang="sv-SE" sz="1100">
            <a:solidFill>
              <a:schemeClr val="dk1"/>
            </a:solidFill>
            <a:effectLst/>
            <a:latin typeface="+mn-lt"/>
            <a:ea typeface="+mn-ea"/>
            <a:cs typeface="+mn-cs"/>
          </a:endParaRPr>
        </a:p>
        <a:p>
          <a:pPr lvl="0"/>
          <a:r>
            <a:rPr lang="sv-SE" sz="1100" b="1">
              <a:solidFill>
                <a:schemeClr val="dk1"/>
              </a:solidFill>
              <a:effectLst/>
              <a:latin typeface="+mn-lt"/>
              <a:ea typeface="+mn-ea"/>
              <a:cs typeface="+mn-cs"/>
            </a:rPr>
            <a:t>start_år*****</a:t>
          </a:r>
          <a:r>
            <a:rPr lang="sv-SE" sz="1100">
              <a:solidFill>
                <a:schemeClr val="dk1"/>
              </a:solidFill>
              <a:effectLst/>
              <a:latin typeface="+mn-lt"/>
              <a:ea typeface="+mn-ea"/>
              <a:cs typeface="+mn-cs"/>
            </a:rPr>
            <a:t> – Första året som myndigheten är med i förteckningen. Från 2008 och framåt går det att likställa med det året myndigheten inrättades. </a:t>
          </a:r>
        </a:p>
        <a:p>
          <a:pPr lvl="0"/>
          <a:endParaRPr lang="sv-SE" sz="1100">
            <a:solidFill>
              <a:schemeClr val="dk1"/>
            </a:solidFill>
            <a:effectLst/>
            <a:latin typeface="+mn-lt"/>
            <a:ea typeface="+mn-ea"/>
            <a:cs typeface="+mn-cs"/>
          </a:endParaRPr>
        </a:p>
        <a:p>
          <a:pPr lvl="0"/>
          <a:r>
            <a:rPr lang="sv-SE" sz="1100" b="1">
              <a:solidFill>
                <a:schemeClr val="dk1"/>
              </a:solidFill>
              <a:effectLst/>
              <a:latin typeface="+mn-lt"/>
              <a:ea typeface="+mn-ea"/>
              <a:cs typeface="+mn-cs"/>
            </a:rPr>
            <a:t>end_år******</a:t>
          </a:r>
          <a:r>
            <a:rPr lang="sv-SE" sz="1100">
              <a:solidFill>
                <a:schemeClr val="dk1"/>
              </a:solidFill>
              <a:effectLst/>
              <a:latin typeface="+mn-lt"/>
              <a:ea typeface="+mn-ea"/>
              <a:cs typeface="+mn-cs"/>
            </a:rPr>
            <a:t> – Sista året som myndigheten är med i förteckningen. Det kan likställas med att det året som myndigheten lades ned. 9999 = myndigheten</a:t>
          </a:r>
          <a:r>
            <a:rPr lang="sv-SE" sz="1100" baseline="0">
              <a:solidFill>
                <a:schemeClr val="dk1"/>
              </a:solidFill>
              <a:effectLst/>
              <a:latin typeface="+mn-lt"/>
              <a:ea typeface="+mn-ea"/>
              <a:cs typeface="+mn-cs"/>
            </a:rPr>
            <a:t> har inte avecklats.</a:t>
          </a:r>
        </a:p>
        <a:p>
          <a:pPr lvl="0"/>
          <a:endParaRPr lang="sv-SE" sz="1100">
            <a:solidFill>
              <a:schemeClr val="dk1"/>
            </a:solidFill>
            <a:effectLst/>
            <a:latin typeface="+mn-lt"/>
            <a:ea typeface="+mn-ea"/>
            <a:cs typeface="+mn-cs"/>
          </a:endParaRPr>
        </a:p>
        <a:p>
          <a:pPr lvl="0"/>
          <a:r>
            <a:rPr lang="sv-SE" sz="1100" b="1">
              <a:solidFill>
                <a:schemeClr val="dk1"/>
              </a:solidFill>
              <a:effectLst/>
              <a:latin typeface="+mn-lt"/>
              <a:ea typeface="+mn-ea"/>
              <a:cs typeface="+mn-cs"/>
            </a:rPr>
            <a:t>span</a:t>
          </a:r>
          <a:r>
            <a:rPr lang="sv-SE" sz="1100">
              <a:solidFill>
                <a:schemeClr val="dk1"/>
              </a:solidFill>
              <a:effectLst/>
              <a:latin typeface="+mn-lt"/>
              <a:ea typeface="+mn-ea"/>
              <a:cs typeface="+mn-cs"/>
            </a:rPr>
            <a:t> – Spannet från start år till end år. Formatet är xxxx-xxxx</a:t>
          </a:r>
        </a:p>
        <a:p>
          <a:pPr lvl="0"/>
          <a:endParaRPr lang="sv-SE" sz="1100">
            <a:solidFill>
              <a:schemeClr val="dk1"/>
            </a:solidFill>
            <a:effectLst/>
            <a:latin typeface="+mn-lt"/>
            <a:ea typeface="+mn-ea"/>
            <a:cs typeface="+mn-cs"/>
          </a:endParaRPr>
        </a:p>
        <a:p>
          <a:pPr lvl="0"/>
          <a:endParaRPr lang="sv-SE" sz="1100">
            <a:solidFill>
              <a:schemeClr val="dk1"/>
            </a:solidFill>
            <a:effectLst/>
            <a:latin typeface="+mn-lt"/>
            <a:ea typeface="+mn-ea"/>
            <a:cs typeface="+mn-cs"/>
          </a:endParaRPr>
        </a:p>
        <a:p>
          <a:endParaRPr lang="sv-SE" sz="1100">
            <a:solidFill>
              <a:schemeClr val="dk1"/>
            </a:solidFill>
            <a:effectLst/>
            <a:latin typeface="+mn-lt"/>
            <a:ea typeface="+mn-ea"/>
            <a:cs typeface="+mn-cs"/>
          </a:endParaRPr>
        </a:p>
        <a:p>
          <a:r>
            <a:rPr lang="sv-SE" sz="1100" b="1"/>
            <a:t>*</a:t>
          </a:r>
          <a:r>
            <a:rPr lang="sv-SE" sz="1100" b="0" baseline="0"/>
            <a:t>Mellan åren 2008-2009 och 2012-2016 saknar vi uppgifter om årsarbetskrafter för ett större antal småmyndigheter. Dessa myndigheter har oftast en värdmyndighet som genomför administrativa uppgifter åt dem. </a:t>
          </a:r>
        </a:p>
        <a:p>
          <a:endParaRPr lang="sv-SE" sz="1100" b="1"/>
        </a:p>
        <a:p>
          <a:r>
            <a:rPr lang="sv-SE" sz="1100" b="1"/>
            <a:t>**</a:t>
          </a:r>
          <a:r>
            <a:rPr lang="sv-SE" sz="1100"/>
            <a:t> För kategorin övrigt gäller det Arbetsgivarverket, Bergsstaten, Ekonomiska rådet, Lagrådet, Regeringskansliet</a:t>
          </a:r>
          <a:r>
            <a:rPr lang="sv-SE" sz="1100" baseline="0"/>
            <a:t>, </a:t>
          </a:r>
          <a:r>
            <a:rPr lang="sv-SE" sz="1100"/>
            <a:t>Statens kriminaltekniska laboratorium, Styrelsen för Samefonden, Svenska FAO-kommittén, Svenska ILO-kommittén, Svenska Unescorådet, Valideringsdelegationen och Zornsamlingarna. Även domstolarna, universitet- och högskolorna samt AP-fonderna ingår i kategorin övrigt. Vissa domstolar leds av en administrativ chef, men av dessa domstolars instruktioner framgår det att myndighetsförordningens paragrafer om myndighetens ledning inte tillämpas på dem. Vidare kan även Universitet- och högskolor samt AP-fonderna ses som styrelsemyndigheter, men deras styrelser är av ett annat slag än det som beskrivs i myndighetsförordningen.</a:t>
          </a:r>
        </a:p>
        <a:p>
          <a:endParaRPr lang="sv-SE" sz="1100"/>
        </a:p>
        <a:p>
          <a:r>
            <a:rPr lang="sv-SE" sz="1100" b="1"/>
            <a:t>*** </a:t>
          </a:r>
          <a:r>
            <a:rPr lang="sv-SE" sz="1100">
              <a:solidFill>
                <a:schemeClr val="dk1"/>
              </a:solidFill>
              <a:effectLst/>
              <a:latin typeface="+mn-lt"/>
              <a:ea typeface="+mn-ea"/>
              <a:cs typeface="+mn-cs"/>
            </a:rPr>
            <a:t>Här ingår även de olika domstolarna som enligt sin instruktion har en administrativ chef. För att exkludera dessa</a:t>
          </a:r>
          <a:r>
            <a:rPr lang="sv-SE" sz="1100" baseline="0">
              <a:solidFill>
                <a:schemeClr val="dk1"/>
              </a:solidFill>
              <a:effectLst/>
              <a:latin typeface="+mn-lt"/>
              <a:ea typeface="+mn-ea"/>
              <a:cs typeface="+mn-cs"/>
            </a:rPr>
            <a:t> filtrera variablen "domstolar".</a:t>
          </a:r>
        </a:p>
        <a:p>
          <a:endParaRPr lang="sv-SE"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100" b="1" baseline="0">
              <a:solidFill>
                <a:schemeClr val="dk1"/>
              </a:solidFill>
              <a:effectLst/>
              <a:latin typeface="+mn-lt"/>
              <a:ea typeface="+mn-ea"/>
              <a:cs typeface="+mn-cs"/>
            </a:rPr>
            <a:t>****</a:t>
          </a:r>
          <a:r>
            <a:rPr lang="sv-SE" sz="1100">
              <a:solidFill>
                <a:schemeClr val="dk1"/>
              </a:solidFill>
              <a:effectLst/>
              <a:latin typeface="+mn-lt"/>
              <a:ea typeface="+mn-ea"/>
              <a:cs typeface="+mn-cs"/>
            </a:rPr>
            <a:t>Hermes är ett gemensamt informationssystem för Regeringskansliet och myndigheterna i den statliga redovisningsorganisationen. Ekonomistyrningsverket (ESV) ansvarar för systemet.</a:t>
          </a:r>
        </a:p>
        <a:p>
          <a:endParaRPr lang="sv-SE" sz="1100"/>
        </a:p>
        <a:p>
          <a:r>
            <a:rPr lang="sv-SE" sz="1100" b="1"/>
            <a:t>*****</a:t>
          </a:r>
          <a:r>
            <a:rPr lang="sv-SE" sz="1100"/>
            <a:t>Förutom Sveriges författarfond som vi började räkna 2017.</a:t>
          </a:r>
        </a:p>
        <a:p>
          <a:endParaRPr lang="sv-SE" sz="1100"/>
        </a:p>
        <a:p>
          <a:r>
            <a:rPr lang="sv-SE" sz="1100" b="1"/>
            <a:t>******</a:t>
          </a:r>
          <a:r>
            <a:rPr lang="sv-SE" sz="1100"/>
            <a:t>Förutom Zornsamlingarna, som fortfarande finns kvar men som vi inte räknar som en myndighet efter 2016.</a:t>
          </a:r>
        </a:p>
      </xdr:txBody>
    </xdr:sp>
    <xdr:clientData/>
  </xdr:twoCellAnchor>
  <xdr:twoCellAnchor>
    <xdr:from>
      <xdr:col>15</xdr:col>
      <xdr:colOff>600075</xdr:colOff>
      <xdr:row>68</xdr:row>
      <xdr:rowOff>9525</xdr:rowOff>
    </xdr:from>
    <xdr:to>
      <xdr:col>36</xdr:col>
      <xdr:colOff>371475</xdr:colOff>
      <xdr:row>68</xdr:row>
      <xdr:rowOff>9525</xdr:rowOff>
    </xdr:to>
    <xdr:cxnSp macro="">
      <xdr:nvCxnSpPr>
        <xdr:cNvPr id="5" name="Straight Connector 4">
          <a:extLst>
            <a:ext uri="{FF2B5EF4-FFF2-40B4-BE49-F238E27FC236}">
              <a16:creationId xmlns:a16="http://schemas.microsoft.com/office/drawing/2014/main" id="{3271AFF0-BF56-387A-8F6B-E95958B2EFAF}"/>
            </a:ext>
          </a:extLst>
        </xdr:cNvPr>
        <xdr:cNvCxnSpPr/>
      </xdr:nvCxnSpPr>
      <xdr:spPr>
        <a:xfrm>
          <a:off x="9744075" y="12963525"/>
          <a:ext cx="125730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561975</xdr:colOff>
      <xdr:row>0</xdr:row>
      <xdr:rowOff>9525</xdr:rowOff>
    </xdr:from>
    <xdr:to>
      <xdr:col>36</xdr:col>
      <xdr:colOff>419100</xdr:colOff>
      <xdr:row>2</xdr:row>
      <xdr:rowOff>28575</xdr:rowOff>
    </xdr:to>
    <xdr:sp macro="" textlink="">
      <xdr:nvSpPr>
        <xdr:cNvPr id="7" name="Rectangle 6">
          <a:extLst>
            <a:ext uri="{FF2B5EF4-FFF2-40B4-BE49-F238E27FC236}">
              <a16:creationId xmlns:a16="http://schemas.microsoft.com/office/drawing/2014/main" id="{69BB619C-9976-012D-8500-45DCC8BACCAB}"/>
            </a:ext>
          </a:extLst>
        </xdr:cNvPr>
        <xdr:cNvSpPr/>
      </xdr:nvSpPr>
      <xdr:spPr>
        <a:xfrm>
          <a:off x="9705975" y="9525"/>
          <a:ext cx="12658725" cy="400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sv-SE" sz="1600" b="1"/>
            <a:t>Variabler</a:t>
          </a:r>
          <a:r>
            <a:rPr lang="sv-SE" sz="1600" b="1" baseline="0"/>
            <a:t> i myndighetsförteckningen</a:t>
          </a:r>
          <a:endParaRPr lang="sv-SE" sz="1600" b="1"/>
        </a:p>
      </xdr:txBody>
    </xdr:sp>
    <xdr:clientData/>
  </xdr:twoCellAnchor>
  <xdr:twoCellAnchor>
    <xdr:from>
      <xdr:col>0</xdr:col>
      <xdr:colOff>28575</xdr:colOff>
      <xdr:row>0</xdr:row>
      <xdr:rowOff>19050</xdr:rowOff>
    </xdr:from>
    <xdr:to>
      <xdr:col>14</xdr:col>
      <xdr:colOff>390525</xdr:colOff>
      <xdr:row>2</xdr:row>
      <xdr:rowOff>95250</xdr:rowOff>
    </xdr:to>
    <xdr:sp macro="" textlink="">
      <xdr:nvSpPr>
        <xdr:cNvPr id="8" name="Rectangle 7">
          <a:extLst>
            <a:ext uri="{FF2B5EF4-FFF2-40B4-BE49-F238E27FC236}">
              <a16:creationId xmlns:a16="http://schemas.microsoft.com/office/drawing/2014/main" id="{20984A95-3D3A-14E0-8560-392A1E565839}"/>
            </a:ext>
          </a:extLst>
        </xdr:cNvPr>
        <xdr:cNvSpPr/>
      </xdr:nvSpPr>
      <xdr:spPr>
        <a:xfrm>
          <a:off x="28575" y="19050"/>
          <a:ext cx="8896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sv-SE" sz="1600" b="1"/>
            <a:t>Kort om myndighetsförteckningen</a:t>
          </a:r>
        </a:p>
      </xdr:txBody>
    </xdr:sp>
    <xdr:clientData/>
  </xdr:twoCellAnchor>
  <xdr:twoCellAnchor>
    <xdr:from>
      <xdr:col>0</xdr:col>
      <xdr:colOff>38100</xdr:colOff>
      <xdr:row>34</xdr:row>
      <xdr:rowOff>76200</xdr:rowOff>
    </xdr:from>
    <xdr:to>
      <xdr:col>14</xdr:col>
      <xdr:colOff>371475</xdr:colOff>
      <xdr:row>34</xdr:row>
      <xdr:rowOff>95250</xdr:rowOff>
    </xdr:to>
    <xdr:cxnSp macro="">
      <xdr:nvCxnSpPr>
        <xdr:cNvPr id="12" name="Straight Connector 11">
          <a:extLst>
            <a:ext uri="{FF2B5EF4-FFF2-40B4-BE49-F238E27FC236}">
              <a16:creationId xmlns:a16="http://schemas.microsoft.com/office/drawing/2014/main" id="{90BF1E4F-4B07-3375-196B-88A6936CD2D2}"/>
            </a:ext>
          </a:extLst>
        </xdr:cNvPr>
        <xdr:cNvCxnSpPr/>
      </xdr:nvCxnSpPr>
      <xdr:spPr>
        <a:xfrm>
          <a:off x="38100" y="6553200"/>
          <a:ext cx="8867775" cy="190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600075</xdr:colOff>
      <xdr:row>4</xdr:row>
      <xdr:rowOff>71437</xdr:rowOff>
    </xdr:from>
    <xdr:to>
      <xdr:col>15</xdr:col>
      <xdr:colOff>533401</xdr:colOff>
      <xdr:row>23</xdr:row>
      <xdr:rowOff>104775</xdr:rowOff>
    </xdr:to>
    <xdr:graphicFrame macro="">
      <xdr:nvGraphicFramePr>
        <xdr:cNvPr id="3" name="\Templates\A4_Statskontoret_Linje.crtx" descr="\Templates\A4_Statskontoret_Linje.crtx">
          <a:extLst>
            <a:ext uri="{FF2B5EF4-FFF2-40B4-BE49-F238E27FC236}">
              <a16:creationId xmlns:a16="http://schemas.microsoft.com/office/drawing/2014/main" id="{4FC9FBF8-9F5F-3DAB-372E-C0EA109F2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26</xdr:row>
      <xdr:rowOff>100011</xdr:rowOff>
    </xdr:from>
    <xdr:to>
      <xdr:col>15</xdr:col>
      <xdr:colOff>571500</xdr:colOff>
      <xdr:row>48</xdr:row>
      <xdr:rowOff>104774</xdr:rowOff>
    </xdr:to>
    <xdr:graphicFrame macro="">
      <xdr:nvGraphicFramePr>
        <xdr:cNvPr id="5" name="\Templates\A4_Statskontoret_Stapel.crtx" descr="\Templates\A4_Statskontoret_Stapel.crtx">
          <a:extLst>
            <a:ext uri="{FF2B5EF4-FFF2-40B4-BE49-F238E27FC236}">
              <a16:creationId xmlns:a16="http://schemas.microsoft.com/office/drawing/2014/main" id="{250FA5C4-4ABF-D159-6CCC-2B1ED6C04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45C450-768C-4D00-B6F1-929AA1802CE5}" name="Table3" displayName="Table3" ref="A4:B18" totalsRowShown="0">
  <autoFilter ref="A4:B18" xr:uid="{5645C450-768C-4D00-B6F1-929AA1802CE5}"/>
  <tableColumns count="2">
    <tableColumn id="1" xr3:uid="{4D28BFF1-37A2-4FDA-A14A-3C5194F01216}" name="Typ av summerad statistik"/>
    <tableColumn id="2" xr3:uid="{F4D3787F-DEBD-4214-A4C6-0131CED0A49B}" name="Anta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54780F-70A9-4913-AFFE-D051B67B3343}" name="Table4" displayName="Table4" ref="A21:B27" totalsRowCount="1">
  <autoFilter ref="A21:B26" xr:uid="{8454780F-70A9-4913-AFFE-D051B67B3343}"/>
  <tableColumns count="2">
    <tableColumn id="1" xr3:uid="{0B9854EE-98F4-416F-8F6C-69EEBF53D176}" name="Ledningsform" dataDxfId="44" totalsRowDxfId="43"/>
    <tableColumn id="2" xr3:uid="{ED25D0C1-692B-41AA-BC60-1AE672F990EE}" name="Antal" dataDxfId="42" totalsRowDxfId="4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7BE983-4A66-486F-AF8C-340AE4E84350}" name="Table5" displayName="Table5" ref="A29:B41" totalsRowCount="1" dataDxfId="40">
  <autoFilter ref="A29:B40" xr:uid="{257BE983-4A66-486F-AF8C-340AE4E84350}"/>
  <tableColumns count="2">
    <tableColumn id="1" xr3:uid="{65C436ED-7519-4BFF-88B8-832E7C04AE80}" name="Myndigheter per departement" dataDxfId="39" totalsRowDxfId="38"/>
    <tableColumn id="2" xr3:uid="{2E2066BB-33F6-47BB-BA75-26420CA6BBB4}" name="Antal" dataDxfId="37" totalsRowDxfId="3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C99E2B-3866-4A0B-826E-A7926583B0F8}" name="Table6" displayName="Table6" ref="A5:C25" totalsRowShown="0">
  <autoFilter ref="A5:C25" xr:uid="{EFC99E2B-3866-4A0B-826E-A7926583B0F8}"/>
  <tableColumns count="3">
    <tableColumn id="1" xr3:uid="{40621622-76D7-4590-8B33-186752312469}" name="År" dataDxfId="35"/>
    <tableColumn id="2" xr3:uid="{275BD3D0-6E46-4F88-B39B-031696E3BAD1}" name="Årsarbetskrafter" dataDxfId="34"/>
    <tableColumn id="3" xr3:uid="{A191D570-4637-440D-9DDA-85E17517E6DC}" name="Myndigheter"/>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525C04-0177-432D-902D-5C9CFEB774C2}" name="Table28" displayName="Table28" ref="A1:AC263" totalsRowShown="0" headerRowDxfId="33" dataDxfId="32">
  <autoFilter ref="A1:AC263" xr:uid="{61525C04-0177-432D-902D-5C9CFEB774C2}"/>
  <sortState xmlns:xlrd2="http://schemas.microsoft.com/office/spreadsheetml/2017/richdata2" ref="A2:AC263">
    <sortCondition ref="C1:C263"/>
  </sortState>
  <tableColumns count="29">
    <tableColumn id="1" xr3:uid="{3A1FF465-238B-46EF-8AA6-3E0191A3166B}" name="orgnr" dataDxfId="31"/>
    <tableColumn id="2" xr3:uid="{77C8D028-CE59-46D3-B18C-86DFE58A813E}" name="myndighet" dataDxfId="30"/>
    <tableColumn id="3" xr3:uid="{B84193F6-5A31-4C88-B4F7-6377F5E845F8}" name="alternativt_namn" dataDxfId="29"/>
    <tableColumn id="4" xr3:uid="{131D9E18-0DD9-4229-BC5E-76B959A327B8}" name="antal" dataDxfId="28"/>
    <tableColumn id="5" xr3:uid="{32AF5ACE-BC5F-496D-8108-BFD2A575CDD4}" name="cofog" dataDxfId="27"/>
    <tableColumn id="6" xr3:uid="{30F0AE9F-D93D-47EC-B077-6409F47A8490}" name="cofog_10" dataDxfId="26"/>
    <tableColumn id="7" xr3:uid="{7DDB20C0-F068-4A59-AE57-D345C27BDF1A}" name="år" dataDxfId="25"/>
    <tableColumn id="8" xr3:uid="{02597598-5B9E-4B1C-AB2F-658CA3CC72E8}" name="värdmyndighet" dataDxfId="24"/>
    <tableColumn id="9" xr3:uid="{CF9EE6B9-1A40-43FA-859B-1181145F52CF}" name="årsarbetskrafter" dataDxfId="23"/>
    <tableColumn id="10" xr3:uid="{FF08638F-FAD3-4DA9-A942-9C7B17B1DBD5}" name="departement" dataDxfId="22"/>
    <tableColumn id="11" xr3:uid="{A046E58B-2628-422D-ADF6-C75947F4FF03}" name="ledningsform" dataDxfId="21"/>
    <tableColumn id="12" xr3:uid="{16DF69FC-F6A8-4849-8078-8F765EC7393E}" name="typ_av_myndighet" dataDxfId="20"/>
    <tableColumn id="13" xr3:uid="{BD3FBD89-97CE-4870-845E-03C760B5BF86}" name="insynsråd" dataDxfId="19"/>
    <tableColumn id="14" xr3:uid="{D48E88F6-D998-4553-A513-36F0D897144E}" name="överdirektör" dataDxfId="18"/>
    <tableColumn id="15" xr3:uid="{13A319DD-87A2-46DA-9982-BAEF22FBF999}" name="domstolar" dataDxfId="17"/>
    <tableColumn id="16" xr3:uid="{F187D07E-25F9-437C-B6F0-B9366112166D}" name="universitet_och_högskola" dataDxfId="16"/>
    <tableColumn id="17" xr3:uid="{252D7A2E-E8AA-45B9-BED8-903AC661E7B0}" name="ap_fond" dataDxfId="15"/>
    <tableColumn id="18" xr3:uid="{4D71CAFB-923C-44A7-A13C-69527B6682D3}" name="affärsverk" dataDxfId="14"/>
    <tableColumn id="19" xr3:uid="{81205822-44BF-4CDC-A973-31A7F6A477AC}" name="myndighetschef" dataDxfId="13"/>
    <tableColumn id="20" xr3:uid="{0AC78436-E264-4209-9C41-5A85952C40DC}" name="sro" dataDxfId="12"/>
    <tableColumn id="21" xr3:uid="{73E3DC56-C223-4ACB-8096-5D18F9742A9F}" name="agv" dataDxfId="11"/>
    <tableColumn id="22" xr3:uid="{5F3CD006-4C04-4AA3-925B-3D630B02B982}" name="dv" dataDxfId="10"/>
    <tableColumn id="23" xr3:uid="{D0FF6736-FD0C-48D3-BCBF-EAD44EE613B5}" name="sfs" dataDxfId="9"/>
    <tableColumn id="24" xr3:uid="{521DB3C4-CEC8-4FF8-9CB3-ED85980BBBE6}" name="senaste_sfs" dataDxfId="8"/>
    <tableColumn id="25" xr3:uid="{C281FAE6-4F5F-44F8-8E4F-BFDD4195F60E}" name="antal_beslutsfattande_organ" dataDxfId="7"/>
    <tableColumn id="26" xr3:uid="{E76921AF-BD21-447C-B6D7-B29FB98138C1}" name="antal_rådgivande_organ" dataDxfId="6"/>
    <tableColumn id="27" xr3:uid="{BEE232DA-8DA3-43D6-B1B5-F89E2F3E9655}" name="start_år" dataDxfId="5"/>
    <tableColumn id="28" xr3:uid="{93B5B088-83D0-4EA7-B3E9-2BEBA2099530}" name="end_år" dataDxfId="4"/>
    <tableColumn id="29" xr3:uid="{F5D43D1A-7DC2-4FDF-9CD2-D34DCA426964}" name="span" dataDxfId="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B8A815-36BE-434B-BA35-40189526896D}" name="Table1" displayName="Table1" ref="A1:AC5509" totalsRowShown="0" headerRowDxfId="2">
  <autoFilter ref="A1:AC5509" xr:uid="{CEB8A815-36BE-434B-BA35-40189526896D}"/>
  <sortState xmlns:xlrd2="http://schemas.microsoft.com/office/spreadsheetml/2017/richdata2" ref="A2:AC5509">
    <sortCondition descending="1" ref="G1:G5509"/>
  </sortState>
  <tableColumns count="29">
    <tableColumn id="1" xr3:uid="{70F4884F-65EA-4865-A8F5-F174893FB4BB}" name="orgnr" dataDxfId="1"/>
    <tableColumn id="2" xr3:uid="{66948FF2-02BF-4248-B43D-5626C73412C1}" name="myndighet" dataDxfId="0"/>
    <tableColumn id="3" xr3:uid="{27EE1BE7-339D-4DA3-A0D6-0F643DBF0089}" name="alternativt_namn"/>
    <tableColumn id="4" xr3:uid="{22170B54-8A4A-4B36-9A95-EDA5B04A5103}" name="antal"/>
    <tableColumn id="5" xr3:uid="{3A96EE8A-8ED0-4DE9-A22B-1B42F6A23D03}" name="cofog"/>
    <tableColumn id="6" xr3:uid="{62177BA1-82E5-47B9-9373-D3E125E55503}" name="cofog_10"/>
    <tableColumn id="7" xr3:uid="{15A615AB-40DD-4F1C-84D0-8938004EB692}" name="år"/>
    <tableColumn id="8" xr3:uid="{6745540E-3243-438D-8F14-2AAFAB572A00}" name="värdmyndighet"/>
    <tableColumn id="9" xr3:uid="{BB6D3BAF-1C17-403F-84A9-87236FD6D920}" name="årsarbetskrafter"/>
    <tableColumn id="10" xr3:uid="{ED8D11AB-B94F-4E95-8C34-EE31CF849D47}" name="departement"/>
    <tableColumn id="11" xr3:uid="{9E8BADD0-21FE-4043-B316-1E003EF268D0}" name="ledningsform"/>
    <tableColumn id="12" xr3:uid="{6B1F972B-0C0E-414C-8A7D-284FD4E5774C}" name="typ_av_myndighet"/>
    <tableColumn id="13" xr3:uid="{409CFBD1-DE7F-4110-978D-69BE7AC9DB29}" name="insynsråd"/>
    <tableColumn id="14" xr3:uid="{10DD19AE-0561-4FDF-9A37-069BADDD3017}" name="överdirektör"/>
    <tableColumn id="15" xr3:uid="{DBABB3C0-EA58-47FB-B571-2F7884D182FE}" name="domstolar"/>
    <tableColumn id="16" xr3:uid="{F72C84B0-0BE3-4658-BC36-5DBF1D3D1BDA}" name="universitet_och_högskola"/>
    <tableColumn id="17" xr3:uid="{46CBB931-E21A-4ABB-95F8-FF7C17282F75}" name="ap_fond"/>
    <tableColumn id="18" xr3:uid="{6EA7C86A-7476-4112-9F6F-7C55137E23EB}" name="affärsverk"/>
    <tableColumn id="19" xr3:uid="{D5AEE244-8063-4577-9B94-CE4D774615E8}" name="myndighetschef"/>
    <tableColumn id="20" xr3:uid="{29F14BF7-3740-4DA8-85CB-90D6863934AA}" name="sro"/>
    <tableColumn id="21" xr3:uid="{11DC5AC7-E799-4F47-A4FB-C70E3F79CEDB}" name="agv"/>
    <tableColumn id="22" xr3:uid="{2010DF05-8ABC-429E-80BD-AC7B9D19B43F}" name="dv"/>
    <tableColumn id="23" xr3:uid="{4E5C9677-DB6E-40FA-B195-6354A1D56311}" name="sfs"/>
    <tableColumn id="24" xr3:uid="{0631267D-EAF1-432F-9183-0CC6D436AD4A}" name="senaste_sfs"/>
    <tableColumn id="25" xr3:uid="{DF0F8CA0-B9EF-418D-96C8-101ABDAE817A}" name="antal_beslutsfattande_organ"/>
    <tableColumn id="26" xr3:uid="{AEF8E0BE-A18A-4F5E-85C4-219B3C47FC21}" name="antal_rådgivande_organ"/>
    <tableColumn id="27" xr3:uid="{E92EC4DA-BDEB-4838-9FDF-40EF3C45784C}" name="start_år"/>
    <tableColumn id="28" xr3:uid="{2931F905-A0AC-4AB1-AE6B-5D97A35F1C5D}" name="end_år"/>
    <tableColumn id="29" xr3:uid="{A7FCBEC2-3760-422E-9D96-6C3DE165344F}" name="span"/>
  </tableColumns>
  <tableStyleInfo name="TableStyleLight9" showFirstColumn="0" showLastColumn="0" showRowStripes="1" showColumnStripes="0"/>
</table>
</file>

<file path=xl/theme/_rels/themeOverride2.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veriges Ingenjörer">
    <a:dk1>
      <a:sysClr val="windowText" lastClr="000000"/>
    </a:dk1>
    <a:lt1>
      <a:sysClr val="window" lastClr="FFFFFF"/>
    </a:lt1>
    <a:dk2>
      <a:srgbClr val="44546A"/>
    </a:dk2>
    <a:lt2>
      <a:srgbClr val="E7E6E6"/>
    </a:lt2>
    <a:accent1>
      <a:srgbClr val="1EB9DE"/>
    </a:accent1>
    <a:accent2>
      <a:srgbClr val="555555"/>
    </a:accent2>
    <a:accent3>
      <a:srgbClr val="EB308A"/>
    </a:accent3>
    <a:accent4>
      <a:srgbClr val="878787"/>
    </a:accent4>
    <a:accent5>
      <a:srgbClr val="FAA500"/>
    </a:accent5>
    <a:accent6>
      <a:srgbClr val="B4B4B4"/>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ngränsand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6.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A6ED-7997-47A7-A047-F7D6B2B4BDCC}">
  <sheetPr>
    <tabColor theme="4"/>
  </sheetPr>
  <dimension ref="A1"/>
  <sheetViews>
    <sheetView tabSelected="1" topLeftCell="P1" zoomScale="85" zoomScaleNormal="85" workbookViewId="0">
      <selection activeCell="AT14" sqref="AT14"/>
    </sheetView>
  </sheetViews>
  <sheetFormatPr defaultRowHeight="15" x14ac:dyDescent="0.2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5552-D0A1-4C04-8E6D-E7B4BA44392A}">
  <sheetPr>
    <tabColor theme="4" tint="0.79998168889431442"/>
  </sheetPr>
  <dimension ref="A1:B41"/>
  <sheetViews>
    <sheetView workbookViewId="0">
      <selection activeCell="A2" sqref="A2"/>
    </sheetView>
  </sheetViews>
  <sheetFormatPr defaultRowHeight="15" x14ac:dyDescent="0.25"/>
  <cols>
    <col min="1" max="1" width="61.7109375" customWidth="1"/>
  </cols>
  <sheetData>
    <row r="1" spans="1:2" ht="24" x14ac:dyDescent="0.4">
      <c r="A1" s="33" t="s">
        <v>2060</v>
      </c>
      <c r="B1" s="34"/>
    </row>
    <row r="4" spans="1:2" x14ac:dyDescent="0.25">
      <c r="A4" t="s">
        <v>1907</v>
      </c>
      <c r="B4" t="s">
        <v>1906</v>
      </c>
    </row>
    <row r="5" spans="1:2" x14ac:dyDescent="0.25">
      <c r="A5" t="s">
        <v>1913</v>
      </c>
      <c r="B5">
        <v>358</v>
      </c>
    </row>
    <row r="6" spans="1:2" x14ac:dyDescent="0.25">
      <c r="A6" t="s">
        <v>1914</v>
      </c>
      <c r="B6">
        <v>268036.08100000012</v>
      </c>
    </row>
    <row r="7" spans="1:2" x14ac:dyDescent="0.25">
      <c r="A7" t="s">
        <v>1915</v>
      </c>
      <c r="B7">
        <v>90</v>
      </c>
    </row>
    <row r="8" spans="1:2" x14ac:dyDescent="0.25">
      <c r="A8" t="s">
        <v>1916</v>
      </c>
      <c r="B8">
        <v>22</v>
      </c>
    </row>
    <row r="9" spans="1:2" x14ac:dyDescent="0.25">
      <c r="A9" t="s">
        <v>1917</v>
      </c>
      <c r="B9">
        <v>82</v>
      </c>
    </row>
    <row r="10" spans="1:2" x14ac:dyDescent="0.25">
      <c r="A10" t="s">
        <v>1918</v>
      </c>
      <c r="B10">
        <v>31</v>
      </c>
    </row>
    <row r="11" spans="1:2" x14ac:dyDescent="0.25">
      <c r="A11" t="s">
        <v>1919</v>
      </c>
      <c r="B11">
        <v>4</v>
      </c>
    </row>
    <row r="12" spans="1:2" x14ac:dyDescent="0.25">
      <c r="A12" t="s">
        <v>33</v>
      </c>
      <c r="B12">
        <v>3</v>
      </c>
    </row>
    <row r="13" spans="1:2" x14ac:dyDescent="0.25">
      <c r="A13" t="s">
        <v>1920</v>
      </c>
      <c r="B13">
        <v>202</v>
      </c>
    </row>
    <row r="14" spans="1:2" x14ac:dyDescent="0.25">
      <c r="A14" t="s">
        <v>1921</v>
      </c>
      <c r="B14">
        <v>205</v>
      </c>
    </row>
    <row r="15" spans="1:2" x14ac:dyDescent="0.25">
      <c r="A15" t="s">
        <v>1922</v>
      </c>
      <c r="B15">
        <v>208</v>
      </c>
    </row>
    <row r="16" spans="1:2" x14ac:dyDescent="0.25">
      <c r="A16" t="s">
        <v>1923</v>
      </c>
      <c r="B16">
        <v>83</v>
      </c>
    </row>
    <row r="17" spans="1:2" x14ac:dyDescent="0.25">
      <c r="A17" t="s">
        <v>1924</v>
      </c>
      <c r="B17">
        <v>100</v>
      </c>
    </row>
    <row r="18" spans="1:2" x14ac:dyDescent="0.25">
      <c r="A18" t="s">
        <v>2059</v>
      </c>
      <c r="B18">
        <v>77</v>
      </c>
    </row>
    <row r="21" spans="1:2" x14ac:dyDescent="0.25">
      <c r="A21" t="s">
        <v>1908</v>
      </c>
      <c r="B21" t="s">
        <v>1906</v>
      </c>
    </row>
    <row r="22" spans="1:2" x14ac:dyDescent="0.25">
      <c r="A22" s="31" t="s">
        <v>1912</v>
      </c>
      <c r="B22">
        <v>124</v>
      </c>
    </row>
    <row r="23" spans="1:2" x14ac:dyDescent="0.25">
      <c r="A23" s="31" t="s">
        <v>1909</v>
      </c>
      <c r="B23">
        <v>76</v>
      </c>
    </row>
    <row r="24" spans="1:2" x14ac:dyDescent="0.25">
      <c r="A24" s="31" t="s">
        <v>1911</v>
      </c>
      <c r="B24">
        <v>42</v>
      </c>
    </row>
    <row r="25" spans="1:2" x14ac:dyDescent="0.25">
      <c r="A25" s="31" t="s">
        <v>1910</v>
      </c>
      <c r="B25">
        <v>1</v>
      </c>
    </row>
    <row r="26" spans="1:2" x14ac:dyDescent="0.25">
      <c r="A26" s="31" t="s">
        <v>53</v>
      </c>
      <c r="B26">
        <v>115</v>
      </c>
    </row>
    <row r="27" spans="1:2" x14ac:dyDescent="0.25">
      <c r="A27" s="47"/>
      <c r="B27" s="48"/>
    </row>
    <row r="28" spans="1:2" x14ac:dyDescent="0.25">
      <c r="A28" s="32"/>
    </row>
    <row r="29" spans="1:2" x14ac:dyDescent="0.25">
      <c r="A29" t="s">
        <v>1925</v>
      </c>
      <c r="B29" t="s">
        <v>1906</v>
      </c>
    </row>
    <row r="30" spans="1:2" x14ac:dyDescent="0.25">
      <c r="A30" t="s">
        <v>59</v>
      </c>
      <c r="B30">
        <v>14</v>
      </c>
    </row>
    <row r="31" spans="1:2" x14ac:dyDescent="0.25">
      <c r="A31" t="s">
        <v>52</v>
      </c>
      <c r="B31">
        <v>57</v>
      </c>
    </row>
    <row r="32" spans="1:2" x14ac:dyDescent="0.25">
      <c r="A32" t="s">
        <v>147</v>
      </c>
      <c r="B32">
        <v>16</v>
      </c>
    </row>
    <row r="33" spans="1:2" x14ac:dyDescent="0.25">
      <c r="A33" t="s">
        <v>121</v>
      </c>
      <c r="B33">
        <v>125</v>
      </c>
    </row>
    <row r="34" spans="1:2" x14ac:dyDescent="0.25">
      <c r="A34" t="s">
        <v>1610</v>
      </c>
      <c r="B34">
        <v>25</v>
      </c>
    </row>
    <row r="35" spans="1:2" x14ac:dyDescent="0.25">
      <c r="A35" t="s">
        <v>81</v>
      </c>
      <c r="B35">
        <v>19</v>
      </c>
    </row>
    <row r="36" spans="1:2" x14ac:dyDescent="0.25">
      <c r="A36" t="s">
        <v>1608</v>
      </c>
      <c r="B36">
        <v>17</v>
      </c>
    </row>
    <row r="37" spans="1:2" x14ac:dyDescent="0.25">
      <c r="A37" t="s">
        <v>40</v>
      </c>
      <c r="B37">
        <v>21</v>
      </c>
    </row>
    <row r="38" spans="1:2" x14ac:dyDescent="0.25">
      <c r="A38" t="s">
        <v>268</v>
      </c>
      <c r="B38">
        <v>3</v>
      </c>
    </row>
    <row r="39" spans="1:2" x14ac:dyDescent="0.25">
      <c r="A39" t="s">
        <v>104</v>
      </c>
      <c r="B39">
        <v>52</v>
      </c>
    </row>
    <row r="40" spans="1:2" x14ac:dyDescent="0.25">
      <c r="A40" t="s">
        <v>176</v>
      </c>
      <c r="B40">
        <v>9</v>
      </c>
    </row>
    <row r="41" spans="1:2" x14ac:dyDescent="0.25">
      <c r="A41" s="45"/>
      <c r="B41" s="45"/>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C09A-C9CA-4397-8E48-EDD804F97176}">
  <sheetPr>
    <tabColor theme="4" tint="0.59999389629810485"/>
  </sheetPr>
  <dimension ref="A1:Y32"/>
  <sheetViews>
    <sheetView workbookViewId="0">
      <selection activeCell="A2" sqref="A2"/>
    </sheetView>
  </sheetViews>
  <sheetFormatPr defaultRowHeight="15" x14ac:dyDescent="0.25"/>
  <cols>
    <col min="2" max="2" width="17.28515625" customWidth="1"/>
    <col min="3" max="3" width="13.85546875" customWidth="1"/>
  </cols>
  <sheetData>
    <row r="1" spans="1:3" ht="26.25" x14ac:dyDescent="0.4">
      <c r="A1" s="35" t="s">
        <v>2061</v>
      </c>
      <c r="B1" s="34"/>
      <c r="C1" s="34"/>
    </row>
    <row r="5" spans="1:3" x14ac:dyDescent="0.25">
      <c r="A5" t="s">
        <v>1926</v>
      </c>
      <c r="B5" t="s">
        <v>1927</v>
      </c>
      <c r="C5" t="s">
        <v>1913</v>
      </c>
    </row>
    <row r="6" spans="1:3" x14ac:dyDescent="0.25">
      <c r="A6" s="31">
        <v>2007</v>
      </c>
      <c r="B6" s="12">
        <v>204704.15664710008</v>
      </c>
      <c r="C6">
        <v>497</v>
      </c>
    </row>
    <row r="7" spans="1:3" x14ac:dyDescent="0.25">
      <c r="A7" s="31">
        <v>2008</v>
      </c>
      <c r="B7" s="12">
        <v>200913.02821631936</v>
      </c>
      <c r="C7">
        <v>467</v>
      </c>
    </row>
    <row r="8" spans="1:3" x14ac:dyDescent="0.25">
      <c r="A8" s="31">
        <v>2009</v>
      </c>
      <c r="B8" s="12">
        <v>196841.03649203185</v>
      </c>
      <c r="C8">
        <v>429</v>
      </c>
    </row>
    <row r="9" spans="1:3" x14ac:dyDescent="0.25">
      <c r="A9" s="31">
        <v>2010</v>
      </c>
      <c r="B9" s="12">
        <v>198573.90019649206</v>
      </c>
      <c r="C9">
        <v>414</v>
      </c>
    </row>
    <row r="10" spans="1:3" x14ac:dyDescent="0.25">
      <c r="A10" s="31">
        <v>2011</v>
      </c>
      <c r="B10" s="12">
        <v>200502.58626151193</v>
      </c>
      <c r="C10">
        <v>401</v>
      </c>
    </row>
    <row r="11" spans="1:3" x14ac:dyDescent="0.25">
      <c r="A11" s="31">
        <v>2012</v>
      </c>
      <c r="B11" s="12">
        <v>204566.97476119999</v>
      </c>
      <c r="C11">
        <v>400</v>
      </c>
    </row>
    <row r="12" spans="1:3" x14ac:dyDescent="0.25">
      <c r="A12" s="31">
        <v>2013</v>
      </c>
      <c r="B12" s="12">
        <v>209417.44907594993</v>
      </c>
      <c r="C12">
        <v>397</v>
      </c>
    </row>
    <row r="13" spans="1:3" x14ac:dyDescent="0.25">
      <c r="A13" s="31">
        <v>2014</v>
      </c>
      <c r="B13" s="12">
        <v>212833.34622941763</v>
      </c>
      <c r="C13">
        <v>395</v>
      </c>
    </row>
    <row r="14" spans="1:3" x14ac:dyDescent="0.25">
      <c r="A14" s="31">
        <v>2015</v>
      </c>
      <c r="B14" s="12">
        <v>214383.7634113048</v>
      </c>
      <c r="C14">
        <v>374</v>
      </c>
    </row>
    <row r="15" spans="1:3" x14ac:dyDescent="0.25">
      <c r="A15" s="31">
        <v>2016</v>
      </c>
      <c r="B15" s="12">
        <v>218079.97558522728</v>
      </c>
      <c r="C15">
        <v>372</v>
      </c>
    </row>
    <row r="16" spans="1:3" x14ac:dyDescent="0.25">
      <c r="A16" s="31">
        <v>2017</v>
      </c>
      <c r="B16" s="12">
        <v>220064.3115395417</v>
      </c>
      <c r="C16">
        <v>368</v>
      </c>
    </row>
    <row r="17" spans="1:25" x14ac:dyDescent="0.25">
      <c r="A17" s="31">
        <v>2018</v>
      </c>
      <c r="B17" s="12">
        <v>222337.75686679996</v>
      </c>
      <c r="C17">
        <v>369</v>
      </c>
    </row>
    <row r="18" spans="1:25" x14ac:dyDescent="0.25">
      <c r="A18" s="31">
        <v>2019</v>
      </c>
      <c r="B18" s="12">
        <v>226081.07268964988</v>
      </c>
      <c r="C18">
        <v>364</v>
      </c>
    </row>
    <row r="19" spans="1:25" x14ac:dyDescent="0.25">
      <c r="A19" s="31">
        <v>2020</v>
      </c>
      <c r="B19" s="12">
        <v>228988.31942043643</v>
      </c>
      <c r="C19">
        <v>365</v>
      </c>
    </row>
    <row r="20" spans="1:25" x14ac:dyDescent="0.25">
      <c r="A20" s="31">
        <v>2021</v>
      </c>
      <c r="B20" s="12">
        <v>238152.20126099893</v>
      </c>
      <c r="C20">
        <v>365</v>
      </c>
    </row>
    <row r="21" spans="1:25" x14ac:dyDescent="0.25">
      <c r="A21" s="31">
        <v>2022</v>
      </c>
      <c r="B21" s="12">
        <v>240961.44482208494</v>
      </c>
      <c r="C21">
        <v>368</v>
      </c>
    </row>
    <row r="22" spans="1:25" x14ac:dyDescent="0.25">
      <c r="A22" s="31">
        <v>2023</v>
      </c>
      <c r="B22" s="12">
        <v>248621.43100000013</v>
      </c>
      <c r="C22">
        <v>367</v>
      </c>
    </row>
    <row r="23" spans="1:25" x14ac:dyDescent="0.25">
      <c r="A23" s="31">
        <v>2024</v>
      </c>
      <c r="B23" s="12">
        <v>256548.94350000005</v>
      </c>
      <c r="C23">
        <v>367</v>
      </c>
    </row>
    <row r="24" spans="1:25" x14ac:dyDescent="0.25">
      <c r="A24" s="31">
        <v>2025</v>
      </c>
      <c r="B24" s="12">
        <v>262487.86889561766</v>
      </c>
      <c r="C24">
        <v>367</v>
      </c>
    </row>
    <row r="25" spans="1:25" x14ac:dyDescent="0.25">
      <c r="A25" s="31">
        <v>2026</v>
      </c>
      <c r="B25" s="7">
        <v>268036.08100000012</v>
      </c>
      <c r="C25">
        <v>358</v>
      </c>
    </row>
    <row r="32" spans="1:25" x14ac:dyDescent="0.25">
      <c r="Y32" s="12"/>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737A-8484-470E-A88D-7EA0BA087D50}">
  <dimension ref="A1:AC4020"/>
  <sheetViews>
    <sheetView topLeftCell="M1" zoomScaleNormal="100" workbookViewId="0">
      <selection activeCell="AA27" sqref="W27:AA27"/>
    </sheetView>
  </sheetViews>
  <sheetFormatPr defaultColWidth="9.140625" defaultRowHeight="15" x14ac:dyDescent="0.25"/>
  <cols>
    <col min="1" max="1" width="12.28515625" customWidth="1"/>
    <col min="2" max="2" width="42.7109375" style="23" customWidth="1"/>
    <col min="3" max="3" width="30" customWidth="1"/>
    <col min="4" max="4" width="9.5703125" customWidth="1"/>
    <col min="5" max="5" width="8.28515625" style="31" customWidth="1"/>
    <col min="6" max="6" width="11.140625" customWidth="1"/>
    <col min="7" max="7" width="20.85546875" customWidth="1"/>
    <col min="8" max="8" width="16.85546875" customWidth="1"/>
    <col min="9" max="9" width="17.85546875" style="43" customWidth="1"/>
    <col min="10" max="10" width="34.5703125" style="43" customWidth="1"/>
    <col min="11" max="11" width="15.42578125" style="43" customWidth="1"/>
    <col min="12" max="12" width="18" style="43" customWidth="1"/>
    <col min="13" max="13" width="11.7109375" style="43" customWidth="1"/>
    <col min="14" max="14" width="11.140625" style="43" customWidth="1"/>
    <col min="15" max="15" width="13" customWidth="1"/>
    <col min="16" max="16" width="22" customWidth="1"/>
    <col min="17" max="17" width="11.85546875" customWidth="1"/>
    <col min="18" max="18" width="14.140625" customWidth="1"/>
    <col min="19" max="19" width="18" customWidth="1"/>
    <col min="20" max="20" width="12.140625" style="38" customWidth="1"/>
    <col min="21" max="21" width="10" customWidth="1"/>
    <col min="22" max="22" width="7.5703125" customWidth="1"/>
    <col min="23" max="23" width="13.28515625" style="42" customWidth="1"/>
    <col min="24" max="24" width="16.5703125" style="42" customWidth="1"/>
    <col min="25" max="25" width="32.5703125" customWidth="1"/>
    <col min="26" max="26" width="24.7109375" style="42" bestFit="1" customWidth="1"/>
    <col min="27" max="27" width="10" bestFit="1" customWidth="1"/>
    <col min="28" max="28" width="9.28515625" bestFit="1" customWidth="1"/>
    <col min="29" max="29" width="11.140625" customWidth="1"/>
    <col min="30" max="16384" width="9.140625" style="36"/>
  </cols>
  <sheetData>
    <row r="1" spans="1:29" x14ac:dyDescent="0.2">
      <c r="A1" s="9" t="s">
        <v>0</v>
      </c>
      <c r="B1" s="28" t="s">
        <v>1</v>
      </c>
      <c r="C1" s="9" t="s">
        <v>2</v>
      </c>
      <c r="D1" s="9" t="s">
        <v>3</v>
      </c>
      <c r="E1" s="58" t="s">
        <v>4</v>
      </c>
      <c r="F1" s="9" t="s">
        <v>5</v>
      </c>
      <c r="G1" s="9" t="s">
        <v>6</v>
      </c>
      <c r="H1" s="9" t="s">
        <v>7</v>
      </c>
      <c r="I1" s="53" t="s">
        <v>8</v>
      </c>
      <c r="J1" s="53" t="s">
        <v>9</v>
      </c>
      <c r="K1" s="53" t="s">
        <v>10</v>
      </c>
      <c r="L1" s="53" t="s">
        <v>11</v>
      </c>
      <c r="M1" s="53" t="s">
        <v>12</v>
      </c>
      <c r="N1" s="53" t="s">
        <v>13</v>
      </c>
      <c r="O1" s="9" t="s">
        <v>14</v>
      </c>
      <c r="P1" s="9" t="s">
        <v>15</v>
      </c>
      <c r="Q1" s="9" t="s">
        <v>16</v>
      </c>
      <c r="R1" s="9" t="s">
        <v>17</v>
      </c>
      <c r="S1" s="9" t="s">
        <v>18</v>
      </c>
      <c r="T1" s="37" t="s">
        <v>1928</v>
      </c>
      <c r="U1" s="9" t="s">
        <v>19</v>
      </c>
      <c r="V1" s="9" t="s">
        <v>20</v>
      </c>
      <c r="W1" s="41" t="s">
        <v>21</v>
      </c>
      <c r="X1" s="41" t="s">
        <v>22</v>
      </c>
      <c r="Y1" s="9" t="s">
        <v>23</v>
      </c>
      <c r="Z1" s="41" t="s">
        <v>24</v>
      </c>
      <c r="AA1" s="9" t="s">
        <v>25</v>
      </c>
      <c r="AB1" s="9" t="s">
        <v>26</v>
      </c>
      <c r="AC1" s="9" t="s">
        <v>27</v>
      </c>
    </row>
    <row r="2" spans="1:29" x14ac:dyDescent="0.25">
      <c r="A2" s="43" t="s">
        <v>92</v>
      </c>
      <c r="B2" s="39" t="s">
        <v>93</v>
      </c>
      <c r="C2" s="43" t="s">
        <v>94</v>
      </c>
      <c r="D2" s="43">
        <v>1</v>
      </c>
      <c r="E2" s="56" t="s">
        <v>95</v>
      </c>
      <c r="F2" s="43">
        <v>10</v>
      </c>
      <c r="G2" s="43">
        <v>2026</v>
      </c>
      <c r="H2" s="43"/>
      <c r="I2" s="43">
        <v>28.6</v>
      </c>
      <c r="J2" s="43" t="s">
        <v>40</v>
      </c>
      <c r="K2" s="43" t="s">
        <v>47</v>
      </c>
      <c r="M2" s="43">
        <v>0</v>
      </c>
      <c r="N2" s="43">
        <v>0</v>
      </c>
      <c r="O2" s="43">
        <v>0</v>
      </c>
      <c r="P2" s="43">
        <v>0</v>
      </c>
      <c r="Q2" s="43">
        <v>0</v>
      </c>
      <c r="R2" s="43">
        <v>0</v>
      </c>
      <c r="S2" s="43">
        <v>1</v>
      </c>
      <c r="T2" s="43">
        <v>1</v>
      </c>
      <c r="U2" s="43">
        <v>1</v>
      </c>
      <c r="V2" s="43">
        <v>0</v>
      </c>
      <c r="W2" s="43" t="s">
        <v>96</v>
      </c>
      <c r="X2" s="43" t="s">
        <v>1632</v>
      </c>
      <c r="Y2" s="43">
        <v>0</v>
      </c>
      <c r="Z2" s="43">
        <v>0</v>
      </c>
      <c r="AA2" s="43">
        <v>2007</v>
      </c>
      <c r="AB2" s="43">
        <v>9999</v>
      </c>
      <c r="AC2" s="43" t="s">
        <v>35</v>
      </c>
    </row>
    <row r="3" spans="1:29" x14ac:dyDescent="0.25">
      <c r="A3" s="43" t="s">
        <v>117</v>
      </c>
      <c r="B3" s="39" t="s">
        <v>118</v>
      </c>
      <c r="C3" s="43" t="s">
        <v>119</v>
      </c>
      <c r="D3" s="43">
        <v>1</v>
      </c>
      <c r="E3" s="56" t="s">
        <v>120</v>
      </c>
      <c r="F3" s="43">
        <v>3</v>
      </c>
      <c r="G3" s="43">
        <v>2026</v>
      </c>
      <c r="H3" s="43"/>
      <c r="I3" s="43">
        <v>192.5</v>
      </c>
      <c r="J3" s="43" t="s">
        <v>121</v>
      </c>
      <c r="K3" s="43" t="s">
        <v>47</v>
      </c>
      <c r="M3" s="43">
        <v>1</v>
      </c>
      <c r="N3" s="43">
        <v>0</v>
      </c>
      <c r="O3" s="43">
        <v>0</v>
      </c>
      <c r="P3" s="43">
        <v>0</v>
      </c>
      <c r="Q3" s="43">
        <v>0</v>
      </c>
      <c r="R3" s="43">
        <v>0</v>
      </c>
      <c r="S3" s="43">
        <v>1</v>
      </c>
      <c r="T3" s="43">
        <v>1</v>
      </c>
      <c r="U3" s="43">
        <v>1</v>
      </c>
      <c r="V3" s="43">
        <v>0</v>
      </c>
      <c r="W3" s="43" t="s">
        <v>1521</v>
      </c>
      <c r="X3" s="43" t="s">
        <v>1853</v>
      </c>
      <c r="Y3" s="43">
        <v>0</v>
      </c>
      <c r="Z3" s="43">
        <v>1</v>
      </c>
      <c r="AA3" s="43">
        <v>2007</v>
      </c>
      <c r="AB3" s="43">
        <v>9999</v>
      </c>
      <c r="AC3" s="43" t="s">
        <v>35</v>
      </c>
    </row>
    <row r="4" spans="1:29" x14ac:dyDescent="0.25">
      <c r="A4" s="43" t="s">
        <v>126</v>
      </c>
      <c r="B4" s="39" t="s">
        <v>1573</v>
      </c>
      <c r="C4" s="43" t="s">
        <v>1607</v>
      </c>
      <c r="D4" s="43">
        <v>1</v>
      </c>
      <c r="E4" s="56" t="s">
        <v>128</v>
      </c>
      <c r="F4" s="43">
        <v>9</v>
      </c>
      <c r="G4" s="43">
        <v>2026</v>
      </c>
      <c r="H4" s="43" t="s">
        <v>129</v>
      </c>
      <c r="I4" s="43">
        <v>3</v>
      </c>
      <c r="J4" s="43" t="s">
        <v>104</v>
      </c>
      <c r="K4" s="43" t="s">
        <v>41</v>
      </c>
      <c r="M4" s="43">
        <v>0</v>
      </c>
      <c r="N4" s="43">
        <v>0</v>
      </c>
      <c r="O4" s="43">
        <v>0</v>
      </c>
      <c r="P4" s="43">
        <v>0</v>
      </c>
      <c r="Q4" s="43">
        <v>0</v>
      </c>
      <c r="R4" s="43">
        <v>0</v>
      </c>
      <c r="S4" s="43">
        <v>0</v>
      </c>
      <c r="T4" s="43">
        <v>0</v>
      </c>
      <c r="U4" s="43">
        <v>0</v>
      </c>
      <c r="V4" s="43">
        <v>0</v>
      </c>
      <c r="W4" s="43" t="s">
        <v>1043</v>
      </c>
      <c r="X4" s="43" t="s">
        <v>1843</v>
      </c>
      <c r="Y4" s="43">
        <v>0</v>
      </c>
      <c r="Z4" s="43">
        <v>0</v>
      </c>
      <c r="AA4" s="43">
        <v>2007</v>
      </c>
      <c r="AB4" s="43">
        <v>9999</v>
      </c>
      <c r="AC4" s="43" t="s">
        <v>35</v>
      </c>
    </row>
    <row r="5" spans="1:29" x14ac:dyDescent="0.25">
      <c r="A5" s="43" t="s">
        <v>131</v>
      </c>
      <c r="B5" s="39" t="s">
        <v>132</v>
      </c>
      <c r="C5" s="43" t="s">
        <v>133</v>
      </c>
      <c r="D5" s="43">
        <v>1</v>
      </c>
      <c r="E5" s="56" t="s">
        <v>134</v>
      </c>
      <c r="F5" s="43">
        <v>9</v>
      </c>
      <c r="G5" s="43">
        <v>2026</v>
      </c>
      <c r="H5" s="43"/>
      <c r="I5" s="43">
        <v>1085.7</v>
      </c>
      <c r="J5" s="43" t="s">
        <v>104</v>
      </c>
      <c r="K5" s="43" t="s">
        <v>47</v>
      </c>
      <c r="M5" s="43">
        <v>1</v>
      </c>
      <c r="N5" s="43">
        <v>0</v>
      </c>
      <c r="O5" s="43">
        <v>0</v>
      </c>
      <c r="P5" s="43">
        <v>0</v>
      </c>
      <c r="Q5" s="43">
        <v>0</v>
      </c>
      <c r="R5" s="43">
        <v>0</v>
      </c>
      <c r="S5" s="43">
        <v>1</v>
      </c>
      <c r="T5" s="43">
        <v>1</v>
      </c>
      <c r="U5" s="43">
        <v>1</v>
      </c>
      <c r="V5" s="43">
        <v>0</v>
      </c>
      <c r="W5" s="43" t="s">
        <v>1522</v>
      </c>
      <c r="X5" s="43" t="s">
        <v>1945</v>
      </c>
      <c r="Y5" s="43">
        <v>0</v>
      </c>
      <c r="Z5" s="43">
        <v>0</v>
      </c>
      <c r="AA5" s="43">
        <v>2007</v>
      </c>
      <c r="AB5" s="43">
        <v>9999</v>
      </c>
      <c r="AC5" s="43" t="s">
        <v>35</v>
      </c>
    </row>
    <row r="6" spans="1:29" x14ac:dyDescent="0.25">
      <c r="A6" s="43" t="s">
        <v>1565</v>
      </c>
      <c r="B6" s="39" t="s">
        <v>1566</v>
      </c>
      <c r="C6" s="43" t="s">
        <v>1567</v>
      </c>
      <c r="D6" s="43">
        <v>1</v>
      </c>
      <c r="E6" s="56"/>
      <c r="F6" s="43">
        <v>1</v>
      </c>
      <c r="G6" s="43">
        <v>2026</v>
      </c>
      <c r="H6" s="43"/>
      <c r="I6" s="43">
        <v>183.6</v>
      </c>
      <c r="J6" s="43" t="s">
        <v>52</v>
      </c>
      <c r="K6" s="43" t="s">
        <v>47</v>
      </c>
      <c r="M6" s="43">
        <v>0</v>
      </c>
      <c r="N6" s="43">
        <v>0</v>
      </c>
      <c r="O6" s="43">
        <v>0</v>
      </c>
      <c r="P6" s="43">
        <v>0</v>
      </c>
      <c r="Q6" s="43">
        <v>0</v>
      </c>
      <c r="R6" s="43">
        <v>0</v>
      </c>
      <c r="S6" s="43">
        <v>1</v>
      </c>
      <c r="T6" s="43">
        <v>1</v>
      </c>
      <c r="U6" s="43">
        <v>1</v>
      </c>
      <c r="V6" s="43">
        <v>0</v>
      </c>
      <c r="W6" s="43" t="s">
        <v>1568</v>
      </c>
      <c r="X6" s="43" t="s">
        <v>1876</v>
      </c>
      <c r="Y6" s="43">
        <v>0</v>
      </c>
      <c r="Z6" s="43">
        <v>1</v>
      </c>
      <c r="AA6" s="43">
        <v>2019</v>
      </c>
      <c r="AB6" s="43">
        <v>9999</v>
      </c>
      <c r="AC6" s="43" t="s">
        <v>1560</v>
      </c>
    </row>
    <row r="7" spans="1:29" x14ac:dyDescent="0.25">
      <c r="A7" s="43" t="s">
        <v>353</v>
      </c>
      <c r="B7" s="39" t="s">
        <v>1233</v>
      </c>
      <c r="C7" s="43" t="s">
        <v>1234</v>
      </c>
      <c r="D7" s="43">
        <v>1</v>
      </c>
      <c r="E7" s="56" t="s">
        <v>58</v>
      </c>
      <c r="F7" s="43">
        <v>4</v>
      </c>
      <c r="G7" s="43">
        <v>2026</v>
      </c>
      <c r="H7" s="43"/>
      <c r="I7" s="43">
        <v>105.5</v>
      </c>
      <c r="J7" s="43" t="s">
        <v>59</v>
      </c>
      <c r="K7" s="43" t="s">
        <v>47</v>
      </c>
      <c r="M7" s="43">
        <v>0</v>
      </c>
      <c r="N7" s="43">
        <v>0</v>
      </c>
      <c r="O7" s="43">
        <v>0</v>
      </c>
      <c r="P7" s="43">
        <v>0</v>
      </c>
      <c r="Q7" s="43">
        <v>0</v>
      </c>
      <c r="R7" s="43">
        <v>0</v>
      </c>
      <c r="S7" s="43">
        <v>1</v>
      </c>
      <c r="T7" s="43">
        <v>1</v>
      </c>
      <c r="U7" s="43">
        <v>1</v>
      </c>
      <c r="V7" s="43">
        <v>0</v>
      </c>
      <c r="W7" s="43" t="s">
        <v>1235</v>
      </c>
      <c r="X7" s="43" t="s">
        <v>1642</v>
      </c>
      <c r="Y7" s="43">
        <v>0</v>
      </c>
      <c r="Z7" s="43">
        <v>1</v>
      </c>
      <c r="AA7" s="43">
        <v>2007</v>
      </c>
      <c r="AB7" s="43">
        <v>9999</v>
      </c>
      <c r="AC7" s="43" t="s">
        <v>35</v>
      </c>
    </row>
    <row r="8" spans="1:29" x14ac:dyDescent="0.25">
      <c r="A8" s="43" t="s">
        <v>159</v>
      </c>
      <c r="B8" s="39" t="s">
        <v>160</v>
      </c>
      <c r="C8" s="43" t="s">
        <v>2054</v>
      </c>
      <c r="D8" s="43">
        <v>1</v>
      </c>
      <c r="E8" s="56" t="s">
        <v>155</v>
      </c>
      <c r="F8" s="43">
        <v>3</v>
      </c>
      <c r="G8" s="43">
        <v>2026</v>
      </c>
      <c r="H8" s="43"/>
      <c r="I8" s="43">
        <v>489.6</v>
      </c>
      <c r="J8" s="43" t="s">
        <v>121</v>
      </c>
      <c r="K8" s="43" t="s">
        <v>47</v>
      </c>
      <c r="M8" s="43">
        <v>1</v>
      </c>
      <c r="N8" s="43">
        <v>0</v>
      </c>
      <c r="O8" s="43">
        <v>0</v>
      </c>
      <c r="P8" s="43">
        <v>0</v>
      </c>
      <c r="Q8" s="43">
        <v>0</v>
      </c>
      <c r="R8" s="43">
        <v>0</v>
      </c>
      <c r="S8" s="43">
        <v>1</v>
      </c>
      <c r="T8" s="43">
        <v>1</v>
      </c>
      <c r="U8" s="43">
        <v>1</v>
      </c>
      <c r="V8" s="43">
        <v>0</v>
      </c>
      <c r="W8" s="43" t="s">
        <v>1515</v>
      </c>
      <c r="X8" s="43" t="s">
        <v>1947</v>
      </c>
      <c r="Y8" s="43">
        <v>0</v>
      </c>
      <c r="Z8" s="43">
        <v>0</v>
      </c>
      <c r="AA8" s="43">
        <v>2007</v>
      </c>
      <c r="AB8" s="43">
        <v>9999</v>
      </c>
      <c r="AC8" s="43" t="s">
        <v>35</v>
      </c>
    </row>
    <row r="9" spans="1:29" x14ac:dyDescent="0.25">
      <c r="A9" s="43" t="s">
        <v>173</v>
      </c>
      <c r="B9" s="39" t="s">
        <v>174</v>
      </c>
      <c r="C9" s="43" t="s">
        <v>175</v>
      </c>
      <c r="D9" s="43">
        <v>1</v>
      </c>
      <c r="E9" s="56" t="s">
        <v>45</v>
      </c>
      <c r="F9" s="43">
        <v>4</v>
      </c>
      <c r="G9" s="43">
        <v>2026</v>
      </c>
      <c r="H9" s="43"/>
      <c r="I9" s="43">
        <v>165.2</v>
      </c>
      <c r="J9" s="43" t="s">
        <v>176</v>
      </c>
      <c r="K9" s="43" t="s">
        <v>32</v>
      </c>
      <c r="M9" s="43">
        <v>0</v>
      </c>
      <c r="N9" s="43">
        <v>0</v>
      </c>
      <c r="O9" s="43">
        <v>0</v>
      </c>
      <c r="P9" s="43">
        <v>0</v>
      </c>
      <c r="Q9" s="43">
        <v>0</v>
      </c>
      <c r="R9" s="43">
        <v>0</v>
      </c>
      <c r="S9" s="43">
        <v>1</v>
      </c>
      <c r="T9" s="43">
        <v>1</v>
      </c>
      <c r="U9" s="43">
        <v>1</v>
      </c>
      <c r="V9" s="43">
        <v>0</v>
      </c>
      <c r="W9" s="43" t="s">
        <v>1055</v>
      </c>
      <c r="X9" s="43" t="s">
        <v>1949</v>
      </c>
      <c r="Y9" s="43">
        <v>0</v>
      </c>
      <c r="Z9" s="43">
        <v>0</v>
      </c>
      <c r="AA9" s="43">
        <v>2007</v>
      </c>
      <c r="AB9" s="43">
        <v>9999</v>
      </c>
      <c r="AC9" s="43" t="s">
        <v>35</v>
      </c>
    </row>
    <row r="10" spans="1:29" x14ac:dyDescent="0.25">
      <c r="A10" s="43" t="s">
        <v>768</v>
      </c>
      <c r="B10" s="39" t="s">
        <v>769</v>
      </c>
      <c r="C10" s="43" t="s">
        <v>770</v>
      </c>
      <c r="D10" s="43">
        <v>1</v>
      </c>
      <c r="E10" s="56" t="s">
        <v>30</v>
      </c>
      <c r="F10" s="43">
        <v>4</v>
      </c>
      <c r="G10" s="43">
        <v>2026</v>
      </c>
      <c r="H10" s="43"/>
      <c r="I10" s="43">
        <v>515.4</v>
      </c>
      <c r="J10" s="43" t="s">
        <v>1610</v>
      </c>
      <c r="K10" s="43" t="s">
        <v>47</v>
      </c>
      <c r="M10" s="43">
        <v>1</v>
      </c>
      <c r="N10" s="43">
        <v>0</v>
      </c>
      <c r="O10" s="43">
        <v>0</v>
      </c>
      <c r="P10" s="43">
        <v>0</v>
      </c>
      <c r="Q10" s="43">
        <v>0</v>
      </c>
      <c r="R10" s="43">
        <v>0</v>
      </c>
      <c r="S10" s="43">
        <v>1</v>
      </c>
      <c r="T10" s="43">
        <v>1</v>
      </c>
      <c r="U10" s="43">
        <v>1</v>
      </c>
      <c r="V10" s="43">
        <v>0</v>
      </c>
      <c r="W10" s="43" t="s">
        <v>2025</v>
      </c>
      <c r="X10" s="43" t="s">
        <v>2024</v>
      </c>
      <c r="Y10" s="43">
        <v>2</v>
      </c>
      <c r="Z10" s="43">
        <v>0</v>
      </c>
      <c r="AA10" s="43">
        <v>2007</v>
      </c>
      <c r="AB10" s="43">
        <v>9999</v>
      </c>
      <c r="AC10" s="43" t="s">
        <v>35</v>
      </c>
    </row>
    <row r="11" spans="1:29" x14ac:dyDescent="0.25">
      <c r="A11" s="43" t="s">
        <v>194</v>
      </c>
      <c r="B11" s="39" t="s">
        <v>195</v>
      </c>
      <c r="C11" s="43" t="s">
        <v>196</v>
      </c>
      <c r="D11" s="43">
        <v>1</v>
      </c>
      <c r="E11" s="56" t="s">
        <v>197</v>
      </c>
      <c r="F11" s="43">
        <v>2</v>
      </c>
      <c r="G11" s="43">
        <v>2026</v>
      </c>
      <c r="H11" s="43"/>
      <c r="I11" s="43">
        <v>178</v>
      </c>
      <c r="J11" s="43" t="s">
        <v>176</v>
      </c>
      <c r="K11" s="43" t="s">
        <v>47</v>
      </c>
      <c r="M11" s="43">
        <v>1</v>
      </c>
      <c r="N11" s="43">
        <v>0</v>
      </c>
      <c r="O11" s="43">
        <v>0</v>
      </c>
      <c r="P11" s="43">
        <v>0</v>
      </c>
      <c r="Q11" s="43">
        <v>0</v>
      </c>
      <c r="R11" s="43">
        <v>0</v>
      </c>
      <c r="S11" s="43">
        <v>1</v>
      </c>
      <c r="T11" s="43">
        <v>1</v>
      </c>
      <c r="U11" s="43">
        <v>1</v>
      </c>
      <c r="V11" s="43">
        <v>0</v>
      </c>
      <c r="W11" s="43" t="s">
        <v>1856</v>
      </c>
      <c r="X11" s="43" t="s">
        <v>1857</v>
      </c>
      <c r="Y11" s="43">
        <v>0</v>
      </c>
      <c r="Z11" s="43">
        <v>0</v>
      </c>
      <c r="AA11" s="43">
        <v>2007</v>
      </c>
      <c r="AB11" s="43">
        <v>9999</v>
      </c>
      <c r="AC11" s="43" t="s">
        <v>35</v>
      </c>
    </row>
    <row r="12" spans="1:29" x14ac:dyDescent="0.25">
      <c r="A12" s="43" t="s">
        <v>184</v>
      </c>
      <c r="B12" s="39" t="s">
        <v>185</v>
      </c>
      <c r="C12" s="43" t="s">
        <v>186</v>
      </c>
      <c r="D12" s="43">
        <v>1</v>
      </c>
      <c r="E12" s="56" t="s">
        <v>45</v>
      </c>
      <c r="F12" s="43">
        <v>4</v>
      </c>
      <c r="G12" s="43">
        <v>2026</v>
      </c>
      <c r="H12" s="43"/>
      <c r="I12" s="43">
        <v>582.79999999999995</v>
      </c>
      <c r="J12" s="43" t="s">
        <v>52</v>
      </c>
      <c r="K12" s="43" t="s">
        <v>32</v>
      </c>
      <c r="M12" s="43">
        <v>0</v>
      </c>
      <c r="N12" s="43">
        <v>0</v>
      </c>
      <c r="O12" s="43">
        <v>0</v>
      </c>
      <c r="P12" s="43">
        <v>0</v>
      </c>
      <c r="Q12" s="43">
        <v>0</v>
      </c>
      <c r="R12" s="43">
        <v>0</v>
      </c>
      <c r="S12" s="43">
        <v>1</v>
      </c>
      <c r="T12" s="43">
        <v>1</v>
      </c>
      <c r="U12" s="43">
        <v>1</v>
      </c>
      <c r="V12" s="43">
        <v>0</v>
      </c>
      <c r="W12" s="43" t="s">
        <v>1654</v>
      </c>
      <c r="X12" s="43" t="s">
        <v>1950</v>
      </c>
      <c r="Y12" s="43">
        <v>0</v>
      </c>
      <c r="Z12" s="43">
        <v>0</v>
      </c>
      <c r="AA12" s="43">
        <v>2007</v>
      </c>
      <c r="AB12" s="43">
        <v>9999</v>
      </c>
      <c r="AC12" s="43" t="s">
        <v>35</v>
      </c>
    </row>
    <row r="13" spans="1:29" x14ac:dyDescent="0.25">
      <c r="A13" s="43" t="s">
        <v>178</v>
      </c>
      <c r="B13" s="39" t="s">
        <v>1424</v>
      </c>
      <c r="C13" s="43" t="s">
        <v>1425</v>
      </c>
      <c r="D13" s="43">
        <v>1</v>
      </c>
      <c r="E13" s="56" t="s">
        <v>45</v>
      </c>
      <c r="F13" s="43">
        <v>4</v>
      </c>
      <c r="G13" s="43">
        <v>2026</v>
      </c>
      <c r="H13" s="43"/>
      <c r="I13" s="43">
        <v>29.8</v>
      </c>
      <c r="J13" s="43" t="s">
        <v>52</v>
      </c>
      <c r="K13" s="43" t="s">
        <v>47</v>
      </c>
      <c r="M13" s="43">
        <v>0</v>
      </c>
      <c r="N13" s="43">
        <v>0</v>
      </c>
      <c r="O13" s="43">
        <v>0</v>
      </c>
      <c r="P13" s="43">
        <v>0</v>
      </c>
      <c r="Q13" s="43">
        <v>0</v>
      </c>
      <c r="R13" s="43">
        <v>0</v>
      </c>
      <c r="S13" s="43">
        <v>1</v>
      </c>
      <c r="T13" s="43">
        <v>1</v>
      </c>
      <c r="U13" s="43">
        <v>1</v>
      </c>
      <c r="V13" s="43">
        <v>0</v>
      </c>
      <c r="W13" s="43" t="s">
        <v>1240</v>
      </c>
      <c r="X13" s="43" t="s">
        <v>1652</v>
      </c>
      <c r="Y13" s="43">
        <v>1</v>
      </c>
      <c r="Z13" s="43">
        <v>0</v>
      </c>
      <c r="AA13" s="43">
        <v>2007</v>
      </c>
      <c r="AB13" s="43">
        <v>9999</v>
      </c>
      <c r="AC13" s="43" t="s">
        <v>35</v>
      </c>
    </row>
    <row r="14" spans="1:29" x14ac:dyDescent="0.25">
      <c r="A14" s="43" t="s">
        <v>226</v>
      </c>
      <c r="B14" s="39" t="s">
        <v>227</v>
      </c>
      <c r="C14" s="43" t="s">
        <v>228</v>
      </c>
      <c r="D14" s="43">
        <v>1</v>
      </c>
      <c r="E14" s="56" t="s">
        <v>218</v>
      </c>
      <c r="F14" s="43">
        <v>2</v>
      </c>
      <c r="G14" s="43">
        <v>2026</v>
      </c>
      <c r="H14" s="43"/>
      <c r="I14" s="43">
        <v>3232.9</v>
      </c>
      <c r="J14" s="43" t="s">
        <v>147</v>
      </c>
      <c r="K14" s="43" t="s">
        <v>32</v>
      </c>
      <c r="M14" s="43">
        <v>0</v>
      </c>
      <c r="N14" s="43">
        <v>1</v>
      </c>
      <c r="O14" s="43">
        <v>0</v>
      </c>
      <c r="P14" s="43">
        <v>0</v>
      </c>
      <c r="Q14" s="43">
        <v>0</v>
      </c>
      <c r="R14" s="43">
        <v>0</v>
      </c>
      <c r="S14" s="43">
        <v>1</v>
      </c>
      <c r="T14" s="43">
        <v>1</v>
      </c>
      <c r="U14" s="43">
        <v>1</v>
      </c>
      <c r="V14" s="43">
        <v>0</v>
      </c>
      <c r="W14" s="43" t="s">
        <v>1069</v>
      </c>
      <c r="X14" s="43" t="s">
        <v>1665</v>
      </c>
      <c r="Y14" s="43">
        <v>0</v>
      </c>
      <c r="Z14" s="43">
        <v>0</v>
      </c>
      <c r="AA14" s="43">
        <v>2007</v>
      </c>
      <c r="AB14" s="43">
        <v>9999</v>
      </c>
      <c r="AC14" s="43" t="s">
        <v>35</v>
      </c>
    </row>
    <row r="15" spans="1:29" x14ac:dyDescent="0.25">
      <c r="A15" s="43" t="s">
        <v>950</v>
      </c>
      <c r="B15" s="39" t="s">
        <v>951</v>
      </c>
      <c r="C15" s="43" t="s">
        <v>952</v>
      </c>
      <c r="D15" s="43">
        <v>1</v>
      </c>
      <c r="E15" s="56" t="s">
        <v>218</v>
      </c>
      <c r="F15" s="43">
        <v>2</v>
      </c>
      <c r="G15" s="43">
        <v>2026</v>
      </c>
      <c r="H15" s="43"/>
      <c r="I15" s="43">
        <v>1582.1</v>
      </c>
      <c r="J15" s="43" t="s">
        <v>147</v>
      </c>
      <c r="K15" s="43" t="s">
        <v>32</v>
      </c>
      <c r="M15" s="43">
        <v>0</v>
      </c>
      <c r="N15" s="43">
        <v>1</v>
      </c>
      <c r="O15" s="43">
        <v>0</v>
      </c>
      <c r="P15" s="43">
        <v>0</v>
      </c>
      <c r="Q15" s="43">
        <v>0</v>
      </c>
      <c r="R15" s="43">
        <v>0</v>
      </c>
      <c r="S15" s="43">
        <v>1</v>
      </c>
      <c r="T15" s="43">
        <v>1</v>
      </c>
      <c r="U15" s="43">
        <v>1</v>
      </c>
      <c r="V15" s="43">
        <v>0</v>
      </c>
      <c r="W15" s="43" t="s">
        <v>1897</v>
      </c>
      <c r="X15" s="43" t="s">
        <v>1898</v>
      </c>
      <c r="Y15" s="43">
        <v>0</v>
      </c>
      <c r="Z15" s="43">
        <v>0</v>
      </c>
      <c r="AA15" s="43">
        <v>2007</v>
      </c>
      <c r="AB15" s="43">
        <v>9999</v>
      </c>
      <c r="AC15" s="43" t="s">
        <v>35</v>
      </c>
    </row>
    <row r="16" spans="1:29" ht="30" x14ac:dyDescent="0.25">
      <c r="A16" s="43" t="s">
        <v>212</v>
      </c>
      <c r="B16" s="39" t="s">
        <v>213</v>
      </c>
      <c r="C16" s="43" t="s">
        <v>214</v>
      </c>
      <c r="D16" s="43">
        <v>1</v>
      </c>
      <c r="E16" s="56">
        <v>550</v>
      </c>
      <c r="F16" s="43">
        <v>5</v>
      </c>
      <c r="G16" s="43">
        <v>2026</v>
      </c>
      <c r="H16" s="43"/>
      <c r="I16" s="43">
        <v>102.3</v>
      </c>
      <c r="J16" s="43" t="s">
        <v>1610</v>
      </c>
      <c r="K16" s="43" t="s">
        <v>47</v>
      </c>
      <c r="M16" s="43">
        <v>0</v>
      </c>
      <c r="N16" s="43">
        <v>0</v>
      </c>
      <c r="O16" s="43">
        <v>0</v>
      </c>
      <c r="P16" s="43">
        <v>0</v>
      </c>
      <c r="Q16" s="43">
        <v>0</v>
      </c>
      <c r="R16" s="43">
        <v>0</v>
      </c>
      <c r="S16" s="43">
        <v>1</v>
      </c>
      <c r="T16" s="43">
        <v>1</v>
      </c>
      <c r="U16" s="43">
        <v>1</v>
      </c>
      <c r="V16" s="43">
        <v>0</v>
      </c>
      <c r="W16" s="43" t="s">
        <v>1288</v>
      </c>
      <c r="X16" s="43" t="s">
        <v>1951</v>
      </c>
      <c r="Y16" s="43">
        <v>2</v>
      </c>
      <c r="Z16" s="43">
        <v>0</v>
      </c>
      <c r="AA16" s="43">
        <v>2007</v>
      </c>
      <c r="AB16" s="43">
        <v>9999</v>
      </c>
      <c r="AC16" s="43" t="s">
        <v>35</v>
      </c>
    </row>
    <row r="17" spans="1:29" ht="30" x14ac:dyDescent="0.25">
      <c r="A17" s="43" t="s">
        <v>207</v>
      </c>
      <c r="B17" s="39" t="s">
        <v>1472</v>
      </c>
      <c r="C17" s="43" t="s">
        <v>209</v>
      </c>
      <c r="D17" s="43">
        <v>1</v>
      </c>
      <c r="E17" s="56" t="s">
        <v>210</v>
      </c>
      <c r="F17" s="43">
        <v>10</v>
      </c>
      <c r="G17" s="43">
        <v>2026</v>
      </c>
      <c r="H17" s="43"/>
      <c r="I17" s="43">
        <v>40</v>
      </c>
      <c r="J17" s="43" t="s">
        <v>40</v>
      </c>
      <c r="K17" s="43" t="s">
        <v>32</v>
      </c>
      <c r="M17" s="43">
        <v>0</v>
      </c>
      <c r="N17" s="43">
        <v>0</v>
      </c>
      <c r="O17" s="43">
        <v>0</v>
      </c>
      <c r="P17" s="43">
        <v>0</v>
      </c>
      <c r="Q17" s="43">
        <v>0</v>
      </c>
      <c r="R17" s="43">
        <v>0</v>
      </c>
      <c r="S17" s="43">
        <v>1</v>
      </c>
      <c r="T17" s="43">
        <v>1</v>
      </c>
      <c r="U17" s="43">
        <v>1</v>
      </c>
      <c r="V17" s="43">
        <v>0</v>
      </c>
      <c r="W17" s="43" t="s">
        <v>1065</v>
      </c>
      <c r="X17" s="43" t="s">
        <v>1661</v>
      </c>
      <c r="Y17" s="43">
        <v>0</v>
      </c>
      <c r="Z17" s="43">
        <v>0</v>
      </c>
      <c r="AA17" s="43">
        <v>2007</v>
      </c>
      <c r="AB17" s="43">
        <v>9999</v>
      </c>
      <c r="AC17" s="43" t="s">
        <v>35</v>
      </c>
    </row>
    <row r="18" spans="1:29" x14ac:dyDescent="0.25">
      <c r="A18" s="43" t="s">
        <v>230</v>
      </c>
      <c r="B18" s="39" t="s">
        <v>231</v>
      </c>
      <c r="C18" s="43" t="s">
        <v>232</v>
      </c>
      <c r="D18" s="43">
        <v>1</v>
      </c>
      <c r="E18" s="56" t="s">
        <v>145</v>
      </c>
      <c r="F18" s="43">
        <v>2</v>
      </c>
      <c r="G18" s="43">
        <v>2026</v>
      </c>
      <c r="H18" s="43"/>
      <c r="J18" s="43" t="s">
        <v>147</v>
      </c>
      <c r="K18" s="43" t="s">
        <v>47</v>
      </c>
      <c r="M18" s="43">
        <v>0</v>
      </c>
      <c r="N18" s="43">
        <v>1</v>
      </c>
      <c r="O18" s="43">
        <v>0</v>
      </c>
      <c r="P18" s="43">
        <v>0</v>
      </c>
      <c r="Q18" s="43">
        <v>0</v>
      </c>
      <c r="R18" s="43">
        <v>0</v>
      </c>
      <c r="S18" s="43">
        <v>1</v>
      </c>
      <c r="T18" s="43">
        <v>1</v>
      </c>
      <c r="U18" s="43">
        <v>1</v>
      </c>
      <c r="V18" s="43">
        <v>0</v>
      </c>
      <c r="W18" s="43" t="s">
        <v>1070</v>
      </c>
      <c r="X18" s="43" t="s">
        <v>1859</v>
      </c>
      <c r="Y18" s="43">
        <v>0</v>
      </c>
      <c r="Z18" s="43">
        <v>1</v>
      </c>
      <c r="AA18" s="43">
        <v>2007</v>
      </c>
      <c r="AB18" s="43">
        <v>9999</v>
      </c>
      <c r="AC18" s="43" t="s">
        <v>35</v>
      </c>
    </row>
    <row r="19" spans="1:29" x14ac:dyDescent="0.25">
      <c r="A19" s="43" t="s">
        <v>305</v>
      </c>
      <c r="B19" s="39" t="s">
        <v>1455</v>
      </c>
      <c r="C19" s="43" t="s">
        <v>1456</v>
      </c>
      <c r="D19" s="43">
        <v>1</v>
      </c>
      <c r="E19" s="56" t="s">
        <v>103</v>
      </c>
      <c r="F19" s="43">
        <v>9</v>
      </c>
      <c r="G19" s="43">
        <v>2026</v>
      </c>
      <c r="H19" s="43"/>
      <c r="I19" s="43">
        <v>168.6</v>
      </c>
      <c r="J19" s="43" t="s">
        <v>104</v>
      </c>
      <c r="K19" s="43" t="s">
        <v>53</v>
      </c>
      <c r="L19" s="43" t="s">
        <v>105</v>
      </c>
      <c r="M19" s="43">
        <v>0</v>
      </c>
      <c r="N19" s="43">
        <v>0</v>
      </c>
      <c r="O19" s="43">
        <v>0</v>
      </c>
      <c r="P19" s="43">
        <v>1</v>
      </c>
      <c r="Q19" s="43">
        <v>0</v>
      </c>
      <c r="R19" s="43">
        <v>0</v>
      </c>
      <c r="S19" s="43">
        <v>1</v>
      </c>
      <c r="T19" s="43">
        <v>1</v>
      </c>
      <c r="U19" s="43">
        <v>1</v>
      </c>
      <c r="V19" s="43">
        <v>0</v>
      </c>
      <c r="W19" s="43" t="s">
        <v>106</v>
      </c>
      <c r="X19" s="43" t="s">
        <v>1941</v>
      </c>
      <c r="Y19" s="43">
        <v>0</v>
      </c>
      <c r="Z19" s="43">
        <v>0</v>
      </c>
      <c r="AA19" s="43">
        <v>2007</v>
      </c>
      <c r="AB19" s="43">
        <v>9999</v>
      </c>
      <c r="AC19" s="43" t="s">
        <v>35</v>
      </c>
    </row>
    <row r="20" spans="1:29" x14ac:dyDescent="0.25">
      <c r="A20" s="43" t="s">
        <v>259</v>
      </c>
      <c r="B20" s="39" t="s">
        <v>260</v>
      </c>
      <c r="C20" s="43" t="s">
        <v>261</v>
      </c>
      <c r="D20" s="43">
        <v>1</v>
      </c>
      <c r="E20" s="56" t="s">
        <v>103</v>
      </c>
      <c r="F20" s="43">
        <v>9</v>
      </c>
      <c r="G20" s="43">
        <v>2026</v>
      </c>
      <c r="H20" s="43"/>
      <c r="I20" s="43">
        <v>5590.9</v>
      </c>
      <c r="J20" s="43" t="s">
        <v>104</v>
      </c>
      <c r="K20" s="43" t="s">
        <v>53</v>
      </c>
      <c r="L20" s="43" t="s">
        <v>105</v>
      </c>
      <c r="M20" s="43">
        <v>0</v>
      </c>
      <c r="N20" s="43">
        <v>0</v>
      </c>
      <c r="O20" s="43">
        <v>0</v>
      </c>
      <c r="P20" s="43">
        <v>1</v>
      </c>
      <c r="Q20" s="43">
        <v>0</v>
      </c>
      <c r="R20" s="43">
        <v>0</v>
      </c>
      <c r="S20" s="43">
        <v>1</v>
      </c>
      <c r="T20" s="43">
        <v>1</v>
      </c>
      <c r="U20" s="43">
        <v>1</v>
      </c>
      <c r="V20" s="43">
        <v>0</v>
      </c>
      <c r="W20" s="43" t="s">
        <v>106</v>
      </c>
      <c r="X20" s="43" t="s">
        <v>1941</v>
      </c>
      <c r="Y20" s="43">
        <v>0</v>
      </c>
      <c r="Z20" s="43">
        <v>0</v>
      </c>
      <c r="AA20" s="43">
        <v>2007</v>
      </c>
      <c r="AB20" s="43">
        <v>9999</v>
      </c>
      <c r="AC20" s="43" t="s">
        <v>35</v>
      </c>
    </row>
    <row r="21" spans="1:29" s="40" customFormat="1" x14ac:dyDescent="0.25">
      <c r="A21" s="43" t="s">
        <v>1393</v>
      </c>
      <c r="B21" s="39" t="s">
        <v>1394</v>
      </c>
      <c r="C21" s="43" t="s">
        <v>1395</v>
      </c>
      <c r="D21" s="43">
        <v>1</v>
      </c>
      <c r="E21" s="56" t="s">
        <v>1396</v>
      </c>
      <c r="F21" s="43">
        <v>5</v>
      </c>
      <c r="G21" s="43">
        <v>2026</v>
      </c>
      <c r="H21" s="43"/>
      <c r="I21" s="43">
        <v>316.7</v>
      </c>
      <c r="J21" s="43" t="s">
        <v>1610</v>
      </c>
      <c r="K21" s="43" t="s">
        <v>47</v>
      </c>
      <c r="L21" s="43"/>
      <c r="M21" s="43">
        <v>1</v>
      </c>
      <c r="N21" s="43">
        <v>0</v>
      </c>
      <c r="O21" s="43">
        <v>0</v>
      </c>
      <c r="P21" s="43">
        <v>0</v>
      </c>
      <c r="Q21" s="43">
        <v>0</v>
      </c>
      <c r="R21" s="43">
        <v>0</v>
      </c>
      <c r="S21" s="43">
        <v>1</v>
      </c>
      <c r="T21" s="43">
        <v>1</v>
      </c>
      <c r="U21" s="43">
        <v>1</v>
      </c>
      <c r="V21" s="43">
        <v>0</v>
      </c>
      <c r="W21" s="43" t="s">
        <v>1397</v>
      </c>
      <c r="X21" s="43" t="s">
        <v>1675</v>
      </c>
      <c r="Y21" s="43">
        <v>0</v>
      </c>
      <c r="Z21" s="43">
        <v>0</v>
      </c>
      <c r="AA21" s="43">
        <v>2012</v>
      </c>
      <c r="AB21" s="43">
        <v>9999</v>
      </c>
      <c r="AC21" s="43" t="s">
        <v>1398</v>
      </c>
    </row>
    <row r="22" spans="1:29" x14ac:dyDescent="0.25">
      <c r="A22" s="43" t="s">
        <v>274</v>
      </c>
      <c r="B22" s="39" t="s">
        <v>275</v>
      </c>
      <c r="C22" s="43" t="s">
        <v>276</v>
      </c>
      <c r="D22" s="43">
        <v>1</v>
      </c>
      <c r="E22" s="56" t="s">
        <v>51</v>
      </c>
      <c r="F22" s="43">
        <v>7</v>
      </c>
      <c r="G22" s="43">
        <v>2026</v>
      </c>
      <c r="H22" s="43" t="s">
        <v>746</v>
      </c>
      <c r="I22" s="43">
        <v>7.5</v>
      </c>
      <c r="J22" s="43" t="s">
        <v>40</v>
      </c>
      <c r="K22" s="43" t="s">
        <v>41</v>
      </c>
      <c r="M22" s="43">
        <v>0</v>
      </c>
      <c r="N22" s="43">
        <v>0</v>
      </c>
      <c r="O22" s="43">
        <v>0</v>
      </c>
      <c r="P22" s="43">
        <v>0</v>
      </c>
      <c r="Q22" s="43">
        <v>0</v>
      </c>
      <c r="R22" s="43">
        <v>0</v>
      </c>
      <c r="S22" s="43">
        <v>0</v>
      </c>
      <c r="T22" s="43">
        <v>0</v>
      </c>
      <c r="U22" s="43">
        <v>0</v>
      </c>
      <c r="V22" s="43">
        <v>0</v>
      </c>
      <c r="W22" s="43" t="s">
        <v>1399</v>
      </c>
      <c r="X22" s="43" t="s">
        <v>1678</v>
      </c>
      <c r="Y22" s="43">
        <v>0</v>
      </c>
      <c r="Z22" s="43">
        <v>0</v>
      </c>
      <c r="AA22" s="43">
        <v>2007</v>
      </c>
      <c r="AB22" s="43">
        <v>9999</v>
      </c>
      <c r="AC22" s="43" t="s">
        <v>35</v>
      </c>
    </row>
    <row r="23" spans="1:29" ht="30" x14ac:dyDescent="0.25">
      <c r="A23" s="43" t="s">
        <v>316</v>
      </c>
      <c r="B23" s="39" t="s">
        <v>1461</v>
      </c>
      <c r="C23" s="43" t="s">
        <v>1462</v>
      </c>
      <c r="D23" s="43">
        <v>1</v>
      </c>
      <c r="E23" s="56" t="s">
        <v>318</v>
      </c>
      <c r="F23" s="43">
        <v>4</v>
      </c>
      <c r="G23" s="43">
        <v>2026</v>
      </c>
      <c r="H23" s="43"/>
      <c r="I23" s="43">
        <v>41.3</v>
      </c>
      <c r="J23" s="43" t="s">
        <v>59</v>
      </c>
      <c r="K23" s="43" t="s">
        <v>47</v>
      </c>
      <c r="M23" s="43">
        <v>0</v>
      </c>
      <c r="N23" s="43">
        <v>0</v>
      </c>
      <c r="O23" s="43">
        <v>0</v>
      </c>
      <c r="P23" s="43">
        <v>0</v>
      </c>
      <c r="Q23" s="43">
        <v>0</v>
      </c>
      <c r="R23" s="43">
        <v>0</v>
      </c>
      <c r="S23" s="43">
        <v>1</v>
      </c>
      <c r="T23" s="43">
        <v>1</v>
      </c>
      <c r="U23" s="43">
        <v>1</v>
      </c>
      <c r="V23" s="43">
        <v>0</v>
      </c>
      <c r="W23" s="43" t="s">
        <v>1085</v>
      </c>
      <c r="X23" s="43" t="s">
        <v>1686</v>
      </c>
      <c r="Y23" s="43">
        <v>0</v>
      </c>
      <c r="Z23" s="43">
        <v>1</v>
      </c>
      <c r="AA23" s="43">
        <v>2007</v>
      </c>
      <c r="AB23" s="43">
        <v>9999</v>
      </c>
      <c r="AC23" s="43" t="s">
        <v>35</v>
      </c>
    </row>
    <row r="24" spans="1:29" x14ac:dyDescent="0.25">
      <c r="A24" s="43" t="s">
        <v>140</v>
      </c>
      <c r="B24" s="39" t="s">
        <v>1595</v>
      </c>
      <c r="C24" s="43" t="s">
        <v>1582</v>
      </c>
      <c r="D24" s="43">
        <v>1</v>
      </c>
      <c r="E24" s="56" t="s">
        <v>45</v>
      </c>
      <c r="F24" s="43">
        <v>4</v>
      </c>
      <c r="G24" s="43">
        <v>2026</v>
      </c>
      <c r="H24" s="43"/>
      <c r="I24" s="43">
        <v>141.5</v>
      </c>
      <c r="J24" s="43" t="s">
        <v>121</v>
      </c>
      <c r="K24" s="43" t="s">
        <v>47</v>
      </c>
      <c r="M24" s="43">
        <v>1</v>
      </c>
      <c r="N24" s="43">
        <v>0</v>
      </c>
      <c r="O24" s="43">
        <v>0</v>
      </c>
      <c r="P24" s="43">
        <v>0</v>
      </c>
      <c r="Q24" s="43">
        <v>0</v>
      </c>
      <c r="R24" s="43">
        <v>0</v>
      </c>
      <c r="S24" s="43">
        <v>1</v>
      </c>
      <c r="T24" s="43">
        <v>1</v>
      </c>
      <c r="U24" s="43">
        <v>1</v>
      </c>
      <c r="V24" s="43">
        <v>0</v>
      </c>
      <c r="W24" s="43" t="s">
        <v>1045</v>
      </c>
      <c r="X24" s="43" t="s">
        <v>1968</v>
      </c>
      <c r="Y24" s="43">
        <v>0</v>
      </c>
      <c r="Z24" s="43">
        <v>0</v>
      </c>
      <c r="AA24" s="43">
        <v>2007</v>
      </c>
      <c r="AB24" s="43">
        <v>9999</v>
      </c>
      <c r="AC24" s="43" t="s">
        <v>35</v>
      </c>
    </row>
    <row r="25" spans="1:29" x14ac:dyDescent="0.25">
      <c r="A25" s="43" t="s">
        <v>1294</v>
      </c>
      <c r="B25" s="39" t="s">
        <v>1295</v>
      </c>
      <c r="C25" s="43" t="s">
        <v>1296</v>
      </c>
      <c r="D25" s="43">
        <v>1</v>
      </c>
      <c r="E25" s="56" t="s">
        <v>95</v>
      </c>
      <c r="F25" s="43">
        <v>10</v>
      </c>
      <c r="G25" s="43">
        <v>2026</v>
      </c>
      <c r="H25" s="43"/>
      <c r="I25" s="43">
        <v>49.2</v>
      </c>
      <c r="J25" s="43" t="s">
        <v>40</v>
      </c>
      <c r="K25" s="43" t="s">
        <v>47</v>
      </c>
      <c r="M25" s="43">
        <v>1</v>
      </c>
      <c r="N25" s="43">
        <v>0</v>
      </c>
      <c r="O25" s="43">
        <v>0</v>
      </c>
      <c r="P25" s="43">
        <v>0</v>
      </c>
      <c r="Q25" s="43">
        <v>0</v>
      </c>
      <c r="R25" s="43">
        <v>0</v>
      </c>
      <c r="S25" s="43">
        <v>1</v>
      </c>
      <c r="T25" s="43">
        <v>1</v>
      </c>
      <c r="U25" s="43">
        <v>1</v>
      </c>
      <c r="V25" s="43">
        <v>0</v>
      </c>
      <c r="W25" s="43" t="s">
        <v>1297</v>
      </c>
      <c r="X25" s="43" t="s">
        <v>1965</v>
      </c>
      <c r="Y25" s="43">
        <v>0</v>
      </c>
      <c r="Z25" s="43">
        <v>0</v>
      </c>
      <c r="AA25" s="43">
        <v>2010</v>
      </c>
      <c r="AB25" s="43">
        <v>9999</v>
      </c>
      <c r="AC25" s="43" t="s">
        <v>1292</v>
      </c>
    </row>
    <row r="26" spans="1:29" x14ac:dyDescent="0.25">
      <c r="A26" s="43" t="s">
        <v>311</v>
      </c>
      <c r="B26" s="39" t="s">
        <v>312</v>
      </c>
      <c r="C26" s="43" t="s">
        <v>313</v>
      </c>
      <c r="D26" s="43">
        <v>1</v>
      </c>
      <c r="E26" s="56" t="s">
        <v>314</v>
      </c>
      <c r="F26" s="43">
        <v>2</v>
      </c>
      <c r="G26" s="43">
        <v>2026</v>
      </c>
      <c r="H26" s="43"/>
      <c r="I26" s="43">
        <v>111.2</v>
      </c>
      <c r="J26" s="43" t="s">
        <v>176</v>
      </c>
      <c r="K26" s="43" t="s">
        <v>47</v>
      </c>
      <c r="M26" s="43">
        <v>0</v>
      </c>
      <c r="N26" s="43">
        <v>0</v>
      </c>
      <c r="O26" s="43">
        <v>0</v>
      </c>
      <c r="P26" s="43">
        <v>0</v>
      </c>
      <c r="Q26" s="43">
        <v>0</v>
      </c>
      <c r="R26" s="43">
        <v>0</v>
      </c>
      <c r="S26" s="43">
        <v>1</v>
      </c>
      <c r="T26" s="43">
        <v>1</v>
      </c>
      <c r="U26" s="43">
        <v>1</v>
      </c>
      <c r="V26" s="43">
        <v>0</v>
      </c>
      <c r="W26" s="43" t="s">
        <v>1358</v>
      </c>
      <c r="X26" s="43" t="s">
        <v>1684</v>
      </c>
      <c r="Y26" s="43">
        <v>0</v>
      </c>
      <c r="Z26" s="43">
        <v>3</v>
      </c>
      <c r="AA26" s="43">
        <v>2007</v>
      </c>
      <c r="AB26" s="43">
        <v>9999</v>
      </c>
      <c r="AC26" s="43" t="s">
        <v>35</v>
      </c>
    </row>
    <row r="27" spans="1:29" x14ac:dyDescent="0.25">
      <c r="A27" s="43" t="s">
        <v>1457</v>
      </c>
      <c r="B27" s="39" t="s">
        <v>1458</v>
      </c>
      <c r="C27" s="43" t="s">
        <v>1459</v>
      </c>
      <c r="D27" s="43">
        <v>1</v>
      </c>
      <c r="E27" s="56">
        <v>760</v>
      </c>
      <c r="F27" s="43">
        <v>7</v>
      </c>
      <c r="G27" s="43">
        <v>2026</v>
      </c>
      <c r="H27" s="43"/>
      <c r="I27" s="43">
        <v>739.4</v>
      </c>
      <c r="J27" s="43" t="s">
        <v>40</v>
      </c>
      <c r="K27" s="43" t="s">
        <v>47</v>
      </c>
      <c r="M27" s="43">
        <v>1</v>
      </c>
      <c r="N27" s="43">
        <v>0</v>
      </c>
      <c r="O27" s="43">
        <v>0</v>
      </c>
      <c r="P27" s="43">
        <v>0</v>
      </c>
      <c r="Q27" s="43">
        <v>0</v>
      </c>
      <c r="R27" s="43">
        <v>0</v>
      </c>
      <c r="S27" s="43">
        <v>1</v>
      </c>
      <c r="T27" s="43">
        <v>1</v>
      </c>
      <c r="U27" s="43">
        <v>1</v>
      </c>
      <c r="V27" s="43">
        <v>0</v>
      </c>
      <c r="W27" s="43" t="s">
        <v>1460</v>
      </c>
      <c r="X27" s="43" t="s">
        <v>1685</v>
      </c>
      <c r="Y27" s="43">
        <v>0</v>
      </c>
      <c r="Z27" s="43">
        <v>0</v>
      </c>
      <c r="AA27" s="43">
        <v>2014</v>
      </c>
      <c r="AB27" s="43">
        <v>9999</v>
      </c>
      <c r="AC27" s="43" t="s">
        <v>1449</v>
      </c>
    </row>
    <row r="28" spans="1:29" x14ac:dyDescent="0.25">
      <c r="A28" s="43" t="s">
        <v>404</v>
      </c>
      <c r="B28" s="39" t="s">
        <v>405</v>
      </c>
      <c r="C28" s="43" t="s">
        <v>406</v>
      </c>
      <c r="D28" s="43">
        <v>1</v>
      </c>
      <c r="E28" s="56" t="s">
        <v>358</v>
      </c>
      <c r="F28" s="43">
        <v>1</v>
      </c>
      <c r="G28" s="43">
        <v>2026</v>
      </c>
      <c r="H28" s="43"/>
      <c r="I28" s="43">
        <v>304.39999999999998</v>
      </c>
      <c r="J28" s="43" t="s">
        <v>104</v>
      </c>
      <c r="K28" s="43" t="s">
        <v>47</v>
      </c>
      <c r="M28" s="43">
        <v>1</v>
      </c>
      <c r="N28" s="43">
        <v>0</v>
      </c>
      <c r="O28" s="43">
        <v>0</v>
      </c>
      <c r="P28" s="43">
        <v>0</v>
      </c>
      <c r="Q28" s="43">
        <v>0</v>
      </c>
      <c r="R28" s="43">
        <v>0</v>
      </c>
      <c r="S28" s="43">
        <v>1</v>
      </c>
      <c r="T28" s="43">
        <v>1</v>
      </c>
      <c r="U28" s="43">
        <v>1</v>
      </c>
      <c r="V28" s="43">
        <v>0</v>
      </c>
      <c r="W28" s="43" t="s">
        <v>1245</v>
      </c>
      <c r="X28" s="43" t="s">
        <v>1706</v>
      </c>
      <c r="Y28" s="43">
        <v>0</v>
      </c>
      <c r="Z28" s="43">
        <v>0</v>
      </c>
      <c r="AA28" s="43">
        <v>2007</v>
      </c>
      <c r="AB28" s="43">
        <v>9999</v>
      </c>
      <c r="AC28" s="43" t="s">
        <v>35</v>
      </c>
    </row>
    <row r="29" spans="1:29" x14ac:dyDescent="0.25">
      <c r="A29" s="43" t="s">
        <v>416</v>
      </c>
      <c r="B29" s="39" t="s">
        <v>417</v>
      </c>
      <c r="C29" s="43" t="s">
        <v>418</v>
      </c>
      <c r="D29" s="43">
        <v>1</v>
      </c>
      <c r="E29" s="56">
        <v>310</v>
      </c>
      <c r="F29" s="43">
        <v>2</v>
      </c>
      <c r="G29" s="43">
        <v>2026</v>
      </c>
      <c r="H29" s="43"/>
      <c r="I29" s="43">
        <v>1016.3</v>
      </c>
      <c r="J29" s="43" t="s">
        <v>147</v>
      </c>
      <c r="K29" s="43" t="s">
        <v>47</v>
      </c>
      <c r="M29" s="43">
        <v>1</v>
      </c>
      <c r="N29" s="43">
        <v>1</v>
      </c>
      <c r="O29" s="43">
        <v>0</v>
      </c>
      <c r="P29" s="43">
        <v>0</v>
      </c>
      <c r="Q29" s="43">
        <v>0</v>
      </c>
      <c r="R29" s="43">
        <v>0</v>
      </c>
      <c r="S29" s="43">
        <v>1</v>
      </c>
      <c r="T29" s="43">
        <v>1</v>
      </c>
      <c r="U29" s="43">
        <v>1</v>
      </c>
      <c r="V29" s="43">
        <v>0</v>
      </c>
      <c r="W29" s="43" t="s">
        <v>1574</v>
      </c>
      <c r="X29" s="43" t="s">
        <v>1976</v>
      </c>
      <c r="Y29" s="43">
        <v>0</v>
      </c>
      <c r="Z29" s="43">
        <v>1</v>
      </c>
      <c r="AA29" s="43">
        <v>2007</v>
      </c>
      <c r="AB29" s="43">
        <v>9999</v>
      </c>
      <c r="AC29" s="43" t="s">
        <v>35</v>
      </c>
    </row>
    <row r="30" spans="1:29" x14ac:dyDescent="0.25">
      <c r="A30" s="43" t="s">
        <v>367</v>
      </c>
      <c r="B30" s="39" t="s">
        <v>368</v>
      </c>
      <c r="C30" s="43" t="s">
        <v>369</v>
      </c>
      <c r="D30" s="43">
        <v>1</v>
      </c>
      <c r="E30" s="56" t="s">
        <v>370</v>
      </c>
      <c r="F30" s="43">
        <v>5</v>
      </c>
      <c r="G30" s="43">
        <v>2026</v>
      </c>
      <c r="H30" s="43"/>
      <c r="I30" s="43">
        <v>248.3</v>
      </c>
      <c r="J30" s="43" t="s">
        <v>1610</v>
      </c>
      <c r="K30" s="43" t="s">
        <v>47</v>
      </c>
      <c r="M30" s="43">
        <v>1</v>
      </c>
      <c r="N30" s="43">
        <v>0</v>
      </c>
      <c r="O30" s="43">
        <v>0</v>
      </c>
      <c r="P30" s="43">
        <v>0</v>
      </c>
      <c r="Q30" s="43">
        <v>0</v>
      </c>
      <c r="R30" s="43">
        <v>0</v>
      </c>
      <c r="S30" s="43">
        <v>1</v>
      </c>
      <c r="T30" s="43">
        <v>1</v>
      </c>
      <c r="U30" s="43">
        <v>1</v>
      </c>
      <c r="V30" s="43">
        <v>0</v>
      </c>
      <c r="W30" s="43" t="s">
        <v>1298</v>
      </c>
      <c r="X30" s="43" t="s">
        <v>2047</v>
      </c>
      <c r="Y30" s="43">
        <v>0</v>
      </c>
      <c r="Z30" s="43">
        <v>1</v>
      </c>
      <c r="AA30" s="43">
        <v>2007</v>
      </c>
      <c r="AB30" s="43">
        <v>9999</v>
      </c>
      <c r="AC30" s="43" t="s">
        <v>35</v>
      </c>
    </row>
    <row r="31" spans="1:29" x14ac:dyDescent="0.25">
      <c r="A31" s="43" t="s">
        <v>364</v>
      </c>
      <c r="B31" s="39" t="s">
        <v>365</v>
      </c>
      <c r="C31" s="43" t="s">
        <v>366</v>
      </c>
      <c r="D31" s="43">
        <v>1</v>
      </c>
      <c r="E31" s="56" t="s">
        <v>103</v>
      </c>
      <c r="F31" s="43">
        <v>9</v>
      </c>
      <c r="G31" s="43">
        <v>2026</v>
      </c>
      <c r="H31" s="43"/>
      <c r="I31" s="43">
        <v>5099</v>
      </c>
      <c r="J31" s="43" t="s">
        <v>104</v>
      </c>
      <c r="K31" s="43" t="s">
        <v>53</v>
      </c>
      <c r="L31" s="43" t="s">
        <v>105</v>
      </c>
      <c r="M31" s="43">
        <v>0</v>
      </c>
      <c r="N31" s="43">
        <v>0</v>
      </c>
      <c r="O31" s="43">
        <v>0</v>
      </c>
      <c r="P31" s="43">
        <v>1</v>
      </c>
      <c r="Q31" s="43">
        <v>0</v>
      </c>
      <c r="R31" s="43">
        <v>0</v>
      </c>
      <c r="S31" s="43">
        <v>1</v>
      </c>
      <c r="T31" s="43">
        <v>1</v>
      </c>
      <c r="U31" s="43">
        <v>1</v>
      </c>
      <c r="V31" s="43">
        <v>0</v>
      </c>
      <c r="W31" s="43" t="s">
        <v>106</v>
      </c>
      <c r="X31" s="43" t="s">
        <v>1941</v>
      </c>
      <c r="Y31" s="43">
        <v>0</v>
      </c>
      <c r="Z31" s="43">
        <v>0</v>
      </c>
      <c r="AA31" s="43">
        <v>2007</v>
      </c>
      <c r="AB31" s="43">
        <v>9999</v>
      </c>
      <c r="AC31" s="43" t="s">
        <v>35</v>
      </c>
    </row>
    <row r="32" spans="1:29" x14ac:dyDescent="0.25">
      <c r="A32" s="43" t="s">
        <v>410</v>
      </c>
      <c r="B32" s="39" t="s">
        <v>411</v>
      </c>
      <c r="C32" s="43" t="s">
        <v>412</v>
      </c>
      <c r="D32" s="43">
        <v>1</v>
      </c>
      <c r="E32" s="56" t="s">
        <v>103</v>
      </c>
      <c r="F32" s="43">
        <v>9</v>
      </c>
      <c r="G32" s="43">
        <v>2026</v>
      </c>
      <c r="H32" s="43"/>
      <c r="I32" s="43">
        <v>140</v>
      </c>
      <c r="J32" s="43" t="s">
        <v>104</v>
      </c>
      <c r="K32" s="43" t="s">
        <v>53</v>
      </c>
      <c r="L32" s="43" t="s">
        <v>105</v>
      </c>
      <c r="M32" s="43">
        <v>0</v>
      </c>
      <c r="N32" s="43">
        <v>0</v>
      </c>
      <c r="O32" s="43">
        <v>0</v>
      </c>
      <c r="P32" s="43">
        <v>1</v>
      </c>
      <c r="Q32" s="43">
        <v>0</v>
      </c>
      <c r="R32" s="43">
        <v>0</v>
      </c>
      <c r="S32" s="43">
        <v>1</v>
      </c>
      <c r="T32" s="43">
        <v>1</v>
      </c>
      <c r="U32" s="43">
        <v>1</v>
      </c>
      <c r="V32" s="43">
        <v>0</v>
      </c>
      <c r="W32" s="43" t="s">
        <v>106</v>
      </c>
      <c r="X32" s="43" t="s">
        <v>1941</v>
      </c>
      <c r="Y32" s="43">
        <v>0</v>
      </c>
      <c r="Z32" s="43">
        <v>0</v>
      </c>
      <c r="AA32" s="43">
        <v>2007</v>
      </c>
      <c r="AB32" s="43">
        <v>9999</v>
      </c>
      <c r="AC32" s="43" t="s">
        <v>35</v>
      </c>
    </row>
    <row r="33" spans="1:29" x14ac:dyDescent="0.25">
      <c r="A33" s="43" t="s">
        <v>413</v>
      </c>
      <c r="B33" s="39" t="s">
        <v>414</v>
      </c>
      <c r="C33" s="43" t="s">
        <v>415</v>
      </c>
      <c r="D33" s="43">
        <v>1</v>
      </c>
      <c r="E33" s="56" t="s">
        <v>103</v>
      </c>
      <c r="F33" s="43">
        <v>9</v>
      </c>
      <c r="G33" s="43">
        <v>2026</v>
      </c>
      <c r="H33" s="43"/>
      <c r="I33" s="43">
        <v>4057.6</v>
      </c>
      <c r="J33" s="43" t="s">
        <v>104</v>
      </c>
      <c r="K33" s="43" t="s">
        <v>53</v>
      </c>
      <c r="L33" s="43" t="s">
        <v>105</v>
      </c>
      <c r="M33" s="43">
        <v>0</v>
      </c>
      <c r="N33" s="43">
        <v>0</v>
      </c>
      <c r="O33" s="43">
        <v>0</v>
      </c>
      <c r="P33" s="43">
        <v>1</v>
      </c>
      <c r="Q33" s="43">
        <v>0</v>
      </c>
      <c r="R33" s="43">
        <v>0</v>
      </c>
      <c r="S33" s="43">
        <v>1</v>
      </c>
      <c r="T33" s="43">
        <v>1</v>
      </c>
      <c r="U33" s="43">
        <v>1</v>
      </c>
      <c r="V33" s="43">
        <v>0</v>
      </c>
      <c r="W33" s="43" t="s">
        <v>106</v>
      </c>
      <c r="X33" s="43" t="s">
        <v>1941</v>
      </c>
      <c r="Y33" s="43">
        <v>0</v>
      </c>
      <c r="Z33" s="43">
        <v>0</v>
      </c>
      <c r="AA33" s="43">
        <v>2007</v>
      </c>
      <c r="AB33" s="43">
        <v>9999</v>
      </c>
      <c r="AC33" s="43" t="s">
        <v>35</v>
      </c>
    </row>
    <row r="34" spans="1:29" x14ac:dyDescent="0.25">
      <c r="A34" s="43" t="s">
        <v>165</v>
      </c>
      <c r="B34" s="39" t="s">
        <v>877</v>
      </c>
      <c r="C34" s="43" t="s">
        <v>878</v>
      </c>
      <c r="D34" s="43">
        <v>1</v>
      </c>
      <c r="E34" s="56" t="s">
        <v>168</v>
      </c>
      <c r="F34" s="43">
        <v>1</v>
      </c>
      <c r="G34" s="43">
        <v>2026</v>
      </c>
      <c r="H34" s="43"/>
      <c r="I34" s="43">
        <v>187.3</v>
      </c>
      <c r="J34" s="43" t="s">
        <v>52</v>
      </c>
      <c r="K34" s="43" t="s">
        <v>47</v>
      </c>
      <c r="M34" s="43">
        <v>0</v>
      </c>
      <c r="N34" s="43">
        <v>1</v>
      </c>
      <c r="O34" s="43">
        <v>0</v>
      </c>
      <c r="P34" s="43">
        <v>0</v>
      </c>
      <c r="Q34" s="43">
        <v>0</v>
      </c>
      <c r="R34" s="43">
        <v>0</v>
      </c>
      <c r="S34" s="43">
        <v>1</v>
      </c>
      <c r="T34" s="43">
        <v>1</v>
      </c>
      <c r="U34" s="43">
        <v>1</v>
      </c>
      <c r="V34" s="43">
        <v>0</v>
      </c>
      <c r="W34" s="43" t="s">
        <v>2051</v>
      </c>
      <c r="X34" s="43" t="s">
        <v>2052</v>
      </c>
      <c r="Y34" s="43">
        <v>0</v>
      </c>
      <c r="Z34" s="43">
        <v>2</v>
      </c>
      <c r="AA34" s="43">
        <v>2026</v>
      </c>
      <c r="AB34" s="43">
        <v>9999</v>
      </c>
      <c r="AC34" s="43" t="s">
        <v>2058</v>
      </c>
    </row>
    <row r="35" spans="1:29" x14ac:dyDescent="0.25">
      <c r="A35" s="43" t="s">
        <v>453</v>
      </c>
      <c r="B35" s="39" t="s">
        <v>454</v>
      </c>
      <c r="C35" s="43" t="s">
        <v>455</v>
      </c>
      <c r="D35" s="43">
        <v>1</v>
      </c>
      <c r="E35" s="56" t="s">
        <v>456</v>
      </c>
      <c r="F35" s="43">
        <v>4</v>
      </c>
      <c r="G35" s="43">
        <v>2026</v>
      </c>
      <c r="H35" s="43"/>
      <c r="I35" s="43">
        <v>1194.8</v>
      </c>
      <c r="J35" s="43" t="s">
        <v>1608</v>
      </c>
      <c r="K35" s="43" t="s">
        <v>32</v>
      </c>
      <c r="L35" s="43" t="s">
        <v>33</v>
      </c>
      <c r="M35" s="43">
        <v>0</v>
      </c>
      <c r="N35" s="43">
        <v>1</v>
      </c>
      <c r="O35" s="43">
        <v>0</v>
      </c>
      <c r="P35" s="43">
        <v>0</v>
      </c>
      <c r="Q35" s="43">
        <v>0</v>
      </c>
      <c r="R35" s="43">
        <v>1</v>
      </c>
      <c r="S35" s="43">
        <v>1</v>
      </c>
      <c r="T35" s="43">
        <v>1</v>
      </c>
      <c r="U35" s="43">
        <v>1</v>
      </c>
      <c r="V35" s="43">
        <v>0</v>
      </c>
      <c r="W35" s="43" t="s">
        <v>1360</v>
      </c>
      <c r="X35" s="43" t="s">
        <v>1714</v>
      </c>
      <c r="Y35" s="43">
        <v>0</v>
      </c>
      <c r="Z35" s="43">
        <v>0</v>
      </c>
      <c r="AA35" s="43">
        <v>2007</v>
      </c>
      <c r="AB35" s="43">
        <v>9999</v>
      </c>
      <c r="AC35" s="43" t="s">
        <v>35</v>
      </c>
    </row>
    <row r="36" spans="1:29" x14ac:dyDescent="0.25">
      <c r="A36" s="43" t="s">
        <v>465</v>
      </c>
      <c r="B36" s="39" t="s">
        <v>466</v>
      </c>
      <c r="C36" s="43" t="s">
        <v>467</v>
      </c>
      <c r="D36" s="43">
        <v>1</v>
      </c>
      <c r="E36" s="56" t="s">
        <v>468</v>
      </c>
      <c r="F36" s="43">
        <v>7</v>
      </c>
      <c r="G36" s="43">
        <v>2026</v>
      </c>
      <c r="H36" s="43"/>
      <c r="I36" s="43">
        <v>1003.2</v>
      </c>
      <c r="J36" s="43" t="s">
        <v>40</v>
      </c>
      <c r="K36" s="43" t="s">
        <v>32</v>
      </c>
      <c r="M36" s="43">
        <v>0</v>
      </c>
      <c r="N36" s="43">
        <v>0</v>
      </c>
      <c r="O36" s="43">
        <v>0</v>
      </c>
      <c r="P36" s="43">
        <v>0</v>
      </c>
      <c r="Q36" s="43">
        <v>0</v>
      </c>
      <c r="R36" s="43">
        <v>0</v>
      </c>
      <c r="S36" s="43">
        <v>1</v>
      </c>
      <c r="T36" s="43">
        <v>1</v>
      </c>
      <c r="U36" s="43">
        <v>1</v>
      </c>
      <c r="V36" s="43">
        <v>0</v>
      </c>
      <c r="W36" s="43" t="s">
        <v>1583</v>
      </c>
      <c r="X36" s="43" t="s">
        <v>1872</v>
      </c>
      <c r="Y36" s="43">
        <v>0</v>
      </c>
      <c r="Z36" s="43">
        <v>0</v>
      </c>
      <c r="AA36" s="43">
        <v>2007</v>
      </c>
      <c r="AB36" s="43">
        <v>9999</v>
      </c>
      <c r="AC36" s="43" t="s">
        <v>35</v>
      </c>
    </row>
    <row r="37" spans="1:29" x14ac:dyDescent="0.25">
      <c r="A37" s="43" t="s">
        <v>1248</v>
      </c>
      <c r="B37" s="39" t="s">
        <v>1929</v>
      </c>
      <c r="C37" s="43" t="s">
        <v>1930</v>
      </c>
      <c r="D37" s="43">
        <v>1</v>
      </c>
      <c r="E37" s="56" t="s">
        <v>1251</v>
      </c>
      <c r="F37" s="43">
        <v>2</v>
      </c>
      <c r="G37" s="43">
        <v>2026</v>
      </c>
      <c r="H37" s="43"/>
      <c r="I37" s="43">
        <v>1415.4</v>
      </c>
      <c r="J37" s="43" t="s">
        <v>147</v>
      </c>
      <c r="K37" s="43" t="s">
        <v>47</v>
      </c>
      <c r="M37" s="43">
        <v>1</v>
      </c>
      <c r="N37" s="43">
        <v>1</v>
      </c>
      <c r="O37" s="43">
        <v>0</v>
      </c>
      <c r="P37" s="43">
        <v>0</v>
      </c>
      <c r="Q37" s="43">
        <v>0</v>
      </c>
      <c r="R37" s="43">
        <v>0</v>
      </c>
      <c r="S37" s="43">
        <v>1</v>
      </c>
      <c r="T37" s="43">
        <v>1</v>
      </c>
      <c r="U37" s="43">
        <v>1</v>
      </c>
      <c r="V37" s="43">
        <v>0</v>
      </c>
      <c r="W37" s="43" t="s">
        <v>1252</v>
      </c>
      <c r="X37" s="43" t="s">
        <v>2002</v>
      </c>
      <c r="Y37" s="43">
        <v>1</v>
      </c>
      <c r="Z37" s="43">
        <v>0</v>
      </c>
      <c r="AA37" s="43">
        <v>2009</v>
      </c>
      <c r="AB37" s="43">
        <v>9999</v>
      </c>
      <c r="AC37" s="43" t="s">
        <v>1239</v>
      </c>
    </row>
    <row r="38" spans="1:29" x14ac:dyDescent="0.25">
      <c r="A38" s="43" t="s">
        <v>559</v>
      </c>
      <c r="B38" s="39" t="s">
        <v>1600</v>
      </c>
      <c r="C38" s="43" t="s">
        <v>1601</v>
      </c>
      <c r="D38" s="43">
        <v>1</v>
      </c>
      <c r="E38" s="56" t="s">
        <v>103</v>
      </c>
      <c r="F38" s="43">
        <v>9</v>
      </c>
      <c r="G38" s="43">
        <v>2026</v>
      </c>
      <c r="H38" s="43"/>
      <c r="I38" s="43">
        <v>1069.8</v>
      </c>
      <c r="J38" s="43" t="s">
        <v>104</v>
      </c>
      <c r="K38" s="43" t="s">
        <v>53</v>
      </c>
      <c r="L38" s="43" t="s">
        <v>105</v>
      </c>
      <c r="M38" s="43">
        <v>0</v>
      </c>
      <c r="N38" s="43">
        <v>0</v>
      </c>
      <c r="O38" s="43">
        <v>0</v>
      </c>
      <c r="P38" s="43">
        <v>1</v>
      </c>
      <c r="Q38" s="43">
        <v>0</v>
      </c>
      <c r="R38" s="43">
        <v>0</v>
      </c>
      <c r="S38" s="43">
        <v>1</v>
      </c>
      <c r="T38" s="43">
        <v>1</v>
      </c>
      <c r="U38" s="43">
        <v>1</v>
      </c>
      <c r="V38" s="43">
        <v>0</v>
      </c>
      <c r="W38" s="43" t="s">
        <v>106</v>
      </c>
      <c r="X38" s="43" t="s">
        <v>1941</v>
      </c>
      <c r="Y38" s="43">
        <v>0</v>
      </c>
      <c r="Z38" s="43">
        <v>0</v>
      </c>
      <c r="AA38" s="43">
        <v>2007</v>
      </c>
      <c r="AB38" s="43">
        <v>9999</v>
      </c>
      <c r="AC38" s="43" t="s">
        <v>35</v>
      </c>
    </row>
    <row r="39" spans="1:29" ht="30" x14ac:dyDescent="0.25">
      <c r="A39" s="43" t="s">
        <v>545</v>
      </c>
      <c r="B39" s="39" t="s">
        <v>1481</v>
      </c>
      <c r="C39" s="43" t="s">
        <v>1482</v>
      </c>
      <c r="D39" s="43">
        <v>1</v>
      </c>
      <c r="E39" s="56" t="s">
        <v>1361</v>
      </c>
      <c r="F39" s="43">
        <v>10</v>
      </c>
      <c r="G39" s="43">
        <v>2026</v>
      </c>
      <c r="H39" s="43"/>
      <c r="I39" s="43">
        <v>47.7</v>
      </c>
      <c r="J39" s="43" t="s">
        <v>40</v>
      </c>
      <c r="K39" s="43" t="s">
        <v>47</v>
      </c>
      <c r="M39" s="43">
        <v>1</v>
      </c>
      <c r="N39" s="43">
        <v>0</v>
      </c>
      <c r="O39" s="43">
        <v>0</v>
      </c>
      <c r="P39" s="43">
        <v>0</v>
      </c>
      <c r="Q39" s="43">
        <v>0</v>
      </c>
      <c r="R39" s="43">
        <v>0</v>
      </c>
      <c r="S39" s="43">
        <v>1</v>
      </c>
      <c r="T39" s="43">
        <v>1</v>
      </c>
      <c r="U39" s="43">
        <v>1</v>
      </c>
      <c r="V39" s="43">
        <v>0</v>
      </c>
      <c r="W39" s="43" t="s">
        <v>1550</v>
      </c>
      <c r="X39" s="43" t="s">
        <v>1997</v>
      </c>
      <c r="Y39" s="43">
        <v>0</v>
      </c>
      <c r="Z39" s="43">
        <v>0</v>
      </c>
      <c r="AA39" s="43">
        <v>2007</v>
      </c>
      <c r="AB39" s="43">
        <v>9999</v>
      </c>
      <c r="AC39" s="43" t="s">
        <v>35</v>
      </c>
    </row>
    <row r="40" spans="1:29" ht="30" x14ac:dyDescent="0.25">
      <c r="A40" s="43" t="s">
        <v>964</v>
      </c>
      <c r="B40" s="39" t="s">
        <v>1484</v>
      </c>
      <c r="C40" s="43" t="s">
        <v>1599</v>
      </c>
      <c r="D40" s="43">
        <v>1</v>
      </c>
      <c r="E40" s="56" t="s">
        <v>80</v>
      </c>
      <c r="F40" s="43">
        <v>8</v>
      </c>
      <c r="G40" s="43">
        <v>2026</v>
      </c>
      <c r="H40" s="43"/>
      <c r="I40" s="43">
        <v>136</v>
      </c>
      <c r="J40" s="43" t="s">
        <v>40</v>
      </c>
      <c r="K40" s="43" t="s">
        <v>47</v>
      </c>
      <c r="M40" s="43">
        <v>1</v>
      </c>
      <c r="N40" s="43">
        <v>0</v>
      </c>
      <c r="O40" s="43">
        <v>0</v>
      </c>
      <c r="P40" s="43">
        <v>0</v>
      </c>
      <c r="Q40" s="43">
        <v>0</v>
      </c>
      <c r="R40" s="43">
        <v>0</v>
      </c>
      <c r="S40" s="43">
        <v>1</v>
      </c>
      <c r="T40" s="43">
        <v>1</v>
      </c>
      <c r="U40" s="43">
        <v>1</v>
      </c>
      <c r="V40" s="43">
        <v>0</v>
      </c>
      <c r="W40" s="43" t="s">
        <v>1569</v>
      </c>
      <c r="X40" s="43" t="s">
        <v>1736</v>
      </c>
      <c r="Y40" s="43">
        <v>0</v>
      </c>
      <c r="Z40" s="43">
        <v>0</v>
      </c>
      <c r="AA40" s="43">
        <v>2007</v>
      </c>
      <c r="AB40" s="43">
        <v>9999</v>
      </c>
      <c r="AC40" s="43" t="s">
        <v>35</v>
      </c>
    </row>
    <row r="41" spans="1:29" x14ac:dyDescent="0.25">
      <c r="A41" s="43" t="s">
        <v>828</v>
      </c>
      <c r="B41" s="39" t="s">
        <v>1408</v>
      </c>
      <c r="C41" s="43" t="s">
        <v>1409</v>
      </c>
      <c r="D41" s="43">
        <v>1</v>
      </c>
      <c r="E41" s="56" t="s">
        <v>80</v>
      </c>
      <c r="F41" s="43">
        <v>8</v>
      </c>
      <c r="G41" s="43">
        <v>2026</v>
      </c>
      <c r="H41" s="43"/>
      <c r="I41" s="43">
        <v>68.7</v>
      </c>
      <c r="J41" s="43" t="s">
        <v>81</v>
      </c>
      <c r="K41" s="43" t="s">
        <v>47</v>
      </c>
      <c r="M41" s="43">
        <v>1</v>
      </c>
      <c r="N41" s="43">
        <v>0</v>
      </c>
      <c r="O41" s="43">
        <v>0</v>
      </c>
      <c r="P41" s="43">
        <v>0</v>
      </c>
      <c r="Q41" s="43">
        <v>0</v>
      </c>
      <c r="R41" s="43">
        <v>0</v>
      </c>
      <c r="S41" s="43">
        <v>1</v>
      </c>
      <c r="T41" s="43">
        <v>1</v>
      </c>
      <c r="U41" s="43">
        <v>1</v>
      </c>
      <c r="V41" s="43">
        <v>0</v>
      </c>
      <c r="W41" s="43" t="s">
        <v>1410</v>
      </c>
      <c r="X41" s="43" t="s">
        <v>1795</v>
      </c>
      <c r="Y41" s="43">
        <v>0</v>
      </c>
      <c r="Z41" s="43">
        <v>0</v>
      </c>
      <c r="AA41" s="43">
        <v>2007</v>
      </c>
      <c r="AB41" s="43">
        <v>9999</v>
      </c>
      <c r="AC41" s="43" t="s">
        <v>35</v>
      </c>
    </row>
    <row r="42" spans="1:29" x14ac:dyDescent="0.25">
      <c r="A42" s="43" t="s">
        <v>1309</v>
      </c>
      <c r="B42" s="39" t="s">
        <v>1310</v>
      </c>
      <c r="C42" s="43" t="s">
        <v>1311</v>
      </c>
      <c r="D42" s="43">
        <v>1</v>
      </c>
      <c r="E42" s="56" t="s">
        <v>1312</v>
      </c>
      <c r="F42" s="43">
        <v>9</v>
      </c>
      <c r="G42" s="43">
        <v>2026</v>
      </c>
      <c r="H42" s="43"/>
      <c r="I42" s="43">
        <v>138.4</v>
      </c>
      <c r="J42" s="43" t="s">
        <v>104</v>
      </c>
      <c r="K42" s="43" t="s">
        <v>47</v>
      </c>
      <c r="M42" s="43">
        <v>1</v>
      </c>
      <c r="N42" s="43">
        <v>0</v>
      </c>
      <c r="O42" s="43">
        <v>0</v>
      </c>
      <c r="P42" s="43">
        <v>0</v>
      </c>
      <c r="Q42" s="43">
        <v>0</v>
      </c>
      <c r="R42" s="43">
        <v>0</v>
      </c>
      <c r="S42" s="43">
        <v>1</v>
      </c>
      <c r="T42" s="43">
        <v>1</v>
      </c>
      <c r="U42" s="43">
        <v>1</v>
      </c>
      <c r="V42" s="43">
        <v>0</v>
      </c>
      <c r="W42" s="43" t="s">
        <v>1404</v>
      </c>
      <c r="X42" s="43" t="s">
        <v>1738</v>
      </c>
      <c r="Y42" s="43">
        <v>0</v>
      </c>
      <c r="Z42" s="43">
        <v>3</v>
      </c>
      <c r="AA42" s="43">
        <v>2010</v>
      </c>
      <c r="AB42" s="43">
        <v>9999</v>
      </c>
      <c r="AC42" s="43" t="s">
        <v>1292</v>
      </c>
    </row>
    <row r="43" spans="1:29" x14ac:dyDescent="0.25">
      <c r="A43" s="43" t="s">
        <v>954</v>
      </c>
      <c r="B43" s="39" t="s">
        <v>1585</v>
      </c>
      <c r="C43" s="43" t="s">
        <v>956</v>
      </c>
      <c r="D43" s="43">
        <v>1</v>
      </c>
      <c r="E43" s="56" t="s">
        <v>218</v>
      </c>
      <c r="F43" s="43">
        <v>2</v>
      </c>
      <c r="G43" s="43">
        <v>2026</v>
      </c>
      <c r="H43" s="43"/>
      <c r="I43" s="43">
        <v>357</v>
      </c>
      <c r="J43" s="43" t="s">
        <v>147</v>
      </c>
      <c r="K43" s="43" t="s">
        <v>47</v>
      </c>
      <c r="M43" s="43">
        <v>1</v>
      </c>
      <c r="N43" s="43">
        <v>0</v>
      </c>
      <c r="O43" s="43">
        <v>0</v>
      </c>
      <c r="P43" s="43">
        <v>0</v>
      </c>
      <c r="Q43" s="43">
        <v>0</v>
      </c>
      <c r="R43" s="43">
        <v>0</v>
      </c>
      <c r="S43" s="43">
        <v>1</v>
      </c>
      <c r="T43" s="43">
        <v>1</v>
      </c>
      <c r="U43" s="43">
        <v>1</v>
      </c>
      <c r="V43" s="43">
        <v>0</v>
      </c>
      <c r="W43" s="43" t="s">
        <v>1384</v>
      </c>
      <c r="X43" s="43" t="s">
        <v>1826</v>
      </c>
      <c r="Y43" s="43">
        <v>0</v>
      </c>
      <c r="Z43" s="43">
        <v>0</v>
      </c>
      <c r="AA43" s="43">
        <v>2007</v>
      </c>
      <c r="AB43" s="43">
        <v>9999</v>
      </c>
      <c r="AC43" s="43" t="s">
        <v>35</v>
      </c>
    </row>
    <row r="44" spans="1:29" x14ac:dyDescent="0.25">
      <c r="A44" s="43" t="s">
        <v>613</v>
      </c>
      <c r="B44" s="39" t="s">
        <v>254</v>
      </c>
      <c r="C44" s="43" t="s">
        <v>614</v>
      </c>
      <c r="D44" s="43">
        <v>1</v>
      </c>
      <c r="E44" s="56" t="s">
        <v>45</v>
      </c>
      <c r="F44" s="43">
        <v>4</v>
      </c>
      <c r="G44" s="43">
        <v>2026</v>
      </c>
      <c r="H44" s="43"/>
      <c r="I44" s="43">
        <v>274.89999999999998</v>
      </c>
      <c r="J44" s="43" t="s">
        <v>1610</v>
      </c>
      <c r="K44" s="43" t="s">
        <v>47</v>
      </c>
      <c r="M44" s="43">
        <v>1</v>
      </c>
      <c r="N44" s="43">
        <v>0</v>
      </c>
      <c r="O44" s="43">
        <v>0</v>
      </c>
      <c r="P44" s="43">
        <v>0</v>
      </c>
      <c r="Q44" s="43">
        <v>0</v>
      </c>
      <c r="R44" s="43">
        <v>0</v>
      </c>
      <c r="S44" s="43">
        <v>1</v>
      </c>
      <c r="T44" s="43">
        <v>1</v>
      </c>
      <c r="U44" s="43">
        <v>1</v>
      </c>
      <c r="V44" s="43">
        <v>0</v>
      </c>
      <c r="W44" s="43" t="s">
        <v>1140</v>
      </c>
      <c r="X44" s="43" t="s">
        <v>2009</v>
      </c>
      <c r="Y44" s="43">
        <v>0</v>
      </c>
      <c r="Z44" s="43">
        <v>0</v>
      </c>
      <c r="AA44" s="43">
        <v>2007</v>
      </c>
      <c r="AB44" s="43">
        <v>9999</v>
      </c>
      <c r="AC44" s="43" t="s">
        <v>35</v>
      </c>
    </row>
    <row r="45" spans="1:29" x14ac:dyDescent="0.25">
      <c r="A45" s="43" t="s">
        <v>622</v>
      </c>
      <c r="B45" s="39" t="s">
        <v>623</v>
      </c>
      <c r="C45" s="43" t="s">
        <v>624</v>
      </c>
      <c r="D45" s="43">
        <v>1</v>
      </c>
      <c r="E45" s="56" t="s">
        <v>625</v>
      </c>
      <c r="F45" s="43">
        <v>4</v>
      </c>
      <c r="G45" s="43">
        <v>2026</v>
      </c>
      <c r="H45" s="43"/>
      <c r="I45" s="43">
        <v>492</v>
      </c>
      <c r="J45" s="43" t="s">
        <v>52</v>
      </c>
      <c r="K45" s="43" t="s">
        <v>32</v>
      </c>
      <c r="M45" s="43">
        <v>0</v>
      </c>
      <c r="N45" s="43">
        <v>0</v>
      </c>
      <c r="O45" s="43">
        <v>0</v>
      </c>
      <c r="P45" s="43">
        <v>0</v>
      </c>
      <c r="Q45" s="43">
        <v>0</v>
      </c>
      <c r="R45" s="43">
        <v>0</v>
      </c>
      <c r="S45" s="43">
        <v>1</v>
      </c>
      <c r="T45" s="43">
        <v>1</v>
      </c>
      <c r="U45" s="43">
        <v>1</v>
      </c>
      <c r="V45" s="43">
        <v>0</v>
      </c>
      <c r="W45" s="43" t="s">
        <v>1142</v>
      </c>
      <c r="X45" s="43" t="s">
        <v>2013</v>
      </c>
      <c r="Y45" s="43">
        <v>0</v>
      </c>
      <c r="Z45" s="43">
        <v>0</v>
      </c>
      <c r="AA45" s="43">
        <v>2007</v>
      </c>
      <c r="AB45" s="43">
        <v>9999</v>
      </c>
      <c r="AC45" s="43" t="s">
        <v>35</v>
      </c>
    </row>
    <row r="46" spans="1:29" x14ac:dyDescent="0.25">
      <c r="A46" s="43" t="s">
        <v>676</v>
      </c>
      <c r="B46" s="39" t="s">
        <v>677</v>
      </c>
      <c r="C46" s="43" t="s">
        <v>678</v>
      </c>
      <c r="D46" s="43">
        <v>1</v>
      </c>
      <c r="E46" s="56" t="s">
        <v>168</v>
      </c>
      <c r="F46" s="43">
        <v>1</v>
      </c>
      <c r="G46" s="43">
        <v>2026</v>
      </c>
      <c r="H46" s="43"/>
      <c r="I46" s="43">
        <v>229.1</v>
      </c>
      <c r="J46" s="43" t="s">
        <v>52</v>
      </c>
      <c r="K46" s="43" t="s">
        <v>32</v>
      </c>
      <c r="M46" s="43">
        <v>0</v>
      </c>
      <c r="N46" s="43">
        <v>0</v>
      </c>
      <c r="O46" s="43">
        <v>0</v>
      </c>
      <c r="P46" s="43">
        <v>0</v>
      </c>
      <c r="Q46" s="43">
        <v>0</v>
      </c>
      <c r="R46" s="43">
        <v>0</v>
      </c>
      <c r="S46" s="43">
        <v>1</v>
      </c>
      <c r="T46" s="43">
        <v>1</v>
      </c>
      <c r="U46" s="43">
        <v>1</v>
      </c>
      <c r="V46" s="43">
        <v>0</v>
      </c>
      <c r="W46" s="43" t="s">
        <v>1759</v>
      </c>
      <c r="X46" s="43" t="s">
        <v>2016</v>
      </c>
      <c r="Y46" s="43">
        <v>1</v>
      </c>
      <c r="Z46" s="43">
        <v>0</v>
      </c>
      <c r="AA46" s="43">
        <v>2007</v>
      </c>
      <c r="AB46" s="43">
        <v>9999</v>
      </c>
      <c r="AC46" s="43" t="s">
        <v>35</v>
      </c>
    </row>
    <row r="47" spans="1:29" x14ac:dyDescent="0.25">
      <c r="A47" s="43" t="s">
        <v>641</v>
      </c>
      <c r="B47" s="39" t="s">
        <v>642</v>
      </c>
      <c r="C47" s="43" t="s">
        <v>2055</v>
      </c>
      <c r="D47" s="43">
        <v>1</v>
      </c>
      <c r="E47" s="56" t="s">
        <v>348</v>
      </c>
      <c r="F47" s="43">
        <v>1</v>
      </c>
      <c r="G47" s="43">
        <v>2026</v>
      </c>
      <c r="H47" s="43"/>
      <c r="I47" s="43">
        <v>4218.2</v>
      </c>
      <c r="J47" s="43" t="s">
        <v>268</v>
      </c>
      <c r="K47" s="43" t="s">
        <v>53</v>
      </c>
      <c r="L47" s="43" t="s">
        <v>642</v>
      </c>
      <c r="M47" s="43">
        <v>0</v>
      </c>
      <c r="N47" s="43">
        <v>0</v>
      </c>
      <c r="O47" s="43">
        <v>0</v>
      </c>
      <c r="P47" s="43">
        <v>0</v>
      </c>
      <c r="Q47" s="43">
        <v>0</v>
      </c>
      <c r="R47" s="43">
        <v>0</v>
      </c>
      <c r="S47" s="43">
        <v>0</v>
      </c>
      <c r="T47" s="43">
        <v>1</v>
      </c>
      <c r="U47" s="43">
        <v>1</v>
      </c>
      <c r="V47" s="43">
        <v>0</v>
      </c>
      <c r="W47" s="43" t="s">
        <v>643</v>
      </c>
      <c r="X47" s="43" t="s">
        <v>2014</v>
      </c>
      <c r="Y47" s="43">
        <v>0</v>
      </c>
      <c r="Z47" s="43">
        <v>0</v>
      </c>
      <c r="AA47" s="43">
        <v>2007</v>
      </c>
      <c r="AB47" s="43">
        <v>9999</v>
      </c>
      <c r="AC47" s="43" t="s">
        <v>35</v>
      </c>
    </row>
    <row r="48" spans="1:29" x14ac:dyDescent="0.25">
      <c r="A48" s="43" t="s">
        <v>706</v>
      </c>
      <c r="B48" s="39" t="s">
        <v>707</v>
      </c>
      <c r="C48" s="43" t="s">
        <v>708</v>
      </c>
      <c r="D48" s="43">
        <v>1</v>
      </c>
      <c r="E48" s="56" t="s">
        <v>155</v>
      </c>
      <c r="F48" s="43">
        <v>3</v>
      </c>
      <c r="G48" s="43">
        <v>2026</v>
      </c>
      <c r="H48" s="43"/>
      <c r="I48" s="43">
        <v>519.6</v>
      </c>
      <c r="J48" s="43" t="s">
        <v>121</v>
      </c>
      <c r="K48" s="43" t="s">
        <v>47</v>
      </c>
      <c r="M48" s="43">
        <v>1</v>
      </c>
      <c r="N48" s="43">
        <v>0</v>
      </c>
      <c r="O48" s="43">
        <v>0</v>
      </c>
      <c r="P48" s="43">
        <v>0</v>
      </c>
      <c r="Q48" s="43">
        <v>0</v>
      </c>
      <c r="R48" s="43">
        <v>0</v>
      </c>
      <c r="S48" s="43">
        <v>1</v>
      </c>
      <c r="T48" s="43">
        <v>1</v>
      </c>
      <c r="U48" s="43">
        <v>1</v>
      </c>
      <c r="V48" s="43">
        <v>0</v>
      </c>
      <c r="W48" s="43" t="s">
        <v>1159</v>
      </c>
      <c r="X48" s="43" t="s">
        <v>2017</v>
      </c>
      <c r="Y48" s="43">
        <v>0</v>
      </c>
      <c r="Z48" s="43">
        <v>0</v>
      </c>
      <c r="AA48" s="43">
        <v>2007</v>
      </c>
      <c r="AB48" s="43">
        <v>9999</v>
      </c>
      <c r="AC48" s="43" t="s">
        <v>35</v>
      </c>
    </row>
    <row r="49" spans="1:29" ht="30" x14ac:dyDescent="0.25">
      <c r="A49" s="43" t="s">
        <v>758</v>
      </c>
      <c r="B49" s="39" t="s">
        <v>1504</v>
      </c>
      <c r="C49" s="43" t="s">
        <v>1505</v>
      </c>
      <c r="D49" s="43">
        <v>1</v>
      </c>
      <c r="E49" s="56" t="s">
        <v>760</v>
      </c>
      <c r="F49" s="43">
        <v>7</v>
      </c>
      <c r="G49" s="43">
        <v>2026</v>
      </c>
      <c r="H49" s="43"/>
      <c r="I49" s="43">
        <v>98.6</v>
      </c>
      <c r="J49" s="43" t="s">
        <v>40</v>
      </c>
      <c r="K49" s="43" t="s">
        <v>47</v>
      </c>
      <c r="M49" s="43">
        <v>1</v>
      </c>
      <c r="N49" s="43">
        <v>0</v>
      </c>
      <c r="O49" s="43">
        <v>0</v>
      </c>
      <c r="P49" s="43">
        <v>0</v>
      </c>
      <c r="Q49" s="43">
        <v>0</v>
      </c>
      <c r="R49" s="43">
        <v>0</v>
      </c>
      <c r="S49" s="43">
        <v>1</v>
      </c>
      <c r="T49" s="43">
        <v>1</v>
      </c>
      <c r="U49" s="43">
        <v>1</v>
      </c>
      <c r="V49" s="43">
        <v>0</v>
      </c>
      <c r="W49" s="43" t="s">
        <v>1170</v>
      </c>
      <c r="X49" s="43" t="s">
        <v>2023</v>
      </c>
      <c r="Y49" s="43">
        <v>0</v>
      </c>
      <c r="Z49" s="43">
        <v>0</v>
      </c>
      <c r="AA49" s="43">
        <v>2007</v>
      </c>
      <c r="AB49" s="43">
        <v>9999</v>
      </c>
      <c r="AC49" s="43" t="s">
        <v>35</v>
      </c>
    </row>
    <row r="50" spans="1:29" x14ac:dyDescent="0.25">
      <c r="A50" s="43" t="s">
        <v>871</v>
      </c>
      <c r="B50" s="39" t="s">
        <v>872</v>
      </c>
      <c r="C50" s="43" t="s">
        <v>873</v>
      </c>
      <c r="D50" s="43">
        <v>1</v>
      </c>
      <c r="E50" s="56" t="s">
        <v>874</v>
      </c>
      <c r="F50" s="43">
        <v>1</v>
      </c>
      <c r="G50" s="43">
        <v>2026</v>
      </c>
      <c r="H50" s="43"/>
      <c r="I50" s="43">
        <v>944</v>
      </c>
      <c r="J50" s="43" t="s">
        <v>52</v>
      </c>
      <c r="K50" s="43" t="s">
        <v>47</v>
      </c>
      <c r="M50" s="43">
        <v>1</v>
      </c>
      <c r="N50" s="43">
        <v>0</v>
      </c>
      <c r="O50" s="43">
        <v>0</v>
      </c>
      <c r="P50" s="43">
        <v>0</v>
      </c>
      <c r="Q50" s="43">
        <v>0</v>
      </c>
      <c r="R50" s="43">
        <v>0</v>
      </c>
      <c r="S50" s="43">
        <v>1</v>
      </c>
      <c r="T50" s="43">
        <v>1</v>
      </c>
      <c r="U50" s="43">
        <v>1</v>
      </c>
      <c r="V50" s="43">
        <v>0</v>
      </c>
      <c r="W50" s="43" t="s">
        <v>1528</v>
      </c>
      <c r="X50" s="43" t="s">
        <v>1806</v>
      </c>
      <c r="Y50" s="43">
        <v>0</v>
      </c>
      <c r="Z50" s="43">
        <v>2</v>
      </c>
      <c r="AA50" s="43">
        <v>2007</v>
      </c>
      <c r="AB50" s="43">
        <v>9999</v>
      </c>
      <c r="AC50" s="43" t="s">
        <v>35</v>
      </c>
    </row>
    <row r="51" spans="1:29" x14ac:dyDescent="0.25">
      <c r="A51" s="43" t="s">
        <v>772</v>
      </c>
      <c r="B51" s="39" t="s">
        <v>773</v>
      </c>
      <c r="C51" s="43" t="s">
        <v>774</v>
      </c>
      <c r="D51" s="43">
        <v>1</v>
      </c>
      <c r="E51" s="56" t="s">
        <v>358</v>
      </c>
      <c r="F51" s="43">
        <v>1</v>
      </c>
      <c r="G51" s="43">
        <v>2026</v>
      </c>
      <c r="H51" s="43"/>
      <c r="I51" s="43">
        <v>579.5</v>
      </c>
      <c r="J51" s="43" t="s">
        <v>52</v>
      </c>
      <c r="K51" s="43" t="s">
        <v>32</v>
      </c>
      <c r="M51" s="43">
        <v>0</v>
      </c>
      <c r="N51" s="43">
        <v>1</v>
      </c>
      <c r="O51" s="43">
        <v>0</v>
      </c>
      <c r="P51" s="43">
        <v>0</v>
      </c>
      <c r="Q51" s="43">
        <v>0</v>
      </c>
      <c r="R51" s="43">
        <v>0</v>
      </c>
      <c r="S51" s="43">
        <v>1</v>
      </c>
      <c r="T51" s="43">
        <v>1</v>
      </c>
      <c r="U51" s="43">
        <v>1</v>
      </c>
      <c r="V51" s="43">
        <v>0</v>
      </c>
      <c r="W51" s="43" t="s">
        <v>1174</v>
      </c>
      <c r="X51" s="43" t="s">
        <v>1783</v>
      </c>
      <c r="Y51" s="43">
        <v>0</v>
      </c>
      <c r="Z51" s="43">
        <v>0</v>
      </c>
      <c r="AA51" s="43">
        <v>2007</v>
      </c>
      <c r="AB51" s="43">
        <v>9999</v>
      </c>
      <c r="AC51" s="43" t="s">
        <v>35</v>
      </c>
    </row>
    <row r="52" spans="1:29" x14ac:dyDescent="0.25">
      <c r="A52" s="43" t="s">
        <v>97</v>
      </c>
      <c r="B52" s="39" t="s">
        <v>99</v>
      </c>
      <c r="C52" s="43" t="s">
        <v>923</v>
      </c>
      <c r="D52" s="43">
        <v>1</v>
      </c>
      <c r="E52" s="56" t="s">
        <v>45</v>
      </c>
      <c r="F52" s="43">
        <v>4</v>
      </c>
      <c r="G52" s="43">
        <v>2026</v>
      </c>
      <c r="H52" s="43"/>
      <c r="I52" s="43">
        <v>300.3</v>
      </c>
      <c r="J52" s="43" t="s">
        <v>1610</v>
      </c>
      <c r="K52" s="43" t="s">
        <v>47</v>
      </c>
      <c r="M52" s="43">
        <v>1</v>
      </c>
      <c r="N52" s="43">
        <v>0</v>
      </c>
      <c r="O52" s="43">
        <v>0</v>
      </c>
      <c r="P52" s="43">
        <v>0</v>
      </c>
      <c r="Q52" s="43">
        <v>0</v>
      </c>
      <c r="R52" s="43">
        <v>0</v>
      </c>
      <c r="S52" s="43">
        <v>1</v>
      </c>
      <c r="T52" s="43">
        <v>1</v>
      </c>
      <c r="U52" s="43">
        <v>1</v>
      </c>
      <c r="V52" s="43">
        <v>0</v>
      </c>
      <c r="W52" s="43" t="s">
        <v>1277</v>
      </c>
      <c r="X52" s="43" t="s">
        <v>1817</v>
      </c>
      <c r="Y52" s="43">
        <v>1</v>
      </c>
      <c r="Z52" s="43">
        <v>0</v>
      </c>
      <c r="AA52" s="43">
        <v>2007</v>
      </c>
      <c r="AB52" s="43">
        <v>9999</v>
      </c>
      <c r="AC52" s="43" t="s">
        <v>35</v>
      </c>
    </row>
    <row r="53" spans="1:29" x14ac:dyDescent="0.25">
      <c r="A53" s="43" t="s">
        <v>786</v>
      </c>
      <c r="B53" s="39" t="s">
        <v>787</v>
      </c>
      <c r="C53" s="43" t="s">
        <v>788</v>
      </c>
      <c r="D53" s="43">
        <v>1</v>
      </c>
      <c r="E53" s="56" t="s">
        <v>120</v>
      </c>
      <c r="F53" s="43">
        <v>3</v>
      </c>
      <c r="G53" s="43">
        <v>2026</v>
      </c>
      <c r="H53" s="43"/>
      <c r="I53" s="43">
        <v>31.7</v>
      </c>
      <c r="J53" s="43" t="s">
        <v>147</v>
      </c>
      <c r="K53" s="43" t="s">
        <v>47</v>
      </c>
      <c r="M53" s="43">
        <v>0</v>
      </c>
      <c r="N53" s="43">
        <v>0</v>
      </c>
      <c r="O53" s="43">
        <v>0</v>
      </c>
      <c r="P53" s="43">
        <v>0</v>
      </c>
      <c r="Q53" s="43">
        <v>0</v>
      </c>
      <c r="R53" s="43">
        <v>0</v>
      </c>
      <c r="S53" s="43">
        <v>1</v>
      </c>
      <c r="T53" s="43">
        <v>1</v>
      </c>
      <c r="U53" s="43">
        <v>1</v>
      </c>
      <c r="V53" s="43">
        <v>0</v>
      </c>
      <c r="W53" s="43" t="s">
        <v>1178</v>
      </c>
      <c r="X53" s="43" t="s">
        <v>1786</v>
      </c>
      <c r="Y53" s="43">
        <v>0</v>
      </c>
      <c r="Z53" s="43">
        <v>0</v>
      </c>
      <c r="AA53" s="43">
        <v>2007</v>
      </c>
      <c r="AB53" s="43">
        <v>9999</v>
      </c>
      <c r="AC53" s="43" t="s">
        <v>35</v>
      </c>
    </row>
    <row r="54" spans="1:29" x14ac:dyDescent="0.25">
      <c r="A54" s="43" t="s">
        <v>908</v>
      </c>
      <c r="B54" s="39" t="s">
        <v>909</v>
      </c>
      <c r="C54" s="43" t="s">
        <v>910</v>
      </c>
      <c r="D54" s="43">
        <v>1</v>
      </c>
      <c r="E54" s="56" t="s">
        <v>911</v>
      </c>
      <c r="F54" s="43">
        <v>1</v>
      </c>
      <c r="G54" s="43">
        <v>2026</v>
      </c>
      <c r="H54" s="43"/>
      <c r="I54" s="43">
        <v>99.1</v>
      </c>
      <c r="J54" s="43" t="s">
        <v>176</v>
      </c>
      <c r="K54" s="43" t="s">
        <v>47</v>
      </c>
      <c r="M54" s="43">
        <v>1</v>
      </c>
      <c r="N54" s="43">
        <v>0</v>
      </c>
      <c r="O54" s="43">
        <v>0</v>
      </c>
      <c r="P54" s="43">
        <v>0</v>
      </c>
      <c r="Q54" s="43">
        <v>0</v>
      </c>
      <c r="R54" s="43">
        <v>0</v>
      </c>
      <c r="S54" s="43">
        <v>1</v>
      </c>
      <c r="T54" s="43">
        <v>1</v>
      </c>
      <c r="U54" s="43">
        <v>1</v>
      </c>
      <c r="V54" s="43">
        <v>0</v>
      </c>
      <c r="W54" s="43" t="s">
        <v>1518</v>
      </c>
      <c r="X54" s="43" t="s">
        <v>2048</v>
      </c>
      <c r="Y54" s="43">
        <v>0</v>
      </c>
      <c r="Z54" s="43">
        <v>0</v>
      </c>
      <c r="AA54" s="43">
        <v>2007</v>
      </c>
      <c r="AB54" s="43">
        <v>9999</v>
      </c>
      <c r="AC54" s="43" t="s">
        <v>35</v>
      </c>
    </row>
    <row r="55" spans="1:29" ht="30" x14ac:dyDescent="0.25">
      <c r="A55" s="43" t="s">
        <v>887</v>
      </c>
      <c r="B55" s="39" t="s">
        <v>888</v>
      </c>
      <c r="C55" s="43" t="s">
        <v>889</v>
      </c>
      <c r="D55" s="43">
        <v>1</v>
      </c>
      <c r="E55" s="56" t="s">
        <v>335</v>
      </c>
      <c r="F55" s="43">
        <v>1</v>
      </c>
      <c r="G55" s="43">
        <v>2026</v>
      </c>
      <c r="H55" s="43"/>
      <c r="I55" s="43">
        <v>636.4</v>
      </c>
      <c r="J55" s="43" t="s">
        <v>176</v>
      </c>
      <c r="K55" s="43" t="s">
        <v>32</v>
      </c>
      <c r="M55" s="43">
        <v>0</v>
      </c>
      <c r="N55" s="43">
        <v>1</v>
      </c>
      <c r="O55" s="43">
        <v>0</v>
      </c>
      <c r="P55" s="43">
        <v>0</v>
      </c>
      <c r="Q55" s="43">
        <v>0</v>
      </c>
      <c r="R55" s="43">
        <v>0</v>
      </c>
      <c r="S55" s="43">
        <v>1</v>
      </c>
      <c r="T55" s="43">
        <v>1</v>
      </c>
      <c r="U55" s="43">
        <v>1</v>
      </c>
      <c r="V55" s="43">
        <v>0</v>
      </c>
      <c r="W55" s="43" t="s">
        <v>2033</v>
      </c>
      <c r="X55" s="43" t="s">
        <v>2050</v>
      </c>
      <c r="Y55" s="43">
        <v>0</v>
      </c>
      <c r="Z55" s="43">
        <v>1</v>
      </c>
      <c r="AA55" s="43">
        <v>2007</v>
      </c>
      <c r="AB55" s="43">
        <v>9999</v>
      </c>
      <c r="AC55" s="43" t="s">
        <v>35</v>
      </c>
    </row>
    <row r="56" spans="1:29" x14ac:dyDescent="0.25">
      <c r="A56" s="43" t="s">
        <v>913</v>
      </c>
      <c r="B56" s="39" t="s">
        <v>914</v>
      </c>
      <c r="C56" s="43" t="s">
        <v>915</v>
      </c>
      <c r="D56" s="43">
        <v>1</v>
      </c>
      <c r="E56" s="56" t="s">
        <v>911</v>
      </c>
      <c r="F56" s="43">
        <v>1</v>
      </c>
      <c r="G56" s="43">
        <v>2026</v>
      </c>
      <c r="H56" s="43"/>
      <c r="I56" s="43">
        <v>12.1</v>
      </c>
      <c r="J56" s="43" t="s">
        <v>268</v>
      </c>
      <c r="K56" s="43" t="s">
        <v>47</v>
      </c>
      <c r="M56" s="43">
        <v>1</v>
      </c>
      <c r="N56" s="43">
        <v>0</v>
      </c>
      <c r="O56" s="43">
        <v>0</v>
      </c>
      <c r="P56" s="43">
        <v>0</v>
      </c>
      <c r="Q56" s="43">
        <v>0</v>
      </c>
      <c r="R56" s="43">
        <v>0</v>
      </c>
      <c r="S56" s="43">
        <v>1</v>
      </c>
      <c r="T56" s="43">
        <v>1</v>
      </c>
      <c r="U56" s="43">
        <v>1</v>
      </c>
      <c r="V56" s="43">
        <v>0</v>
      </c>
      <c r="W56" s="43" t="s">
        <v>1276</v>
      </c>
      <c r="X56" s="43" t="s">
        <v>1815</v>
      </c>
      <c r="Y56" s="43">
        <v>0</v>
      </c>
      <c r="Z56" s="43">
        <v>0</v>
      </c>
      <c r="AA56" s="43">
        <v>2007</v>
      </c>
      <c r="AB56" s="43">
        <v>9999</v>
      </c>
      <c r="AC56" s="43" t="s">
        <v>35</v>
      </c>
    </row>
    <row r="57" spans="1:29" x14ac:dyDescent="0.25">
      <c r="A57" s="43" t="s">
        <v>796</v>
      </c>
      <c r="B57" s="39" t="s">
        <v>797</v>
      </c>
      <c r="C57" s="43" t="s">
        <v>798</v>
      </c>
      <c r="D57" s="43">
        <v>1</v>
      </c>
      <c r="E57" s="56" t="s">
        <v>534</v>
      </c>
      <c r="F57" s="43">
        <v>10</v>
      </c>
      <c r="G57" s="43">
        <v>2026</v>
      </c>
      <c r="H57" s="43"/>
      <c r="I57" s="43">
        <v>4770.8999999999996</v>
      </c>
      <c r="J57" s="43" t="s">
        <v>40</v>
      </c>
      <c r="K57" s="43" t="s">
        <v>47</v>
      </c>
      <c r="M57" s="43">
        <v>1</v>
      </c>
      <c r="N57" s="43">
        <v>1</v>
      </c>
      <c r="O57" s="43">
        <v>0</v>
      </c>
      <c r="P57" s="43">
        <v>0</v>
      </c>
      <c r="Q57" s="43">
        <v>0</v>
      </c>
      <c r="R57" s="43">
        <v>0</v>
      </c>
      <c r="S57" s="43">
        <v>1</v>
      </c>
      <c r="T57" s="43">
        <v>1</v>
      </c>
      <c r="U57" s="43">
        <v>1</v>
      </c>
      <c r="V57" s="43">
        <v>0</v>
      </c>
      <c r="W57" s="43" t="s">
        <v>1181</v>
      </c>
      <c r="X57" s="43" t="s">
        <v>1789</v>
      </c>
      <c r="Y57" s="43">
        <v>0</v>
      </c>
      <c r="Z57" s="43">
        <v>0</v>
      </c>
      <c r="AA57" s="43">
        <v>2007</v>
      </c>
      <c r="AB57" s="43">
        <v>9999</v>
      </c>
      <c r="AC57" s="43" t="s">
        <v>35</v>
      </c>
    </row>
    <row r="58" spans="1:29" ht="30" x14ac:dyDescent="0.25">
      <c r="A58" s="43" t="s">
        <v>1327</v>
      </c>
      <c r="B58" s="39" t="s">
        <v>1328</v>
      </c>
      <c r="C58" s="43" t="s">
        <v>1329</v>
      </c>
      <c r="D58" s="43">
        <v>1</v>
      </c>
      <c r="E58" s="56" t="s">
        <v>218</v>
      </c>
      <c r="F58" s="43">
        <v>2</v>
      </c>
      <c r="G58" s="43">
        <v>2026</v>
      </c>
      <c r="H58" s="43"/>
      <c r="I58" s="43">
        <v>6</v>
      </c>
      <c r="J58" s="43" t="s">
        <v>147</v>
      </c>
      <c r="K58" s="43" t="s">
        <v>41</v>
      </c>
      <c r="M58" s="43">
        <v>0</v>
      </c>
      <c r="N58" s="43">
        <v>0</v>
      </c>
      <c r="O58" s="43">
        <v>0</v>
      </c>
      <c r="P58" s="43">
        <v>0</v>
      </c>
      <c r="Q58" s="43">
        <v>0</v>
      </c>
      <c r="R58" s="43">
        <v>0</v>
      </c>
      <c r="S58" s="43">
        <v>0</v>
      </c>
      <c r="T58" s="43">
        <v>1</v>
      </c>
      <c r="U58" s="43">
        <v>1</v>
      </c>
      <c r="V58" s="43">
        <v>0</v>
      </c>
      <c r="W58" s="43" t="s">
        <v>1330</v>
      </c>
      <c r="X58" s="43" t="s">
        <v>1788</v>
      </c>
      <c r="Y58" s="43">
        <v>1</v>
      </c>
      <c r="Z58" s="43">
        <v>0</v>
      </c>
      <c r="AA58" s="43">
        <v>2010</v>
      </c>
      <c r="AB58" s="43">
        <v>9999</v>
      </c>
      <c r="AC58" s="43" t="s">
        <v>1292</v>
      </c>
    </row>
    <row r="59" spans="1:29" x14ac:dyDescent="0.25">
      <c r="A59" s="43" t="s">
        <v>800</v>
      </c>
      <c r="B59" s="39" t="s">
        <v>801</v>
      </c>
      <c r="C59" s="43" t="s">
        <v>802</v>
      </c>
      <c r="D59" s="43">
        <v>1</v>
      </c>
      <c r="E59" s="56" t="s">
        <v>442</v>
      </c>
      <c r="F59" s="43">
        <v>4</v>
      </c>
      <c r="G59" s="43">
        <v>2026</v>
      </c>
      <c r="H59" s="43"/>
      <c r="I59" s="43">
        <v>1743.9</v>
      </c>
      <c r="J59" s="43" t="s">
        <v>1608</v>
      </c>
      <c r="K59" s="43" t="s">
        <v>32</v>
      </c>
      <c r="M59" s="43">
        <v>0</v>
      </c>
      <c r="N59" s="43">
        <v>1</v>
      </c>
      <c r="O59" s="43">
        <v>0</v>
      </c>
      <c r="P59" s="43">
        <v>0</v>
      </c>
      <c r="Q59" s="43">
        <v>0</v>
      </c>
      <c r="R59" s="43">
        <v>0</v>
      </c>
      <c r="S59" s="43">
        <v>1</v>
      </c>
      <c r="T59" s="43">
        <v>1</v>
      </c>
      <c r="U59" s="43">
        <v>1</v>
      </c>
      <c r="V59" s="43">
        <v>0</v>
      </c>
      <c r="W59" s="43" t="s">
        <v>1331</v>
      </c>
      <c r="X59" s="43" t="s">
        <v>2027</v>
      </c>
      <c r="Y59" s="43">
        <v>6</v>
      </c>
      <c r="Z59" s="43">
        <v>4</v>
      </c>
      <c r="AA59" s="43">
        <v>2007</v>
      </c>
      <c r="AB59" s="43">
        <v>9999</v>
      </c>
      <c r="AC59" s="43" t="s">
        <v>35</v>
      </c>
    </row>
    <row r="60" spans="1:29" x14ac:dyDescent="0.25">
      <c r="A60" s="43" t="s">
        <v>1268</v>
      </c>
      <c r="B60" s="39" t="s">
        <v>1262</v>
      </c>
      <c r="C60" s="43" t="s">
        <v>1605</v>
      </c>
      <c r="D60" s="43">
        <v>1</v>
      </c>
      <c r="E60" s="56" t="s">
        <v>300</v>
      </c>
      <c r="F60" s="43">
        <v>9</v>
      </c>
      <c r="G60" s="43">
        <v>2026</v>
      </c>
      <c r="H60" s="43"/>
      <c r="I60" s="43">
        <v>525.20000000000005</v>
      </c>
      <c r="J60" s="43" t="s">
        <v>104</v>
      </c>
      <c r="K60" s="43" t="s">
        <v>47</v>
      </c>
      <c r="M60" s="43">
        <v>1</v>
      </c>
      <c r="N60" s="43">
        <v>0</v>
      </c>
      <c r="O60" s="43">
        <v>0</v>
      </c>
      <c r="P60" s="43">
        <v>0</v>
      </c>
      <c r="Q60" s="43">
        <v>0</v>
      </c>
      <c r="R60" s="43">
        <v>0</v>
      </c>
      <c r="S60" s="43">
        <v>1</v>
      </c>
      <c r="T60" s="43">
        <v>1</v>
      </c>
      <c r="U60" s="43">
        <v>1</v>
      </c>
      <c r="V60" s="43">
        <v>0</v>
      </c>
      <c r="W60" s="43" t="s">
        <v>1411</v>
      </c>
      <c r="X60" s="43" t="s">
        <v>1892</v>
      </c>
      <c r="Y60" s="43">
        <v>0</v>
      </c>
      <c r="Z60" s="43">
        <v>1</v>
      </c>
      <c r="AA60" s="43">
        <v>2009</v>
      </c>
      <c r="AB60" s="43">
        <v>9999</v>
      </c>
      <c r="AC60" s="43" t="s">
        <v>1239</v>
      </c>
    </row>
    <row r="61" spans="1:29" x14ac:dyDescent="0.25">
      <c r="A61" s="43" t="s">
        <v>845</v>
      </c>
      <c r="B61" s="39" t="s">
        <v>846</v>
      </c>
      <c r="C61" s="43" t="s">
        <v>847</v>
      </c>
      <c r="D61" s="43">
        <v>1</v>
      </c>
      <c r="E61" s="56" t="s">
        <v>300</v>
      </c>
      <c r="F61" s="43">
        <v>9</v>
      </c>
      <c r="G61" s="43">
        <v>2026</v>
      </c>
      <c r="H61" s="43"/>
      <c r="I61" s="43">
        <v>814.2</v>
      </c>
      <c r="J61" s="43" t="s">
        <v>104</v>
      </c>
      <c r="K61" s="43" t="s">
        <v>47</v>
      </c>
      <c r="M61" s="43">
        <v>1</v>
      </c>
      <c r="N61" s="43">
        <v>1</v>
      </c>
      <c r="O61" s="43">
        <v>0</v>
      </c>
      <c r="P61" s="43">
        <v>0</v>
      </c>
      <c r="Q61" s="43">
        <v>0</v>
      </c>
      <c r="R61" s="43">
        <v>0</v>
      </c>
      <c r="S61" s="43">
        <v>1</v>
      </c>
      <c r="T61" s="43">
        <v>1</v>
      </c>
      <c r="U61" s="43">
        <v>1</v>
      </c>
      <c r="V61" s="43">
        <v>0</v>
      </c>
      <c r="W61" s="43" t="s">
        <v>1517</v>
      </c>
      <c r="X61" s="43" t="s">
        <v>1893</v>
      </c>
      <c r="Y61" s="43">
        <v>2</v>
      </c>
      <c r="Z61" s="43">
        <v>2</v>
      </c>
      <c r="AA61" s="43">
        <v>2007</v>
      </c>
      <c r="AB61" s="43">
        <v>9999</v>
      </c>
      <c r="AC61" s="43" t="s">
        <v>35</v>
      </c>
    </row>
    <row r="62" spans="1:29" x14ac:dyDescent="0.25">
      <c r="A62" s="43" t="s">
        <v>925</v>
      </c>
      <c r="B62" s="39" t="s">
        <v>926</v>
      </c>
      <c r="C62" s="43" t="s">
        <v>927</v>
      </c>
      <c r="D62" s="43">
        <v>1</v>
      </c>
      <c r="E62" s="56" t="s">
        <v>103</v>
      </c>
      <c r="F62" s="43">
        <v>9</v>
      </c>
      <c r="G62" s="43">
        <v>2026</v>
      </c>
      <c r="H62" s="43"/>
      <c r="I62" s="43">
        <v>3313.9</v>
      </c>
      <c r="J62" s="43" t="s">
        <v>1608</v>
      </c>
      <c r="K62" s="43" t="s">
        <v>53</v>
      </c>
      <c r="L62" s="43" t="s">
        <v>105</v>
      </c>
      <c r="M62" s="43">
        <v>0</v>
      </c>
      <c r="N62" s="43">
        <v>0</v>
      </c>
      <c r="O62" s="43">
        <v>0</v>
      </c>
      <c r="P62" s="43">
        <v>1</v>
      </c>
      <c r="Q62" s="43">
        <v>0</v>
      </c>
      <c r="R62" s="43">
        <v>0</v>
      </c>
      <c r="S62" s="43">
        <v>1</v>
      </c>
      <c r="T62" s="43">
        <v>1</v>
      </c>
      <c r="U62" s="43">
        <v>1</v>
      </c>
      <c r="V62" s="43">
        <v>0</v>
      </c>
      <c r="W62" s="43" t="s">
        <v>928</v>
      </c>
      <c r="X62" s="43" t="s">
        <v>1895</v>
      </c>
      <c r="Y62" s="43">
        <v>0</v>
      </c>
      <c r="Z62" s="43">
        <v>0</v>
      </c>
      <c r="AA62" s="43">
        <v>2007</v>
      </c>
      <c r="AB62" s="43">
        <v>9999</v>
      </c>
      <c r="AC62" s="43" t="s">
        <v>35</v>
      </c>
    </row>
    <row r="63" spans="1:29" x14ac:dyDescent="0.25">
      <c r="A63" s="43" t="s">
        <v>439</v>
      </c>
      <c r="B63" s="39" t="s">
        <v>440</v>
      </c>
      <c r="C63" s="43" t="s">
        <v>441</v>
      </c>
      <c r="D63" s="43">
        <v>1</v>
      </c>
      <c r="E63" s="56" t="s">
        <v>442</v>
      </c>
      <c r="F63" s="43">
        <v>4</v>
      </c>
      <c r="G63" s="43">
        <v>2026</v>
      </c>
      <c r="H63" s="43"/>
      <c r="I63" s="43">
        <v>663.7</v>
      </c>
      <c r="J63" s="43" t="s">
        <v>1608</v>
      </c>
      <c r="K63" s="43" t="s">
        <v>47</v>
      </c>
      <c r="M63" s="43">
        <v>1</v>
      </c>
      <c r="N63" s="43">
        <v>0</v>
      </c>
      <c r="O63" s="43">
        <v>0</v>
      </c>
      <c r="P63" s="43">
        <v>0</v>
      </c>
      <c r="Q63" s="43">
        <v>0</v>
      </c>
      <c r="R63" s="43">
        <v>0</v>
      </c>
      <c r="S63" s="43">
        <v>1</v>
      </c>
      <c r="T63" s="43">
        <v>1</v>
      </c>
      <c r="U63" s="43">
        <v>1</v>
      </c>
      <c r="V63" s="43">
        <v>0</v>
      </c>
      <c r="W63" s="43" t="s">
        <v>1304</v>
      </c>
      <c r="X63" s="43" t="s">
        <v>1868</v>
      </c>
      <c r="Y63" s="43">
        <v>0</v>
      </c>
      <c r="Z63" s="43">
        <v>0</v>
      </c>
      <c r="AA63" s="43">
        <v>2007</v>
      </c>
      <c r="AB63" s="43">
        <v>9999</v>
      </c>
      <c r="AC63" s="43" t="s">
        <v>35</v>
      </c>
    </row>
    <row r="64" spans="1:29" ht="30" x14ac:dyDescent="0.25">
      <c r="A64" s="43" t="s">
        <v>929</v>
      </c>
      <c r="B64" s="39" t="s">
        <v>930</v>
      </c>
      <c r="C64" s="43" t="s">
        <v>931</v>
      </c>
      <c r="D64" s="43">
        <v>1</v>
      </c>
      <c r="E64" s="56" t="s">
        <v>45</v>
      </c>
      <c r="F64" s="43">
        <v>4</v>
      </c>
      <c r="G64" s="43">
        <v>2026</v>
      </c>
      <c r="H64" s="43"/>
      <c r="I64" s="43">
        <v>617.79999999999995</v>
      </c>
      <c r="J64" s="43" t="s">
        <v>1610</v>
      </c>
      <c r="K64" s="43" t="s">
        <v>47</v>
      </c>
      <c r="M64" s="43">
        <v>1</v>
      </c>
      <c r="N64" s="43">
        <v>0</v>
      </c>
      <c r="O64" s="43">
        <v>0</v>
      </c>
      <c r="P64" s="43">
        <v>0</v>
      </c>
      <c r="Q64" s="43">
        <v>0</v>
      </c>
      <c r="R64" s="43">
        <v>0</v>
      </c>
      <c r="S64" s="43">
        <v>1</v>
      </c>
      <c r="T64" s="43">
        <v>1</v>
      </c>
      <c r="U64" s="43">
        <v>1</v>
      </c>
      <c r="V64" s="43">
        <v>0</v>
      </c>
      <c r="W64" s="43" t="s">
        <v>1336</v>
      </c>
      <c r="X64" s="43" t="s">
        <v>1819</v>
      </c>
      <c r="Y64" s="43">
        <v>1</v>
      </c>
      <c r="Z64" s="43">
        <v>0</v>
      </c>
      <c r="AA64" s="43">
        <v>2007</v>
      </c>
      <c r="AB64" s="43">
        <v>9999</v>
      </c>
      <c r="AC64" s="43" t="s">
        <v>35</v>
      </c>
    </row>
    <row r="65" spans="1:29" ht="30" x14ac:dyDescent="0.25">
      <c r="A65" s="43" t="s">
        <v>822</v>
      </c>
      <c r="B65" s="39" t="s">
        <v>1932</v>
      </c>
      <c r="C65" s="51" t="s">
        <v>1933</v>
      </c>
      <c r="D65" s="43">
        <v>1</v>
      </c>
      <c r="E65" s="56" t="s">
        <v>80</v>
      </c>
      <c r="F65" s="43">
        <v>8</v>
      </c>
      <c r="G65" s="43">
        <v>2026</v>
      </c>
      <c r="H65" s="43"/>
      <c r="I65" s="43">
        <v>351.5</v>
      </c>
      <c r="J65" s="43" t="s">
        <v>81</v>
      </c>
      <c r="K65" s="43" t="s">
        <v>47</v>
      </c>
      <c r="M65" s="43">
        <v>0</v>
      </c>
      <c r="N65" s="43">
        <v>0</v>
      </c>
      <c r="O65" s="43">
        <v>0</v>
      </c>
      <c r="P65" s="43">
        <v>0</v>
      </c>
      <c r="Q65" s="43">
        <v>0</v>
      </c>
      <c r="R65" s="43">
        <v>0</v>
      </c>
      <c r="S65" s="43">
        <v>1</v>
      </c>
      <c r="T65" s="43">
        <v>1</v>
      </c>
      <c r="U65" s="43">
        <v>1</v>
      </c>
      <c r="V65" s="43">
        <v>0</v>
      </c>
      <c r="W65" s="43" t="s">
        <v>2029</v>
      </c>
      <c r="X65" s="43" t="s">
        <v>2030</v>
      </c>
      <c r="Y65" s="43">
        <v>0</v>
      </c>
      <c r="Z65" s="43">
        <v>1</v>
      </c>
      <c r="AA65" s="43">
        <v>2007</v>
      </c>
      <c r="AB65" s="43">
        <v>9999</v>
      </c>
      <c r="AC65" s="43" t="s">
        <v>35</v>
      </c>
    </row>
    <row r="66" spans="1:29" x14ac:dyDescent="0.25">
      <c r="A66" s="43" t="s">
        <v>831</v>
      </c>
      <c r="B66" s="39" t="s">
        <v>832</v>
      </c>
      <c r="C66" s="43" t="s">
        <v>833</v>
      </c>
      <c r="D66" s="43">
        <v>1</v>
      </c>
      <c r="E66" s="56" t="s">
        <v>38</v>
      </c>
      <c r="F66" s="43">
        <v>4</v>
      </c>
      <c r="G66" s="43">
        <v>2026</v>
      </c>
      <c r="H66" s="43" t="s">
        <v>906</v>
      </c>
      <c r="I66" s="43">
        <v>0.04</v>
      </c>
      <c r="J66" s="43" t="s">
        <v>59</v>
      </c>
      <c r="K66" s="43" t="s">
        <v>41</v>
      </c>
      <c r="M66" s="43">
        <v>0</v>
      </c>
      <c r="N66" s="43">
        <v>0</v>
      </c>
      <c r="O66" s="43">
        <v>0</v>
      </c>
      <c r="P66" s="43">
        <v>0</v>
      </c>
      <c r="Q66" s="43">
        <v>0</v>
      </c>
      <c r="R66" s="43">
        <v>0</v>
      </c>
      <c r="S66" s="43">
        <v>0</v>
      </c>
      <c r="T66" s="43">
        <v>0</v>
      </c>
      <c r="U66" s="43">
        <v>0</v>
      </c>
      <c r="V66" s="43">
        <v>0</v>
      </c>
      <c r="W66" s="43" t="s">
        <v>1190</v>
      </c>
      <c r="X66" s="43" t="s">
        <v>1796</v>
      </c>
      <c r="Y66" s="43">
        <v>0</v>
      </c>
      <c r="Z66" s="43">
        <v>0</v>
      </c>
      <c r="AA66" s="43">
        <v>2007</v>
      </c>
      <c r="AB66" s="43">
        <v>9999</v>
      </c>
      <c r="AC66" s="43" t="s">
        <v>35</v>
      </c>
    </row>
    <row r="67" spans="1:29" x14ac:dyDescent="0.25">
      <c r="A67" s="43" t="s">
        <v>1263</v>
      </c>
      <c r="B67" s="39" t="s">
        <v>1264</v>
      </c>
      <c r="C67" s="43" t="s">
        <v>1265</v>
      </c>
      <c r="D67" s="43">
        <v>1</v>
      </c>
      <c r="E67" s="56" t="s">
        <v>712</v>
      </c>
      <c r="F67" s="43">
        <v>9</v>
      </c>
      <c r="G67" s="43">
        <v>2026</v>
      </c>
      <c r="H67" s="43"/>
      <c r="I67" s="43">
        <v>1118.4000000000001</v>
      </c>
      <c r="J67" s="43" t="s">
        <v>104</v>
      </c>
      <c r="K67" s="43" t="s">
        <v>47</v>
      </c>
      <c r="M67" s="43">
        <v>1</v>
      </c>
      <c r="N67" s="43">
        <v>0</v>
      </c>
      <c r="O67" s="43">
        <v>0</v>
      </c>
      <c r="P67" s="43">
        <v>0</v>
      </c>
      <c r="Q67" s="43">
        <v>0</v>
      </c>
      <c r="R67" s="43">
        <v>0</v>
      </c>
      <c r="S67" s="43">
        <v>1</v>
      </c>
      <c r="T67" s="43">
        <v>1</v>
      </c>
      <c r="U67" s="43">
        <v>1</v>
      </c>
      <c r="V67" s="43">
        <v>0</v>
      </c>
      <c r="W67" s="43" t="s">
        <v>1407</v>
      </c>
      <c r="X67" s="43" t="s">
        <v>2021</v>
      </c>
      <c r="Y67" s="43">
        <v>1</v>
      </c>
      <c r="Z67" s="43">
        <v>0</v>
      </c>
      <c r="AA67" s="43">
        <v>2009</v>
      </c>
      <c r="AB67" s="43">
        <v>9999</v>
      </c>
      <c r="AC67" s="43" t="s">
        <v>1239</v>
      </c>
    </row>
    <row r="68" spans="1:29" x14ac:dyDescent="0.25">
      <c r="A68" s="43" t="s">
        <v>880</v>
      </c>
      <c r="B68" s="39" t="s">
        <v>881</v>
      </c>
      <c r="C68" s="43" t="s">
        <v>882</v>
      </c>
      <c r="D68" s="43">
        <v>1</v>
      </c>
      <c r="E68" s="56" t="s">
        <v>103</v>
      </c>
      <c r="F68" s="43">
        <v>9</v>
      </c>
      <c r="G68" s="43">
        <v>2026</v>
      </c>
      <c r="H68" s="43"/>
      <c r="I68" s="43">
        <v>4762.2</v>
      </c>
      <c r="J68" s="43" t="s">
        <v>104</v>
      </c>
      <c r="K68" s="43" t="s">
        <v>53</v>
      </c>
      <c r="L68" s="43" t="s">
        <v>105</v>
      </c>
      <c r="M68" s="43">
        <v>0</v>
      </c>
      <c r="N68" s="43">
        <v>0</v>
      </c>
      <c r="O68" s="43">
        <v>0</v>
      </c>
      <c r="P68" s="43">
        <v>1</v>
      </c>
      <c r="Q68" s="43">
        <v>0</v>
      </c>
      <c r="R68" s="43">
        <v>0</v>
      </c>
      <c r="S68" s="43">
        <v>1</v>
      </c>
      <c r="T68" s="43">
        <v>1</v>
      </c>
      <c r="U68" s="43">
        <v>1</v>
      </c>
      <c r="V68" s="43">
        <v>0</v>
      </c>
      <c r="W68" s="43" t="s">
        <v>106</v>
      </c>
      <c r="X68" s="43" t="s">
        <v>1941</v>
      </c>
      <c r="Y68" s="43">
        <v>0</v>
      </c>
      <c r="Z68" s="43">
        <v>0</v>
      </c>
      <c r="AA68" s="43">
        <v>2007</v>
      </c>
      <c r="AB68" s="43">
        <v>9999</v>
      </c>
      <c r="AC68" s="43" t="s">
        <v>35</v>
      </c>
    </row>
    <row r="69" spans="1:29" x14ac:dyDescent="0.25">
      <c r="A69" s="43" t="s">
        <v>862</v>
      </c>
      <c r="B69" s="39" t="s">
        <v>863</v>
      </c>
      <c r="C69" s="43" t="s">
        <v>864</v>
      </c>
      <c r="D69" s="43">
        <v>1</v>
      </c>
      <c r="E69" s="56" t="s">
        <v>442</v>
      </c>
      <c r="F69" s="43">
        <v>4</v>
      </c>
      <c r="G69" s="43">
        <v>2026</v>
      </c>
      <c r="H69" s="43"/>
      <c r="I69" s="43">
        <v>359.6</v>
      </c>
      <c r="J69" s="43" t="s">
        <v>1608</v>
      </c>
      <c r="K69" s="43" t="s">
        <v>47</v>
      </c>
      <c r="M69" s="43">
        <v>1</v>
      </c>
      <c r="N69" s="43">
        <v>0</v>
      </c>
      <c r="O69" s="43">
        <v>0</v>
      </c>
      <c r="P69" s="43">
        <v>0</v>
      </c>
      <c r="Q69" s="43">
        <v>0</v>
      </c>
      <c r="R69" s="43">
        <v>0</v>
      </c>
      <c r="S69" s="43">
        <v>1</v>
      </c>
      <c r="T69" s="43">
        <v>1</v>
      </c>
      <c r="U69" s="43">
        <v>1</v>
      </c>
      <c r="V69" s="43">
        <v>0</v>
      </c>
      <c r="W69" s="43" t="s">
        <v>1334</v>
      </c>
      <c r="X69" s="43" t="s">
        <v>1803</v>
      </c>
      <c r="Y69" s="43">
        <v>0</v>
      </c>
      <c r="Z69" s="43">
        <v>0</v>
      </c>
      <c r="AA69" s="43">
        <v>2007</v>
      </c>
      <c r="AB69" s="43">
        <v>9999</v>
      </c>
      <c r="AC69" s="43" t="s">
        <v>35</v>
      </c>
    </row>
    <row r="70" spans="1:29" x14ac:dyDescent="0.25">
      <c r="A70" s="43" t="s">
        <v>694</v>
      </c>
      <c r="B70" s="39" t="s">
        <v>695</v>
      </c>
      <c r="C70" s="43" t="s">
        <v>696</v>
      </c>
      <c r="D70" s="43">
        <v>1</v>
      </c>
      <c r="E70" s="56" t="s">
        <v>58</v>
      </c>
      <c r="F70" s="43">
        <v>4</v>
      </c>
      <c r="G70" s="43">
        <v>2026</v>
      </c>
      <c r="H70" s="43"/>
      <c r="I70" s="43">
        <v>131.4</v>
      </c>
      <c r="J70" s="43" t="s">
        <v>59</v>
      </c>
      <c r="K70" s="43" t="s">
        <v>47</v>
      </c>
      <c r="M70" s="43">
        <v>0</v>
      </c>
      <c r="N70" s="43">
        <v>0</v>
      </c>
      <c r="O70" s="43">
        <v>0</v>
      </c>
      <c r="P70" s="43">
        <v>0</v>
      </c>
      <c r="Q70" s="43">
        <v>0</v>
      </c>
      <c r="R70" s="43">
        <v>0</v>
      </c>
      <c r="S70" s="43">
        <v>1</v>
      </c>
      <c r="T70" s="43">
        <v>1</v>
      </c>
      <c r="U70" s="43">
        <v>1</v>
      </c>
      <c r="V70" s="43">
        <v>0</v>
      </c>
      <c r="W70" s="43" t="s">
        <v>1156</v>
      </c>
      <c r="X70" s="43" t="s">
        <v>1762</v>
      </c>
      <c r="Y70" s="43">
        <v>0</v>
      </c>
      <c r="Z70" s="43">
        <v>0</v>
      </c>
      <c r="AA70" s="43">
        <v>2007</v>
      </c>
      <c r="AB70" s="43">
        <v>9999</v>
      </c>
      <c r="AC70" s="43" t="s">
        <v>35</v>
      </c>
    </row>
    <row r="71" spans="1:29" x14ac:dyDescent="0.25">
      <c r="A71" s="43" t="s">
        <v>28</v>
      </c>
      <c r="B71" s="39" t="s">
        <v>29</v>
      </c>
      <c r="C71" s="43" t="s">
        <v>2053</v>
      </c>
      <c r="D71" s="43">
        <v>1</v>
      </c>
      <c r="E71" s="56" t="s">
        <v>30</v>
      </c>
      <c r="F71" s="43">
        <v>4</v>
      </c>
      <c r="G71" s="43">
        <v>2026</v>
      </c>
      <c r="H71" s="43"/>
      <c r="I71" s="43">
        <v>1902.1</v>
      </c>
      <c r="J71" s="43" t="s">
        <v>1610</v>
      </c>
      <c r="K71" s="43" t="s">
        <v>32</v>
      </c>
      <c r="L71" s="43" t="s">
        <v>33</v>
      </c>
      <c r="M71" s="43">
        <v>1</v>
      </c>
      <c r="N71" s="43">
        <v>0</v>
      </c>
      <c r="O71" s="43">
        <v>0</v>
      </c>
      <c r="P71" s="43">
        <v>0</v>
      </c>
      <c r="Q71" s="43">
        <v>0</v>
      </c>
      <c r="R71" s="43">
        <v>1</v>
      </c>
      <c r="S71" s="43">
        <v>1</v>
      </c>
      <c r="T71" s="43">
        <v>1</v>
      </c>
      <c r="U71" s="43">
        <v>1</v>
      </c>
      <c r="V71" s="43">
        <v>0</v>
      </c>
      <c r="W71" s="43" t="s">
        <v>1939</v>
      </c>
      <c r="X71" s="43" t="s">
        <v>1938</v>
      </c>
      <c r="Y71" s="43">
        <v>0</v>
      </c>
      <c r="Z71" s="43">
        <v>3</v>
      </c>
      <c r="AA71" s="43">
        <v>2007</v>
      </c>
      <c r="AB71" s="43">
        <v>9999</v>
      </c>
      <c r="AC71" s="43" t="s">
        <v>35</v>
      </c>
    </row>
    <row r="72" spans="1:29" x14ac:dyDescent="0.25">
      <c r="A72" s="43" t="s">
        <v>883</v>
      </c>
      <c r="B72" s="39" t="s">
        <v>884</v>
      </c>
      <c r="C72" s="43" t="s">
        <v>885</v>
      </c>
      <c r="D72" s="43">
        <v>1</v>
      </c>
      <c r="E72" s="56" t="s">
        <v>45</v>
      </c>
      <c r="F72" s="43">
        <v>4</v>
      </c>
      <c r="G72" s="43">
        <v>2026</v>
      </c>
      <c r="H72" s="43"/>
      <c r="I72" s="43">
        <v>100.8</v>
      </c>
      <c r="J72" s="43" t="s">
        <v>176</v>
      </c>
      <c r="K72" s="43" t="s">
        <v>47</v>
      </c>
      <c r="M72" s="43">
        <v>1</v>
      </c>
      <c r="N72" s="43">
        <v>0</v>
      </c>
      <c r="O72" s="43">
        <v>0</v>
      </c>
      <c r="P72" s="43">
        <v>0</v>
      </c>
      <c r="Q72" s="43">
        <v>0</v>
      </c>
      <c r="R72" s="43">
        <v>0</v>
      </c>
      <c r="S72" s="43">
        <v>1</v>
      </c>
      <c r="T72" s="43">
        <v>1</v>
      </c>
      <c r="U72" s="43">
        <v>1</v>
      </c>
      <c r="V72" s="43">
        <v>0</v>
      </c>
      <c r="W72" s="43" t="s">
        <v>1606</v>
      </c>
      <c r="X72" s="43" t="s">
        <v>1809</v>
      </c>
      <c r="Y72" s="43">
        <v>0</v>
      </c>
      <c r="Z72" s="43">
        <v>1</v>
      </c>
      <c r="AA72" s="43">
        <v>2007</v>
      </c>
      <c r="AB72" s="43">
        <v>9999</v>
      </c>
      <c r="AC72" s="43" t="s">
        <v>35</v>
      </c>
    </row>
    <row r="73" spans="1:29" x14ac:dyDescent="0.25">
      <c r="A73" s="43" t="s">
        <v>933</v>
      </c>
      <c r="B73" s="39" t="s">
        <v>934</v>
      </c>
      <c r="C73" s="43" t="s">
        <v>935</v>
      </c>
      <c r="D73" s="43">
        <v>1</v>
      </c>
      <c r="E73" s="56" t="s">
        <v>681</v>
      </c>
      <c r="F73" s="43">
        <v>3</v>
      </c>
      <c r="G73" s="43">
        <v>2026</v>
      </c>
      <c r="H73" s="43"/>
      <c r="J73" s="43" t="s">
        <v>121</v>
      </c>
      <c r="K73" s="43" t="s">
        <v>47</v>
      </c>
      <c r="M73" s="43">
        <v>1</v>
      </c>
      <c r="N73" s="43">
        <v>0</v>
      </c>
      <c r="O73" s="43">
        <v>0</v>
      </c>
      <c r="P73" s="43">
        <v>0</v>
      </c>
      <c r="Q73" s="43">
        <v>0</v>
      </c>
      <c r="R73" s="43">
        <v>0</v>
      </c>
      <c r="S73" s="43">
        <v>1</v>
      </c>
      <c r="T73" s="43">
        <v>1</v>
      </c>
      <c r="U73" s="43">
        <v>1</v>
      </c>
      <c r="V73" s="43">
        <v>0</v>
      </c>
      <c r="W73" s="43" t="s">
        <v>1620</v>
      </c>
      <c r="X73" s="43" t="s">
        <v>2034</v>
      </c>
      <c r="Y73" s="43">
        <v>0</v>
      </c>
      <c r="Z73" s="43">
        <v>0</v>
      </c>
      <c r="AA73" s="43">
        <v>2007</v>
      </c>
      <c r="AB73" s="43">
        <v>9999</v>
      </c>
      <c r="AC73" s="43" t="s">
        <v>35</v>
      </c>
    </row>
    <row r="74" spans="1:29" ht="30" x14ac:dyDescent="0.25">
      <c r="A74" s="43" t="s">
        <v>1305</v>
      </c>
      <c r="B74" s="39" t="s">
        <v>1306</v>
      </c>
      <c r="C74" s="43" t="s">
        <v>1307</v>
      </c>
      <c r="D74" s="43">
        <v>1</v>
      </c>
      <c r="E74" s="56" t="s">
        <v>45</v>
      </c>
      <c r="F74" s="43">
        <v>4</v>
      </c>
      <c r="G74" s="43">
        <v>2026</v>
      </c>
      <c r="H74" s="43"/>
      <c r="I74" s="43">
        <v>47.2</v>
      </c>
      <c r="J74" s="43" t="s">
        <v>1610</v>
      </c>
      <c r="K74" s="43" t="s">
        <v>47</v>
      </c>
      <c r="M74" s="43">
        <v>0</v>
      </c>
      <c r="N74" s="43">
        <v>0</v>
      </c>
      <c r="O74" s="43">
        <v>0</v>
      </c>
      <c r="P74" s="43">
        <v>0</v>
      </c>
      <c r="Q74" s="43">
        <v>0</v>
      </c>
      <c r="R74" s="43">
        <v>0</v>
      </c>
      <c r="S74" s="43">
        <v>1</v>
      </c>
      <c r="T74" s="43">
        <v>1</v>
      </c>
      <c r="U74" s="43">
        <v>1</v>
      </c>
      <c r="V74" s="43">
        <v>0</v>
      </c>
      <c r="W74" s="43" t="s">
        <v>1526</v>
      </c>
      <c r="X74" s="43" t="s">
        <v>2008</v>
      </c>
      <c r="Y74" s="43">
        <v>0</v>
      </c>
      <c r="Z74" s="43">
        <v>1</v>
      </c>
      <c r="AA74" s="43">
        <v>2010</v>
      </c>
      <c r="AB74" s="43">
        <v>9999</v>
      </c>
      <c r="AC74" s="43" t="s">
        <v>1292</v>
      </c>
    </row>
    <row r="75" spans="1:29" x14ac:dyDescent="0.25">
      <c r="A75" s="43" t="s">
        <v>462</v>
      </c>
      <c r="B75" s="39" t="s">
        <v>1414</v>
      </c>
      <c r="C75" s="43" t="s">
        <v>1280</v>
      </c>
      <c r="D75" s="43">
        <v>1</v>
      </c>
      <c r="E75" s="56" t="s">
        <v>468</v>
      </c>
      <c r="F75" s="43">
        <v>7</v>
      </c>
      <c r="G75" s="43">
        <v>2026</v>
      </c>
      <c r="H75" s="43"/>
      <c r="I75" s="43">
        <v>162.5</v>
      </c>
      <c r="J75" s="43" t="s">
        <v>40</v>
      </c>
      <c r="K75" s="43" t="s">
        <v>47</v>
      </c>
      <c r="M75" s="43">
        <v>1</v>
      </c>
      <c r="N75" s="43">
        <v>0</v>
      </c>
      <c r="O75" s="43">
        <v>0</v>
      </c>
      <c r="P75" s="43">
        <v>0</v>
      </c>
      <c r="Q75" s="43">
        <v>0</v>
      </c>
      <c r="R75" s="43">
        <v>0</v>
      </c>
      <c r="S75" s="43">
        <v>1</v>
      </c>
      <c r="T75" s="43">
        <v>1</v>
      </c>
      <c r="U75" s="43">
        <v>1</v>
      </c>
      <c r="V75" s="43">
        <v>0</v>
      </c>
      <c r="W75" s="43" t="s">
        <v>1118</v>
      </c>
      <c r="X75" s="43" t="s">
        <v>2035</v>
      </c>
      <c r="Y75" s="43">
        <v>2</v>
      </c>
      <c r="Z75" s="43">
        <v>0</v>
      </c>
      <c r="AA75" s="43">
        <v>2007</v>
      </c>
      <c r="AB75" s="43">
        <v>9999</v>
      </c>
      <c r="AC75" s="43" t="s">
        <v>35</v>
      </c>
    </row>
    <row r="76" spans="1:29" x14ac:dyDescent="0.25">
      <c r="A76" s="43" t="s">
        <v>1437</v>
      </c>
      <c r="B76" s="39" t="s">
        <v>1438</v>
      </c>
      <c r="C76" s="43" t="s">
        <v>1439</v>
      </c>
      <c r="D76" s="43">
        <v>1</v>
      </c>
      <c r="E76" s="56" t="s">
        <v>103</v>
      </c>
      <c r="F76" s="43">
        <v>9</v>
      </c>
      <c r="G76" s="43">
        <v>2026</v>
      </c>
      <c r="H76" s="43"/>
      <c r="I76" s="43">
        <v>303.60000000000002</v>
      </c>
      <c r="J76" s="43" t="s">
        <v>104</v>
      </c>
      <c r="K76" s="43" t="s">
        <v>32</v>
      </c>
      <c r="M76" s="43">
        <v>0</v>
      </c>
      <c r="N76" s="43">
        <v>0</v>
      </c>
      <c r="O76" s="43">
        <v>0</v>
      </c>
      <c r="P76" s="43">
        <v>0</v>
      </c>
      <c r="Q76" s="43">
        <v>0</v>
      </c>
      <c r="R76" s="43">
        <v>0</v>
      </c>
      <c r="S76" s="43">
        <v>1</v>
      </c>
      <c r="T76" s="43">
        <v>1</v>
      </c>
      <c r="U76" s="43">
        <v>1</v>
      </c>
      <c r="V76" s="43">
        <v>0</v>
      </c>
      <c r="W76" s="43" t="s">
        <v>1440</v>
      </c>
      <c r="X76" s="43" t="s">
        <v>1831</v>
      </c>
      <c r="Y76" s="43">
        <v>0</v>
      </c>
      <c r="Z76" s="43">
        <v>0</v>
      </c>
      <c r="AA76" s="43">
        <v>2013</v>
      </c>
      <c r="AB76" s="43">
        <v>9999</v>
      </c>
      <c r="AC76" s="43" t="s">
        <v>1419</v>
      </c>
    </row>
    <row r="77" spans="1:29" x14ac:dyDescent="0.25">
      <c r="A77" s="43" t="s">
        <v>1441</v>
      </c>
      <c r="B77" s="39" t="s">
        <v>1442</v>
      </c>
      <c r="C77" s="43" t="s">
        <v>1443</v>
      </c>
      <c r="D77" s="43">
        <v>1</v>
      </c>
      <c r="E77" s="56" t="s">
        <v>103</v>
      </c>
      <c r="F77" s="43">
        <v>9</v>
      </c>
      <c r="G77" s="43">
        <v>2026</v>
      </c>
      <c r="H77" s="43"/>
      <c r="I77" s="43">
        <v>98.8</v>
      </c>
      <c r="J77" s="43" t="s">
        <v>104</v>
      </c>
      <c r="K77" s="43" t="s">
        <v>47</v>
      </c>
      <c r="M77" s="43">
        <v>1</v>
      </c>
      <c r="N77" s="43">
        <v>0</v>
      </c>
      <c r="O77" s="43">
        <v>0</v>
      </c>
      <c r="P77" s="43">
        <v>0</v>
      </c>
      <c r="Q77" s="43">
        <v>0</v>
      </c>
      <c r="R77" s="43">
        <v>0</v>
      </c>
      <c r="S77" s="43">
        <v>1</v>
      </c>
      <c r="T77" s="43">
        <v>1</v>
      </c>
      <c r="U77" s="43">
        <v>1</v>
      </c>
      <c r="V77" s="43">
        <v>0</v>
      </c>
      <c r="W77" s="43" t="s">
        <v>1444</v>
      </c>
      <c r="X77" s="43" t="s">
        <v>2044</v>
      </c>
      <c r="Y77" s="43">
        <v>0</v>
      </c>
      <c r="Z77" s="43">
        <v>0</v>
      </c>
      <c r="AA77" s="43">
        <v>2013</v>
      </c>
      <c r="AB77" s="43">
        <v>9999</v>
      </c>
      <c r="AC77" s="43" t="s">
        <v>1419</v>
      </c>
    </row>
    <row r="78" spans="1:29" x14ac:dyDescent="0.25">
      <c r="A78" s="43" t="s">
        <v>985</v>
      </c>
      <c r="B78" s="39" t="s">
        <v>986</v>
      </c>
      <c r="C78" s="43" t="s">
        <v>987</v>
      </c>
      <c r="D78" s="43">
        <v>1</v>
      </c>
      <c r="E78" s="56" t="s">
        <v>988</v>
      </c>
      <c r="F78" s="43">
        <v>4</v>
      </c>
      <c r="G78" s="43">
        <v>2026</v>
      </c>
      <c r="H78" s="43"/>
      <c r="I78" s="43">
        <v>223.3</v>
      </c>
      <c r="J78" s="43" t="s">
        <v>1610</v>
      </c>
      <c r="K78" s="43" t="s">
        <v>32</v>
      </c>
      <c r="M78" s="43">
        <v>0</v>
      </c>
      <c r="N78" s="43">
        <v>0</v>
      </c>
      <c r="O78" s="43">
        <v>0</v>
      </c>
      <c r="P78" s="43">
        <v>0</v>
      </c>
      <c r="Q78" s="43">
        <v>0</v>
      </c>
      <c r="R78" s="43">
        <v>0</v>
      </c>
      <c r="S78" s="43">
        <v>1</v>
      </c>
      <c r="T78" s="43">
        <v>1</v>
      </c>
      <c r="U78" s="43">
        <v>1</v>
      </c>
      <c r="V78" s="43">
        <v>0</v>
      </c>
      <c r="W78" s="43" t="s">
        <v>1339</v>
      </c>
      <c r="X78" s="43" t="s">
        <v>1840</v>
      </c>
      <c r="Y78" s="43">
        <v>0</v>
      </c>
      <c r="Z78" s="43">
        <v>0</v>
      </c>
      <c r="AA78" s="43">
        <v>2007</v>
      </c>
      <c r="AB78" s="43">
        <v>9999</v>
      </c>
      <c r="AC78" s="43" t="s">
        <v>35</v>
      </c>
    </row>
    <row r="79" spans="1:29" x14ac:dyDescent="0.25">
      <c r="A79" s="43" t="s">
        <v>866</v>
      </c>
      <c r="B79" s="39" t="s">
        <v>867</v>
      </c>
      <c r="C79" s="43" t="s">
        <v>868</v>
      </c>
      <c r="D79" s="43">
        <v>1</v>
      </c>
      <c r="E79" s="56" t="s">
        <v>869</v>
      </c>
      <c r="F79" s="43">
        <v>4</v>
      </c>
      <c r="G79" s="43">
        <v>2026</v>
      </c>
      <c r="H79" s="43"/>
      <c r="I79" s="43">
        <v>213.7</v>
      </c>
      <c r="J79" s="43" t="s">
        <v>1608</v>
      </c>
      <c r="K79" s="43" t="s">
        <v>32</v>
      </c>
      <c r="M79" s="43">
        <v>0</v>
      </c>
      <c r="N79" s="43">
        <v>0</v>
      </c>
      <c r="O79" s="43">
        <v>0</v>
      </c>
      <c r="P79" s="43">
        <v>0</v>
      </c>
      <c r="Q79" s="43">
        <v>0</v>
      </c>
      <c r="R79" s="43">
        <v>0</v>
      </c>
      <c r="S79" s="43">
        <v>1</v>
      </c>
      <c r="T79" s="43">
        <v>1</v>
      </c>
      <c r="U79" s="43">
        <v>1</v>
      </c>
      <c r="V79" s="43">
        <v>0</v>
      </c>
      <c r="W79" s="43" t="s">
        <v>1199</v>
      </c>
      <c r="X79" s="43" t="s">
        <v>1804</v>
      </c>
      <c r="Y79" s="43">
        <v>0</v>
      </c>
      <c r="Z79" s="43">
        <v>0</v>
      </c>
      <c r="AA79" s="43">
        <v>2007</v>
      </c>
      <c r="AB79" s="43">
        <v>9999</v>
      </c>
      <c r="AC79" s="43" t="s">
        <v>35</v>
      </c>
    </row>
    <row r="80" spans="1:29" x14ac:dyDescent="0.25">
      <c r="A80" s="43" t="s">
        <v>1366</v>
      </c>
      <c r="B80" s="39" t="s">
        <v>1487</v>
      </c>
      <c r="C80" s="43" t="s">
        <v>1368</v>
      </c>
      <c r="D80" s="43">
        <v>1</v>
      </c>
      <c r="E80" s="56" t="s">
        <v>468</v>
      </c>
      <c r="F80" s="43">
        <v>7</v>
      </c>
      <c r="G80" s="43">
        <v>2026</v>
      </c>
      <c r="H80" s="43"/>
      <c r="I80" s="43">
        <v>60.7</v>
      </c>
      <c r="J80" s="43" t="s">
        <v>40</v>
      </c>
      <c r="K80" s="43" t="s">
        <v>32</v>
      </c>
      <c r="M80" s="43">
        <v>0</v>
      </c>
      <c r="N80" s="43">
        <v>0</v>
      </c>
      <c r="O80" s="43">
        <v>0</v>
      </c>
      <c r="P80" s="43">
        <v>0</v>
      </c>
      <c r="Q80" s="43">
        <v>0</v>
      </c>
      <c r="R80" s="43">
        <v>0</v>
      </c>
      <c r="S80" s="43">
        <v>1</v>
      </c>
      <c r="T80" s="43">
        <v>1</v>
      </c>
      <c r="U80" s="43">
        <v>1</v>
      </c>
      <c r="V80" s="43">
        <v>0</v>
      </c>
      <c r="W80" s="43" t="s">
        <v>1369</v>
      </c>
      <c r="X80" s="43" t="s">
        <v>1737</v>
      </c>
      <c r="Y80" s="43">
        <v>0</v>
      </c>
      <c r="Z80" s="43">
        <v>1</v>
      </c>
      <c r="AA80" s="43">
        <v>2011</v>
      </c>
      <c r="AB80" s="43">
        <v>9999</v>
      </c>
      <c r="AC80" s="43" t="s">
        <v>1365</v>
      </c>
    </row>
    <row r="81" spans="1:29" x14ac:dyDescent="0.25">
      <c r="A81" s="43" t="s">
        <v>1834</v>
      </c>
      <c r="B81" s="39" t="s">
        <v>1835</v>
      </c>
      <c r="C81" s="43"/>
      <c r="D81" s="43">
        <v>1</v>
      </c>
      <c r="E81" s="56" t="s">
        <v>168</v>
      </c>
      <c r="F81" s="43">
        <v>1</v>
      </c>
      <c r="G81" s="43">
        <v>2026</v>
      </c>
      <c r="H81" s="43"/>
      <c r="I81" s="43">
        <v>101.8</v>
      </c>
      <c r="J81" s="43" t="s">
        <v>52</v>
      </c>
      <c r="K81" s="43" t="s">
        <v>32</v>
      </c>
      <c r="M81" s="43">
        <v>0</v>
      </c>
      <c r="N81" s="43">
        <v>0</v>
      </c>
      <c r="O81" s="43">
        <v>0</v>
      </c>
      <c r="P81" s="43">
        <v>0</v>
      </c>
      <c r="Q81" s="43">
        <v>0</v>
      </c>
      <c r="R81" s="43">
        <v>0</v>
      </c>
      <c r="S81" s="43">
        <v>1</v>
      </c>
      <c r="T81" s="43">
        <v>1</v>
      </c>
      <c r="U81" s="43">
        <v>1</v>
      </c>
      <c r="V81" s="43">
        <v>0</v>
      </c>
      <c r="W81" s="43" t="s">
        <v>1836</v>
      </c>
      <c r="X81" s="43" t="s">
        <v>2039</v>
      </c>
      <c r="Y81" s="43">
        <v>0</v>
      </c>
      <c r="Z81" s="43">
        <v>1</v>
      </c>
      <c r="AA81" s="43">
        <v>2024</v>
      </c>
      <c r="AB81" s="43">
        <v>9999</v>
      </c>
      <c r="AC81" s="43" t="s">
        <v>1720</v>
      </c>
    </row>
    <row r="82" spans="1:29" x14ac:dyDescent="0.25">
      <c r="A82" s="43">
        <v>2021006347</v>
      </c>
      <c r="B82" s="39" t="s">
        <v>1717</v>
      </c>
      <c r="C82" s="43"/>
      <c r="D82" s="43">
        <v>1</v>
      </c>
      <c r="E82" s="56" t="s">
        <v>631</v>
      </c>
      <c r="F82" s="43">
        <v>8</v>
      </c>
      <c r="G82" s="43">
        <v>2026</v>
      </c>
      <c r="H82" s="43"/>
      <c r="I82" s="43">
        <v>71.900000000000006</v>
      </c>
      <c r="J82" s="43" t="s">
        <v>81</v>
      </c>
      <c r="K82" s="43" t="s">
        <v>47</v>
      </c>
      <c r="M82" s="43">
        <v>1</v>
      </c>
      <c r="N82" s="43">
        <v>0</v>
      </c>
      <c r="O82" s="43">
        <v>0</v>
      </c>
      <c r="P82" s="43">
        <v>0</v>
      </c>
      <c r="Q82" s="43">
        <v>0</v>
      </c>
      <c r="R82" s="43">
        <v>0</v>
      </c>
      <c r="S82" s="43">
        <v>1</v>
      </c>
      <c r="T82" s="43">
        <v>1</v>
      </c>
      <c r="U82" s="43">
        <v>1</v>
      </c>
      <c r="V82" s="43">
        <v>0</v>
      </c>
      <c r="W82" s="43" t="s">
        <v>1718</v>
      </c>
      <c r="X82" s="43" t="s">
        <v>2000</v>
      </c>
      <c r="Y82" s="43">
        <v>2</v>
      </c>
      <c r="Z82" s="43">
        <v>0</v>
      </c>
      <c r="AA82" s="43">
        <v>2024</v>
      </c>
      <c r="AB82" s="43">
        <v>9999</v>
      </c>
      <c r="AC82" s="43" t="s">
        <v>1720</v>
      </c>
    </row>
    <row r="83" spans="1:29" x14ac:dyDescent="0.25">
      <c r="A83" s="43" t="s">
        <v>1614</v>
      </c>
      <c r="B83" s="39" t="s">
        <v>1615</v>
      </c>
      <c r="C83" s="43"/>
      <c r="D83" s="43">
        <v>1</v>
      </c>
      <c r="E83" s="56" t="s">
        <v>314</v>
      </c>
      <c r="F83" s="43">
        <v>2</v>
      </c>
      <c r="G83" s="43">
        <v>2026</v>
      </c>
      <c r="H83" s="43"/>
      <c r="I83" s="43">
        <v>35.5</v>
      </c>
      <c r="J83" s="43" t="s">
        <v>147</v>
      </c>
      <c r="K83" s="43" t="s">
        <v>47</v>
      </c>
      <c r="M83" s="43">
        <v>0</v>
      </c>
      <c r="N83" s="43">
        <v>0</v>
      </c>
      <c r="O83" s="43">
        <v>0</v>
      </c>
      <c r="P83" s="43">
        <v>0</v>
      </c>
      <c r="Q83" s="43">
        <v>0</v>
      </c>
      <c r="R83" s="43">
        <v>0</v>
      </c>
      <c r="S83" s="43">
        <v>1</v>
      </c>
      <c r="T83" s="43">
        <v>1</v>
      </c>
      <c r="U83" s="43">
        <v>0</v>
      </c>
      <c r="V83" s="43">
        <v>0</v>
      </c>
      <c r="W83" s="43" t="s">
        <v>1616</v>
      </c>
      <c r="X83" s="43" t="s">
        <v>1735</v>
      </c>
      <c r="Y83" s="43">
        <v>0</v>
      </c>
      <c r="Z83" s="43">
        <v>1</v>
      </c>
      <c r="AA83" s="43">
        <v>2023</v>
      </c>
      <c r="AB83" s="43">
        <v>9999</v>
      </c>
      <c r="AC83" s="43" t="s">
        <v>1617</v>
      </c>
    </row>
    <row r="84" spans="1:29" x14ac:dyDescent="0.25">
      <c r="A84" s="43" t="s">
        <v>1592</v>
      </c>
      <c r="B84" s="39" t="s">
        <v>1593</v>
      </c>
      <c r="C84" s="43"/>
      <c r="D84" s="43">
        <v>1</v>
      </c>
      <c r="E84" s="56" t="s">
        <v>95</v>
      </c>
      <c r="F84" s="43">
        <v>10</v>
      </c>
      <c r="G84" s="43">
        <v>2026</v>
      </c>
      <c r="H84" s="43"/>
      <c r="I84" s="43">
        <v>29.1</v>
      </c>
      <c r="J84" s="43" t="s">
        <v>59</v>
      </c>
      <c r="K84" s="43" t="s">
        <v>32</v>
      </c>
      <c r="M84" s="43">
        <v>0</v>
      </c>
      <c r="N84" s="43">
        <v>0</v>
      </c>
      <c r="O84" s="43">
        <v>0</v>
      </c>
      <c r="P84" s="43">
        <v>0</v>
      </c>
      <c r="Q84" s="43">
        <v>0</v>
      </c>
      <c r="R84" s="43">
        <v>0</v>
      </c>
      <c r="S84" s="43">
        <v>1</v>
      </c>
      <c r="T84" s="43">
        <v>1</v>
      </c>
      <c r="U84" s="43">
        <v>1</v>
      </c>
      <c r="V84" s="43">
        <v>0</v>
      </c>
      <c r="W84" s="43" t="s">
        <v>1962</v>
      </c>
      <c r="X84" s="43" t="s">
        <v>1966</v>
      </c>
      <c r="Y84" s="43">
        <v>0</v>
      </c>
      <c r="Z84" s="43">
        <v>1</v>
      </c>
      <c r="AA84" s="43">
        <v>2022</v>
      </c>
      <c r="AB84" s="43">
        <v>9999</v>
      </c>
      <c r="AC84" s="43" t="s">
        <v>1591</v>
      </c>
    </row>
    <row r="85" spans="1:29" x14ac:dyDescent="0.25">
      <c r="A85" s="43" t="s">
        <v>1596</v>
      </c>
      <c r="B85" s="39" t="s">
        <v>1597</v>
      </c>
      <c r="C85" s="43"/>
      <c r="D85" s="43">
        <v>1</v>
      </c>
      <c r="E85" s="56" t="s">
        <v>1251</v>
      </c>
      <c r="F85" s="43">
        <v>2</v>
      </c>
      <c r="G85" s="43">
        <v>2026</v>
      </c>
      <c r="H85" s="43"/>
      <c r="I85" s="43">
        <v>73.3</v>
      </c>
      <c r="J85" s="43" t="s">
        <v>147</v>
      </c>
      <c r="K85" s="43" t="s">
        <v>47</v>
      </c>
      <c r="M85" s="43">
        <v>1</v>
      </c>
      <c r="N85" s="43">
        <v>0</v>
      </c>
      <c r="O85" s="43">
        <v>0</v>
      </c>
      <c r="P85" s="43">
        <v>0</v>
      </c>
      <c r="Q85" s="43">
        <v>0</v>
      </c>
      <c r="R85" s="43">
        <v>0</v>
      </c>
      <c r="S85" s="43">
        <v>1</v>
      </c>
      <c r="T85" s="43">
        <v>1</v>
      </c>
      <c r="U85" s="43">
        <v>1</v>
      </c>
      <c r="V85" s="43">
        <v>0</v>
      </c>
      <c r="W85" s="43" t="s">
        <v>1598</v>
      </c>
      <c r="X85" s="43" t="s">
        <v>2003</v>
      </c>
      <c r="Y85" s="43">
        <v>0</v>
      </c>
      <c r="Z85" s="43">
        <v>0</v>
      </c>
      <c r="AA85" s="43">
        <v>2022</v>
      </c>
      <c r="AB85" s="43">
        <v>9999</v>
      </c>
      <c r="AC85" s="43" t="s">
        <v>1591</v>
      </c>
    </row>
    <row r="86" spans="1:29" x14ac:dyDescent="0.25">
      <c r="A86" s="43" t="s">
        <v>1588</v>
      </c>
      <c r="B86" s="39" t="s">
        <v>1589</v>
      </c>
      <c r="C86" s="43"/>
      <c r="D86" s="43">
        <v>1</v>
      </c>
      <c r="E86" s="56" t="s">
        <v>38</v>
      </c>
      <c r="F86" s="43">
        <v>4</v>
      </c>
      <c r="G86" s="43">
        <v>2026</v>
      </c>
      <c r="H86" s="43" t="s">
        <v>837</v>
      </c>
      <c r="I86" s="43">
        <v>40</v>
      </c>
      <c r="J86" s="43" t="s">
        <v>40</v>
      </c>
      <c r="K86" s="43" t="s">
        <v>41</v>
      </c>
      <c r="M86" s="43">
        <v>0</v>
      </c>
      <c r="N86" s="43">
        <v>0</v>
      </c>
      <c r="O86" s="43">
        <v>0</v>
      </c>
      <c r="P86" s="43">
        <v>0</v>
      </c>
      <c r="Q86" s="43">
        <v>0</v>
      </c>
      <c r="R86" s="43">
        <v>0</v>
      </c>
      <c r="S86" s="43">
        <v>0</v>
      </c>
      <c r="T86" s="43">
        <v>0</v>
      </c>
      <c r="U86" s="43">
        <v>0</v>
      </c>
      <c r="V86" s="43">
        <v>0</v>
      </c>
      <c r="W86" s="43" t="s">
        <v>1590</v>
      </c>
      <c r="X86" s="43" t="s">
        <v>1953</v>
      </c>
      <c r="Y86" s="43">
        <v>0</v>
      </c>
      <c r="Z86" s="43">
        <v>0</v>
      </c>
      <c r="AA86" s="43">
        <v>2022</v>
      </c>
      <c r="AB86" s="43">
        <v>9999</v>
      </c>
      <c r="AC86" s="43" t="s">
        <v>1591</v>
      </c>
    </row>
    <row r="87" spans="1:29" ht="30" x14ac:dyDescent="0.25">
      <c r="A87" s="43" t="s">
        <v>1576</v>
      </c>
      <c r="B87" s="39" t="s">
        <v>1577</v>
      </c>
      <c r="C87" s="43"/>
      <c r="D87" s="43">
        <v>1</v>
      </c>
      <c r="E87" s="56" t="s">
        <v>358</v>
      </c>
      <c r="F87" s="43">
        <v>1</v>
      </c>
      <c r="G87" s="43">
        <v>2026</v>
      </c>
      <c r="H87" s="43" t="s">
        <v>1558</v>
      </c>
      <c r="I87" s="43">
        <v>7</v>
      </c>
      <c r="J87" s="43" t="s">
        <v>104</v>
      </c>
      <c r="K87" s="43" t="s">
        <v>41</v>
      </c>
      <c r="M87" s="43">
        <v>0</v>
      </c>
      <c r="N87" s="43">
        <v>0</v>
      </c>
      <c r="O87" s="43">
        <v>0</v>
      </c>
      <c r="P87" s="43">
        <v>0</v>
      </c>
      <c r="Q87" s="43">
        <v>0</v>
      </c>
      <c r="R87" s="43">
        <v>0</v>
      </c>
      <c r="S87" s="43">
        <v>0</v>
      </c>
      <c r="T87" s="43">
        <v>1</v>
      </c>
      <c r="U87" s="43">
        <v>0</v>
      </c>
      <c r="V87" s="43">
        <v>0</v>
      </c>
      <c r="W87" s="43" t="s">
        <v>1578</v>
      </c>
      <c r="X87" s="43" t="s">
        <v>1745</v>
      </c>
      <c r="Y87" s="43">
        <v>0</v>
      </c>
      <c r="Z87" s="43">
        <v>0</v>
      </c>
      <c r="AA87" s="43">
        <v>2020</v>
      </c>
      <c r="AB87" s="43">
        <v>9999</v>
      </c>
      <c r="AC87" s="43" t="s">
        <v>1579</v>
      </c>
    </row>
    <row r="88" spans="1:29" x14ac:dyDescent="0.25">
      <c r="A88" s="43" t="s">
        <v>1557</v>
      </c>
      <c r="B88" s="39" t="s">
        <v>1558</v>
      </c>
      <c r="C88" s="43"/>
      <c r="D88" s="43">
        <v>1</v>
      </c>
      <c r="E88" s="56" t="s">
        <v>358</v>
      </c>
      <c r="F88" s="43">
        <v>1</v>
      </c>
      <c r="G88" s="43">
        <v>2026</v>
      </c>
      <c r="H88" s="43"/>
      <c r="I88" s="43">
        <v>33</v>
      </c>
      <c r="J88" s="43" t="s">
        <v>104</v>
      </c>
      <c r="K88" s="43" t="s">
        <v>47</v>
      </c>
      <c r="M88" s="43">
        <v>0</v>
      </c>
      <c r="N88" s="43">
        <v>0</v>
      </c>
      <c r="O88" s="43">
        <v>0</v>
      </c>
      <c r="P88" s="43">
        <v>0</v>
      </c>
      <c r="Q88" s="43">
        <v>0</v>
      </c>
      <c r="R88" s="43">
        <v>0</v>
      </c>
      <c r="S88" s="43">
        <v>1</v>
      </c>
      <c r="T88" s="43">
        <v>1</v>
      </c>
      <c r="U88" s="43">
        <v>1</v>
      </c>
      <c r="V88" s="43">
        <v>0</v>
      </c>
      <c r="W88" s="43" t="s">
        <v>1559</v>
      </c>
      <c r="X88" s="43" t="s">
        <v>1650</v>
      </c>
      <c r="Y88" s="43">
        <v>1</v>
      </c>
      <c r="Z88" s="43">
        <v>0</v>
      </c>
      <c r="AA88" s="43">
        <v>2019</v>
      </c>
      <c r="AB88" s="43">
        <v>9999</v>
      </c>
      <c r="AC88" s="43" t="s">
        <v>1560</v>
      </c>
    </row>
    <row r="89" spans="1:29" x14ac:dyDescent="0.25">
      <c r="A89" s="43" t="s">
        <v>1540</v>
      </c>
      <c r="B89" s="39" t="s">
        <v>1541</v>
      </c>
      <c r="C89" s="43"/>
      <c r="D89" s="43">
        <v>1</v>
      </c>
      <c r="E89" s="56" t="s">
        <v>58</v>
      </c>
      <c r="F89" s="43">
        <v>4</v>
      </c>
      <c r="G89" s="43">
        <v>2026</v>
      </c>
      <c r="H89" s="43"/>
      <c r="I89" s="43">
        <v>124.6</v>
      </c>
      <c r="J89" s="43" t="s">
        <v>59</v>
      </c>
      <c r="K89" s="43" t="s">
        <v>47</v>
      </c>
      <c r="M89" s="43">
        <v>1</v>
      </c>
      <c r="N89" s="43">
        <v>0</v>
      </c>
      <c r="O89" s="43">
        <v>0</v>
      </c>
      <c r="P89" s="43">
        <v>0</v>
      </c>
      <c r="Q89" s="43">
        <v>0</v>
      </c>
      <c r="R89" s="43">
        <v>0</v>
      </c>
      <c r="S89" s="43">
        <v>1</v>
      </c>
      <c r="T89" s="43">
        <v>1</v>
      </c>
      <c r="U89" s="43">
        <v>1</v>
      </c>
      <c r="V89" s="43">
        <v>0</v>
      </c>
      <c r="W89" s="43" t="s">
        <v>1542</v>
      </c>
      <c r="X89" s="43" t="s">
        <v>1864</v>
      </c>
      <c r="Y89" s="43">
        <v>0</v>
      </c>
      <c r="Z89" s="43">
        <v>0</v>
      </c>
      <c r="AA89" s="43">
        <v>2018</v>
      </c>
      <c r="AB89" s="43">
        <v>9999</v>
      </c>
      <c r="AC89" s="43" t="s">
        <v>1543</v>
      </c>
    </row>
    <row r="90" spans="1:29" x14ac:dyDescent="0.25">
      <c r="A90" s="43" t="s">
        <v>1544</v>
      </c>
      <c r="B90" s="39" t="s">
        <v>1545</v>
      </c>
      <c r="C90" s="43"/>
      <c r="D90" s="43">
        <v>1</v>
      </c>
      <c r="E90" s="56" t="s">
        <v>1546</v>
      </c>
      <c r="F90" s="43">
        <v>5</v>
      </c>
      <c r="G90" s="43">
        <v>2026</v>
      </c>
      <c r="H90" s="43" t="s">
        <v>214</v>
      </c>
      <c r="I90" s="43">
        <v>5</v>
      </c>
      <c r="J90" s="43" t="s">
        <v>1610</v>
      </c>
      <c r="K90" s="43" t="s">
        <v>41</v>
      </c>
      <c r="M90" s="43">
        <v>0</v>
      </c>
      <c r="N90" s="43">
        <v>0</v>
      </c>
      <c r="O90" s="43">
        <v>0</v>
      </c>
      <c r="P90" s="43">
        <v>0</v>
      </c>
      <c r="Q90" s="43">
        <v>0</v>
      </c>
      <c r="R90" s="43">
        <v>0</v>
      </c>
      <c r="S90" s="43">
        <v>0</v>
      </c>
      <c r="T90" s="43">
        <v>0</v>
      </c>
      <c r="U90" s="43">
        <v>0</v>
      </c>
      <c r="V90" s="43">
        <v>0</v>
      </c>
      <c r="W90" s="43" t="s">
        <v>1547</v>
      </c>
      <c r="X90" s="43" t="s">
        <v>1696</v>
      </c>
      <c r="Y90" s="43">
        <v>0</v>
      </c>
      <c r="Z90" s="43">
        <v>0</v>
      </c>
      <c r="AA90" s="43">
        <v>2018</v>
      </c>
      <c r="AB90" s="43">
        <v>9999</v>
      </c>
      <c r="AC90" s="43" t="s">
        <v>1543</v>
      </c>
    </row>
    <row r="91" spans="1:29" x14ac:dyDescent="0.25">
      <c r="A91" s="43" t="s">
        <v>1529</v>
      </c>
      <c r="B91" s="39" t="s">
        <v>1530</v>
      </c>
      <c r="C91" s="43"/>
      <c r="D91" s="43">
        <v>1</v>
      </c>
      <c r="E91" s="56"/>
      <c r="F91" s="43">
        <v>8</v>
      </c>
      <c r="G91" s="43">
        <v>2026</v>
      </c>
      <c r="H91" s="43"/>
      <c r="I91" s="43">
        <v>5</v>
      </c>
      <c r="J91" s="43" t="s">
        <v>81</v>
      </c>
      <c r="K91" s="43" t="s">
        <v>32</v>
      </c>
      <c r="M91" s="43">
        <v>0</v>
      </c>
      <c r="N91" s="43">
        <v>0</v>
      </c>
      <c r="O91" s="43">
        <v>0</v>
      </c>
      <c r="P91" s="43">
        <v>0</v>
      </c>
      <c r="Q91" s="43">
        <v>0</v>
      </c>
      <c r="R91" s="43">
        <v>0</v>
      </c>
      <c r="S91" s="43">
        <v>0</v>
      </c>
      <c r="T91" s="43">
        <v>0</v>
      </c>
      <c r="U91" s="43">
        <v>1</v>
      </c>
      <c r="V91" s="43">
        <v>0</v>
      </c>
      <c r="W91" s="43" t="s">
        <v>1531</v>
      </c>
      <c r="X91" s="43" t="s">
        <v>1816</v>
      </c>
      <c r="Y91" s="43">
        <v>1</v>
      </c>
      <c r="Z91" s="43">
        <v>0</v>
      </c>
      <c r="AA91" s="43">
        <v>2017</v>
      </c>
      <c r="AB91" s="43">
        <v>9999</v>
      </c>
      <c r="AC91" s="43" t="s">
        <v>1532</v>
      </c>
    </row>
    <row r="92" spans="1:29" x14ac:dyDescent="0.25">
      <c r="A92" s="43" t="s">
        <v>1478</v>
      </c>
      <c r="B92" s="39" t="s">
        <v>360</v>
      </c>
      <c r="C92" s="43"/>
      <c r="D92" s="43">
        <v>4</v>
      </c>
      <c r="E92" s="56" t="s">
        <v>155</v>
      </c>
      <c r="F92" s="43">
        <v>3</v>
      </c>
      <c r="G92" s="43">
        <v>2026</v>
      </c>
      <c r="H92" s="43"/>
      <c r="I92" s="43">
        <v>393.16</v>
      </c>
      <c r="J92" s="43" t="s">
        <v>121</v>
      </c>
      <c r="K92" s="43" t="s">
        <v>53</v>
      </c>
      <c r="L92" s="43" t="s">
        <v>60</v>
      </c>
      <c r="M92" s="43">
        <v>0</v>
      </c>
      <c r="N92" s="43">
        <v>0</v>
      </c>
      <c r="O92" s="43">
        <v>1</v>
      </c>
      <c r="P92" s="43">
        <v>0</v>
      </c>
      <c r="Q92" s="43">
        <v>0</v>
      </c>
      <c r="R92" s="43">
        <v>0</v>
      </c>
      <c r="S92" s="43">
        <v>1</v>
      </c>
      <c r="T92" s="43">
        <v>0</v>
      </c>
      <c r="U92" s="43">
        <v>0</v>
      </c>
      <c r="V92" s="43">
        <v>1</v>
      </c>
      <c r="W92" s="43" t="s">
        <v>361</v>
      </c>
      <c r="X92" s="43" t="s">
        <v>1971</v>
      </c>
      <c r="Y92" s="43">
        <v>0</v>
      </c>
      <c r="Z92" s="43">
        <v>0</v>
      </c>
      <c r="AA92" s="43">
        <v>2007</v>
      </c>
      <c r="AB92" s="43">
        <v>9999</v>
      </c>
      <c r="AC92" s="43" t="s">
        <v>1475</v>
      </c>
    </row>
    <row r="93" spans="1:29" x14ac:dyDescent="0.25">
      <c r="A93" s="43" t="s">
        <v>1474</v>
      </c>
      <c r="B93" s="39" t="s">
        <v>290</v>
      </c>
      <c r="C93" s="43"/>
      <c r="D93" s="43">
        <v>1</v>
      </c>
      <c r="E93" s="56" t="s">
        <v>103</v>
      </c>
      <c r="F93" s="43">
        <v>9</v>
      </c>
      <c r="G93" s="43">
        <v>2026</v>
      </c>
      <c r="H93" s="43"/>
      <c r="I93" s="43">
        <v>534</v>
      </c>
      <c r="J93" s="43" t="s">
        <v>104</v>
      </c>
      <c r="K93" s="43" t="s">
        <v>53</v>
      </c>
      <c r="L93" s="43" t="s">
        <v>105</v>
      </c>
      <c r="M93" s="43">
        <v>0</v>
      </c>
      <c r="N93" s="43">
        <v>0</v>
      </c>
      <c r="O93" s="43">
        <v>0</v>
      </c>
      <c r="P93" s="43">
        <v>1</v>
      </c>
      <c r="Q93" s="43">
        <v>0</v>
      </c>
      <c r="R93" s="43">
        <v>0</v>
      </c>
      <c r="S93" s="43">
        <v>1</v>
      </c>
      <c r="T93" s="43">
        <v>1</v>
      </c>
      <c r="U93" s="43">
        <v>1</v>
      </c>
      <c r="V93" s="43">
        <v>0</v>
      </c>
      <c r="W93" s="43" t="s">
        <v>106</v>
      </c>
      <c r="X93" s="43" t="s">
        <v>1941</v>
      </c>
      <c r="Y93" s="43">
        <v>0</v>
      </c>
      <c r="Z93" s="43">
        <v>0</v>
      </c>
      <c r="AA93" s="43">
        <v>2007</v>
      </c>
      <c r="AB93" s="43">
        <v>9999</v>
      </c>
      <c r="AC93" s="43" t="s">
        <v>1475</v>
      </c>
    </row>
    <row r="94" spans="1:29" x14ac:dyDescent="0.25">
      <c r="A94" s="43" t="s">
        <v>1489</v>
      </c>
      <c r="B94" s="39" t="s">
        <v>619</v>
      </c>
      <c r="C94" s="43"/>
      <c r="D94" s="43">
        <v>1</v>
      </c>
      <c r="E94" s="56" t="s">
        <v>620</v>
      </c>
      <c r="F94" s="43">
        <v>5</v>
      </c>
      <c r="G94" s="43">
        <v>2026</v>
      </c>
      <c r="H94" s="43"/>
      <c r="I94" s="43">
        <v>51.2</v>
      </c>
      <c r="J94" s="43" t="s">
        <v>104</v>
      </c>
      <c r="K94" s="43" t="s">
        <v>47</v>
      </c>
      <c r="M94" s="43">
        <v>1</v>
      </c>
      <c r="N94" s="43">
        <v>0</v>
      </c>
      <c r="O94" s="43">
        <v>0</v>
      </c>
      <c r="P94" s="43">
        <v>0</v>
      </c>
      <c r="Q94" s="43">
        <v>0</v>
      </c>
      <c r="R94" s="43">
        <v>0</v>
      </c>
      <c r="S94" s="43">
        <v>1</v>
      </c>
      <c r="T94" s="43">
        <v>1</v>
      </c>
      <c r="U94" s="43">
        <v>1</v>
      </c>
      <c r="V94" s="43">
        <v>0</v>
      </c>
      <c r="W94" s="43" t="s">
        <v>1141</v>
      </c>
      <c r="X94" s="43" t="s">
        <v>2011</v>
      </c>
      <c r="Y94" s="43">
        <v>0</v>
      </c>
      <c r="Z94" s="43">
        <v>0</v>
      </c>
      <c r="AA94" s="43">
        <v>2007</v>
      </c>
      <c r="AB94" s="43">
        <v>9999</v>
      </c>
      <c r="AC94" s="43" t="s">
        <v>1475</v>
      </c>
    </row>
    <row r="95" spans="1:29" x14ac:dyDescent="0.25">
      <c r="A95" s="43" t="s">
        <v>1510</v>
      </c>
      <c r="B95" s="39" t="s">
        <v>1511</v>
      </c>
      <c r="C95" s="43"/>
      <c r="D95" s="43">
        <v>1</v>
      </c>
      <c r="E95" s="56">
        <v>411</v>
      </c>
      <c r="F95" s="43">
        <v>4</v>
      </c>
      <c r="G95" s="43">
        <v>2026</v>
      </c>
      <c r="H95" s="43"/>
      <c r="I95" s="43">
        <v>61.6</v>
      </c>
      <c r="J95" s="43" t="s">
        <v>52</v>
      </c>
      <c r="K95" s="43" t="s">
        <v>47</v>
      </c>
      <c r="M95" s="43">
        <v>1</v>
      </c>
      <c r="N95" s="43">
        <v>0</v>
      </c>
      <c r="O95" s="43">
        <v>0</v>
      </c>
      <c r="P95" s="43">
        <v>0</v>
      </c>
      <c r="Q95" s="43">
        <v>0</v>
      </c>
      <c r="R95" s="43">
        <v>0</v>
      </c>
      <c r="S95" s="43">
        <v>1</v>
      </c>
      <c r="T95" s="43">
        <v>1</v>
      </c>
      <c r="U95" s="43">
        <v>1</v>
      </c>
      <c r="V95" s="43">
        <v>0</v>
      </c>
      <c r="W95" s="43" t="s">
        <v>1512</v>
      </c>
      <c r="X95" s="43" t="s">
        <v>1833</v>
      </c>
      <c r="Y95" s="43">
        <v>0</v>
      </c>
      <c r="Z95" s="43">
        <v>0</v>
      </c>
      <c r="AA95" s="43">
        <v>2015</v>
      </c>
      <c r="AB95" s="43">
        <v>9999</v>
      </c>
      <c r="AC95" s="43" t="s">
        <v>1475</v>
      </c>
    </row>
    <row r="96" spans="1:29" x14ac:dyDescent="0.25">
      <c r="A96" s="43" t="s">
        <v>1499</v>
      </c>
      <c r="B96" s="39" t="s">
        <v>1500</v>
      </c>
      <c r="C96" s="43"/>
      <c r="D96" s="43">
        <v>1</v>
      </c>
      <c r="E96" s="56">
        <v>960</v>
      </c>
      <c r="F96" s="43">
        <v>9</v>
      </c>
      <c r="G96" s="43">
        <v>2026</v>
      </c>
      <c r="H96" s="43"/>
      <c r="I96" s="43">
        <v>19</v>
      </c>
      <c r="J96" s="43" t="s">
        <v>104</v>
      </c>
      <c r="K96" s="43" t="s">
        <v>47</v>
      </c>
      <c r="M96" s="43">
        <v>0</v>
      </c>
      <c r="N96" s="43">
        <v>0</v>
      </c>
      <c r="O96" s="43">
        <v>0</v>
      </c>
      <c r="P96" s="43">
        <v>0</v>
      </c>
      <c r="Q96" s="43">
        <v>0</v>
      </c>
      <c r="R96" s="43">
        <v>0</v>
      </c>
      <c r="S96" s="43">
        <v>1</v>
      </c>
      <c r="T96" s="43">
        <v>1</v>
      </c>
      <c r="U96" s="43">
        <v>1</v>
      </c>
      <c r="V96" s="43">
        <v>0</v>
      </c>
      <c r="W96" s="43" t="s">
        <v>1501</v>
      </c>
      <c r="X96" s="43" t="s">
        <v>2049</v>
      </c>
      <c r="Y96" s="43">
        <v>2</v>
      </c>
      <c r="Z96" s="43">
        <v>0</v>
      </c>
      <c r="AA96" s="43">
        <v>2015</v>
      </c>
      <c r="AB96" s="43">
        <v>9999</v>
      </c>
      <c r="AC96" s="43" t="s">
        <v>1475</v>
      </c>
    </row>
    <row r="97" spans="1:29" x14ac:dyDescent="0.25">
      <c r="A97" s="43" t="s">
        <v>1446</v>
      </c>
      <c r="B97" s="39" t="s">
        <v>1447</v>
      </c>
      <c r="C97" s="43"/>
      <c r="D97" s="43">
        <v>1</v>
      </c>
      <c r="E97" s="56">
        <v>711</v>
      </c>
      <c r="F97" s="43">
        <v>7</v>
      </c>
      <c r="G97" s="43">
        <v>2026</v>
      </c>
      <c r="H97" s="43"/>
      <c r="I97" s="43">
        <v>574.29999999999995</v>
      </c>
      <c r="J97" s="43" t="s">
        <v>40</v>
      </c>
      <c r="K97" s="43" t="s">
        <v>32</v>
      </c>
      <c r="M97" s="43">
        <v>0</v>
      </c>
      <c r="N97" s="43">
        <v>0</v>
      </c>
      <c r="O97" s="43">
        <v>0</v>
      </c>
      <c r="P97" s="43">
        <v>0</v>
      </c>
      <c r="Q97" s="43">
        <v>0</v>
      </c>
      <c r="R97" s="43">
        <v>0</v>
      </c>
      <c r="S97" s="43">
        <v>1</v>
      </c>
      <c r="T97" s="43">
        <v>1</v>
      </c>
      <c r="U97" s="43">
        <v>1</v>
      </c>
      <c r="V97" s="43">
        <v>0</v>
      </c>
      <c r="W97" s="43" t="s">
        <v>1448</v>
      </c>
      <c r="X97" s="43" t="s">
        <v>1935</v>
      </c>
      <c r="Y97" s="43">
        <v>0</v>
      </c>
      <c r="Z97" s="43">
        <v>0</v>
      </c>
      <c r="AA97" s="43">
        <v>2014</v>
      </c>
      <c r="AB97" s="43">
        <v>9999</v>
      </c>
      <c r="AC97" s="43" t="s">
        <v>1449</v>
      </c>
    </row>
    <row r="98" spans="1:29" x14ac:dyDescent="0.25">
      <c r="A98" s="43" t="s">
        <v>1451</v>
      </c>
      <c r="B98" s="39" t="s">
        <v>1452</v>
      </c>
      <c r="C98" s="43"/>
      <c r="D98" s="43">
        <v>1</v>
      </c>
      <c r="E98" s="56">
        <v>760</v>
      </c>
      <c r="F98" s="43">
        <v>7</v>
      </c>
      <c r="G98" s="43">
        <v>2026</v>
      </c>
      <c r="H98" s="43"/>
      <c r="I98" s="43">
        <v>598.5</v>
      </c>
      <c r="J98" s="43" t="s">
        <v>40</v>
      </c>
      <c r="K98" s="43" t="s">
        <v>47</v>
      </c>
      <c r="M98" s="43">
        <v>1</v>
      </c>
      <c r="N98" s="43">
        <v>0</v>
      </c>
      <c r="O98" s="43">
        <v>0</v>
      </c>
      <c r="P98" s="43">
        <v>0</v>
      </c>
      <c r="Q98" s="43">
        <v>0</v>
      </c>
      <c r="R98" s="43">
        <v>0</v>
      </c>
      <c r="S98" s="43">
        <v>1</v>
      </c>
      <c r="T98" s="43">
        <v>1</v>
      </c>
      <c r="U98" s="43">
        <v>1</v>
      </c>
      <c r="V98" s="43">
        <v>0</v>
      </c>
      <c r="W98" s="43" t="s">
        <v>1587</v>
      </c>
      <c r="X98" s="43" t="s">
        <v>1952</v>
      </c>
      <c r="Y98" s="43">
        <v>0</v>
      </c>
      <c r="Z98" s="43">
        <v>0</v>
      </c>
      <c r="AA98" s="43">
        <v>2014</v>
      </c>
      <c r="AB98" s="43">
        <v>9999</v>
      </c>
      <c r="AC98" s="43" t="s">
        <v>1449</v>
      </c>
    </row>
    <row r="99" spans="1:29" x14ac:dyDescent="0.25">
      <c r="A99" s="43">
        <v>2021006560</v>
      </c>
      <c r="B99" s="39" t="s">
        <v>1469</v>
      </c>
      <c r="C99" s="43"/>
      <c r="D99" s="43">
        <v>1</v>
      </c>
      <c r="E99" s="56">
        <v>941</v>
      </c>
      <c r="F99" s="43">
        <v>9</v>
      </c>
      <c r="G99" s="43">
        <v>2026</v>
      </c>
      <c r="H99" s="43"/>
      <c r="I99" s="43">
        <v>190.2</v>
      </c>
      <c r="J99" s="43" t="s">
        <v>104</v>
      </c>
      <c r="K99" s="43" t="s">
        <v>53</v>
      </c>
      <c r="L99" s="43" t="s">
        <v>105</v>
      </c>
      <c r="M99" s="43">
        <v>0</v>
      </c>
      <c r="N99" s="43">
        <v>0</v>
      </c>
      <c r="O99" s="43">
        <v>0</v>
      </c>
      <c r="P99" s="43">
        <v>1</v>
      </c>
      <c r="Q99" s="43">
        <v>0</v>
      </c>
      <c r="R99" s="43">
        <v>0</v>
      </c>
      <c r="S99" s="43">
        <v>1</v>
      </c>
      <c r="T99" s="43">
        <v>1</v>
      </c>
      <c r="U99" s="43">
        <v>1</v>
      </c>
      <c r="V99" s="43">
        <v>0</v>
      </c>
      <c r="W99" s="43" t="s">
        <v>106</v>
      </c>
      <c r="X99" s="43" t="s">
        <v>1941</v>
      </c>
      <c r="Y99" s="43">
        <v>0</v>
      </c>
      <c r="Z99" s="43">
        <v>0</v>
      </c>
      <c r="AA99" s="43">
        <v>2014</v>
      </c>
      <c r="AB99" s="43">
        <v>9999</v>
      </c>
      <c r="AC99" s="43" t="s">
        <v>1449</v>
      </c>
    </row>
    <row r="100" spans="1:29" x14ac:dyDescent="0.25">
      <c r="A100" s="43" t="s">
        <v>1433</v>
      </c>
      <c r="B100" s="39" t="s">
        <v>1434</v>
      </c>
      <c r="C100" s="43"/>
      <c r="D100" s="43">
        <v>1</v>
      </c>
      <c r="E100" s="56">
        <v>133</v>
      </c>
      <c r="F100" s="43">
        <v>1</v>
      </c>
      <c r="G100" s="43">
        <v>2026</v>
      </c>
      <c r="H100" s="43"/>
      <c r="I100" s="43">
        <v>1343.8</v>
      </c>
      <c r="J100" s="43" t="s">
        <v>52</v>
      </c>
      <c r="K100" s="43" t="s">
        <v>32</v>
      </c>
      <c r="M100" s="43">
        <v>0</v>
      </c>
      <c r="N100" s="43">
        <v>0</v>
      </c>
      <c r="O100" s="43">
        <v>0</v>
      </c>
      <c r="P100" s="43">
        <v>0</v>
      </c>
      <c r="Q100" s="43">
        <v>0</v>
      </c>
      <c r="R100" s="43">
        <v>0</v>
      </c>
      <c r="S100" s="43">
        <v>1</v>
      </c>
      <c r="T100" s="43">
        <v>1</v>
      </c>
      <c r="U100" s="43">
        <v>1</v>
      </c>
      <c r="V100" s="43">
        <v>0</v>
      </c>
      <c r="W100" s="43" t="s">
        <v>1435</v>
      </c>
      <c r="X100" s="43" t="s">
        <v>1797</v>
      </c>
      <c r="Y100" s="43">
        <v>0</v>
      </c>
      <c r="Z100" s="43">
        <v>0</v>
      </c>
      <c r="AA100" s="43">
        <v>2013</v>
      </c>
      <c r="AB100" s="43">
        <v>9999</v>
      </c>
      <c r="AC100" s="43" t="s">
        <v>1419</v>
      </c>
    </row>
    <row r="101" spans="1:29" x14ac:dyDescent="0.25">
      <c r="A101" s="43" t="s">
        <v>1416</v>
      </c>
      <c r="B101" s="39" t="s">
        <v>1417</v>
      </c>
      <c r="C101" s="43"/>
      <c r="D101" s="43">
        <v>1</v>
      </c>
      <c r="E101" s="56" t="s">
        <v>38</v>
      </c>
      <c r="F101" s="43">
        <v>4</v>
      </c>
      <c r="G101" s="43">
        <v>2026</v>
      </c>
      <c r="H101" s="43" t="s">
        <v>998</v>
      </c>
      <c r="I101" s="43">
        <v>0</v>
      </c>
      <c r="J101" s="43" t="s">
        <v>1608</v>
      </c>
      <c r="K101" s="43" t="s">
        <v>41</v>
      </c>
      <c r="M101" s="43">
        <v>0</v>
      </c>
      <c r="N101" s="43">
        <v>0</v>
      </c>
      <c r="O101" s="43">
        <v>0</v>
      </c>
      <c r="P101" s="43">
        <v>0</v>
      </c>
      <c r="Q101" s="43">
        <v>0</v>
      </c>
      <c r="R101" s="43">
        <v>0</v>
      </c>
      <c r="S101" s="43">
        <v>0</v>
      </c>
      <c r="T101" s="43">
        <v>0</v>
      </c>
      <c r="U101" s="43">
        <v>0</v>
      </c>
      <c r="V101" s="43">
        <v>0</v>
      </c>
      <c r="W101" s="43" t="s">
        <v>1943</v>
      </c>
      <c r="X101" s="43" t="s">
        <v>1942</v>
      </c>
      <c r="Y101" s="43">
        <v>0</v>
      </c>
      <c r="Z101" s="43">
        <v>0</v>
      </c>
      <c r="AA101" s="43">
        <v>2013</v>
      </c>
      <c r="AB101" s="43">
        <v>9999</v>
      </c>
      <c r="AC101" s="43" t="s">
        <v>1419</v>
      </c>
    </row>
    <row r="102" spans="1:29" x14ac:dyDescent="0.25">
      <c r="A102" s="43" t="s">
        <v>1400</v>
      </c>
      <c r="B102" s="39" t="s">
        <v>1401</v>
      </c>
      <c r="C102" s="43"/>
      <c r="D102" s="43">
        <v>1</v>
      </c>
      <c r="E102" s="56" t="s">
        <v>80</v>
      </c>
      <c r="F102" s="43">
        <v>8</v>
      </c>
      <c r="G102" s="43">
        <v>2026</v>
      </c>
      <c r="H102" s="43"/>
      <c r="I102" s="43">
        <v>12.5</v>
      </c>
      <c r="J102" s="43" t="s">
        <v>81</v>
      </c>
      <c r="K102" s="43" t="s">
        <v>47</v>
      </c>
      <c r="M102" s="43">
        <v>1</v>
      </c>
      <c r="N102" s="43">
        <v>0</v>
      </c>
      <c r="O102" s="43">
        <v>0</v>
      </c>
      <c r="P102" s="43">
        <v>0</v>
      </c>
      <c r="Q102" s="43">
        <v>0</v>
      </c>
      <c r="R102" s="43">
        <v>0</v>
      </c>
      <c r="S102" s="43">
        <v>1</v>
      </c>
      <c r="T102" s="43">
        <v>1</v>
      </c>
      <c r="U102" s="43">
        <v>1</v>
      </c>
      <c r="V102" s="43">
        <v>0</v>
      </c>
      <c r="W102" s="43" t="s">
        <v>1402</v>
      </c>
      <c r="X102" s="43" t="s">
        <v>2004</v>
      </c>
      <c r="Y102" s="43">
        <v>0</v>
      </c>
      <c r="Z102" s="43">
        <v>0</v>
      </c>
      <c r="AA102" s="43">
        <v>2012</v>
      </c>
      <c r="AB102" s="43">
        <v>9999</v>
      </c>
      <c r="AC102" s="43" t="s">
        <v>1398</v>
      </c>
    </row>
    <row r="103" spans="1:29" x14ac:dyDescent="0.25">
      <c r="A103" s="43" t="s">
        <v>1370</v>
      </c>
      <c r="B103" s="39" t="s">
        <v>1371</v>
      </c>
      <c r="C103" s="43"/>
      <c r="D103" s="43">
        <v>1</v>
      </c>
      <c r="E103" s="56">
        <v>411</v>
      </c>
      <c r="F103" s="43">
        <v>4</v>
      </c>
      <c r="G103" s="43">
        <v>2026</v>
      </c>
      <c r="H103" s="43" t="s">
        <v>111</v>
      </c>
      <c r="I103" s="43">
        <v>0.5</v>
      </c>
      <c r="J103" s="43" t="s">
        <v>1610</v>
      </c>
      <c r="K103" s="43" t="s">
        <v>41</v>
      </c>
      <c r="M103" s="43">
        <v>0</v>
      </c>
      <c r="N103" s="43">
        <v>0</v>
      </c>
      <c r="O103" s="43">
        <v>0</v>
      </c>
      <c r="P103" s="43">
        <v>0</v>
      </c>
      <c r="Q103" s="43">
        <v>0</v>
      </c>
      <c r="R103" s="43">
        <v>0</v>
      </c>
      <c r="S103" s="43">
        <v>0</v>
      </c>
      <c r="T103" s="43">
        <v>0</v>
      </c>
      <c r="U103" s="43">
        <v>0</v>
      </c>
      <c r="V103" s="43">
        <v>0</v>
      </c>
      <c r="W103" s="43" t="s">
        <v>1372</v>
      </c>
      <c r="X103" s="43" t="s">
        <v>1750</v>
      </c>
      <c r="Y103" s="43">
        <v>0</v>
      </c>
      <c r="Z103" s="43">
        <v>0</v>
      </c>
      <c r="AA103" s="43">
        <v>2011</v>
      </c>
      <c r="AB103" s="43">
        <v>9999</v>
      </c>
      <c r="AC103" s="43" t="s">
        <v>1365</v>
      </c>
    </row>
    <row r="104" spans="1:29" x14ac:dyDescent="0.25">
      <c r="A104" s="43" t="s">
        <v>1385</v>
      </c>
      <c r="B104" s="39" t="s">
        <v>1386</v>
      </c>
      <c r="C104" s="43"/>
      <c r="D104" s="43">
        <v>1</v>
      </c>
      <c r="E104" s="56" t="s">
        <v>874</v>
      </c>
      <c r="F104" s="43">
        <v>1</v>
      </c>
      <c r="G104" s="43">
        <v>2026</v>
      </c>
      <c r="H104" s="43"/>
      <c r="I104" s="43">
        <v>35.6</v>
      </c>
      <c r="J104" s="43" t="s">
        <v>1608</v>
      </c>
      <c r="K104" s="43" t="s">
        <v>47</v>
      </c>
      <c r="M104" s="43">
        <v>0</v>
      </c>
      <c r="N104" s="43">
        <v>0</v>
      </c>
      <c r="O104" s="43">
        <v>0</v>
      </c>
      <c r="P104" s="43">
        <v>0</v>
      </c>
      <c r="Q104" s="43">
        <v>0</v>
      </c>
      <c r="R104" s="43">
        <v>0</v>
      </c>
      <c r="S104" s="43">
        <v>1</v>
      </c>
      <c r="T104" s="43">
        <v>1</v>
      </c>
      <c r="U104" s="43">
        <v>1</v>
      </c>
      <c r="V104" s="43">
        <v>0</v>
      </c>
      <c r="W104" s="43" t="s">
        <v>1387</v>
      </c>
      <c r="X104" s="43" t="s">
        <v>1827</v>
      </c>
      <c r="Y104" s="43">
        <v>0</v>
      </c>
      <c r="Z104" s="43">
        <v>1</v>
      </c>
      <c r="AA104" s="43">
        <v>2011</v>
      </c>
      <c r="AB104" s="43">
        <v>9999</v>
      </c>
      <c r="AC104" s="43" t="s">
        <v>1365</v>
      </c>
    </row>
    <row r="105" spans="1:29" x14ac:dyDescent="0.25">
      <c r="A105" s="43" t="s">
        <v>1388</v>
      </c>
      <c r="B105" s="39" t="s">
        <v>1389</v>
      </c>
      <c r="C105" s="43"/>
      <c r="D105" s="43">
        <v>1</v>
      </c>
      <c r="E105" s="56" t="s">
        <v>1390</v>
      </c>
      <c r="F105" s="43">
        <v>4</v>
      </c>
      <c r="G105" s="43">
        <v>2026</v>
      </c>
      <c r="H105" s="43"/>
      <c r="I105" s="43">
        <v>10648.6</v>
      </c>
      <c r="J105" s="43" t="s">
        <v>1608</v>
      </c>
      <c r="K105" s="43" t="s">
        <v>32</v>
      </c>
      <c r="M105" s="43">
        <v>0</v>
      </c>
      <c r="N105" s="43">
        <v>1</v>
      </c>
      <c r="O105" s="43">
        <v>0</v>
      </c>
      <c r="P105" s="43">
        <v>0</v>
      </c>
      <c r="Q105" s="43">
        <v>0</v>
      </c>
      <c r="R105" s="43">
        <v>0</v>
      </c>
      <c r="S105" s="43">
        <v>1</v>
      </c>
      <c r="T105" s="43">
        <v>1</v>
      </c>
      <c r="U105" s="43">
        <v>1</v>
      </c>
      <c r="V105" s="43">
        <v>0</v>
      </c>
      <c r="W105" s="43" t="s">
        <v>1391</v>
      </c>
      <c r="X105" s="43" t="s">
        <v>2038</v>
      </c>
      <c r="Y105" s="43">
        <v>1</v>
      </c>
      <c r="Z105" s="43">
        <v>0</v>
      </c>
      <c r="AA105" s="43">
        <v>2011</v>
      </c>
      <c r="AB105" s="43">
        <v>9999</v>
      </c>
      <c r="AC105" s="43" t="s">
        <v>1365</v>
      </c>
    </row>
    <row r="106" spans="1:29" x14ac:dyDescent="0.25">
      <c r="A106" s="43" t="s">
        <v>1289</v>
      </c>
      <c r="B106" s="39" t="s">
        <v>1290</v>
      </c>
      <c r="C106" s="43"/>
      <c r="D106" s="43">
        <v>1</v>
      </c>
      <c r="E106" s="56" t="s">
        <v>218</v>
      </c>
      <c r="F106" s="43">
        <v>2</v>
      </c>
      <c r="G106" s="43">
        <v>2026</v>
      </c>
      <c r="H106" s="43"/>
      <c r="I106" s="43">
        <v>4</v>
      </c>
      <c r="J106" s="43" t="s">
        <v>147</v>
      </c>
      <c r="K106" s="43" t="s">
        <v>53</v>
      </c>
      <c r="L106" s="43" t="s">
        <v>60</v>
      </c>
      <c r="M106" s="43">
        <v>0</v>
      </c>
      <c r="N106" s="43">
        <v>0</v>
      </c>
      <c r="O106" s="43">
        <v>1</v>
      </c>
      <c r="P106" s="43">
        <v>0</v>
      </c>
      <c r="Q106" s="43">
        <v>0</v>
      </c>
      <c r="R106" s="43">
        <v>0</v>
      </c>
      <c r="S106" s="43">
        <v>1</v>
      </c>
      <c r="T106" s="43">
        <v>1</v>
      </c>
      <c r="U106" s="43">
        <v>1</v>
      </c>
      <c r="V106" s="43">
        <v>0</v>
      </c>
      <c r="W106" s="43" t="s">
        <v>1291</v>
      </c>
      <c r="X106" s="43" t="s">
        <v>1669</v>
      </c>
      <c r="Y106" s="43">
        <v>0</v>
      </c>
      <c r="Z106" s="43">
        <v>0</v>
      </c>
      <c r="AA106" s="43">
        <v>2010</v>
      </c>
      <c r="AB106" s="43">
        <v>9999</v>
      </c>
      <c r="AC106" s="43" t="s">
        <v>1292</v>
      </c>
    </row>
    <row r="107" spans="1:29" x14ac:dyDescent="0.25">
      <c r="A107" s="43" t="s">
        <v>1337</v>
      </c>
      <c r="B107" s="39" t="s">
        <v>1315</v>
      </c>
      <c r="C107" s="43"/>
      <c r="D107" s="43">
        <v>1</v>
      </c>
      <c r="E107" s="56" t="s">
        <v>45</v>
      </c>
      <c r="F107" s="43">
        <v>4</v>
      </c>
      <c r="G107" s="43">
        <v>2026</v>
      </c>
      <c r="H107" s="43"/>
      <c r="I107" s="43">
        <v>454.7</v>
      </c>
      <c r="J107" s="43" t="s">
        <v>1610</v>
      </c>
      <c r="K107" s="43" t="s">
        <v>32</v>
      </c>
      <c r="M107" s="43">
        <v>0</v>
      </c>
      <c r="N107" s="43">
        <v>1</v>
      </c>
      <c r="O107" s="43">
        <v>0</v>
      </c>
      <c r="P107" s="43">
        <v>0</v>
      </c>
      <c r="Q107" s="43">
        <v>0</v>
      </c>
      <c r="R107" s="43">
        <v>0</v>
      </c>
      <c r="S107" s="43">
        <v>1</v>
      </c>
      <c r="T107" s="43">
        <v>1</v>
      </c>
      <c r="U107" s="43">
        <v>1</v>
      </c>
      <c r="V107" s="43">
        <v>0</v>
      </c>
      <c r="W107" s="43" t="s">
        <v>1338</v>
      </c>
      <c r="X107" s="43" t="s">
        <v>2036</v>
      </c>
      <c r="Y107" s="43">
        <v>2</v>
      </c>
      <c r="Z107" s="43">
        <v>0</v>
      </c>
      <c r="AA107" s="43">
        <v>2010</v>
      </c>
      <c r="AB107" s="43">
        <v>9999</v>
      </c>
      <c r="AC107" s="43" t="s">
        <v>1292</v>
      </c>
    </row>
    <row r="108" spans="1:29" x14ac:dyDescent="0.25">
      <c r="A108" s="43" t="s">
        <v>1317</v>
      </c>
      <c r="B108" s="39" t="s">
        <v>1318</v>
      </c>
      <c r="C108" s="43"/>
      <c r="D108" s="43">
        <v>1</v>
      </c>
      <c r="E108" s="56" t="s">
        <v>1319</v>
      </c>
      <c r="F108" s="43">
        <v>10</v>
      </c>
      <c r="G108" s="43">
        <v>2026</v>
      </c>
      <c r="H108" s="43"/>
      <c r="I108" s="43">
        <v>1562.9</v>
      </c>
      <c r="J108" s="43" t="s">
        <v>40</v>
      </c>
      <c r="K108" s="43" t="s">
        <v>32</v>
      </c>
      <c r="M108" s="43">
        <v>0</v>
      </c>
      <c r="N108" s="43">
        <v>0</v>
      </c>
      <c r="O108" s="43">
        <v>0</v>
      </c>
      <c r="P108" s="43">
        <v>0</v>
      </c>
      <c r="Q108" s="43">
        <v>0</v>
      </c>
      <c r="R108" s="43">
        <v>0</v>
      </c>
      <c r="S108" s="43">
        <v>1</v>
      </c>
      <c r="T108" s="43">
        <v>1</v>
      </c>
      <c r="U108" s="43">
        <v>1</v>
      </c>
      <c r="V108" s="43">
        <v>0</v>
      </c>
      <c r="W108" s="43" t="s">
        <v>1320</v>
      </c>
      <c r="X108" s="43" t="s">
        <v>2010</v>
      </c>
      <c r="Y108" s="43">
        <v>0</v>
      </c>
      <c r="Z108" s="43">
        <v>0</v>
      </c>
      <c r="AA108" s="43">
        <v>2010</v>
      </c>
      <c r="AB108" s="43">
        <v>9999</v>
      </c>
      <c r="AC108" s="43" t="s">
        <v>1292</v>
      </c>
    </row>
    <row r="109" spans="1:29" x14ac:dyDescent="0.25">
      <c r="A109" s="43" t="s">
        <v>1302</v>
      </c>
      <c r="B109" s="39" t="s">
        <v>1303</v>
      </c>
      <c r="C109" s="43"/>
      <c r="D109" s="43">
        <v>1</v>
      </c>
      <c r="E109" s="56" t="s">
        <v>103</v>
      </c>
      <c r="F109" s="43">
        <v>9</v>
      </c>
      <c r="G109" s="43">
        <v>2026</v>
      </c>
      <c r="H109" s="43"/>
      <c r="I109" s="43">
        <v>1735.6</v>
      </c>
      <c r="J109" s="43" t="s">
        <v>104</v>
      </c>
      <c r="K109" s="43" t="s">
        <v>53</v>
      </c>
      <c r="L109" s="43" t="s">
        <v>105</v>
      </c>
      <c r="M109" s="43">
        <v>0</v>
      </c>
      <c r="N109" s="43">
        <v>0</v>
      </c>
      <c r="O109" s="43">
        <v>0</v>
      </c>
      <c r="P109" s="43">
        <v>1</v>
      </c>
      <c r="Q109" s="43">
        <v>0</v>
      </c>
      <c r="R109" s="43">
        <v>0</v>
      </c>
      <c r="S109" s="43">
        <v>1</v>
      </c>
      <c r="T109" s="43">
        <v>1</v>
      </c>
      <c r="U109" s="43">
        <v>1</v>
      </c>
      <c r="V109" s="43">
        <v>0</v>
      </c>
      <c r="W109" s="43" t="s">
        <v>106</v>
      </c>
      <c r="X109" s="43" t="s">
        <v>1941</v>
      </c>
      <c r="Y109" s="43">
        <v>0</v>
      </c>
      <c r="Z109" s="43">
        <v>0</v>
      </c>
      <c r="AA109" s="43">
        <v>2010</v>
      </c>
      <c r="AB109" s="43">
        <v>9999</v>
      </c>
      <c r="AC109" s="43" t="s">
        <v>1292</v>
      </c>
    </row>
    <row r="110" spans="1:29" x14ac:dyDescent="0.25">
      <c r="A110" s="43" t="s">
        <v>1253</v>
      </c>
      <c r="B110" s="39" t="s">
        <v>598</v>
      </c>
      <c r="C110" s="43"/>
      <c r="D110" s="43">
        <v>1</v>
      </c>
      <c r="E110" s="56" t="s">
        <v>38</v>
      </c>
      <c r="F110" s="43">
        <v>4</v>
      </c>
      <c r="G110" s="43">
        <v>2026</v>
      </c>
      <c r="H110" s="43" t="s">
        <v>39</v>
      </c>
      <c r="I110" s="43">
        <v>0</v>
      </c>
      <c r="J110" s="43" t="s">
        <v>59</v>
      </c>
      <c r="K110" s="43" t="s">
        <v>41</v>
      </c>
      <c r="M110" s="43">
        <v>0</v>
      </c>
      <c r="N110" s="43">
        <v>0</v>
      </c>
      <c r="O110" s="43">
        <v>0</v>
      </c>
      <c r="P110" s="43">
        <v>0</v>
      </c>
      <c r="Q110" s="43">
        <v>0</v>
      </c>
      <c r="R110" s="43">
        <v>0</v>
      </c>
      <c r="S110" s="43">
        <v>0</v>
      </c>
      <c r="T110" s="43">
        <v>0</v>
      </c>
      <c r="U110" s="43">
        <v>0</v>
      </c>
      <c r="V110" s="43">
        <v>0</v>
      </c>
      <c r="W110" s="43" t="s">
        <v>1254</v>
      </c>
      <c r="X110" s="43" t="s">
        <v>2046</v>
      </c>
      <c r="Y110" s="43">
        <v>0</v>
      </c>
      <c r="Z110" s="43">
        <v>0</v>
      </c>
      <c r="AA110" s="43">
        <v>2009</v>
      </c>
      <c r="AB110" s="43">
        <v>9999</v>
      </c>
      <c r="AC110" s="43" t="s">
        <v>1239</v>
      </c>
    </row>
    <row r="111" spans="1:29" x14ac:dyDescent="0.25">
      <c r="A111" s="43" t="s">
        <v>1236</v>
      </c>
      <c r="B111" s="39" t="s">
        <v>1237</v>
      </c>
      <c r="C111" s="43"/>
      <c r="D111" s="43">
        <v>1</v>
      </c>
      <c r="E111" s="56" t="s">
        <v>155</v>
      </c>
      <c r="F111" s="43">
        <v>3</v>
      </c>
      <c r="G111" s="43">
        <v>2026</v>
      </c>
      <c r="H111" s="43" t="s">
        <v>154</v>
      </c>
      <c r="I111" s="43">
        <v>8</v>
      </c>
      <c r="J111" s="43" t="s">
        <v>121</v>
      </c>
      <c r="K111" s="43" t="s">
        <v>41</v>
      </c>
      <c r="M111" s="43">
        <v>0</v>
      </c>
      <c r="N111" s="43">
        <v>0</v>
      </c>
      <c r="O111" s="43">
        <v>0</v>
      </c>
      <c r="P111" s="43">
        <v>0</v>
      </c>
      <c r="Q111" s="43">
        <v>0</v>
      </c>
      <c r="R111" s="43">
        <v>0</v>
      </c>
      <c r="S111" s="43">
        <v>0</v>
      </c>
      <c r="T111" s="43">
        <v>1</v>
      </c>
      <c r="U111" s="43">
        <v>1</v>
      </c>
      <c r="V111" s="43">
        <v>0</v>
      </c>
      <c r="W111" s="43" t="s">
        <v>1347</v>
      </c>
      <c r="X111" s="43" t="s">
        <v>1643</v>
      </c>
      <c r="Y111" s="43">
        <v>0</v>
      </c>
      <c r="Z111" s="43">
        <v>0</v>
      </c>
      <c r="AA111" s="43">
        <v>2009</v>
      </c>
      <c r="AB111" s="43">
        <v>9999</v>
      </c>
      <c r="AC111" s="43" t="s">
        <v>1239</v>
      </c>
    </row>
    <row r="112" spans="1:29" s="40" customFormat="1" x14ac:dyDescent="0.25">
      <c r="A112" s="43" t="s">
        <v>1272</v>
      </c>
      <c r="B112" s="39" t="s">
        <v>1273</v>
      </c>
      <c r="C112" s="43"/>
      <c r="D112" s="43">
        <v>1</v>
      </c>
      <c r="E112" s="56" t="s">
        <v>1274</v>
      </c>
      <c r="F112" s="43">
        <v>4</v>
      </c>
      <c r="G112" s="43">
        <v>2026</v>
      </c>
      <c r="H112" s="43"/>
      <c r="I112" s="43">
        <v>375.9</v>
      </c>
      <c r="J112" s="43" t="s">
        <v>1610</v>
      </c>
      <c r="K112" s="43" t="s">
        <v>47</v>
      </c>
      <c r="L112" s="43"/>
      <c r="M112" s="43">
        <v>1</v>
      </c>
      <c r="N112" s="43">
        <v>0</v>
      </c>
      <c r="O112" s="43">
        <v>0</v>
      </c>
      <c r="P112" s="43">
        <v>0</v>
      </c>
      <c r="Q112" s="43">
        <v>0</v>
      </c>
      <c r="R112" s="43">
        <v>0</v>
      </c>
      <c r="S112" s="43">
        <v>1</v>
      </c>
      <c r="T112" s="43">
        <v>1</v>
      </c>
      <c r="U112" s="43">
        <v>1</v>
      </c>
      <c r="V112" s="43">
        <v>0</v>
      </c>
      <c r="W112" s="43" t="s">
        <v>1275</v>
      </c>
      <c r="X112" s="43" t="s">
        <v>1808</v>
      </c>
      <c r="Y112" s="43">
        <v>0</v>
      </c>
      <c r="Z112" s="43">
        <v>3</v>
      </c>
      <c r="AA112" s="43">
        <v>2009</v>
      </c>
      <c r="AB112" s="43">
        <v>9999</v>
      </c>
      <c r="AC112" s="43" t="s">
        <v>1239</v>
      </c>
    </row>
    <row r="113" spans="1:29" x14ac:dyDescent="0.25">
      <c r="A113" s="43" t="s">
        <v>1281</v>
      </c>
      <c r="B113" s="39" t="s">
        <v>1282</v>
      </c>
      <c r="C113" s="43"/>
      <c r="D113" s="43">
        <v>1</v>
      </c>
      <c r="E113" s="56" t="s">
        <v>625</v>
      </c>
      <c r="F113" s="43">
        <v>4</v>
      </c>
      <c r="G113" s="43">
        <v>2026</v>
      </c>
      <c r="H113" s="43"/>
      <c r="I113" s="43">
        <v>2111.6</v>
      </c>
      <c r="J113" s="43" t="s">
        <v>1608</v>
      </c>
      <c r="K113" s="43" t="s">
        <v>32</v>
      </c>
      <c r="M113" s="43">
        <v>0</v>
      </c>
      <c r="N113" s="43">
        <v>1</v>
      </c>
      <c r="O113" s="43">
        <v>0</v>
      </c>
      <c r="P113" s="43">
        <v>0</v>
      </c>
      <c r="Q113" s="43">
        <v>0</v>
      </c>
      <c r="R113" s="43">
        <v>0</v>
      </c>
      <c r="S113" s="43">
        <v>1</v>
      </c>
      <c r="T113" s="43">
        <v>1</v>
      </c>
      <c r="U113" s="43">
        <v>1</v>
      </c>
      <c r="V113" s="43">
        <v>0</v>
      </c>
      <c r="W113" s="43" t="s">
        <v>1283</v>
      </c>
      <c r="X113" s="43" t="s">
        <v>1900</v>
      </c>
      <c r="Y113" s="43">
        <v>0</v>
      </c>
      <c r="Z113" s="43">
        <v>0</v>
      </c>
      <c r="AA113" s="43">
        <v>2009</v>
      </c>
      <c r="AB113" s="43">
        <v>9999</v>
      </c>
      <c r="AC113" s="43" t="s">
        <v>1239</v>
      </c>
    </row>
    <row r="114" spans="1:29" x14ac:dyDescent="0.25">
      <c r="A114" s="43" t="s">
        <v>1194</v>
      </c>
      <c r="B114" s="39" t="s">
        <v>1195</v>
      </c>
      <c r="C114" s="43"/>
      <c r="D114" s="43">
        <v>1</v>
      </c>
      <c r="E114" s="56" t="s">
        <v>85</v>
      </c>
      <c r="F114" s="43">
        <v>1</v>
      </c>
      <c r="G114" s="43">
        <v>2026</v>
      </c>
      <c r="H114" s="43" t="s">
        <v>39</v>
      </c>
      <c r="I114" s="43">
        <v>0.5</v>
      </c>
      <c r="J114" s="43" t="s">
        <v>52</v>
      </c>
      <c r="K114" s="43" t="s">
        <v>41</v>
      </c>
      <c r="M114" s="43">
        <v>0</v>
      </c>
      <c r="N114" s="43">
        <v>0</v>
      </c>
      <c r="O114" s="43">
        <v>0</v>
      </c>
      <c r="P114" s="43">
        <v>0</v>
      </c>
      <c r="Q114" s="43">
        <v>0</v>
      </c>
      <c r="R114" s="43">
        <v>0</v>
      </c>
      <c r="S114" s="43">
        <v>0</v>
      </c>
      <c r="T114" s="43">
        <v>0</v>
      </c>
      <c r="U114" s="43">
        <v>0</v>
      </c>
      <c r="V114" s="43">
        <v>0</v>
      </c>
      <c r="W114" s="43" t="s">
        <v>1267</v>
      </c>
      <c r="X114" s="43" t="s">
        <v>1798</v>
      </c>
      <c r="Y114" s="43">
        <v>0</v>
      </c>
      <c r="Z114" s="43">
        <v>0</v>
      </c>
      <c r="AA114" s="43">
        <v>2008</v>
      </c>
      <c r="AB114" s="43">
        <v>9999</v>
      </c>
      <c r="AC114" s="43" t="s">
        <v>1054</v>
      </c>
    </row>
    <row r="115" spans="1:29" x14ac:dyDescent="0.25">
      <c r="A115" s="43" t="s">
        <v>1059</v>
      </c>
      <c r="B115" s="39" t="s">
        <v>1060</v>
      </c>
      <c r="C115" s="43"/>
      <c r="D115" s="43">
        <v>1</v>
      </c>
      <c r="E115" s="56" t="s">
        <v>874</v>
      </c>
      <c r="F115" s="43">
        <v>1</v>
      </c>
      <c r="G115" s="43">
        <v>2026</v>
      </c>
      <c r="H115" s="43"/>
      <c r="I115" s="43">
        <v>5</v>
      </c>
      <c r="J115" s="43" t="s">
        <v>52</v>
      </c>
      <c r="K115" s="43" t="s">
        <v>47</v>
      </c>
      <c r="M115" s="43">
        <v>0</v>
      </c>
      <c r="N115" s="43">
        <v>0</v>
      </c>
      <c r="O115" s="43">
        <v>0</v>
      </c>
      <c r="P115" s="43">
        <v>0</v>
      </c>
      <c r="Q115" s="43">
        <v>0</v>
      </c>
      <c r="R115" s="43">
        <v>0</v>
      </c>
      <c r="S115" s="43">
        <v>1</v>
      </c>
      <c r="T115" s="43">
        <v>1</v>
      </c>
      <c r="U115" s="43">
        <v>1</v>
      </c>
      <c r="V115" s="43">
        <v>0</v>
      </c>
      <c r="W115" s="43" t="s">
        <v>1392</v>
      </c>
      <c r="X115" s="43" t="s">
        <v>1954</v>
      </c>
      <c r="Y115" s="43">
        <v>1</v>
      </c>
      <c r="Z115" s="43">
        <v>0</v>
      </c>
      <c r="AA115" s="43">
        <v>2008</v>
      </c>
      <c r="AB115" s="43">
        <v>9999</v>
      </c>
      <c r="AC115" s="43" t="s">
        <v>1054</v>
      </c>
    </row>
    <row r="116" spans="1:29" x14ac:dyDescent="0.25">
      <c r="A116" s="43" t="s">
        <v>1212</v>
      </c>
      <c r="B116" s="44" t="s">
        <v>1931</v>
      </c>
      <c r="C116" s="43"/>
      <c r="D116" s="43">
        <v>1</v>
      </c>
      <c r="E116" s="56" t="s">
        <v>681</v>
      </c>
      <c r="F116" s="43">
        <v>3</v>
      </c>
      <c r="G116" s="43">
        <v>2026</v>
      </c>
      <c r="H116" s="43"/>
      <c r="I116" s="43">
        <v>25</v>
      </c>
      <c r="J116" s="43" t="s">
        <v>121</v>
      </c>
      <c r="K116" s="43" t="s">
        <v>47</v>
      </c>
      <c r="M116" s="43">
        <v>0</v>
      </c>
      <c r="N116" s="43">
        <v>0</v>
      </c>
      <c r="O116" s="43">
        <v>0</v>
      </c>
      <c r="P116" s="43">
        <v>0</v>
      </c>
      <c r="Q116" s="43">
        <v>0</v>
      </c>
      <c r="R116" s="43">
        <v>0</v>
      </c>
      <c r="S116" s="43">
        <v>0</v>
      </c>
      <c r="T116" s="43">
        <v>1</v>
      </c>
      <c r="U116" s="43">
        <v>1</v>
      </c>
      <c r="V116" s="43">
        <v>0</v>
      </c>
      <c r="W116" s="43" t="s">
        <v>2005</v>
      </c>
      <c r="X116" s="43" t="s">
        <v>2006</v>
      </c>
      <c r="Y116" s="43">
        <v>3</v>
      </c>
      <c r="Z116" s="43">
        <v>0</v>
      </c>
      <c r="AA116" s="43">
        <v>2008</v>
      </c>
      <c r="AB116" s="43">
        <v>9999</v>
      </c>
      <c r="AC116" s="43" t="s">
        <v>1054</v>
      </c>
    </row>
    <row r="117" spans="1:29" x14ac:dyDescent="0.25">
      <c r="A117" s="43" t="s">
        <v>1051</v>
      </c>
      <c r="B117" s="39" t="s">
        <v>1052</v>
      </c>
      <c r="C117" s="43"/>
      <c r="D117" s="43">
        <v>1</v>
      </c>
      <c r="E117" s="56" t="s">
        <v>30</v>
      </c>
      <c r="F117" s="43">
        <v>4</v>
      </c>
      <c r="G117" s="43">
        <v>2026</v>
      </c>
      <c r="H117" s="43"/>
      <c r="I117" s="43">
        <v>216.2</v>
      </c>
      <c r="J117" s="43" t="s">
        <v>1610</v>
      </c>
      <c r="K117" s="43" t="s">
        <v>47</v>
      </c>
      <c r="M117" s="43">
        <v>1</v>
      </c>
      <c r="N117" s="43">
        <v>0</v>
      </c>
      <c r="O117" s="43">
        <v>0</v>
      </c>
      <c r="P117" s="43">
        <v>0</v>
      </c>
      <c r="Q117" s="43">
        <v>0</v>
      </c>
      <c r="R117" s="43">
        <v>0</v>
      </c>
      <c r="S117" s="43">
        <v>1</v>
      </c>
      <c r="T117" s="43">
        <v>1</v>
      </c>
      <c r="U117" s="43">
        <v>1</v>
      </c>
      <c r="V117" s="43">
        <v>0</v>
      </c>
      <c r="W117" s="43" t="s">
        <v>1524</v>
      </c>
      <c r="X117" s="43" t="s">
        <v>1948</v>
      </c>
      <c r="Y117" s="43">
        <v>0</v>
      </c>
      <c r="Z117" s="43">
        <v>0</v>
      </c>
      <c r="AA117" s="43">
        <v>2008</v>
      </c>
      <c r="AB117" s="43">
        <v>9999</v>
      </c>
      <c r="AC117" s="43" t="s">
        <v>1054</v>
      </c>
    </row>
    <row r="118" spans="1:29" x14ac:dyDescent="0.25">
      <c r="A118" s="43" t="s">
        <v>594</v>
      </c>
      <c r="B118" s="39" t="s">
        <v>595</v>
      </c>
      <c r="C118" s="43"/>
      <c r="D118" s="43">
        <v>1</v>
      </c>
      <c r="E118" s="56" t="s">
        <v>38</v>
      </c>
      <c r="F118" s="43">
        <v>4</v>
      </c>
      <c r="G118" s="43">
        <v>2026</v>
      </c>
      <c r="H118" s="43" t="s">
        <v>906</v>
      </c>
      <c r="I118" s="43">
        <v>0</v>
      </c>
      <c r="J118" s="43" t="s">
        <v>59</v>
      </c>
      <c r="K118" s="43" t="s">
        <v>41</v>
      </c>
      <c r="M118" s="43">
        <v>0</v>
      </c>
      <c r="N118" s="43">
        <v>0</v>
      </c>
      <c r="O118" s="43">
        <v>0</v>
      </c>
      <c r="P118" s="43">
        <v>0</v>
      </c>
      <c r="Q118" s="43">
        <v>0</v>
      </c>
      <c r="R118" s="43">
        <v>0</v>
      </c>
      <c r="S118" s="43">
        <v>0</v>
      </c>
      <c r="T118" s="43">
        <v>0</v>
      </c>
      <c r="U118" s="43">
        <v>0</v>
      </c>
      <c r="V118" s="43">
        <v>0</v>
      </c>
      <c r="W118" s="43" t="s">
        <v>1135</v>
      </c>
      <c r="X118" s="43" t="s">
        <v>1746</v>
      </c>
      <c r="Y118" s="43">
        <v>0</v>
      </c>
      <c r="Z118" s="43">
        <v>0</v>
      </c>
      <c r="AA118" s="43">
        <v>2007</v>
      </c>
      <c r="AB118" s="43">
        <v>9999</v>
      </c>
      <c r="AC118" s="43" t="s">
        <v>35</v>
      </c>
    </row>
    <row r="119" spans="1:29" x14ac:dyDescent="0.25">
      <c r="A119" s="43" t="s">
        <v>904</v>
      </c>
      <c r="B119" s="39" t="s">
        <v>1436</v>
      </c>
      <c r="C119" s="43"/>
      <c r="D119" s="43">
        <v>1</v>
      </c>
      <c r="E119" s="56" t="s">
        <v>38</v>
      </c>
      <c r="F119" s="43">
        <v>4</v>
      </c>
      <c r="G119" s="43">
        <v>2026</v>
      </c>
      <c r="H119" s="43" t="s">
        <v>906</v>
      </c>
      <c r="I119" s="43">
        <v>0.5</v>
      </c>
      <c r="J119" s="43" t="s">
        <v>59</v>
      </c>
      <c r="K119" s="43" t="s">
        <v>53</v>
      </c>
      <c r="L119" s="43" t="s">
        <v>902</v>
      </c>
      <c r="M119" s="43">
        <v>0</v>
      </c>
      <c r="N119" s="43">
        <v>0</v>
      </c>
      <c r="O119" s="43">
        <v>0</v>
      </c>
      <c r="P119" s="43">
        <v>0</v>
      </c>
      <c r="Q119" s="43">
        <v>0</v>
      </c>
      <c r="R119" s="43">
        <v>0</v>
      </c>
      <c r="S119" s="43">
        <v>0</v>
      </c>
      <c r="T119" s="43">
        <v>0</v>
      </c>
      <c r="U119" s="43">
        <v>0</v>
      </c>
      <c r="V119" s="43">
        <v>0</v>
      </c>
      <c r="W119" s="43" t="s">
        <v>907</v>
      </c>
      <c r="X119" s="43" t="s">
        <v>1813</v>
      </c>
      <c r="Y119" s="43">
        <v>0</v>
      </c>
      <c r="Z119" s="43">
        <v>0</v>
      </c>
      <c r="AA119" s="43">
        <v>2007</v>
      </c>
      <c r="AB119" s="43">
        <v>9999</v>
      </c>
      <c r="AC119" s="43" t="s">
        <v>35</v>
      </c>
    </row>
    <row r="120" spans="1:29" x14ac:dyDescent="0.25">
      <c r="A120" s="43" t="s">
        <v>529</v>
      </c>
      <c r="B120" s="39" t="s">
        <v>530</v>
      </c>
      <c r="C120" s="43"/>
      <c r="D120" s="43">
        <v>1</v>
      </c>
      <c r="E120" s="56" t="s">
        <v>58</v>
      </c>
      <c r="F120" s="43">
        <v>4</v>
      </c>
      <c r="G120" s="43">
        <v>2026</v>
      </c>
      <c r="H120" s="43"/>
      <c r="I120" s="43">
        <v>13</v>
      </c>
      <c r="J120" s="43" t="s">
        <v>59</v>
      </c>
      <c r="K120" s="43" t="s">
        <v>47</v>
      </c>
      <c r="M120" s="43">
        <v>1</v>
      </c>
      <c r="N120" s="43">
        <v>0</v>
      </c>
      <c r="O120" s="43">
        <v>0</v>
      </c>
      <c r="P120" s="43">
        <v>0</v>
      </c>
      <c r="Q120" s="43">
        <v>0</v>
      </c>
      <c r="R120" s="43">
        <v>0</v>
      </c>
      <c r="S120" s="43">
        <v>1</v>
      </c>
      <c r="T120" s="43">
        <v>1</v>
      </c>
      <c r="U120" s="43">
        <v>1</v>
      </c>
      <c r="V120" s="43">
        <v>0</v>
      </c>
      <c r="W120" s="43" t="s">
        <v>1121</v>
      </c>
      <c r="X120" s="43" t="s">
        <v>2000</v>
      </c>
      <c r="Y120" s="43">
        <v>0</v>
      </c>
      <c r="Z120" s="43">
        <v>0</v>
      </c>
      <c r="AA120" s="43">
        <v>2007</v>
      </c>
      <c r="AB120" s="43">
        <v>9999</v>
      </c>
      <c r="AC120" s="43" t="s">
        <v>35</v>
      </c>
    </row>
    <row r="121" spans="1:29" x14ac:dyDescent="0.25">
      <c r="A121" s="43" t="s">
        <v>307</v>
      </c>
      <c r="B121" s="39" t="s">
        <v>308</v>
      </c>
      <c r="C121" s="43"/>
      <c r="D121" s="43">
        <v>1</v>
      </c>
      <c r="E121" s="56" t="s">
        <v>309</v>
      </c>
      <c r="F121" s="43">
        <v>10</v>
      </c>
      <c r="G121" s="43">
        <v>2026</v>
      </c>
      <c r="H121" s="43"/>
      <c r="I121" s="43">
        <v>59.3</v>
      </c>
      <c r="J121" s="43" t="s">
        <v>59</v>
      </c>
      <c r="K121" s="43" t="s">
        <v>47</v>
      </c>
      <c r="M121" s="43">
        <v>1</v>
      </c>
      <c r="N121" s="43">
        <v>0</v>
      </c>
      <c r="O121" s="43">
        <v>0</v>
      </c>
      <c r="P121" s="43">
        <v>0</v>
      </c>
      <c r="Q121" s="43">
        <v>0</v>
      </c>
      <c r="R121" s="43">
        <v>0</v>
      </c>
      <c r="S121" s="43">
        <v>1</v>
      </c>
      <c r="T121" s="43">
        <v>1</v>
      </c>
      <c r="U121" s="43">
        <v>1</v>
      </c>
      <c r="V121" s="43">
        <v>0</v>
      </c>
      <c r="W121" s="43" t="s">
        <v>1083</v>
      </c>
      <c r="X121" s="43" t="s">
        <v>1862</v>
      </c>
      <c r="Y121" s="43">
        <v>0</v>
      </c>
      <c r="Z121" s="43">
        <v>0</v>
      </c>
      <c r="AA121" s="43">
        <v>2007</v>
      </c>
      <c r="AB121" s="43">
        <v>9999</v>
      </c>
      <c r="AC121" s="43" t="s">
        <v>35</v>
      </c>
    </row>
    <row r="122" spans="1:29" x14ac:dyDescent="0.25">
      <c r="A122" s="43" t="s">
        <v>74</v>
      </c>
      <c r="B122" s="39" t="s">
        <v>75</v>
      </c>
      <c r="C122" s="43"/>
      <c r="D122" s="43">
        <v>1</v>
      </c>
      <c r="E122" s="56" t="s">
        <v>58</v>
      </c>
      <c r="F122" s="43">
        <v>4</v>
      </c>
      <c r="G122" s="43">
        <v>2026</v>
      </c>
      <c r="H122" s="43"/>
      <c r="I122" s="43">
        <v>744.1</v>
      </c>
      <c r="J122" s="43" t="s">
        <v>59</v>
      </c>
      <c r="K122" s="43" t="s">
        <v>47</v>
      </c>
      <c r="M122" s="43">
        <v>1</v>
      </c>
      <c r="N122" s="43">
        <v>0</v>
      </c>
      <c r="O122" s="43">
        <v>0</v>
      </c>
      <c r="P122" s="43">
        <v>0</v>
      </c>
      <c r="Q122" s="43">
        <v>0</v>
      </c>
      <c r="R122" s="43">
        <v>0</v>
      </c>
      <c r="S122" s="43">
        <v>1</v>
      </c>
      <c r="T122" s="43">
        <v>1</v>
      </c>
      <c r="U122" s="43">
        <v>1</v>
      </c>
      <c r="V122" s="43">
        <v>0</v>
      </c>
      <c r="W122" s="43" t="s">
        <v>1035</v>
      </c>
      <c r="X122" s="43" t="s">
        <v>1936</v>
      </c>
      <c r="Y122" s="43">
        <v>0</v>
      </c>
      <c r="Z122" s="43">
        <v>1</v>
      </c>
      <c r="AA122" s="43">
        <v>2007</v>
      </c>
      <c r="AB122" s="43">
        <v>9999</v>
      </c>
      <c r="AC122" s="43" t="s">
        <v>35</v>
      </c>
    </row>
    <row r="123" spans="1:29" x14ac:dyDescent="0.25">
      <c r="A123" s="43" t="s">
        <v>56</v>
      </c>
      <c r="B123" s="39" t="s">
        <v>57</v>
      </c>
      <c r="C123" s="43"/>
      <c r="D123" s="43">
        <v>1</v>
      </c>
      <c r="E123" s="56" t="s">
        <v>58</v>
      </c>
      <c r="F123" s="43">
        <v>4</v>
      </c>
      <c r="G123" s="43">
        <v>2026</v>
      </c>
      <c r="H123" s="43"/>
      <c r="I123" s="43">
        <v>21</v>
      </c>
      <c r="J123" s="43" t="s">
        <v>59</v>
      </c>
      <c r="K123" s="43" t="s">
        <v>53</v>
      </c>
      <c r="L123" s="43" t="s">
        <v>60</v>
      </c>
      <c r="M123" s="43">
        <v>0</v>
      </c>
      <c r="N123" s="43">
        <v>0</v>
      </c>
      <c r="O123" s="43">
        <v>1</v>
      </c>
      <c r="P123" s="43">
        <v>0</v>
      </c>
      <c r="Q123" s="43">
        <v>0</v>
      </c>
      <c r="R123" s="43">
        <v>0</v>
      </c>
      <c r="S123" s="43">
        <v>1</v>
      </c>
      <c r="T123" s="43">
        <v>1</v>
      </c>
      <c r="U123" s="43">
        <v>1</v>
      </c>
      <c r="V123" s="43">
        <v>0</v>
      </c>
      <c r="W123" s="43" t="s">
        <v>61</v>
      </c>
      <c r="X123" s="43" t="s">
        <v>1626</v>
      </c>
      <c r="Y123" s="43">
        <v>0</v>
      </c>
      <c r="Z123" s="43">
        <v>0</v>
      </c>
      <c r="AA123" s="43">
        <v>2007</v>
      </c>
      <c r="AB123" s="43">
        <v>9999</v>
      </c>
      <c r="AC123" s="43" t="s">
        <v>35</v>
      </c>
    </row>
    <row r="124" spans="1:29" x14ac:dyDescent="0.25">
      <c r="A124" s="43" t="s">
        <v>71</v>
      </c>
      <c r="B124" s="39" t="s">
        <v>1032</v>
      </c>
      <c r="C124" s="43"/>
      <c r="D124" s="43">
        <v>1</v>
      </c>
      <c r="E124" s="56" t="s">
        <v>309</v>
      </c>
      <c r="F124" s="43">
        <v>10</v>
      </c>
      <c r="G124" s="43">
        <v>2026</v>
      </c>
      <c r="H124" s="43"/>
      <c r="I124" s="43">
        <v>9288.7999999999993</v>
      </c>
      <c r="J124" s="43" t="s">
        <v>59</v>
      </c>
      <c r="K124" s="43" t="s">
        <v>32</v>
      </c>
      <c r="M124" s="43">
        <v>0</v>
      </c>
      <c r="N124" s="43">
        <v>1</v>
      </c>
      <c r="O124" s="43">
        <v>0</v>
      </c>
      <c r="P124" s="43">
        <v>0</v>
      </c>
      <c r="Q124" s="43">
        <v>0</v>
      </c>
      <c r="R124" s="43">
        <v>0</v>
      </c>
      <c r="S124" s="43">
        <v>1</v>
      </c>
      <c r="T124" s="43">
        <v>1</v>
      </c>
      <c r="U124" s="43">
        <v>1</v>
      </c>
      <c r="V124" s="43">
        <v>0</v>
      </c>
      <c r="W124" s="43" t="s">
        <v>1609</v>
      </c>
      <c r="X124" s="43" t="s">
        <v>1849</v>
      </c>
      <c r="Y124" s="43">
        <v>0</v>
      </c>
      <c r="Z124" s="43">
        <v>1</v>
      </c>
      <c r="AA124" s="43">
        <v>2007</v>
      </c>
      <c r="AB124" s="43">
        <v>9999</v>
      </c>
      <c r="AC124" s="43" t="s">
        <v>35</v>
      </c>
    </row>
    <row r="125" spans="1:29" x14ac:dyDescent="0.25">
      <c r="A125" s="43" t="s">
        <v>754</v>
      </c>
      <c r="B125" s="39" t="s">
        <v>755</v>
      </c>
      <c r="C125" s="43"/>
      <c r="D125" s="43">
        <v>1</v>
      </c>
      <c r="E125" s="56" t="s">
        <v>85</v>
      </c>
      <c r="F125" s="43">
        <v>1</v>
      </c>
      <c r="G125" s="43">
        <v>2026</v>
      </c>
      <c r="H125" s="43" t="s">
        <v>756</v>
      </c>
      <c r="I125" s="43">
        <v>0</v>
      </c>
      <c r="J125" s="43" t="s">
        <v>52</v>
      </c>
      <c r="K125" s="43" t="s">
        <v>41</v>
      </c>
      <c r="M125" s="43">
        <v>0</v>
      </c>
      <c r="N125" s="43">
        <v>0</v>
      </c>
      <c r="O125" s="43">
        <v>0</v>
      </c>
      <c r="P125" s="43">
        <v>0</v>
      </c>
      <c r="Q125" s="43">
        <v>0</v>
      </c>
      <c r="R125" s="43">
        <v>0</v>
      </c>
      <c r="S125" s="43">
        <v>0</v>
      </c>
      <c r="T125" s="43">
        <v>0</v>
      </c>
      <c r="U125" s="43">
        <v>0</v>
      </c>
      <c r="V125" s="43">
        <v>0</v>
      </c>
      <c r="W125" s="43" t="s">
        <v>1169</v>
      </c>
      <c r="X125" s="43" t="s">
        <v>1779</v>
      </c>
      <c r="Y125" s="43">
        <v>0</v>
      </c>
      <c r="Z125" s="43">
        <v>0</v>
      </c>
      <c r="AA125" s="43">
        <v>2007</v>
      </c>
      <c r="AB125" s="43">
        <v>9999</v>
      </c>
      <c r="AC125" s="43" t="s">
        <v>35</v>
      </c>
    </row>
    <row r="126" spans="1:29" x14ac:dyDescent="0.25">
      <c r="A126" s="43" t="s">
        <v>852</v>
      </c>
      <c r="B126" s="39" t="s">
        <v>853</v>
      </c>
      <c r="C126" s="43"/>
      <c r="D126" s="43">
        <v>1</v>
      </c>
      <c r="E126" s="56" t="s">
        <v>85</v>
      </c>
      <c r="F126" s="43">
        <v>1</v>
      </c>
      <c r="G126" s="43">
        <v>2026</v>
      </c>
      <c r="H126" s="43" t="s">
        <v>837</v>
      </c>
      <c r="I126" s="43">
        <v>2.5999999999999999E-2</v>
      </c>
      <c r="J126" s="43" t="s">
        <v>52</v>
      </c>
      <c r="K126" s="43" t="s">
        <v>41</v>
      </c>
      <c r="M126" s="43">
        <v>0</v>
      </c>
      <c r="N126" s="43">
        <v>0</v>
      </c>
      <c r="O126" s="43">
        <v>0</v>
      </c>
      <c r="P126" s="43">
        <v>0</v>
      </c>
      <c r="Q126" s="43">
        <v>0</v>
      </c>
      <c r="R126" s="43">
        <v>0</v>
      </c>
      <c r="S126" s="43">
        <v>0</v>
      </c>
      <c r="T126" s="43">
        <v>0</v>
      </c>
      <c r="U126" s="43">
        <v>0</v>
      </c>
      <c r="V126" s="43">
        <v>0</v>
      </c>
      <c r="W126" s="43" t="s">
        <v>2031</v>
      </c>
      <c r="X126" s="43" t="s">
        <v>2032</v>
      </c>
      <c r="Y126" s="43">
        <v>0</v>
      </c>
      <c r="Z126" s="43">
        <v>0</v>
      </c>
      <c r="AA126" s="43">
        <v>2007</v>
      </c>
      <c r="AB126" s="43">
        <v>9999</v>
      </c>
      <c r="AC126" s="43" t="s">
        <v>35</v>
      </c>
    </row>
    <row r="127" spans="1:29" x14ac:dyDescent="0.25">
      <c r="A127" s="43" t="s">
        <v>388</v>
      </c>
      <c r="B127" s="39" t="s">
        <v>389</v>
      </c>
      <c r="C127" s="43"/>
      <c r="D127" s="43">
        <v>1</v>
      </c>
      <c r="E127" s="56" t="s">
        <v>145</v>
      </c>
      <c r="F127" s="43">
        <v>2</v>
      </c>
      <c r="G127" s="43">
        <v>2026</v>
      </c>
      <c r="H127" s="43" t="s">
        <v>185</v>
      </c>
      <c r="I127" s="43">
        <v>0.1</v>
      </c>
      <c r="J127" s="43" t="s">
        <v>52</v>
      </c>
      <c r="K127" s="43" t="s">
        <v>41</v>
      </c>
      <c r="M127" s="43">
        <v>0</v>
      </c>
      <c r="N127" s="43">
        <v>0</v>
      </c>
      <c r="O127" s="43">
        <v>0</v>
      </c>
      <c r="P127" s="43">
        <v>0</v>
      </c>
      <c r="Q127" s="43">
        <v>0</v>
      </c>
      <c r="R127" s="43">
        <v>0</v>
      </c>
      <c r="S127" s="43">
        <v>0</v>
      </c>
      <c r="T127" s="43">
        <v>0</v>
      </c>
      <c r="U127" s="43">
        <v>0</v>
      </c>
      <c r="V127" s="43">
        <v>0</v>
      </c>
      <c r="W127" s="43" t="s">
        <v>1101</v>
      </c>
      <c r="X127" s="43" t="s">
        <v>1702</v>
      </c>
      <c r="Y127" s="43">
        <v>0</v>
      </c>
      <c r="Z127" s="43">
        <v>0</v>
      </c>
      <c r="AA127" s="43">
        <v>2007</v>
      </c>
      <c r="AB127" s="43">
        <v>9999</v>
      </c>
      <c r="AC127" s="43" t="s">
        <v>35</v>
      </c>
    </row>
    <row r="128" spans="1:29" x14ac:dyDescent="0.25">
      <c r="A128" s="43" t="s">
        <v>731</v>
      </c>
      <c r="B128" s="39" t="s">
        <v>732</v>
      </c>
      <c r="C128" s="43"/>
      <c r="D128" s="43">
        <v>1</v>
      </c>
      <c r="E128" s="56" t="s">
        <v>51</v>
      </c>
      <c r="F128" s="43">
        <v>10</v>
      </c>
      <c r="G128" s="43">
        <v>2026</v>
      </c>
      <c r="H128" s="43" t="s">
        <v>39</v>
      </c>
      <c r="I128" s="43">
        <v>1.2</v>
      </c>
      <c r="J128" s="43" t="s">
        <v>52</v>
      </c>
      <c r="K128" s="43" t="s">
        <v>41</v>
      </c>
      <c r="M128" s="43">
        <v>0</v>
      </c>
      <c r="N128" s="43">
        <v>0</v>
      </c>
      <c r="O128" s="43">
        <v>0</v>
      </c>
      <c r="P128" s="43">
        <v>0</v>
      </c>
      <c r="Q128" s="43">
        <v>0</v>
      </c>
      <c r="R128" s="43">
        <v>0</v>
      </c>
      <c r="S128" s="43">
        <v>0</v>
      </c>
      <c r="T128" s="43">
        <v>0</v>
      </c>
      <c r="U128" s="43">
        <v>0</v>
      </c>
      <c r="V128" s="43">
        <v>0</v>
      </c>
      <c r="W128" s="43" t="s">
        <v>1164</v>
      </c>
      <c r="X128" s="43" t="s">
        <v>1772</v>
      </c>
      <c r="Y128" s="43">
        <v>0</v>
      </c>
      <c r="Z128" s="43">
        <v>0</v>
      </c>
      <c r="AA128" s="43">
        <v>2007</v>
      </c>
      <c r="AB128" s="43">
        <v>9999</v>
      </c>
      <c r="AC128" s="43" t="s">
        <v>35</v>
      </c>
    </row>
    <row r="129" spans="1:29" x14ac:dyDescent="0.25">
      <c r="A129" s="43" t="s">
        <v>1023</v>
      </c>
      <c r="B129" s="39" t="s">
        <v>1200</v>
      </c>
      <c r="C129" s="43"/>
      <c r="D129" s="43">
        <v>1</v>
      </c>
      <c r="E129" s="56" t="s">
        <v>85</v>
      </c>
      <c r="F129" s="43">
        <v>1</v>
      </c>
      <c r="G129" s="43">
        <v>2026</v>
      </c>
      <c r="H129" s="43" t="s">
        <v>39</v>
      </c>
      <c r="I129" s="43">
        <v>3.5</v>
      </c>
      <c r="J129" s="43" t="s">
        <v>52</v>
      </c>
      <c r="K129" s="43" t="s">
        <v>41</v>
      </c>
      <c r="M129" s="43">
        <v>0</v>
      </c>
      <c r="N129" s="43">
        <v>0</v>
      </c>
      <c r="O129" s="43">
        <v>0</v>
      </c>
      <c r="P129" s="43">
        <v>0</v>
      </c>
      <c r="Q129" s="43">
        <v>0</v>
      </c>
      <c r="R129" s="43">
        <v>0</v>
      </c>
      <c r="S129" s="43">
        <v>0</v>
      </c>
      <c r="T129" s="43">
        <v>0</v>
      </c>
      <c r="U129" s="43">
        <v>0</v>
      </c>
      <c r="V129" s="43">
        <v>0</v>
      </c>
      <c r="W129" s="43" t="s">
        <v>1271</v>
      </c>
      <c r="X129" s="43" t="s">
        <v>1805</v>
      </c>
      <c r="Y129" s="43">
        <v>0</v>
      </c>
      <c r="Z129" s="43">
        <v>0</v>
      </c>
      <c r="AA129" s="43">
        <v>2007</v>
      </c>
      <c r="AB129" s="43">
        <v>9999</v>
      </c>
      <c r="AC129" s="43" t="s">
        <v>35</v>
      </c>
    </row>
    <row r="130" spans="1:29" x14ac:dyDescent="0.25">
      <c r="A130" s="43" t="s">
        <v>203</v>
      </c>
      <c r="B130" s="39" t="s">
        <v>204</v>
      </c>
      <c r="C130" s="43"/>
      <c r="D130" s="43">
        <v>1</v>
      </c>
      <c r="E130" s="56" t="s">
        <v>201</v>
      </c>
      <c r="F130" s="43">
        <v>1</v>
      </c>
      <c r="G130" s="43">
        <v>2026</v>
      </c>
      <c r="H130" s="43" t="s">
        <v>205</v>
      </c>
      <c r="I130" s="43">
        <v>4.5</v>
      </c>
      <c r="J130" s="43" t="s">
        <v>52</v>
      </c>
      <c r="K130" s="43" t="s">
        <v>41</v>
      </c>
      <c r="M130" s="43">
        <v>0</v>
      </c>
      <c r="N130" s="43">
        <v>0</v>
      </c>
      <c r="O130" s="43">
        <v>0</v>
      </c>
      <c r="P130" s="43">
        <v>0</v>
      </c>
      <c r="Q130" s="43">
        <v>0</v>
      </c>
      <c r="R130" s="43">
        <v>0</v>
      </c>
      <c r="S130" s="43">
        <v>0</v>
      </c>
      <c r="T130" s="43">
        <v>0</v>
      </c>
      <c r="U130" s="43">
        <v>0</v>
      </c>
      <c r="V130" s="43">
        <v>0</v>
      </c>
      <c r="W130" s="43" t="s">
        <v>1064</v>
      </c>
      <c r="X130" s="43" t="s">
        <v>1660</v>
      </c>
      <c r="Y130" s="43">
        <v>0</v>
      </c>
      <c r="Z130" s="43">
        <v>0</v>
      </c>
      <c r="AA130" s="43">
        <v>2007</v>
      </c>
      <c r="AB130" s="43">
        <v>9999</v>
      </c>
      <c r="AC130" s="43" t="s">
        <v>35</v>
      </c>
    </row>
    <row r="131" spans="1:29" x14ac:dyDescent="0.25">
      <c r="A131" s="43" t="s">
        <v>107</v>
      </c>
      <c r="B131" s="39" t="s">
        <v>108</v>
      </c>
      <c r="C131" s="43"/>
      <c r="D131" s="43">
        <v>1</v>
      </c>
      <c r="E131" s="56" t="s">
        <v>45</v>
      </c>
      <c r="F131" s="43">
        <v>4</v>
      </c>
      <c r="G131" s="43">
        <v>2026</v>
      </c>
      <c r="H131" s="43"/>
      <c r="I131" s="43">
        <v>4.9000000000000004</v>
      </c>
      <c r="J131" s="43" t="s">
        <v>52</v>
      </c>
      <c r="K131" s="43" t="s">
        <v>41</v>
      </c>
      <c r="M131" s="43">
        <v>0</v>
      </c>
      <c r="N131" s="43">
        <v>0</v>
      </c>
      <c r="O131" s="43">
        <v>0</v>
      </c>
      <c r="P131" s="43">
        <v>0</v>
      </c>
      <c r="Q131" s="43">
        <v>0</v>
      </c>
      <c r="R131" s="43">
        <v>0</v>
      </c>
      <c r="S131" s="43">
        <v>0</v>
      </c>
      <c r="T131" s="43">
        <v>1</v>
      </c>
      <c r="U131" s="43">
        <v>1</v>
      </c>
      <c r="V131" s="43">
        <v>0</v>
      </c>
      <c r="W131" s="43" t="s">
        <v>1520</v>
      </c>
      <c r="X131" s="43" t="s">
        <v>1634</v>
      </c>
      <c r="Y131" s="43">
        <v>0</v>
      </c>
      <c r="Z131" s="43">
        <v>0</v>
      </c>
      <c r="AA131" s="43">
        <v>2007</v>
      </c>
      <c r="AB131" s="43">
        <v>9999</v>
      </c>
      <c r="AC131" s="43" t="s">
        <v>35</v>
      </c>
    </row>
    <row r="132" spans="1:29" x14ac:dyDescent="0.25">
      <c r="A132" s="43" t="s">
        <v>726</v>
      </c>
      <c r="B132" s="39" t="s">
        <v>727</v>
      </c>
      <c r="C132" s="43"/>
      <c r="D132" s="43">
        <v>1</v>
      </c>
      <c r="E132" s="56" t="s">
        <v>85</v>
      </c>
      <c r="F132" s="43">
        <v>1</v>
      </c>
      <c r="G132" s="43">
        <v>2026</v>
      </c>
      <c r="H132" s="43" t="s">
        <v>205</v>
      </c>
      <c r="I132" s="43">
        <v>7.5</v>
      </c>
      <c r="J132" s="43" t="s">
        <v>52</v>
      </c>
      <c r="K132" s="43" t="s">
        <v>41</v>
      </c>
      <c r="M132" s="43">
        <v>0</v>
      </c>
      <c r="N132" s="43">
        <v>0</v>
      </c>
      <c r="O132" s="43">
        <v>0</v>
      </c>
      <c r="P132" s="43">
        <v>0</v>
      </c>
      <c r="Q132" s="43">
        <v>0</v>
      </c>
      <c r="R132" s="43">
        <v>0</v>
      </c>
      <c r="S132" s="43">
        <v>0</v>
      </c>
      <c r="T132" s="43">
        <v>0</v>
      </c>
      <c r="U132" s="43">
        <v>0</v>
      </c>
      <c r="V132" s="43">
        <v>0</v>
      </c>
      <c r="W132" s="43" t="s">
        <v>1162</v>
      </c>
      <c r="X132" s="43" t="s">
        <v>1770</v>
      </c>
      <c r="Y132" s="43">
        <v>0</v>
      </c>
      <c r="Z132" s="43">
        <v>0</v>
      </c>
      <c r="AA132" s="43">
        <v>2007</v>
      </c>
      <c r="AB132" s="43">
        <v>9999</v>
      </c>
      <c r="AC132" s="43" t="s">
        <v>35</v>
      </c>
    </row>
    <row r="133" spans="1:29" x14ac:dyDescent="0.25">
      <c r="A133" s="43" t="s">
        <v>43</v>
      </c>
      <c r="B133" s="39" t="s">
        <v>44</v>
      </c>
      <c r="C133" s="43"/>
      <c r="D133" s="43">
        <v>1</v>
      </c>
      <c r="E133" s="56" t="s">
        <v>45</v>
      </c>
      <c r="F133" s="43">
        <v>4</v>
      </c>
      <c r="G133" s="43">
        <v>2026</v>
      </c>
      <c r="H133" s="43"/>
      <c r="I133" s="43">
        <v>43.2</v>
      </c>
      <c r="J133" s="43" t="s">
        <v>52</v>
      </c>
      <c r="K133" s="43" t="s">
        <v>47</v>
      </c>
      <c r="M133" s="43">
        <v>1</v>
      </c>
      <c r="N133" s="43">
        <v>0</v>
      </c>
      <c r="O133" s="43">
        <v>0</v>
      </c>
      <c r="P133" s="43">
        <v>0</v>
      </c>
      <c r="Q133" s="43">
        <v>0</v>
      </c>
      <c r="R133" s="43">
        <v>0</v>
      </c>
      <c r="S133" s="43">
        <v>1</v>
      </c>
      <c r="T133" s="43">
        <v>1</v>
      </c>
      <c r="U133" s="43">
        <v>1</v>
      </c>
      <c r="V133" s="43">
        <v>0</v>
      </c>
      <c r="W133" s="43" t="s">
        <v>1514</v>
      </c>
      <c r="X133" s="43" t="s">
        <v>1934</v>
      </c>
      <c r="Y133" s="43">
        <v>0</v>
      </c>
      <c r="Z133" s="43">
        <v>0</v>
      </c>
      <c r="AA133" s="43">
        <v>2007</v>
      </c>
      <c r="AB133" s="43">
        <v>9999</v>
      </c>
      <c r="AC133" s="43" t="s">
        <v>35</v>
      </c>
    </row>
    <row r="134" spans="1:29" x14ac:dyDescent="0.25">
      <c r="A134" s="43" t="s">
        <v>375</v>
      </c>
      <c r="B134" s="39" t="s">
        <v>163</v>
      </c>
      <c r="C134" s="43"/>
      <c r="D134" s="43">
        <v>1</v>
      </c>
      <c r="E134" s="56" t="s">
        <v>168</v>
      </c>
      <c r="F134" s="43">
        <v>1</v>
      </c>
      <c r="G134" s="43">
        <v>2026</v>
      </c>
      <c r="H134" s="43"/>
      <c r="I134" s="43">
        <v>46.7</v>
      </c>
      <c r="J134" s="43" t="s">
        <v>52</v>
      </c>
      <c r="K134" s="43" t="s">
        <v>47</v>
      </c>
      <c r="M134" s="43">
        <v>0</v>
      </c>
      <c r="N134" s="43">
        <v>0</v>
      </c>
      <c r="O134" s="43">
        <v>0</v>
      </c>
      <c r="P134" s="43">
        <v>0</v>
      </c>
      <c r="Q134" s="43">
        <v>0</v>
      </c>
      <c r="R134" s="43">
        <v>0</v>
      </c>
      <c r="S134" s="43">
        <v>1</v>
      </c>
      <c r="T134" s="43">
        <v>1</v>
      </c>
      <c r="U134" s="43">
        <v>1</v>
      </c>
      <c r="V134" s="43">
        <v>0</v>
      </c>
      <c r="W134" s="43" t="s">
        <v>1097</v>
      </c>
      <c r="X134" s="43" t="s">
        <v>1972</v>
      </c>
      <c r="Y134" s="43">
        <v>0</v>
      </c>
      <c r="Z134" s="43">
        <v>1</v>
      </c>
      <c r="AA134" s="43">
        <v>2007</v>
      </c>
      <c r="AB134" s="43">
        <v>9999</v>
      </c>
      <c r="AC134" s="43" t="s">
        <v>35</v>
      </c>
    </row>
    <row r="135" spans="1:29" x14ac:dyDescent="0.25">
      <c r="A135" s="43" t="s">
        <v>478</v>
      </c>
      <c r="B135" s="39" t="s">
        <v>479</v>
      </c>
      <c r="C135" s="43"/>
      <c r="D135" s="43">
        <v>1</v>
      </c>
      <c r="E135" s="56" t="s">
        <v>348</v>
      </c>
      <c r="F135" s="43">
        <v>1</v>
      </c>
      <c r="G135" s="43">
        <v>2026</v>
      </c>
      <c r="H135" s="43"/>
      <c r="I135" s="43">
        <v>128.83000000000001</v>
      </c>
      <c r="J135" s="43" t="s">
        <v>52</v>
      </c>
      <c r="K135" s="43" t="s">
        <v>47</v>
      </c>
      <c r="M135" s="43">
        <v>1</v>
      </c>
      <c r="N135" s="43">
        <v>0</v>
      </c>
      <c r="O135" s="43">
        <v>0</v>
      </c>
      <c r="P135" s="43">
        <v>0</v>
      </c>
      <c r="Q135" s="43">
        <v>0</v>
      </c>
      <c r="R135" s="43">
        <v>0</v>
      </c>
      <c r="S135" s="43">
        <v>1</v>
      </c>
      <c r="T135" s="43">
        <v>1</v>
      </c>
      <c r="U135" s="43">
        <v>1</v>
      </c>
      <c r="V135" s="43">
        <v>0</v>
      </c>
      <c r="W135" s="43" t="s">
        <v>1548</v>
      </c>
      <c r="X135" s="43" t="s">
        <v>1977</v>
      </c>
      <c r="Y135" s="43">
        <v>1</v>
      </c>
      <c r="Z135" s="43">
        <v>0</v>
      </c>
      <c r="AA135" s="43">
        <v>2007</v>
      </c>
      <c r="AB135" s="43">
        <v>9999</v>
      </c>
      <c r="AC135" s="43" t="s">
        <v>35</v>
      </c>
    </row>
    <row r="136" spans="1:29" x14ac:dyDescent="0.25">
      <c r="A136" s="43" t="s">
        <v>483</v>
      </c>
      <c r="B136" s="39" t="s">
        <v>484</v>
      </c>
      <c r="C136" s="43"/>
      <c r="D136" s="43">
        <v>1</v>
      </c>
      <c r="E136" s="56" t="s">
        <v>348</v>
      </c>
      <c r="F136" s="43">
        <v>1</v>
      </c>
      <c r="G136" s="43">
        <v>2026</v>
      </c>
      <c r="H136" s="43"/>
      <c r="I136" s="43">
        <v>140.47</v>
      </c>
      <c r="J136" s="43" t="s">
        <v>52</v>
      </c>
      <c r="K136" s="43" t="s">
        <v>47</v>
      </c>
      <c r="M136" s="43">
        <v>1</v>
      </c>
      <c r="N136" s="43">
        <v>0</v>
      </c>
      <c r="O136" s="43">
        <v>0</v>
      </c>
      <c r="P136" s="43">
        <v>0</v>
      </c>
      <c r="Q136" s="43">
        <v>0</v>
      </c>
      <c r="R136" s="43">
        <v>0</v>
      </c>
      <c r="S136" s="43">
        <v>1</v>
      </c>
      <c r="T136" s="43">
        <v>1</v>
      </c>
      <c r="U136" s="43">
        <v>1</v>
      </c>
      <c r="V136" s="43">
        <v>0</v>
      </c>
      <c r="W136" s="43" t="s">
        <v>1548</v>
      </c>
      <c r="X136" s="43" t="s">
        <v>1979</v>
      </c>
      <c r="Y136" s="43">
        <v>1</v>
      </c>
      <c r="Z136" s="43">
        <v>0</v>
      </c>
      <c r="AA136" s="43">
        <v>2007</v>
      </c>
      <c r="AB136" s="43">
        <v>9999</v>
      </c>
      <c r="AC136" s="43" t="s">
        <v>35</v>
      </c>
    </row>
    <row r="137" spans="1:29" x14ac:dyDescent="0.25">
      <c r="A137" s="43" t="s">
        <v>385</v>
      </c>
      <c r="B137" s="39" t="s">
        <v>386</v>
      </c>
      <c r="C137" s="43"/>
      <c r="D137" s="43">
        <v>1</v>
      </c>
      <c r="E137" s="56" t="s">
        <v>45</v>
      </c>
      <c r="F137" s="43">
        <v>4</v>
      </c>
      <c r="G137" s="43">
        <v>2026</v>
      </c>
      <c r="H137" s="43"/>
      <c r="I137" s="43">
        <v>166.6</v>
      </c>
      <c r="J137" s="43" t="s">
        <v>52</v>
      </c>
      <c r="K137" s="43" t="s">
        <v>47</v>
      </c>
      <c r="M137" s="43">
        <v>1</v>
      </c>
      <c r="N137" s="43">
        <v>0</v>
      </c>
      <c r="O137" s="43">
        <v>0</v>
      </c>
      <c r="P137" s="43">
        <v>0</v>
      </c>
      <c r="Q137" s="43">
        <v>0</v>
      </c>
      <c r="R137" s="43">
        <v>0</v>
      </c>
      <c r="S137" s="43">
        <v>1</v>
      </c>
      <c r="T137" s="43">
        <v>1</v>
      </c>
      <c r="U137" s="43">
        <v>1</v>
      </c>
      <c r="V137" s="43">
        <v>0</v>
      </c>
      <c r="W137" s="43" t="s">
        <v>1300</v>
      </c>
      <c r="X137" s="43" t="s">
        <v>1975</v>
      </c>
      <c r="Y137" s="43">
        <v>0</v>
      </c>
      <c r="Z137" s="43">
        <v>0</v>
      </c>
      <c r="AA137" s="43">
        <v>2007</v>
      </c>
      <c r="AB137" s="43">
        <v>9999</v>
      </c>
      <c r="AC137" s="43" t="s">
        <v>35</v>
      </c>
    </row>
    <row r="138" spans="1:29" x14ac:dyDescent="0.25">
      <c r="A138" s="43" t="s">
        <v>513</v>
      </c>
      <c r="B138" s="39" t="s">
        <v>514</v>
      </c>
      <c r="C138" s="43"/>
      <c r="D138" s="43">
        <v>1</v>
      </c>
      <c r="E138" s="56" t="s">
        <v>348</v>
      </c>
      <c r="F138" s="43">
        <v>1</v>
      </c>
      <c r="G138" s="43">
        <v>2026</v>
      </c>
      <c r="H138" s="43"/>
      <c r="I138" s="43">
        <v>181.68</v>
      </c>
      <c r="J138" s="43" t="s">
        <v>52</v>
      </c>
      <c r="K138" s="43" t="s">
        <v>47</v>
      </c>
      <c r="M138" s="43">
        <v>1</v>
      </c>
      <c r="N138" s="43">
        <v>0</v>
      </c>
      <c r="O138" s="43">
        <v>0</v>
      </c>
      <c r="P138" s="43">
        <v>0</v>
      </c>
      <c r="Q138" s="43">
        <v>0</v>
      </c>
      <c r="R138" s="43">
        <v>0</v>
      </c>
      <c r="S138" s="43">
        <v>1</v>
      </c>
      <c r="T138" s="43">
        <v>1</v>
      </c>
      <c r="U138" s="43">
        <v>1</v>
      </c>
      <c r="V138" s="43">
        <v>0</v>
      </c>
      <c r="W138" s="43" t="s">
        <v>1548</v>
      </c>
      <c r="X138" s="43" t="s">
        <v>1993</v>
      </c>
      <c r="Y138" s="43">
        <v>2</v>
      </c>
      <c r="Z138" s="43">
        <v>0</v>
      </c>
      <c r="AA138" s="43">
        <v>2007</v>
      </c>
      <c r="AB138" s="43">
        <v>9999</v>
      </c>
      <c r="AC138" s="43" t="s">
        <v>35</v>
      </c>
    </row>
    <row r="139" spans="1:29" x14ac:dyDescent="0.25">
      <c r="A139" s="43" t="s">
        <v>503</v>
      </c>
      <c r="B139" s="39" t="s">
        <v>504</v>
      </c>
      <c r="C139" s="43"/>
      <c r="D139" s="43">
        <v>1</v>
      </c>
      <c r="E139" s="56" t="s">
        <v>348</v>
      </c>
      <c r="F139" s="43">
        <v>1</v>
      </c>
      <c r="G139" s="43">
        <v>2026</v>
      </c>
      <c r="H139" s="43"/>
      <c r="I139" s="43">
        <v>182.18</v>
      </c>
      <c r="J139" s="43" t="s">
        <v>52</v>
      </c>
      <c r="K139" s="43" t="s">
        <v>47</v>
      </c>
      <c r="M139" s="43">
        <v>1</v>
      </c>
      <c r="N139" s="43">
        <v>0</v>
      </c>
      <c r="O139" s="43">
        <v>0</v>
      </c>
      <c r="P139" s="43">
        <v>0</v>
      </c>
      <c r="Q139" s="43">
        <v>0</v>
      </c>
      <c r="R139" s="43">
        <v>0</v>
      </c>
      <c r="S139" s="43">
        <v>1</v>
      </c>
      <c r="T139" s="43">
        <v>1</v>
      </c>
      <c r="U139" s="43">
        <v>1</v>
      </c>
      <c r="V139" s="43">
        <v>0</v>
      </c>
      <c r="W139" s="43" t="s">
        <v>1548</v>
      </c>
      <c r="X139" s="43" t="s">
        <v>1988</v>
      </c>
      <c r="Y139" s="43">
        <v>1</v>
      </c>
      <c r="Z139" s="43">
        <v>0</v>
      </c>
      <c r="AA139" s="43">
        <v>2007</v>
      </c>
      <c r="AB139" s="43">
        <v>9999</v>
      </c>
      <c r="AC139" s="43" t="s">
        <v>35</v>
      </c>
    </row>
    <row r="140" spans="1:29" s="40" customFormat="1" x14ac:dyDescent="0.25">
      <c r="A140" s="43" t="s">
        <v>495</v>
      </c>
      <c r="B140" s="39" t="s">
        <v>496</v>
      </c>
      <c r="C140" s="43"/>
      <c r="D140" s="43">
        <v>1</v>
      </c>
      <c r="E140" s="56" t="s">
        <v>348</v>
      </c>
      <c r="F140" s="43">
        <v>1</v>
      </c>
      <c r="G140" s="43">
        <v>2026</v>
      </c>
      <c r="H140" s="43"/>
      <c r="I140" s="43">
        <v>197.98</v>
      </c>
      <c r="J140" s="43" t="s">
        <v>52</v>
      </c>
      <c r="K140" s="43" t="s">
        <v>47</v>
      </c>
      <c r="L140" s="43"/>
      <c r="M140" s="43">
        <v>1</v>
      </c>
      <c r="N140" s="43">
        <v>0</v>
      </c>
      <c r="O140" s="43">
        <v>0</v>
      </c>
      <c r="P140" s="43">
        <v>0</v>
      </c>
      <c r="Q140" s="43">
        <v>0</v>
      </c>
      <c r="R140" s="43">
        <v>0</v>
      </c>
      <c r="S140" s="43">
        <v>1</v>
      </c>
      <c r="T140" s="43">
        <v>1</v>
      </c>
      <c r="U140" s="43">
        <v>1</v>
      </c>
      <c r="V140" s="43">
        <v>0</v>
      </c>
      <c r="W140" s="43" t="s">
        <v>1548</v>
      </c>
      <c r="X140" s="43" t="s">
        <v>1985</v>
      </c>
      <c r="Y140" s="43">
        <v>1</v>
      </c>
      <c r="Z140" s="43">
        <v>0</v>
      </c>
      <c r="AA140" s="43">
        <v>2007</v>
      </c>
      <c r="AB140" s="43">
        <v>9999</v>
      </c>
      <c r="AC140" s="43" t="s">
        <v>35</v>
      </c>
    </row>
    <row r="141" spans="1:29" x14ac:dyDescent="0.25">
      <c r="A141" s="43" t="s">
        <v>487</v>
      </c>
      <c r="B141" s="39" t="s">
        <v>488</v>
      </c>
      <c r="C141" s="43"/>
      <c r="D141" s="43">
        <v>1</v>
      </c>
      <c r="E141" s="56" t="s">
        <v>348</v>
      </c>
      <c r="F141" s="43">
        <v>1</v>
      </c>
      <c r="G141" s="43">
        <v>2026</v>
      </c>
      <c r="H141" s="43"/>
      <c r="I141" s="43">
        <v>217.4</v>
      </c>
      <c r="J141" s="43" t="s">
        <v>52</v>
      </c>
      <c r="K141" s="43" t="s">
        <v>47</v>
      </c>
      <c r="M141" s="43">
        <v>1</v>
      </c>
      <c r="N141" s="43">
        <v>0</v>
      </c>
      <c r="O141" s="43">
        <v>0</v>
      </c>
      <c r="P141" s="43">
        <v>0</v>
      </c>
      <c r="Q141" s="43">
        <v>0</v>
      </c>
      <c r="R141" s="43">
        <v>0</v>
      </c>
      <c r="S141" s="43">
        <v>1</v>
      </c>
      <c r="T141" s="43">
        <v>1</v>
      </c>
      <c r="U141" s="43">
        <v>1</v>
      </c>
      <c r="V141" s="43">
        <v>0</v>
      </c>
      <c r="W141" s="43" t="s">
        <v>1548</v>
      </c>
      <c r="X141" s="43" t="s">
        <v>1981</v>
      </c>
      <c r="Y141" s="43">
        <v>2</v>
      </c>
      <c r="Z141" s="43">
        <v>0</v>
      </c>
      <c r="AA141" s="43">
        <v>2007</v>
      </c>
      <c r="AB141" s="43">
        <v>9999</v>
      </c>
      <c r="AC141" s="43" t="s">
        <v>35</v>
      </c>
    </row>
    <row r="142" spans="1:29" x14ac:dyDescent="0.25">
      <c r="A142" s="43" t="s">
        <v>505</v>
      </c>
      <c r="B142" s="39" t="s">
        <v>506</v>
      </c>
      <c r="C142" s="43"/>
      <c r="D142" s="43">
        <v>1</v>
      </c>
      <c r="E142" s="56" t="s">
        <v>348</v>
      </c>
      <c r="F142" s="43">
        <v>1</v>
      </c>
      <c r="G142" s="43">
        <v>2026</v>
      </c>
      <c r="H142" s="43"/>
      <c r="I142" s="43">
        <v>217.67</v>
      </c>
      <c r="J142" s="43" t="s">
        <v>52</v>
      </c>
      <c r="K142" s="43" t="s">
        <v>47</v>
      </c>
      <c r="M142" s="43">
        <v>1</v>
      </c>
      <c r="N142" s="43">
        <v>0</v>
      </c>
      <c r="O142" s="43">
        <v>0</v>
      </c>
      <c r="P142" s="43">
        <v>0</v>
      </c>
      <c r="Q142" s="43">
        <v>0</v>
      </c>
      <c r="R142" s="43">
        <v>0</v>
      </c>
      <c r="S142" s="43">
        <v>1</v>
      </c>
      <c r="T142" s="43">
        <v>1</v>
      </c>
      <c r="U142" s="43">
        <v>1</v>
      </c>
      <c r="V142" s="43">
        <v>0</v>
      </c>
      <c r="W142" s="43" t="s">
        <v>1548</v>
      </c>
      <c r="X142" s="43" t="s">
        <v>1989</v>
      </c>
      <c r="Y142" s="43">
        <v>2</v>
      </c>
      <c r="Z142" s="43">
        <v>0</v>
      </c>
      <c r="AA142" s="43">
        <v>2007</v>
      </c>
      <c r="AB142" s="43">
        <v>9999</v>
      </c>
      <c r="AC142" s="43" t="s">
        <v>35</v>
      </c>
    </row>
    <row r="143" spans="1:29" x14ac:dyDescent="0.25">
      <c r="A143" s="43" t="s">
        <v>517</v>
      </c>
      <c r="B143" s="39" t="s">
        <v>518</v>
      </c>
      <c r="C143" s="43"/>
      <c r="D143" s="43">
        <v>1</v>
      </c>
      <c r="E143" s="56" t="s">
        <v>348</v>
      </c>
      <c r="F143" s="43">
        <v>1</v>
      </c>
      <c r="G143" s="43">
        <v>2026</v>
      </c>
      <c r="H143" s="43"/>
      <c r="I143" s="43">
        <v>223.29</v>
      </c>
      <c r="J143" s="43" t="s">
        <v>52</v>
      </c>
      <c r="K143" s="43" t="s">
        <v>47</v>
      </c>
      <c r="M143" s="43">
        <v>1</v>
      </c>
      <c r="N143" s="43">
        <v>0</v>
      </c>
      <c r="O143" s="43">
        <v>0</v>
      </c>
      <c r="P143" s="43">
        <v>0</v>
      </c>
      <c r="Q143" s="43">
        <v>0</v>
      </c>
      <c r="R143" s="43">
        <v>0</v>
      </c>
      <c r="S143" s="43">
        <v>1</v>
      </c>
      <c r="T143" s="43">
        <v>1</v>
      </c>
      <c r="U143" s="43">
        <v>1</v>
      </c>
      <c r="V143" s="43">
        <v>0</v>
      </c>
      <c r="W143" s="43" t="s">
        <v>1548</v>
      </c>
      <c r="X143" s="43" t="s">
        <v>1995</v>
      </c>
      <c r="Y143" s="43">
        <v>3</v>
      </c>
      <c r="Z143" s="43">
        <v>0</v>
      </c>
      <c r="AA143" s="43">
        <v>2007</v>
      </c>
      <c r="AB143" s="43">
        <v>9999</v>
      </c>
      <c r="AC143" s="43" t="s">
        <v>35</v>
      </c>
    </row>
    <row r="144" spans="1:29" x14ac:dyDescent="0.25">
      <c r="A144" s="43" t="s">
        <v>507</v>
      </c>
      <c r="B144" s="39" t="s">
        <v>508</v>
      </c>
      <c r="C144" s="43"/>
      <c r="D144" s="43">
        <v>1</v>
      </c>
      <c r="E144" s="56" t="s">
        <v>348</v>
      </c>
      <c r="F144" s="43">
        <v>1</v>
      </c>
      <c r="G144" s="43">
        <v>2026</v>
      </c>
      <c r="H144" s="43"/>
      <c r="I144" s="43">
        <v>228.94</v>
      </c>
      <c r="J144" s="43" t="s">
        <v>52</v>
      </c>
      <c r="K144" s="43" t="s">
        <v>47</v>
      </c>
      <c r="M144" s="43">
        <v>1</v>
      </c>
      <c r="N144" s="43">
        <v>0</v>
      </c>
      <c r="O144" s="43">
        <v>0</v>
      </c>
      <c r="P144" s="43">
        <v>0</v>
      </c>
      <c r="Q144" s="43">
        <v>0</v>
      </c>
      <c r="R144" s="43">
        <v>0</v>
      </c>
      <c r="S144" s="43">
        <v>1</v>
      </c>
      <c r="T144" s="43">
        <v>1</v>
      </c>
      <c r="U144" s="43">
        <v>1</v>
      </c>
      <c r="V144" s="43">
        <v>0</v>
      </c>
      <c r="W144" s="43" t="s">
        <v>1548</v>
      </c>
      <c r="X144" s="43" t="s">
        <v>1990</v>
      </c>
      <c r="Y144" s="43">
        <v>1</v>
      </c>
      <c r="Z144" s="43">
        <v>0</v>
      </c>
      <c r="AA144" s="43">
        <v>2007</v>
      </c>
      <c r="AB144" s="43">
        <v>9999</v>
      </c>
      <c r="AC144" s="43" t="s">
        <v>35</v>
      </c>
    </row>
    <row r="145" spans="1:29" x14ac:dyDescent="0.25">
      <c r="A145" s="43" t="s">
        <v>485</v>
      </c>
      <c r="B145" s="39" t="s">
        <v>486</v>
      </c>
      <c r="C145" s="43"/>
      <c r="D145" s="43">
        <v>1</v>
      </c>
      <c r="E145" s="56" t="s">
        <v>348</v>
      </c>
      <c r="F145" s="43">
        <v>1</v>
      </c>
      <c r="G145" s="43">
        <v>2026</v>
      </c>
      <c r="H145" s="43"/>
      <c r="I145" s="43">
        <v>232.04</v>
      </c>
      <c r="J145" s="43" t="s">
        <v>52</v>
      </c>
      <c r="K145" s="43" t="s">
        <v>47</v>
      </c>
      <c r="M145" s="43">
        <v>1</v>
      </c>
      <c r="N145" s="43">
        <v>0</v>
      </c>
      <c r="O145" s="43">
        <v>0</v>
      </c>
      <c r="P145" s="43">
        <v>0</v>
      </c>
      <c r="Q145" s="43">
        <v>0</v>
      </c>
      <c r="R145" s="43">
        <v>0</v>
      </c>
      <c r="S145" s="43">
        <v>1</v>
      </c>
      <c r="T145" s="43">
        <v>1</v>
      </c>
      <c r="U145" s="43">
        <v>1</v>
      </c>
      <c r="V145" s="43">
        <v>0</v>
      </c>
      <c r="W145" s="43" t="s">
        <v>1548</v>
      </c>
      <c r="X145" s="43" t="s">
        <v>1980</v>
      </c>
      <c r="Y145" s="43">
        <v>1</v>
      </c>
      <c r="Z145" s="43">
        <v>0</v>
      </c>
      <c r="AA145" s="43">
        <v>2007</v>
      </c>
      <c r="AB145" s="43">
        <v>9999</v>
      </c>
      <c r="AC145" s="43" t="s">
        <v>35</v>
      </c>
    </row>
    <row r="146" spans="1:29" x14ac:dyDescent="0.25">
      <c r="A146" s="43" t="s">
        <v>511</v>
      </c>
      <c r="B146" s="39" t="s">
        <v>512</v>
      </c>
      <c r="C146" s="43"/>
      <c r="D146" s="43">
        <v>1</v>
      </c>
      <c r="E146" s="56" t="s">
        <v>348</v>
      </c>
      <c r="F146" s="43">
        <v>1</v>
      </c>
      <c r="G146" s="43">
        <v>2026</v>
      </c>
      <c r="H146" s="43"/>
      <c r="I146" s="43">
        <v>236.91</v>
      </c>
      <c r="J146" s="43" t="s">
        <v>52</v>
      </c>
      <c r="K146" s="43" t="s">
        <v>47</v>
      </c>
      <c r="M146" s="43">
        <v>1</v>
      </c>
      <c r="N146" s="43">
        <v>0</v>
      </c>
      <c r="O146" s="43">
        <v>0</v>
      </c>
      <c r="P146" s="43">
        <v>0</v>
      </c>
      <c r="Q146" s="43">
        <v>0</v>
      </c>
      <c r="R146" s="43">
        <v>0</v>
      </c>
      <c r="S146" s="43">
        <v>1</v>
      </c>
      <c r="T146" s="43">
        <v>1</v>
      </c>
      <c r="U146" s="43">
        <v>1</v>
      </c>
      <c r="V146" s="43">
        <v>0</v>
      </c>
      <c r="W146" s="43" t="s">
        <v>1548</v>
      </c>
      <c r="X146" s="43" t="s">
        <v>1992</v>
      </c>
      <c r="Y146" s="43">
        <v>3</v>
      </c>
      <c r="Z146" s="43">
        <v>0</v>
      </c>
      <c r="AA146" s="43">
        <v>2007</v>
      </c>
      <c r="AB146" s="43">
        <v>9999</v>
      </c>
      <c r="AC146" s="43" t="s">
        <v>35</v>
      </c>
    </row>
    <row r="147" spans="1:29" x14ac:dyDescent="0.25">
      <c r="A147" s="43" t="s">
        <v>493</v>
      </c>
      <c r="B147" s="39" t="s">
        <v>494</v>
      </c>
      <c r="C147" s="43"/>
      <c r="D147" s="43">
        <v>1</v>
      </c>
      <c r="E147" s="56" t="s">
        <v>348</v>
      </c>
      <c r="F147" s="43">
        <v>1</v>
      </c>
      <c r="G147" s="43">
        <v>2026</v>
      </c>
      <c r="H147" s="43"/>
      <c r="I147" s="43">
        <v>248.56</v>
      </c>
      <c r="J147" s="43" t="s">
        <v>52</v>
      </c>
      <c r="K147" s="43" t="s">
        <v>47</v>
      </c>
      <c r="M147" s="43">
        <v>1</v>
      </c>
      <c r="N147" s="43">
        <v>0</v>
      </c>
      <c r="O147" s="43">
        <v>0</v>
      </c>
      <c r="P147" s="43">
        <v>0</v>
      </c>
      <c r="Q147" s="43">
        <v>0</v>
      </c>
      <c r="R147" s="43">
        <v>0</v>
      </c>
      <c r="S147" s="43">
        <v>1</v>
      </c>
      <c r="T147" s="43">
        <v>1</v>
      </c>
      <c r="U147" s="43">
        <v>1</v>
      </c>
      <c r="V147" s="43">
        <v>0</v>
      </c>
      <c r="W147" s="43" t="s">
        <v>1548</v>
      </c>
      <c r="X147" s="43" t="s">
        <v>1984</v>
      </c>
      <c r="Y147" s="43">
        <v>3</v>
      </c>
      <c r="Z147" s="43">
        <v>0</v>
      </c>
      <c r="AA147" s="43">
        <v>2007</v>
      </c>
      <c r="AB147" s="43">
        <v>9999</v>
      </c>
      <c r="AC147" s="43" t="s">
        <v>35</v>
      </c>
    </row>
    <row r="148" spans="1:29" x14ac:dyDescent="0.25">
      <c r="A148" s="43" t="s">
        <v>489</v>
      </c>
      <c r="B148" s="39" t="s">
        <v>490</v>
      </c>
      <c r="C148" s="43"/>
      <c r="D148" s="43">
        <v>1</v>
      </c>
      <c r="E148" s="56" t="s">
        <v>348</v>
      </c>
      <c r="F148" s="43">
        <v>1</v>
      </c>
      <c r="G148" s="43">
        <v>2026</v>
      </c>
      <c r="H148" s="43"/>
      <c r="I148" s="43">
        <v>249.36</v>
      </c>
      <c r="J148" s="43" t="s">
        <v>52</v>
      </c>
      <c r="K148" s="43" t="s">
        <v>47</v>
      </c>
      <c r="M148" s="43">
        <v>1</v>
      </c>
      <c r="N148" s="43">
        <v>0</v>
      </c>
      <c r="O148" s="43">
        <v>0</v>
      </c>
      <c r="P148" s="43">
        <v>0</v>
      </c>
      <c r="Q148" s="43">
        <v>0</v>
      </c>
      <c r="R148" s="43">
        <v>0</v>
      </c>
      <c r="S148" s="43">
        <v>1</v>
      </c>
      <c r="T148" s="43">
        <v>1</v>
      </c>
      <c r="U148" s="43">
        <v>1</v>
      </c>
      <c r="V148" s="43">
        <v>0</v>
      </c>
      <c r="W148" s="43" t="s">
        <v>1548</v>
      </c>
      <c r="X148" s="43" t="s">
        <v>1982</v>
      </c>
      <c r="Y148" s="43">
        <v>2</v>
      </c>
      <c r="Z148" s="43">
        <v>0</v>
      </c>
      <c r="AA148" s="43">
        <v>2007</v>
      </c>
      <c r="AB148" s="43">
        <v>9999</v>
      </c>
      <c r="AC148" s="43" t="s">
        <v>35</v>
      </c>
    </row>
    <row r="149" spans="1:29" x14ac:dyDescent="0.25">
      <c r="A149" s="43" t="s">
        <v>481</v>
      </c>
      <c r="B149" s="39" t="s">
        <v>482</v>
      </c>
      <c r="C149" s="43"/>
      <c r="D149" s="43">
        <v>1</v>
      </c>
      <c r="E149" s="56" t="s">
        <v>348</v>
      </c>
      <c r="F149" s="43">
        <v>1</v>
      </c>
      <c r="G149" s="43">
        <v>2026</v>
      </c>
      <c r="H149" s="43"/>
      <c r="I149" s="43">
        <v>257.19</v>
      </c>
      <c r="J149" s="43" t="s">
        <v>52</v>
      </c>
      <c r="K149" s="43" t="s">
        <v>47</v>
      </c>
      <c r="M149" s="43">
        <v>1</v>
      </c>
      <c r="N149" s="43">
        <v>0</v>
      </c>
      <c r="O149" s="43">
        <v>0</v>
      </c>
      <c r="P149" s="43">
        <v>0</v>
      </c>
      <c r="Q149" s="43">
        <v>0</v>
      </c>
      <c r="R149" s="43">
        <v>0</v>
      </c>
      <c r="S149" s="43">
        <v>1</v>
      </c>
      <c r="T149" s="43">
        <v>1</v>
      </c>
      <c r="U149" s="43">
        <v>1</v>
      </c>
      <c r="V149" s="43">
        <v>0</v>
      </c>
      <c r="W149" s="43" t="s">
        <v>1548</v>
      </c>
      <c r="X149" s="43" t="s">
        <v>1978</v>
      </c>
      <c r="Y149" s="43">
        <v>2</v>
      </c>
      <c r="Z149" s="43">
        <v>0</v>
      </c>
      <c r="AA149" s="43">
        <v>2007</v>
      </c>
      <c r="AB149" s="43">
        <v>9999</v>
      </c>
      <c r="AC149" s="43" t="s">
        <v>35</v>
      </c>
    </row>
    <row r="150" spans="1:29" x14ac:dyDescent="0.25">
      <c r="A150" s="43" t="s">
        <v>491</v>
      </c>
      <c r="B150" s="39" t="s">
        <v>492</v>
      </c>
      <c r="C150" s="43"/>
      <c r="D150" s="43">
        <v>1</v>
      </c>
      <c r="E150" s="56" t="s">
        <v>348</v>
      </c>
      <c r="F150" s="43">
        <v>1</v>
      </c>
      <c r="G150" s="43">
        <v>2026</v>
      </c>
      <c r="H150" s="43"/>
      <c r="I150" s="43">
        <v>264.47000000000003</v>
      </c>
      <c r="J150" s="43" t="s">
        <v>52</v>
      </c>
      <c r="K150" s="43" t="s">
        <v>47</v>
      </c>
      <c r="M150" s="43">
        <v>1</v>
      </c>
      <c r="N150" s="43">
        <v>0</v>
      </c>
      <c r="O150" s="43">
        <v>0</v>
      </c>
      <c r="P150" s="43">
        <v>0</v>
      </c>
      <c r="Q150" s="43">
        <v>0</v>
      </c>
      <c r="R150" s="43">
        <v>0</v>
      </c>
      <c r="S150" s="43">
        <v>1</v>
      </c>
      <c r="T150" s="43">
        <v>1</v>
      </c>
      <c r="U150" s="43">
        <v>1</v>
      </c>
      <c r="V150" s="43">
        <v>0</v>
      </c>
      <c r="W150" s="43" t="s">
        <v>1548</v>
      </c>
      <c r="X150" s="43" t="s">
        <v>1983</v>
      </c>
      <c r="Y150" s="43">
        <v>1</v>
      </c>
      <c r="Z150" s="43">
        <v>0</v>
      </c>
      <c r="AA150" s="43">
        <v>2007</v>
      </c>
      <c r="AB150" s="43">
        <v>9999</v>
      </c>
      <c r="AC150" s="43" t="s">
        <v>35</v>
      </c>
    </row>
    <row r="151" spans="1:29" x14ac:dyDescent="0.25">
      <c r="A151" s="43" t="s">
        <v>717</v>
      </c>
      <c r="B151" s="39" t="s">
        <v>718</v>
      </c>
      <c r="C151" s="43"/>
      <c r="D151" s="43">
        <v>1</v>
      </c>
      <c r="E151" s="56" t="s">
        <v>51</v>
      </c>
      <c r="F151" s="43">
        <v>1</v>
      </c>
      <c r="G151" s="43">
        <v>2026</v>
      </c>
      <c r="H151" s="43"/>
      <c r="I151" s="43">
        <v>69.11</v>
      </c>
      <c r="J151" s="43" t="s">
        <v>52</v>
      </c>
      <c r="K151" s="43" t="s">
        <v>53</v>
      </c>
      <c r="L151" s="43" t="s">
        <v>54</v>
      </c>
      <c r="M151" s="43">
        <v>0</v>
      </c>
      <c r="N151" s="43">
        <v>0</v>
      </c>
      <c r="O151" s="43">
        <v>0</v>
      </c>
      <c r="P151" s="43">
        <v>0</v>
      </c>
      <c r="Q151" s="43">
        <v>1</v>
      </c>
      <c r="R151" s="43">
        <v>0</v>
      </c>
      <c r="S151" s="43">
        <v>0</v>
      </c>
      <c r="T151" s="43">
        <v>0</v>
      </c>
      <c r="U151" s="43">
        <v>1</v>
      </c>
      <c r="V151" s="43">
        <v>0</v>
      </c>
      <c r="W151" s="43" t="s">
        <v>55</v>
      </c>
      <c r="X151" s="43" t="s">
        <v>1940</v>
      </c>
      <c r="Y151" s="43">
        <v>0</v>
      </c>
      <c r="Z151" s="43">
        <v>0</v>
      </c>
      <c r="AA151" s="43">
        <v>2007</v>
      </c>
      <c r="AB151" s="43">
        <v>9999</v>
      </c>
      <c r="AC151" s="43" t="s">
        <v>35</v>
      </c>
    </row>
    <row r="152" spans="1:29" x14ac:dyDescent="0.25">
      <c r="A152" s="43" t="s">
        <v>62</v>
      </c>
      <c r="B152" s="39" t="s">
        <v>63</v>
      </c>
      <c r="C152" s="43"/>
      <c r="D152" s="43">
        <v>1</v>
      </c>
      <c r="E152" s="56" t="s">
        <v>64</v>
      </c>
      <c r="F152" s="43">
        <v>1</v>
      </c>
      <c r="G152" s="43">
        <v>2026</v>
      </c>
      <c r="H152" s="43"/>
      <c r="I152" s="43">
        <v>69.900000000000006</v>
      </c>
      <c r="J152" s="43" t="s">
        <v>52</v>
      </c>
      <c r="K152" s="43" t="s">
        <v>53</v>
      </c>
      <c r="L152" s="43" t="s">
        <v>65</v>
      </c>
      <c r="M152" s="43">
        <v>0</v>
      </c>
      <c r="N152" s="43">
        <v>0</v>
      </c>
      <c r="O152" s="43">
        <v>0</v>
      </c>
      <c r="P152" s="43">
        <v>0</v>
      </c>
      <c r="Q152" s="43">
        <v>0</v>
      </c>
      <c r="R152" s="43">
        <v>0</v>
      </c>
      <c r="S152" s="43">
        <v>1</v>
      </c>
      <c r="T152" s="43">
        <v>1</v>
      </c>
      <c r="U152" s="43">
        <v>1</v>
      </c>
      <c r="V152" s="43">
        <v>0</v>
      </c>
      <c r="W152" s="43" t="s">
        <v>1034</v>
      </c>
      <c r="X152" s="43" t="s">
        <v>1628</v>
      </c>
      <c r="Y152" s="43">
        <v>0</v>
      </c>
      <c r="Z152" s="43">
        <v>0</v>
      </c>
      <c r="AA152" s="43">
        <v>2007</v>
      </c>
      <c r="AB152" s="43">
        <v>9999</v>
      </c>
      <c r="AC152" s="43" t="s">
        <v>35</v>
      </c>
    </row>
    <row r="153" spans="1:29" x14ac:dyDescent="0.25">
      <c r="A153" s="43" t="s">
        <v>509</v>
      </c>
      <c r="B153" s="39" t="s">
        <v>510</v>
      </c>
      <c r="C153" s="43"/>
      <c r="D153" s="43">
        <v>1</v>
      </c>
      <c r="E153" s="56" t="s">
        <v>348</v>
      </c>
      <c r="F153" s="43">
        <v>1</v>
      </c>
      <c r="G153" s="43">
        <v>2026</v>
      </c>
      <c r="H153" s="43"/>
      <c r="I153" s="43">
        <v>287.52999999999997</v>
      </c>
      <c r="J153" s="43" t="s">
        <v>52</v>
      </c>
      <c r="K153" s="43" t="s">
        <v>47</v>
      </c>
      <c r="M153" s="43">
        <v>1</v>
      </c>
      <c r="N153" s="43">
        <v>0</v>
      </c>
      <c r="O153" s="43">
        <v>0</v>
      </c>
      <c r="P153" s="43">
        <v>0</v>
      </c>
      <c r="Q153" s="43">
        <v>0</v>
      </c>
      <c r="R153" s="43">
        <v>0</v>
      </c>
      <c r="S153" s="43">
        <v>1</v>
      </c>
      <c r="T153" s="43">
        <v>1</v>
      </c>
      <c r="U153" s="43">
        <v>1</v>
      </c>
      <c r="V153" s="43">
        <v>0</v>
      </c>
      <c r="W153" s="43" t="s">
        <v>1548</v>
      </c>
      <c r="X153" s="43" t="s">
        <v>1991</v>
      </c>
      <c r="Y153" s="43">
        <v>3</v>
      </c>
      <c r="Z153" s="43">
        <v>0</v>
      </c>
      <c r="AA153" s="43">
        <v>2007</v>
      </c>
      <c r="AB153" s="43">
        <v>9999</v>
      </c>
      <c r="AC153" s="43" t="s">
        <v>35</v>
      </c>
    </row>
    <row r="154" spans="1:29" x14ac:dyDescent="0.25">
      <c r="A154" s="43" t="s">
        <v>519</v>
      </c>
      <c r="B154" s="39" t="s">
        <v>520</v>
      </c>
      <c r="C154" s="43"/>
      <c r="D154" s="43">
        <v>1</v>
      </c>
      <c r="E154" s="56" t="s">
        <v>348</v>
      </c>
      <c r="F154" s="43">
        <v>1</v>
      </c>
      <c r="G154" s="43">
        <v>2026</v>
      </c>
      <c r="H154" s="43"/>
      <c r="I154" s="43">
        <v>313.52999999999997</v>
      </c>
      <c r="J154" s="43" t="s">
        <v>52</v>
      </c>
      <c r="K154" s="43" t="s">
        <v>47</v>
      </c>
      <c r="M154" s="43">
        <v>1</v>
      </c>
      <c r="N154" s="43">
        <v>0</v>
      </c>
      <c r="O154" s="43">
        <v>0</v>
      </c>
      <c r="P154" s="43">
        <v>0</v>
      </c>
      <c r="Q154" s="43">
        <v>0</v>
      </c>
      <c r="R154" s="43">
        <v>0</v>
      </c>
      <c r="S154" s="43">
        <v>1</v>
      </c>
      <c r="T154" s="43">
        <v>1</v>
      </c>
      <c r="U154" s="43">
        <v>1</v>
      </c>
      <c r="V154" s="43">
        <v>0</v>
      </c>
      <c r="W154" s="43" t="s">
        <v>1548</v>
      </c>
      <c r="X154" s="43" t="s">
        <v>1996</v>
      </c>
      <c r="Y154" s="43">
        <v>2</v>
      </c>
      <c r="Z154" s="43">
        <v>0</v>
      </c>
      <c r="AA154" s="43">
        <v>2007</v>
      </c>
      <c r="AB154" s="43">
        <v>9999</v>
      </c>
      <c r="AC154" s="43" t="s">
        <v>35</v>
      </c>
    </row>
    <row r="155" spans="1:29" x14ac:dyDescent="0.25">
      <c r="A155" s="43" t="s">
        <v>199</v>
      </c>
      <c r="B155" s="39" t="s">
        <v>39</v>
      </c>
      <c r="C155" s="43"/>
      <c r="D155" s="43">
        <v>1</v>
      </c>
      <c r="E155" s="56" t="s">
        <v>358</v>
      </c>
      <c r="F155" s="43">
        <v>1</v>
      </c>
      <c r="G155" s="43">
        <v>2026</v>
      </c>
      <c r="H155" s="43"/>
      <c r="I155" s="43">
        <v>360.2</v>
      </c>
      <c r="J155" s="43" t="s">
        <v>52</v>
      </c>
      <c r="K155" s="43" t="s">
        <v>47</v>
      </c>
      <c r="M155" s="43">
        <v>0</v>
      </c>
      <c r="N155" s="43">
        <v>0</v>
      </c>
      <c r="O155" s="43">
        <v>0</v>
      </c>
      <c r="P155" s="43">
        <v>0</v>
      </c>
      <c r="Q155" s="43">
        <v>0</v>
      </c>
      <c r="R155" s="43">
        <v>0</v>
      </c>
      <c r="S155" s="43">
        <v>1</v>
      </c>
      <c r="T155" s="43">
        <v>1</v>
      </c>
      <c r="U155" s="43">
        <v>1</v>
      </c>
      <c r="V155" s="43">
        <v>0</v>
      </c>
      <c r="W155" s="43" t="s">
        <v>1094</v>
      </c>
      <c r="X155" s="43" t="s">
        <v>1970</v>
      </c>
      <c r="Y155" s="43">
        <v>2</v>
      </c>
      <c r="Z155" s="43">
        <v>1</v>
      </c>
      <c r="AA155" s="43">
        <v>2007</v>
      </c>
      <c r="AB155" s="43">
        <v>9999</v>
      </c>
      <c r="AC155" s="43" t="s">
        <v>35</v>
      </c>
    </row>
    <row r="156" spans="1:29" x14ac:dyDescent="0.25">
      <c r="A156" s="43" t="s">
        <v>447</v>
      </c>
      <c r="B156" s="39" t="s">
        <v>1571</v>
      </c>
      <c r="C156" s="43"/>
      <c r="D156" s="43">
        <v>1</v>
      </c>
      <c r="E156" s="56" t="s">
        <v>45</v>
      </c>
      <c r="F156" s="43">
        <v>4</v>
      </c>
      <c r="G156" s="43">
        <v>2026</v>
      </c>
      <c r="H156" s="43"/>
      <c r="I156" s="43">
        <v>74</v>
      </c>
      <c r="J156" s="43" t="s">
        <v>52</v>
      </c>
      <c r="K156" s="43" t="s">
        <v>32</v>
      </c>
      <c r="M156" s="43">
        <v>0</v>
      </c>
      <c r="N156" s="43">
        <v>0</v>
      </c>
      <c r="O156" s="43">
        <v>0</v>
      </c>
      <c r="P156" s="43">
        <v>0</v>
      </c>
      <c r="Q156" s="43">
        <v>0</v>
      </c>
      <c r="R156" s="43">
        <v>0</v>
      </c>
      <c r="S156" s="43">
        <v>1</v>
      </c>
      <c r="T156" s="43">
        <v>1</v>
      </c>
      <c r="U156" s="43">
        <v>1</v>
      </c>
      <c r="V156" s="43">
        <v>0</v>
      </c>
      <c r="W156" s="43" t="s">
        <v>1572</v>
      </c>
      <c r="X156" s="43" t="s">
        <v>2022</v>
      </c>
      <c r="Y156" s="43">
        <v>0</v>
      </c>
      <c r="Z156" s="43">
        <v>2</v>
      </c>
      <c r="AA156" s="43">
        <v>2007</v>
      </c>
      <c r="AB156" s="43">
        <v>9999</v>
      </c>
      <c r="AC156" s="43" t="s">
        <v>35</v>
      </c>
    </row>
    <row r="157" spans="1:29" x14ac:dyDescent="0.25">
      <c r="A157" s="43" t="s">
        <v>958</v>
      </c>
      <c r="B157" s="39" t="s">
        <v>959</v>
      </c>
      <c r="C157" s="43"/>
      <c r="D157" s="43">
        <v>1</v>
      </c>
      <c r="E157" s="56" t="s">
        <v>51</v>
      </c>
      <c r="F157" s="43">
        <v>1</v>
      </c>
      <c r="G157" s="43">
        <v>2026</v>
      </c>
      <c r="H157" s="43"/>
      <c r="I157" s="43">
        <v>74.92</v>
      </c>
      <c r="J157" s="43" t="s">
        <v>52</v>
      </c>
      <c r="K157" s="43" t="s">
        <v>53</v>
      </c>
      <c r="L157" s="43" t="s">
        <v>54</v>
      </c>
      <c r="M157" s="43">
        <v>0</v>
      </c>
      <c r="N157" s="43">
        <v>0</v>
      </c>
      <c r="O157" s="43">
        <v>0</v>
      </c>
      <c r="P157" s="43">
        <v>0</v>
      </c>
      <c r="Q157" s="43">
        <v>1</v>
      </c>
      <c r="R157" s="43">
        <v>0</v>
      </c>
      <c r="S157" s="43">
        <v>0</v>
      </c>
      <c r="T157" s="43">
        <v>0</v>
      </c>
      <c r="U157" s="43">
        <v>1</v>
      </c>
      <c r="V157" s="43">
        <v>0</v>
      </c>
      <c r="W157" s="43" t="s">
        <v>1901</v>
      </c>
      <c r="X157" s="43" t="s">
        <v>1940</v>
      </c>
      <c r="Y157" s="43">
        <v>0</v>
      </c>
      <c r="Z157" s="43">
        <v>0</v>
      </c>
      <c r="AA157" s="43">
        <v>2007</v>
      </c>
      <c r="AB157" s="43">
        <v>9999</v>
      </c>
      <c r="AC157" s="43" t="s">
        <v>35</v>
      </c>
    </row>
    <row r="158" spans="1:29" x14ac:dyDescent="0.25">
      <c r="A158" s="43" t="s">
        <v>192</v>
      </c>
      <c r="B158" s="39" t="s">
        <v>193</v>
      </c>
      <c r="C158" s="43"/>
      <c r="D158" s="43">
        <v>1</v>
      </c>
      <c r="E158" s="56" t="s">
        <v>51</v>
      </c>
      <c r="F158" s="43">
        <v>1</v>
      </c>
      <c r="G158" s="43">
        <v>2026</v>
      </c>
      <c r="H158" s="43"/>
      <c r="I158" s="43">
        <v>77</v>
      </c>
      <c r="J158" s="43" t="s">
        <v>52</v>
      </c>
      <c r="K158" s="43" t="s">
        <v>53</v>
      </c>
      <c r="L158" s="43" t="s">
        <v>54</v>
      </c>
      <c r="M158" s="43">
        <v>0</v>
      </c>
      <c r="N158" s="43">
        <v>0</v>
      </c>
      <c r="O158" s="43">
        <v>0</v>
      </c>
      <c r="P158" s="43">
        <v>0</v>
      </c>
      <c r="Q158" s="43">
        <v>1</v>
      </c>
      <c r="R158" s="43">
        <v>0</v>
      </c>
      <c r="S158" s="43">
        <v>0</v>
      </c>
      <c r="T158" s="43">
        <v>0</v>
      </c>
      <c r="U158" s="43">
        <v>1</v>
      </c>
      <c r="V158" s="43">
        <v>0</v>
      </c>
      <c r="W158" s="43" t="s">
        <v>55</v>
      </c>
      <c r="X158" s="43" t="s">
        <v>1940</v>
      </c>
      <c r="Y158" s="43">
        <v>0</v>
      </c>
      <c r="Z158" s="43">
        <v>0</v>
      </c>
      <c r="AA158" s="43">
        <v>2007</v>
      </c>
      <c r="AB158" s="43">
        <v>9999</v>
      </c>
      <c r="AC158" s="43" t="s">
        <v>35</v>
      </c>
    </row>
    <row r="159" spans="1:29" x14ac:dyDescent="0.25">
      <c r="A159" s="43" t="s">
        <v>49</v>
      </c>
      <c r="B159" s="39" t="s">
        <v>50</v>
      </c>
      <c r="C159" s="43"/>
      <c r="D159" s="43">
        <v>1</v>
      </c>
      <c r="E159" s="56" t="s">
        <v>51</v>
      </c>
      <c r="F159" s="43">
        <v>1</v>
      </c>
      <c r="G159" s="43">
        <v>2026</v>
      </c>
      <c r="H159" s="43"/>
      <c r="I159" s="43">
        <v>78</v>
      </c>
      <c r="J159" s="43" t="s">
        <v>52</v>
      </c>
      <c r="K159" s="43" t="s">
        <v>53</v>
      </c>
      <c r="L159" s="43" t="s">
        <v>54</v>
      </c>
      <c r="M159" s="43">
        <v>0</v>
      </c>
      <c r="N159" s="43">
        <v>0</v>
      </c>
      <c r="O159" s="43">
        <v>0</v>
      </c>
      <c r="P159" s="43">
        <v>0</v>
      </c>
      <c r="Q159" s="43">
        <v>1</v>
      </c>
      <c r="R159" s="43">
        <v>0</v>
      </c>
      <c r="S159" s="43">
        <v>0</v>
      </c>
      <c r="T159" s="43">
        <v>0</v>
      </c>
      <c r="U159" s="43">
        <v>1</v>
      </c>
      <c r="V159" s="43">
        <v>0</v>
      </c>
      <c r="W159" s="43" t="s">
        <v>55</v>
      </c>
      <c r="X159" s="43" t="s">
        <v>1940</v>
      </c>
      <c r="Y159" s="43">
        <v>0</v>
      </c>
      <c r="Z159" s="43">
        <v>0</v>
      </c>
      <c r="AA159" s="43">
        <v>2007</v>
      </c>
      <c r="AB159" s="43">
        <v>9999</v>
      </c>
      <c r="AC159" s="43" t="s">
        <v>35</v>
      </c>
    </row>
    <row r="160" spans="1:29" x14ac:dyDescent="0.25">
      <c r="A160" s="43" t="s">
        <v>497</v>
      </c>
      <c r="B160" s="39" t="s">
        <v>498</v>
      </c>
      <c r="C160" s="43"/>
      <c r="D160" s="43">
        <v>1</v>
      </c>
      <c r="E160" s="56" t="s">
        <v>348</v>
      </c>
      <c r="F160" s="43">
        <v>1</v>
      </c>
      <c r="G160" s="43">
        <v>2026</v>
      </c>
      <c r="H160" s="43"/>
      <c r="I160" s="43">
        <v>369.56</v>
      </c>
      <c r="J160" s="43" t="s">
        <v>52</v>
      </c>
      <c r="K160" s="43" t="s">
        <v>47</v>
      </c>
      <c r="M160" s="43">
        <v>1</v>
      </c>
      <c r="N160" s="43">
        <v>0</v>
      </c>
      <c r="O160" s="43">
        <v>0</v>
      </c>
      <c r="P160" s="43">
        <v>0</v>
      </c>
      <c r="Q160" s="43">
        <v>0</v>
      </c>
      <c r="R160" s="43">
        <v>0</v>
      </c>
      <c r="S160" s="43">
        <v>1</v>
      </c>
      <c r="T160" s="43">
        <v>1</v>
      </c>
      <c r="U160" s="43">
        <v>1</v>
      </c>
      <c r="V160" s="43">
        <v>0</v>
      </c>
      <c r="W160" s="43" t="s">
        <v>1548</v>
      </c>
      <c r="X160" s="43" t="s">
        <v>1955</v>
      </c>
      <c r="Y160" s="43">
        <v>4</v>
      </c>
      <c r="Z160" s="43">
        <v>1</v>
      </c>
      <c r="AA160" s="43">
        <v>2007</v>
      </c>
      <c r="AB160" s="43">
        <v>9999</v>
      </c>
      <c r="AC160" s="43" t="s">
        <v>35</v>
      </c>
    </row>
    <row r="161" spans="1:29" x14ac:dyDescent="0.25">
      <c r="A161" s="43" t="s">
        <v>501</v>
      </c>
      <c r="B161" s="39" t="s">
        <v>502</v>
      </c>
      <c r="C161" s="43"/>
      <c r="D161" s="43">
        <v>1</v>
      </c>
      <c r="E161" s="56" t="s">
        <v>348</v>
      </c>
      <c r="F161" s="43">
        <v>1</v>
      </c>
      <c r="G161" s="43">
        <v>2026</v>
      </c>
      <c r="H161" s="43"/>
      <c r="I161" s="43">
        <v>507.68</v>
      </c>
      <c r="J161" s="43" t="s">
        <v>52</v>
      </c>
      <c r="K161" s="43" t="s">
        <v>47</v>
      </c>
      <c r="M161" s="43">
        <v>1</v>
      </c>
      <c r="N161" s="43">
        <v>0</v>
      </c>
      <c r="O161" s="43">
        <v>0</v>
      </c>
      <c r="P161" s="43">
        <v>0</v>
      </c>
      <c r="Q161" s="43">
        <v>0</v>
      </c>
      <c r="R161" s="43">
        <v>0</v>
      </c>
      <c r="S161" s="43">
        <v>1</v>
      </c>
      <c r="T161" s="43">
        <v>1</v>
      </c>
      <c r="U161" s="43">
        <v>1</v>
      </c>
      <c r="V161" s="43">
        <v>0</v>
      </c>
      <c r="W161" s="43" t="s">
        <v>1548</v>
      </c>
      <c r="X161" s="43" t="s">
        <v>1987</v>
      </c>
      <c r="Y161" s="43">
        <v>2</v>
      </c>
      <c r="Z161" s="43">
        <v>0</v>
      </c>
      <c r="AA161" s="43">
        <v>2007</v>
      </c>
      <c r="AB161" s="43">
        <v>9999</v>
      </c>
      <c r="AC161" s="43" t="s">
        <v>35</v>
      </c>
    </row>
    <row r="162" spans="1:29" x14ac:dyDescent="0.25">
      <c r="A162" s="43" t="s">
        <v>499</v>
      </c>
      <c r="B162" s="39" t="s">
        <v>500</v>
      </c>
      <c r="C162" s="43"/>
      <c r="D162" s="43">
        <v>1</v>
      </c>
      <c r="E162" s="56" t="s">
        <v>348</v>
      </c>
      <c r="F162" s="43">
        <v>1</v>
      </c>
      <c r="G162" s="43">
        <v>2026</v>
      </c>
      <c r="H162" s="43"/>
      <c r="I162" s="43">
        <v>571.22</v>
      </c>
      <c r="J162" s="43" t="s">
        <v>52</v>
      </c>
      <c r="K162" s="43" t="s">
        <v>47</v>
      </c>
      <c r="M162" s="43">
        <v>1</v>
      </c>
      <c r="N162" s="43">
        <v>0</v>
      </c>
      <c r="O162" s="43">
        <v>0</v>
      </c>
      <c r="P162" s="43">
        <v>0</v>
      </c>
      <c r="Q162" s="43">
        <v>0</v>
      </c>
      <c r="R162" s="43">
        <v>0</v>
      </c>
      <c r="S162" s="43">
        <v>1</v>
      </c>
      <c r="T162" s="43">
        <v>1</v>
      </c>
      <c r="U162" s="43">
        <v>1</v>
      </c>
      <c r="V162" s="43">
        <v>0</v>
      </c>
      <c r="W162" s="43" t="s">
        <v>1548</v>
      </c>
      <c r="X162" s="43" t="s">
        <v>1986</v>
      </c>
      <c r="Y162" s="43">
        <v>2</v>
      </c>
      <c r="Z162" s="43">
        <v>0</v>
      </c>
      <c r="AA162" s="43">
        <v>2007</v>
      </c>
      <c r="AB162" s="43">
        <v>9999</v>
      </c>
      <c r="AC162" s="43" t="s">
        <v>35</v>
      </c>
    </row>
    <row r="163" spans="1:29" x14ac:dyDescent="0.25">
      <c r="A163" s="43" t="s">
        <v>515</v>
      </c>
      <c r="B163" s="39" t="s">
        <v>516</v>
      </c>
      <c r="C163" s="43"/>
      <c r="D163" s="43">
        <v>1</v>
      </c>
      <c r="E163" s="56" t="s">
        <v>348</v>
      </c>
      <c r="F163" s="43">
        <v>1</v>
      </c>
      <c r="G163" s="43">
        <v>2026</v>
      </c>
      <c r="H163" s="43"/>
      <c r="I163" s="43">
        <v>1003.59</v>
      </c>
      <c r="J163" s="43" t="s">
        <v>52</v>
      </c>
      <c r="K163" s="43" t="s">
        <v>47</v>
      </c>
      <c r="M163" s="43">
        <v>1</v>
      </c>
      <c r="N163" s="43">
        <v>0</v>
      </c>
      <c r="O163" s="43">
        <v>0</v>
      </c>
      <c r="P163" s="43">
        <v>0</v>
      </c>
      <c r="Q163" s="43">
        <v>0</v>
      </c>
      <c r="R163" s="43">
        <v>0</v>
      </c>
      <c r="S163" s="43">
        <v>1</v>
      </c>
      <c r="T163" s="43">
        <v>1</v>
      </c>
      <c r="U163" s="43">
        <v>1</v>
      </c>
      <c r="V163" s="43">
        <v>0</v>
      </c>
      <c r="W163" s="43" t="s">
        <v>1548</v>
      </c>
      <c r="X163" s="43" t="s">
        <v>1994</v>
      </c>
      <c r="Y163" s="43">
        <v>3</v>
      </c>
      <c r="Z163" s="43">
        <v>0</v>
      </c>
      <c r="AA163" s="43">
        <v>2007</v>
      </c>
      <c r="AB163" s="43">
        <v>9999</v>
      </c>
      <c r="AC163" s="43" t="s">
        <v>35</v>
      </c>
    </row>
    <row r="164" spans="1:29" x14ac:dyDescent="0.25">
      <c r="A164" s="43" t="s">
        <v>401</v>
      </c>
      <c r="B164" s="39" t="s">
        <v>402</v>
      </c>
      <c r="C164" s="43"/>
      <c r="D164" s="43">
        <v>1</v>
      </c>
      <c r="E164" s="56" t="s">
        <v>155</v>
      </c>
      <c r="F164" s="43">
        <v>3</v>
      </c>
      <c r="G164" s="43">
        <v>2026</v>
      </c>
      <c r="H164" s="43"/>
      <c r="I164" s="43">
        <v>2030.3</v>
      </c>
      <c r="J164" s="43" t="s">
        <v>52</v>
      </c>
      <c r="K164" s="43" t="s">
        <v>47</v>
      </c>
      <c r="M164" s="43">
        <v>1</v>
      </c>
      <c r="N164" s="43">
        <v>0</v>
      </c>
      <c r="O164" s="43">
        <v>0</v>
      </c>
      <c r="P164" s="43">
        <v>0</v>
      </c>
      <c r="Q164" s="43">
        <v>0</v>
      </c>
      <c r="R164" s="43">
        <v>0</v>
      </c>
      <c r="S164" s="43">
        <v>1</v>
      </c>
      <c r="T164" s="43">
        <v>1</v>
      </c>
      <c r="U164" s="43">
        <v>1</v>
      </c>
      <c r="V164" s="43">
        <v>0</v>
      </c>
      <c r="W164" s="43" t="s">
        <v>1525</v>
      </c>
      <c r="X164" s="43" t="s">
        <v>1705</v>
      </c>
      <c r="Y164" s="43">
        <v>0</v>
      </c>
      <c r="Z164" s="43">
        <v>0</v>
      </c>
      <c r="AA164" s="43">
        <v>2007</v>
      </c>
      <c r="AB164" s="43">
        <v>9999</v>
      </c>
      <c r="AC164" s="43" t="s">
        <v>35</v>
      </c>
    </row>
    <row r="165" spans="1:29" x14ac:dyDescent="0.25">
      <c r="A165" s="43" t="s">
        <v>960</v>
      </c>
      <c r="B165" s="39" t="s">
        <v>961</v>
      </c>
      <c r="C165" s="43"/>
      <c r="D165" s="43">
        <v>1</v>
      </c>
      <c r="E165" s="56" t="s">
        <v>168</v>
      </c>
      <c r="F165" s="43">
        <v>1</v>
      </c>
      <c r="G165" s="43">
        <v>2026</v>
      </c>
      <c r="H165" s="43"/>
      <c r="I165" s="43">
        <v>2609.8000000000002</v>
      </c>
      <c r="J165" s="43" t="s">
        <v>52</v>
      </c>
      <c r="K165" s="43" t="s">
        <v>47</v>
      </c>
      <c r="M165" s="43">
        <v>1</v>
      </c>
      <c r="N165" s="43">
        <v>1</v>
      </c>
      <c r="O165" s="43">
        <v>0</v>
      </c>
      <c r="P165" s="43">
        <v>0</v>
      </c>
      <c r="Q165" s="43">
        <v>0</v>
      </c>
      <c r="R165" s="43">
        <v>0</v>
      </c>
      <c r="S165" s="43">
        <v>1</v>
      </c>
      <c r="T165" s="43">
        <v>1</v>
      </c>
      <c r="U165" s="43">
        <v>1</v>
      </c>
      <c r="V165" s="43">
        <v>0</v>
      </c>
      <c r="W165" s="43" t="s">
        <v>1533</v>
      </c>
      <c r="X165" s="43" t="s">
        <v>1902</v>
      </c>
      <c r="Y165" s="43">
        <v>0</v>
      </c>
      <c r="Z165" s="43">
        <v>0</v>
      </c>
      <c r="AA165" s="43">
        <v>2007</v>
      </c>
      <c r="AB165" s="43">
        <v>9999</v>
      </c>
      <c r="AC165" s="43" t="s">
        <v>35</v>
      </c>
    </row>
    <row r="166" spans="1:29" x14ac:dyDescent="0.25">
      <c r="A166" s="43" t="s">
        <v>836</v>
      </c>
      <c r="B166" s="39" t="s">
        <v>1413</v>
      </c>
      <c r="C166" s="43"/>
      <c r="D166" s="43">
        <v>1</v>
      </c>
      <c r="E166" s="56" t="s">
        <v>64</v>
      </c>
      <c r="F166" s="43">
        <v>1</v>
      </c>
      <c r="G166" s="43">
        <v>2026</v>
      </c>
      <c r="H166" s="43"/>
      <c r="I166" s="43">
        <v>227.1</v>
      </c>
      <c r="J166" s="43" t="s">
        <v>52</v>
      </c>
      <c r="K166" s="43" t="s">
        <v>32</v>
      </c>
      <c r="M166" s="43">
        <v>0</v>
      </c>
      <c r="N166" s="43">
        <v>0</v>
      </c>
      <c r="O166" s="43">
        <v>0</v>
      </c>
      <c r="P166" s="43">
        <v>0</v>
      </c>
      <c r="Q166" s="43">
        <v>0</v>
      </c>
      <c r="R166" s="43">
        <v>0</v>
      </c>
      <c r="S166" s="43">
        <v>1</v>
      </c>
      <c r="T166" s="43">
        <v>1</v>
      </c>
      <c r="U166" s="43">
        <v>1</v>
      </c>
      <c r="V166" s="43">
        <v>0</v>
      </c>
      <c r="W166" s="43" t="s">
        <v>1191</v>
      </c>
      <c r="X166" s="43" t="s">
        <v>1802</v>
      </c>
      <c r="Y166" s="43">
        <v>0</v>
      </c>
      <c r="Z166" s="43">
        <v>0</v>
      </c>
      <c r="AA166" s="43">
        <v>2007</v>
      </c>
      <c r="AB166" s="43">
        <v>9999</v>
      </c>
      <c r="AC166" s="43" t="s">
        <v>35</v>
      </c>
    </row>
    <row r="167" spans="1:29" x14ac:dyDescent="0.25">
      <c r="A167" s="43" t="s">
        <v>216</v>
      </c>
      <c r="B167" s="39" t="s">
        <v>217</v>
      </c>
      <c r="C167" s="43"/>
      <c r="D167" s="43">
        <v>1</v>
      </c>
      <c r="E167" s="56" t="s">
        <v>218</v>
      </c>
      <c r="F167" s="43">
        <v>2</v>
      </c>
      <c r="G167" s="43">
        <v>2026</v>
      </c>
      <c r="H167" s="43"/>
      <c r="I167" s="43">
        <v>1381.3</v>
      </c>
      <c r="J167" s="43" t="s">
        <v>52</v>
      </c>
      <c r="K167" s="43" t="s">
        <v>32</v>
      </c>
      <c r="M167" s="43">
        <v>0</v>
      </c>
      <c r="N167" s="43">
        <v>1</v>
      </c>
      <c r="O167" s="43">
        <v>0</v>
      </c>
      <c r="P167" s="43">
        <v>0</v>
      </c>
      <c r="Q167" s="43">
        <v>0</v>
      </c>
      <c r="R167" s="43">
        <v>0</v>
      </c>
      <c r="S167" s="43">
        <v>1</v>
      </c>
      <c r="T167" s="43">
        <v>1</v>
      </c>
      <c r="U167" s="43">
        <v>1</v>
      </c>
      <c r="V167" s="43">
        <v>0</v>
      </c>
      <c r="W167" s="43" t="s">
        <v>1067</v>
      </c>
      <c r="X167" s="43" t="s">
        <v>1955</v>
      </c>
      <c r="Y167" s="43">
        <v>0</v>
      </c>
      <c r="Z167" s="43">
        <v>0</v>
      </c>
      <c r="AA167" s="43">
        <v>2007</v>
      </c>
      <c r="AB167" s="43">
        <v>9999</v>
      </c>
      <c r="AC167" s="43" t="s">
        <v>35</v>
      </c>
    </row>
    <row r="168" spans="1:29" x14ac:dyDescent="0.25">
      <c r="A168" s="43" t="s">
        <v>729</v>
      </c>
      <c r="B168" s="39" t="s">
        <v>205</v>
      </c>
      <c r="C168" s="43"/>
      <c r="D168" s="43">
        <v>1</v>
      </c>
      <c r="E168" s="56" t="s">
        <v>168</v>
      </c>
      <c r="F168" s="43">
        <v>1</v>
      </c>
      <c r="G168" s="43">
        <v>2026</v>
      </c>
      <c r="H168" s="43"/>
      <c r="I168" s="43">
        <v>8846.6</v>
      </c>
      <c r="J168" s="43" t="s">
        <v>52</v>
      </c>
      <c r="K168" s="43" t="s">
        <v>32</v>
      </c>
      <c r="M168" s="43">
        <v>0</v>
      </c>
      <c r="N168" s="43">
        <v>1</v>
      </c>
      <c r="O168" s="43">
        <v>0</v>
      </c>
      <c r="P168" s="43">
        <v>0</v>
      </c>
      <c r="Q168" s="43">
        <v>0</v>
      </c>
      <c r="R168" s="43">
        <v>0</v>
      </c>
      <c r="S168" s="43">
        <v>1</v>
      </c>
      <c r="T168" s="43">
        <v>1</v>
      </c>
      <c r="U168" s="43">
        <v>1</v>
      </c>
      <c r="V168" s="43">
        <v>0</v>
      </c>
      <c r="W168" s="43" t="s">
        <v>1555</v>
      </c>
      <c r="X168" s="43" t="s">
        <v>2019</v>
      </c>
      <c r="Y168" s="43">
        <v>2</v>
      </c>
      <c r="Z168" s="43">
        <v>0</v>
      </c>
      <c r="AA168" s="43">
        <v>2007</v>
      </c>
      <c r="AB168" s="43">
        <v>9999</v>
      </c>
      <c r="AC168" s="43" t="s">
        <v>35</v>
      </c>
    </row>
    <row r="169" spans="1:29" ht="30" x14ac:dyDescent="0.25">
      <c r="A169" s="43" t="s">
        <v>143</v>
      </c>
      <c r="B169" s="39" t="s">
        <v>144</v>
      </c>
      <c r="C169" s="43"/>
      <c r="D169" s="43">
        <v>1</v>
      </c>
      <c r="E169" s="56" t="s">
        <v>145</v>
      </c>
      <c r="F169" s="43">
        <v>2</v>
      </c>
      <c r="G169" s="43">
        <v>2026</v>
      </c>
      <c r="H169" s="43" t="s">
        <v>146</v>
      </c>
      <c r="I169" s="43">
        <v>0</v>
      </c>
      <c r="J169" s="43" t="s">
        <v>147</v>
      </c>
      <c r="K169" s="43" t="s">
        <v>41</v>
      </c>
      <c r="M169" s="43">
        <v>0</v>
      </c>
      <c r="N169" s="43">
        <v>0</v>
      </c>
      <c r="O169" s="43">
        <v>0</v>
      </c>
      <c r="P169" s="43">
        <v>0</v>
      </c>
      <c r="Q169" s="43">
        <v>0</v>
      </c>
      <c r="R169" s="43">
        <v>0</v>
      </c>
      <c r="S169" s="43">
        <v>0</v>
      </c>
      <c r="T169" s="43">
        <v>0</v>
      </c>
      <c r="U169" s="43">
        <v>0</v>
      </c>
      <c r="V169" s="43">
        <v>0</v>
      </c>
      <c r="W169" s="43" t="s">
        <v>1046</v>
      </c>
      <c r="X169" s="43" t="s">
        <v>1641</v>
      </c>
      <c r="Y169" s="43">
        <v>0</v>
      </c>
      <c r="Z169" s="43">
        <v>0</v>
      </c>
      <c r="AA169" s="43">
        <v>2007</v>
      </c>
      <c r="AB169" s="43">
        <v>9999</v>
      </c>
      <c r="AC169" s="43" t="s">
        <v>35</v>
      </c>
    </row>
    <row r="170" spans="1:29" ht="30" x14ac:dyDescent="0.25">
      <c r="A170" s="43"/>
      <c r="B170" s="39" t="s">
        <v>1612</v>
      </c>
      <c r="C170" s="43"/>
      <c r="D170" s="43">
        <v>1</v>
      </c>
      <c r="E170" s="56" t="s">
        <v>145</v>
      </c>
      <c r="F170" s="43">
        <v>2</v>
      </c>
      <c r="G170" s="43">
        <v>2026</v>
      </c>
      <c r="H170" s="43"/>
      <c r="I170" s="43">
        <v>0</v>
      </c>
      <c r="J170" s="43" t="s">
        <v>147</v>
      </c>
      <c r="K170" s="43" t="s">
        <v>41</v>
      </c>
      <c r="M170" s="43">
        <v>0</v>
      </c>
      <c r="N170" s="43">
        <v>0</v>
      </c>
      <c r="O170" s="43">
        <v>0</v>
      </c>
      <c r="P170" s="43">
        <v>0</v>
      </c>
      <c r="Q170" s="43">
        <v>0</v>
      </c>
      <c r="R170" s="43">
        <v>0</v>
      </c>
      <c r="S170" s="43">
        <v>0</v>
      </c>
      <c r="T170" s="43">
        <v>0</v>
      </c>
      <c r="U170" s="43">
        <v>0</v>
      </c>
      <c r="V170" s="43">
        <v>0</v>
      </c>
      <c r="W170" s="43" t="s">
        <v>1613</v>
      </c>
      <c r="X170" s="43" t="s">
        <v>1713</v>
      </c>
      <c r="Y170" s="43">
        <v>0</v>
      </c>
      <c r="Z170" s="43">
        <v>0</v>
      </c>
      <c r="AA170" s="43">
        <v>2007</v>
      </c>
      <c r="AB170" s="43">
        <v>9999</v>
      </c>
      <c r="AC170" s="43" t="s">
        <v>35</v>
      </c>
    </row>
    <row r="171" spans="1:29" x14ac:dyDescent="0.25">
      <c r="A171" s="43" t="s">
        <v>688</v>
      </c>
      <c r="B171" s="39" t="s">
        <v>689</v>
      </c>
      <c r="C171" s="43"/>
      <c r="D171" s="43">
        <v>1</v>
      </c>
      <c r="E171" s="56" t="s">
        <v>145</v>
      </c>
      <c r="F171" s="43">
        <v>2</v>
      </c>
      <c r="G171" s="43">
        <v>2026</v>
      </c>
      <c r="H171" s="43" t="s">
        <v>146</v>
      </c>
      <c r="I171" s="43">
        <v>0.3</v>
      </c>
      <c r="J171" s="43" t="s">
        <v>147</v>
      </c>
      <c r="K171" s="43" t="s">
        <v>41</v>
      </c>
      <c r="M171" s="43">
        <v>0</v>
      </c>
      <c r="N171" s="43">
        <v>0</v>
      </c>
      <c r="O171" s="43">
        <v>0</v>
      </c>
      <c r="P171" s="43">
        <v>0</v>
      </c>
      <c r="Q171" s="43">
        <v>0</v>
      </c>
      <c r="R171" s="43">
        <v>0</v>
      </c>
      <c r="S171" s="43">
        <v>0</v>
      </c>
      <c r="T171" s="43">
        <v>0</v>
      </c>
      <c r="U171" s="43">
        <v>0</v>
      </c>
      <c r="V171" s="43">
        <v>0</v>
      </c>
      <c r="W171" s="43" t="s">
        <v>1154</v>
      </c>
      <c r="X171" s="43" t="s">
        <v>1760</v>
      </c>
      <c r="Y171" s="43">
        <v>0</v>
      </c>
      <c r="Z171" s="43">
        <v>0</v>
      </c>
      <c r="AA171" s="43">
        <v>2007</v>
      </c>
      <c r="AB171" s="43">
        <v>9999</v>
      </c>
      <c r="AC171" s="43" t="s">
        <v>35</v>
      </c>
    </row>
    <row r="172" spans="1:29" ht="30" x14ac:dyDescent="0.25">
      <c r="A172" s="43" t="s">
        <v>252</v>
      </c>
      <c r="B172" s="39" t="s">
        <v>253</v>
      </c>
      <c r="C172" s="43"/>
      <c r="D172" s="43">
        <v>1</v>
      </c>
      <c r="E172" s="56" t="s">
        <v>145</v>
      </c>
      <c r="F172" s="43">
        <v>2</v>
      </c>
      <c r="G172" s="43">
        <v>2026</v>
      </c>
      <c r="H172" s="43" t="s">
        <v>254</v>
      </c>
      <c r="I172" s="43">
        <v>0.4</v>
      </c>
      <c r="J172" s="43" t="s">
        <v>147</v>
      </c>
      <c r="K172" s="43" t="s">
        <v>41</v>
      </c>
      <c r="M172" s="43">
        <v>0</v>
      </c>
      <c r="N172" s="43">
        <v>0</v>
      </c>
      <c r="O172" s="43">
        <v>0</v>
      </c>
      <c r="P172" s="43">
        <v>0</v>
      </c>
      <c r="Q172" s="43">
        <v>0</v>
      </c>
      <c r="R172" s="43">
        <v>0</v>
      </c>
      <c r="S172" s="43">
        <v>0</v>
      </c>
      <c r="T172" s="43">
        <v>0</v>
      </c>
      <c r="U172" s="43">
        <v>0</v>
      </c>
      <c r="V172" s="43">
        <v>0</v>
      </c>
      <c r="W172" s="43" t="s">
        <v>1077</v>
      </c>
      <c r="X172" s="43" t="s">
        <v>1959</v>
      </c>
      <c r="Y172" s="43">
        <v>0</v>
      </c>
      <c r="Z172" s="43">
        <v>0</v>
      </c>
      <c r="AA172" s="43">
        <v>2007</v>
      </c>
      <c r="AB172" s="43">
        <v>9999</v>
      </c>
      <c r="AC172" s="43" t="s">
        <v>35</v>
      </c>
    </row>
    <row r="173" spans="1:29" x14ac:dyDescent="0.25">
      <c r="A173" s="43" t="s">
        <v>240</v>
      </c>
      <c r="B173" s="39" t="s">
        <v>241</v>
      </c>
      <c r="C173" s="43"/>
      <c r="D173" s="43">
        <v>1</v>
      </c>
      <c r="E173" s="56" t="s">
        <v>218</v>
      </c>
      <c r="F173" s="43">
        <v>2</v>
      </c>
      <c r="G173" s="43">
        <v>2026</v>
      </c>
      <c r="H173" s="43"/>
      <c r="I173" s="43">
        <v>28943.7</v>
      </c>
      <c r="J173" s="43" t="s">
        <v>147</v>
      </c>
      <c r="K173" s="43" t="s">
        <v>47</v>
      </c>
      <c r="M173" s="43">
        <v>1</v>
      </c>
      <c r="N173" s="43">
        <v>0</v>
      </c>
      <c r="O173" s="43">
        <v>0</v>
      </c>
      <c r="P173" s="43">
        <v>0</v>
      </c>
      <c r="Q173" s="43">
        <v>0</v>
      </c>
      <c r="R173" s="43">
        <v>0</v>
      </c>
      <c r="S173" s="43">
        <v>1</v>
      </c>
      <c r="T173" s="43">
        <v>1</v>
      </c>
      <c r="U173" s="43">
        <v>1</v>
      </c>
      <c r="V173" s="43">
        <v>0</v>
      </c>
      <c r="W173" s="43" t="s">
        <v>1073</v>
      </c>
      <c r="X173" s="43" t="s">
        <v>1957</v>
      </c>
      <c r="Y173" s="43">
        <v>1</v>
      </c>
      <c r="Z173" s="43">
        <v>1</v>
      </c>
      <c r="AA173" s="43">
        <v>2007</v>
      </c>
      <c r="AB173" s="43">
        <v>9999</v>
      </c>
      <c r="AC173" s="43" t="s">
        <v>35</v>
      </c>
    </row>
    <row r="174" spans="1:29" ht="30" x14ac:dyDescent="0.25">
      <c r="A174" s="43" t="s">
        <v>1016</v>
      </c>
      <c r="B174" s="39" t="s">
        <v>1017</v>
      </c>
      <c r="C174" s="43"/>
      <c r="D174" s="43">
        <v>1</v>
      </c>
      <c r="E174" s="56" t="s">
        <v>396</v>
      </c>
      <c r="F174" s="43">
        <v>3</v>
      </c>
      <c r="G174" s="43">
        <v>2026</v>
      </c>
      <c r="H174" s="43" t="s">
        <v>1018</v>
      </c>
      <c r="I174" s="43">
        <v>0</v>
      </c>
      <c r="J174" s="43" t="s">
        <v>121</v>
      </c>
      <c r="K174" s="43" t="s">
        <v>41</v>
      </c>
      <c r="M174" s="43">
        <v>0</v>
      </c>
      <c r="N174" s="43">
        <v>0</v>
      </c>
      <c r="O174" s="43">
        <v>0</v>
      </c>
      <c r="P174" s="43">
        <v>0</v>
      </c>
      <c r="Q174" s="43">
        <v>0</v>
      </c>
      <c r="R174" s="43">
        <v>0</v>
      </c>
      <c r="S174" s="43">
        <v>0</v>
      </c>
      <c r="T174" s="43">
        <v>0</v>
      </c>
      <c r="U174" s="43">
        <v>0</v>
      </c>
      <c r="V174" s="43">
        <v>0</v>
      </c>
      <c r="W174" s="43" t="s">
        <v>1230</v>
      </c>
      <c r="X174" s="43" t="s">
        <v>1845</v>
      </c>
      <c r="Y174" s="43">
        <v>0</v>
      </c>
      <c r="Z174" s="43">
        <v>0</v>
      </c>
      <c r="AA174" s="43">
        <v>2007</v>
      </c>
      <c r="AB174" s="43">
        <v>9999</v>
      </c>
      <c r="AC174" s="43" t="s">
        <v>35</v>
      </c>
    </row>
    <row r="175" spans="1:29" x14ac:dyDescent="0.25">
      <c r="A175" s="43" t="s">
        <v>181</v>
      </c>
      <c r="B175" s="39" t="s">
        <v>182</v>
      </c>
      <c r="C175" s="43"/>
      <c r="D175" s="43">
        <v>1</v>
      </c>
      <c r="E175" s="56" t="s">
        <v>38</v>
      </c>
      <c r="F175" s="43">
        <v>4</v>
      </c>
      <c r="G175" s="43">
        <v>2026</v>
      </c>
      <c r="H175" s="43" t="s">
        <v>39</v>
      </c>
      <c r="I175" s="43">
        <v>0.1</v>
      </c>
      <c r="J175" s="43" t="s">
        <v>121</v>
      </c>
      <c r="K175" s="43" t="s">
        <v>41</v>
      </c>
      <c r="M175" s="43">
        <v>0</v>
      </c>
      <c r="N175" s="43">
        <v>0</v>
      </c>
      <c r="O175" s="43">
        <v>0</v>
      </c>
      <c r="P175" s="43">
        <v>0</v>
      </c>
      <c r="Q175" s="43">
        <v>0</v>
      </c>
      <c r="R175" s="43">
        <v>0</v>
      </c>
      <c r="S175" s="43">
        <v>0</v>
      </c>
      <c r="T175" s="43">
        <v>0</v>
      </c>
      <c r="U175" s="43">
        <v>0</v>
      </c>
      <c r="V175" s="43">
        <v>0</v>
      </c>
      <c r="W175" s="43" t="s">
        <v>1057</v>
      </c>
      <c r="X175" s="43" t="s">
        <v>1653</v>
      </c>
      <c r="Y175" s="43">
        <v>0</v>
      </c>
      <c r="Z175" s="43">
        <v>0</v>
      </c>
      <c r="AA175" s="43">
        <v>2007</v>
      </c>
      <c r="AB175" s="43">
        <v>9999</v>
      </c>
      <c r="AC175" s="43" t="s">
        <v>35</v>
      </c>
    </row>
    <row r="176" spans="1:29" x14ac:dyDescent="0.25">
      <c r="A176" s="43" t="s">
        <v>577</v>
      </c>
      <c r="B176" s="39" t="s">
        <v>578</v>
      </c>
      <c r="C176" s="43"/>
      <c r="D176" s="43">
        <v>1</v>
      </c>
      <c r="E176" s="56" t="s">
        <v>396</v>
      </c>
      <c r="F176" s="43">
        <v>3</v>
      </c>
      <c r="G176" s="43">
        <v>2026</v>
      </c>
      <c r="H176" s="43" t="s">
        <v>579</v>
      </c>
      <c r="I176" s="43">
        <v>0.2</v>
      </c>
      <c r="J176" s="43" t="s">
        <v>121</v>
      </c>
      <c r="K176" s="43" t="s">
        <v>41</v>
      </c>
      <c r="M176" s="43">
        <v>0</v>
      </c>
      <c r="N176" s="43">
        <v>0</v>
      </c>
      <c r="O176" s="43">
        <v>0</v>
      </c>
      <c r="P176" s="43">
        <v>0</v>
      </c>
      <c r="Q176" s="43">
        <v>0</v>
      </c>
      <c r="R176" s="43">
        <v>0</v>
      </c>
      <c r="S176" s="43">
        <v>0</v>
      </c>
      <c r="T176" s="43">
        <v>0</v>
      </c>
      <c r="U176" s="43">
        <v>0</v>
      </c>
      <c r="V176" s="43">
        <v>0</v>
      </c>
      <c r="W176" s="43" t="s">
        <v>1132</v>
      </c>
      <c r="X176" s="43" t="s">
        <v>1743</v>
      </c>
      <c r="Y176" s="43">
        <v>0</v>
      </c>
      <c r="Z176" s="43">
        <v>0</v>
      </c>
      <c r="AA176" s="43">
        <v>2007</v>
      </c>
      <c r="AB176" s="43">
        <v>9999</v>
      </c>
      <c r="AC176" s="43" t="s">
        <v>35</v>
      </c>
    </row>
    <row r="177" spans="1:29" x14ac:dyDescent="0.25">
      <c r="A177" s="43" t="s">
        <v>702</v>
      </c>
      <c r="B177" s="39" t="s">
        <v>703</v>
      </c>
      <c r="C177" s="43"/>
      <c r="D177" s="43">
        <v>1</v>
      </c>
      <c r="E177" s="56" t="s">
        <v>155</v>
      </c>
      <c r="F177" s="43">
        <v>3</v>
      </c>
      <c r="G177" s="43">
        <v>2026</v>
      </c>
      <c r="H177" s="43" t="s">
        <v>704</v>
      </c>
      <c r="I177" s="43">
        <v>1.7</v>
      </c>
      <c r="J177" s="43" t="s">
        <v>121</v>
      </c>
      <c r="K177" s="43" t="s">
        <v>41</v>
      </c>
      <c r="M177" s="43">
        <v>0</v>
      </c>
      <c r="N177" s="43">
        <v>0</v>
      </c>
      <c r="O177" s="43">
        <v>0</v>
      </c>
      <c r="P177" s="43">
        <v>0</v>
      </c>
      <c r="Q177" s="43">
        <v>0</v>
      </c>
      <c r="R177" s="43">
        <v>0</v>
      </c>
      <c r="S177" s="43">
        <v>0</v>
      </c>
      <c r="T177" s="43">
        <v>0</v>
      </c>
      <c r="U177" s="43">
        <v>0</v>
      </c>
      <c r="V177" s="43">
        <v>1</v>
      </c>
      <c r="W177" s="43" t="s">
        <v>1158</v>
      </c>
      <c r="X177" s="43" t="s">
        <v>1764</v>
      </c>
      <c r="Y177" s="43">
        <v>0</v>
      </c>
      <c r="Z177" s="43">
        <v>0</v>
      </c>
      <c r="AA177" s="43">
        <v>2007</v>
      </c>
      <c r="AB177" s="43">
        <v>9999</v>
      </c>
      <c r="AC177" s="43" t="s">
        <v>35</v>
      </c>
    </row>
    <row r="178" spans="1:29" x14ac:dyDescent="0.25">
      <c r="A178" s="43"/>
      <c r="B178" s="39" t="s">
        <v>1026</v>
      </c>
      <c r="C178" s="43"/>
      <c r="D178" s="43">
        <v>24</v>
      </c>
      <c r="E178" s="56"/>
      <c r="F178" s="43">
        <v>3</v>
      </c>
      <c r="G178" s="43">
        <v>2026</v>
      </c>
      <c r="H178" s="43" t="s">
        <v>392</v>
      </c>
      <c r="I178" s="43">
        <v>10.14</v>
      </c>
      <c r="J178" s="43" t="s">
        <v>121</v>
      </c>
      <c r="K178" s="43" t="s">
        <v>41</v>
      </c>
      <c r="M178" s="43">
        <v>0</v>
      </c>
      <c r="N178" s="43">
        <v>0</v>
      </c>
      <c r="O178" s="43">
        <v>0</v>
      </c>
      <c r="P178" s="43">
        <v>0</v>
      </c>
      <c r="Q178" s="43">
        <v>0</v>
      </c>
      <c r="R178" s="43">
        <v>0</v>
      </c>
      <c r="S178" s="43">
        <v>0</v>
      </c>
      <c r="T178" s="43">
        <v>0</v>
      </c>
      <c r="U178" s="43">
        <v>0</v>
      </c>
      <c r="V178" s="43">
        <v>0</v>
      </c>
      <c r="W178" s="43" t="s">
        <v>1232</v>
      </c>
      <c r="X178" s="43" t="s">
        <v>2043</v>
      </c>
      <c r="Y178" s="43">
        <v>0</v>
      </c>
      <c r="Z178" s="43">
        <v>0</v>
      </c>
      <c r="AA178" s="43">
        <v>2007</v>
      </c>
      <c r="AB178" s="43">
        <v>9999</v>
      </c>
      <c r="AC178" s="43" t="s">
        <v>35</v>
      </c>
    </row>
    <row r="179" spans="1:29" x14ac:dyDescent="0.25">
      <c r="A179" s="43" t="s">
        <v>423</v>
      </c>
      <c r="B179" s="39" t="s">
        <v>424</v>
      </c>
      <c r="C179" s="43"/>
      <c r="D179" s="43">
        <v>1</v>
      </c>
      <c r="E179" s="56" t="s">
        <v>85</v>
      </c>
      <c r="F179" s="43">
        <v>1</v>
      </c>
      <c r="G179" s="43">
        <v>2026</v>
      </c>
      <c r="H179" s="43" t="s">
        <v>303</v>
      </c>
      <c r="I179" s="43">
        <v>20.3</v>
      </c>
      <c r="J179" s="43" t="s">
        <v>121</v>
      </c>
      <c r="K179" s="43" t="s">
        <v>53</v>
      </c>
      <c r="L179" s="43" t="s">
        <v>425</v>
      </c>
      <c r="M179" s="43">
        <v>0</v>
      </c>
      <c r="N179" s="43">
        <v>0</v>
      </c>
      <c r="O179" s="43">
        <v>0</v>
      </c>
      <c r="P179" s="43">
        <v>0</v>
      </c>
      <c r="Q179" s="43">
        <v>0</v>
      </c>
      <c r="R179" s="43">
        <v>0</v>
      </c>
      <c r="S179" s="43">
        <v>0</v>
      </c>
      <c r="T179" s="43">
        <v>0</v>
      </c>
      <c r="U179" s="43">
        <v>0</v>
      </c>
      <c r="V179" s="43">
        <v>0</v>
      </c>
      <c r="W179" s="43" t="s">
        <v>426</v>
      </c>
      <c r="X179" s="43" t="s">
        <v>1709</v>
      </c>
      <c r="Y179" s="43">
        <v>0</v>
      </c>
      <c r="Z179" s="43">
        <v>0</v>
      </c>
      <c r="AA179" s="43">
        <v>2007</v>
      </c>
      <c r="AB179" s="43">
        <v>9999</v>
      </c>
      <c r="AC179" s="43" t="s">
        <v>35</v>
      </c>
    </row>
    <row r="180" spans="1:29" x14ac:dyDescent="0.25">
      <c r="A180" s="43" t="s">
        <v>153</v>
      </c>
      <c r="B180" s="39" t="s">
        <v>1357</v>
      </c>
      <c r="C180" s="43"/>
      <c r="D180" s="43">
        <v>1</v>
      </c>
      <c r="E180" s="56" t="s">
        <v>155</v>
      </c>
      <c r="F180" s="43">
        <v>3</v>
      </c>
      <c r="G180" s="43">
        <v>2026</v>
      </c>
      <c r="H180" s="43"/>
      <c r="I180" s="43">
        <v>78.3</v>
      </c>
      <c r="J180" s="43" t="s">
        <v>121</v>
      </c>
      <c r="K180" s="43" t="s">
        <v>53</v>
      </c>
      <c r="L180" s="43" t="s">
        <v>60</v>
      </c>
      <c r="M180" s="43">
        <v>0</v>
      </c>
      <c r="N180" s="43">
        <v>0</v>
      </c>
      <c r="O180" s="43">
        <v>1</v>
      </c>
      <c r="P180" s="43">
        <v>0</v>
      </c>
      <c r="Q180" s="43">
        <v>0</v>
      </c>
      <c r="R180" s="43">
        <v>0</v>
      </c>
      <c r="S180" s="43">
        <v>1</v>
      </c>
      <c r="T180" s="43">
        <v>0</v>
      </c>
      <c r="U180" s="43">
        <v>0</v>
      </c>
      <c r="V180" s="43">
        <v>1</v>
      </c>
      <c r="W180" s="43" t="s">
        <v>645</v>
      </c>
      <c r="X180" s="43" t="s">
        <v>1681</v>
      </c>
      <c r="Y180" s="43">
        <v>0</v>
      </c>
      <c r="Z180" s="43">
        <v>0</v>
      </c>
      <c r="AA180" s="43">
        <v>2007</v>
      </c>
      <c r="AB180" s="43">
        <v>9999</v>
      </c>
      <c r="AC180" s="43" t="s">
        <v>35</v>
      </c>
    </row>
    <row r="181" spans="1:29" x14ac:dyDescent="0.25">
      <c r="A181" s="43" t="s">
        <v>153</v>
      </c>
      <c r="B181" s="39" t="s">
        <v>272</v>
      </c>
      <c r="C181" s="43"/>
      <c r="D181" s="43">
        <v>8</v>
      </c>
      <c r="E181" s="56" t="s">
        <v>155</v>
      </c>
      <c r="F181" s="43">
        <v>3</v>
      </c>
      <c r="G181" s="43">
        <v>2026</v>
      </c>
      <c r="H181" s="43"/>
      <c r="I181" s="43">
        <v>91.57</v>
      </c>
      <c r="J181" s="43" t="s">
        <v>121</v>
      </c>
      <c r="K181" s="43" t="s">
        <v>41</v>
      </c>
      <c r="L181" s="43" t="s">
        <v>60</v>
      </c>
      <c r="M181" s="43">
        <v>0</v>
      </c>
      <c r="N181" s="43">
        <v>0</v>
      </c>
      <c r="O181" s="43">
        <v>1</v>
      </c>
      <c r="P181" s="43">
        <v>0</v>
      </c>
      <c r="Q181" s="43">
        <v>0</v>
      </c>
      <c r="R181" s="43">
        <v>0</v>
      </c>
      <c r="S181" s="43">
        <v>0</v>
      </c>
      <c r="T181" s="43">
        <v>0</v>
      </c>
      <c r="U181" s="43">
        <v>0</v>
      </c>
      <c r="V181" s="43">
        <v>1</v>
      </c>
      <c r="W181" s="43" t="s">
        <v>273</v>
      </c>
      <c r="X181" s="43" t="s">
        <v>1677</v>
      </c>
      <c r="Y181" s="43">
        <v>0</v>
      </c>
      <c r="Z181" s="43">
        <v>0</v>
      </c>
      <c r="AA181" s="43">
        <v>2007</v>
      </c>
      <c r="AB181" s="43">
        <v>9999</v>
      </c>
      <c r="AC181" s="43" t="s">
        <v>35</v>
      </c>
    </row>
    <row r="182" spans="1:29" x14ac:dyDescent="0.25">
      <c r="A182" s="43" t="s">
        <v>153</v>
      </c>
      <c r="B182" s="39" t="s">
        <v>303</v>
      </c>
      <c r="C182" s="43"/>
      <c r="D182" s="43">
        <v>1</v>
      </c>
      <c r="E182" s="56" t="s">
        <v>155</v>
      </c>
      <c r="F182" s="43">
        <v>3</v>
      </c>
      <c r="G182" s="43">
        <v>2026</v>
      </c>
      <c r="H182" s="43"/>
      <c r="I182" s="43">
        <v>103.37</v>
      </c>
      <c r="J182" s="43" t="s">
        <v>121</v>
      </c>
      <c r="K182" s="43" t="s">
        <v>53</v>
      </c>
      <c r="L182" s="43" t="s">
        <v>60</v>
      </c>
      <c r="M182" s="43">
        <v>0</v>
      </c>
      <c r="N182" s="43">
        <v>0</v>
      </c>
      <c r="O182" s="43">
        <v>1</v>
      </c>
      <c r="P182" s="43">
        <v>0</v>
      </c>
      <c r="Q182" s="43">
        <v>0</v>
      </c>
      <c r="R182" s="43">
        <v>0</v>
      </c>
      <c r="S182" s="43">
        <v>1</v>
      </c>
      <c r="T182" s="43">
        <v>0</v>
      </c>
      <c r="U182" s="43">
        <v>0</v>
      </c>
      <c r="V182" s="43">
        <v>1</v>
      </c>
      <c r="W182" s="43" t="s">
        <v>304</v>
      </c>
      <c r="X182" s="43" t="s">
        <v>1963</v>
      </c>
      <c r="Y182" s="43">
        <v>0</v>
      </c>
      <c r="Z182" s="43">
        <v>0</v>
      </c>
      <c r="AA182" s="43">
        <v>2007</v>
      </c>
      <c r="AB182" s="43">
        <v>9999</v>
      </c>
      <c r="AC182" s="43" t="s">
        <v>35</v>
      </c>
    </row>
    <row r="183" spans="1:29" x14ac:dyDescent="0.25">
      <c r="A183" s="43" t="s">
        <v>698</v>
      </c>
      <c r="B183" s="39" t="s">
        <v>699</v>
      </c>
      <c r="C183" s="43"/>
      <c r="D183" s="43">
        <v>1</v>
      </c>
      <c r="E183" s="56" t="s">
        <v>155</v>
      </c>
      <c r="F183" s="43">
        <v>3</v>
      </c>
      <c r="G183" s="43">
        <v>2026</v>
      </c>
      <c r="H183" s="43" t="s">
        <v>700</v>
      </c>
      <c r="I183" s="43">
        <v>4.83</v>
      </c>
      <c r="J183" s="43" t="s">
        <v>121</v>
      </c>
      <c r="K183" s="43" t="s">
        <v>47</v>
      </c>
      <c r="M183" s="43">
        <v>0</v>
      </c>
      <c r="N183" s="43">
        <v>0</v>
      </c>
      <c r="O183" s="43">
        <v>0</v>
      </c>
      <c r="P183" s="43">
        <v>0</v>
      </c>
      <c r="Q183" s="43">
        <v>0</v>
      </c>
      <c r="R183" s="43">
        <v>0</v>
      </c>
      <c r="S183" s="43">
        <v>1</v>
      </c>
      <c r="T183" s="43">
        <v>0</v>
      </c>
      <c r="U183" s="43">
        <v>0</v>
      </c>
      <c r="V183" s="43">
        <v>1</v>
      </c>
      <c r="W183" s="43" t="s">
        <v>1157</v>
      </c>
      <c r="X183" s="43" t="s">
        <v>1763</v>
      </c>
      <c r="Y183" s="43">
        <v>0</v>
      </c>
      <c r="Z183" s="43">
        <v>0</v>
      </c>
      <c r="AA183" s="43">
        <v>2007</v>
      </c>
      <c r="AB183" s="43">
        <v>9999</v>
      </c>
      <c r="AC183" s="43" t="s">
        <v>35</v>
      </c>
    </row>
    <row r="184" spans="1:29" x14ac:dyDescent="0.25">
      <c r="A184" s="43" t="s">
        <v>667</v>
      </c>
      <c r="B184" s="39" t="s">
        <v>1527</v>
      </c>
      <c r="C184" s="43"/>
      <c r="D184" s="43">
        <v>1</v>
      </c>
      <c r="E184" s="56" t="s">
        <v>45</v>
      </c>
      <c r="F184" s="43">
        <v>4</v>
      </c>
      <c r="G184" s="43">
        <v>2026</v>
      </c>
      <c r="H184" s="43"/>
      <c r="I184" s="43">
        <v>21.4</v>
      </c>
      <c r="J184" s="43" t="s">
        <v>121</v>
      </c>
      <c r="K184" s="43" t="s">
        <v>47</v>
      </c>
      <c r="M184" s="43">
        <v>0</v>
      </c>
      <c r="N184" s="43">
        <v>0</v>
      </c>
      <c r="O184" s="43">
        <v>0</v>
      </c>
      <c r="P184" s="43">
        <v>0</v>
      </c>
      <c r="Q184" s="43">
        <v>0</v>
      </c>
      <c r="R184" s="43">
        <v>0</v>
      </c>
      <c r="S184" s="43">
        <v>1</v>
      </c>
      <c r="T184" s="43">
        <v>1</v>
      </c>
      <c r="U184" s="43">
        <v>1</v>
      </c>
      <c r="V184" s="43">
        <v>0</v>
      </c>
      <c r="W184" s="43" t="s">
        <v>1149</v>
      </c>
      <c r="X184" s="43" t="s">
        <v>1756</v>
      </c>
      <c r="Y184" s="43">
        <v>1</v>
      </c>
      <c r="Z184" s="43">
        <v>0</v>
      </c>
      <c r="AA184" s="43">
        <v>2007</v>
      </c>
      <c r="AB184" s="43">
        <v>9999</v>
      </c>
      <c r="AC184" s="43" t="s">
        <v>35</v>
      </c>
    </row>
    <row r="185" spans="1:29" x14ac:dyDescent="0.25">
      <c r="A185" s="43" t="s">
        <v>346</v>
      </c>
      <c r="B185" s="39" t="s">
        <v>347</v>
      </c>
      <c r="C185" s="43"/>
      <c r="D185" s="43">
        <v>1</v>
      </c>
      <c r="E185" s="56" t="s">
        <v>348</v>
      </c>
      <c r="F185" s="43">
        <v>1</v>
      </c>
      <c r="G185" s="43">
        <v>2026</v>
      </c>
      <c r="H185" s="43"/>
      <c r="I185" s="43">
        <v>54.2</v>
      </c>
      <c r="J185" s="43" t="s">
        <v>121</v>
      </c>
      <c r="K185" s="43" t="s">
        <v>47</v>
      </c>
      <c r="M185" s="43">
        <v>0</v>
      </c>
      <c r="N185" s="43">
        <v>0</v>
      </c>
      <c r="O185" s="43">
        <v>0</v>
      </c>
      <c r="P185" s="43">
        <v>0</v>
      </c>
      <c r="Q185" s="43">
        <v>0</v>
      </c>
      <c r="R185" s="43">
        <v>0</v>
      </c>
      <c r="S185" s="43">
        <v>1</v>
      </c>
      <c r="T185" s="43">
        <v>1</v>
      </c>
      <c r="U185" s="43">
        <v>1</v>
      </c>
      <c r="V185" s="43">
        <v>0</v>
      </c>
      <c r="W185" s="43" t="s">
        <v>349</v>
      </c>
      <c r="X185" s="43" t="s">
        <v>1969</v>
      </c>
      <c r="Y185" s="43">
        <v>0</v>
      </c>
      <c r="Z185" s="43">
        <v>0</v>
      </c>
      <c r="AA185" s="43">
        <v>2007</v>
      </c>
      <c r="AB185" s="43">
        <v>9999</v>
      </c>
      <c r="AC185" s="43" t="s">
        <v>35</v>
      </c>
    </row>
    <row r="186" spans="1:29" x14ac:dyDescent="0.25">
      <c r="A186" s="43" t="s">
        <v>123</v>
      </c>
      <c r="B186" s="39" t="s">
        <v>124</v>
      </c>
      <c r="C186" s="43"/>
      <c r="D186" s="43">
        <v>1</v>
      </c>
      <c r="E186" s="56" t="s">
        <v>120</v>
      </c>
      <c r="F186" s="43">
        <v>3</v>
      </c>
      <c r="G186" s="43">
        <v>2026</v>
      </c>
      <c r="H186" s="43"/>
      <c r="I186" s="43">
        <v>72.5</v>
      </c>
      <c r="J186" s="43" t="s">
        <v>121</v>
      </c>
      <c r="K186" s="43" t="s">
        <v>47</v>
      </c>
      <c r="M186" s="43">
        <v>0</v>
      </c>
      <c r="N186" s="43">
        <v>0</v>
      </c>
      <c r="O186" s="43">
        <v>0</v>
      </c>
      <c r="P186" s="43">
        <v>0</v>
      </c>
      <c r="Q186" s="43">
        <v>0</v>
      </c>
      <c r="R186" s="43">
        <v>0</v>
      </c>
      <c r="S186" s="43">
        <v>1</v>
      </c>
      <c r="T186" s="43">
        <v>1</v>
      </c>
      <c r="U186" s="43">
        <v>1</v>
      </c>
      <c r="V186" s="43">
        <v>0</v>
      </c>
      <c r="W186" s="43" t="s">
        <v>1042</v>
      </c>
      <c r="X186" s="43" t="s">
        <v>1944</v>
      </c>
      <c r="Y186" s="43">
        <v>2</v>
      </c>
      <c r="Z186" s="43">
        <v>0</v>
      </c>
      <c r="AA186" s="43">
        <v>2007</v>
      </c>
      <c r="AB186" s="43">
        <v>9999</v>
      </c>
      <c r="AC186" s="43" t="s">
        <v>35</v>
      </c>
    </row>
    <row r="187" spans="1:29" x14ac:dyDescent="0.25">
      <c r="A187" s="43" t="s">
        <v>153</v>
      </c>
      <c r="B187" s="39" t="s">
        <v>154</v>
      </c>
      <c r="C187" s="43"/>
      <c r="D187" s="43">
        <v>1</v>
      </c>
      <c r="E187" s="56" t="s">
        <v>155</v>
      </c>
      <c r="F187" s="43">
        <v>3</v>
      </c>
      <c r="G187" s="43">
        <v>2026</v>
      </c>
      <c r="H187" s="43"/>
      <c r="I187" s="43">
        <v>412.2</v>
      </c>
      <c r="J187" s="43" t="s">
        <v>121</v>
      </c>
      <c r="K187" s="43" t="s">
        <v>47</v>
      </c>
      <c r="M187" s="43">
        <v>1</v>
      </c>
      <c r="N187" s="43">
        <v>0</v>
      </c>
      <c r="O187" s="43">
        <v>0</v>
      </c>
      <c r="P187" s="43">
        <v>0</v>
      </c>
      <c r="Q187" s="43">
        <v>0</v>
      </c>
      <c r="R187" s="43">
        <v>0</v>
      </c>
      <c r="S187" s="43">
        <v>1</v>
      </c>
      <c r="T187" s="43">
        <v>1</v>
      </c>
      <c r="U187" s="43">
        <v>1</v>
      </c>
      <c r="V187" s="43">
        <v>1</v>
      </c>
      <c r="W187" s="43" t="s">
        <v>1047</v>
      </c>
      <c r="X187" s="43" t="s">
        <v>1946</v>
      </c>
      <c r="Y187" s="43">
        <v>0</v>
      </c>
      <c r="Z187" s="43">
        <v>0</v>
      </c>
      <c r="AA187" s="43">
        <v>2007</v>
      </c>
      <c r="AB187" s="43">
        <v>9999</v>
      </c>
      <c r="AC187" s="43" t="s">
        <v>35</v>
      </c>
    </row>
    <row r="188" spans="1:29" x14ac:dyDescent="0.25">
      <c r="A188" s="43" t="s">
        <v>1008</v>
      </c>
      <c r="B188" s="39" t="s">
        <v>1009</v>
      </c>
      <c r="C188" s="43"/>
      <c r="D188" s="43">
        <v>1</v>
      </c>
      <c r="E188" s="56" t="s">
        <v>155</v>
      </c>
      <c r="F188" s="43">
        <v>3</v>
      </c>
      <c r="G188" s="43">
        <v>2026</v>
      </c>
      <c r="H188" s="43"/>
      <c r="I188" s="43">
        <v>1348.4</v>
      </c>
      <c r="J188" s="43" t="s">
        <v>121</v>
      </c>
      <c r="K188" s="43" t="s">
        <v>47</v>
      </c>
      <c r="M188" s="43">
        <v>1</v>
      </c>
      <c r="N188" s="43">
        <v>0</v>
      </c>
      <c r="O188" s="43">
        <v>0</v>
      </c>
      <c r="P188" s="43">
        <v>0</v>
      </c>
      <c r="Q188" s="43">
        <v>0</v>
      </c>
      <c r="R188" s="43">
        <v>0</v>
      </c>
      <c r="S188" s="43">
        <v>1</v>
      </c>
      <c r="T188" s="43">
        <v>1</v>
      </c>
      <c r="U188" s="43">
        <v>1</v>
      </c>
      <c r="V188" s="43">
        <v>0</v>
      </c>
      <c r="W188" s="43" t="s">
        <v>1519</v>
      </c>
      <c r="X188" s="43" t="s">
        <v>2041</v>
      </c>
      <c r="Y188" s="43">
        <v>0</v>
      </c>
      <c r="Z188" s="43">
        <v>1</v>
      </c>
      <c r="AA188" s="43">
        <v>2007</v>
      </c>
      <c r="AB188" s="43">
        <v>9999</v>
      </c>
      <c r="AC188" s="43" t="s">
        <v>35</v>
      </c>
    </row>
    <row r="189" spans="1:29" x14ac:dyDescent="0.25">
      <c r="A189" s="43" t="s">
        <v>532</v>
      </c>
      <c r="B189" s="39" t="s">
        <v>533</v>
      </c>
      <c r="C189" s="43"/>
      <c r="D189" s="43">
        <v>1</v>
      </c>
      <c r="E189" s="56" t="s">
        <v>534</v>
      </c>
      <c r="F189" s="43">
        <v>10</v>
      </c>
      <c r="G189" s="43">
        <v>2026</v>
      </c>
      <c r="H189" s="43"/>
      <c r="I189" s="43">
        <v>5295.8</v>
      </c>
      <c r="J189" s="43" t="s">
        <v>121</v>
      </c>
      <c r="K189" s="43" t="s">
        <v>47</v>
      </c>
      <c r="M189" s="43">
        <v>1</v>
      </c>
      <c r="N189" s="43">
        <v>1</v>
      </c>
      <c r="O189" s="43">
        <v>0</v>
      </c>
      <c r="P189" s="43">
        <v>0</v>
      </c>
      <c r="Q189" s="43">
        <v>0</v>
      </c>
      <c r="R189" s="43">
        <v>0</v>
      </c>
      <c r="S189" s="43">
        <v>1</v>
      </c>
      <c r="T189" s="43">
        <v>1</v>
      </c>
      <c r="U189" s="43">
        <v>1</v>
      </c>
      <c r="V189" s="43">
        <v>0</v>
      </c>
      <c r="W189" s="43" t="s">
        <v>1575</v>
      </c>
      <c r="X189" s="43" t="s">
        <v>2001</v>
      </c>
      <c r="Y189" s="43">
        <v>0</v>
      </c>
      <c r="Z189" s="43">
        <v>1</v>
      </c>
      <c r="AA189" s="43">
        <v>2007</v>
      </c>
      <c r="AB189" s="43">
        <v>9999</v>
      </c>
      <c r="AC189" s="43" t="s">
        <v>35</v>
      </c>
    </row>
    <row r="190" spans="1:29" x14ac:dyDescent="0.25">
      <c r="A190" s="43" t="s">
        <v>391</v>
      </c>
      <c r="B190" s="39" t="s">
        <v>392</v>
      </c>
      <c r="C190" s="43"/>
      <c r="D190" s="43">
        <v>1</v>
      </c>
      <c r="E190" s="56" t="s">
        <v>393</v>
      </c>
      <c r="F190" s="43">
        <v>3</v>
      </c>
      <c r="G190" s="43">
        <v>2026</v>
      </c>
      <c r="H190" s="43"/>
      <c r="I190" s="43">
        <v>18465.8</v>
      </c>
      <c r="J190" s="43" t="s">
        <v>121</v>
      </c>
      <c r="K190" s="43" t="s">
        <v>47</v>
      </c>
      <c r="M190" s="43">
        <v>1</v>
      </c>
      <c r="N190" s="43">
        <v>1</v>
      </c>
      <c r="O190" s="43">
        <v>0</v>
      </c>
      <c r="P190" s="43">
        <v>0</v>
      </c>
      <c r="Q190" s="43">
        <v>0</v>
      </c>
      <c r="R190" s="43">
        <v>0</v>
      </c>
      <c r="S190" s="43">
        <v>1</v>
      </c>
      <c r="T190" s="43">
        <v>1</v>
      </c>
      <c r="U190" s="43">
        <v>1</v>
      </c>
      <c r="V190" s="43">
        <v>0</v>
      </c>
      <c r="W190" s="43" t="s">
        <v>1703</v>
      </c>
      <c r="X190" s="43" t="s">
        <v>1704</v>
      </c>
      <c r="Y190" s="43">
        <v>0</v>
      </c>
      <c r="Z190" s="43">
        <v>0</v>
      </c>
      <c r="AA190" s="43">
        <v>2007</v>
      </c>
      <c r="AB190" s="43">
        <v>9999</v>
      </c>
      <c r="AC190" s="43" t="s">
        <v>35</v>
      </c>
    </row>
    <row r="191" spans="1:29" x14ac:dyDescent="0.25">
      <c r="A191" s="43" t="s">
        <v>472</v>
      </c>
      <c r="B191" s="39" t="s">
        <v>1490</v>
      </c>
      <c r="C191" s="43"/>
      <c r="D191" s="43">
        <v>1</v>
      </c>
      <c r="E191" s="56" t="s">
        <v>681</v>
      </c>
      <c r="F191" s="43">
        <v>3</v>
      </c>
      <c r="G191" s="43">
        <v>2026</v>
      </c>
      <c r="H191" s="43"/>
      <c r="I191" s="43">
        <v>34752.6</v>
      </c>
      <c r="J191" s="43" t="s">
        <v>121</v>
      </c>
      <c r="K191" s="43" t="s">
        <v>47</v>
      </c>
      <c r="M191" s="43">
        <v>1</v>
      </c>
      <c r="N191" s="43">
        <v>0</v>
      </c>
      <c r="O191" s="43">
        <v>0</v>
      </c>
      <c r="P191" s="43">
        <v>0</v>
      </c>
      <c r="Q191" s="43">
        <v>0</v>
      </c>
      <c r="R191" s="43">
        <v>0</v>
      </c>
      <c r="S191" s="43">
        <v>1</v>
      </c>
      <c r="T191" s="43">
        <v>1</v>
      </c>
      <c r="U191" s="43">
        <v>1</v>
      </c>
      <c r="V191" s="43">
        <v>0</v>
      </c>
      <c r="W191" s="43" t="s">
        <v>1619</v>
      </c>
      <c r="X191" s="43" t="s">
        <v>2012</v>
      </c>
      <c r="Y191" s="43">
        <v>0</v>
      </c>
      <c r="Z191" s="43">
        <v>9</v>
      </c>
      <c r="AA191" s="43">
        <v>2007</v>
      </c>
      <c r="AB191" s="43">
        <v>9999</v>
      </c>
      <c r="AC191" s="43" t="s">
        <v>35</v>
      </c>
    </row>
    <row r="192" spans="1:29" x14ac:dyDescent="0.25">
      <c r="A192" s="43" t="s">
        <v>153</v>
      </c>
      <c r="B192" s="39" t="s">
        <v>270</v>
      </c>
      <c r="C192" s="43"/>
      <c r="D192" s="43">
        <v>6</v>
      </c>
      <c r="E192" s="56" t="s">
        <v>155</v>
      </c>
      <c r="F192" s="43">
        <v>3</v>
      </c>
      <c r="G192" s="43">
        <v>2026</v>
      </c>
      <c r="H192" s="43"/>
      <c r="I192" s="43">
        <v>864.49</v>
      </c>
      <c r="J192" s="43" t="s">
        <v>121</v>
      </c>
      <c r="K192" s="43" t="s">
        <v>53</v>
      </c>
      <c r="L192" s="43" t="s">
        <v>60</v>
      </c>
      <c r="M192" s="43">
        <v>0</v>
      </c>
      <c r="N192" s="43">
        <v>0</v>
      </c>
      <c r="O192" s="43">
        <v>1</v>
      </c>
      <c r="P192" s="43">
        <v>0</v>
      </c>
      <c r="Q192" s="43">
        <v>0</v>
      </c>
      <c r="R192" s="43">
        <v>0</v>
      </c>
      <c r="S192" s="43">
        <v>1</v>
      </c>
      <c r="T192" s="43">
        <v>0</v>
      </c>
      <c r="U192" s="43">
        <v>0</v>
      </c>
      <c r="V192" s="43">
        <v>1</v>
      </c>
      <c r="W192" s="43" t="s">
        <v>271</v>
      </c>
      <c r="X192" s="43" t="s">
        <v>1961</v>
      </c>
      <c r="Y192" s="43">
        <v>0</v>
      </c>
      <c r="Z192" s="43">
        <v>0</v>
      </c>
      <c r="AA192" s="43">
        <v>2007</v>
      </c>
      <c r="AB192" s="43">
        <v>9999</v>
      </c>
      <c r="AC192" s="43" t="s">
        <v>35</v>
      </c>
    </row>
    <row r="193" spans="1:29" x14ac:dyDescent="0.25">
      <c r="A193" s="43" t="s">
        <v>153</v>
      </c>
      <c r="B193" s="39" t="s">
        <v>1356</v>
      </c>
      <c r="C193" s="43"/>
      <c r="D193" s="43">
        <v>12</v>
      </c>
      <c r="E193" s="56" t="s">
        <v>155</v>
      </c>
      <c r="F193" s="43">
        <v>3</v>
      </c>
      <c r="G193" s="43">
        <v>2026</v>
      </c>
      <c r="H193" s="43"/>
      <c r="I193" s="43">
        <v>1344.89</v>
      </c>
      <c r="J193" s="43" t="s">
        <v>121</v>
      </c>
      <c r="K193" s="43" t="s">
        <v>53</v>
      </c>
      <c r="L193" s="43" t="s">
        <v>60</v>
      </c>
      <c r="M193" s="43">
        <v>0</v>
      </c>
      <c r="N193" s="43">
        <v>0</v>
      </c>
      <c r="O193" s="43">
        <v>1</v>
      </c>
      <c r="P193" s="43">
        <v>0</v>
      </c>
      <c r="Q193" s="43">
        <v>0</v>
      </c>
      <c r="R193" s="43">
        <v>0</v>
      </c>
      <c r="S193" s="43">
        <v>1</v>
      </c>
      <c r="T193" s="43">
        <v>0</v>
      </c>
      <c r="U193" s="43">
        <v>0</v>
      </c>
      <c r="V193" s="43">
        <v>1</v>
      </c>
      <c r="W193" s="43" t="s">
        <v>477</v>
      </c>
      <c r="X193" s="43" t="s">
        <v>1958</v>
      </c>
      <c r="Y193" s="43">
        <v>0</v>
      </c>
      <c r="Z193" s="43">
        <v>0</v>
      </c>
      <c r="AA193" s="43">
        <v>2007</v>
      </c>
      <c r="AB193" s="43">
        <v>9999</v>
      </c>
      <c r="AC193" s="43" t="s">
        <v>35</v>
      </c>
    </row>
    <row r="194" spans="1:29" x14ac:dyDescent="0.25">
      <c r="A194" s="43" t="s">
        <v>1509</v>
      </c>
      <c r="B194" s="39" t="s">
        <v>946</v>
      </c>
      <c r="C194" s="43"/>
      <c r="D194" s="43">
        <v>48</v>
      </c>
      <c r="E194" s="56" t="s">
        <v>155</v>
      </c>
      <c r="F194" s="43">
        <v>3</v>
      </c>
      <c r="G194" s="43">
        <v>2026</v>
      </c>
      <c r="H194" s="43"/>
      <c r="I194" s="43">
        <v>3227.76</v>
      </c>
      <c r="J194" s="43" t="s">
        <v>121</v>
      </c>
      <c r="K194" s="43" t="s">
        <v>53</v>
      </c>
      <c r="L194" s="43" t="s">
        <v>60</v>
      </c>
      <c r="M194" s="43">
        <v>0</v>
      </c>
      <c r="N194" s="43">
        <v>0</v>
      </c>
      <c r="O194" s="43">
        <v>1</v>
      </c>
      <c r="P194" s="43">
        <v>0</v>
      </c>
      <c r="Q194" s="43">
        <v>0</v>
      </c>
      <c r="R194" s="43">
        <v>0</v>
      </c>
      <c r="S194" s="43">
        <v>1</v>
      </c>
      <c r="T194" s="43">
        <v>0</v>
      </c>
      <c r="U194" s="43">
        <v>0</v>
      </c>
      <c r="V194" s="43">
        <v>1</v>
      </c>
      <c r="W194" s="43" t="s">
        <v>947</v>
      </c>
      <c r="X194" s="43" t="s">
        <v>2037</v>
      </c>
      <c r="Y194" s="43">
        <v>0</v>
      </c>
      <c r="Z194" s="43">
        <v>0</v>
      </c>
      <c r="AA194" s="43">
        <v>2007</v>
      </c>
      <c r="AB194" s="43">
        <v>9999</v>
      </c>
      <c r="AC194" s="43" t="s">
        <v>35</v>
      </c>
    </row>
    <row r="195" spans="1:29" x14ac:dyDescent="0.25">
      <c r="A195" s="43" t="s">
        <v>601</v>
      </c>
      <c r="B195" s="39" t="s">
        <v>602</v>
      </c>
      <c r="C195" s="43"/>
      <c r="D195" s="43">
        <v>1</v>
      </c>
      <c r="E195" s="56" t="s">
        <v>145</v>
      </c>
      <c r="F195" s="43">
        <v>2</v>
      </c>
      <c r="G195" s="43">
        <v>2026</v>
      </c>
      <c r="H195" s="43" t="s">
        <v>1618</v>
      </c>
      <c r="I195" s="43">
        <v>2.5000000000000001E-2</v>
      </c>
      <c r="J195" s="43" t="s">
        <v>1610</v>
      </c>
      <c r="K195" s="43" t="s">
        <v>41</v>
      </c>
      <c r="M195" s="43">
        <v>0</v>
      </c>
      <c r="N195" s="43">
        <v>0</v>
      </c>
      <c r="O195" s="43">
        <v>0</v>
      </c>
      <c r="P195" s="43">
        <v>0</v>
      </c>
      <c r="Q195" s="43">
        <v>0</v>
      </c>
      <c r="R195" s="43">
        <v>0</v>
      </c>
      <c r="S195" s="43">
        <v>0</v>
      </c>
      <c r="T195" s="43">
        <v>0</v>
      </c>
      <c r="U195" s="43">
        <v>0</v>
      </c>
      <c r="V195" s="43">
        <v>0</v>
      </c>
      <c r="W195" s="43" t="s">
        <v>1137</v>
      </c>
      <c r="X195" s="43" t="s">
        <v>1748</v>
      </c>
      <c r="Y195" s="43">
        <v>0</v>
      </c>
      <c r="Z195" s="43">
        <v>0</v>
      </c>
      <c r="AA195" s="43">
        <v>2007</v>
      </c>
      <c r="AB195" s="43">
        <v>9999</v>
      </c>
      <c r="AC195" s="43" t="s">
        <v>35</v>
      </c>
    </row>
    <row r="196" spans="1:29" x14ac:dyDescent="0.25">
      <c r="A196" s="43">
        <v>2021006735</v>
      </c>
      <c r="B196" s="39" t="s">
        <v>1869</v>
      </c>
      <c r="C196" s="43"/>
      <c r="D196" s="43">
        <v>1</v>
      </c>
      <c r="E196" s="56" t="s">
        <v>38</v>
      </c>
      <c r="F196" s="43">
        <v>4</v>
      </c>
      <c r="G196" s="43">
        <v>2026</v>
      </c>
      <c r="H196" s="43"/>
      <c r="I196" s="43">
        <v>0.1</v>
      </c>
      <c r="J196" s="43" t="s">
        <v>1610</v>
      </c>
      <c r="K196" s="43" t="s">
        <v>41</v>
      </c>
      <c r="M196" s="43">
        <v>0</v>
      </c>
      <c r="N196" s="43">
        <v>0</v>
      </c>
      <c r="O196" s="43">
        <v>0</v>
      </c>
      <c r="P196" s="43">
        <v>0</v>
      </c>
      <c r="Q196" s="43">
        <v>0</v>
      </c>
      <c r="R196" s="43">
        <v>0</v>
      </c>
      <c r="S196" s="43">
        <v>0</v>
      </c>
      <c r="T196" s="43">
        <v>0</v>
      </c>
      <c r="U196" s="43">
        <v>0</v>
      </c>
      <c r="V196" s="43">
        <v>0</v>
      </c>
      <c r="W196" s="43" t="s">
        <v>1114</v>
      </c>
      <c r="X196" s="43" t="s">
        <v>1712</v>
      </c>
      <c r="Y196" s="43">
        <v>0</v>
      </c>
      <c r="Z196" s="43">
        <v>0</v>
      </c>
      <c r="AA196" s="43">
        <v>2007</v>
      </c>
      <c r="AB196" s="43">
        <v>9999</v>
      </c>
      <c r="AC196" s="43" t="s">
        <v>35</v>
      </c>
    </row>
    <row r="197" spans="1:29" x14ac:dyDescent="0.25">
      <c r="A197" s="43">
        <v>2021006743</v>
      </c>
      <c r="B197" s="39" t="s">
        <v>1870</v>
      </c>
      <c r="C197" s="43"/>
      <c r="D197" s="43">
        <v>1</v>
      </c>
      <c r="E197" s="56" t="s">
        <v>38</v>
      </c>
      <c r="F197" s="43">
        <v>4</v>
      </c>
      <c r="G197" s="43">
        <v>2026</v>
      </c>
      <c r="H197" s="43"/>
      <c r="I197" s="43">
        <v>0.2</v>
      </c>
      <c r="J197" s="43" t="s">
        <v>1610</v>
      </c>
      <c r="K197" s="43" t="s">
        <v>41</v>
      </c>
      <c r="M197" s="43">
        <v>0</v>
      </c>
      <c r="N197" s="43">
        <v>0</v>
      </c>
      <c r="O197" s="43">
        <v>0</v>
      </c>
      <c r="P197" s="43">
        <v>0</v>
      </c>
      <c r="Q197" s="43">
        <v>0</v>
      </c>
      <c r="R197" s="43">
        <v>0</v>
      </c>
      <c r="S197" s="43">
        <v>0</v>
      </c>
      <c r="T197" s="43">
        <v>0</v>
      </c>
      <c r="U197" s="43">
        <v>0</v>
      </c>
      <c r="V197" s="43">
        <v>0</v>
      </c>
      <c r="W197" s="43" t="s">
        <v>1114</v>
      </c>
      <c r="X197" s="43" t="s">
        <v>1712</v>
      </c>
      <c r="Y197" s="43">
        <v>0</v>
      </c>
      <c r="Z197" s="43">
        <v>0</v>
      </c>
      <c r="AA197" s="43">
        <v>2007</v>
      </c>
      <c r="AB197" s="43">
        <v>9999</v>
      </c>
      <c r="AC197" s="43" t="s">
        <v>35</v>
      </c>
    </row>
    <row r="198" spans="1:29" x14ac:dyDescent="0.25">
      <c r="A198" s="43">
        <v>2021006750</v>
      </c>
      <c r="B198" s="39" t="s">
        <v>1871</v>
      </c>
      <c r="C198" s="43"/>
      <c r="D198" s="43">
        <v>1</v>
      </c>
      <c r="E198" s="56" t="s">
        <v>38</v>
      </c>
      <c r="F198" s="43">
        <v>4</v>
      </c>
      <c r="G198" s="43">
        <v>2026</v>
      </c>
      <c r="H198" s="43"/>
      <c r="I198" s="43">
        <v>0.2</v>
      </c>
      <c r="J198" s="43" t="s">
        <v>1610</v>
      </c>
      <c r="K198" s="43" t="s">
        <v>41</v>
      </c>
      <c r="M198" s="43">
        <v>0</v>
      </c>
      <c r="N198" s="43">
        <v>0</v>
      </c>
      <c r="O198" s="43">
        <v>0</v>
      </c>
      <c r="P198" s="43">
        <v>0</v>
      </c>
      <c r="Q198" s="43">
        <v>0</v>
      </c>
      <c r="R198" s="43">
        <v>0</v>
      </c>
      <c r="S198" s="43">
        <v>0</v>
      </c>
      <c r="T198" s="43">
        <v>0</v>
      </c>
      <c r="U198" s="43">
        <v>0</v>
      </c>
      <c r="V198" s="43">
        <v>0</v>
      </c>
      <c r="W198" s="43" t="s">
        <v>1114</v>
      </c>
      <c r="X198" s="43" t="s">
        <v>1712</v>
      </c>
      <c r="Y198" s="43">
        <v>0</v>
      </c>
      <c r="Z198" s="43">
        <v>0</v>
      </c>
      <c r="AA198" s="43">
        <v>2007</v>
      </c>
      <c r="AB198" s="43">
        <v>9999</v>
      </c>
      <c r="AC198" s="43" t="s">
        <v>35</v>
      </c>
    </row>
    <row r="199" spans="1:29" x14ac:dyDescent="0.25">
      <c r="A199" s="43" t="s">
        <v>420</v>
      </c>
      <c r="B199" s="39" t="s">
        <v>421</v>
      </c>
      <c r="C199" s="43"/>
      <c r="D199" s="43">
        <v>1</v>
      </c>
      <c r="E199" s="56" t="s">
        <v>38</v>
      </c>
      <c r="F199" s="43">
        <v>4</v>
      </c>
      <c r="G199" s="43">
        <v>2026</v>
      </c>
      <c r="H199" s="43" t="s">
        <v>39</v>
      </c>
      <c r="I199" s="43">
        <v>5.9</v>
      </c>
      <c r="J199" s="43" t="s">
        <v>1610</v>
      </c>
      <c r="K199" s="43" t="s">
        <v>32</v>
      </c>
      <c r="M199" s="43">
        <v>0</v>
      </c>
      <c r="N199" s="43">
        <v>0</v>
      </c>
      <c r="O199" s="43">
        <v>0</v>
      </c>
      <c r="P199" s="43">
        <v>0</v>
      </c>
      <c r="Q199" s="43">
        <v>0</v>
      </c>
      <c r="R199" s="43">
        <v>0</v>
      </c>
      <c r="S199" s="43">
        <v>0</v>
      </c>
      <c r="T199" s="43">
        <v>1</v>
      </c>
      <c r="U199" s="43">
        <v>0</v>
      </c>
      <c r="V199" s="43">
        <v>0</v>
      </c>
      <c r="W199" s="43" t="s">
        <v>1108</v>
      </c>
      <c r="X199" s="43" t="s">
        <v>1708</v>
      </c>
      <c r="Y199" s="43">
        <v>0</v>
      </c>
      <c r="Z199" s="43">
        <v>0</v>
      </c>
      <c r="AA199" s="43">
        <v>2007</v>
      </c>
      <c r="AB199" s="43">
        <v>9999</v>
      </c>
      <c r="AC199" s="43" t="s">
        <v>35</v>
      </c>
    </row>
    <row r="200" spans="1:29" x14ac:dyDescent="0.25">
      <c r="A200" s="43" t="s">
        <v>170</v>
      </c>
      <c r="B200" s="39" t="s">
        <v>171</v>
      </c>
      <c r="C200" s="43"/>
      <c r="D200" s="43">
        <v>1</v>
      </c>
      <c r="E200" s="56" t="s">
        <v>30</v>
      </c>
      <c r="F200" s="43">
        <v>4</v>
      </c>
      <c r="G200" s="43">
        <v>2026</v>
      </c>
      <c r="H200" s="43"/>
      <c r="I200" s="43">
        <v>52.6</v>
      </c>
      <c r="J200" s="43" t="s">
        <v>1610</v>
      </c>
      <c r="K200" s="43" t="s">
        <v>47</v>
      </c>
      <c r="M200" s="43">
        <v>0</v>
      </c>
      <c r="N200" s="43">
        <v>0</v>
      </c>
      <c r="O200" s="43">
        <v>0</v>
      </c>
      <c r="P200" s="43">
        <v>0</v>
      </c>
      <c r="Q200" s="43">
        <v>0</v>
      </c>
      <c r="R200" s="43">
        <v>0</v>
      </c>
      <c r="S200" s="43">
        <v>1</v>
      </c>
      <c r="T200" s="43">
        <v>1</v>
      </c>
      <c r="U200" s="43">
        <v>1</v>
      </c>
      <c r="V200" s="43">
        <v>0</v>
      </c>
      <c r="W200" s="43" t="s">
        <v>1050</v>
      </c>
      <c r="X200" s="43" t="s">
        <v>1648</v>
      </c>
      <c r="Y200" s="43">
        <v>0</v>
      </c>
      <c r="Z200" s="43">
        <v>1</v>
      </c>
      <c r="AA200" s="43">
        <v>2007</v>
      </c>
      <c r="AB200" s="43">
        <v>9999</v>
      </c>
      <c r="AC200" s="43" t="s">
        <v>35</v>
      </c>
    </row>
    <row r="201" spans="1:29" x14ac:dyDescent="0.25">
      <c r="A201" s="43" t="s">
        <v>782</v>
      </c>
      <c r="B201" s="39" t="s">
        <v>783</v>
      </c>
      <c r="C201" s="43"/>
      <c r="D201" s="43">
        <v>1</v>
      </c>
      <c r="E201" s="56" t="s">
        <v>784</v>
      </c>
      <c r="F201" s="43">
        <v>6</v>
      </c>
      <c r="G201" s="43">
        <v>2026</v>
      </c>
      <c r="H201" s="43"/>
      <c r="I201" s="43">
        <v>92.4</v>
      </c>
      <c r="J201" s="43" t="s">
        <v>1610</v>
      </c>
      <c r="K201" s="43" t="s">
        <v>47</v>
      </c>
      <c r="M201" s="43">
        <v>0</v>
      </c>
      <c r="N201" s="43">
        <v>0</v>
      </c>
      <c r="O201" s="43">
        <v>0</v>
      </c>
      <c r="P201" s="43">
        <v>0</v>
      </c>
      <c r="Q201" s="43">
        <v>0</v>
      </c>
      <c r="R201" s="43">
        <v>0</v>
      </c>
      <c r="S201" s="43">
        <v>1</v>
      </c>
      <c r="T201" s="43">
        <v>1</v>
      </c>
      <c r="U201" s="43">
        <v>1</v>
      </c>
      <c r="V201" s="43">
        <v>0</v>
      </c>
      <c r="W201" s="43" t="s">
        <v>1326</v>
      </c>
      <c r="X201" s="43" t="s">
        <v>2026</v>
      </c>
      <c r="Y201" s="43">
        <v>0</v>
      </c>
      <c r="Z201" s="43">
        <v>2</v>
      </c>
      <c r="AA201" s="43">
        <v>2007</v>
      </c>
      <c r="AB201" s="43">
        <v>9999</v>
      </c>
      <c r="AC201" s="43" t="s">
        <v>35</v>
      </c>
    </row>
    <row r="202" spans="1:29" x14ac:dyDescent="0.25">
      <c r="A202" s="43" t="s">
        <v>377</v>
      </c>
      <c r="B202" s="39" t="s">
        <v>378</v>
      </c>
      <c r="C202" s="43"/>
      <c r="D202" s="43">
        <v>1</v>
      </c>
      <c r="E202" s="56" t="s">
        <v>45</v>
      </c>
      <c r="F202" s="43">
        <v>4</v>
      </c>
      <c r="G202" s="43">
        <v>2026</v>
      </c>
      <c r="H202" s="43"/>
      <c r="I202" s="43">
        <v>178.9</v>
      </c>
      <c r="J202" s="43" t="s">
        <v>1610</v>
      </c>
      <c r="K202" s="43" t="s">
        <v>47</v>
      </c>
      <c r="M202" s="43">
        <v>0</v>
      </c>
      <c r="N202" s="43">
        <v>0</v>
      </c>
      <c r="O202" s="43">
        <v>0</v>
      </c>
      <c r="P202" s="43">
        <v>0</v>
      </c>
      <c r="Q202" s="43">
        <v>0</v>
      </c>
      <c r="R202" s="43">
        <v>0</v>
      </c>
      <c r="S202" s="43">
        <v>1</v>
      </c>
      <c r="T202" s="43">
        <v>1</v>
      </c>
      <c r="U202" s="43">
        <v>1</v>
      </c>
      <c r="V202" s="43">
        <v>0</v>
      </c>
      <c r="W202" s="43" t="s">
        <v>1098</v>
      </c>
      <c r="X202" s="43" t="s">
        <v>1973</v>
      </c>
      <c r="Y202" s="43">
        <v>0</v>
      </c>
      <c r="Z202" s="43">
        <v>1</v>
      </c>
      <c r="AA202" s="43">
        <v>2007</v>
      </c>
      <c r="AB202" s="43">
        <v>9999</v>
      </c>
      <c r="AC202" s="43" t="s">
        <v>35</v>
      </c>
    </row>
    <row r="203" spans="1:29" x14ac:dyDescent="0.25">
      <c r="A203" s="44" t="s">
        <v>110</v>
      </c>
      <c r="B203" s="46" t="s">
        <v>111</v>
      </c>
      <c r="C203" s="44"/>
      <c r="D203" s="44">
        <v>1</v>
      </c>
      <c r="E203" s="57" t="s">
        <v>45</v>
      </c>
      <c r="F203" s="44">
        <v>4</v>
      </c>
      <c r="G203" s="44">
        <v>2026</v>
      </c>
      <c r="H203" s="44"/>
      <c r="I203" s="44">
        <v>602.20000000000005</v>
      </c>
      <c r="J203" s="44" t="s">
        <v>1610</v>
      </c>
      <c r="K203" s="44" t="s">
        <v>47</v>
      </c>
      <c r="L203" s="44"/>
      <c r="M203" s="44">
        <v>1</v>
      </c>
      <c r="N203" s="44">
        <v>0</v>
      </c>
      <c r="O203" s="44">
        <v>0</v>
      </c>
      <c r="P203" s="44">
        <v>0</v>
      </c>
      <c r="Q203" s="44">
        <v>0</v>
      </c>
      <c r="R203" s="44">
        <v>0</v>
      </c>
      <c r="S203" s="44">
        <v>1</v>
      </c>
      <c r="T203" s="44">
        <v>1</v>
      </c>
      <c r="U203" s="44">
        <v>1</v>
      </c>
      <c r="V203" s="44">
        <v>0</v>
      </c>
      <c r="W203" s="44" t="s">
        <v>1039</v>
      </c>
      <c r="X203" s="44" t="s">
        <v>1852</v>
      </c>
      <c r="Y203" s="44">
        <v>0</v>
      </c>
      <c r="Z203" s="44">
        <v>0</v>
      </c>
      <c r="AA203" s="44">
        <v>2007</v>
      </c>
      <c r="AB203" s="44">
        <v>9999</v>
      </c>
      <c r="AC203" s="44" t="s">
        <v>35</v>
      </c>
    </row>
    <row r="204" spans="1:29" x14ac:dyDescent="0.25">
      <c r="A204" s="43" t="s">
        <v>571</v>
      </c>
      <c r="B204" s="39" t="s">
        <v>572</v>
      </c>
      <c r="C204" s="43"/>
      <c r="D204" s="43">
        <v>1</v>
      </c>
      <c r="E204" s="56" t="s">
        <v>370</v>
      </c>
      <c r="F204" s="43">
        <v>5</v>
      </c>
      <c r="G204" s="43">
        <v>2026</v>
      </c>
      <c r="H204" s="43"/>
      <c r="I204" s="43">
        <v>714.7</v>
      </c>
      <c r="J204" s="43" t="s">
        <v>1610</v>
      </c>
      <c r="K204" s="43" t="s">
        <v>47</v>
      </c>
      <c r="M204" s="43">
        <v>1</v>
      </c>
      <c r="N204" s="43">
        <v>0</v>
      </c>
      <c r="O204" s="43">
        <v>0</v>
      </c>
      <c r="P204" s="43">
        <v>0</v>
      </c>
      <c r="Q204" s="43">
        <v>0</v>
      </c>
      <c r="R204" s="43">
        <v>0</v>
      </c>
      <c r="S204" s="43">
        <v>1</v>
      </c>
      <c r="T204" s="43">
        <v>1</v>
      </c>
      <c r="U204" s="43">
        <v>1</v>
      </c>
      <c r="V204" s="43">
        <v>0</v>
      </c>
      <c r="W204" s="43" t="s">
        <v>1430</v>
      </c>
      <c r="X204" s="43" t="s">
        <v>1878</v>
      </c>
      <c r="Y204" s="43">
        <v>1</v>
      </c>
      <c r="Z204" s="43">
        <v>2</v>
      </c>
      <c r="AA204" s="43">
        <v>2007</v>
      </c>
      <c r="AB204" s="43">
        <v>9999</v>
      </c>
      <c r="AC204" s="43" t="s">
        <v>35</v>
      </c>
    </row>
    <row r="205" spans="1:29" x14ac:dyDescent="0.25">
      <c r="A205" s="43" t="s">
        <v>382</v>
      </c>
      <c r="B205" s="39" t="s">
        <v>383</v>
      </c>
      <c r="C205" s="43"/>
      <c r="D205" s="43">
        <v>1</v>
      </c>
      <c r="E205" s="56" t="s">
        <v>80</v>
      </c>
      <c r="F205" s="43">
        <v>8</v>
      </c>
      <c r="G205" s="43">
        <v>2026</v>
      </c>
      <c r="H205" s="43"/>
      <c r="I205" s="43">
        <v>32.299999999999997</v>
      </c>
      <c r="J205" s="43" t="s">
        <v>81</v>
      </c>
      <c r="K205" s="43" t="s">
        <v>32</v>
      </c>
      <c r="M205" s="43">
        <v>0</v>
      </c>
      <c r="N205" s="43">
        <v>0</v>
      </c>
      <c r="O205" s="43">
        <v>0</v>
      </c>
      <c r="P205" s="43">
        <v>0</v>
      </c>
      <c r="Q205" s="43">
        <v>0</v>
      </c>
      <c r="R205" s="43">
        <v>0</v>
      </c>
      <c r="S205" s="43">
        <v>1</v>
      </c>
      <c r="T205" s="43">
        <v>1</v>
      </c>
      <c r="U205" s="43">
        <v>1</v>
      </c>
      <c r="V205" s="43">
        <v>0</v>
      </c>
      <c r="W205" s="43" t="s">
        <v>1099</v>
      </c>
      <c r="X205" s="43" t="s">
        <v>1866</v>
      </c>
      <c r="Y205" s="43">
        <v>2</v>
      </c>
      <c r="Z205" s="43">
        <v>0</v>
      </c>
      <c r="AA205" s="43">
        <v>2007</v>
      </c>
      <c r="AB205" s="43">
        <v>9999</v>
      </c>
      <c r="AC205" s="43" t="s">
        <v>35</v>
      </c>
    </row>
    <row r="206" spans="1:29" x14ac:dyDescent="0.25">
      <c r="A206" s="43" t="s">
        <v>975</v>
      </c>
      <c r="B206" s="39" t="s">
        <v>976</v>
      </c>
      <c r="C206" s="43"/>
      <c r="D206" s="43">
        <v>1</v>
      </c>
      <c r="E206" s="56" t="s">
        <v>977</v>
      </c>
      <c r="F206" s="43">
        <v>1</v>
      </c>
      <c r="G206" s="43">
        <v>2026</v>
      </c>
      <c r="H206" s="43" t="s">
        <v>205</v>
      </c>
      <c r="I206" s="43">
        <v>38</v>
      </c>
      <c r="J206" s="43" t="s">
        <v>81</v>
      </c>
      <c r="K206" s="43" t="s">
        <v>41</v>
      </c>
      <c r="M206" s="43">
        <v>0</v>
      </c>
      <c r="N206" s="43">
        <v>0</v>
      </c>
      <c r="O206" s="43">
        <v>0</v>
      </c>
      <c r="P206" s="43">
        <v>0</v>
      </c>
      <c r="Q206" s="43">
        <v>0</v>
      </c>
      <c r="R206" s="43">
        <v>0</v>
      </c>
      <c r="S206" s="43">
        <v>0</v>
      </c>
      <c r="T206" s="43">
        <v>0</v>
      </c>
      <c r="U206" s="43">
        <v>0</v>
      </c>
      <c r="V206" s="43">
        <v>0</v>
      </c>
      <c r="W206" s="43" t="s">
        <v>1220</v>
      </c>
      <c r="X206" s="43" t="s">
        <v>1839</v>
      </c>
      <c r="Y206" s="43">
        <v>0</v>
      </c>
      <c r="Z206" s="43">
        <v>0</v>
      </c>
      <c r="AA206" s="43">
        <v>2007</v>
      </c>
      <c r="AB206" s="43">
        <v>9999</v>
      </c>
      <c r="AC206" s="43" t="s">
        <v>35</v>
      </c>
    </row>
    <row r="207" spans="1:29" x14ac:dyDescent="0.25">
      <c r="A207" s="43" t="s">
        <v>714</v>
      </c>
      <c r="B207" s="39" t="s">
        <v>715</v>
      </c>
      <c r="C207" s="43"/>
      <c r="D207" s="43">
        <v>1</v>
      </c>
      <c r="E207" s="56" t="s">
        <v>80</v>
      </c>
      <c r="F207" s="43">
        <v>8</v>
      </c>
      <c r="G207" s="43">
        <v>2026</v>
      </c>
      <c r="H207" s="43"/>
      <c r="I207" s="43">
        <v>57.9</v>
      </c>
      <c r="J207" s="43" t="s">
        <v>81</v>
      </c>
      <c r="K207" s="43" t="s">
        <v>76</v>
      </c>
      <c r="M207" s="43">
        <v>0</v>
      </c>
      <c r="N207" s="43">
        <v>0</v>
      </c>
      <c r="O207" s="43">
        <v>0</v>
      </c>
      <c r="P207" s="43">
        <v>0</v>
      </c>
      <c r="Q207" s="43">
        <v>0</v>
      </c>
      <c r="R207" s="43">
        <v>0</v>
      </c>
      <c r="S207" s="43">
        <v>0</v>
      </c>
      <c r="T207" s="43">
        <v>1</v>
      </c>
      <c r="U207" s="43">
        <v>1</v>
      </c>
      <c r="V207" s="43">
        <v>0</v>
      </c>
      <c r="W207" s="43" t="s">
        <v>1323</v>
      </c>
      <c r="X207" s="43" t="s">
        <v>1767</v>
      </c>
      <c r="Y207" s="43">
        <v>0</v>
      </c>
      <c r="Z207" s="43">
        <v>0</v>
      </c>
      <c r="AA207" s="43">
        <v>2007</v>
      </c>
      <c r="AB207" s="43">
        <v>9999</v>
      </c>
      <c r="AC207" s="43" t="s">
        <v>35</v>
      </c>
    </row>
    <row r="208" spans="1:29" x14ac:dyDescent="0.25">
      <c r="A208" s="43" t="s">
        <v>814</v>
      </c>
      <c r="B208" s="39" t="s">
        <v>815</v>
      </c>
      <c r="C208" s="43"/>
      <c r="D208" s="43">
        <v>1</v>
      </c>
      <c r="E208" s="56" t="s">
        <v>80</v>
      </c>
      <c r="F208" s="43">
        <v>8</v>
      </c>
      <c r="G208" s="43">
        <v>2026</v>
      </c>
      <c r="H208" s="43"/>
      <c r="I208" s="43">
        <v>99.3</v>
      </c>
      <c r="J208" s="43" t="s">
        <v>81</v>
      </c>
      <c r="K208" s="43" t="s">
        <v>32</v>
      </c>
      <c r="M208" s="43">
        <v>0</v>
      </c>
      <c r="N208" s="43">
        <v>0</v>
      </c>
      <c r="O208" s="43">
        <v>0</v>
      </c>
      <c r="P208" s="43">
        <v>0</v>
      </c>
      <c r="Q208" s="43">
        <v>0</v>
      </c>
      <c r="R208" s="43">
        <v>0</v>
      </c>
      <c r="S208" s="43">
        <v>1</v>
      </c>
      <c r="T208" s="43">
        <v>1</v>
      </c>
      <c r="U208" s="43">
        <v>1</v>
      </c>
      <c r="V208" s="43">
        <v>0</v>
      </c>
      <c r="W208" s="43" t="s">
        <v>1432</v>
      </c>
      <c r="X208" s="43" t="s">
        <v>2028</v>
      </c>
      <c r="Y208" s="43">
        <v>1</v>
      </c>
      <c r="Z208" s="43">
        <v>2</v>
      </c>
      <c r="AA208" s="43">
        <v>2007</v>
      </c>
      <c r="AB208" s="43">
        <v>9999</v>
      </c>
      <c r="AC208" s="43" t="s">
        <v>35</v>
      </c>
    </row>
    <row r="209" spans="1:29" x14ac:dyDescent="0.25">
      <c r="A209" s="43" t="s">
        <v>538</v>
      </c>
      <c r="B209" s="39" t="s">
        <v>539</v>
      </c>
      <c r="C209" s="43"/>
      <c r="D209" s="43">
        <v>1</v>
      </c>
      <c r="E209" s="56" t="s">
        <v>80</v>
      </c>
      <c r="F209" s="43">
        <v>8</v>
      </c>
      <c r="G209" s="43">
        <v>2026</v>
      </c>
      <c r="H209" s="43"/>
      <c r="I209" s="43">
        <v>198.3</v>
      </c>
      <c r="J209" s="43" t="s">
        <v>81</v>
      </c>
      <c r="K209" s="43" t="s">
        <v>32</v>
      </c>
      <c r="M209" s="43">
        <v>0</v>
      </c>
      <c r="N209" s="43">
        <v>0</v>
      </c>
      <c r="O209" s="43">
        <v>0</v>
      </c>
      <c r="P209" s="43">
        <v>0</v>
      </c>
      <c r="Q209" s="43">
        <v>0</v>
      </c>
      <c r="R209" s="43">
        <v>0</v>
      </c>
      <c r="S209" s="43">
        <v>1</v>
      </c>
      <c r="T209" s="43">
        <v>1</v>
      </c>
      <c r="U209" s="43">
        <v>1</v>
      </c>
      <c r="V209" s="43">
        <v>0</v>
      </c>
      <c r="W209" s="43" t="s">
        <v>1998</v>
      </c>
      <c r="X209" s="43" t="s">
        <v>1999</v>
      </c>
      <c r="Y209" s="43">
        <v>1</v>
      </c>
      <c r="Z209" s="43">
        <v>0</v>
      </c>
      <c r="AA209" s="43">
        <v>2007</v>
      </c>
      <c r="AB209" s="43">
        <v>9999</v>
      </c>
      <c r="AC209" s="43" t="s">
        <v>35</v>
      </c>
    </row>
    <row r="210" spans="1:29" x14ac:dyDescent="0.25">
      <c r="A210" s="43" t="s">
        <v>220</v>
      </c>
      <c r="B210" s="39" t="s">
        <v>221</v>
      </c>
      <c r="C210" s="43"/>
      <c r="D210" s="43">
        <v>1</v>
      </c>
      <c r="E210" s="56" t="s">
        <v>222</v>
      </c>
      <c r="F210" s="43">
        <v>8</v>
      </c>
      <c r="G210" s="43">
        <v>2026</v>
      </c>
      <c r="H210" s="43"/>
      <c r="I210" s="43">
        <v>45.9</v>
      </c>
      <c r="J210" s="43" t="s">
        <v>81</v>
      </c>
      <c r="K210" s="43" t="s">
        <v>47</v>
      </c>
      <c r="M210" s="43">
        <v>0</v>
      </c>
      <c r="N210" s="43">
        <v>0</v>
      </c>
      <c r="O210" s="43">
        <v>0</v>
      </c>
      <c r="P210" s="43">
        <v>0</v>
      </c>
      <c r="Q210" s="43">
        <v>0</v>
      </c>
      <c r="R210" s="43">
        <v>0</v>
      </c>
      <c r="S210" s="43">
        <v>1</v>
      </c>
      <c r="T210" s="43">
        <v>1</v>
      </c>
      <c r="U210" s="43">
        <v>1</v>
      </c>
      <c r="V210" s="43">
        <v>0</v>
      </c>
      <c r="W210" s="43" t="s">
        <v>1068</v>
      </c>
      <c r="X210" s="43" t="s">
        <v>1956</v>
      </c>
      <c r="Y210" s="43">
        <v>0</v>
      </c>
      <c r="Z210" s="43">
        <v>0</v>
      </c>
      <c r="AA210" s="43">
        <v>2007</v>
      </c>
      <c r="AB210" s="43">
        <v>9999</v>
      </c>
      <c r="AC210" s="43" t="s">
        <v>35</v>
      </c>
    </row>
    <row r="211" spans="1:29" x14ac:dyDescent="0.25">
      <c r="A211" s="43" t="s">
        <v>327</v>
      </c>
      <c r="B211" s="39" t="s">
        <v>328</v>
      </c>
      <c r="C211" s="43"/>
      <c r="D211" s="43">
        <v>1</v>
      </c>
      <c r="E211" s="56" t="s">
        <v>80</v>
      </c>
      <c r="F211" s="43">
        <v>8</v>
      </c>
      <c r="G211" s="43">
        <v>2026</v>
      </c>
      <c r="H211" s="43"/>
      <c r="I211" s="43">
        <v>87.2</v>
      </c>
      <c r="J211" s="43" t="s">
        <v>81</v>
      </c>
      <c r="K211" s="43" t="s">
        <v>47</v>
      </c>
      <c r="M211" s="43">
        <v>0</v>
      </c>
      <c r="N211" s="43">
        <v>0</v>
      </c>
      <c r="O211" s="43">
        <v>0</v>
      </c>
      <c r="P211" s="43">
        <v>0</v>
      </c>
      <c r="Q211" s="43">
        <v>0</v>
      </c>
      <c r="R211" s="43">
        <v>0</v>
      </c>
      <c r="S211" s="43">
        <v>1</v>
      </c>
      <c r="T211" s="43">
        <v>1</v>
      </c>
      <c r="U211" s="43">
        <v>1</v>
      </c>
      <c r="V211" s="43">
        <v>0</v>
      </c>
      <c r="W211" s="43" t="s">
        <v>1087</v>
      </c>
      <c r="X211" s="43" t="s">
        <v>1967</v>
      </c>
      <c r="Y211" s="43">
        <v>0</v>
      </c>
      <c r="Z211" s="43">
        <v>1</v>
      </c>
      <c r="AA211" s="43">
        <v>2007</v>
      </c>
      <c r="AB211" s="43">
        <v>9999</v>
      </c>
      <c r="AC211" s="43" t="s">
        <v>35</v>
      </c>
    </row>
    <row r="212" spans="1:29" x14ac:dyDescent="0.25">
      <c r="A212" s="43" t="s">
        <v>939</v>
      </c>
      <c r="B212" s="39" t="s">
        <v>1463</v>
      </c>
      <c r="C212" s="43"/>
      <c r="D212" s="43">
        <v>1</v>
      </c>
      <c r="E212" s="56" t="s">
        <v>80</v>
      </c>
      <c r="F212" s="43">
        <v>8</v>
      </c>
      <c r="G212" s="43">
        <v>2026</v>
      </c>
      <c r="H212" s="43"/>
      <c r="I212" s="43">
        <v>95.2</v>
      </c>
      <c r="J212" s="43" t="s">
        <v>81</v>
      </c>
      <c r="K212" s="43" t="s">
        <v>47</v>
      </c>
      <c r="M212" s="43">
        <v>1</v>
      </c>
      <c r="N212" s="43">
        <v>0</v>
      </c>
      <c r="O212" s="43">
        <v>0</v>
      </c>
      <c r="P212" s="43">
        <v>0</v>
      </c>
      <c r="Q212" s="43">
        <v>0</v>
      </c>
      <c r="R212" s="43">
        <v>0</v>
      </c>
      <c r="S212" s="43">
        <v>1</v>
      </c>
      <c r="T212" s="43">
        <v>1</v>
      </c>
      <c r="U212" s="43">
        <v>1</v>
      </c>
      <c r="V212" s="43">
        <v>0</v>
      </c>
      <c r="W212" s="43" t="s">
        <v>1464</v>
      </c>
      <c r="X212" s="43" t="s">
        <v>2007</v>
      </c>
      <c r="Y212" s="43">
        <v>0</v>
      </c>
      <c r="Z212" s="43">
        <v>3</v>
      </c>
      <c r="AA212" s="43">
        <v>2007</v>
      </c>
      <c r="AB212" s="43">
        <v>9999</v>
      </c>
      <c r="AC212" s="43" t="s">
        <v>35</v>
      </c>
    </row>
    <row r="213" spans="1:29" x14ac:dyDescent="0.25">
      <c r="A213" s="43" t="s">
        <v>825</v>
      </c>
      <c r="B213" s="39" t="s">
        <v>826</v>
      </c>
      <c r="C213" s="43"/>
      <c r="D213" s="43">
        <v>1</v>
      </c>
      <c r="E213" s="56" t="s">
        <v>80</v>
      </c>
      <c r="F213" s="43">
        <v>8</v>
      </c>
      <c r="G213" s="43">
        <v>2026</v>
      </c>
      <c r="H213" s="43"/>
      <c r="I213" s="43">
        <v>134.80000000000001</v>
      </c>
      <c r="J213" s="43" t="s">
        <v>81</v>
      </c>
      <c r="K213" s="43" t="s">
        <v>47</v>
      </c>
      <c r="M213" s="43">
        <v>0</v>
      </c>
      <c r="N213" s="43">
        <v>0</v>
      </c>
      <c r="O213" s="43">
        <v>0</v>
      </c>
      <c r="P213" s="43">
        <v>0</v>
      </c>
      <c r="Q213" s="43">
        <v>0</v>
      </c>
      <c r="R213" s="43">
        <v>0</v>
      </c>
      <c r="S213" s="43">
        <v>1</v>
      </c>
      <c r="T213" s="43">
        <v>1</v>
      </c>
      <c r="U213" s="43">
        <v>1</v>
      </c>
      <c r="V213" s="43">
        <v>0</v>
      </c>
      <c r="W213" s="43" t="s">
        <v>1188</v>
      </c>
      <c r="X213" s="43" t="s">
        <v>1794</v>
      </c>
      <c r="Y213" s="43">
        <v>0</v>
      </c>
      <c r="Z213" s="43">
        <v>0</v>
      </c>
      <c r="AA213" s="43">
        <v>2007</v>
      </c>
      <c r="AB213" s="43">
        <v>9999</v>
      </c>
      <c r="AC213" s="43" t="s">
        <v>35</v>
      </c>
    </row>
    <row r="214" spans="1:29" x14ac:dyDescent="0.25">
      <c r="A214" s="43" t="s">
        <v>562</v>
      </c>
      <c r="B214" s="39" t="s">
        <v>1554</v>
      </c>
      <c r="C214" s="43"/>
      <c r="D214" s="43">
        <v>1</v>
      </c>
      <c r="E214" s="56" t="s">
        <v>80</v>
      </c>
      <c r="F214" s="43">
        <v>8</v>
      </c>
      <c r="G214" s="43">
        <v>2026</v>
      </c>
      <c r="H214" s="43"/>
      <c r="I214" s="43">
        <v>145</v>
      </c>
      <c r="J214" s="43" t="s">
        <v>81</v>
      </c>
      <c r="K214" s="43" t="s">
        <v>47</v>
      </c>
      <c r="M214" s="43">
        <v>1</v>
      </c>
      <c r="N214" s="43">
        <v>0</v>
      </c>
      <c r="O214" s="43">
        <v>0</v>
      </c>
      <c r="P214" s="43">
        <v>0</v>
      </c>
      <c r="Q214" s="43">
        <v>0</v>
      </c>
      <c r="R214" s="43">
        <v>0</v>
      </c>
      <c r="S214" s="43">
        <v>1</v>
      </c>
      <c r="T214" s="43">
        <v>1</v>
      </c>
      <c r="U214" s="43">
        <v>1</v>
      </c>
      <c r="V214" s="43">
        <v>0</v>
      </c>
      <c r="W214" s="43" t="s">
        <v>1128</v>
      </c>
      <c r="X214" s="43" t="s">
        <v>1739</v>
      </c>
      <c r="Y214" s="43">
        <v>0</v>
      </c>
      <c r="Z214" s="43">
        <v>0</v>
      </c>
      <c r="AA214" s="43">
        <v>2007</v>
      </c>
      <c r="AB214" s="43">
        <v>9999</v>
      </c>
      <c r="AC214" s="43" t="s">
        <v>35</v>
      </c>
    </row>
    <row r="215" spans="1:29" x14ac:dyDescent="0.25">
      <c r="A215" s="43" t="s">
        <v>670</v>
      </c>
      <c r="B215" s="39" t="s">
        <v>671</v>
      </c>
      <c r="C215" s="43"/>
      <c r="D215" s="43">
        <v>1</v>
      </c>
      <c r="E215" s="56" t="s">
        <v>80</v>
      </c>
      <c r="F215" s="43">
        <v>8</v>
      </c>
      <c r="G215" s="43">
        <v>2026</v>
      </c>
      <c r="H215" s="43"/>
      <c r="I215" s="43">
        <v>233.5</v>
      </c>
      <c r="J215" s="43" t="s">
        <v>81</v>
      </c>
      <c r="K215" s="43" t="s">
        <v>47</v>
      </c>
      <c r="M215" s="43">
        <v>1</v>
      </c>
      <c r="N215" s="43">
        <v>0</v>
      </c>
      <c r="O215" s="43">
        <v>0</v>
      </c>
      <c r="P215" s="43">
        <v>0</v>
      </c>
      <c r="Q215" s="43">
        <v>0</v>
      </c>
      <c r="R215" s="43">
        <v>0</v>
      </c>
      <c r="S215" s="43">
        <v>1</v>
      </c>
      <c r="T215" s="43">
        <v>1</v>
      </c>
      <c r="U215" s="43">
        <v>1</v>
      </c>
      <c r="V215" s="43">
        <v>0</v>
      </c>
      <c r="W215" s="43" t="s">
        <v>1498</v>
      </c>
      <c r="X215" s="43" t="s">
        <v>1757</v>
      </c>
      <c r="Y215" s="43">
        <v>0</v>
      </c>
      <c r="Z215" s="43">
        <v>0</v>
      </c>
      <c r="AA215" s="43">
        <v>2007</v>
      </c>
      <c r="AB215" s="43">
        <v>9999</v>
      </c>
      <c r="AC215" s="43" t="s">
        <v>35</v>
      </c>
    </row>
    <row r="216" spans="1:29" x14ac:dyDescent="0.25">
      <c r="A216" s="43" t="s">
        <v>568</v>
      </c>
      <c r="B216" s="39" t="s">
        <v>569</v>
      </c>
      <c r="C216" s="43"/>
      <c r="D216" s="43">
        <v>1</v>
      </c>
      <c r="E216" s="56" t="s">
        <v>80</v>
      </c>
      <c r="F216" s="43">
        <v>8</v>
      </c>
      <c r="G216" s="43">
        <v>2026</v>
      </c>
      <c r="H216" s="43"/>
      <c r="I216" s="43">
        <v>245.3</v>
      </c>
      <c r="J216" s="43" t="s">
        <v>81</v>
      </c>
      <c r="K216" s="43" t="s">
        <v>47</v>
      </c>
      <c r="M216" s="43">
        <v>0</v>
      </c>
      <c r="N216" s="43">
        <v>0</v>
      </c>
      <c r="O216" s="43">
        <v>0</v>
      </c>
      <c r="P216" s="43">
        <v>0</v>
      </c>
      <c r="Q216" s="43">
        <v>0</v>
      </c>
      <c r="R216" s="43">
        <v>0</v>
      </c>
      <c r="S216" s="43">
        <v>1</v>
      </c>
      <c r="T216" s="43">
        <v>1</v>
      </c>
      <c r="U216" s="43">
        <v>1</v>
      </c>
      <c r="V216" s="43">
        <v>0</v>
      </c>
      <c r="W216" s="43" t="s">
        <v>1129</v>
      </c>
      <c r="X216" s="43" t="s">
        <v>1740</v>
      </c>
      <c r="Y216" s="43">
        <v>0</v>
      </c>
      <c r="Z216" s="43">
        <v>0</v>
      </c>
      <c r="AA216" s="43">
        <v>2007</v>
      </c>
      <c r="AB216" s="43">
        <v>9999</v>
      </c>
      <c r="AC216" s="43" t="s">
        <v>35</v>
      </c>
    </row>
    <row r="217" spans="1:29" x14ac:dyDescent="0.25">
      <c r="A217" s="43" t="s">
        <v>790</v>
      </c>
      <c r="B217" s="39" t="s">
        <v>791</v>
      </c>
      <c r="C217" s="43"/>
      <c r="D217" s="43">
        <v>1</v>
      </c>
      <c r="E217" s="56" t="s">
        <v>80</v>
      </c>
      <c r="F217" s="43">
        <v>8</v>
      </c>
      <c r="G217" s="43">
        <v>2026</v>
      </c>
      <c r="H217" s="43"/>
      <c r="I217" s="43">
        <v>305.60000000000002</v>
      </c>
      <c r="J217" s="43" t="s">
        <v>81</v>
      </c>
      <c r="K217" s="43" t="s">
        <v>47</v>
      </c>
      <c r="M217" s="43">
        <v>1</v>
      </c>
      <c r="N217" s="43">
        <v>0</v>
      </c>
      <c r="O217" s="43">
        <v>0</v>
      </c>
      <c r="P217" s="43">
        <v>0</v>
      </c>
      <c r="Q217" s="43">
        <v>0</v>
      </c>
      <c r="R217" s="43">
        <v>0</v>
      </c>
      <c r="S217" s="43">
        <v>1</v>
      </c>
      <c r="T217" s="43">
        <v>1</v>
      </c>
      <c r="U217" s="43">
        <v>1</v>
      </c>
      <c r="V217" s="43">
        <v>0</v>
      </c>
      <c r="W217" s="43" t="s">
        <v>1507</v>
      </c>
      <c r="X217" s="43" t="s">
        <v>1787</v>
      </c>
      <c r="Y217" s="43">
        <v>0</v>
      </c>
      <c r="Z217" s="43">
        <v>0</v>
      </c>
      <c r="AA217" s="43">
        <v>2007</v>
      </c>
      <c r="AB217" s="43">
        <v>9999</v>
      </c>
      <c r="AC217" s="43" t="s">
        <v>35</v>
      </c>
    </row>
    <row r="218" spans="1:29" x14ac:dyDescent="0.25">
      <c r="A218" s="43" t="s">
        <v>673</v>
      </c>
      <c r="B218" s="39" t="s">
        <v>1321</v>
      </c>
      <c r="C218" s="43"/>
      <c r="D218" s="43">
        <v>1</v>
      </c>
      <c r="E218" s="56" t="s">
        <v>358</v>
      </c>
      <c r="F218" s="43">
        <v>1</v>
      </c>
      <c r="G218" s="43">
        <v>2026</v>
      </c>
      <c r="H218" s="43"/>
      <c r="I218" s="43">
        <v>381.9</v>
      </c>
      <c r="J218" s="43" t="s">
        <v>81</v>
      </c>
      <c r="K218" s="43" t="s">
        <v>47</v>
      </c>
      <c r="M218" s="43">
        <v>1</v>
      </c>
      <c r="N218" s="43">
        <v>0</v>
      </c>
      <c r="O218" s="43">
        <v>0</v>
      </c>
      <c r="P218" s="43">
        <v>0</v>
      </c>
      <c r="Q218" s="43">
        <v>0</v>
      </c>
      <c r="R218" s="43">
        <v>0</v>
      </c>
      <c r="S218" s="43">
        <v>1</v>
      </c>
      <c r="T218" s="43">
        <v>1</v>
      </c>
      <c r="U218" s="43">
        <v>1</v>
      </c>
      <c r="V218" s="43">
        <v>0</v>
      </c>
      <c r="W218" s="43" t="s">
        <v>1322</v>
      </c>
      <c r="X218" s="43" t="s">
        <v>2015</v>
      </c>
      <c r="Y218" s="43">
        <v>0</v>
      </c>
      <c r="Z218" s="43">
        <v>2</v>
      </c>
      <c r="AA218" s="43">
        <v>2007</v>
      </c>
      <c r="AB218" s="43">
        <v>9999</v>
      </c>
      <c r="AC218" s="43" t="s">
        <v>35</v>
      </c>
    </row>
    <row r="219" spans="1:29" x14ac:dyDescent="0.25">
      <c r="A219" s="43" t="s">
        <v>894</v>
      </c>
      <c r="B219" s="39" t="s">
        <v>895</v>
      </c>
      <c r="C219" s="43"/>
      <c r="D219" s="43">
        <v>1</v>
      </c>
      <c r="E219" s="56" t="s">
        <v>38</v>
      </c>
      <c r="F219" s="43">
        <v>4</v>
      </c>
      <c r="G219" s="43">
        <v>2026</v>
      </c>
      <c r="H219" s="43" t="s">
        <v>715</v>
      </c>
      <c r="I219" s="43">
        <v>0</v>
      </c>
      <c r="J219" s="43" t="s">
        <v>1608</v>
      </c>
      <c r="K219" s="43" t="s">
        <v>53</v>
      </c>
      <c r="L219" s="43" t="s">
        <v>53</v>
      </c>
      <c r="M219" s="43">
        <v>0</v>
      </c>
      <c r="N219" s="43">
        <v>0</v>
      </c>
      <c r="O219" s="43">
        <v>0</v>
      </c>
      <c r="P219" s="43">
        <v>0</v>
      </c>
      <c r="Q219" s="43">
        <v>0</v>
      </c>
      <c r="R219" s="43">
        <v>0</v>
      </c>
      <c r="S219" s="43">
        <v>0</v>
      </c>
      <c r="T219" s="43">
        <v>0</v>
      </c>
      <c r="U219" s="43">
        <v>0</v>
      </c>
      <c r="V219" s="43">
        <v>0</v>
      </c>
      <c r="W219" s="43" t="s">
        <v>897</v>
      </c>
      <c r="X219" s="43" t="s">
        <v>1811</v>
      </c>
      <c r="Y219" s="43">
        <v>0</v>
      </c>
      <c r="Z219" s="43">
        <v>0</v>
      </c>
      <c r="AA219" s="43">
        <v>2007</v>
      </c>
      <c r="AB219" s="43">
        <v>9999</v>
      </c>
      <c r="AC219" s="43" t="s">
        <v>35</v>
      </c>
    </row>
    <row r="220" spans="1:29" x14ac:dyDescent="0.25">
      <c r="A220" s="43" t="s">
        <v>900</v>
      </c>
      <c r="B220" s="39" t="s">
        <v>901</v>
      </c>
      <c r="C220" s="43"/>
      <c r="D220" s="43">
        <v>1</v>
      </c>
      <c r="E220" s="56" t="s">
        <v>38</v>
      </c>
      <c r="F220" s="43">
        <v>4</v>
      </c>
      <c r="G220" s="43">
        <v>2026</v>
      </c>
      <c r="H220" s="43" t="s">
        <v>596</v>
      </c>
      <c r="I220" s="43">
        <v>0.2</v>
      </c>
      <c r="J220" s="43" t="s">
        <v>1608</v>
      </c>
      <c r="K220" s="43" t="s">
        <v>53</v>
      </c>
      <c r="L220" s="43" t="s">
        <v>902</v>
      </c>
      <c r="M220" s="43">
        <v>0</v>
      </c>
      <c r="N220" s="43">
        <v>0</v>
      </c>
      <c r="O220" s="43">
        <v>0</v>
      </c>
      <c r="P220" s="43">
        <v>0</v>
      </c>
      <c r="Q220" s="43">
        <v>0</v>
      </c>
      <c r="R220" s="43">
        <v>0</v>
      </c>
      <c r="S220" s="43">
        <v>0</v>
      </c>
      <c r="T220" s="43">
        <v>0</v>
      </c>
      <c r="U220" s="43">
        <v>0</v>
      </c>
      <c r="V220" s="43">
        <v>0</v>
      </c>
      <c r="W220" s="43" t="s">
        <v>903</v>
      </c>
      <c r="X220" s="43" t="s">
        <v>1812</v>
      </c>
      <c r="Y220" s="43">
        <v>0</v>
      </c>
      <c r="Z220" s="43">
        <v>0</v>
      </c>
      <c r="AA220" s="43">
        <v>2007</v>
      </c>
      <c r="AB220" s="43">
        <v>9999</v>
      </c>
      <c r="AC220" s="43" t="s">
        <v>35</v>
      </c>
    </row>
    <row r="221" spans="1:29" ht="30" x14ac:dyDescent="0.25">
      <c r="A221" s="43" t="s">
        <v>996</v>
      </c>
      <c r="B221" s="39" t="s">
        <v>1342</v>
      </c>
      <c r="C221" s="43"/>
      <c r="D221" s="43">
        <v>1</v>
      </c>
      <c r="E221" s="56" t="s">
        <v>38</v>
      </c>
      <c r="F221" s="43">
        <v>4</v>
      </c>
      <c r="G221" s="43">
        <v>2026</v>
      </c>
      <c r="H221" s="43" t="s">
        <v>998</v>
      </c>
      <c r="I221" s="43">
        <v>2.5</v>
      </c>
      <c r="J221" s="43" t="s">
        <v>1608</v>
      </c>
      <c r="K221" s="43" t="s">
        <v>41</v>
      </c>
      <c r="M221" s="43">
        <v>0</v>
      </c>
      <c r="N221" s="43">
        <v>0</v>
      </c>
      <c r="O221" s="43">
        <v>0</v>
      </c>
      <c r="P221" s="43">
        <v>0</v>
      </c>
      <c r="Q221" s="43">
        <v>0</v>
      </c>
      <c r="R221" s="43">
        <v>0</v>
      </c>
      <c r="S221" s="43">
        <v>0</v>
      </c>
      <c r="T221" s="43">
        <v>0</v>
      </c>
      <c r="U221" s="43">
        <v>0</v>
      </c>
      <c r="V221" s="43">
        <v>0</v>
      </c>
      <c r="W221" s="43" t="s">
        <v>1344</v>
      </c>
      <c r="X221" s="43" t="s">
        <v>2045</v>
      </c>
      <c r="Y221" s="43">
        <v>0</v>
      </c>
      <c r="Z221" s="43">
        <v>0</v>
      </c>
      <c r="AA221" s="43">
        <v>2007</v>
      </c>
      <c r="AB221" s="43">
        <v>9999</v>
      </c>
      <c r="AC221" s="43" t="s">
        <v>35</v>
      </c>
    </row>
    <row r="222" spans="1:29" x14ac:dyDescent="0.25">
      <c r="A222" s="43" t="s">
        <v>113</v>
      </c>
      <c r="B222" s="39" t="s">
        <v>114</v>
      </c>
      <c r="C222" s="43"/>
      <c r="D222" s="43">
        <v>1</v>
      </c>
      <c r="E222" s="56" t="s">
        <v>115</v>
      </c>
      <c r="F222" s="43">
        <v>6</v>
      </c>
      <c r="G222" s="43">
        <v>2026</v>
      </c>
      <c r="H222" s="43"/>
      <c r="I222" s="43">
        <v>225.6</v>
      </c>
      <c r="J222" s="43" t="s">
        <v>1608</v>
      </c>
      <c r="K222" s="43" t="s">
        <v>47</v>
      </c>
      <c r="M222" s="43">
        <v>1</v>
      </c>
      <c r="N222" s="43">
        <v>0</v>
      </c>
      <c r="O222" s="43">
        <v>0</v>
      </c>
      <c r="P222" s="43">
        <v>0</v>
      </c>
      <c r="Q222" s="43">
        <v>0</v>
      </c>
      <c r="R222" s="43">
        <v>0</v>
      </c>
      <c r="S222" s="43">
        <v>1</v>
      </c>
      <c r="T222" s="43">
        <v>1</v>
      </c>
      <c r="U222" s="43">
        <v>1</v>
      </c>
      <c r="V222" s="43">
        <v>0</v>
      </c>
      <c r="W222" s="43" t="s">
        <v>1586</v>
      </c>
      <c r="X222" s="43" t="s">
        <v>1937</v>
      </c>
      <c r="Y222" s="43">
        <v>1</v>
      </c>
      <c r="Z222" s="43">
        <v>0</v>
      </c>
      <c r="AA222" s="43">
        <v>2007</v>
      </c>
      <c r="AB222" s="43">
        <v>9999</v>
      </c>
      <c r="AC222" s="43" t="s">
        <v>35</v>
      </c>
    </row>
    <row r="223" spans="1:29" x14ac:dyDescent="0.25">
      <c r="A223" s="43" t="s">
        <v>734</v>
      </c>
      <c r="B223" s="39" t="s">
        <v>735</v>
      </c>
      <c r="C223" s="43"/>
      <c r="D223" s="43">
        <v>1</v>
      </c>
      <c r="E223" s="56" t="s">
        <v>736</v>
      </c>
      <c r="F223" s="43">
        <v>4</v>
      </c>
      <c r="G223" s="43">
        <v>2026</v>
      </c>
      <c r="H223" s="43"/>
      <c r="I223" s="43">
        <v>699.2</v>
      </c>
      <c r="J223" s="43" t="s">
        <v>1608</v>
      </c>
      <c r="K223" s="43" t="s">
        <v>32</v>
      </c>
      <c r="M223" s="43">
        <v>0</v>
      </c>
      <c r="N223" s="43">
        <v>0</v>
      </c>
      <c r="O223" s="43">
        <v>0</v>
      </c>
      <c r="P223" s="43">
        <v>0</v>
      </c>
      <c r="Q223" s="43">
        <v>0</v>
      </c>
      <c r="R223" s="43">
        <v>0</v>
      </c>
      <c r="S223" s="43">
        <v>1</v>
      </c>
      <c r="T223" s="43">
        <v>1</v>
      </c>
      <c r="U223" s="43">
        <v>1</v>
      </c>
      <c r="V223" s="43">
        <v>0</v>
      </c>
      <c r="W223" s="43" t="s">
        <v>1324</v>
      </c>
      <c r="X223" s="43" t="s">
        <v>1773</v>
      </c>
      <c r="Y223" s="43">
        <v>0</v>
      </c>
      <c r="Z223" s="43">
        <v>0</v>
      </c>
      <c r="AA223" s="43">
        <v>2007</v>
      </c>
      <c r="AB223" s="43">
        <v>9999</v>
      </c>
      <c r="AC223" s="43" t="s">
        <v>35</v>
      </c>
    </row>
    <row r="224" spans="1:29" x14ac:dyDescent="0.25">
      <c r="A224" s="43" t="s">
        <v>722</v>
      </c>
      <c r="B224" s="39" t="s">
        <v>723</v>
      </c>
      <c r="C224" s="43"/>
      <c r="D224" s="43">
        <v>1</v>
      </c>
      <c r="E224" s="56" t="s">
        <v>724</v>
      </c>
      <c r="F224" s="43">
        <v>4</v>
      </c>
      <c r="G224" s="43">
        <v>2026</v>
      </c>
      <c r="H224" s="43"/>
      <c r="I224" s="43">
        <v>1393.7</v>
      </c>
      <c r="J224" s="43" t="s">
        <v>1608</v>
      </c>
      <c r="K224" s="43" t="s">
        <v>32</v>
      </c>
      <c r="L224" s="43" t="s">
        <v>33</v>
      </c>
      <c r="M224" s="43">
        <v>0</v>
      </c>
      <c r="N224" s="43">
        <v>0</v>
      </c>
      <c r="O224" s="43">
        <v>0</v>
      </c>
      <c r="P224" s="43">
        <v>0</v>
      </c>
      <c r="Q224" s="43">
        <v>0</v>
      </c>
      <c r="R224" s="43">
        <v>1</v>
      </c>
      <c r="S224" s="43">
        <v>1</v>
      </c>
      <c r="T224" s="43">
        <v>1</v>
      </c>
      <c r="U224" s="43">
        <v>1</v>
      </c>
      <c r="V224" s="43">
        <v>0</v>
      </c>
      <c r="W224" s="43" t="s">
        <v>1161</v>
      </c>
      <c r="X224" s="43" t="s">
        <v>2018</v>
      </c>
      <c r="Y224" s="43">
        <v>0</v>
      </c>
      <c r="Z224" s="43">
        <v>0</v>
      </c>
      <c r="AA224" s="43">
        <v>2007</v>
      </c>
      <c r="AB224" s="43">
        <v>9999</v>
      </c>
      <c r="AC224" s="43" t="s">
        <v>35</v>
      </c>
    </row>
    <row r="225" spans="1:29" x14ac:dyDescent="0.25">
      <c r="A225" s="43">
        <v>2021004888</v>
      </c>
      <c r="B225" s="39" t="s">
        <v>1246</v>
      </c>
      <c r="C225" s="43"/>
      <c r="D225" s="43">
        <v>1</v>
      </c>
      <c r="E225" s="56" t="s">
        <v>45</v>
      </c>
      <c r="F225" s="43">
        <v>4</v>
      </c>
      <c r="G225" s="43">
        <v>2026</v>
      </c>
      <c r="H225" s="43"/>
      <c r="I225" s="43">
        <v>1879</v>
      </c>
      <c r="J225" s="43" t="s">
        <v>1608</v>
      </c>
      <c r="K225" s="43" t="s">
        <v>32</v>
      </c>
      <c r="M225" s="43">
        <v>0</v>
      </c>
      <c r="N225" s="43">
        <v>0</v>
      </c>
      <c r="O225" s="43">
        <v>0</v>
      </c>
      <c r="P225" s="43">
        <v>0</v>
      </c>
      <c r="Q225" s="43">
        <v>0</v>
      </c>
      <c r="R225" s="43">
        <v>0</v>
      </c>
      <c r="S225" s="43">
        <v>1</v>
      </c>
      <c r="T225" s="43">
        <v>1</v>
      </c>
      <c r="U225" s="43">
        <v>1</v>
      </c>
      <c r="V225" s="43">
        <v>0</v>
      </c>
      <c r="W225" s="43" t="s">
        <v>1301</v>
      </c>
      <c r="X225" s="43" t="s">
        <v>1974</v>
      </c>
      <c r="Y225" s="43">
        <v>0</v>
      </c>
      <c r="Z225" s="43">
        <v>2</v>
      </c>
      <c r="AA225" s="43">
        <v>2007</v>
      </c>
      <c r="AB225" s="43">
        <v>9999</v>
      </c>
      <c r="AC225" s="43" t="s">
        <v>35</v>
      </c>
    </row>
    <row r="226" spans="1:29" x14ac:dyDescent="0.25">
      <c r="A226" s="43" t="s">
        <v>36</v>
      </c>
      <c r="B226" s="39" t="s">
        <v>1445</v>
      </c>
      <c r="C226" s="43"/>
      <c r="D226" s="43">
        <v>1</v>
      </c>
      <c r="E226" s="56"/>
      <c r="F226" s="43">
        <v>4</v>
      </c>
      <c r="G226" s="43">
        <v>2026</v>
      </c>
      <c r="H226" s="43" t="s">
        <v>39</v>
      </c>
      <c r="I226" s="43">
        <v>0.1</v>
      </c>
      <c r="J226" s="43" t="s">
        <v>40</v>
      </c>
      <c r="K226" s="43" t="s">
        <v>41</v>
      </c>
      <c r="M226" s="43">
        <v>0</v>
      </c>
      <c r="N226" s="43">
        <v>0</v>
      </c>
      <c r="O226" s="43">
        <v>0</v>
      </c>
      <c r="P226" s="43">
        <v>0</v>
      </c>
      <c r="Q226" s="43">
        <v>0</v>
      </c>
      <c r="R226" s="43">
        <v>0</v>
      </c>
      <c r="S226" s="43">
        <v>0</v>
      </c>
      <c r="T226" s="43">
        <v>0</v>
      </c>
      <c r="U226" s="43">
        <v>0</v>
      </c>
      <c r="V226" s="43">
        <v>0</v>
      </c>
      <c r="W226" s="43" t="s">
        <v>1030</v>
      </c>
      <c r="X226" s="43" t="s">
        <v>1622</v>
      </c>
      <c r="Y226" s="43">
        <v>0</v>
      </c>
      <c r="Z226" s="43">
        <v>0</v>
      </c>
      <c r="AA226" s="43">
        <v>2007</v>
      </c>
      <c r="AB226" s="43">
        <v>9999</v>
      </c>
      <c r="AC226" s="43" t="s">
        <v>35</v>
      </c>
    </row>
    <row r="227" spans="1:29" x14ac:dyDescent="0.25">
      <c r="A227" s="43" t="s">
        <v>83</v>
      </c>
      <c r="B227" s="39" t="s">
        <v>84</v>
      </c>
      <c r="C227" s="43"/>
      <c r="D227" s="43">
        <v>1</v>
      </c>
      <c r="E227" s="56" t="s">
        <v>85</v>
      </c>
      <c r="F227" s="43">
        <v>1</v>
      </c>
      <c r="G227" s="43">
        <v>2026</v>
      </c>
      <c r="H227" s="43" t="s">
        <v>39</v>
      </c>
      <c r="I227" s="43">
        <v>47.8</v>
      </c>
      <c r="J227" s="43" t="s">
        <v>40</v>
      </c>
      <c r="K227" s="43" t="s">
        <v>41</v>
      </c>
      <c r="M227" s="43">
        <v>0</v>
      </c>
      <c r="N227" s="43">
        <v>0</v>
      </c>
      <c r="O227" s="43">
        <v>0</v>
      </c>
      <c r="P227" s="43">
        <v>0</v>
      </c>
      <c r="Q227" s="43">
        <v>0</v>
      </c>
      <c r="R227" s="43">
        <v>0</v>
      </c>
      <c r="S227" s="43">
        <v>0</v>
      </c>
      <c r="T227" s="43">
        <v>0</v>
      </c>
      <c r="U227" s="43">
        <v>0</v>
      </c>
      <c r="V227" s="43">
        <v>0</v>
      </c>
      <c r="W227" s="43" t="s">
        <v>1630</v>
      </c>
      <c r="X227" s="43" t="s">
        <v>1850</v>
      </c>
      <c r="Y227" s="43">
        <v>0</v>
      </c>
      <c r="Z227" s="43">
        <v>0</v>
      </c>
      <c r="AA227" s="43">
        <v>2007</v>
      </c>
      <c r="AB227" s="43">
        <v>9999</v>
      </c>
      <c r="AC227" s="43" t="s">
        <v>35</v>
      </c>
    </row>
    <row r="228" spans="1:29" x14ac:dyDescent="0.25">
      <c r="A228" s="43" t="s">
        <v>541</v>
      </c>
      <c r="B228" s="39" t="s">
        <v>1479</v>
      </c>
      <c r="C228" s="43"/>
      <c r="D228" s="43">
        <v>1</v>
      </c>
      <c r="E228" s="56" t="s">
        <v>543</v>
      </c>
      <c r="F228" s="43">
        <v>10</v>
      </c>
      <c r="G228" s="43">
        <v>2026</v>
      </c>
      <c r="H228" s="43"/>
      <c r="I228" s="43">
        <v>54.6</v>
      </c>
      <c r="J228" s="43" t="s">
        <v>40</v>
      </c>
      <c r="K228" s="43" t="s">
        <v>47</v>
      </c>
      <c r="M228" s="43">
        <v>1</v>
      </c>
      <c r="N228" s="43">
        <v>0</v>
      </c>
      <c r="O228" s="43">
        <v>0</v>
      </c>
      <c r="P228" s="43">
        <v>0</v>
      </c>
      <c r="Q228" s="43">
        <v>0</v>
      </c>
      <c r="R228" s="43">
        <v>0</v>
      </c>
      <c r="S228" s="43">
        <v>1</v>
      </c>
      <c r="T228" s="43">
        <v>1</v>
      </c>
      <c r="U228" s="43">
        <v>1</v>
      </c>
      <c r="V228" s="43">
        <v>0</v>
      </c>
      <c r="W228" s="43" t="s">
        <v>1725</v>
      </c>
      <c r="X228" s="43" t="s">
        <v>1726</v>
      </c>
      <c r="Y228" s="43">
        <v>0</v>
      </c>
      <c r="Z228" s="43">
        <v>1</v>
      </c>
      <c r="AA228" s="43">
        <v>2007</v>
      </c>
      <c r="AB228" s="43">
        <v>9999</v>
      </c>
      <c r="AC228" s="43" t="s">
        <v>35</v>
      </c>
    </row>
    <row r="229" spans="1:29" x14ac:dyDescent="0.25">
      <c r="A229" s="43" t="s">
        <v>745</v>
      </c>
      <c r="B229" s="39" t="s">
        <v>746</v>
      </c>
      <c r="C229" s="43"/>
      <c r="D229" s="43">
        <v>1</v>
      </c>
      <c r="E229" s="56" t="s">
        <v>468</v>
      </c>
      <c r="F229" s="43">
        <v>7</v>
      </c>
      <c r="G229" s="43">
        <v>2026</v>
      </c>
      <c r="H229" s="43"/>
      <c r="I229" s="43">
        <v>984.1</v>
      </c>
      <c r="J229" s="43" t="s">
        <v>40</v>
      </c>
      <c r="K229" s="43" t="s">
        <v>32</v>
      </c>
      <c r="M229" s="43">
        <v>0</v>
      </c>
      <c r="N229" s="43">
        <v>0</v>
      </c>
      <c r="O229" s="43">
        <v>0</v>
      </c>
      <c r="P229" s="43">
        <v>0</v>
      </c>
      <c r="Q229" s="43">
        <v>0</v>
      </c>
      <c r="R229" s="43">
        <v>0</v>
      </c>
      <c r="S229" s="43">
        <v>1</v>
      </c>
      <c r="T229" s="43">
        <v>1</v>
      </c>
      <c r="U229" s="43">
        <v>1</v>
      </c>
      <c r="V229" s="43">
        <v>0</v>
      </c>
      <c r="W229" s="43" t="s">
        <v>1516</v>
      </c>
      <c r="X229" s="43" t="s">
        <v>2020</v>
      </c>
      <c r="Y229" s="43">
        <v>2</v>
      </c>
      <c r="Z229" s="43">
        <v>1</v>
      </c>
      <c r="AA229" s="43">
        <v>2007</v>
      </c>
      <c r="AB229" s="43">
        <v>9999</v>
      </c>
      <c r="AC229" s="43" t="s">
        <v>35</v>
      </c>
    </row>
    <row r="230" spans="1:29" x14ac:dyDescent="0.25">
      <c r="A230" s="43" t="s">
        <v>243</v>
      </c>
      <c r="B230" s="39" t="s">
        <v>244</v>
      </c>
      <c r="C230" s="43"/>
      <c r="D230" s="43">
        <v>1</v>
      </c>
      <c r="E230" s="56" t="s">
        <v>210</v>
      </c>
      <c r="F230" s="43">
        <v>10</v>
      </c>
      <c r="G230" s="43">
        <v>2026</v>
      </c>
      <c r="H230" s="43"/>
      <c r="I230" s="43">
        <v>12705.6</v>
      </c>
      <c r="J230" s="43" t="s">
        <v>40</v>
      </c>
      <c r="K230" s="43" t="s">
        <v>32</v>
      </c>
      <c r="M230" s="43">
        <v>0</v>
      </c>
      <c r="N230" s="43">
        <v>1</v>
      </c>
      <c r="O230" s="43">
        <v>0</v>
      </c>
      <c r="P230" s="43">
        <v>0</v>
      </c>
      <c r="Q230" s="43">
        <v>0</v>
      </c>
      <c r="R230" s="43">
        <v>0</v>
      </c>
      <c r="S230" s="43">
        <v>1</v>
      </c>
      <c r="T230" s="43">
        <v>1</v>
      </c>
      <c r="U230" s="43">
        <v>1</v>
      </c>
      <c r="V230" s="43">
        <v>0</v>
      </c>
      <c r="W230" s="43" t="s">
        <v>1293</v>
      </c>
      <c r="X230" s="43" t="s">
        <v>1861</v>
      </c>
      <c r="Y230" s="43">
        <v>0</v>
      </c>
      <c r="Z230" s="43">
        <v>0</v>
      </c>
      <c r="AA230" s="43">
        <v>2007</v>
      </c>
      <c r="AB230" s="43">
        <v>9999</v>
      </c>
      <c r="AC230" s="43" t="s">
        <v>35</v>
      </c>
    </row>
    <row r="231" spans="1:29" x14ac:dyDescent="0.25">
      <c r="A231" s="43" t="s">
        <v>266</v>
      </c>
      <c r="B231" s="39" t="s">
        <v>267</v>
      </c>
      <c r="C231" s="43"/>
      <c r="D231" s="43">
        <v>1</v>
      </c>
      <c r="E231" s="56" t="s">
        <v>85</v>
      </c>
      <c r="F231" s="43">
        <v>4</v>
      </c>
      <c r="G231" s="43">
        <v>2026</v>
      </c>
      <c r="H231" s="43"/>
      <c r="I231" s="43">
        <v>11</v>
      </c>
      <c r="J231" s="43" t="s">
        <v>268</v>
      </c>
      <c r="K231" s="43" t="s">
        <v>41</v>
      </c>
      <c r="M231" s="43">
        <v>0</v>
      </c>
      <c r="N231" s="43">
        <v>0</v>
      </c>
      <c r="O231" s="43">
        <v>0</v>
      </c>
      <c r="P231" s="43">
        <v>0</v>
      </c>
      <c r="Q231" s="43">
        <v>0</v>
      </c>
      <c r="R231" s="43">
        <v>0</v>
      </c>
      <c r="S231" s="43">
        <v>0</v>
      </c>
      <c r="T231" s="43">
        <v>0</v>
      </c>
      <c r="U231" s="43">
        <v>0</v>
      </c>
      <c r="V231" s="43">
        <v>0</v>
      </c>
      <c r="W231" s="43" t="s">
        <v>1079</v>
      </c>
      <c r="X231" s="43" t="s">
        <v>1960</v>
      </c>
      <c r="Y231" s="43">
        <v>0</v>
      </c>
      <c r="Z231" s="43">
        <v>0</v>
      </c>
      <c r="AA231" s="43">
        <v>2007</v>
      </c>
      <c r="AB231" s="43">
        <v>9999</v>
      </c>
      <c r="AC231" s="43" t="s">
        <v>35</v>
      </c>
    </row>
    <row r="232" spans="1:29" x14ac:dyDescent="0.25">
      <c r="A232" s="43" t="s">
        <v>295</v>
      </c>
      <c r="B232" s="39" t="s">
        <v>296</v>
      </c>
      <c r="C232" s="43"/>
      <c r="D232" s="43">
        <v>1</v>
      </c>
      <c r="E232" s="56" t="s">
        <v>128</v>
      </c>
      <c r="F232" s="43">
        <v>9</v>
      </c>
      <c r="G232" s="43">
        <v>2026</v>
      </c>
      <c r="H232" s="43" t="s">
        <v>1428</v>
      </c>
      <c r="I232" s="43">
        <v>0.1</v>
      </c>
      <c r="J232" s="43" t="s">
        <v>104</v>
      </c>
      <c r="K232" s="43" t="s">
        <v>41</v>
      </c>
      <c r="M232" s="43">
        <v>0</v>
      </c>
      <c r="N232" s="43">
        <v>0</v>
      </c>
      <c r="O232" s="43">
        <v>0</v>
      </c>
      <c r="P232" s="43">
        <v>0</v>
      </c>
      <c r="Q232" s="43">
        <v>0</v>
      </c>
      <c r="R232" s="43">
        <v>0</v>
      </c>
      <c r="S232" s="43">
        <v>0</v>
      </c>
      <c r="T232" s="43">
        <v>0</v>
      </c>
      <c r="U232" s="43">
        <v>0</v>
      </c>
      <c r="V232" s="43">
        <v>0</v>
      </c>
      <c r="W232" s="43" t="s">
        <v>1081</v>
      </c>
      <c r="X232" s="43" t="s">
        <v>1964</v>
      </c>
      <c r="Y232" s="43">
        <v>0</v>
      </c>
      <c r="Z232" s="43">
        <v>0</v>
      </c>
      <c r="AA232" s="43">
        <v>2007</v>
      </c>
      <c r="AB232" s="43">
        <v>9999</v>
      </c>
      <c r="AC232" s="43" t="s">
        <v>35</v>
      </c>
    </row>
    <row r="233" spans="1:29" x14ac:dyDescent="0.25">
      <c r="A233" s="43" t="s">
        <v>246</v>
      </c>
      <c r="B233" s="39" t="s">
        <v>247</v>
      </c>
      <c r="C233" s="43"/>
      <c r="D233" s="43">
        <v>1</v>
      </c>
      <c r="E233" s="56" t="s">
        <v>120</v>
      </c>
      <c r="F233" s="43">
        <v>3</v>
      </c>
      <c r="G233" s="43">
        <v>2026</v>
      </c>
      <c r="H233" s="43" t="s">
        <v>129</v>
      </c>
      <c r="I233" s="43">
        <v>2</v>
      </c>
      <c r="J233" s="43" t="s">
        <v>104</v>
      </c>
      <c r="K233" s="43" t="s">
        <v>41</v>
      </c>
      <c r="M233" s="43">
        <v>0</v>
      </c>
      <c r="N233" s="43">
        <v>0</v>
      </c>
      <c r="O233" s="43">
        <v>0</v>
      </c>
      <c r="P233" s="43">
        <v>0</v>
      </c>
      <c r="Q233" s="43">
        <v>0</v>
      </c>
      <c r="R233" s="43">
        <v>0</v>
      </c>
      <c r="S233" s="43">
        <v>0</v>
      </c>
      <c r="T233" s="43">
        <v>0</v>
      </c>
      <c r="U233" s="43">
        <v>1</v>
      </c>
      <c r="V233" s="43">
        <v>0</v>
      </c>
      <c r="W233" s="43" t="s">
        <v>1075</v>
      </c>
      <c r="X233" s="43" t="s">
        <v>1672</v>
      </c>
      <c r="Y233" s="43">
        <v>0</v>
      </c>
      <c r="Z233" s="43">
        <v>0</v>
      </c>
      <c r="AA233" s="43">
        <v>2007</v>
      </c>
      <c r="AB233" s="43">
        <v>9999</v>
      </c>
      <c r="AC233" s="43" t="s">
        <v>35</v>
      </c>
    </row>
    <row r="234" spans="1:29" x14ac:dyDescent="0.25">
      <c r="A234" s="43" t="s">
        <v>1013</v>
      </c>
      <c r="B234" s="39" t="s">
        <v>1014</v>
      </c>
      <c r="C234" s="43"/>
      <c r="D234" s="43">
        <v>1</v>
      </c>
      <c r="E234" s="56" t="s">
        <v>128</v>
      </c>
      <c r="F234" s="43">
        <v>9</v>
      </c>
      <c r="G234" s="43">
        <v>2026</v>
      </c>
      <c r="H234" s="43" t="s">
        <v>1513</v>
      </c>
      <c r="I234" s="43">
        <v>7.5</v>
      </c>
      <c r="J234" s="43" t="s">
        <v>104</v>
      </c>
      <c r="K234" s="43" t="s">
        <v>41</v>
      </c>
      <c r="M234" s="43">
        <v>0</v>
      </c>
      <c r="N234" s="43">
        <v>0</v>
      </c>
      <c r="O234" s="43">
        <v>0</v>
      </c>
      <c r="P234" s="43">
        <v>0</v>
      </c>
      <c r="Q234" s="43">
        <v>0</v>
      </c>
      <c r="R234" s="43">
        <v>0</v>
      </c>
      <c r="S234" s="43">
        <v>0</v>
      </c>
      <c r="T234" s="43">
        <v>0</v>
      </c>
      <c r="U234" s="43">
        <v>0</v>
      </c>
      <c r="V234" s="43">
        <v>0</v>
      </c>
      <c r="W234" s="43" t="s">
        <v>1229</v>
      </c>
      <c r="X234" s="43" t="s">
        <v>1844</v>
      </c>
      <c r="Y234" s="43">
        <v>0</v>
      </c>
      <c r="Z234" s="43">
        <v>0</v>
      </c>
      <c r="AA234" s="43">
        <v>2007</v>
      </c>
      <c r="AB234" s="43">
        <v>9999</v>
      </c>
      <c r="AC234" s="43" t="s">
        <v>35</v>
      </c>
    </row>
    <row r="235" spans="1:29" x14ac:dyDescent="0.25">
      <c r="A235" s="43" t="s">
        <v>738</v>
      </c>
      <c r="B235" s="39" t="s">
        <v>739</v>
      </c>
      <c r="C235" s="43"/>
      <c r="D235" s="43">
        <v>1</v>
      </c>
      <c r="E235" s="56" t="s">
        <v>128</v>
      </c>
      <c r="F235" s="43">
        <v>9</v>
      </c>
      <c r="G235" s="43">
        <v>2026</v>
      </c>
      <c r="H235" s="43" t="s">
        <v>1262</v>
      </c>
      <c r="I235" s="43">
        <v>16</v>
      </c>
      <c r="J235" s="43" t="s">
        <v>104</v>
      </c>
      <c r="K235" s="43" t="s">
        <v>41</v>
      </c>
      <c r="M235" s="43">
        <v>0</v>
      </c>
      <c r="N235" s="43">
        <v>0</v>
      </c>
      <c r="O235" s="43">
        <v>0</v>
      </c>
      <c r="P235" s="43">
        <v>0</v>
      </c>
      <c r="Q235" s="43">
        <v>0</v>
      </c>
      <c r="R235" s="43">
        <v>0</v>
      </c>
      <c r="S235" s="43">
        <v>0</v>
      </c>
      <c r="T235" s="43">
        <v>0</v>
      </c>
      <c r="U235" s="43">
        <v>0</v>
      </c>
      <c r="V235" s="43">
        <v>0</v>
      </c>
      <c r="W235" s="43" t="s">
        <v>1166</v>
      </c>
      <c r="X235" s="43" t="s">
        <v>1775</v>
      </c>
      <c r="Y235" s="43">
        <v>0</v>
      </c>
      <c r="Z235" s="43">
        <v>0</v>
      </c>
      <c r="AA235" s="43">
        <v>2007</v>
      </c>
      <c r="AB235" s="43">
        <v>9999</v>
      </c>
      <c r="AC235" s="43" t="s">
        <v>35</v>
      </c>
    </row>
    <row r="236" spans="1:29" x14ac:dyDescent="0.25">
      <c r="A236" s="43" t="s">
        <v>691</v>
      </c>
      <c r="B236" s="39" t="s">
        <v>692</v>
      </c>
      <c r="C236" s="43"/>
      <c r="D236" s="43">
        <v>1</v>
      </c>
      <c r="E236" s="56" t="s">
        <v>625</v>
      </c>
      <c r="F236" s="43">
        <v>4</v>
      </c>
      <c r="G236" s="43">
        <v>2026</v>
      </c>
      <c r="H236" s="43"/>
      <c r="I236" s="43">
        <v>29.9</v>
      </c>
      <c r="J236" s="43" t="s">
        <v>104</v>
      </c>
      <c r="K236" s="43" t="s">
        <v>32</v>
      </c>
      <c r="M236" s="43">
        <v>0</v>
      </c>
      <c r="N236" s="43">
        <v>0</v>
      </c>
      <c r="O236" s="43">
        <v>0</v>
      </c>
      <c r="P236" s="43">
        <v>0</v>
      </c>
      <c r="Q236" s="43">
        <v>0</v>
      </c>
      <c r="R236" s="43">
        <v>0</v>
      </c>
      <c r="S236" s="43">
        <v>1</v>
      </c>
      <c r="T236" s="43">
        <v>1</v>
      </c>
      <c r="U236" s="43">
        <v>1</v>
      </c>
      <c r="V236" s="43">
        <v>0</v>
      </c>
      <c r="W236" s="43" t="s">
        <v>1155</v>
      </c>
      <c r="X236" s="43" t="s">
        <v>1761</v>
      </c>
      <c r="Y236" s="43">
        <v>0</v>
      </c>
      <c r="Z236" s="43">
        <v>0</v>
      </c>
      <c r="AA236" s="43">
        <v>2007</v>
      </c>
      <c r="AB236" s="43">
        <v>9999</v>
      </c>
      <c r="AC236" s="43" t="s">
        <v>35</v>
      </c>
    </row>
    <row r="237" spans="1:29" x14ac:dyDescent="0.25">
      <c r="A237" s="43" t="s">
        <v>408</v>
      </c>
      <c r="B237" s="39" t="s">
        <v>409</v>
      </c>
      <c r="C237" s="43"/>
      <c r="D237" s="43">
        <v>1</v>
      </c>
      <c r="E237" s="56" t="s">
        <v>103</v>
      </c>
      <c r="F237" s="43">
        <v>9</v>
      </c>
      <c r="G237" s="43">
        <v>2026</v>
      </c>
      <c r="H237" s="43"/>
      <c r="I237" s="43">
        <v>53.3</v>
      </c>
      <c r="J237" s="43" t="s">
        <v>104</v>
      </c>
      <c r="K237" s="43" t="s">
        <v>53</v>
      </c>
      <c r="L237" s="43" t="s">
        <v>105</v>
      </c>
      <c r="M237" s="43">
        <v>0</v>
      </c>
      <c r="N237" s="43">
        <v>0</v>
      </c>
      <c r="O237" s="43">
        <v>0</v>
      </c>
      <c r="P237" s="43">
        <v>1</v>
      </c>
      <c r="Q237" s="43">
        <v>0</v>
      </c>
      <c r="R237" s="43">
        <v>0</v>
      </c>
      <c r="S237" s="43">
        <v>1</v>
      </c>
      <c r="T237" s="43">
        <v>1</v>
      </c>
      <c r="U237" s="43">
        <v>1</v>
      </c>
      <c r="V237" s="43">
        <v>0</v>
      </c>
      <c r="W237" s="43" t="s">
        <v>106</v>
      </c>
      <c r="X237" s="43" t="s">
        <v>1941</v>
      </c>
      <c r="Y237" s="43">
        <v>0</v>
      </c>
      <c r="Z237" s="43">
        <v>0</v>
      </c>
      <c r="AA237" s="43">
        <v>2007</v>
      </c>
      <c r="AB237" s="43">
        <v>9999</v>
      </c>
      <c r="AC237" s="43" t="s">
        <v>35</v>
      </c>
    </row>
    <row r="238" spans="1:29" x14ac:dyDescent="0.25">
      <c r="A238" s="43" t="s">
        <v>710</v>
      </c>
      <c r="B238" s="39" t="s">
        <v>711</v>
      </c>
      <c r="C238" s="43"/>
      <c r="D238" s="43">
        <v>1</v>
      </c>
      <c r="E238" s="56" t="s">
        <v>712</v>
      </c>
      <c r="F238" s="43">
        <v>9</v>
      </c>
      <c r="G238" s="43">
        <v>2026</v>
      </c>
      <c r="H238" s="43"/>
      <c r="I238" s="43">
        <v>123.8</v>
      </c>
      <c r="J238" s="43" t="s">
        <v>104</v>
      </c>
      <c r="K238" s="43" t="s">
        <v>41</v>
      </c>
      <c r="M238" s="43">
        <v>0</v>
      </c>
      <c r="N238" s="43">
        <v>0</v>
      </c>
      <c r="O238" s="43">
        <v>0</v>
      </c>
      <c r="P238" s="43">
        <v>0</v>
      </c>
      <c r="Q238" s="43">
        <v>0</v>
      </c>
      <c r="R238" s="43">
        <v>0</v>
      </c>
      <c r="S238" s="43">
        <v>0</v>
      </c>
      <c r="T238" s="43">
        <v>1</v>
      </c>
      <c r="U238" s="43">
        <v>1</v>
      </c>
      <c r="V238" s="43">
        <v>0</v>
      </c>
      <c r="W238" s="43" t="s">
        <v>1406</v>
      </c>
      <c r="X238" s="43" t="s">
        <v>1884</v>
      </c>
      <c r="Y238" s="43">
        <v>0</v>
      </c>
      <c r="Z238" s="43">
        <v>0</v>
      </c>
      <c r="AA238" s="43">
        <v>2007</v>
      </c>
      <c r="AB238" s="43">
        <v>9999</v>
      </c>
      <c r="AC238" s="43" t="s">
        <v>35</v>
      </c>
    </row>
    <row r="239" spans="1:29" x14ac:dyDescent="0.25">
      <c r="A239" s="43" t="s">
        <v>380</v>
      </c>
      <c r="B239" s="39" t="s">
        <v>381</v>
      </c>
      <c r="C239" s="43"/>
      <c r="D239" s="43">
        <v>1</v>
      </c>
      <c r="E239" s="56" t="s">
        <v>103</v>
      </c>
      <c r="F239" s="43">
        <v>9</v>
      </c>
      <c r="G239" s="43">
        <v>2026</v>
      </c>
      <c r="H239" s="43"/>
      <c r="I239" s="43">
        <v>160.80000000000001</v>
      </c>
      <c r="J239" s="43" t="s">
        <v>104</v>
      </c>
      <c r="K239" s="43" t="s">
        <v>53</v>
      </c>
      <c r="L239" s="43" t="s">
        <v>105</v>
      </c>
      <c r="M239" s="43">
        <v>0</v>
      </c>
      <c r="N239" s="43">
        <v>0</v>
      </c>
      <c r="O239" s="43">
        <v>0</v>
      </c>
      <c r="P239" s="43">
        <v>1</v>
      </c>
      <c r="Q239" s="43">
        <v>0</v>
      </c>
      <c r="R239" s="43">
        <v>0</v>
      </c>
      <c r="S239" s="43">
        <v>1</v>
      </c>
      <c r="T239" s="43">
        <v>1</v>
      </c>
      <c r="U239" s="43">
        <v>1</v>
      </c>
      <c r="V239" s="43">
        <v>0</v>
      </c>
      <c r="W239" s="43" t="s">
        <v>106</v>
      </c>
      <c r="X239" s="43" t="s">
        <v>1941</v>
      </c>
      <c r="Y239" s="43">
        <v>0</v>
      </c>
      <c r="Z239" s="43">
        <v>0</v>
      </c>
      <c r="AA239" s="43">
        <v>2007</v>
      </c>
      <c r="AB239" s="43">
        <v>9999</v>
      </c>
      <c r="AC239" s="43" t="s">
        <v>35</v>
      </c>
    </row>
    <row r="240" spans="1:29" x14ac:dyDescent="0.25">
      <c r="A240" s="43" t="s">
        <v>993</v>
      </c>
      <c r="B240" s="39" t="s">
        <v>129</v>
      </c>
      <c r="C240" s="43"/>
      <c r="D240" s="43">
        <v>1</v>
      </c>
      <c r="E240" s="56" t="s">
        <v>103</v>
      </c>
      <c r="F240" s="43">
        <v>1</v>
      </c>
      <c r="G240" s="43">
        <v>2026</v>
      </c>
      <c r="H240" s="43"/>
      <c r="I240" s="43">
        <v>294.8</v>
      </c>
      <c r="J240" s="43" t="s">
        <v>104</v>
      </c>
      <c r="K240" s="43" t="s">
        <v>32</v>
      </c>
      <c r="M240" s="43">
        <v>0</v>
      </c>
      <c r="N240" s="43">
        <v>0</v>
      </c>
      <c r="O240" s="43">
        <v>0</v>
      </c>
      <c r="P240" s="43">
        <v>0</v>
      </c>
      <c r="Q240" s="43">
        <v>0</v>
      </c>
      <c r="R240" s="43">
        <v>0</v>
      </c>
      <c r="S240" s="43">
        <v>1</v>
      </c>
      <c r="T240" s="43">
        <v>1</v>
      </c>
      <c r="U240" s="43">
        <v>1</v>
      </c>
      <c r="V240" s="43">
        <v>0</v>
      </c>
      <c r="W240" s="43" t="s">
        <v>1340</v>
      </c>
      <c r="X240" s="43" t="s">
        <v>2040</v>
      </c>
      <c r="Y240" s="43">
        <v>7</v>
      </c>
      <c r="Z240" s="43">
        <v>0</v>
      </c>
      <c r="AA240" s="43">
        <v>2007</v>
      </c>
      <c r="AB240" s="43">
        <v>9999</v>
      </c>
      <c r="AC240" s="43" t="s">
        <v>35</v>
      </c>
    </row>
    <row r="241" spans="1:29" x14ac:dyDescent="0.25">
      <c r="A241" s="43" t="s">
        <v>288</v>
      </c>
      <c r="B241" s="39" t="s">
        <v>289</v>
      </c>
      <c r="C241" s="43"/>
      <c r="D241" s="43">
        <v>1</v>
      </c>
      <c r="E241" s="56" t="s">
        <v>103</v>
      </c>
      <c r="F241" s="43">
        <v>9</v>
      </c>
      <c r="G241" s="43">
        <v>2026</v>
      </c>
      <c r="H241" s="43"/>
      <c r="I241" s="43">
        <v>400.7</v>
      </c>
      <c r="J241" s="43" t="s">
        <v>104</v>
      </c>
      <c r="K241" s="43" t="s">
        <v>53</v>
      </c>
      <c r="L241" s="43" t="s">
        <v>105</v>
      </c>
      <c r="M241" s="43">
        <v>0</v>
      </c>
      <c r="N241" s="43">
        <v>0</v>
      </c>
      <c r="O241" s="43">
        <v>0</v>
      </c>
      <c r="P241" s="43">
        <v>1</v>
      </c>
      <c r="Q241" s="43">
        <v>0</v>
      </c>
      <c r="R241" s="43">
        <v>0</v>
      </c>
      <c r="S241" s="43">
        <v>1</v>
      </c>
      <c r="T241" s="43">
        <v>1</v>
      </c>
      <c r="U241" s="43">
        <v>1</v>
      </c>
      <c r="V241" s="43">
        <v>0</v>
      </c>
      <c r="W241" s="43" t="s">
        <v>106</v>
      </c>
      <c r="X241" s="43" t="s">
        <v>1941</v>
      </c>
      <c r="Y241" s="43">
        <v>0</v>
      </c>
      <c r="Z241" s="43">
        <v>0</v>
      </c>
      <c r="AA241" s="43">
        <v>2007</v>
      </c>
      <c r="AB241" s="43">
        <v>9999</v>
      </c>
      <c r="AC241" s="43" t="s">
        <v>35</v>
      </c>
    </row>
    <row r="242" spans="1:29" x14ac:dyDescent="0.25">
      <c r="A242" s="43" t="s">
        <v>101</v>
      </c>
      <c r="B242" s="39" t="s">
        <v>102</v>
      </c>
      <c r="C242" s="43"/>
      <c r="D242" s="43">
        <v>1</v>
      </c>
      <c r="E242" s="56" t="s">
        <v>103</v>
      </c>
      <c r="F242" s="43">
        <v>9</v>
      </c>
      <c r="G242" s="43">
        <v>2026</v>
      </c>
      <c r="H242" s="43"/>
      <c r="I242" s="43">
        <v>430.1</v>
      </c>
      <c r="J242" s="43" t="s">
        <v>104</v>
      </c>
      <c r="K242" s="43" t="s">
        <v>53</v>
      </c>
      <c r="L242" s="43" t="s">
        <v>105</v>
      </c>
      <c r="M242" s="43">
        <v>0</v>
      </c>
      <c r="N242" s="43">
        <v>0</v>
      </c>
      <c r="O242" s="43">
        <v>0</v>
      </c>
      <c r="P242" s="43">
        <v>1</v>
      </c>
      <c r="Q242" s="43">
        <v>0</v>
      </c>
      <c r="R242" s="43">
        <v>0</v>
      </c>
      <c r="S242" s="43">
        <v>1</v>
      </c>
      <c r="T242" s="43">
        <v>1</v>
      </c>
      <c r="U242" s="43">
        <v>1</v>
      </c>
      <c r="V242" s="43">
        <v>0</v>
      </c>
      <c r="W242" s="43" t="s">
        <v>106</v>
      </c>
      <c r="X242" s="43" t="s">
        <v>1941</v>
      </c>
      <c r="Y242" s="43">
        <v>0</v>
      </c>
      <c r="Z242" s="43">
        <v>0</v>
      </c>
      <c r="AA242" s="43">
        <v>2007</v>
      </c>
      <c r="AB242" s="43">
        <v>9999</v>
      </c>
      <c r="AC242" s="43" t="s">
        <v>35</v>
      </c>
    </row>
    <row r="243" spans="1:29" x14ac:dyDescent="0.25">
      <c r="A243" s="43" t="s">
        <v>237</v>
      </c>
      <c r="B243" s="39" t="s">
        <v>238</v>
      </c>
      <c r="C243" s="43"/>
      <c r="D243" s="43">
        <v>1</v>
      </c>
      <c r="E243" s="56" t="s">
        <v>218</v>
      </c>
      <c r="F243" s="43">
        <v>2</v>
      </c>
      <c r="G243" s="43">
        <v>2026</v>
      </c>
      <c r="H243" s="43"/>
      <c r="I243" s="43">
        <v>502</v>
      </c>
      <c r="J243" s="43" t="s">
        <v>104</v>
      </c>
      <c r="K243" s="43" t="s">
        <v>53</v>
      </c>
      <c r="L243" s="43" t="s">
        <v>105</v>
      </c>
      <c r="M243" s="43">
        <v>0</v>
      </c>
      <c r="N243" s="43">
        <v>0</v>
      </c>
      <c r="O243" s="43">
        <v>0</v>
      </c>
      <c r="P243" s="43">
        <v>1</v>
      </c>
      <c r="Q243" s="43">
        <v>0</v>
      </c>
      <c r="R243" s="43">
        <v>0</v>
      </c>
      <c r="S243" s="43">
        <v>1</v>
      </c>
      <c r="T243" s="43">
        <v>1</v>
      </c>
      <c r="U243" s="43">
        <v>1</v>
      </c>
      <c r="V243" s="43">
        <v>0</v>
      </c>
      <c r="W243" s="43" t="s">
        <v>1072</v>
      </c>
      <c r="X243" s="43" t="s">
        <v>1860</v>
      </c>
      <c r="Y243" s="43">
        <v>0</v>
      </c>
      <c r="Z243" s="43">
        <v>0</v>
      </c>
      <c r="AA243" s="43">
        <v>2007</v>
      </c>
      <c r="AB243" s="43">
        <v>9999</v>
      </c>
      <c r="AC243" s="43" t="s">
        <v>35</v>
      </c>
    </row>
    <row r="244" spans="1:29" x14ac:dyDescent="0.25">
      <c r="A244" s="43" t="s">
        <v>293</v>
      </c>
      <c r="B244" s="39" t="s">
        <v>294</v>
      </c>
      <c r="C244" s="43"/>
      <c r="D244" s="43">
        <v>1</v>
      </c>
      <c r="E244" s="56" t="s">
        <v>103</v>
      </c>
      <c r="F244" s="43">
        <v>9</v>
      </c>
      <c r="G244" s="43">
        <v>2026</v>
      </c>
      <c r="H244" s="43"/>
      <c r="I244" s="43">
        <v>559.4</v>
      </c>
      <c r="J244" s="43" t="s">
        <v>104</v>
      </c>
      <c r="K244" s="43" t="s">
        <v>53</v>
      </c>
      <c r="L244" s="43" t="s">
        <v>105</v>
      </c>
      <c r="M244" s="43">
        <v>0</v>
      </c>
      <c r="N244" s="43">
        <v>0</v>
      </c>
      <c r="O244" s="43">
        <v>0</v>
      </c>
      <c r="P244" s="43">
        <v>1</v>
      </c>
      <c r="Q244" s="43">
        <v>0</v>
      </c>
      <c r="R244" s="43">
        <v>0</v>
      </c>
      <c r="S244" s="43">
        <v>1</v>
      </c>
      <c r="T244" s="43">
        <v>1</v>
      </c>
      <c r="U244" s="43">
        <v>1</v>
      </c>
      <c r="V244" s="43">
        <v>0</v>
      </c>
      <c r="W244" s="43" t="s">
        <v>106</v>
      </c>
      <c r="X244" s="43" t="s">
        <v>1941</v>
      </c>
      <c r="Y244" s="43">
        <v>0</v>
      </c>
      <c r="Z244" s="43">
        <v>0</v>
      </c>
      <c r="AA244" s="43">
        <v>2007</v>
      </c>
      <c r="AB244" s="43">
        <v>9999</v>
      </c>
      <c r="AC244" s="43" t="s">
        <v>35</v>
      </c>
    </row>
    <row r="245" spans="1:29" x14ac:dyDescent="0.25">
      <c r="A245" s="43" t="s">
        <v>284</v>
      </c>
      <c r="B245" s="39" t="s">
        <v>285</v>
      </c>
      <c r="C245" s="43"/>
      <c r="D245" s="43">
        <v>1</v>
      </c>
      <c r="E245" s="56" t="s">
        <v>103</v>
      </c>
      <c r="F245" s="43">
        <v>9</v>
      </c>
      <c r="G245" s="43">
        <v>2026</v>
      </c>
      <c r="H245" s="43"/>
      <c r="I245" s="43">
        <v>575.70000000000005</v>
      </c>
      <c r="J245" s="43" t="s">
        <v>104</v>
      </c>
      <c r="K245" s="43" t="s">
        <v>53</v>
      </c>
      <c r="L245" s="43" t="s">
        <v>105</v>
      </c>
      <c r="M245" s="43">
        <v>0</v>
      </c>
      <c r="N245" s="43">
        <v>0</v>
      </c>
      <c r="O245" s="43">
        <v>0</v>
      </c>
      <c r="P245" s="43">
        <v>1</v>
      </c>
      <c r="Q245" s="43">
        <v>0</v>
      </c>
      <c r="R245" s="43">
        <v>0</v>
      </c>
      <c r="S245" s="43">
        <v>1</v>
      </c>
      <c r="T245" s="43">
        <v>1</v>
      </c>
      <c r="U245" s="43">
        <v>1</v>
      </c>
      <c r="V245" s="43">
        <v>0</v>
      </c>
      <c r="W245" s="43" t="s">
        <v>106</v>
      </c>
      <c r="X245" s="43" t="s">
        <v>1941</v>
      </c>
      <c r="Y245" s="43">
        <v>0</v>
      </c>
      <c r="Z245" s="43">
        <v>0</v>
      </c>
      <c r="AA245" s="43">
        <v>2007</v>
      </c>
      <c r="AB245" s="43">
        <v>9999</v>
      </c>
      <c r="AC245" s="43" t="s">
        <v>35</v>
      </c>
    </row>
    <row r="246" spans="1:29" x14ac:dyDescent="0.25">
      <c r="A246" s="43" t="s">
        <v>278</v>
      </c>
      <c r="B246" s="39" t="s">
        <v>279</v>
      </c>
      <c r="C246" s="43"/>
      <c r="D246" s="43">
        <v>1</v>
      </c>
      <c r="E246" s="56" t="s">
        <v>103</v>
      </c>
      <c r="F246" s="43">
        <v>9</v>
      </c>
      <c r="G246" s="43">
        <v>2026</v>
      </c>
      <c r="H246" s="43"/>
      <c r="I246" s="43">
        <v>614.79999999999995</v>
      </c>
      <c r="J246" s="43" t="s">
        <v>104</v>
      </c>
      <c r="K246" s="43" t="s">
        <v>53</v>
      </c>
      <c r="L246" s="43" t="s">
        <v>105</v>
      </c>
      <c r="M246" s="43">
        <v>0</v>
      </c>
      <c r="N246" s="43">
        <v>0</v>
      </c>
      <c r="O246" s="43">
        <v>0</v>
      </c>
      <c r="P246" s="43">
        <v>1</v>
      </c>
      <c r="Q246" s="43">
        <v>0</v>
      </c>
      <c r="R246" s="43">
        <v>0</v>
      </c>
      <c r="S246" s="43">
        <v>1</v>
      </c>
      <c r="T246" s="43">
        <v>1</v>
      </c>
      <c r="U246" s="43">
        <v>1</v>
      </c>
      <c r="V246" s="43">
        <v>0</v>
      </c>
      <c r="W246" s="43" t="s">
        <v>106</v>
      </c>
      <c r="X246" s="43" t="s">
        <v>1941</v>
      </c>
      <c r="Y246" s="43">
        <v>0</v>
      </c>
      <c r="Z246" s="43">
        <v>0</v>
      </c>
      <c r="AA246" s="43">
        <v>2007</v>
      </c>
      <c r="AB246" s="43">
        <v>9999</v>
      </c>
      <c r="AC246" s="43" t="s">
        <v>35</v>
      </c>
    </row>
    <row r="247" spans="1:29" x14ac:dyDescent="0.25">
      <c r="A247" s="43" t="s">
        <v>282</v>
      </c>
      <c r="B247" s="39" t="s">
        <v>283</v>
      </c>
      <c r="C247" s="43"/>
      <c r="D247" s="43">
        <v>1</v>
      </c>
      <c r="E247" s="56" t="s">
        <v>103</v>
      </c>
      <c r="F247" s="43">
        <v>9</v>
      </c>
      <c r="G247" s="43">
        <v>2026</v>
      </c>
      <c r="H247" s="43"/>
      <c r="I247" s="43">
        <v>622.29999999999995</v>
      </c>
      <c r="J247" s="43" t="s">
        <v>104</v>
      </c>
      <c r="K247" s="43" t="s">
        <v>53</v>
      </c>
      <c r="L247" s="43" t="s">
        <v>105</v>
      </c>
      <c r="M247" s="43">
        <v>0</v>
      </c>
      <c r="N247" s="43">
        <v>0</v>
      </c>
      <c r="O247" s="43">
        <v>0</v>
      </c>
      <c r="P247" s="43">
        <v>1</v>
      </c>
      <c r="Q247" s="43">
        <v>0</v>
      </c>
      <c r="R247" s="43">
        <v>0</v>
      </c>
      <c r="S247" s="43">
        <v>1</v>
      </c>
      <c r="T247" s="43">
        <v>1</v>
      </c>
      <c r="U247" s="43">
        <v>1</v>
      </c>
      <c r="V247" s="43">
        <v>0</v>
      </c>
      <c r="W247" s="43" t="s">
        <v>106</v>
      </c>
      <c r="X247" s="43" t="s">
        <v>1941</v>
      </c>
      <c r="Y247" s="43">
        <v>0</v>
      </c>
      <c r="Z247" s="43">
        <v>0</v>
      </c>
      <c r="AA247" s="43">
        <v>2007</v>
      </c>
      <c r="AB247" s="43">
        <v>9999</v>
      </c>
      <c r="AC247" s="43" t="s">
        <v>35</v>
      </c>
    </row>
    <row r="248" spans="1:29" x14ac:dyDescent="0.25">
      <c r="A248" s="43" t="s">
        <v>280</v>
      </c>
      <c r="B248" s="39" t="s">
        <v>281</v>
      </c>
      <c r="C248" s="43"/>
      <c r="D248" s="43">
        <v>1</v>
      </c>
      <c r="E248" s="56" t="s">
        <v>103</v>
      </c>
      <c r="F248" s="43">
        <v>9</v>
      </c>
      <c r="G248" s="43">
        <v>2026</v>
      </c>
      <c r="H248" s="43"/>
      <c r="I248" s="43">
        <v>740.7</v>
      </c>
      <c r="J248" s="43" t="s">
        <v>104</v>
      </c>
      <c r="K248" s="43" t="s">
        <v>53</v>
      </c>
      <c r="L248" s="43" t="s">
        <v>105</v>
      </c>
      <c r="M248" s="43">
        <v>0</v>
      </c>
      <c r="N248" s="43">
        <v>0</v>
      </c>
      <c r="O248" s="43">
        <v>0</v>
      </c>
      <c r="P248" s="43">
        <v>1</v>
      </c>
      <c r="Q248" s="43">
        <v>0</v>
      </c>
      <c r="R248" s="43">
        <v>0</v>
      </c>
      <c r="S248" s="43">
        <v>1</v>
      </c>
      <c r="T248" s="43">
        <v>1</v>
      </c>
      <c r="U248" s="43">
        <v>1</v>
      </c>
      <c r="V248" s="43">
        <v>0</v>
      </c>
      <c r="W248" s="43" t="s">
        <v>106</v>
      </c>
      <c r="X248" s="43" t="s">
        <v>1941</v>
      </c>
      <c r="Y248" s="43">
        <v>0</v>
      </c>
      <c r="Z248" s="43">
        <v>0</v>
      </c>
      <c r="AA248" s="43">
        <v>2007</v>
      </c>
      <c r="AB248" s="43">
        <v>9999</v>
      </c>
      <c r="AC248" s="43" t="s">
        <v>35</v>
      </c>
    </row>
    <row r="249" spans="1:29" x14ac:dyDescent="0.25">
      <c r="A249" s="43" t="s">
        <v>1020</v>
      </c>
      <c r="B249" s="39" t="s">
        <v>1021</v>
      </c>
      <c r="C249" s="43"/>
      <c r="D249" s="43">
        <v>1</v>
      </c>
      <c r="E249" s="56" t="s">
        <v>103</v>
      </c>
      <c r="F249" s="43">
        <v>9</v>
      </c>
      <c r="G249" s="43">
        <v>2026</v>
      </c>
      <c r="H249" s="43"/>
      <c r="I249" s="43">
        <v>17</v>
      </c>
      <c r="J249" s="43" t="s">
        <v>104</v>
      </c>
      <c r="K249" s="43" t="s">
        <v>47</v>
      </c>
      <c r="M249" s="43">
        <v>0</v>
      </c>
      <c r="N249" s="43">
        <v>0</v>
      </c>
      <c r="O249" s="43">
        <v>0</v>
      </c>
      <c r="P249" s="43">
        <v>0</v>
      </c>
      <c r="Q249" s="43">
        <v>0</v>
      </c>
      <c r="R249" s="43">
        <v>0</v>
      </c>
      <c r="S249" s="43">
        <v>0</v>
      </c>
      <c r="T249" s="43">
        <v>1</v>
      </c>
      <c r="U249" s="43">
        <v>1</v>
      </c>
      <c r="V249" s="43">
        <v>0</v>
      </c>
      <c r="W249" s="43" t="s">
        <v>1231</v>
      </c>
      <c r="X249" s="43" t="s">
        <v>2042</v>
      </c>
      <c r="Y249" s="43">
        <v>1</v>
      </c>
      <c r="Z249" s="43">
        <v>0</v>
      </c>
      <c r="AA249" s="43">
        <v>2007</v>
      </c>
      <c r="AB249" s="43">
        <v>9999</v>
      </c>
      <c r="AC249" s="43" t="s">
        <v>35</v>
      </c>
    </row>
    <row r="250" spans="1:29" x14ac:dyDescent="0.25">
      <c r="A250" s="43" t="s">
        <v>937</v>
      </c>
      <c r="B250" s="39" t="s">
        <v>938</v>
      </c>
      <c r="C250" s="43"/>
      <c r="D250" s="43">
        <v>1</v>
      </c>
      <c r="E250" s="56" t="s">
        <v>103</v>
      </c>
      <c r="F250" s="43">
        <v>9</v>
      </c>
      <c r="G250" s="43">
        <v>2026</v>
      </c>
      <c r="H250" s="43"/>
      <c r="I250" s="43">
        <v>836</v>
      </c>
      <c r="J250" s="43" t="s">
        <v>104</v>
      </c>
      <c r="K250" s="43" t="s">
        <v>53</v>
      </c>
      <c r="L250" s="43" t="s">
        <v>105</v>
      </c>
      <c r="M250" s="43">
        <v>0</v>
      </c>
      <c r="N250" s="43">
        <v>0</v>
      </c>
      <c r="O250" s="43">
        <v>0</v>
      </c>
      <c r="P250" s="43">
        <v>1</v>
      </c>
      <c r="Q250" s="43">
        <v>0</v>
      </c>
      <c r="R250" s="43">
        <v>0</v>
      </c>
      <c r="S250" s="43">
        <v>1</v>
      </c>
      <c r="T250" s="43">
        <v>1</v>
      </c>
      <c r="U250" s="43">
        <v>1</v>
      </c>
      <c r="V250" s="43">
        <v>0</v>
      </c>
      <c r="W250" s="43" t="s">
        <v>106</v>
      </c>
      <c r="X250" s="43" t="s">
        <v>1941</v>
      </c>
      <c r="Y250" s="43">
        <v>0</v>
      </c>
      <c r="Z250" s="43">
        <v>0</v>
      </c>
      <c r="AA250" s="43">
        <v>2007</v>
      </c>
      <c r="AB250" s="43">
        <v>9999</v>
      </c>
      <c r="AC250" s="43" t="s">
        <v>35</v>
      </c>
    </row>
    <row r="251" spans="1:29" s="40" customFormat="1" x14ac:dyDescent="0.25">
      <c r="A251" s="43" t="s">
        <v>536</v>
      </c>
      <c r="B251" s="39" t="s">
        <v>537</v>
      </c>
      <c r="C251" s="43"/>
      <c r="D251" s="43">
        <v>1</v>
      </c>
      <c r="E251" s="56" t="s">
        <v>103</v>
      </c>
      <c r="F251" s="43">
        <v>9</v>
      </c>
      <c r="G251" s="43">
        <v>2026</v>
      </c>
      <c r="H251" s="43"/>
      <c r="I251" s="43">
        <v>968.8</v>
      </c>
      <c r="J251" s="43" t="s">
        <v>104</v>
      </c>
      <c r="K251" s="43" t="s">
        <v>53</v>
      </c>
      <c r="L251" s="43" t="s">
        <v>105</v>
      </c>
      <c r="M251" s="43">
        <v>0</v>
      </c>
      <c r="N251" s="43">
        <v>0</v>
      </c>
      <c r="O251" s="43">
        <v>0</v>
      </c>
      <c r="P251" s="43">
        <v>1</v>
      </c>
      <c r="Q251" s="43">
        <v>0</v>
      </c>
      <c r="R251" s="43">
        <v>0</v>
      </c>
      <c r="S251" s="43">
        <v>1</v>
      </c>
      <c r="T251" s="43">
        <v>1</v>
      </c>
      <c r="U251" s="43">
        <v>1</v>
      </c>
      <c r="V251" s="43">
        <v>0</v>
      </c>
      <c r="W251" s="43" t="s">
        <v>106</v>
      </c>
      <c r="X251" s="43" t="s">
        <v>1941</v>
      </c>
      <c r="Y251" s="43">
        <v>0</v>
      </c>
      <c r="Z251" s="43">
        <v>0</v>
      </c>
      <c r="AA251" s="43">
        <v>2007</v>
      </c>
      <c r="AB251" s="43">
        <v>9999</v>
      </c>
      <c r="AC251" s="43" t="s">
        <v>35</v>
      </c>
    </row>
    <row r="252" spans="1:29" x14ac:dyDescent="0.25">
      <c r="A252" s="43" t="s">
        <v>324</v>
      </c>
      <c r="B252" s="39" t="s">
        <v>325</v>
      </c>
      <c r="C252" s="43"/>
      <c r="D252" s="43">
        <v>1</v>
      </c>
      <c r="E252" s="56" t="s">
        <v>103</v>
      </c>
      <c r="F252" s="43">
        <v>9</v>
      </c>
      <c r="G252" s="43">
        <v>2026</v>
      </c>
      <c r="H252" s="43"/>
      <c r="I252" s="43">
        <v>107.2</v>
      </c>
      <c r="J252" s="43" t="s">
        <v>104</v>
      </c>
      <c r="K252" s="43" t="s">
        <v>47</v>
      </c>
      <c r="M252" s="43">
        <v>1</v>
      </c>
      <c r="N252" s="43">
        <v>0</v>
      </c>
      <c r="O252" s="43">
        <v>0</v>
      </c>
      <c r="P252" s="43">
        <v>0</v>
      </c>
      <c r="Q252" s="43">
        <v>0</v>
      </c>
      <c r="R252" s="43">
        <v>0</v>
      </c>
      <c r="S252" s="43">
        <v>1</v>
      </c>
      <c r="T252" s="43">
        <v>1</v>
      </c>
      <c r="U252" s="43">
        <v>1</v>
      </c>
      <c r="V252" s="43">
        <v>0</v>
      </c>
      <c r="W252" s="43" t="s">
        <v>1086</v>
      </c>
      <c r="X252" s="43" t="s">
        <v>1688</v>
      </c>
      <c r="Y252" s="43">
        <v>0</v>
      </c>
      <c r="Z252" s="43">
        <v>0</v>
      </c>
      <c r="AA252" s="43">
        <v>2007</v>
      </c>
      <c r="AB252" s="43">
        <v>9999</v>
      </c>
      <c r="AC252" s="43" t="s">
        <v>35</v>
      </c>
    </row>
    <row r="253" spans="1:29" x14ac:dyDescent="0.25">
      <c r="A253" s="43" t="s">
        <v>1011</v>
      </c>
      <c r="B253" s="39" t="s">
        <v>1012</v>
      </c>
      <c r="C253" s="43"/>
      <c r="D253" s="43">
        <v>1</v>
      </c>
      <c r="E253" s="56" t="s">
        <v>103</v>
      </c>
      <c r="F253" s="43">
        <v>9</v>
      </c>
      <c r="G253" s="43">
        <v>2026</v>
      </c>
      <c r="H253" s="43"/>
      <c r="I253" s="43">
        <v>1198.5</v>
      </c>
      <c r="J253" s="43" t="s">
        <v>104</v>
      </c>
      <c r="K253" s="43" t="s">
        <v>53</v>
      </c>
      <c r="L253" s="43" t="s">
        <v>105</v>
      </c>
      <c r="M253" s="43">
        <v>0</v>
      </c>
      <c r="N253" s="43">
        <v>0</v>
      </c>
      <c r="O253" s="43">
        <v>0</v>
      </c>
      <c r="P253" s="43">
        <v>1</v>
      </c>
      <c r="Q253" s="43">
        <v>0</v>
      </c>
      <c r="R253" s="43">
        <v>0</v>
      </c>
      <c r="S253" s="43">
        <v>1</v>
      </c>
      <c r="T253" s="43">
        <v>1</v>
      </c>
      <c r="U253" s="43">
        <v>1</v>
      </c>
      <c r="V253" s="43">
        <v>0</v>
      </c>
      <c r="W253" s="43" t="s">
        <v>106</v>
      </c>
      <c r="X253" s="43" t="s">
        <v>1941</v>
      </c>
      <c r="Y253" s="43">
        <v>0</v>
      </c>
      <c r="Z253" s="43">
        <v>0</v>
      </c>
      <c r="AA253" s="43">
        <v>2007</v>
      </c>
      <c r="AB253" s="43">
        <v>9999</v>
      </c>
      <c r="AC253" s="43" t="s">
        <v>35</v>
      </c>
    </row>
    <row r="254" spans="1:29" x14ac:dyDescent="0.25">
      <c r="A254" s="43" t="s">
        <v>362</v>
      </c>
      <c r="B254" s="39" t="s">
        <v>363</v>
      </c>
      <c r="C254" s="43"/>
      <c r="D254" s="43">
        <v>1</v>
      </c>
      <c r="E254" s="56" t="s">
        <v>103</v>
      </c>
      <c r="F254" s="43">
        <v>9</v>
      </c>
      <c r="G254" s="43">
        <v>2026</v>
      </c>
      <c r="H254" s="43"/>
      <c r="I254" s="43">
        <v>1199.3</v>
      </c>
      <c r="J254" s="43" t="s">
        <v>104</v>
      </c>
      <c r="K254" s="43" t="s">
        <v>53</v>
      </c>
      <c r="L254" s="43" t="s">
        <v>105</v>
      </c>
      <c r="M254" s="43">
        <v>0</v>
      </c>
      <c r="N254" s="43">
        <v>0</v>
      </c>
      <c r="O254" s="43">
        <v>0</v>
      </c>
      <c r="P254" s="43">
        <v>1</v>
      </c>
      <c r="Q254" s="43">
        <v>0</v>
      </c>
      <c r="R254" s="43">
        <v>0</v>
      </c>
      <c r="S254" s="43">
        <v>1</v>
      </c>
      <c r="T254" s="43">
        <v>1</v>
      </c>
      <c r="U254" s="43">
        <v>1</v>
      </c>
      <c r="V254" s="43">
        <v>0</v>
      </c>
      <c r="W254" s="43" t="s">
        <v>106</v>
      </c>
      <c r="X254" s="43" t="s">
        <v>1941</v>
      </c>
      <c r="Y254" s="43">
        <v>0</v>
      </c>
      <c r="Z254" s="43">
        <v>0</v>
      </c>
      <c r="AA254" s="43">
        <v>2007</v>
      </c>
      <c r="AB254" s="43">
        <v>9999</v>
      </c>
      <c r="AC254" s="43" t="s">
        <v>35</v>
      </c>
    </row>
    <row r="255" spans="1:29" x14ac:dyDescent="0.25">
      <c r="A255" s="43" t="s">
        <v>458</v>
      </c>
      <c r="B255" s="39" t="s">
        <v>459</v>
      </c>
      <c r="C255" s="43"/>
      <c r="D255" s="43">
        <v>1</v>
      </c>
      <c r="E255" s="56" t="s">
        <v>103</v>
      </c>
      <c r="F255" s="43">
        <v>9</v>
      </c>
      <c r="G255" s="43">
        <v>2026</v>
      </c>
      <c r="H255" s="43"/>
      <c r="I255" s="43">
        <v>1515.3</v>
      </c>
      <c r="J255" s="43" t="s">
        <v>104</v>
      </c>
      <c r="K255" s="43" t="s">
        <v>53</v>
      </c>
      <c r="L255" s="43" t="s">
        <v>105</v>
      </c>
      <c r="M255" s="43">
        <v>0</v>
      </c>
      <c r="N255" s="43">
        <v>0</v>
      </c>
      <c r="O255" s="43">
        <v>0</v>
      </c>
      <c r="P255" s="43">
        <v>1</v>
      </c>
      <c r="Q255" s="43">
        <v>0</v>
      </c>
      <c r="R255" s="43">
        <v>0</v>
      </c>
      <c r="S255" s="43">
        <v>1</v>
      </c>
      <c r="T255" s="43">
        <v>1</v>
      </c>
      <c r="U255" s="43">
        <v>1</v>
      </c>
      <c r="V255" s="43">
        <v>0</v>
      </c>
      <c r="W255" s="43" t="s">
        <v>106</v>
      </c>
      <c r="X255" s="43" t="s">
        <v>1941</v>
      </c>
      <c r="Y255" s="43">
        <v>0</v>
      </c>
      <c r="Z255" s="43">
        <v>0</v>
      </c>
      <c r="AA255" s="43">
        <v>2007</v>
      </c>
      <c r="AB255" s="43">
        <v>9999</v>
      </c>
      <c r="AC255" s="43" t="s">
        <v>35</v>
      </c>
    </row>
    <row r="256" spans="1:29" x14ac:dyDescent="0.25">
      <c r="A256" s="43" t="s">
        <v>523</v>
      </c>
      <c r="B256" s="39" t="s">
        <v>1549</v>
      </c>
      <c r="C256" s="43"/>
      <c r="D256" s="43">
        <v>1</v>
      </c>
      <c r="E256" s="56" t="s">
        <v>103</v>
      </c>
      <c r="F256" s="43">
        <v>9</v>
      </c>
      <c r="G256" s="43">
        <v>2026</v>
      </c>
      <c r="H256" s="43"/>
      <c r="I256" s="43">
        <v>1661.4</v>
      </c>
      <c r="J256" s="43" t="s">
        <v>104</v>
      </c>
      <c r="K256" s="43" t="s">
        <v>53</v>
      </c>
      <c r="L256" s="43" t="s">
        <v>105</v>
      </c>
      <c r="M256" s="43">
        <v>0</v>
      </c>
      <c r="N256" s="43">
        <v>0</v>
      </c>
      <c r="O256" s="43">
        <v>0</v>
      </c>
      <c r="P256" s="43">
        <v>1</v>
      </c>
      <c r="Q256" s="43">
        <v>0</v>
      </c>
      <c r="R256" s="43">
        <v>0</v>
      </c>
      <c r="S256" s="43">
        <v>1</v>
      </c>
      <c r="T256" s="43">
        <v>1</v>
      </c>
      <c r="U256" s="43">
        <v>1</v>
      </c>
      <c r="V256" s="43">
        <v>0</v>
      </c>
      <c r="W256" s="43" t="s">
        <v>106</v>
      </c>
      <c r="X256" s="43" t="s">
        <v>1941</v>
      </c>
      <c r="Y256" s="43">
        <v>0</v>
      </c>
      <c r="Z256" s="43">
        <v>0</v>
      </c>
      <c r="AA256" s="43">
        <v>2007</v>
      </c>
      <c r="AB256" s="43">
        <v>9999</v>
      </c>
      <c r="AC256" s="43" t="s">
        <v>35</v>
      </c>
    </row>
    <row r="257" spans="1:29" x14ac:dyDescent="0.25">
      <c r="A257" s="43" t="s">
        <v>430</v>
      </c>
      <c r="B257" s="39" t="s">
        <v>431</v>
      </c>
      <c r="C257" s="43"/>
      <c r="D257" s="43">
        <v>1</v>
      </c>
      <c r="E257" s="56" t="s">
        <v>103</v>
      </c>
      <c r="F257" s="43">
        <v>9</v>
      </c>
      <c r="G257" s="43">
        <v>2026</v>
      </c>
      <c r="H257" s="43"/>
      <c r="I257" s="43">
        <v>3676.3</v>
      </c>
      <c r="J257" s="43" t="s">
        <v>104</v>
      </c>
      <c r="K257" s="43" t="s">
        <v>53</v>
      </c>
      <c r="L257" s="43" t="s">
        <v>105</v>
      </c>
      <c r="M257" s="43">
        <v>0</v>
      </c>
      <c r="N257" s="43">
        <v>0</v>
      </c>
      <c r="O257" s="43">
        <v>0</v>
      </c>
      <c r="P257" s="43">
        <v>1</v>
      </c>
      <c r="Q257" s="43">
        <v>0</v>
      </c>
      <c r="R257" s="43">
        <v>0</v>
      </c>
      <c r="S257" s="43">
        <v>1</v>
      </c>
      <c r="T257" s="43">
        <v>1</v>
      </c>
      <c r="U257" s="43">
        <v>1</v>
      </c>
      <c r="V257" s="43">
        <v>0</v>
      </c>
      <c r="W257" s="43" t="s">
        <v>106</v>
      </c>
      <c r="X257" s="43" t="s">
        <v>1941</v>
      </c>
      <c r="Y257" s="43">
        <v>0</v>
      </c>
      <c r="Z257" s="43">
        <v>0</v>
      </c>
      <c r="AA257" s="43">
        <v>2007</v>
      </c>
      <c r="AB257" s="43">
        <v>9999</v>
      </c>
      <c r="AC257" s="43" t="s">
        <v>35</v>
      </c>
    </row>
    <row r="258" spans="1:29" x14ac:dyDescent="0.25">
      <c r="A258" s="43" t="s">
        <v>963</v>
      </c>
      <c r="B258" s="39" t="s">
        <v>658</v>
      </c>
      <c r="C258" s="43"/>
      <c r="D258" s="43">
        <v>1</v>
      </c>
      <c r="E258" s="56" t="s">
        <v>103</v>
      </c>
      <c r="F258" s="43">
        <v>9</v>
      </c>
      <c r="G258" s="43">
        <v>2026</v>
      </c>
      <c r="H258" s="43"/>
      <c r="I258" s="43">
        <v>3891.2</v>
      </c>
      <c r="J258" s="43" t="s">
        <v>104</v>
      </c>
      <c r="K258" s="43" t="s">
        <v>53</v>
      </c>
      <c r="L258" s="43" t="s">
        <v>105</v>
      </c>
      <c r="M258" s="43">
        <v>0</v>
      </c>
      <c r="N258" s="43">
        <v>0</v>
      </c>
      <c r="O258" s="43">
        <v>0</v>
      </c>
      <c r="P258" s="43">
        <v>1</v>
      </c>
      <c r="Q258" s="43">
        <v>0</v>
      </c>
      <c r="R258" s="43">
        <v>0</v>
      </c>
      <c r="S258" s="43">
        <v>1</v>
      </c>
      <c r="T258" s="43">
        <v>1</v>
      </c>
      <c r="U258" s="43">
        <v>1</v>
      </c>
      <c r="V258" s="43">
        <v>0</v>
      </c>
      <c r="W258" s="43" t="s">
        <v>106</v>
      </c>
      <c r="X258" s="43" t="s">
        <v>1941</v>
      </c>
      <c r="Y258" s="43">
        <v>0</v>
      </c>
      <c r="Z258" s="43">
        <v>0</v>
      </c>
      <c r="AA258" s="43">
        <v>2007</v>
      </c>
      <c r="AB258" s="43">
        <v>9999</v>
      </c>
      <c r="AC258" s="43" t="s">
        <v>35</v>
      </c>
    </row>
    <row r="259" spans="1:29" x14ac:dyDescent="0.25">
      <c r="A259" s="43" t="s">
        <v>967</v>
      </c>
      <c r="B259" s="39" t="s">
        <v>661</v>
      </c>
      <c r="C259" s="43"/>
      <c r="D259" s="43">
        <v>1</v>
      </c>
      <c r="E259" s="56" t="s">
        <v>103</v>
      </c>
      <c r="F259" s="43">
        <v>9</v>
      </c>
      <c r="G259" s="43">
        <v>2026</v>
      </c>
      <c r="H259" s="43"/>
      <c r="I259" s="43">
        <v>6563.07</v>
      </c>
      <c r="J259" s="43" t="s">
        <v>104</v>
      </c>
      <c r="K259" s="43" t="s">
        <v>53</v>
      </c>
      <c r="L259" s="43" t="s">
        <v>105</v>
      </c>
      <c r="M259" s="43">
        <v>0</v>
      </c>
      <c r="N259" s="43">
        <v>0</v>
      </c>
      <c r="O259" s="43">
        <v>0</v>
      </c>
      <c r="P259" s="43">
        <v>1</v>
      </c>
      <c r="Q259" s="43">
        <v>0</v>
      </c>
      <c r="R259" s="43">
        <v>0</v>
      </c>
      <c r="S259" s="43">
        <v>1</v>
      </c>
      <c r="T259" s="43">
        <v>1</v>
      </c>
      <c r="U259" s="43">
        <v>1</v>
      </c>
      <c r="V259" s="43">
        <v>0</v>
      </c>
      <c r="W259" s="43" t="s">
        <v>106</v>
      </c>
      <c r="X259" s="43" t="s">
        <v>1941</v>
      </c>
      <c r="Y259" s="43">
        <v>0</v>
      </c>
      <c r="Z259" s="43">
        <v>0</v>
      </c>
      <c r="AA259" s="43">
        <v>2007</v>
      </c>
      <c r="AB259" s="43">
        <v>9999</v>
      </c>
      <c r="AC259" s="43" t="s">
        <v>35</v>
      </c>
    </row>
    <row r="260" spans="1:29" x14ac:dyDescent="0.25">
      <c r="A260" s="43" t="s">
        <v>460</v>
      </c>
      <c r="B260" s="39" t="s">
        <v>461</v>
      </c>
      <c r="C260" s="43"/>
      <c r="D260" s="43">
        <v>1</v>
      </c>
      <c r="E260" s="56" t="s">
        <v>103</v>
      </c>
      <c r="F260" s="43">
        <v>9</v>
      </c>
      <c r="G260" s="43">
        <v>2026</v>
      </c>
      <c r="H260" s="43"/>
      <c r="I260" s="43">
        <v>7320.2</v>
      </c>
      <c r="J260" s="43" t="s">
        <v>104</v>
      </c>
      <c r="K260" s="43" t="s">
        <v>53</v>
      </c>
      <c r="L260" s="43" t="s">
        <v>105</v>
      </c>
      <c r="M260" s="43">
        <v>0</v>
      </c>
      <c r="N260" s="43">
        <v>0</v>
      </c>
      <c r="O260" s="43">
        <v>0</v>
      </c>
      <c r="P260" s="43">
        <v>1</v>
      </c>
      <c r="Q260" s="43">
        <v>0</v>
      </c>
      <c r="R260" s="43">
        <v>0</v>
      </c>
      <c r="S260" s="43">
        <v>1</v>
      </c>
      <c r="T260" s="43">
        <v>1</v>
      </c>
      <c r="U260" s="43">
        <v>1</v>
      </c>
      <c r="V260" s="43">
        <v>0</v>
      </c>
      <c r="W260" s="43" t="s">
        <v>106</v>
      </c>
      <c r="X260" s="43" t="s">
        <v>1941</v>
      </c>
      <c r="Y260" s="43">
        <v>0</v>
      </c>
      <c r="Z260" s="43">
        <v>0</v>
      </c>
      <c r="AA260" s="43">
        <v>2007</v>
      </c>
      <c r="AB260" s="43">
        <v>9999</v>
      </c>
      <c r="AC260" s="43" t="s">
        <v>35</v>
      </c>
    </row>
    <row r="261" spans="1:29" x14ac:dyDescent="0.25">
      <c r="A261" s="43" t="s">
        <v>968</v>
      </c>
      <c r="B261" s="39" t="s">
        <v>969</v>
      </c>
      <c r="C261" s="43"/>
      <c r="D261" s="43">
        <v>1</v>
      </c>
      <c r="E261" s="56" t="s">
        <v>85</v>
      </c>
      <c r="F261" s="43">
        <v>1</v>
      </c>
      <c r="G261" s="43">
        <v>2026</v>
      </c>
      <c r="H261" s="43" t="s">
        <v>970</v>
      </c>
      <c r="I261" s="43">
        <v>0.2</v>
      </c>
      <c r="J261" s="43" t="s">
        <v>176</v>
      </c>
      <c r="K261" s="43" t="s">
        <v>41</v>
      </c>
      <c r="M261" s="43">
        <v>0</v>
      </c>
      <c r="N261" s="43">
        <v>0</v>
      </c>
      <c r="O261" s="43">
        <v>0</v>
      </c>
      <c r="P261" s="43">
        <v>0</v>
      </c>
      <c r="Q261" s="43">
        <v>0</v>
      </c>
      <c r="R261" s="43">
        <v>0</v>
      </c>
      <c r="S261" s="43">
        <v>0</v>
      </c>
      <c r="T261" s="43">
        <v>0</v>
      </c>
      <c r="U261" s="43">
        <v>0</v>
      </c>
      <c r="V261" s="43">
        <v>0</v>
      </c>
      <c r="W261" s="43" t="s">
        <v>971</v>
      </c>
      <c r="X261" s="43" t="s">
        <v>1838</v>
      </c>
      <c r="Y261" s="43">
        <v>0</v>
      </c>
      <c r="Z261" s="43">
        <v>0</v>
      </c>
      <c r="AA261" s="43">
        <v>2007</v>
      </c>
      <c r="AB261" s="43">
        <v>9999</v>
      </c>
      <c r="AC261" s="43" t="s">
        <v>35</v>
      </c>
    </row>
    <row r="262" spans="1:29" x14ac:dyDescent="0.25">
      <c r="A262" s="43" t="s">
        <v>574</v>
      </c>
      <c r="B262" s="39" t="s">
        <v>575</v>
      </c>
      <c r="C262" s="43"/>
      <c r="D262" s="43">
        <v>1</v>
      </c>
      <c r="E262" s="56" t="s">
        <v>222</v>
      </c>
      <c r="F262" s="43">
        <v>1</v>
      </c>
      <c r="G262" s="43">
        <v>2026</v>
      </c>
      <c r="H262" s="43"/>
      <c r="I262" s="43">
        <v>34</v>
      </c>
      <c r="J262" s="43" t="s">
        <v>176</v>
      </c>
      <c r="K262" s="43" t="s">
        <v>47</v>
      </c>
      <c r="M262" s="43">
        <v>0</v>
      </c>
      <c r="N262" s="43">
        <v>0</v>
      </c>
      <c r="O262" s="43">
        <v>0</v>
      </c>
      <c r="P262" s="43">
        <v>0</v>
      </c>
      <c r="Q262" s="43">
        <v>0</v>
      </c>
      <c r="R262" s="43">
        <v>0</v>
      </c>
      <c r="S262" s="43">
        <v>1</v>
      </c>
      <c r="T262" s="43">
        <v>1</v>
      </c>
      <c r="U262" s="43">
        <v>1</v>
      </c>
      <c r="V262" s="43">
        <v>0</v>
      </c>
      <c r="W262" s="43" t="s">
        <v>1602</v>
      </c>
      <c r="X262" s="43" t="s">
        <v>1742</v>
      </c>
      <c r="Y262" s="43">
        <v>0</v>
      </c>
      <c r="Z262" s="43">
        <v>1</v>
      </c>
      <c r="AA262" s="43">
        <v>2007</v>
      </c>
      <c r="AB262" s="43">
        <v>9999</v>
      </c>
      <c r="AC262" s="43" t="s">
        <v>35</v>
      </c>
    </row>
    <row r="263" spans="1:29" x14ac:dyDescent="0.25">
      <c r="A263" s="43" t="s">
        <v>372</v>
      </c>
      <c r="B263" s="39" t="s">
        <v>373</v>
      </c>
      <c r="C263" s="43"/>
      <c r="D263" s="43">
        <v>1</v>
      </c>
      <c r="E263" s="56" t="s">
        <v>45</v>
      </c>
      <c r="F263" s="43">
        <v>4</v>
      </c>
      <c r="G263" s="43">
        <v>2026</v>
      </c>
      <c r="H263" s="43"/>
      <c r="I263" s="43">
        <v>102</v>
      </c>
      <c r="J263" s="43" t="s">
        <v>176</v>
      </c>
      <c r="K263" s="43" t="s">
        <v>47</v>
      </c>
      <c r="M263" s="43">
        <v>0</v>
      </c>
      <c r="N263" s="43">
        <v>0</v>
      </c>
      <c r="O263" s="43">
        <v>0</v>
      </c>
      <c r="P263" s="43">
        <v>0</v>
      </c>
      <c r="Q263" s="43">
        <v>0</v>
      </c>
      <c r="R263" s="43">
        <v>0</v>
      </c>
      <c r="S263" s="43">
        <v>1</v>
      </c>
      <c r="T263" s="43">
        <v>1</v>
      </c>
      <c r="U263" s="43">
        <v>1</v>
      </c>
      <c r="V263" s="43">
        <v>0</v>
      </c>
      <c r="W263" s="43" t="s">
        <v>1429</v>
      </c>
      <c r="X263" s="43" t="s">
        <v>1697</v>
      </c>
      <c r="Y263" s="43">
        <v>0</v>
      </c>
      <c r="Z263" s="43">
        <v>0</v>
      </c>
      <c r="AA263" s="43">
        <v>2007</v>
      </c>
      <c r="AB263" s="43">
        <v>9999</v>
      </c>
      <c r="AC263" s="43" t="s">
        <v>35</v>
      </c>
    </row>
    <row r="264" spans="1:29" x14ac:dyDescent="0.25">
      <c r="O264" s="43"/>
      <c r="P264" s="43"/>
      <c r="Q264" s="43"/>
      <c r="R264" s="43"/>
      <c r="S264" s="43"/>
      <c r="T264" s="43"/>
      <c r="U264" s="43"/>
      <c r="V264" s="43"/>
      <c r="W264" s="43"/>
      <c r="X264" s="43"/>
      <c r="Y264" s="43"/>
      <c r="Z264" s="43"/>
    </row>
    <row r="265" spans="1:29" x14ac:dyDescent="0.25">
      <c r="A265" s="29" t="s">
        <v>1905</v>
      </c>
      <c r="B265" s="30"/>
      <c r="C265" s="29"/>
      <c r="D265" s="29">
        <f>SUM(Table28[antal])</f>
        <v>358</v>
      </c>
      <c r="E265" s="59"/>
      <c r="F265" s="29"/>
      <c r="G265" s="29"/>
      <c r="H265" s="29"/>
      <c r="I265" s="52">
        <f>SUM(Table28[årsarbetskrafter])</f>
        <v>268036.08100000001</v>
      </c>
      <c r="J265" s="52"/>
      <c r="K265" s="52"/>
      <c r="L265" s="52"/>
      <c r="M265" s="52">
        <f>SUM(Table28[insynsråd])</f>
        <v>90</v>
      </c>
      <c r="N265" s="52">
        <f>SUM(Table28[överdirektör])</f>
        <v>22</v>
      </c>
      <c r="O265" s="52" cm="1">
        <f t="array" ref="O265">SUM(Table28[domstolar]*Table28[antal])</f>
        <v>82</v>
      </c>
      <c r="P265" s="52">
        <f>SUM(Table28[universitet_och_högskola])</f>
        <v>31</v>
      </c>
      <c r="Q265" s="52">
        <f>SUM(Table28[ap_fond])</f>
        <v>4</v>
      </c>
      <c r="R265" s="52">
        <f>SUM(Table28[affärsverk])</f>
        <v>3</v>
      </c>
      <c r="S265" s="52">
        <f>SUM(Table28[myndighetschef])</f>
        <v>202</v>
      </c>
      <c r="T265" s="52">
        <f>SUM(T2:T263)</f>
        <v>205</v>
      </c>
      <c r="U265" s="52">
        <f>SUM(U2:U263)</f>
        <v>208</v>
      </c>
      <c r="V265" s="52" cm="1">
        <f t="array" ref="V265">SUM(V2:V263 * Table28[antal])</f>
        <v>83</v>
      </c>
      <c r="W265" s="52"/>
      <c r="X265" s="52"/>
      <c r="Y265" s="52">
        <f>SUM(Table28[antal_beslutsfattande_organ])</f>
        <v>100</v>
      </c>
      <c r="Z265" s="52">
        <f>SUM(Table28[antal_rådgivande_organ])</f>
        <v>77</v>
      </c>
    </row>
    <row r="266" spans="1:29" x14ac:dyDescent="0.25">
      <c r="O266" s="43"/>
      <c r="P266" s="43"/>
      <c r="Q266" s="43"/>
      <c r="R266" s="43"/>
      <c r="S266" s="43"/>
      <c r="T266" s="43"/>
      <c r="U266" s="43"/>
      <c r="V266" s="43"/>
      <c r="W266" s="43"/>
      <c r="X266" s="43"/>
      <c r="Y266" s="43"/>
      <c r="Z266" s="43"/>
    </row>
    <row r="267" spans="1:29" x14ac:dyDescent="0.25">
      <c r="O267" s="43"/>
      <c r="P267" s="43"/>
      <c r="Q267" s="43"/>
      <c r="R267" s="43"/>
      <c r="S267" s="43"/>
      <c r="T267" s="43"/>
      <c r="U267" s="43"/>
      <c r="V267" s="43"/>
      <c r="W267" s="43"/>
      <c r="X267" s="43"/>
      <c r="Y267" s="43"/>
      <c r="Z267" s="43"/>
    </row>
    <row r="268" spans="1:29" x14ac:dyDescent="0.25">
      <c r="O268" s="43"/>
      <c r="P268" s="43"/>
      <c r="Q268" s="43"/>
      <c r="R268" s="43"/>
      <c r="S268" s="43"/>
      <c r="T268" s="43"/>
      <c r="U268" s="43"/>
      <c r="V268" s="43"/>
      <c r="W268" s="43"/>
      <c r="X268" s="43"/>
      <c r="Y268" s="43"/>
      <c r="Z268" s="43"/>
    </row>
    <row r="269" spans="1:29" x14ac:dyDescent="0.25">
      <c r="O269" s="43"/>
      <c r="P269" s="43"/>
      <c r="Q269" s="43"/>
      <c r="R269" s="43"/>
      <c r="S269" s="43"/>
      <c r="T269" s="43"/>
      <c r="U269" s="43"/>
      <c r="V269" s="43"/>
      <c r="W269" s="43"/>
      <c r="X269" s="43"/>
      <c r="Y269" s="43"/>
      <c r="Z269" s="43"/>
    </row>
    <row r="270" spans="1:29" x14ac:dyDescent="0.25">
      <c r="O270" s="43"/>
      <c r="P270" s="43"/>
      <c r="Q270" s="43"/>
      <c r="R270" s="43"/>
      <c r="S270" s="43"/>
      <c r="T270" s="43"/>
      <c r="U270" s="43"/>
      <c r="V270" s="43"/>
      <c r="W270" s="43"/>
      <c r="X270" s="43"/>
      <c r="Y270" s="43"/>
      <c r="Z270" s="43"/>
    </row>
    <row r="271" spans="1:29" x14ac:dyDescent="0.25">
      <c r="O271" s="43"/>
      <c r="P271" s="43"/>
      <c r="Q271" s="43"/>
      <c r="R271" s="43"/>
      <c r="S271" s="43"/>
      <c r="T271" s="43"/>
      <c r="U271" s="43"/>
      <c r="V271" s="43"/>
      <c r="W271" s="43"/>
      <c r="X271" s="43"/>
      <c r="Y271" s="43"/>
      <c r="Z271" s="43"/>
    </row>
    <row r="272" spans="1:29" x14ac:dyDescent="0.25">
      <c r="O272" s="43"/>
      <c r="P272" s="43"/>
      <c r="Q272" s="43"/>
      <c r="R272" s="43"/>
      <c r="S272" s="43"/>
      <c r="T272" s="43"/>
      <c r="U272" s="43"/>
      <c r="V272" s="43"/>
      <c r="W272" s="43"/>
      <c r="X272" s="43"/>
      <c r="Y272" s="43"/>
      <c r="Z272" s="43"/>
    </row>
    <row r="273" spans="15:26" x14ac:dyDescent="0.25">
      <c r="O273" s="43"/>
      <c r="P273" s="43"/>
      <c r="Q273" s="43"/>
      <c r="R273" s="43"/>
      <c r="S273" s="43"/>
      <c r="T273" s="43"/>
      <c r="U273" s="43"/>
      <c r="V273" s="43"/>
      <c r="W273" s="43"/>
      <c r="X273" s="43"/>
      <c r="Y273" s="43"/>
      <c r="Z273" s="43"/>
    </row>
    <row r="274" spans="15:26" x14ac:dyDescent="0.25">
      <c r="O274" s="43"/>
      <c r="P274" s="43"/>
      <c r="Q274" s="43"/>
      <c r="R274" s="43"/>
      <c r="S274" s="43"/>
      <c r="T274" s="43"/>
      <c r="U274" s="43"/>
      <c r="V274" s="43"/>
      <c r="W274" s="43"/>
      <c r="X274" s="43"/>
      <c r="Y274" s="43"/>
      <c r="Z274" s="43"/>
    </row>
    <row r="275" spans="15:26" x14ac:dyDescent="0.25">
      <c r="O275" s="43"/>
      <c r="P275" s="43"/>
      <c r="Q275" s="43"/>
      <c r="R275" s="43"/>
      <c r="S275" s="43"/>
      <c r="T275" s="43"/>
      <c r="U275" s="43"/>
      <c r="V275" s="43"/>
      <c r="W275" s="43"/>
      <c r="X275" s="43"/>
      <c r="Y275" s="43"/>
      <c r="Z275" s="43"/>
    </row>
    <row r="276" spans="15:26" x14ac:dyDescent="0.25">
      <c r="O276" s="43"/>
      <c r="P276" s="43"/>
      <c r="Q276" s="43"/>
      <c r="R276" s="43"/>
      <c r="S276" s="43"/>
      <c r="T276" s="43"/>
      <c r="U276" s="43"/>
      <c r="V276" s="43"/>
      <c r="W276" s="43"/>
      <c r="X276" s="43"/>
      <c r="Y276" s="43"/>
      <c r="Z276" s="43"/>
    </row>
    <row r="277" spans="15:26" x14ac:dyDescent="0.25">
      <c r="O277" s="43"/>
      <c r="P277" s="43"/>
      <c r="Q277" s="43"/>
      <c r="R277" s="43"/>
      <c r="S277" s="43"/>
      <c r="T277" s="43"/>
      <c r="U277" s="43"/>
      <c r="V277" s="43"/>
      <c r="W277" s="43"/>
      <c r="X277" s="43"/>
      <c r="Y277" s="43"/>
      <c r="Z277" s="43"/>
    </row>
    <row r="278" spans="15:26" x14ac:dyDescent="0.25">
      <c r="O278" s="43"/>
      <c r="P278" s="43"/>
      <c r="Q278" s="43"/>
      <c r="R278" s="43"/>
      <c r="S278" s="43"/>
      <c r="T278" s="43"/>
      <c r="U278" s="43"/>
      <c r="V278" s="43"/>
      <c r="W278" s="43"/>
      <c r="X278" s="43"/>
      <c r="Y278" s="43"/>
      <c r="Z278" s="43"/>
    </row>
    <row r="279" spans="15:26" x14ac:dyDescent="0.25">
      <c r="O279" s="43"/>
      <c r="P279" s="43"/>
      <c r="Q279" s="43"/>
      <c r="R279" s="43"/>
      <c r="S279" s="43"/>
      <c r="T279" s="43"/>
      <c r="U279" s="43"/>
      <c r="V279" s="43"/>
      <c r="W279" s="43"/>
      <c r="X279" s="43"/>
      <c r="Y279" s="43"/>
      <c r="Z279" s="43"/>
    </row>
    <row r="280" spans="15:26" x14ac:dyDescent="0.25">
      <c r="O280" s="43"/>
      <c r="P280" s="43"/>
      <c r="Q280" s="43"/>
      <c r="R280" s="43"/>
      <c r="S280" s="43"/>
      <c r="T280" s="43"/>
      <c r="U280" s="43"/>
      <c r="V280" s="43"/>
      <c r="W280" s="43"/>
      <c r="X280" s="43"/>
      <c r="Y280" s="43"/>
      <c r="Z280" s="43"/>
    </row>
    <row r="281" spans="15:26" x14ac:dyDescent="0.25">
      <c r="O281" s="43"/>
      <c r="P281" s="43"/>
      <c r="Q281" s="43"/>
      <c r="R281" s="43"/>
      <c r="S281" s="43"/>
      <c r="T281" s="43"/>
      <c r="U281" s="43"/>
      <c r="V281" s="43"/>
      <c r="W281" s="43"/>
      <c r="X281" s="43"/>
      <c r="Y281" s="43"/>
      <c r="Z281" s="43"/>
    </row>
    <row r="282" spans="15:26" x14ac:dyDescent="0.25">
      <c r="O282" s="43"/>
      <c r="P282" s="43"/>
      <c r="Q282" s="43"/>
      <c r="R282" s="43"/>
      <c r="S282" s="43"/>
      <c r="T282" s="43"/>
      <c r="U282" s="43"/>
      <c r="V282" s="43"/>
      <c r="W282" s="43"/>
      <c r="X282" s="43"/>
      <c r="Y282" s="43"/>
      <c r="Z282" s="43"/>
    </row>
    <row r="283" spans="15:26" x14ac:dyDescent="0.25">
      <c r="O283" s="43"/>
      <c r="P283" s="43"/>
      <c r="Q283" s="43"/>
      <c r="R283" s="43"/>
      <c r="S283" s="43"/>
      <c r="T283" s="43"/>
      <c r="U283" s="43"/>
      <c r="V283" s="43"/>
      <c r="W283" s="43"/>
      <c r="X283" s="43"/>
      <c r="Y283" s="43"/>
      <c r="Z283" s="43"/>
    </row>
    <row r="284" spans="15:26" x14ac:dyDescent="0.25">
      <c r="O284" s="43"/>
      <c r="P284" s="43"/>
      <c r="Q284" s="43"/>
      <c r="R284" s="43"/>
      <c r="S284" s="43"/>
      <c r="T284" s="43"/>
      <c r="U284" s="43"/>
      <c r="V284" s="43"/>
      <c r="W284" s="43"/>
      <c r="X284" s="43"/>
      <c r="Y284" s="43"/>
      <c r="Z284" s="43"/>
    </row>
    <row r="285" spans="15:26" x14ac:dyDescent="0.25">
      <c r="O285" s="43"/>
      <c r="P285" s="43"/>
      <c r="Q285" s="43"/>
      <c r="R285" s="43"/>
      <c r="S285" s="43"/>
      <c r="T285" s="43"/>
      <c r="U285" s="43"/>
      <c r="V285" s="43"/>
      <c r="W285" s="43"/>
      <c r="X285" s="43"/>
      <c r="Y285" s="43"/>
      <c r="Z285" s="43"/>
    </row>
    <row r="286" spans="15:26" x14ac:dyDescent="0.25">
      <c r="O286" s="43"/>
      <c r="P286" s="43"/>
      <c r="Q286" s="43"/>
      <c r="R286" s="43"/>
      <c r="S286" s="43"/>
      <c r="T286" s="43"/>
      <c r="U286" s="43"/>
      <c r="V286" s="43"/>
      <c r="W286" s="43"/>
      <c r="X286" s="43"/>
      <c r="Y286" s="43"/>
      <c r="Z286" s="43"/>
    </row>
    <row r="287" spans="15:26" x14ac:dyDescent="0.25">
      <c r="O287" s="43"/>
      <c r="P287" s="43"/>
      <c r="Q287" s="43"/>
      <c r="R287" s="43"/>
      <c r="S287" s="43"/>
      <c r="T287" s="43"/>
      <c r="U287" s="43"/>
      <c r="V287" s="43"/>
      <c r="W287" s="43"/>
      <c r="X287" s="43"/>
      <c r="Y287" s="43"/>
      <c r="Z287" s="43"/>
    </row>
    <row r="288" spans="15:26" x14ac:dyDescent="0.25">
      <c r="O288" s="43"/>
      <c r="P288" s="43"/>
      <c r="Q288" s="43"/>
      <c r="R288" s="43"/>
      <c r="S288" s="43"/>
      <c r="T288" s="43"/>
      <c r="U288" s="43"/>
      <c r="V288" s="43"/>
      <c r="W288" s="43"/>
      <c r="X288" s="43"/>
      <c r="Y288" s="43"/>
      <c r="Z288" s="43"/>
    </row>
    <row r="289" spans="15:26" x14ac:dyDescent="0.25">
      <c r="O289" s="43"/>
      <c r="P289" s="43"/>
      <c r="Q289" s="43"/>
      <c r="R289" s="43"/>
      <c r="S289" s="43"/>
      <c r="T289" s="43"/>
      <c r="U289" s="43"/>
      <c r="V289" s="43"/>
      <c r="W289" s="43"/>
      <c r="X289" s="43"/>
      <c r="Y289" s="43"/>
      <c r="Z289" s="43"/>
    </row>
    <row r="290" spans="15:26" x14ac:dyDescent="0.25">
      <c r="O290" s="43"/>
      <c r="P290" s="43"/>
      <c r="Q290" s="43"/>
      <c r="R290" s="43"/>
      <c r="S290" s="43"/>
      <c r="T290" s="43"/>
      <c r="U290" s="43"/>
      <c r="V290" s="43"/>
      <c r="W290" s="43"/>
      <c r="X290" s="43"/>
      <c r="Y290" s="43"/>
      <c r="Z290" s="43"/>
    </row>
    <row r="291" spans="15:26" x14ac:dyDescent="0.25">
      <c r="O291" s="43"/>
      <c r="P291" s="43"/>
      <c r="Q291" s="43"/>
      <c r="R291" s="43"/>
      <c r="S291" s="43"/>
      <c r="T291" s="43"/>
      <c r="U291" s="43"/>
      <c r="V291" s="43"/>
      <c r="W291" s="43"/>
      <c r="X291" s="43"/>
      <c r="Y291" s="43"/>
      <c r="Z291" s="43"/>
    </row>
    <row r="292" spans="15:26" x14ac:dyDescent="0.25">
      <c r="O292" s="43"/>
      <c r="P292" s="43"/>
      <c r="Q292" s="43"/>
      <c r="R292" s="43"/>
      <c r="S292" s="43"/>
      <c r="T292" s="43"/>
      <c r="U292" s="43"/>
      <c r="V292" s="43"/>
      <c r="W292" s="43"/>
      <c r="X292" s="43"/>
      <c r="Y292" s="43"/>
      <c r="Z292" s="43"/>
    </row>
    <row r="293" spans="15:26" x14ac:dyDescent="0.25">
      <c r="O293" s="43"/>
      <c r="P293" s="43"/>
      <c r="Q293" s="43"/>
      <c r="R293" s="43"/>
      <c r="S293" s="43"/>
      <c r="T293" s="43"/>
      <c r="U293" s="43"/>
      <c r="V293" s="43"/>
      <c r="W293" s="43"/>
      <c r="X293" s="43"/>
      <c r="Y293" s="43"/>
      <c r="Z293" s="43"/>
    </row>
    <row r="294" spans="15:26" x14ac:dyDescent="0.25">
      <c r="O294" s="43"/>
      <c r="P294" s="43"/>
      <c r="Q294" s="43"/>
      <c r="R294" s="43"/>
      <c r="S294" s="43"/>
      <c r="T294" s="43"/>
      <c r="U294" s="43"/>
      <c r="V294" s="43"/>
      <c r="W294" s="43"/>
      <c r="X294" s="43"/>
      <c r="Y294" s="43"/>
      <c r="Z294" s="43"/>
    </row>
    <row r="295" spans="15:26" x14ac:dyDescent="0.25">
      <c r="O295" s="43"/>
      <c r="P295" s="43"/>
      <c r="Q295" s="43"/>
      <c r="R295" s="43"/>
      <c r="S295" s="43"/>
      <c r="T295" s="43"/>
      <c r="U295" s="43"/>
      <c r="V295" s="43"/>
      <c r="W295" s="43"/>
      <c r="X295" s="43"/>
      <c r="Y295" s="43"/>
      <c r="Z295" s="43"/>
    </row>
    <row r="296" spans="15:26" x14ac:dyDescent="0.25">
      <c r="O296" s="43"/>
      <c r="P296" s="43"/>
      <c r="Q296" s="43"/>
      <c r="R296" s="43"/>
      <c r="S296" s="43"/>
      <c r="T296" s="43"/>
      <c r="U296" s="43"/>
      <c r="V296" s="43"/>
      <c r="W296" s="43"/>
      <c r="X296" s="43"/>
      <c r="Y296" s="43"/>
      <c r="Z296" s="43"/>
    </row>
    <row r="297" spans="15:26" x14ac:dyDescent="0.25">
      <c r="O297" s="43"/>
      <c r="P297" s="43"/>
      <c r="Q297" s="43"/>
      <c r="R297" s="43"/>
      <c r="S297" s="43"/>
      <c r="T297" s="43"/>
      <c r="U297" s="43"/>
      <c r="V297" s="43"/>
      <c r="W297" s="43"/>
      <c r="X297" s="43"/>
      <c r="Y297" s="43"/>
      <c r="Z297" s="43"/>
    </row>
    <row r="298" spans="15:26" x14ac:dyDescent="0.25">
      <c r="O298" s="43"/>
      <c r="P298" s="43"/>
      <c r="Q298" s="43"/>
      <c r="R298" s="43"/>
      <c r="S298" s="43"/>
      <c r="T298" s="43"/>
      <c r="U298" s="43"/>
      <c r="V298" s="43"/>
      <c r="W298" s="43"/>
      <c r="X298" s="43"/>
      <c r="Y298" s="43"/>
      <c r="Z298" s="43"/>
    </row>
    <row r="299" spans="15:26" x14ac:dyDescent="0.25">
      <c r="O299" s="43"/>
      <c r="P299" s="43"/>
      <c r="Q299" s="43"/>
      <c r="R299" s="43"/>
      <c r="S299" s="43"/>
      <c r="T299" s="43"/>
      <c r="U299" s="43"/>
      <c r="V299" s="43"/>
      <c r="W299" s="43"/>
      <c r="X299" s="43"/>
      <c r="Y299" s="43"/>
      <c r="Z299" s="43"/>
    </row>
    <row r="300" spans="15:26" x14ac:dyDescent="0.25">
      <c r="O300" s="43"/>
      <c r="P300" s="43"/>
      <c r="Q300" s="43"/>
      <c r="R300" s="43"/>
      <c r="S300" s="43"/>
      <c r="T300" s="43"/>
      <c r="U300" s="43"/>
      <c r="V300" s="43"/>
      <c r="W300" s="43"/>
      <c r="X300" s="43"/>
      <c r="Y300" s="43"/>
      <c r="Z300" s="43"/>
    </row>
    <row r="301" spans="15:26" x14ac:dyDescent="0.25">
      <c r="O301" s="43"/>
      <c r="P301" s="43"/>
      <c r="Q301" s="43"/>
      <c r="R301" s="43"/>
      <c r="S301" s="43"/>
      <c r="T301" s="43"/>
      <c r="U301" s="43"/>
      <c r="V301" s="43"/>
      <c r="W301" s="43"/>
      <c r="X301" s="43"/>
      <c r="Y301" s="43"/>
      <c r="Z301" s="43"/>
    </row>
    <row r="302" spans="15:26" x14ac:dyDescent="0.25">
      <c r="O302" s="43"/>
      <c r="P302" s="43"/>
      <c r="Q302" s="43"/>
      <c r="R302" s="43"/>
      <c r="S302" s="43"/>
      <c r="T302" s="43"/>
      <c r="U302" s="43"/>
      <c r="V302" s="43"/>
      <c r="W302" s="43"/>
      <c r="X302" s="43"/>
      <c r="Y302" s="43"/>
      <c r="Z302" s="43"/>
    </row>
    <row r="303" spans="15:26" x14ac:dyDescent="0.25">
      <c r="O303" s="43"/>
      <c r="P303" s="43"/>
      <c r="Q303" s="43"/>
      <c r="R303" s="43"/>
      <c r="S303" s="43"/>
      <c r="T303" s="43"/>
      <c r="U303" s="43"/>
      <c r="V303" s="43"/>
      <c r="W303" s="43"/>
      <c r="X303" s="43"/>
      <c r="Y303" s="43"/>
      <c r="Z303" s="43"/>
    </row>
    <row r="304" spans="15:26" x14ac:dyDescent="0.25">
      <c r="O304" s="43"/>
      <c r="P304" s="43"/>
      <c r="Q304" s="43"/>
      <c r="R304" s="43"/>
      <c r="S304" s="43"/>
      <c r="T304" s="43"/>
      <c r="U304" s="43"/>
      <c r="V304" s="43"/>
      <c r="W304" s="43"/>
      <c r="X304" s="43"/>
      <c r="Y304" s="43"/>
      <c r="Z304" s="43"/>
    </row>
    <row r="305" spans="15:26" x14ac:dyDescent="0.25">
      <c r="O305" s="43"/>
      <c r="P305" s="43"/>
      <c r="Q305" s="43"/>
      <c r="R305" s="43"/>
      <c r="S305" s="43"/>
      <c r="T305" s="43"/>
      <c r="U305" s="43"/>
      <c r="V305" s="43"/>
      <c r="W305" s="43"/>
      <c r="X305" s="43"/>
      <c r="Y305" s="43"/>
      <c r="Z305" s="43"/>
    </row>
    <row r="306" spans="15:26" x14ac:dyDescent="0.25">
      <c r="O306" s="43"/>
      <c r="P306" s="43"/>
      <c r="Q306" s="43"/>
      <c r="R306" s="43"/>
      <c r="S306" s="43"/>
      <c r="T306" s="43"/>
      <c r="U306" s="43"/>
      <c r="V306" s="43"/>
      <c r="W306" s="43"/>
      <c r="X306" s="43"/>
      <c r="Y306" s="43"/>
      <c r="Z306" s="43"/>
    </row>
    <row r="307" spans="15:26" x14ac:dyDescent="0.25">
      <c r="O307" s="43"/>
      <c r="P307" s="43"/>
      <c r="Q307" s="43"/>
      <c r="R307" s="43"/>
      <c r="S307" s="43"/>
      <c r="T307" s="43"/>
      <c r="U307" s="43"/>
      <c r="V307" s="43"/>
      <c r="W307" s="43"/>
      <c r="X307" s="43"/>
      <c r="Y307" s="43"/>
      <c r="Z307" s="43"/>
    </row>
    <row r="308" spans="15:26" x14ac:dyDescent="0.25">
      <c r="O308" s="43"/>
      <c r="P308" s="43"/>
      <c r="Q308" s="43"/>
      <c r="R308" s="43"/>
      <c r="S308" s="43"/>
      <c r="T308" s="43"/>
      <c r="U308" s="43"/>
      <c r="V308" s="43"/>
      <c r="W308" s="43"/>
      <c r="X308" s="43"/>
      <c r="Y308" s="43"/>
      <c r="Z308" s="43"/>
    </row>
    <row r="309" spans="15:26" x14ac:dyDescent="0.25">
      <c r="O309" s="43"/>
      <c r="P309" s="43"/>
      <c r="Q309" s="43"/>
      <c r="R309" s="43"/>
      <c r="S309" s="43"/>
      <c r="T309" s="43"/>
      <c r="U309" s="43"/>
      <c r="V309" s="43"/>
      <c r="W309" s="43"/>
      <c r="X309" s="43"/>
      <c r="Y309" s="43"/>
      <c r="Z309" s="43"/>
    </row>
    <row r="310" spans="15:26" x14ac:dyDescent="0.25">
      <c r="O310" s="43"/>
      <c r="P310" s="43"/>
      <c r="Q310" s="43"/>
      <c r="R310" s="43"/>
      <c r="S310" s="43"/>
      <c r="T310" s="43"/>
      <c r="U310" s="43"/>
      <c r="V310" s="43"/>
      <c r="W310" s="43"/>
      <c r="X310" s="43"/>
      <c r="Y310" s="43"/>
      <c r="Z310" s="43"/>
    </row>
    <row r="311" spans="15:26" x14ac:dyDescent="0.25">
      <c r="O311" s="43"/>
      <c r="P311" s="43"/>
      <c r="Q311" s="43"/>
      <c r="R311" s="43"/>
      <c r="S311" s="43"/>
      <c r="T311" s="43"/>
      <c r="U311" s="43"/>
      <c r="V311" s="43"/>
      <c r="W311" s="43"/>
      <c r="X311" s="43"/>
      <c r="Y311" s="43"/>
      <c r="Z311" s="43"/>
    </row>
    <row r="312" spans="15:26" x14ac:dyDescent="0.25">
      <c r="O312" s="43"/>
      <c r="P312" s="43"/>
      <c r="Q312" s="43"/>
      <c r="R312" s="43"/>
      <c r="S312" s="43"/>
      <c r="T312" s="43"/>
      <c r="U312" s="43"/>
      <c r="V312" s="43"/>
      <c r="W312" s="43"/>
      <c r="X312" s="43"/>
      <c r="Y312" s="43"/>
      <c r="Z312" s="43"/>
    </row>
    <row r="313" spans="15:26" x14ac:dyDescent="0.25">
      <c r="O313" s="43"/>
      <c r="P313" s="43"/>
      <c r="Q313" s="43"/>
      <c r="R313" s="43"/>
      <c r="S313" s="43"/>
      <c r="T313" s="43"/>
      <c r="U313" s="43"/>
      <c r="V313" s="43"/>
      <c r="W313" s="43"/>
      <c r="X313" s="43"/>
      <c r="Y313" s="43"/>
      <c r="Z313" s="43"/>
    </row>
    <row r="314" spans="15:26" x14ac:dyDescent="0.25">
      <c r="O314" s="43"/>
      <c r="P314" s="43"/>
      <c r="Q314" s="43"/>
      <c r="R314" s="43"/>
      <c r="S314" s="43"/>
      <c r="T314" s="43"/>
      <c r="U314" s="43"/>
      <c r="V314" s="43"/>
      <c r="W314" s="43"/>
      <c r="X314" s="43"/>
      <c r="Y314" s="43"/>
      <c r="Z314" s="43"/>
    </row>
    <row r="315" spans="15:26" x14ac:dyDescent="0.25">
      <c r="O315" s="43"/>
      <c r="P315" s="43"/>
      <c r="Q315" s="43"/>
      <c r="R315" s="43"/>
      <c r="S315" s="43"/>
      <c r="T315" s="43"/>
      <c r="U315" s="43"/>
      <c r="V315" s="43"/>
      <c r="W315" s="43"/>
      <c r="X315" s="43"/>
      <c r="Y315" s="43"/>
      <c r="Z315" s="43"/>
    </row>
    <row r="316" spans="15:26" x14ac:dyDescent="0.25">
      <c r="O316" s="43"/>
      <c r="P316" s="43"/>
      <c r="Q316" s="43"/>
      <c r="R316" s="43"/>
      <c r="S316" s="43"/>
      <c r="T316" s="43"/>
      <c r="U316" s="43"/>
      <c r="V316" s="43"/>
      <c r="W316" s="43"/>
      <c r="X316" s="43"/>
      <c r="Y316" s="43"/>
      <c r="Z316" s="43"/>
    </row>
    <row r="317" spans="15:26" x14ac:dyDescent="0.25">
      <c r="O317" s="43"/>
      <c r="P317" s="43"/>
      <c r="Q317" s="43"/>
      <c r="R317" s="43"/>
      <c r="S317" s="43"/>
      <c r="T317" s="43"/>
      <c r="U317" s="43"/>
      <c r="V317" s="43"/>
      <c r="W317" s="43"/>
      <c r="X317" s="43"/>
      <c r="Y317" s="43"/>
      <c r="Z317" s="43"/>
    </row>
    <row r="318" spans="15:26" x14ac:dyDescent="0.25">
      <c r="O318" s="43"/>
      <c r="P318" s="43"/>
      <c r="Q318" s="43"/>
      <c r="R318" s="43"/>
      <c r="S318" s="43"/>
      <c r="T318" s="43"/>
      <c r="U318" s="43"/>
      <c r="V318" s="43"/>
      <c r="W318" s="43"/>
      <c r="X318" s="43"/>
      <c r="Y318" s="43"/>
      <c r="Z318" s="43"/>
    </row>
    <row r="319" spans="15:26" x14ac:dyDescent="0.25">
      <c r="O319" s="43"/>
      <c r="P319" s="43"/>
      <c r="Q319" s="43"/>
      <c r="R319" s="43"/>
      <c r="S319" s="43"/>
      <c r="T319" s="43"/>
      <c r="U319" s="43"/>
      <c r="V319" s="43"/>
      <c r="W319" s="43"/>
      <c r="X319" s="43"/>
      <c r="Y319" s="43"/>
      <c r="Z319" s="43"/>
    </row>
    <row r="320" spans="15:26" x14ac:dyDescent="0.25">
      <c r="O320" s="43"/>
      <c r="P320" s="43"/>
      <c r="Q320" s="43"/>
      <c r="R320" s="43"/>
      <c r="S320" s="43"/>
      <c r="T320" s="43"/>
      <c r="U320" s="43"/>
      <c r="V320" s="43"/>
      <c r="W320" s="43"/>
      <c r="X320" s="43"/>
      <c r="Y320" s="43"/>
      <c r="Z320" s="43"/>
    </row>
    <row r="321" spans="15:26" x14ac:dyDescent="0.25">
      <c r="O321" s="43"/>
      <c r="P321" s="43"/>
      <c r="Q321" s="43"/>
      <c r="R321" s="43"/>
      <c r="S321" s="43"/>
      <c r="T321" s="43"/>
      <c r="U321" s="43"/>
      <c r="V321" s="43"/>
      <c r="W321" s="43"/>
      <c r="X321" s="43"/>
      <c r="Y321" s="43"/>
      <c r="Z321" s="43"/>
    </row>
    <row r="322" spans="15:26" x14ac:dyDescent="0.25">
      <c r="O322" s="43"/>
      <c r="P322" s="43"/>
      <c r="Q322" s="43"/>
      <c r="R322" s="43"/>
      <c r="S322" s="43"/>
      <c r="T322" s="43"/>
      <c r="U322" s="43"/>
      <c r="V322" s="43"/>
      <c r="W322" s="43"/>
      <c r="X322" s="43"/>
      <c r="Y322" s="43"/>
      <c r="Z322" s="43"/>
    </row>
    <row r="323" spans="15:26" x14ac:dyDescent="0.25">
      <c r="O323" s="43"/>
      <c r="P323" s="43"/>
      <c r="Q323" s="43"/>
      <c r="R323" s="43"/>
      <c r="S323" s="43"/>
      <c r="T323" s="43"/>
      <c r="U323" s="43"/>
      <c r="V323" s="43"/>
      <c r="W323" s="43"/>
      <c r="X323" s="43"/>
      <c r="Y323" s="43"/>
      <c r="Z323" s="43"/>
    </row>
    <row r="324" spans="15:26" x14ac:dyDescent="0.25">
      <c r="O324" s="43"/>
      <c r="P324" s="43"/>
      <c r="Q324" s="43"/>
      <c r="R324" s="43"/>
      <c r="S324" s="43"/>
      <c r="T324" s="43"/>
      <c r="U324" s="43"/>
      <c r="V324" s="43"/>
      <c r="W324" s="43"/>
      <c r="X324" s="43"/>
      <c r="Y324" s="43"/>
      <c r="Z324" s="43"/>
    </row>
    <row r="325" spans="15:26" x14ac:dyDescent="0.25">
      <c r="O325" s="43"/>
      <c r="P325" s="43"/>
      <c r="Q325" s="43"/>
      <c r="R325" s="43"/>
      <c r="S325" s="43"/>
      <c r="T325" s="43"/>
      <c r="U325" s="43"/>
      <c r="V325" s="43"/>
      <c r="W325" s="43"/>
      <c r="X325" s="43"/>
      <c r="Y325" s="43"/>
      <c r="Z325" s="43"/>
    </row>
    <row r="326" spans="15:26" x14ac:dyDescent="0.25">
      <c r="O326" s="43"/>
      <c r="P326" s="43"/>
      <c r="Q326" s="43"/>
      <c r="R326" s="43"/>
      <c r="S326" s="43"/>
      <c r="T326" s="43"/>
      <c r="U326" s="43"/>
      <c r="V326" s="43"/>
      <c r="W326" s="43"/>
      <c r="X326" s="43"/>
      <c r="Y326" s="43"/>
      <c r="Z326" s="43"/>
    </row>
    <row r="327" spans="15:26" x14ac:dyDescent="0.25">
      <c r="O327" s="43"/>
      <c r="P327" s="43"/>
      <c r="Q327" s="43"/>
      <c r="R327" s="43"/>
      <c r="S327" s="43"/>
      <c r="T327" s="43"/>
      <c r="U327" s="43"/>
      <c r="V327" s="43"/>
      <c r="W327" s="43"/>
      <c r="X327" s="43"/>
      <c r="Y327" s="43"/>
      <c r="Z327" s="43"/>
    </row>
    <row r="328" spans="15:26" x14ac:dyDescent="0.25">
      <c r="O328" s="43"/>
      <c r="P328" s="43"/>
      <c r="Q328" s="43"/>
      <c r="R328" s="43"/>
      <c r="S328" s="43"/>
      <c r="T328" s="43"/>
      <c r="U328" s="43"/>
      <c r="V328" s="43"/>
      <c r="W328" s="43"/>
      <c r="X328" s="43"/>
      <c r="Y328" s="43"/>
      <c r="Z328" s="43"/>
    </row>
    <row r="329" spans="15:26" x14ac:dyDescent="0.25">
      <c r="O329" s="43"/>
      <c r="P329" s="43"/>
      <c r="Q329" s="43"/>
      <c r="R329" s="43"/>
      <c r="S329" s="43"/>
      <c r="T329" s="43"/>
      <c r="U329" s="43"/>
      <c r="V329" s="43"/>
      <c r="W329" s="43"/>
      <c r="X329" s="43"/>
      <c r="Y329" s="43"/>
      <c r="Z329" s="43"/>
    </row>
    <row r="330" spans="15:26" x14ac:dyDescent="0.25">
      <c r="O330" s="43"/>
      <c r="P330" s="43"/>
      <c r="Q330" s="43"/>
      <c r="R330" s="43"/>
      <c r="S330" s="43"/>
      <c r="T330" s="43"/>
      <c r="U330" s="43"/>
      <c r="V330" s="43"/>
      <c r="W330" s="43"/>
      <c r="X330" s="43"/>
      <c r="Y330" s="43"/>
      <c r="Z330" s="43"/>
    </row>
    <row r="331" spans="15:26" x14ac:dyDescent="0.25">
      <c r="O331" s="43"/>
      <c r="P331" s="43"/>
      <c r="Q331" s="43"/>
      <c r="R331" s="43"/>
      <c r="S331" s="43"/>
      <c r="T331" s="43"/>
      <c r="U331" s="43"/>
      <c r="V331" s="43"/>
      <c r="W331" s="43"/>
      <c r="X331" s="43"/>
      <c r="Y331" s="43"/>
      <c r="Z331" s="43"/>
    </row>
    <row r="332" spans="15:26" x14ac:dyDescent="0.25">
      <c r="O332" s="43"/>
      <c r="P332" s="43"/>
      <c r="Q332" s="43"/>
      <c r="R332" s="43"/>
      <c r="S332" s="43"/>
      <c r="T332" s="43"/>
      <c r="U332" s="43"/>
      <c r="V332" s="43"/>
      <c r="W332" s="43"/>
      <c r="X332" s="43"/>
      <c r="Y332" s="43"/>
      <c r="Z332" s="43"/>
    </row>
    <row r="333" spans="15:26" x14ac:dyDescent="0.25">
      <c r="O333" s="43"/>
      <c r="P333" s="43"/>
      <c r="Q333" s="43"/>
      <c r="R333" s="43"/>
      <c r="S333" s="43"/>
      <c r="T333" s="43"/>
      <c r="U333" s="43"/>
      <c r="V333" s="43"/>
      <c r="W333" s="43"/>
      <c r="X333" s="43"/>
      <c r="Y333" s="43"/>
      <c r="Z333" s="43"/>
    </row>
    <row r="334" spans="15:26" x14ac:dyDescent="0.25">
      <c r="O334" s="43"/>
      <c r="P334" s="43"/>
      <c r="Q334" s="43"/>
      <c r="R334" s="43"/>
      <c r="S334" s="43"/>
      <c r="T334" s="43"/>
      <c r="U334" s="43"/>
      <c r="V334" s="43"/>
      <c r="W334" s="43"/>
      <c r="X334" s="43"/>
      <c r="Y334" s="43"/>
      <c r="Z334" s="43"/>
    </row>
    <row r="335" spans="15:26" x14ac:dyDescent="0.25">
      <c r="O335" s="43"/>
      <c r="P335" s="43"/>
      <c r="Q335" s="43"/>
      <c r="R335" s="43"/>
      <c r="S335" s="43"/>
      <c r="T335" s="43"/>
      <c r="U335" s="43"/>
      <c r="V335" s="43"/>
      <c r="W335" s="43"/>
      <c r="X335" s="43"/>
      <c r="Y335" s="43"/>
      <c r="Z335" s="43"/>
    </row>
    <row r="336" spans="15:26" x14ac:dyDescent="0.25">
      <c r="O336" s="43"/>
      <c r="P336" s="43"/>
      <c r="Q336" s="43"/>
      <c r="R336" s="43"/>
      <c r="S336" s="43"/>
      <c r="T336" s="43"/>
      <c r="U336" s="43"/>
      <c r="V336" s="43"/>
      <c r="W336" s="43"/>
      <c r="X336" s="43"/>
      <c r="Y336" s="43"/>
      <c r="Z336" s="43"/>
    </row>
    <row r="337" spans="15:26" x14ac:dyDescent="0.25">
      <c r="O337" s="43"/>
      <c r="P337" s="43"/>
      <c r="Q337" s="43"/>
      <c r="R337" s="43"/>
      <c r="S337" s="43"/>
      <c r="T337" s="43"/>
      <c r="U337" s="43"/>
      <c r="V337" s="43"/>
      <c r="W337" s="43"/>
      <c r="X337" s="43"/>
      <c r="Y337" s="43"/>
      <c r="Z337" s="43"/>
    </row>
    <row r="338" spans="15:26" x14ac:dyDescent="0.25">
      <c r="O338" s="43"/>
      <c r="P338" s="43"/>
      <c r="Q338" s="43"/>
      <c r="R338" s="43"/>
      <c r="S338" s="43"/>
      <c r="T338" s="43"/>
      <c r="U338" s="43"/>
      <c r="V338" s="43"/>
      <c r="W338" s="43"/>
      <c r="X338" s="43"/>
      <c r="Y338" s="43"/>
      <c r="Z338" s="43"/>
    </row>
    <row r="339" spans="15:26" x14ac:dyDescent="0.25">
      <c r="O339" s="43"/>
      <c r="P339" s="43"/>
      <c r="Q339" s="43"/>
      <c r="R339" s="43"/>
      <c r="S339" s="43"/>
      <c r="T339" s="43"/>
      <c r="U339" s="43"/>
      <c r="V339" s="43"/>
      <c r="W339" s="43"/>
      <c r="X339" s="43"/>
      <c r="Y339" s="43"/>
      <c r="Z339" s="43"/>
    </row>
    <row r="340" spans="15:26" x14ac:dyDescent="0.25">
      <c r="O340" s="43"/>
      <c r="P340" s="43"/>
      <c r="Q340" s="43"/>
      <c r="R340" s="43"/>
      <c r="S340" s="43"/>
      <c r="T340" s="43"/>
      <c r="U340" s="43"/>
      <c r="V340" s="43"/>
      <c r="W340" s="43"/>
      <c r="X340" s="43"/>
      <c r="Y340" s="43"/>
      <c r="Z340" s="43"/>
    </row>
    <row r="341" spans="15:26" x14ac:dyDescent="0.25">
      <c r="O341" s="43"/>
      <c r="P341" s="43"/>
      <c r="Q341" s="43"/>
      <c r="R341" s="43"/>
      <c r="S341" s="43"/>
      <c r="T341" s="43"/>
      <c r="U341" s="43"/>
      <c r="V341" s="43"/>
      <c r="W341" s="43"/>
      <c r="X341" s="43"/>
      <c r="Y341" s="43"/>
      <c r="Z341" s="43"/>
    </row>
    <row r="342" spans="15:26" x14ac:dyDescent="0.25">
      <c r="O342" s="43"/>
      <c r="P342" s="43"/>
      <c r="Q342" s="43"/>
      <c r="R342" s="43"/>
      <c r="S342" s="43"/>
      <c r="T342" s="43"/>
      <c r="U342" s="43"/>
      <c r="V342" s="43"/>
      <c r="W342" s="43"/>
      <c r="X342" s="43"/>
      <c r="Y342" s="43"/>
      <c r="Z342" s="43"/>
    </row>
    <row r="343" spans="15:26" x14ac:dyDescent="0.25">
      <c r="O343" s="43"/>
      <c r="P343" s="43"/>
      <c r="Q343" s="43"/>
      <c r="R343" s="43"/>
      <c r="S343" s="43"/>
      <c r="T343" s="43"/>
      <c r="U343" s="43"/>
      <c r="V343" s="43"/>
      <c r="W343" s="43"/>
      <c r="X343" s="43"/>
      <c r="Y343" s="43"/>
      <c r="Z343" s="43"/>
    </row>
    <row r="344" spans="15:26" x14ac:dyDescent="0.25">
      <c r="O344" s="43"/>
      <c r="P344" s="43"/>
      <c r="Q344" s="43"/>
      <c r="R344" s="43"/>
      <c r="S344" s="43"/>
      <c r="T344" s="43"/>
      <c r="U344" s="43"/>
      <c r="V344" s="43"/>
      <c r="W344" s="43"/>
      <c r="X344" s="43"/>
      <c r="Y344" s="43"/>
      <c r="Z344" s="43"/>
    </row>
    <row r="345" spans="15:26" x14ac:dyDescent="0.25">
      <c r="O345" s="43"/>
      <c r="P345" s="43"/>
      <c r="Q345" s="43"/>
      <c r="R345" s="43"/>
      <c r="S345" s="43"/>
      <c r="T345" s="43"/>
      <c r="U345" s="43"/>
      <c r="V345" s="43"/>
      <c r="W345" s="43"/>
      <c r="X345" s="43"/>
      <c r="Y345" s="43"/>
      <c r="Z345" s="43"/>
    </row>
    <row r="346" spans="15:26" x14ac:dyDescent="0.25">
      <c r="O346" s="43"/>
      <c r="P346" s="43"/>
      <c r="Q346" s="43"/>
      <c r="R346" s="43"/>
      <c r="S346" s="43"/>
      <c r="T346" s="43"/>
      <c r="U346" s="43"/>
      <c r="V346" s="43"/>
      <c r="W346" s="43"/>
      <c r="X346" s="43"/>
      <c r="Y346" s="43"/>
      <c r="Z346" s="43"/>
    </row>
    <row r="347" spans="15:26" x14ac:dyDescent="0.25">
      <c r="O347" s="43"/>
      <c r="P347" s="43"/>
      <c r="Q347" s="43"/>
      <c r="R347" s="43"/>
      <c r="S347" s="43"/>
      <c r="T347" s="43"/>
      <c r="U347" s="43"/>
      <c r="V347" s="43"/>
      <c r="W347" s="43"/>
      <c r="X347" s="43"/>
      <c r="Y347" s="43"/>
      <c r="Z347" s="43"/>
    </row>
    <row r="348" spans="15:26" x14ac:dyDescent="0.25">
      <c r="O348" s="43"/>
      <c r="P348" s="43"/>
      <c r="Q348" s="43"/>
      <c r="R348" s="43"/>
      <c r="S348" s="43"/>
      <c r="T348" s="43"/>
      <c r="U348" s="43"/>
      <c r="V348" s="43"/>
      <c r="W348" s="43"/>
      <c r="X348" s="43"/>
      <c r="Y348" s="43"/>
      <c r="Z348" s="43"/>
    </row>
    <row r="349" spans="15:26" x14ac:dyDescent="0.25">
      <c r="O349" s="43"/>
      <c r="P349" s="43"/>
      <c r="Q349" s="43"/>
      <c r="R349" s="43"/>
      <c r="S349" s="43"/>
      <c r="T349" s="43"/>
      <c r="U349" s="43"/>
      <c r="V349" s="43"/>
      <c r="W349" s="43"/>
      <c r="X349" s="43"/>
      <c r="Y349" s="43"/>
      <c r="Z349" s="43"/>
    </row>
    <row r="350" spans="15:26" x14ac:dyDescent="0.25">
      <c r="O350" s="43"/>
      <c r="P350" s="43"/>
      <c r="Q350" s="43"/>
      <c r="R350" s="43"/>
      <c r="S350" s="43"/>
      <c r="T350" s="43"/>
      <c r="U350" s="43"/>
      <c r="V350" s="43"/>
      <c r="W350" s="43"/>
      <c r="X350" s="43"/>
      <c r="Y350" s="43"/>
      <c r="Z350" s="43"/>
    </row>
    <row r="351" spans="15:26" x14ac:dyDescent="0.25">
      <c r="O351" s="43"/>
      <c r="P351" s="43"/>
      <c r="Q351" s="43"/>
      <c r="R351" s="43"/>
      <c r="S351" s="43"/>
      <c r="T351" s="43"/>
      <c r="U351" s="43"/>
      <c r="V351" s="43"/>
      <c r="W351" s="43"/>
      <c r="X351" s="43"/>
      <c r="Y351" s="43"/>
      <c r="Z351" s="43"/>
    </row>
    <row r="352" spans="15:26" x14ac:dyDescent="0.25">
      <c r="O352" s="43"/>
      <c r="P352" s="43"/>
      <c r="Q352" s="43"/>
      <c r="R352" s="43"/>
      <c r="S352" s="43"/>
      <c r="T352" s="43"/>
      <c r="U352" s="43"/>
      <c r="V352" s="43"/>
      <c r="W352" s="43"/>
      <c r="X352" s="43"/>
      <c r="Y352" s="43"/>
      <c r="Z352" s="43"/>
    </row>
    <row r="353" spans="15:26" x14ac:dyDescent="0.25">
      <c r="O353" s="43"/>
      <c r="P353" s="43"/>
      <c r="Q353" s="43"/>
      <c r="R353" s="43"/>
      <c r="S353" s="43"/>
      <c r="T353" s="43"/>
      <c r="U353" s="43"/>
      <c r="V353" s="43"/>
      <c r="W353" s="43"/>
      <c r="X353" s="43"/>
      <c r="Y353" s="43"/>
      <c r="Z353" s="43"/>
    </row>
    <row r="354" spans="15:26" x14ac:dyDescent="0.25">
      <c r="O354" s="43"/>
      <c r="P354" s="43"/>
      <c r="Q354" s="43"/>
      <c r="R354" s="43"/>
      <c r="S354" s="43"/>
      <c r="T354" s="43"/>
      <c r="U354" s="43"/>
      <c r="V354" s="43"/>
      <c r="W354" s="43"/>
      <c r="X354" s="43"/>
      <c r="Y354" s="43"/>
      <c r="Z354" s="43"/>
    </row>
    <row r="355" spans="15:26" x14ac:dyDescent="0.25">
      <c r="O355" s="43"/>
      <c r="P355" s="43"/>
      <c r="Q355" s="43"/>
      <c r="R355" s="43"/>
      <c r="S355" s="43"/>
      <c r="T355" s="43"/>
      <c r="U355" s="43"/>
      <c r="V355" s="43"/>
      <c r="W355" s="43"/>
      <c r="X355" s="43"/>
      <c r="Y355" s="43"/>
      <c r="Z355" s="43"/>
    </row>
    <row r="356" spans="15:26" x14ac:dyDescent="0.25">
      <c r="O356" s="43"/>
      <c r="P356" s="43"/>
      <c r="Q356" s="43"/>
      <c r="R356" s="43"/>
      <c r="S356" s="43"/>
      <c r="T356" s="43"/>
      <c r="U356" s="43"/>
      <c r="V356" s="43"/>
      <c r="W356" s="43"/>
      <c r="X356" s="43"/>
      <c r="Y356" s="43"/>
      <c r="Z356" s="43"/>
    </row>
    <row r="357" spans="15:26" x14ac:dyDescent="0.25">
      <c r="O357" s="43"/>
      <c r="P357" s="43"/>
      <c r="Q357" s="43"/>
      <c r="R357" s="43"/>
      <c r="S357" s="43"/>
      <c r="T357" s="43"/>
      <c r="U357" s="43"/>
      <c r="V357" s="43"/>
      <c r="W357" s="43"/>
      <c r="X357" s="43"/>
      <c r="Y357" s="43"/>
      <c r="Z357" s="43"/>
    </row>
    <row r="358" spans="15:26" x14ac:dyDescent="0.25">
      <c r="O358" s="43"/>
      <c r="P358" s="43"/>
      <c r="Q358" s="43"/>
      <c r="R358" s="43"/>
      <c r="S358" s="43"/>
      <c r="T358" s="43"/>
      <c r="U358" s="43"/>
      <c r="V358" s="43"/>
      <c r="W358" s="43"/>
      <c r="X358" s="43"/>
      <c r="Y358" s="43"/>
      <c r="Z358" s="43"/>
    </row>
    <row r="359" spans="15:26" x14ac:dyDescent="0.25">
      <c r="O359" s="43"/>
      <c r="P359" s="43"/>
      <c r="Q359" s="43"/>
      <c r="R359" s="43"/>
      <c r="S359" s="43"/>
      <c r="T359" s="43"/>
      <c r="U359" s="43"/>
      <c r="V359" s="43"/>
      <c r="W359" s="43"/>
      <c r="X359" s="43"/>
      <c r="Y359" s="43"/>
      <c r="Z359" s="43"/>
    </row>
    <row r="360" spans="15:26" x14ac:dyDescent="0.25">
      <c r="O360" s="43"/>
      <c r="P360" s="43"/>
      <c r="Q360" s="43"/>
      <c r="R360" s="43"/>
      <c r="S360" s="43"/>
      <c r="T360" s="43"/>
      <c r="U360" s="43"/>
      <c r="V360" s="43"/>
      <c r="W360" s="43"/>
      <c r="X360" s="43"/>
      <c r="Y360" s="43"/>
      <c r="Z360" s="43"/>
    </row>
    <row r="361" spans="15:26" x14ac:dyDescent="0.25">
      <c r="O361" s="43"/>
      <c r="P361" s="43"/>
      <c r="Q361" s="43"/>
      <c r="R361" s="43"/>
      <c r="S361" s="43"/>
      <c r="T361" s="43"/>
      <c r="U361" s="43"/>
      <c r="V361" s="43"/>
      <c r="W361" s="43"/>
      <c r="X361" s="43"/>
      <c r="Y361" s="43"/>
      <c r="Z361" s="43"/>
    </row>
    <row r="362" spans="15:26" x14ac:dyDescent="0.25">
      <c r="O362" s="43"/>
      <c r="P362" s="43"/>
      <c r="Q362" s="43"/>
      <c r="R362" s="43"/>
      <c r="S362" s="43"/>
      <c r="T362" s="43"/>
      <c r="U362" s="43"/>
      <c r="V362" s="43"/>
      <c r="W362" s="43"/>
      <c r="X362" s="43"/>
      <c r="Y362" s="43"/>
      <c r="Z362" s="43"/>
    </row>
    <row r="363" spans="15:26" x14ac:dyDescent="0.25">
      <c r="O363" s="43"/>
      <c r="P363" s="43"/>
      <c r="Q363" s="43"/>
      <c r="R363" s="43"/>
      <c r="S363" s="43"/>
      <c r="T363" s="43"/>
      <c r="U363" s="43"/>
      <c r="V363" s="43"/>
      <c r="W363" s="43"/>
      <c r="X363" s="43"/>
      <c r="Y363" s="43"/>
      <c r="Z363" s="43"/>
    </row>
    <row r="364" spans="15:26" x14ac:dyDescent="0.25">
      <c r="O364" s="43"/>
      <c r="P364" s="43"/>
      <c r="Q364" s="43"/>
      <c r="R364" s="43"/>
      <c r="S364" s="43"/>
      <c r="T364" s="43"/>
      <c r="U364" s="43"/>
      <c r="V364" s="43"/>
      <c r="W364" s="43"/>
      <c r="X364" s="43"/>
      <c r="Y364" s="43"/>
      <c r="Z364" s="43"/>
    </row>
    <row r="365" spans="15:26" x14ac:dyDescent="0.25">
      <c r="O365" s="43"/>
      <c r="P365" s="43"/>
      <c r="Q365" s="43"/>
      <c r="R365" s="43"/>
      <c r="S365" s="43"/>
      <c r="T365" s="43"/>
      <c r="U365" s="43"/>
      <c r="V365" s="43"/>
      <c r="W365" s="43"/>
      <c r="X365" s="43"/>
      <c r="Y365" s="43"/>
      <c r="Z365" s="43"/>
    </row>
    <row r="366" spans="15:26" x14ac:dyDescent="0.25">
      <c r="O366" s="43"/>
      <c r="P366" s="43"/>
      <c r="Q366" s="43"/>
      <c r="R366" s="43"/>
      <c r="S366" s="43"/>
      <c r="T366" s="43"/>
      <c r="U366" s="43"/>
      <c r="V366" s="43"/>
      <c r="W366" s="43"/>
      <c r="X366" s="43"/>
      <c r="Y366" s="43"/>
      <c r="Z366" s="43"/>
    </row>
    <row r="367" spans="15:26" x14ac:dyDescent="0.25">
      <c r="O367" s="43"/>
      <c r="P367" s="43"/>
      <c r="Q367" s="43"/>
      <c r="R367" s="43"/>
      <c r="S367" s="43"/>
      <c r="T367" s="43"/>
      <c r="U367" s="43"/>
      <c r="V367" s="43"/>
      <c r="W367" s="43"/>
      <c r="X367" s="43"/>
      <c r="Y367" s="43"/>
      <c r="Z367" s="43"/>
    </row>
    <row r="368" spans="15:26" x14ac:dyDescent="0.25">
      <c r="O368" s="43"/>
      <c r="P368" s="43"/>
      <c r="Q368" s="43"/>
      <c r="R368" s="43"/>
      <c r="S368" s="43"/>
      <c r="T368" s="43"/>
      <c r="U368" s="43"/>
      <c r="V368" s="43"/>
      <c r="W368" s="43"/>
      <c r="X368" s="43"/>
      <c r="Y368" s="43"/>
      <c r="Z368" s="43"/>
    </row>
    <row r="369" spans="15:26" x14ac:dyDescent="0.25">
      <c r="O369" s="43"/>
      <c r="P369" s="43"/>
      <c r="Q369" s="43"/>
      <c r="R369" s="43"/>
      <c r="S369" s="43"/>
      <c r="T369" s="43"/>
      <c r="U369" s="43"/>
      <c r="V369" s="43"/>
      <c r="W369" s="43"/>
      <c r="X369" s="43"/>
      <c r="Y369" s="43"/>
      <c r="Z369" s="43"/>
    </row>
    <row r="370" spans="15:26" x14ac:dyDescent="0.25">
      <c r="O370" s="43"/>
      <c r="P370" s="43"/>
      <c r="Q370" s="43"/>
      <c r="R370" s="43"/>
      <c r="S370" s="43"/>
      <c r="T370" s="43"/>
      <c r="U370" s="43"/>
      <c r="V370" s="43"/>
      <c r="W370" s="43"/>
      <c r="X370" s="43"/>
      <c r="Y370" s="43"/>
      <c r="Z370" s="43"/>
    </row>
    <row r="371" spans="15:26" x14ac:dyDescent="0.25">
      <c r="O371" s="43"/>
      <c r="P371" s="43"/>
      <c r="Q371" s="43"/>
      <c r="R371" s="43"/>
      <c r="S371" s="43"/>
      <c r="T371" s="43"/>
      <c r="U371" s="43"/>
      <c r="V371" s="43"/>
      <c r="W371" s="43"/>
      <c r="X371" s="43"/>
      <c r="Y371" s="43"/>
      <c r="Z371" s="43"/>
    </row>
    <row r="372" spans="15:26" x14ac:dyDescent="0.25">
      <c r="O372" s="43"/>
      <c r="P372" s="43"/>
      <c r="Q372" s="43"/>
      <c r="R372" s="43"/>
      <c r="S372" s="43"/>
      <c r="T372" s="43"/>
      <c r="U372" s="43"/>
      <c r="V372" s="43"/>
      <c r="W372" s="43"/>
      <c r="X372" s="43"/>
      <c r="Y372" s="43"/>
      <c r="Z372" s="43"/>
    </row>
    <row r="373" spans="15:26" x14ac:dyDescent="0.25">
      <c r="O373" s="43"/>
      <c r="P373" s="43"/>
      <c r="Q373" s="43"/>
      <c r="R373" s="43"/>
      <c r="S373" s="43"/>
      <c r="T373" s="43"/>
      <c r="U373" s="43"/>
      <c r="V373" s="43"/>
      <c r="W373" s="43"/>
      <c r="X373" s="43"/>
      <c r="Y373" s="43"/>
      <c r="Z373" s="43"/>
    </row>
    <row r="374" spans="15:26" x14ac:dyDescent="0.25">
      <c r="O374" s="43"/>
      <c r="P374" s="43"/>
      <c r="Q374" s="43"/>
      <c r="R374" s="43"/>
      <c r="S374" s="43"/>
      <c r="T374" s="43"/>
      <c r="U374" s="43"/>
      <c r="V374" s="43"/>
      <c r="W374" s="43"/>
      <c r="X374" s="43"/>
      <c r="Y374" s="43"/>
      <c r="Z374" s="43"/>
    </row>
    <row r="375" spans="15:26" x14ac:dyDescent="0.25">
      <c r="O375" s="43"/>
      <c r="P375" s="43"/>
      <c r="Q375" s="43"/>
      <c r="R375" s="43"/>
      <c r="S375" s="43"/>
      <c r="T375" s="43"/>
      <c r="U375" s="43"/>
      <c r="V375" s="43"/>
      <c r="W375" s="43"/>
      <c r="X375" s="43"/>
      <c r="Y375" s="43"/>
      <c r="Z375" s="43"/>
    </row>
    <row r="376" spans="15:26" x14ac:dyDescent="0.25">
      <c r="O376" s="43"/>
      <c r="P376" s="43"/>
      <c r="Q376" s="43"/>
      <c r="R376" s="43"/>
      <c r="S376" s="43"/>
      <c r="T376" s="43"/>
      <c r="U376" s="43"/>
      <c r="V376" s="43"/>
      <c r="W376" s="43"/>
      <c r="X376" s="43"/>
      <c r="Y376" s="43"/>
      <c r="Z376" s="43"/>
    </row>
    <row r="377" spans="15:26" x14ac:dyDescent="0.25">
      <c r="O377" s="43"/>
      <c r="P377" s="43"/>
      <c r="Q377" s="43"/>
      <c r="R377" s="43"/>
      <c r="S377" s="43"/>
      <c r="T377" s="43"/>
      <c r="U377" s="43"/>
      <c r="V377" s="43"/>
      <c r="W377" s="43"/>
      <c r="X377" s="43"/>
      <c r="Y377" s="43"/>
      <c r="Z377" s="43"/>
    </row>
    <row r="378" spans="15:26" x14ac:dyDescent="0.25">
      <c r="O378" s="43"/>
      <c r="P378" s="43"/>
      <c r="Q378" s="43"/>
      <c r="R378" s="43"/>
      <c r="S378" s="43"/>
      <c r="T378" s="43"/>
      <c r="U378" s="43"/>
      <c r="V378" s="43"/>
      <c r="W378" s="43"/>
      <c r="X378" s="43"/>
      <c r="Y378" s="43"/>
      <c r="Z378" s="43"/>
    </row>
    <row r="379" spans="15:26" x14ac:dyDescent="0.25">
      <c r="O379" s="43"/>
      <c r="P379" s="43"/>
      <c r="Q379" s="43"/>
      <c r="R379" s="43"/>
      <c r="S379" s="43"/>
      <c r="T379" s="43"/>
      <c r="U379" s="43"/>
      <c r="V379" s="43"/>
      <c r="W379" s="43"/>
      <c r="X379" s="43"/>
      <c r="Y379" s="43"/>
      <c r="Z379" s="43"/>
    </row>
    <row r="380" spans="15:26" x14ac:dyDescent="0.25">
      <c r="O380" s="43"/>
      <c r="P380" s="43"/>
      <c r="Q380" s="43"/>
      <c r="R380" s="43"/>
      <c r="S380" s="43"/>
      <c r="T380" s="43"/>
      <c r="U380" s="43"/>
      <c r="V380" s="43"/>
      <c r="W380" s="43"/>
      <c r="X380" s="43"/>
      <c r="Y380" s="43"/>
      <c r="Z380" s="43"/>
    </row>
    <row r="381" spans="15:26" x14ac:dyDescent="0.25">
      <c r="O381" s="43"/>
      <c r="P381" s="43"/>
      <c r="Q381" s="43"/>
      <c r="R381" s="43"/>
      <c r="S381" s="43"/>
      <c r="T381" s="43"/>
      <c r="U381" s="43"/>
      <c r="V381" s="43"/>
      <c r="W381" s="43"/>
      <c r="X381" s="43"/>
      <c r="Y381" s="43"/>
      <c r="Z381" s="43"/>
    </row>
    <row r="382" spans="15:26" x14ac:dyDescent="0.25">
      <c r="O382" s="43"/>
      <c r="P382" s="43"/>
      <c r="Q382" s="43"/>
      <c r="R382" s="43"/>
      <c r="S382" s="43"/>
      <c r="T382" s="43"/>
      <c r="U382" s="43"/>
      <c r="V382" s="43"/>
      <c r="W382" s="43"/>
      <c r="X382" s="43"/>
      <c r="Y382" s="43"/>
      <c r="Z382" s="43"/>
    </row>
    <row r="383" spans="15:26" x14ac:dyDescent="0.25">
      <c r="O383" s="43"/>
      <c r="P383" s="43"/>
      <c r="Q383" s="43"/>
      <c r="R383" s="43"/>
      <c r="S383" s="43"/>
      <c r="T383" s="43"/>
      <c r="U383" s="43"/>
      <c r="V383" s="43"/>
      <c r="W383" s="43"/>
      <c r="X383" s="43"/>
      <c r="Y383" s="43"/>
      <c r="Z383" s="43"/>
    </row>
    <row r="384" spans="15:26" x14ac:dyDescent="0.25">
      <c r="O384" s="43"/>
      <c r="P384" s="43"/>
      <c r="Q384" s="43"/>
      <c r="R384" s="43"/>
      <c r="S384" s="43"/>
      <c r="T384" s="43"/>
      <c r="U384" s="43"/>
      <c r="V384" s="43"/>
      <c r="W384" s="43"/>
      <c r="X384" s="43"/>
      <c r="Y384" s="43"/>
      <c r="Z384" s="43"/>
    </row>
    <row r="385" spans="15:26" x14ac:dyDescent="0.25">
      <c r="O385" s="43"/>
      <c r="P385" s="43"/>
      <c r="Q385" s="43"/>
      <c r="R385" s="43"/>
      <c r="S385" s="43"/>
      <c r="T385" s="43"/>
      <c r="U385" s="43"/>
      <c r="V385" s="43"/>
      <c r="W385" s="43"/>
      <c r="X385" s="43"/>
      <c r="Y385" s="43"/>
      <c r="Z385" s="43"/>
    </row>
    <row r="386" spans="15:26" x14ac:dyDescent="0.25">
      <c r="O386" s="43"/>
      <c r="P386" s="43"/>
      <c r="Q386" s="43"/>
      <c r="R386" s="43"/>
      <c r="S386" s="43"/>
      <c r="T386" s="43"/>
      <c r="U386" s="43"/>
      <c r="V386" s="43"/>
      <c r="W386" s="43"/>
      <c r="X386" s="43"/>
      <c r="Y386" s="43"/>
      <c r="Z386" s="43"/>
    </row>
    <row r="387" spans="15:26" x14ac:dyDescent="0.25">
      <c r="O387" s="43"/>
      <c r="P387" s="43"/>
      <c r="Q387" s="43"/>
      <c r="R387" s="43"/>
      <c r="S387" s="43"/>
      <c r="T387" s="43"/>
      <c r="U387" s="43"/>
      <c r="V387" s="43"/>
      <c r="W387" s="43"/>
      <c r="X387" s="43"/>
      <c r="Y387" s="43"/>
      <c r="Z387" s="43"/>
    </row>
    <row r="388" spans="15:26" x14ac:dyDescent="0.25">
      <c r="O388" s="43"/>
      <c r="P388" s="43"/>
      <c r="Q388" s="43"/>
      <c r="R388" s="43"/>
      <c r="S388" s="43"/>
      <c r="T388" s="43"/>
      <c r="U388" s="43"/>
      <c r="V388" s="43"/>
      <c r="W388" s="43"/>
      <c r="X388" s="43"/>
      <c r="Y388" s="43"/>
      <c r="Z388" s="43"/>
    </row>
    <row r="389" spans="15:26" x14ac:dyDescent="0.25">
      <c r="O389" s="43"/>
      <c r="P389" s="43"/>
      <c r="Q389" s="43"/>
      <c r="R389" s="43"/>
      <c r="S389" s="43"/>
      <c r="T389" s="43"/>
      <c r="U389" s="43"/>
      <c r="V389" s="43"/>
      <c r="W389" s="43"/>
      <c r="X389" s="43"/>
      <c r="Y389" s="43"/>
      <c r="Z389" s="43"/>
    </row>
    <row r="390" spans="15:26" x14ac:dyDescent="0.25">
      <c r="O390" s="43"/>
      <c r="P390" s="43"/>
      <c r="Q390" s="43"/>
      <c r="R390" s="43"/>
      <c r="S390" s="43"/>
      <c r="T390" s="43"/>
      <c r="U390" s="43"/>
      <c r="V390" s="43"/>
      <c r="W390" s="43"/>
      <c r="X390" s="43"/>
      <c r="Y390" s="43"/>
      <c r="Z390" s="43"/>
    </row>
    <row r="391" spans="15:26" x14ac:dyDescent="0.25">
      <c r="O391" s="43"/>
      <c r="P391" s="43"/>
      <c r="Q391" s="43"/>
      <c r="R391" s="43"/>
      <c r="S391" s="43"/>
      <c r="T391" s="43"/>
      <c r="U391" s="43"/>
      <c r="V391" s="43"/>
      <c r="W391" s="43"/>
      <c r="X391" s="43"/>
      <c r="Y391" s="43"/>
      <c r="Z391" s="43"/>
    </row>
    <row r="392" spans="15:26" x14ac:dyDescent="0.25">
      <c r="O392" s="43"/>
      <c r="P392" s="43"/>
      <c r="Q392" s="43"/>
      <c r="R392" s="43"/>
      <c r="S392" s="43"/>
      <c r="T392" s="43"/>
      <c r="U392" s="43"/>
      <c r="V392" s="43"/>
      <c r="W392" s="43"/>
      <c r="X392" s="43"/>
      <c r="Y392" s="43"/>
      <c r="Z392" s="43"/>
    </row>
    <row r="393" spans="15:26" x14ac:dyDescent="0.25">
      <c r="O393" s="43"/>
      <c r="P393" s="43"/>
      <c r="Q393" s="43"/>
      <c r="R393" s="43"/>
      <c r="S393" s="43"/>
      <c r="T393" s="43"/>
      <c r="U393" s="43"/>
      <c r="V393" s="43"/>
      <c r="W393" s="43"/>
      <c r="X393" s="43"/>
      <c r="Y393" s="43"/>
      <c r="Z393" s="43"/>
    </row>
    <row r="394" spans="15:26" x14ac:dyDescent="0.25">
      <c r="O394" s="43"/>
      <c r="P394" s="43"/>
      <c r="Q394" s="43"/>
      <c r="R394" s="43"/>
      <c r="S394" s="43"/>
      <c r="T394" s="43"/>
      <c r="U394" s="43"/>
      <c r="V394" s="43"/>
      <c r="W394" s="43"/>
      <c r="X394" s="43"/>
      <c r="Y394" s="43"/>
      <c r="Z394" s="43"/>
    </row>
    <row r="395" spans="15:26" x14ac:dyDescent="0.25">
      <c r="O395" s="43"/>
      <c r="P395" s="43"/>
      <c r="Q395" s="43"/>
      <c r="R395" s="43"/>
      <c r="S395" s="43"/>
      <c r="T395" s="43"/>
      <c r="U395" s="43"/>
      <c r="V395" s="43"/>
      <c r="W395" s="43"/>
      <c r="X395" s="43"/>
      <c r="Y395" s="43"/>
      <c r="Z395" s="43"/>
    </row>
    <row r="396" spans="15:26" x14ac:dyDescent="0.25">
      <c r="O396" s="43"/>
      <c r="P396" s="43"/>
      <c r="Q396" s="43"/>
      <c r="R396" s="43"/>
      <c r="S396" s="43"/>
      <c r="T396" s="43"/>
      <c r="U396" s="43"/>
      <c r="V396" s="43"/>
      <c r="W396" s="43"/>
      <c r="X396" s="43"/>
      <c r="Y396" s="43"/>
      <c r="Z396" s="43"/>
    </row>
    <row r="397" spans="15:26" x14ac:dyDescent="0.25">
      <c r="O397" s="43"/>
      <c r="P397" s="43"/>
      <c r="Q397" s="43"/>
      <c r="R397" s="43"/>
      <c r="S397" s="43"/>
      <c r="T397" s="43"/>
      <c r="U397" s="43"/>
      <c r="V397" s="43"/>
      <c r="W397" s="43"/>
      <c r="X397" s="43"/>
      <c r="Y397" s="43"/>
      <c r="Z397" s="43"/>
    </row>
    <row r="398" spans="15:26" x14ac:dyDescent="0.25">
      <c r="O398" s="43"/>
      <c r="P398" s="43"/>
      <c r="Q398" s="43"/>
      <c r="R398" s="43"/>
      <c r="S398" s="43"/>
      <c r="T398" s="43"/>
      <c r="U398" s="43"/>
      <c r="V398" s="43"/>
      <c r="W398" s="43"/>
      <c r="X398" s="43"/>
      <c r="Y398" s="43"/>
      <c r="Z398" s="43"/>
    </row>
    <row r="399" spans="15:26" x14ac:dyDescent="0.25">
      <c r="O399" s="43"/>
      <c r="P399" s="43"/>
      <c r="Q399" s="43"/>
      <c r="R399" s="43"/>
      <c r="S399" s="43"/>
      <c r="T399" s="43"/>
      <c r="U399" s="43"/>
      <c r="V399" s="43"/>
      <c r="W399" s="43"/>
      <c r="X399" s="43"/>
      <c r="Y399" s="43"/>
      <c r="Z399" s="43"/>
    </row>
    <row r="400" spans="15:26" x14ac:dyDescent="0.25">
      <c r="O400" s="43"/>
      <c r="P400" s="43"/>
      <c r="Q400" s="43"/>
      <c r="R400" s="43"/>
      <c r="S400" s="43"/>
      <c r="T400" s="43"/>
      <c r="U400" s="43"/>
      <c r="V400" s="43"/>
      <c r="W400" s="43"/>
      <c r="X400" s="43"/>
      <c r="Y400" s="43"/>
      <c r="Z400" s="43"/>
    </row>
    <row r="401" spans="15:26" x14ac:dyDescent="0.25">
      <c r="O401" s="43"/>
      <c r="P401" s="43"/>
      <c r="Q401" s="43"/>
      <c r="R401" s="43"/>
      <c r="S401" s="43"/>
      <c r="T401" s="43"/>
      <c r="U401" s="43"/>
      <c r="V401" s="43"/>
      <c r="W401" s="43"/>
      <c r="X401" s="43"/>
      <c r="Y401" s="43"/>
      <c r="Z401" s="43"/>
    </row>
    <row r="402" spans="15:26" x14ac:dyDescent="0.25">
      <c r="O402" s="43"/>
      <c r="P402" s="43"/>
      <c r="Q402" s="43"/>
      <c r="R402" s="43"/>
      <c r="S402" s="43"/>
      <c r="T402" s="43"/>
      <c r="U402" s="43"/>
      <c r="V402" s="43"/>
      <c r="W402" s="43"/>
      <c r="X402" s="43"/>
      <c r="Y402" s="43"/>
      <c r="Z402" s="43"/>
    </row>
    <row r="403" spans="15:26" x14ac:dyDescent="0.25">
      <c r="O403" s="43"/>
      <c r="P403" s="43"/>
      <c r="Q403" s="43"/>
      <c r="R403" s="43"/>
      <c r="S403" s="43"/>
      <c r="T403" s="43"/>
      <c r="U403" s="43"/>
      <c r="V403" s="43"/>
      <c r="W403" s="43"/>
      <c r="X403" s="43"/>
      <c r="Y403" s="43"/>
      <c r="Z403" s="43"/>
    </row>
    <row r="404" spans="15:26" x14ac:dyDescent="0.25">
      <c r="O404" s="43"/>
      <c r="P404" s="43"/>
      <c r="Q404" s="43"/>
      <c r="R404" s="43"/>
      <c r="S404" s="43"/>
      <c r="T404" s="43"/>
      <c r="U404" s="43"/>
      <c r="V404" s="43"/>
      <c r="W404" s="43"/>
      <c r="X404" s="43"/>
      <c r="Y404" s="43"/>
      <c r="Z404" s="43"/>
    </row>
    <row r="405" spans="15:26" x14ac:dyDescent="0.25">
      <c r="O405" s="43"/>
      <c r="P405" s="43"/>
      <c r="Q405" s="43"/>
      <c r="R405" s="43"/>
      <c r="S405" s="43"/>
      <c r="T405" s="43"/>
      <c r="U405" s="43"/>
      <c r="V405" s="43"/>
      <c r="W405" s="43"/>
      <c r="X405" s="43"/>
      <c r="Y405" s="43"/>
      <c r="Z405" s="43"/>
    </row>
    <row r="406" spans="15:26" x14ac:dyDescent="0.25">
      <c r="O406" s="43"/>
      <c r="P406" s="43"/>
      <c r="Q406" s="43"/>
      <c r="R406" s="43"/>
      <c r="S406" s="43"/>
      <c r="T406" s="43"/>
      <c r="U406" s="43"/>
      <c r="V406" s="43"/>
      <c r="W406" s="43"/>
      <c r="X406" s="43"/>
      <c r="Y406" s="43"/>
      <c r="Z406" s="43"/>
    </row>
    <row r="407" spans="15:26" x14ac:dyDescent="0.25">
      <c r="O407" s="43"/>
      <c r="P407" s="43"/>
      <c r="Q407" s="43"/>
      <c r="R407" s="43"/>
      <c r="S407" s="43"/>
      <c r="T407" s="43"/>
      <c r="U407" s="43"/>
      <c r="V407" s="43"/>
      <c r="W407" s="43"/>
      <c r="X407" s="43"/>
      <c r="Y407" s="43"/>
      <c r="Z407" s="43"/>
    </row>
    <row r="408" spans="15:26" x14ac:dyDescent="0.25">
      <c r="O408" s="43"/>
      <c r="P408" s="43"/>
      <c r="Q408" s="43"/>
      <c r="R408" s="43"/>
      <c r="S408" s="43"/>
      <c r="T408" s="43"/>
      <c r="U408" s="43"/>
      <c r="V408" s="43"/>
      <c r="W408" s="43"/>
      <c r="X408" s="43"/>
      <c r="Y408" s="43"/>
      <c r="Z408" s="43"/>
    </row>
    <row r="409" spans="15:26" x14ac:dyDescent="0.25">
      <c r="O409" s="43"/>
      <c r="P409" s="43"/>
      <c r="Q409" s="43"/>
      <c r="R409" s="43"/>
      <c r="S409" s="43"/>
      <c r="T409" s="43"/>
      <c r="U409" s="43"/>
      <c r="V409" s="43"/>
      <c r="W409" s="43"/>
      <c r="X409" s="43"/>
      <c r="Y409" s="43"/>
      <c r="Z409" s="43"/>
    </row>
    <row r="410" spans="15:26" x14ac:dyDescent="0.25">
      <c r="O410" s="43"/>
      <c r="P410" s="43"/>
      <c r="Q410" s="43"/>
      <c r="R410" s="43"/>
      <c r="S410" s="43"/>
      <c r="T410" s="43"/>
      <c r="U410" s="43"/>
      <c r="V410" s="43"/>
      <c r="W410" s="43"/>
      <c r="X410" s="43"/>
      <c r="Y410" s="43"/>
      <c r="Z410" s="43"/>
    </row>
    <row r="411" spans="15:26" x14ac:dyDescent="0.25">
      <c r="O411" s="43"/>
      <c r="P411" s="43"/>
      <c r="Q411" s="43"/>
      <c r="R411" s="43"/>
      <c r="S411" s="43"/>
      <c r="T411" s="43"/>
      <c r="U411" s="43"/>
      <c r="V411" s="43"/>
      <c r="W411" s="43"/>
      <c r="X411" s="43"/>
      <c r="Y411" s="43"/>
      <c r="Z411" s="43"/>
    </row>
    <row r="412" spans="15:26" x14ac:dyDescent="0.25">
      <c r="O412" s="43"/>
      <c r="P412" s="43"/>
      <c r="Q412" s="43"/>
      <c r="R412" s="43"/>
      <c r="S412" s="43"/>
      <c r="T412" s="43"/>
      <c r="U412" s="43"/>
      <c r="V412" s="43"/>
      <c r="W412" s="43"/>
      <c r="X412" s="43"/>
      <c r="Y412" s="43"/>
      <c r="Z412" s="43"/>
    </row>
    <row r="413" spans="15:26" x14ac:dyDescent="0.25">
      <c r="O413" s="43"/>
      <c r="P413" s="43"/>
      <c r="Q413" s="43"/>
      <c r="R413" s="43"/>
      <c r="S413" s="43"/>
      <c r="T413" s="43"/>
      <c r="U413" s="43"/>
      <c r="V413" s="43"/>
      <c r="W413" s="43"/>
      <c r="X413" s="43"/>
      <c r="Y413" s="43"/>
      <c r="Z413" s="43"/>
    </row>
    <row r="414" spans="15:26" x14ac:dyDescent="0.25">
      <c r="O414" s="43"/>
      <c r="P414" s="43"/>
      <c r="Q414" s="43"/>
      <c r="R414" s="43"/>
      <c r="S414" s="43"/>
      <c r="T414" s="43"/>
      <c r="U414" s="43"/>
      <c r="V414" s="43"/>
      <c r="W414" s="43"/>
      <c r="X414" s="43"/>
      <c r="Y414" s="43"/>
      <c r="Z414" s="43"/>
    </row>
    <row r="415" spans="15:26" x14ac:dyDescent="0.25">
      <c r="O415" s="43"/>
      <c r="P415" s="43"/>
      <c r="Q415" s="43"/>
      <c r="R415" s="43"/>
      <c r="S415" s="43"/>
      <c r="T415" s="43"/>
      <c r="U415" s="43"/>
      <c r="V415" s="43"/>
      <c r="W415" s="43"/>
      <c r="X415" s="43"/>
      <c r="Y415" s="43"/>
      <c r="Z415" s="43"/>
    </row>
    <row r="416" spans="15:26" x14ac:dyDescent="0.25">
      <c r="O416" s="43"/>
      <c r="P416" s="43"/>
      <c r="Q416" s="43"/>
      <c r="R416" s="43"/>
      <c r="S416" s="43"/>
      <c r="T416" s="43"/>
      <c r="U416" s="43"/>
      <c r="V416" s="43"/>
      <c r="W416" s="43"/>
      <c r="X416" s="43"/>
      <c r="Y416" s="43"/>
      <c r="Z416" s="43"/>
    </row>
    <row r="417" spans="15:26" x14ac:dyDescent="0.25">
      <c r="O417" s="43"/>
      <c r="P417" s="43"/>
      <c r="Q417" s="43"/>
      <c r="R417" s="43"/>
      <c r="S417" s="43"/>
      <c r="T417" s="43"/>
      <c r="U417" s="43"/>
      <c r="V417" s="43"/>
      <c r="W417" s="43"/>
      <c r="X417" s="43"/>
      <c r="Y417" s="43"/>
      <c r="Z417" s="43"/>
    </row>
    <row r="418" spans="15:26" x14ac:dyDescent="0.25">
      <c r="O418" s="43"/>
      <c r="P418" s="43"/>
      <c r="Q418" s="43"/>
      <c r="R418" s="43"/>
      <c r="S418" s="43"/>
      <c r="T418" s="43"/>
      <c r="U418" s="43"/>
      <c r="V418" s="43"/>
      <c r="W418" s="43"/>
      <c r="X418" s="43"/>
      <c r="Y418" s="43"/>
      <c r="Z418" s="43"/>
    </row>
    <row r="419" spans="15:26" x14ac:dyDescent="0.25">
      <c r="O419" s="43"/>
      <c r="P419" s="43"/>
      <c r="Q419" s="43"/>
      <c r="R419" s="43"/>
      <c r="S419" s="43"/>
      <c r="T419" s="43"/>
      <c r="U419" s="43"/>
      <c r="V419" s="43"/>
      <c r="W419" s="43"/>
      <c r="X419" s="43"/>
      <c r="Y419" s="43"/>
      <c r="Z419" s="43"/>
    </row>
    <row r="420" spans="15:26" x14ac:dyDescent="0.25">
      <c r="O420" s="43"/>
      <c r="P420" s="43"/>
      <c r="Q420" s="43"/>
      <c r="R420" s="43"/>
      <c r="S420" s="43"/>
      <c r="T420" s="43"/>
      <c r="U420" s="43"/>
      <c r="V420" s="43"/>
      <c r="W420" s="43"/>
      <c r="X420" s="43"/>
      <c r="Y420" s="43"/>
      <c r="Z420" s="43"/>
    </row>
    <row r="421" spans="15:26" x14ac:dyDescent="0.25">
      <c r="O421" s="43"/>
      <c r="P421" s="43"/>
      <c r="Q421" s="43"/>
      <c r="R421" s="43"/>
      <c r="S421" s="43"/>
      <c r="T421" s="43"/>
      <c r="U421" s="43"/>
      <c r="V421" s="43"/>
      <c r="W421" s="43"/>
      <c r="X421" s="43"/>
      <c r="Y421" s="43"/>
      <c r="Z421" s="43"/>
    </row>
    <row r="422" spans="15:26" x14ac:dyDescent="0.25">
      <c r="O422" s="43"/>
      <c r="P422" s="43"/>
      <c r="Q422" s="43"/>
      <c r="R422" s="43"/>
      <c r="S422" s="43"/>
      <c r="T422" s="43"/>
      <c r="U422" s="43"/>
      <c r="V422" s="43"/>
      <c r="W422" s="43"/>
      <c r="X422" s="43"/>
      <c r="Y422" s="43"/>
      <c r="Z422" s="43"/>
    </row>
    <row r="423" spans="15:26" x14ac:dyDescent="0.25">
      <c r="O423" s="43"/>
      <c r="P423" s="43"/>
      <c r="Q423" s="43"/>
      <c r="R423" s="43"/>
      <c r="S423" s="43"/>
      <c r="T423" s="43"/>
      <c r="U423" s="43"/>
      <c r="V423" s="43"/>
      <c r="W423" s="43"/>
      <c r="X423" s="43"/>
      <c r="Y423" s="43"/>
      <c r="Z423" s="43"/>
    </row>
    <row r="424" spans="15:26" x14ac:dyDescent="0.25">
      <c r="O424" s="43"/>
      <c r="P424" s="43"/>
      <c r="Q424" s="43"/>
      <c r="R424" s="43"/>
      <c r="S424" s="43"/>
      <c r="T424" s="43"/>
      <c r="U424" s="43"/>
      <c r="V424" s="43"/>
      <c r="W424" s="43"/>
      <c r="X424" s="43"/>
      <c r="Y424" s="43"/>
      <c r="Z424" s="43"/>
    </row>
    <row r="425" spans="15:26" x14ac:dyDescent="0.25">
      <c r="O425" s="43"/>
      <c r="P425" s="43"/>
      <c r="Q425" s="43"/>
      <c r="R425" s="43"/>
      <c r="S425" s="43"/>
      <c r="T425" s="43"/>
      <c r="U425" s="43"/>
      <c r="V425" s="43"/>
      <c r="W425" s="43"/>
      <c r="X425" s="43"/>
      <c r="Y425" s="43"/>
      <c r="Z425" s="43"/>
    </row>
    <row r="426" spans="15:26" x14ac:dyDescent="0.25">
      <c r="O426" s="43"/>
      <c r="P426" s="43"/>
      <c r="Q426" s="43"/>
      <c r="R426" s="43"/>
      <c r="S426" s="43"/>
      <c r="T426" s="43"/>
      <c r="U426" s="43"/>
      <c r="V426" s="43"/>
      <c r="W426" s="43"/>
      <c r="X426" s="43"/>
      <c r="Y426" s="43"/>
      <c r="Z426" s="43"/>
    </row>
    <row r="427" spans="15:26" x14ac:dyDescent="0.25">
      <c r="O427" s="43"/>
      <c r="P427" s="43"/>
      <c r="Q427" s="43"/>
      <c r="R427" s="43"/>
      <c r="S427" s="43"/>
      <c r="T427" s="43"/>
      <c r="U427" s="43"/>
      <c r="V427" s="43"/>
      <c r="W427" s="43"/>
      <c r="X427" s="43"/>
      <c r="Y427" s="43"/>
      <c r="Z427" s="43"/>
    </row>
    <row r="428" spans="15:26" x14ac:dyDescent="0.25">
      <c r="O428" s="43"/>
      <c r="P428" s="43"/>
      <c r="Q428" s="43"/>
      <c r="R428" s="43"/>
      <c r="S428" s="43"/>
      <c r="T428" s="43"/>
      <c r="U428" s="43"/>
      <c r="V428" s="43"/>
      <c r="W428" s="43"/>
      <c r="X428" s="43"/>
      <c r="Y428" s="43"/>
      <c r="Z428" s="43"/>
    </row>
    <row r="429" spans="15:26" x14ac:dyDescent="0.25">
      <c r="O429" s="43"/>
      <c r="P429" s="43"/>
      <c r="Q429" s="43"/>
      <c r="R429" s="43"/>
      <c r="S429" s="43"/>
      <c r="T429" s="43"/>
      <c r="U429" s="43"/>
      <c r="V429" s="43"/>
      <c r="W429" s="43"/>
      <c r="X429" s="43"/>
      <c r="Y429" s="43"/>
      <c r="Z429" s="43"/>
    </row>
    <row r="430" spans="15:26" x14ac:dyDescent="0.25">
      <c r="O430" s="43"/>
      <c r="P430" s="43"/>
      <c r="Q430" s="43"/>
      <c r="R430" s="43"/>
      <c r="S430" s="43"/>
      <c r="T430" s="43"/>
      <c r="U430" s="43"/>
      <c r="V430" s="43"/>
      <c r="W430" s="43"/>
      <c r="X430" s="43"/>
      <c r="Y430" s="43"/>
      <c r="Z430" s="43"/>
    </row>
    <row r="431" spans="15:26" x14ac:dyDescent="0.25">
      <c r="O431" s="43"/>
      <c r="P431" s="43"/>
      <c r="Q431" s="43"/>
      <c r="R431" s="43"/>
      <c r="S431" s="43"/>
      <c r="T431" s="43"/>
      <c r="U431" s="43"/>
      <c r="V431" s="43"/>
      <c r="W431" s="43"/>
      <c r="X431" s="43"/>
      <c r="Y431" s="43"/>
      <c r="Z431" s="43"/>
    </row>
    <row r="432" spans="15:26" x14ac:dyDescent="0.25">
      <c r="O432" s="43"/>
      <c r="P432" s="43"/>
      <c r="Q432" s="43"/>
      <c r="R432" s="43"/>
      <c r="S432" s="43"/>
      <c r="T432" s="43"/>
      <c r="U432" s="43"/>
      <c r="V432" s="43"/>
      <c r="W432" s="43"/>
      <c r="X432" s="43"/>
      <c r="Y432" s="43"/>
      <c r="Z432" s="43"/>
    </row>
    <row r="433" spans="15:26" x14ac:dyDescent="0.25">
      <c r="O433" s="43"/>
      <c r="P433" s="43"/>
      <c r="Q433" s="43"/>
      <c r="R433" s="43"/>
      <c r="S433" s="43"/>
      <c r="T433" s="43"/>
      <c r="U433" s="43"/>
      <c r="V433" s="43"/>
      <c r="W433" s="43"/>
      <c r="X433" s="43"/>
      <c r="Y433" s="43"/>
      <c r="Z433" s="43"/>
    </row>
    <row r="434" spans="15:26" x14ac:dyDescent="0.25">
      <c r="O434" s="43"/>
      <c r="P434" s="43"/>
      <c r="Q434" s="43"/>
      <c r="R434" s="43"/>
      <c r="S434" s="43"/>
      <c r="T434" s="43"/>
      <c r="U434" s="43"/>
      <c r="V434" s="43"/>
      <c r="W434" s="43"/>
      <c r="X434" s="43"/>
      <c r="Y434" s="43"/>
      <c r="Z434" s="43"/>
    </row>
    <row r="435" spans="15:26" x14ac:dyDescent="0.25">
      <c r="O435" s="43"/>
      <c r="P435" s="43"/>
      <c r="Q435" s="43"/>
      <c r="R435" s="43"/>
      <c r="S435" s="43"/>
      <c r="T435" s="43"/>
      <c r="U435" s="43"/>
      <c r="V435" s="43"/>
      <c r="W435" s="43"/>
      <c r="X435" s="43"/>
      <c r="Y435" s="43"/>
      <c r="Z435" s="43"/>
    </row>
    <row r="436" spans="15:26" x14ac:dyDescent="0.25">
      <c r="O436" s="43"/>
      <c r="P436" s="43"/>
      <c r="Q436" s="43"/>
      <c r="R436" s="43"/>
      <c r="S436" s="43"/>
      <c r="T436" s="43"/>
      <c r="U436" s="43"/>
      <c r="V436" s="43"/>
      <c r="W436" s="43"/>
      <c r="X436" s="43"/>
      <c r="Y436" s="43"/>
      <c r="Z436" s="43"/>
    </row>
    <row r="437" spans="15:26" x14ac:dyDescent="0.25">
      <c r="O437" s="43"/>
      <c r="P437" s="43"/>
      <c r="Q437" s="43"/>
      <c r="R437" s="43"/>
      <c r="S437" s="43"/>
      <c r="T437" s="43"/>
      <c r="U437" s="43"/>
      <c r="V437" s="43"/>
      <c r="W437" s="43"/>
      <c r="X437" s="43"/>
      <c r="Y437" s="43"/>
      <c r="Z437" s="43"/>
    </row>
    <row r="438" spans="15:26" x14ac:dyDescent="0.25">
      <c r="O438" s="43"/>
      <c r="P438" s="43"/>
      <c r="Q438" s="43"/>
      <c r="R438" s="43"/>
      <c r="S438" s="43"/>
      <c r="T438" s="43"/>
      <c r="U438" s="43"/>
      <c r="V438" s="43"/>
      <c r="W438" s="43"/>
      <c r="X438" s="43"/>
      <c r="Y438" s="43"/>
      <c r="Z438" s="43"/>
    </row>
    <row r="439" spans="15:26" x14ac:dyDescent="0.25">
      <c r="O439" s="43"/>
      <c r="P439" s="43"/>
      <c r="Q439" s="43"/>
      <c r="R439" s="43"/>
      <c r="S439" s="43"/>
      <c r="T439" s="43"/>
      <c r="U439" s="43"/>
      <c r="V439" s="43"/>
      <c r="W439" s="43"/>
      <c r="X439" s="43"/>
      <c r="Y439" s="43"/>
      <c r="Z439" s="43"/>
    </row>
    <row r="440" spans="15:26" x14ac:dyDescent="0.25">
      <c r="O440" s="43"/>
      <c r="P440" s="43"/>
      <c r="Q440" s="43"/>
      <c r="R440" s="43"/>
      <c r="S440" s="43"/>
      <c r="T440" s="43"/>
      <c r="U440" s="43"/>
      <c r="V440" s="43"/>
      <c r="W440" s="43"/>
      <c r="X440" s="43"/>
      <c r="Y440" s="43"/>
      <c r="Z440" s="43"/>
    </row>
    <row r="441" spans="15:26" x14ac:dyDescent="0.25">
      <c r="O441" s="43"/>
      <c r="P441" s="43"/>
      <c r="Q441" s="43"/>
      <c r="R441" s="43"/>
      <c r="S441" s="43"/>
      <c r="T441" s="43"/>
      <c r="U441" s="43"/>
      <c r="V441" s="43"/>
      <c r="W441" s="43"/>
      <c r="X441" s="43"/>
      <c r="Y441" s="43"/>
      <c r="Z441" s="43"/>
    </row>
    <row r="442" spans="15:26" x14ac:dyDescent="0.25">
      <c r="O442" s="43"/>
      <c r="P442" s="43"/>
      <c r="Q442" s="43"/>
      <c r="R442" s="43"/>
      <c r="S442" s="43"/>
      <c r="T442" s="43"/>
      <c r="U442" s="43"/>
      <c r="V442" s="43"/>
      <c r="W442" s="43"/>
      <c r="X442" s="43"/>
      <c r="Y442" s="43"/>
      <c r="Z442" s="43"/>
    </row>
    <row r="443" spans="15:26" x14ac:dyDescent="0.25">
      <c r="O443" s="43"/>
      <c r="P443" s="43"/>
      <c r="Q443" s="43"/>
      <c r="R443" s="43"/>
      <c r="S443" s="43"/>
      <c r="T443" s="43"/>
      <c r="U443" s="43"/>
      <c r="V443" s="43"/>
      <c r="W443" s="43"/>
      <c r="X443" s="43"/>
      <c r="Y443" s="43"/>
      <c r="Z443" s="43"/>
    </row>
    <row r="444" spans="15:26" x14ac:dyDescent="0.25">
      <c r="O444" s="43"/>
      <c r="P444" s="43"/>
      <c r="Q444" s="43"/>
      <c r="R444" s="43"/>
      <c r="S444" s="43"/>
      <c r="T444" s="43"/>
      <c r="U444" s="43"/>
      <c r="V444" s="43"/>
      <c r="W444" s="43"/>
      <c r="X444" s="43"/>
      <c r="Y444" s="43"/>
      <c r="Z444" s="43"/>
    </row>
    <row r="445" spans="15:26" x14ac:dyDescent="0.25">
      <c r="O445" s="43"/>
      <c r="P445" s="43"/>
      <c r="Q445" s="43"/>
      <c r="R445" s="43"/>
      <c r="S445" s="43"/>
      <c r="T445" s="43"/>
      <c r="U445" s="43"/>
      <c r="V445" s="43"/>
      <c r="W445" s="43"/>
      <c r="X445" s="43"/>
      <c r="Y445" s="43"/>
      <c r="Z445" s="43"/>
    </row>
    <row r="446" spans="15:26" x14ac:dyDescent="0.25">
      <c r="O446" s="43"/>
      <c r="P446" s="43"/>
      <c r="Q446" s="43"/>
      <c r="R446" s="43"/>
      <c r="S446" s="43"/>
      <c r="T446" s="43"/>
      <c r="U446" s="43"/>
      <c r="V446" s="43"/>
      <c r="W446" s="43"/>
      <c r="X446" s="43"/>
      <c r="Y446" s="43"/>
      <c r="Z446" s="43"/>
    </row>
    <row r="447" spans="15:26" x14ac:dyDescent="0.25">
      <c r="O447" s="43"/>
      <c r="P447" s="43"/>
      <c r="Q447" s="43"/>
      <c r="R447" s="43"/>
      <c r="S447" s="43"/>
      <c r="T447" s="43"/>
      <c r="U447" s="43"/>
      <c r="V447" s="43"/>
      <c r="W447" s="43"/>
      <c r="X447" s="43"/>
      <c r="Y447" s="43"/>
      <c r="Z447" s="43"/>
    </row>
    <row r="448" spans="15:26" x14ac:dyDescent="0.25">
      <c r="O448" s="43"/>
      <c r="P448" s="43"/>
      <c r="Q448" s="43"/>
      <c r="R448" s="43"/>
      <c r="S448" s="43"/>
      <c r="T448" s="43"/>
      <c r="U448" s="43"/>
      <c r="V448" s="43"/>
      <c r="W448" s="43"/>
      <c r="X448" s="43"/>
      <c r="Y448" s="43"/>
      <c r="Z448" s="43"/>
    </row>
    <row r="449" spans="15:26" x14ac:dyDescent="0.25">
      <c r="O449" s="43"/>
      <c r="P449" s="43"/>
      <c r="Q449" s="43"/>
      <c r="R449" s="43"/>
      <c r="S449" s="43"/>
      <c r="T449" s="43"/>
      <c r="U449" s="43"/>
      <c r="V449" s="43"/>
      <c r="W449" s="43"/>
      <c r="X449" s="43"/>
      <c r="Y449" s="43"/>
      <c r="Z449" s="43"/>
    </row>
    <row r="450" spans="15:26" x14ac:dyDescent="0.25">
      <c r="O450" s="43"/>
      <c r="P450" s="43"/>
      <c r="Q450" s="43"/>
      <c r="R450" s="43"/>
      <c r="S450" s="43"/>
      <c r="T450" s="43"/>
      <c r="U450" s="43"/>
      <c r="V450" s="43"/>
      <c r="W450" s="43"/>
      <c r="X450" s="43"/>
      <c r="Y450" s="43"/>
      <c r="Z450" s="43"/>
    </row>
    <row r="451" spans="15:26" x14ac:dyDescent="0.25">
      <c r="O451" s="43"/>
      <c r="P451" s="43"/>
      <c r="Q451" s="43"/>
      <c r="R451" s="43"/>
      <c r="S451" s="43"/>
      <c r="T451" s="43"/>
      <c r="U451" s="43"/>
      <c r="V451" s="43"/>
      <c r="W451" s="43"/>
      <c r="X451" s="43"/>
      <c r="Y451" s="43"/>
      <c r="Z451" s="43"/>
    </row>
    <row r="452" spans="15:26" x14ac:dyDescent="0.25">
      <c r="O452" s="43"/>
      <c r="P452" s="43"/>
      <c r="Q452" s="43"/>
      <c r="R452" s="43"/>
      <c r="S452" s="43"/>
      <c r="T452" s="43"/>
      <c r="U452" s="43"/>
      <c r="V452" s="43"/>
      <c r="W452" s="43"/>
      <c r="X452" s="43"/>
      <c r="Y452" s="43"/>
      <c r="Z452" s="43"/>
    </row>
    <row r="453" spans="15:26" x14ac:dyDescent="0.25">
      <c r="O453" s="43"/>
      <c r="P453" s="43"/>
      <c r="Q453" s="43"/>
      <c r="R453" s="43"/>
      <c r="S453" s="43"/>
      <c r="T453" s="43"/>
      <c r="U453" s="43"/>
      <c r="V453" s="43"/>
      <c r="W453" s="43"/>
      <c r="X453" s="43"/>
      <c r="Y453" s="43"/>
      <c r="Z453" s="43"/>
    </row>
    <row r="454" spans="15:26" x14ac:dyDescent="0.25">
      <c r="O454" s="43"/>
      <c r="P454" s="43"/>
      <c r="Q454" s="43"/>
      <c r="R454" s="43"/>
      <c r="S454" s="43"/>
      <c r="T454" s="43"/>
      <c r="U454" s="43"/>
      <c r="V454" s="43"/>
      <c r="W454" s="43"/>
      <c r="X454" s="43"/>
      <c r="Y454" s="43"/>
      <c r="Z454" s="43"/>
    </row>
    <row r="455" spans="15:26" x14ac:dyDescent="0.25">
      <c r="O455" s="43"/>
      <c r="P455" s="43"/>
      <c r="Q455" s="43"/>
      <c r="R455" s="43"/>
      <c r="S455" s="43"/>
      <c r="T455" s="43"/>
      <c r="U455" s="43"/>
      <c r="V455" s="43"/>
      <c r="W455" s="43"/>
      <c r="X455" s="43"/>
      <c r="Y455" s="43"/>
      <c r="Z455" s="43"/>
    </row>
    <row r="456" spans="15:26" x14ac:dyDescent="0.25">
      <c r="O456" s="43"/>
      <c r="P456" s="43"/>
      <c r="Q456" s="43"/>
      <c r="R456" s="43"/>
      <c r="S456" s="43"/>
      <c r="T456" s="43"/>
      <c r="U456" s="43"/>
      <c r="V456" s="43"/>
      <c r="W456" s="43"/>
      <c r="X456" s="43"/>
      <c r="Y456" s="43"/>
      <c r="Z456" s="43"/>
    </row>
    <row r="457" spans="15:26" x14ac:dyDescent="0.25">
      <c r="O457" s="43"/>
      <c r="P457" s="43"/>
      <c r="Q457" s="43"/>
      <c r="R457" s="43"/>
      <c r="S457" s="43"/>
      <c r="T457" s="43"/>
      <c r="U457" s="43"/>
      <c r="V457" s="43"/>
      <c r="W457" s="43"/>
      <c r="X457" s="43"/>
      <c r="Y457" s="43"/>
      <c r="Z457" s="43"/>
    </row>
    <row r="458" spans="15:26" x14ac:dyDescent="0.25">
      <c r="O458" s="43"/>
      <c r="P458" s="43"/>
      <c r="Q458" s="43"/>
      <c r="R458" s="43"/>
      <c r="S458" s="43"/>
      <c r="T458" s="43"/>
      <c r="U458" s="43"/>
      <c r="V458" s="43"/>
      <c r="W458" s="43"/>
      <c r="X458" s="43"/>
      <c r="Y458" s="43"/>
      <c r="Z458" s="43"/>
    </row>
    <row r="459" spans="15:26" x14ac:dyDescent="0.25">
      <c r="O459" s="43"/>
      <c r="P459" s="43"/>
      <c r="Q459" s="43"/>
      <c r="R459" s="43"/>
      <c r="S459" s="43"/>
      <c r="T459" s="43"/>
      <c r="U459" s="43"/>
      <c r="V459" s="43"/>
      <c r="W459" s="43"/>
      <c r="X459" s="43"/>
      <c r="Y459" s="43"/>
      <c r="Z459" s="43"/>
    </row>
    <row r="460" spans="15:26" x14ac:dyDescent="0.25">
      <c r="O460" s="43"/>
      <c r="P460" s="43"/>
      <c r="Q460" s="43"/>
      <c r="R460" s="43"/>
      <c r="S460" s="43"/>
      <c r="T460" s="43"/>
      <c r="U460" s="43"/>
      <c r="V460" s="43"/>
      <c r="W460" s="43"/>
      <c r="X460" s="43"/>
      <c r="Y460" s="43"/>
      <c r="Z460" s="43"/>
    </row>
    <row r="461" spans="15:26" x14ac:dyDescent="0.25">
      <c r="O461" s="43"/>
      <c r="P461" s="43"/>
      <c r="Q461" s="43"/>
      <c r="R461" s="43"/>
      <c r="S461" s="43"/>
      <c r="T461" s="43"/>
      <c r="U461" s="43"/>
      <c r="V461" s="43"/>
      <c r="W461" s="43"/>
      <c r="X461" s="43"/>
      <c r="Y461" s="43"/>
      <c r="Z461" s="43"/>
    </row>
    <row r="462" spans="15:26" x14ac:dyDescent="0.25">
      <c r="O462" s="43"/>
      <c r="P462" s="43"/>
      <c r="Q462" s="43"/>
      <c r="R462" s="43"/>
      <c r="S462" s="43"/>
      <c r="T462" s="43"/>
      <c r="U462" s="43"/>
      <c r="V462" s="43"/>
      <c r="W462" s="43"/>
      <c r="X462" s="43"/>
      <c r="Y462" s="43"/>
      <c r="Z462" s="43"/>
    </row>
    <row r="463" spans="15:26" x14ac:dyDescent="0.25">
      <c r="O463" s="43"/>
      <c r="P463" s="43"/>
      <c r="Q463" s="43"/>
      <c r="R463" s="43"/>
      <c r="S463" s="43"/>
      <c r="T463" s="43"/>
      <c r="U463" s="43"/>
      <c r="V463" s="43"/>
      <c r="W463" s="43"/>
      <c r="X463" s="43"/>
      <c r="Y463" s="43"/>
      <c r="Z463" s="43"/>
    </row>
    <row r="464" spans="15:26" x14ac:dyDescent="0.25">
      <c r="O464" s="43"/>
      <c r="P464" s="43"/>
      <c r="Q464" s="43"/>
      <c r="R464" s="43"/>
      <c r="S464" s="43"/>
      <c r="T464" s="43"/>
      <c r="U464" s="43"/>
      <c r="V464" s="43"/>
      <c r="W464" s="43"/>
      <c r="X464" s="43"/>
      <c r="Y464" s="43"/>
      <c r="Z464" s="43"/>
    </row>
    <row r="465" spans="15:26" x14ac:dyDescent="0.25">
      <c r="O465" s="43"/>
      <c r="P465" s="43"/>
      <c r="Q465" s="43"/>
      <c r="R465" s="43"/>
      <c r="S465" s="43"/>
      <c r="T465" s="43"/>
      <c r="U465" s="43"/>
      <c r="V465" s="43"/>
      <c r="W465" s="43"/>
      <c r="X465" s="43"/>
      <c r="Y465" s="43"/>
      <c r="Z465" s="43"/>
    </row>
    <row r="466" spans="15:26" x14ac:dyDescent="0.25">
      <c r="O466" s="43"/>
      <c r="P466" s="43"/>
      <c r="Q466" s="43"/>
      <c r="R466" s="43"/>
      <c r="S466" s="43"/>
      <c r="T466" s="43"/>
      <c r="U466" s="43"/>
      <c r="V466" s="43"/>
      <c r="W466" s="43"/>
      <c r="X466" s="43"/>
      <c r="Y466" s="43"/>
      <c r="Z466" s="43"/>
    </row>
    <row r="467" spans="15:26" x14ac:dyDescent="0.25">
      <c r="O467" s="43"/>
      <c r="P467" s="43"/>
      <c r="Q467" s="43"/>
      <c r="R467" s="43"/>
      <c r="S467" s="43"/>
      <c r="T467" s="43"/>
      <c r="U467" s="43"/>
      <c r="V467" s="43"/>
      <c r="W467" s="43"/>
      <c r="X467" s="43"/>
      <c r="Y467" s="43"/>
      <c r="Z467" s="43"/>
    </row>
    <row r="468" spans="15:26" x14ac:dyDescent="0.25">
      <c r="O468" s="43"/>
      <c r="P468" s="43"/>
      <c r="Q468" s="43"/>
      <c r="R468" s="43"/>
      <c r="S468" s="43"/>
      <c r="T468" s="43"/>
      <c r="U468" s="43"/>
      <c r="V468" s="43"/>
      <c r="W468" s="43"/>
      <c r="X468" s="43"/>
      <c r="Y468" s="43"/>
      <c r="Z468" s="43"/>
    </row>
    <row r="469" spans="15:26" x14ac:dyDescent="0.25">
      <c r="O469" s="43"/>
      <c r="P469" s="43"/>
      <c r="Q469" s="43"/>
      <c r="R469" s="43"/>
      <c r="S469" s="43"/>
      <c r="T469" s="43"/>
      <c r="U469" s="43"/>
      <c r="V469" s="43"/>
      <c r="W469" s="43"/>
      <c r="X469" s="43"/>
      <c r="Y469" s="43"/>
      <c r="Z469" s="43"/>
    </row>
    <row r="470" spans="15:26" x14ac:dyDescent="0.25">
      <c r="O470" s="43"/>
      <c r="P470" s="43"/>
      <c r="Q470" s="43"/>
      <c r="R470" s="43"/>
      <c r="S470" s="43"/>
      <c r="T470" s="43"/>
      <c r="U470" s="43"/>
      <c r="V470" s="43"/>
      <c r="W470" s="43"/>
      <c r="X470" s="43"/>
      <c r="Y470" s="43"/>
      <c r="Z470" s="43"/>
    </row>
    <row r="471" spans="15:26" x14ac:dyDescent="0.25">
      <c r="O471" s="43"/>
      <c r="P471" s="43"/>
      <c r="Q471" s="43"/>
      <c r="R471" s="43"/>
      <c r="S471" s="43"/>
      <c r="T471" s="43"/>
      <c r="U471" s="43"/>
      <c r="V471" s="43"/>
      <c r="W471" s="43"/>
      <c r="X471" s="43"/>
      <c r="Y471" s="43"/>
      <c r="Z471" s="43"/>
    </row>
    <row r="472" spans="15:26" x14ac:dyDescent="0.25">
      <c r="O472" s="43"/>
      <c r="P472" s="43"/>
      <c r="Q472" s="43"/>
      <c r="R472" s="43"/>
      <c r="S472" s="43"/>
      <c r="T472" s="43"/>
      <c r="U472" s="43"/>
      <c r="V472" s="43"/>
      <c r="W472" s="43"/>
      <c r="X472" s="43"/>
      <c r="Y472" s="43"/>
      <c r="Z472" s="43"/>
    </row>
    <row r="473" spans="15:26" x14ac:dyDescent="0.25">
      <c r="O473" s="43"/>
      <c r="P473" s="43"/>
      <c r="Q473" s="43"/>
      <c r="R473" s="43"/>
      <c r="S473" s="43"/>
      <c r="T473" s="43"/>
      <c r="U473" s="43"/>
      <c r="V473" s="43"/>
      <c r="W473" s="43"/>
      <c r="X473" s="43"/>
      <c r="Y473" s="43"/>
      <c r="Z473" s="43"/>
    </row>
    <row r="474" spans="15:26" x14ac:dyDescent="0.25">
      <c r="O474" s="43"/>
      <c r="P474" s="43"/>
      <c r="Q474" s="43"/>
      <c r="R474" s="43"/>
      <c r="S474" s="43"/>
      <c r="T474" s="43"/>
      <c r="U474" s="43"/>
      <c r="V474" s="43"/>
      <c r="W474" s="43"/>
      <c r="X474" s="43"/>
      <c r="Y474" s="43"/>
      <c r="Z474" s="43"/>
    </row>
    <row r="475" spans="15:26" x14ac:dyDescent="0.25">
      <c r="O475" s="43"/>
      <c r="P475" s="43"/>
      <c r="Q475" s="43"/>
      <c r="R475" s="43"/>
      <c r="S475" s="43"/>
      <c r="T475" s="43"/>
      <c r="U475" s="43"/>
      <c r="V475" s="43"/>
      <c r="W475" s="43"/>
      <c r="X475" s="43"/>
      <c r="Y475" s="43"/>
      <c r="Z475" s="43"/>
    </row>
    <row r="476" spans="15:26" x14ac:dyDescent="0.25">
      <c r="O476" s="43"/>
      <c r="P476" s="43"/>
      <c r="Q476" s="43"/>
      <c r="R476" s="43"/>
      <c r="S476" s="43"/>
      <c r="T476" s="43"/>
      <c r="U476" s="43"/>
      <c r="V476" s="43"/>
      <c r="W476" s="43"/>
      <c r="X476" s="43"/>
      <c r="Y476" s="43"/>
      <c r="Z476" s="43"/>
    </row>
    <row r="477" spans="15:26" x14ac:dyDescent="0.25">
      <c r="O477" s="43"/>
      <c r="P477" s="43"/>
      <c r="Q477" s="43"/>
      <c r="R477" s="43"/>
      <c r="S477" s="43"/>
      <c r="T477" s="43"/>
      <c r="U477" s="43"/>
      <c r="V477" s="43"/>
      <c r="W477" s="43"/>
      <c r="X477" s="43"/>
      <c r="Y477" s="43"/>
      <c r="Z477" s="43"/>
    </row>
    <row r="478" spans="15:26" x14ac:dyDescent="0.25">
      <c r="O478" s="43"/>
      <c r="P478" s="43"/>
      <c r="Q478" s="43"/>
      <c r="R478" s="43"/>
      <c r="S478" s="43"/>
      <c r="T478" s="43"/>
      <c r="U478" s="43"/>
      <c r="V478" s="43"/>
      <c r="W478" s="43"/>
      <c r="X478" s="43"/>
      <c r="Y478" s="43"/>
      <c r="Z478" s="43"/>
    </row>
    <row r="479" spans="15:26" x14ac:dyDescent="0.25">
      <c r="O479" s="43"/>
      <c r="P479" s="43"/>
      <c r="Q479" s="43"/>
      <c r="R479" s="43"/>
      <c r="S479" s="43"/>
      <c r="T479" s="43"/>
      <c r="U479" s="43"/>
      <c r="V479" s="43"/>
      <c r="W479" s="43"/>
      <c r="X479" s="43"/>
      <c r="Y479" s="43"/>
      <c r="Z479" s="43"/>
    </row>
    <row r="480" spans="15:26" x14ac:dyDescent="0.25">
      <c r="O480" s="43"/>
      <c r="P480" s="43"/>
      <c r="Q480" s="43"/>
      <c r="R480" s="43"/>
      <c r="S480" s="43"/>
      <c r="T480" s="43"/>
      <c r="U480" s="43"/>
      <c r="V480" s="43"/>
      <c r="W480" s="43"/>
      <c r="X480" s="43"/>
      <c r="Y480" s="43"/>
      <c r="Z480" s="43"/>
    </row>
    <row r="481" spans="15:26" x14ac:dyDescent="0.25">
      <c r="O481" s="43"/>
      <c r="P481" s="43"/>
      <c r="Q481" s="43"/>
      <c r="R481" s="43"/>
      <c r="S481" s="43"/>
      <c r="T481" s="43"/>
      <c r="U481" s="43"/>
      <c r="V481" s="43"/>
      <c r="W481" s="43"/>
      <c r="X481" s="43"/>
      <c r="Y481" s="43"/>
      <c r="Z481" s="43"/>
    </row>
    <row r="482" spans="15:26" x14ac:dyDescent="0.25">
      <c r="O482" s="43"/>
      <c r="P482" s="43"/>
      <c r="Q482" s="43"/>
      <c r="R482" s="43"/>
      <c r="S482" s="43"/>
      <c r="T482" s="43"/>
      <c r="U482" s="43"/>
      <c r="V482" s="43"/>
      <c r="W482" s="43"/>
      <c r="X482" s="43"/>
      <c r="Y482" s="43"/>
      <c r="Z482" s="43"/>
    </row>
    <row r="483" spans="15:26" x14ac:dyDescent="0.25">
      <c r="O483" s="43"/>
      <c r="P483" s="43"/>
      <c r="Q483" s="43"/>
      <c r="R483" s="43"/>
      <c r="S483" s="43"/>
      <c r="T483" s="43"/>
      <c r="U483" s="43"/>
      <c r="V483" s="43"/>
      <c r="W483" s="43"/>
      <c r="X483" s="43"/>
      <c r="Y483" s="43"/>
      <c r="Z483" s="43"/>
    </row>
    <row r="484" spans="15:26" x14ac:dyDescent="0.25">
      <c r="O484" s="43"/>
      <c r="P484" s="43"/>
      <c r="Q484" s="43"/>
      <c r="R484" s="43"/>
      <c r="S484" s="43"/>
      <c r="T484" s="43"/>
      <c r="U484" s="43"/>
      <c r="V484" s="43"/>
      <c r="W484" s="43"/>
      <c r="X484" s="43"/>
      <c r="Y484" s="43"/>
      <c r="Z484" s="43"/>
    </row>
    <row r="485" spans="15:26" x14ac:dyDescent="0.25">
      <c r="O485" s="43"/>
      <c r="P485" s="43"/>
      <c r="Q485" s="43"/>
      <c r="R485" s="43"/>
      <c r="S485" s="43"/>
      <c r="T485" s="43"/>
      <c r="U485" s="43"/>
      <c r="V485" s="43"/>
      <c r="W485" s="43"/>
      <c r="X485" s="43"/>
      <c r="Y485" s="43"/>
      <c r="Z485" s="43"/>
    </row>
    <row r="486" spans="15:26" x14ac:dyDescent="0.25">
      <c r="O486" s="43"/>
      <c r="P486" s="43"/>
      <c r="Q486" s="43"/>
      <c r="R486" s="43"/>
      <c r="S486" s="43"/>
      <c r="T486" s="43"/>
      <c r="U486" s="43"/>
      <c r="V486" s="43"/>
      <c r="W486" s="43"/>
      <c r="X486" s="43"/>
      <c r="Y486" s="43"/>
      <c r="Z486" s="43"/>
    </row>
    <row r="487" spans="15:26" x14ac:dyDescent="0.25">
      <c r="O487" s="43"/>
      <c r="P487" s="43"/>
      <c r="Q487" s="43"/>
      <c r="R487" s="43"/>
      <c r="S487" s="43"/>
      <c r="T487" s="43"/>
      <c r="U487" s="43"/>
      <c r="V487" s="43"/>
      <c r="W487" s="43"/>
      <c r="X487" s="43"/>
      <c r="Y487" s="43"/>
      <c r="Z487" s="43"/>
    </row>
    <row r="488" spans="15:26" x14ac:dyDescent="0.25">
      <c r="O488" s="43"/>
      <c r="P488" s="43"/>
      <c r="Q488" s="43"/>
      <c r="R488" s="43"/>
      <c r="S488" s="43"/>
      <c r="T488" s="43"/>
      <c r="U488" s="43"/>
      <c r="V488" s="43"/>
      <c r="W488" s="43"/>
      <c r="X488" s="43"/>
      <c r="Y488" s="43"/>
      <c r="Z488" s="43"/>
    </row>
    <row r="489" spans="15:26" x14ac:dyDescent="0.25">
      <c r="O489" s="43"/>
      <c r="P489" s="43"/>
      <c r="Q489" s="43"/>
      <c r="R489" s="43"/>
      <c r="S489" s="43"/>
      <c r="T489" s="43"/>
      <c r="U489" s="43"/>
      <c r="V489" s="43"/>
      <c r="W489" s="43"/>
      <c r="X489" s="43"/>
      <c r="Y489" s="43"/>
      <c r="Z489" s="43"/>
    </row>
    <row r="490" spans="15:26" x14ac:dyDescent="0.25">
      <c r="O490" s="43"/>
      <c r="P490" s="43"/>
      <c r="Q490" s="43"/>
      <c r="R490" s="43"/>
      <c r="S490" s="43"/>
      <c r="T490" s="43"/>
      <c r="U490" s="43"/>
      <c r="V490" s="43"/>
      <c r="W490" s="43"/>
      <c r="X490" s="43"/>
      <c r="Y490" s="43"/>
      <c r="Z490" s="43"/>
    </row>
    <row r="491" spans="15:26" x14ac:dyDescent="0.25">
      <c r="O491" s="43"/>
      <c r="P491" s="43"/>
      <c r="Q491" s="43"/>
      <c r="R491" s="43"/>
      <c r="S491" s="43"/>
      <c r="T491" s="43"/>
      <c r="U491" s="43"/>
      <c r="V491" s="43"/>
      <c r="W491" s="43"/>
      <c r="X491" s="43"/>
      <c r="Y491" s="43"/>
      <c r="Z491" s="43"/>
    </row>
    <row r="492" spans="15:26" x14ac:dyDescent="0.25">
      <c r="O492" s="43"/>
      <c r="P492" s="43"/>
      <c r="Q492" s="43"/>
      <c r="R492" s="43"/>
      <c r="S492" s="43"/>
      <c r="T492" s="43"/>
      <c r="U492" s="43"/>
      <c r="V492" s="43"/>
      <c r="W492" s="43"/>
      <c r="X492" s="43"/>
      <c r="Y492" s="43"/>
      <c r="Z492" s="43"/>
    </row>
    <row r="493" spans="15:26" x14ac:dyDescent="0.25">
      <c r="O493" s="43"/>
      <c r="P493" s="43"/>
      <c r="Q493" s="43"/>
      <c r="R493" s="43"/>
      <c r="S493" s="43"/>
      <c r="T493" s="43"/>
      <c r="U493" s="43"/>
      <c r="V493" s="43"/>
      <c r="W493" s="43"/>
      <c r="X493" s="43"/>
      <c r="Y493" s="43"/>
      <c r="Z493" s="43"/>
    </row>
    <row r="494" spans="15:26" x14ac:dyDescent="0.25">
      <c r="O494" s="43"/>
      <c r="P494" s="43"/>
      <c r="Q494" s="43"/>
      <c r="R494" s="43"/>
      <c r="S494" s="43"/>
      <c r="T494" s="43"/>
      <c r="U494" s="43"/>
      <c r="V494" s="43"/>
      <c r="W494" s="43"/>
      <c r="X494" s="43"/>
      <c r="Y494" s="43"/>
      <c r="Z494" s="43"/>
    </row>
    <row r="495" spans="15:26" x14ac:dyDescent="0.25">
      <c r="O495" s="43"/>
      <c r="P495" s="43"/>
      <c r="Q495" s="43"/>
      <c r="R495" s="43"/>
      <c r="S495" s="43"/>
      <c r="T495" s="43"/>
      <c r="U495" s="43"/>
      <c r="V495" s="43"/>
      <c r="W495" s="43"/>
      <c r="X495" s="43"/>
      <c r="Y495" s="43"/>
      <c r="Z495" s="43"/>
    </row>
    <row r="496" spans="15:26" x14ac:dyDescent="0.25">
      <c r="O496" s="43"/>
      <c r="P496" s="43"/>
      <c r="Q496" s="43"/>
      <c r="R496" s="43"/>
      <c r="S496" s="43"/>
      <c r="T496" s="43"/>
      <c r="U496" s="43"/>
      <c r="V496" s="43"/>
      <c r="W496" s="43"/>
      <c r="X496" s="43"/>
      <c r="Y496" s="43"/>
      <c r="Z496" s="43"/>
    </row>
    <row r="497" spans="15:26" x14ac:dyDescent="0.25">
      <c r="O497" s="43"/>
      <c r="P497" s="43"/>
      <c r="Q497" s="43"/>
      <c r="R497" s="43"/>
      <c r="S497" s="43"/>
      <c r="T497" s="43"/>
      <c r="U497" s="43"/>
      <c r="V497" s="43"/>
      <c r="W497" s="43"/>
      <c r="X497" s="43"/>
      <c r="Y497" s="43"/>
      <c r="Z497" s="43"/>
    </row>
    <row r="498" spans="15:26" x14ac:dyDescent="0.25">
      <c r="O498" s="43"/>
      <c r="P498" s="43"/>
      <c r="Q498" s="43"/>
      <c r="R498" s="43"/>
      <c r="S498" s="43"/>
      <c r="T498" s="43"/>
      <c r="U498" s="43"/>
      <c r="V498" s="43"/>
      <c r="W498" s="43"/>
      <c r="X498" s="43"/>
      <c r="Y498" s="43"/>
      <c r="Z498" s="43"/>
    </row>
    <row r="499" spans="15:26" x14ac:dyDescent="0.25">
      <c r="O499" s="43"/>
      <c r="P499" s="43"/>
      <c r="Q499" s="43"/>
      <c r="R499" s="43"/>
      <c r="S499" s="43"/>
      <c r="T499" s="43"/>
      <c r="U499" s="43"/>
      <c r="V499" s="43"/>
      <c r="W499" s="43"/>
      <c r="X499" s="43"/>
      <c r="Y499" s="43"/>
      <c r="Z499" s="43"/>
    </row>
    <row r="500" spans="15:26" x14ac:dyDescent="0.25">
      <c r="O500" s="43"/>
      <c r="P500" s="43"/>
      <c r="Q500" s="43"/>
      <c r="R500" s="43"/>
      <c r="S500" s="43"/>
      <c r="T500" s="43"/>
      <c r="U500" s="43"/>
      <c r="V500" s="43"/>
      <c r="W500" s="43"/>
      <c r="X500" s="43"/>
      <c r="Y500" s="43"/>
      <c r="Z500" s="43"/>
    </row>
    <row r="501" spans="15:26" x14ac:dyDescent="0.25">
      <c r="O501" s="43"/>
      <c r="P501" s="43"/>
      <c r="Q501" s="43"/>
      <c r="R501" s="43"/>
      <c r="S501" s="43"/>
      <c r="T501" s="43"/>
      <c r="U501" s="43"/>
      <c r="V501" s="43"/>
      <c r="W501" s="43"/>
      <c r="X501" s="43"/>
      <c r="Y501" s="43"/>
      <c r="Z501" s="43"/>
    </row>
    <row r="502" spans="15:26" x14ac:dyDescent="0.25">
      <c r="O502" s="43"/>
      <c r="P502" s="43"/>
      <c r="Q502" s="43"/>
      <c r="R502" s="43"/>
      <c r="S502" s="43"/>
      <c r="T502" s="43"/>
      <c r="U502" s="43"/>
      <c r="V502" s="43"/>
      <c r="W502" s="43"/>
      <c r="X502" s="43"/>
      <c r="Y502" s="43"/>
      <c r="Z502" s="43"/>
    </row>
    <row r="503" spans="15:26" x14ac:dyDescent="0.25">
      <c r="O503" s="43"/>
      <c r="P503" s="43"/>
      <c r="Q503" s="43"/>
      <c r="R503" s="43"/>
      <c r="S503" s="43"/>
      <c r="T503" s="43"/>
      <c r="U503" s="43"/>
      <c r="V503" s="43"/>
      <c r="W503" s="43"/>
      <c r="X503" s="43"/>
      <c r="Y503" s="43"/>
      <c r="Z503" s="43"/>
    </row>
    <row r="504" spans="15:26" x14ac:dyDescent="0.25">
      <c r="O504" s="43"/>
      <c r="P504" s="43"/>
      <c r="Q504" s="43"/>
      <c r="R504" s="43"/>
      <c r="S504" s="43"/>
      <c r="T504" s="43"/>
      <c r="U504" s="43"/>
      <c r="V504" s="43"/>
      <c r="W504" s="43"/>
      <c r="X504" s="43"/>
      <c r="Y504" s="43"/>
      <c r="Z504" s="43"/>
    </row>
    <row r="505" spans="15:26" x14ac:dyDescent="0.25">
      <c r="O505" s="43"/>
      <c r="P505" s="43"/>
      <c r="Q505" s="43"/>
      <c r="R505" s="43"/>
      <c r="S505" s="43"/>
      <c r="T505" s="43"/>
      <c r="U505" s="43"/>
      <c r="V505" s="43"/>
      <c r="W505" s="43"/>
      <c r="X505" s="43"/>
      <c r="Y505" s="43"/>
      <c r="Z505" s="43"/>
    </row>
    <row r="506" spans="15:26" x14ac:dyDescent="0.25">
      <c r="O506" s="43"/>
      <c r="P506" s="43"/>
      <c r="Q506" s="43"/>
      <c r="R506" s="43"/>
      <c r="S506" s="43"/>
      <c r="T506" s="43"/>
      <c r="U506" s="43"/>
      <c r="V506" s="43"/>
      <c r="W506" s="43"/>
      <c r="X506" s="43"/>
      <c r="Y506" s="43"/>
      <c r="Z506" s="43"/>
    </row>
    <row r="507" spans="15:26" x14ac:dyDescent="0.25">
      <c r="O507" s="43"/>
      <c r="P507" s="43"/>
      <c r="Q507" s="43"/>
      <c r="R507" s="43"/>
      <c r="S507" s="43"/>
      <c r="T507" s="43"/>
      <c r="U507" s="43"/>
      <c r="V507" s="43"/>
      <c r="W507" s="43"/>
      <c r="X507" s="43"/>
      <c r="Y507" s="43"/>
      <c r="Z507" s="43"/>
    </row>
    <row r="508" spans="15:26" x14ac:dyDescent="0.25">
      <c r="O508" s="43"/>
      <c r="P508" s="43"/>
      <c r="Q508" s="43"/>
      <c r="R508" s="43"/>
      <c r="S508" s="43"/>
      <c r="T508" s="43"/>
      <c r="U508" s="43"/>
      <c r="V508" s="43"/>
      <c r="W508" s="43"/>
      <c r="X508" s="43"/>
      <c r="Y508" s="43"/>
      <c r="Z508" s="43"/>
    </row>
    <row r="509" spans="15:26" x14ac:dyDescent="0.25">
      <c r="O509" s="43"/>
      <c r="P509" s="43"/>
      <c r="Q509" s="43"/>
      <c r="R509" s="43"/>
      <c r="S509" s="43"/>
      <c r="T509" s="43"/>
      <c r="U509" s="43"/>
      <c r="V509" s="43"/>
      <c r="W509" s="43"/>
      <c r="X509" s="43"/>
      <c r="Y509" s="43"/>
      <c r="Z509" s="43"/>
    </row>
    <row r="510" spans="15:26" x14ac:dyDescent="0.25">
      <c r="O510" s="43"/>
      <c r="P510" s="43"/>
      <c r="Q510" s="43"/>
      <c r="R510" s="43"/>
      <c r="S510" s="43"/>
      <c r="T510" s="43"/>
      <c r="U510" s="43"/>
      <c r="V510" s="43"/>
      <c r="W510" s="43"/>
      <c r="X510" s="43"/>
      <c r="Y510" s="43"/>
      <c r="Z510" s="43"/>
    </row>
    <row r="511" spans="15:26" x14ac:dyDescent="0.25">
      <c r="O511" s="43"/>
      <c r="P511" s="43"/>
      <c r="Q511" s="43"/>
      <c r="R511" s="43"/>
      <c r="S511" s="43"/>
      <c r="T511" s="43"/>
      <c r="U511" s="43"/>
      <c r="V511" s="43"/>
      <c r="W511" s="43"/>
      <c r="X511" s="43"/>
      <c r="Y511" s="43"/>
      <c r="Z511" s="43"/>
    </row>
    <row r="512" spans="15:26" x14ac:dyDescent="0.25">
      <c r="O512" s="43"/>
      <c r="P512" s="43"/>
      <c r="Q512" s="43"/>
      <c r="R512" s="43"/>
      <c r="S512" s="43"/>
      <c r="T512" s="43"/>
      <c r="U512" s="43"/>
      <c r="V512" s="43"/>
      <c r="W512" s="43"/>
      <c r="X512" s="43"/>
      <c r="Y512" s="43"/>
      <c r="Z512" s="43"/>
    </row>
    <row r="513" spans="15:26" x14ac:dyDescent="0.25">
      <c r="O513" s="43"/>
      <c r="P513" s="43"/>
      <c r="Q513" s="43"/>
      <c r="R513" s="43"/>
      <c r="S513" s="43"/>
      <c r="T513" s="43"/>
      <c r="U513" s="43"/>
      <c r="V513" s="43"/>
      <c r="W513" s="43"/>
      <c r="X513" s="43"/>
      <c r="Y513" s="43"/>
      <c r="Z513" s="43"/>
    </row>
    <row r="514" spans="15:26" x14ac:dyDescent="0.25">
      <c r="O514" s="43"/>
      <c r="P514" s="43"/>
      <c r="Q514" s="43"/>
      <c r="R514" s="43"/>
      <c r="S514" s="43"/>
      <c r="T514" s="43"/>
      <c r="U514" s="43"/>
      <c r="V514" s="43"/>
      <c r="W514" s="43"/>
      <c r="X514" s="43"/>
      <c r="Y514" s="43"/>
      <c r="Z514" s="43"/>
    </row>
    <row r="515" spans="15:26" x14ac:dyDescent="0.25">
      <c r="O515" s="43"/>
      <c r="P515" s="43"/>
      <c r="Q515" s="43"/>
      <c r="R515" s="43"/>
      <c r="S515" s="43"/>
      <c r="T515" s="43"/>
      <c r="U515" s="43"/>
      <c r="V515" s="43"/>
      <c r="W515" s="43"/>
      <c r="X515" s="43"/>
      <c r="Y515" s="43"/>
      <c r="Z515" s="43"/>
    </row>
    <row r="516" spans="15:26" x14ac:dyDescent="0.25">
      <c r="O516" s="43"/>
      <c r="P516" s="43"/>
      <c r="Q516" s="43"/>
      <c r="R516" s="43"/>
      <c r="S516" s="43"/>
      <c r="T516" s="43"/>
      <c r="U516" s="43"/>
      <c r="V516" s="43"/>
      <c r="W516" s="43"/>
      <c r="X516" s="43"/>
      <c r="Y516" s="43"/>
      <c r="Z516" s="43"/>
    </row>
    <row r="517" spans="15:26" x14ac:dyDescent="0.25">
      <c r="O517" s="43"/>
      <c r="P517" s="43"/>
      <c r="Q517" s="43"/>
      <c r="R517" s="43"/>
      <c r="S517" s="43"/>
      <c r="T517" s="43"/>
      <c r="U517" s="43"/>
      <c r="V517" s="43"/>
      <c r="W517" s="43"/>
      <c r="X517" s="43"/>
      <c r="Y517" s="43"/>
      <c r="Z517" s="43"/>
    </row>
    <row r="518" spans="15:26" x14ac:dyDescent="0.25">
      <c r="O518" s="43"/>
      <c r="P518" s="43"/>
      <c r="Q518" s="43"/>
      <c r="R518" s="43"/>
      <c r="S518" s="43"/>
      <c r="T518" s="43"/>
      <c r="U518" s="43"/>
      <c r="V518" s="43"/>
      <c r="W518" s="43"/>
      <c r="X518" s="43"/>
      <c r="Y518" s="43"/>
      <c r="Z518" s="43"/>
    </row>
    <row r="519" spans="15:26" x14ac:dyDescent="0.25">
      <c r="O519" s="43"/>
      <c r="P519" s="43"/>
      <c r="Q519" s="43"/>
      <c r="R519" s="43"/>
      <c r="S519" s="43"/>
      <c r="T519" s="43"/>
      <c r="U519" s="43"/>
      <c r="V519" s="43"/>
      <c r="W519" s="43"/>
      <c r="X519" s="43"/>
      <c r="Y519" s="43"/>
      <c r="Z519" s="43"/>
    </row>
    <row r="520" spans="15:26" x14ac:dyDescent="0.25">
      <c r="O520" s="43"/>
      <c r="P520" s="43"/>
      <c r="Q520" s="43"/>
      <c r="R520" s="43"/>
      <c r="S520" s="43"/>
      <c r="T520" s="43"/>
      <c r="U520" s="43"/>
      <c r="V520" s="43"/>
      <c r="W520" s="43"/>
      <c r="X520" s="43"/>
      <c r="Y520" s="43"/>
      <c r="Z520" s="43"/>
    </row>
    <row r="521" spans="15:26" x14ac:dyDescent="0.25">
      <c r="O521" s="43"/>
      <c r="P521" s="43"/>
      <c r="Q521" s="43"/>
      <c r="R521" s="43"/>
      <c r="S521" s="43"/>
      <c r="T521" s="43"/>
      <c r="U521" s="43"/>
      <c r="V521" s="43"/>
      <c r="W521" s="43"/>
      <c r="X521" s="43"/>
      <c r="Y521" s="43"/>
      <c r="Z521" s="43"/>
    </row>
    <row r="522" spans="15:26" x14ac:dyDescent="0.25">
      <c r="O522" s="43"/>
      <c r="P522" s="43"/>
      <c r="Q522" s="43"/>
      <c r="R522" s="43"/>
      <c r="S522" s="43"/>
      <c r="T522" s="43"/>
      <c r="U522" s="43"/>
      <c r="V522" s="43"/>
      <c r="W522" s="43"/>
      <c r="X522" s="43"/>
      <c r="Y522" s="43"/>
      <c r="Z522" s="43"/>
    </row>
    <row r="523" spans="15:26" x14ac:dyDescent="0.25">
      <c r="O523" s="43"/>
      <c r="P523" s="43"/>
      <c r="Q523" s="43"/>
      <c r="R523" s="43"/>
      <c r="S523" s="43"/>
      <c r="T523" s="43"/>
      <c r="U523" s="43"/>
      <c r="V523" s="43"/>
      <c r="W523" s="43"/>
      <c r="X523" s="43"/>
      <c r="Y523" s="43"/>
      <c r="Z523" s="43"/>
    </row>
    <row r="524" spans="15:26" x14ac:dyDescent="0.25">
      <c r="O524" s="43"/>
      <c r="P524" s="43"/>
      <c r="Q524" s="43"/>
      <c r="R524" s="43"/>
      <c r="S524" s="43"/>
      <c r="T524" s="43"/>
      <c r="U524" s="43"/>
      <c r="V524" s="43"/>
      <c r="W524" s="43"/>
      <c r="X524" s="43"/>
      <c r="Y524" s="43"/>
      <c r="Z524" s="43"/>
    </row>
    <row r="525" spans="15:26" x14ac:dyDescent="0.25">
      <c r="O525" s="43"/>
      <c r="P525" s="43"/>
      <c r="Q525" s="43"/>
      <c r="R525" s="43"/>
      <c r="S525" s="43"/>
      <c r="T525" s="43"/>
      <c r="U525" s="43"/>
      <c r="V525" s="43"/>
      <c r="W525" s="43"/>
      <c r="X525" s="43"/>
      <c r="Y525" s="43"/>
      <c r="Z525" s="43"/>
    </row>
    <row r="526" spans="15:26" x14ac:dyDescent="0.25">
      <c r="O526" s="43"/>
      <c r="P526" s="43"/>
      <c r="Q526" s="43"/>
      <c r="R526" s="43"/>
      <c r="S526" s="43"/>
      <c r="T526" s="43"/>
      <c r="U526" s="43"/>
      <c r="V526" s="43"/>
      <c r="W526" s="43"/>
      <c r="X526" s="43"/>
      <c r="Y526" s="43"/>
      <c r="Z526" s="43"/>
    </row>
    <row r="527" spans="15:26" x14ac:dyDescent="0.25">
      <c r="O527" s="43"/>
      <c r="P527" s="43"/>
      <c r="Q527" s="43"/>
      <c r="R527" s="43"/>
      <c r="S527" s="43"/>
      <c r="T527" s="43"/>
      <c r="U527" s="43"/>
      <c r="V527" s="43"/>
      <c r="W527" s="43"/>
      <c r="X527" s="43"/>
      <c r="Y527" s="43"/>
      <c r="Z527" s="43"/>
    </row>
    <row r="528" spans="15:26" x14ac:dyDescent="0.25">
      <c r="O528" s="43"/>
      <c r="P528" s="43"/>
      <c r="Q528" s="43"/>
      <c r="R528" s="43"/>
      <c r="S528" s="43"/>
      <c r="T528" s="43"/>
      <c r="U528" s="43"/>
      <c r="V528" s="43"/>
      <c r="W528" s="43"/>
      <c r="X528" s="43"/>
      <c r="Y528" s="43"/>
      <c r="Z528" s="43"/>
    </row>
    <row r="529" spans="15:26" x14ac:dyDescent="0.25">
      <c r="O529" s="43"/>
      <c r="P529" s="43"/>
      <c r="Q529" s="43"/>
      <c r="R529" s="43"/>
      <c r="S529" s="43"/>
      <c r="T529" s="43"/>
      <c r="U529" s="43"/>
      <c r="V529" s="43"/>
      <c r="W529" s="43"/>
      <c r="X529" s="43"/>
      <c r="Y529" s="43"/>
      <c r="Z529" s="43"/>
    </row>
    <row r="530" spans="15:26" x14ac:dyDescent="0.25">
      <c r="O530" s="43"/>
      <c r="P530" s="43"/>
      <c r="Q530" s="43"/>
      <c r="R530" s="43"/>
      <c r="S530" s="43"/>
      <c r="T530" s="43"/>
      <c r="U530" s="43"/>
      <c r="V530" s="43"/>
      <c r="W530" s="43"/>
      <c r="X530" s="43"/>
      <c r="Y530" s="43"/>
      <c r="Z530" s="43"/>
    </row>
    <row r="531" spans="15:26" x14ac:dyDescent="0.25">
      <c r="O531" s="43"/>
      <c r="P531" s="43"/>
      <c r="Q531" s="43"/>
      <c r="R531" s="43"/>
      <c r="S531" s="43"/>
      <c r="T531" s="43"/>
      <c r="U531" s="43"/>
      <c r="V531" s="43"/>
      <c r="W531" s="43"/>
      <c r="X531" s="43"/>
      <c r="Y531" s="43"/>
      <c r="Z531" s="43"/>
    </row>
    <row r="532" spans="15:26" x14ac:dyDescent="0.25">
      <c r="O532" s="43"/>
      <c r="P532" s="43"/>
      <c r="Q532" s="43"/>
      <c r="R532" s="43"/>
      <c r="S532" s="43"/>
      <c r="T532" s="43"/>
      <c r="U532" s="43"/>
      <c r="V532" s="43"/>
      <c r="W532" s="43"/>
      <c r="X532" s="43"/>
      <c r="Y532" s="43"/>
      <c r="Z532" s="43"/>
    </row>
    <row r="533" spans="15:26" x14ac:dyDescent="0.25">
      <c r="O533" s="43"/>
      <c r="P533" s="43"/>
      <c r="Q533" s="43"/>
      <c r="R533" s="43"/>
      <c r="S533" s="43"/>
      <c r="T533" s="43"/>
      <c r="U533" s="43"/>
      <c r="V533" s="43"/>
      <c r="W533" s="43"/>
      <c r="X533" s="43"/>
      <c r="Y533" s="43"/>
      <c r="Z533" s="43"/>
    </row>
    <row r="534" spans="15:26" x14ac:dyDescent="0.25">
      <c r="O534" s="43"/>
      <c r="P534" s="43"/>
      <c r="Q534" s="43"/>
      <c r="R534" s="43"/>
      <c r="S534" s="43"/>
      <c r="T534" s="43"/>
      <c r="U534" s="43"/>
      <c r="V534" s="43"/>
      <c r="W534" s="43"/>
      <c r="X534" s="43"/>
      <c r="Y534" s="43"/>
      <c r="Z534" s="43"/>
    </row>
    <row r="535" spans="15:26" x14ac:dyDescent="0.25">
      <c r="O535" s="43"/>
      <c r="P535" s="43"/>
      <c r="Q535" s="43"/>
      <c r="R535" s="43"/>
      <c r="S535" s="43"/>
      <c r="T535" s="43"/>
      <c r="U535" s="43"/>
      <c r="V535" s="43"/>
      <c r="W535" s="43"/>
      <c r="X535" s="43"/>
      <c r="Y535" s="43"/>
      <c r="Z535" s="43"/>
    </row>
    <row r="536" spans="15:26" x14ac:dyDescent="0.25">
      <c r="O536" s="43"/>
      <c r="P536" s="43"/>
      <c r="Q536" s="43"/>
      <c r="R536" s="43"/>
      <c r="S536" s="43"/>
      <c r="T536" s="43"/>
      <c r="U536" s="43"/>
      <c r="V536" s="43"/>
      <c r="W536" s="43"/>
      <c r="X536" s="43"/>
      <c r="Y536" s="43"/>
      <c r="Z536" s="43"/>
    </row>
    <row r="537" spans="15:26" x14ac:dyDescent="0.25">
      <c r="O537" s="43"/>
      <c r="P537" s="43"/>
      <c r="Q537" s="43"/>
      <c r="R537" s="43"/>
      <c r="S537" s="43"/>
      <c r="T537" s="43"/>
      <c r="U537" s="43"/>
      <c r="V537" s="43"/>
      <c r="W537" s="43"/>
      <c r="X537" s="43"/>
      <c r="Y537" s="43"/>
      <c r="Z537" s="43"/>
    </row>
    <row r="538" spans="15:26" x14ac:dyDescent="0.25">
      <c r="O538" s="43"/>
      <c r="P538" s="43"/>
      <c r="Q538" s="43"/>
      <c r="R538" s="43"/>
      <c r="S538" s="43"/>
      <c r="T538" s="43"/>
      <c r="U538" s="43"/>
      <c r="V538" s="43"/>
      <c r="W538" s="43"/>
      <c r="X538" s="43"/>
      <c r="Y538" s="43"/>
      <c r="Z538" s="43"/>
    </row>
    <row r="539" spans="15:26" x14ac:dyDescent="0.25">
      <c r="O539" s="43"/>
      <c r="P539" s="43"/>
      <c r="Q539" s="43"/>
      <c r="R539" s="43"/>
      <c r="S539" s="43"/>
      <c r="T539" s="43"/>
      <c r="U539" s="43"/>
      <c r="V539" s="43"/>
      <c r="W539" s="43"/>
      <c r="X539" s="43"/>
      <c r="Y539" s="43"/>
      <c r="Z539" s="43"/>
    </row>
    <row r="540" spans="15:26" x14ac:dyDescent="0.25">
      <c r="O540" s="43"/>
      <c r="P540" s="43"/>
      <c r="Q540" s="43"/>
      <c r="R540" s="43"/>
      <c r="S540" s="43"/>
      <c r="T540" s="43"/>
      <c r="U540" s="43"/>
      <c r="V540" s="43"/>
      <c r="W540" s="43"/>
      <c r="X540" s="43"/>
      <c r="Y540" s="43"/>
      <c r="Z540" s="43"/>
    </row>
    <row r="541" spans="15:26" x14ac:dyDescent="0.25">
      <c r="O541" s="43"/>
      <c r="P541" s="43"/>
      <c r="Q541" s="43"/>
      <c r="R541" s="43"/>
      <c r="S541" s="43"/>
      <c r="T541" s="43"/>
      <c r="U541" s="43"/>
      <c r="V541" s="43"/>
      <c r="W541" s="43"/>
      <c r="X541" s="43"/>
      <c r="Y541" s="43"/>
      <c r="Z541" s="43"/>
    </row>
    <row r="542" spans="15:26" x14ac:dyDescent="0.25">
      <c r="O542" s="43"/>
      <c r="P542" s="43"/>
      <c r="Q542" s="43"/>
      <c r="R542" s="43"/>
      <c r="S542" s="43"/>
      <c r="T542" s="43"/>
      <c r="U542" s="43"/>
      <c r="V542" s="43"/>
      <c r="W542" s="43"/>
      <c r="X542" s="43"/>
      <c r="Y542" s="43"/>
      <c r="Z542" s="43"/>
    </row>
    <row r="543" spans="15:26" x14ac:dyDescent="0.25">
      <c r="O543" s="43"/>
      <c r="P543" s="43"/>
      <c r="Q543" s="43"/>
      <c r="R543" s="43"/>
      <c r="S543" s="43"/>
      <c r="T543" s="43"/>
      <c r="U543" s="43"/>
      <c r="V543" s="43"/>
      <c r="W543" s="43"/>
      <c r="X543" s="43"/>
      <c r="Y543" s="43"/>
      <c r="Z543" s="43"/>
    </row>
    <row r="544" spans="15:26" x14ac:dyDescent="0.25">
      <c r="O544" s="43"/>
      <c r="P544" s="43"/>
      <c r="Q544" s="43"/>
      <c r="R544" s="43"/>
      <c r="S544" s="43"/>
      <c r="T544" s="43"/>
      <c r="U544" s="43"/>
      <c r="V544" s="43"/>
      <c r="W544" s="43"/>
      <c r="X544" s="43"/>
      <c r="Y544" s="43"/>
      <c r="Z544" s="43"/>
    </row>
    <row r="545" spans="15:26" x14ac:dyDescent="0.25">
      <c r="O545" s="43"/>
      <c r="P545" s="43"/>
      <c r="Q545" s="43"/>
      <c r="R545" s="43"/>
      <c r="S545" s="43"/>
      <c r="T545" s="43"/>
      <c r="U545" s="43"/>
      <c r="V545" s="43"/>
      <c r="W545" s="43"/>
      <c r="X545" s="43"/>
      <c r="Y545" s="43"/>
      <c r="Z545" s="43"/>
    </row>
    <row r="546" spans="15:26" x14ac:dyDescent="0.25">
      <c r="O546" s="43"/>
      <c r="P546" s="43"/>
      <c r="Q546" s="43"/>
      <c r="R546" s="43"/>
      <c r="S546" s="43"/>
      <c r="T546" s="43"/>
      <c r="U546" s="43"/>
      <c r="V546" s="43"/>
      <c r="W546" s="43"/>
      <c r="X546" s="43"/>
      <c r="Y546" s="43"/>
      <c r="Z546" s="43"/>
    </row>
    <row r="547" spans="15:26" x14ac:dyDescent="0.25">
      <c r="O547" s="43"/>
      <c r="P547" s="43"/>
      <c r="Q547" s="43"/>
      <c r="R547" s="43"/>
      <c r="S547" s="43"/>
      <c r="T547" s="43"/>
      <c r="U547" s="43"/>
      <c r="V547" s="43"/>
      <c r="W547" s="43"/>
      <c r="X547" s="43"/>
      <c r="Y547" s="43"/>
      <c r="Z547" s="43"/>
    </row>
    <row r="548" spans="15:26" x14ac:dyDescent="0.25">
      <c r="O548" s="43"/>
      <c r="P548" s="43"/>
      <c r="Q548" s="43"/>
      <c r="R548" s="43"/>
      <c r="S548" s="43"/>
      <c r="T548" s="43"/>
      <c r="U548" s="43"/>
      <c r="V548" s="43"/>
      <c r="W548" s="43"/>
      <c r="X548" s="43"/>
      <c r="Y548" s="43"/>
      <c r="Z548" s="43"/>
    </row>
    <row r="549" spans="15:26" x14ac:dyDescent="0.25">
      <c r="O549" s="43"/>
      <c r="P549" s="43"/>
      <c r="Q549" s="43"/>
      <c r="R549" s="43"/>
      <c r="S549" s="43"/>
      <c r="T549" s="43"/>
      <c r="U549" s="43"/>
      <c r="V549" s="43"/>
      <c r="W549" s="43"/>
      <c r="X549" s="43"/>
      <c r="Y549" s="43"/>
      <c r="Z549" s="43"/>
    </row>
    <row r="550" spans="15:26" x14ac:dyDescent="0.25">
      <c r="O550" s="43"/>
      <c r="P550" s="43"/>
      <c r="Q550" s="43"/>
      <c r="R550" s="43"/>
      <c r="S550" s="43"/>
      <c r="T550" s="43"/>
      <c r="U550" s="43"/>
      <c r="V550" s="43"/>
      <c r="W550" s="43"/>
      <c r="X550" s="43"/>
      <c r="Y550" s="43"/>
      <c r="Z550" s="43"/>
    </row>
    <row r="551" spans="15:26" x14ac:dyDescent="0.25">
      <c r="O551" s="43"/>
      <c r="P551" s="43"/>
      <c r="Q551" s="43"/>
      <c r="R551" s="43"/>
      <c r="S551" s="43"/>
      <c r="T551" s="43"/>
      <c r="U551" s="43"/>
      <c r="V551" s="43"/>
      <c r="W551" s="43"/>
      <c r="X551" s="43"/>
      <c r="Y551" s="43"/>
      <c r="Z551" s="43"/>
    </row>
    <row r="552" spans="15:26" x14ac:dyDescent="0.25">
      <c r="O552" s="43"/>
      <c r="P552" s="43"/>
      <c r="Q552" s="43"/>
      <c r="R552" s="43"/>
      <c r="S552" s="43"/>
      <c r="T552" s="43"/>
      <c r="U552" s="43"/>
      <c r="V552" s="43"/>
      <c r="W552" s="43"/>
      <c r="X552" s="43"/>
      <c r="Y552" s="43"/>
      <c r="Z552" s="43"/>
    </row>
    <row r="553" spans="15:26" x14ac:dyDescent="0.25">
      <c r="O553" s="43"/>
      <c r="P553" s="43"/>
      <c r="Q553" s="43"/>
      <c r="R553" s="43"/>
      <c r="S553" s="43"/>
      <c r="T553" s="43"/>
      <c r="U553" s="43"/>
      <c r="V553" s="43"/>
      <c r="W553" s="43"/>
      <c r="X553" s="43"/>
      <c r="Y553" s="43"/>
      <c r="Z553" s="43"/>
    </row>
    <row r="554" spans="15:26" x14ac:dyDescent="0.25">
      <c r="O554" s="43"/>
      <c r="P554" s="43"/>
      <c r="Q554" s="43"/>
      <c r="R554" s="43"/>
      <c r="S554" s="43"/>
      <c r="T554" s="43"/>
      <c r="U554" s="43"/>
      <c r="V554" s="43"/>
      <c r="W554" s="43"/>
      <c r="X554" s="43"/>
      <c r="Y554" s="43"/>
      <c r="Z554" s="43"/>
    </row>
    <row r="555" spans="15:26" x14ac:dyDescent="0.25">
      <c r="O555" s="43"/>
      <c r="P555" s="43"/>
      <c r="Q555" s="43"/>
      <c r="R555" s="43"/>
      <c r="S555" s="43"/>
      <c r="T555" s="43"/>
      <c r="U555" s="43"/>
      <c r="V555" s="43"/>
      <c r="W555" s="43"/>
      <c r="X555" s="43"/>
      <c r="Y555" s="43"/>
      <c r="Z555" s="43"/>
    </row>
    <row r="556" spans="15:26" x14ac:dyDescent="0.25">
      <c r="O556" s="43"/>
      <c r="P556" s="43"/>
      <c r="Q556" s="43"/>
      <c r="R556" s="43"/>
      <c r="S556" s="43"/>
      <c r="T556" s="43"/>
      <c r="U556" s="43"/>
      <c r="V556" s="43"/>
      <c r="W556" s="43"/>
      <c r="X556" s="43"/>
      <c r="Y556" s="43"/>
      <c r="Z556" s="43"/>
    </row>
    <row r="557" spans="15:26" x14ac:dyDescent="0.25">
      <c r="O557" s="43"/>
      <c r="P557" s="43"/>
      <c r="Q557" s="43"/>
      <c r="R557" s="43"/>
      <c r="S557" s="43"/>
      <c r="T557" s="43"/>
      <c r="U557" s="43"/>
      <c r="V557" s="43"/>
      <c r="W557" s="43"/>
      <c r="X557" s="43"/>
      <c r="Y557" s="43"/>
      <c r="Z557" s="43"/>
    </row>
    <row r="558" spans="15:26" x14ac:dyDescent="0.25">
      <c r="O558" s="43"/>
      <c r="P558" s="43"/>
      <c r="Q558" s="43"/>
      <c r="R558" s="43"/>
      <c r="S558" s="43"/>
      <c r="T558" s="43"/>
      <c r="U558" s="43"/>
      <c r="V558" s="43"/>
      <c r="W558" s="43"/>
      <c r="X558" s="43"/>
      <c r="Y558" s="43"/>
      <c r="Z558" s="43"/>
    </row>
    <row r="559" spans="15:26" x14ac:dyDescent="0.25">
      <c r="O559" s="43"/>
      <c r="P559" s="43"/>
      <c r="Q559" s="43"/>
      <c r="R559" s="43"/>
      <c r="S559" s="43"/>
      <c r="T559" s="43"/>
      <c r="U559" s="43"/>
      <c r="V559" s="43"/>
      <c r="W559" s="43"/>
      <c r="X559" s="43"/>
      <c r="Y559" s="43"/>
      <c r="Z559" s="43"/>
    </row>
    <row r="560" spans="15:26" x14ac:dyDescent="0.25">
      <c r="O560" s="43"/>
      <c r="P560" s="43"/>
      <c r="Q560" s="43"/>
      <c r="R560" s="43"/>
      <c r="S560" s="43"/>
      <c r="T560" s="43"/>
      <c r="U560" s="43"/>
      <c r="V560" s="43"/>
      <c r="W560" s="43"/>
      <c r="X560" s="43"/>
      <c r="Y560" s="43"/>
      <c r="Z560" s="43"/>
    </row>
    <row r="561" spans="15:26" x14ac:dyDescent="0.25">
      <c r="O561" s="43"/>
      <c r="P561" s="43"/>
      <c r="Q561" s="43"/>
      <c r="R561" s="43"/>
      <c r="S561" s="43"/>
      <c r="T561" s="43"/>
      <c r="U561" s="43"/>
      <c r="V561" s="43"/>
      <c r="W561" s="43"/>
      <c r="X561" s="43"/>
      <c r="Y561" s="43"/>
      <c r="Z561" s="43"/>
    </row>
    <row r="562" spans="15:26" x14ac:dyDescent="0.25">
      <c r="O562" s="43"/>
      <c r="P562" s="43"/>
      <c r="Q562" s="43"/>
      <c r="R562" s="43"/>
      <c r="S562" s="43"/>
      <c r="T562" s="43"/>
      <c r="U562" s="43"/>
      <c r="V562" s="43"/>
      <c r="W562" s="43"/>
      <c r="X562" s="43"/>
      <c r="Y562" s="43"/>
      <c r="Z562" s="43"/>
    </row>
    <row r="563" spans="15:26" x14ac:dyDescent="0.25">
      <c r="O563" s="43"/>
      <c r="P563" s="43"/>
      <c r="Q563" s="43"/>
      <c r="R563" s="43"/>
      <c r="S563" s="43"/>
      <c r="T563" s="43"/>
      <c r="U563" s="43"/>
      <c r="V563" s="43"/>
      <c r="W563" s="43"/>
      <c r="X563" s="43"/>
      <c r="Y563" s="43"/>
      <c r="Z563" s="43"/>
    </row>
    <row r="564" spans="15:26" x14ac:dyDescent="0.25">
      <c r="O564" s="43"/>
      <c r="P564" s="43"/>
      <c r="Q564" s="43"/>
      <c r="R564" s="43"/>
      <c r="S564" s="43"/>
      <c r="T564" s="43"/>
      <c r="U564" s="43"/>
      <c r="V564" s="43"/>
      <c r="W564" s="43"/>
      <c r="X564" s="43"/>
      <c r="Y564" s="43"/>
      <c r="Z564" s="43"/>
    </row>
    <row r="565" spans="15:26" x14ac:dyDescent="0.25">
      <c r="O565" s="43"/>
      <c r="P565" s="43"/>
      <c r="Q565" s="43"/>
      <c r="R565" s="43"/>
      <c r="S565" s="43"/>
      <c r="T565" s="43"/>
      <c r="U565" s="43"/>
      <c r="V565" s="43"/>
      <c r="W565" s="43"/>
      <c r="X565" s="43"/>
      <c r="Y565" s="43"/>
      <c r="Z565" s="43"/>
    </row>
    <row r="566" spans="15:26" x14ac:dyDescent="0.25">
      <c r="O566" s="43"/>
      <c r="P566" s="43"/>
      <c r="Q566" s="43"/>
      <c r="R566" s="43"/>
      <c r="S566" s="43"/>
      <c r="T566" s="43"/>
      <c r="U566" s="43"/>
      <c r="V566" s="43"/>
      <c r="W566" s="43"/>
      <c r="X566" s="43"/>
      <c r="Y566" s="43"/>
      <c r="Z566" s="43"/>
    </row>
    <row r="567" spans="15:26" x14ac:dyDescent="0.25">
      <c r="O567" s="43"/>
      <c r="P567" s="43"/>
      <c r="Q567" s="43"/>
      <c r="R567" s="43"/>
      <c r="S567" s="43"/>
      <c r="T567" s="43"/>
      <c r="U567" s="43"/>
      <c r="V567" s="43"/>
      <c r="W567" s="43"/>
      <c r="X567" s="43"/>
      <c r="Y567" s="43"/>
      <c r="Z567" s="43"/>
    </row>
    <row r="568" spans="15:26" x14ac:dyDescent="0.25">
      <c r="O568" s="43"/>
      <c r="P568" s="43"/>
      <c r="Q568" s="43"/>
      <c r="R568" s="43"/>
      <c r="S568" s="43"/>
      <c r="T568" s="43"/>
      <c r="U568" s="43"/>
      <c r="V568" s="43"/>
      <c r="W568" s="43"/>
      <c r="X568" s="43"/>
      <c r="Y568" s="43"/>
      <c r="Z568" s="43"/>
    </row>
    <row r="569" spans="15:26" x14ac:dyDescent="0.25">
      <c r="O569" s="43"/>
      <c r="P569" s="43"/>
      <c r="Q569" s="43"/>
      <c r="R569" s="43"/>
      <c r="S569" s="43"/>
      <c r="T569" s="43"/>
      <c r="U569" s="43"/>
      <c r="V569" s="43"/>
      <c r="W569" s="43"/>
      <c r="X569" s="43"/>
      <c r="Y569" s="43"/>
      <c r="Z569" s="43"/>
    </row>
    <row r="570" spans="15:26" x14ac:dyDescent="0.25">
      <c r="O570" s="43"/>
      <c r="P570" s="43"/>
      <c r="Q570" s="43"/>
      <c r="R570" s="43"/>
      <c r="S570" s="43"/>
      <c r="T570" s="43"/>
      <c r="U570" s="43"/>
      <c r="V570" s="43"/>
      <c r="W570" s="43"/>
      <c r="X570" s="43"/>
      <c r="Y570" s="43"/>
      <c r="Z570" s="43"/>
    </row>
    <row r="571" spans="15:26" x14ac:dyDescent="0.25">
      <c r="O571" s="43"/>
      <c r="P571" s="43"/>
      <c r="Q571" s="43"/>
      <c r="R571" s="43"/>
      <c r="S571" s="43"/>
      <c r="T571" s="43"/>
      <c r="U571" s="43"/>
      <c r="V571" s="43"/>
      <c r="W571" s="43"/>
      <c r="X571" s="43"/>
      <c r="Y571" s="43"/>
      <c r="Z571" s="43"/>
    </row>
    <row r="572" spans="15:26" x14ac:dyDescent="0.25">
      <c r="O572" s="43"/>
      <c r="P572" s="43"/>
      <c r="Q572" s="43"/>
      <c r="R572" s="43"/>
      <c r="S572" s="43"/>
      <c r="T572" s="43"/>
      <c r="U572" s="43"/>
      <c r="V572" s="43"/>
      <c r="W572" s="43"/>
      <c r="X572" s="43"/>
      <c r="Y572" s="43"/>
      <c r="Z572" s="43"/>
    </row>
    <row r="573" spans="15:26" x14ac:dyDescent="0.25">
      <c r="O573" s="43"/>
      <c r="P573" s="43"/>
      <c r="Q573" s="43"/>
      <c r="R573" s="43"/>
      <c r="S573" s="43"/>
      <c r="T573" s="43"/>
      <c r="U573" s="43"/>
      <c r="V573" s="43"/>
      <c r="W573" s="43"/>
      <c r="X573" s="43"/>
      <c r="Y573" s="43"/>
      <c r="Z573" s="43"/>
    </row>
    <row r="574" spans="15:26" x14ac:dyDescent="0.25">
      <c r="O574" s="43"/>
      <c r="P574" s="43"/>
      <c r="Q574" s="43"/>
      <c r="R574" s="43"/>
      <c r="S574" s="43"/>
      <c r="T574" s="43"/>
      <c r="U574" s="43"/>
      <c r="V574" s="43"/>
      <c r="W574" s="43"/>
      <c r="X574" s="43"/>
      <c r="Y574" s="43"/>
      <c r="Z574" s="43"/>
    </row>
    <row r="575" spans="15:26" x14ac:dyDescent="0.25">
      <c r="O575" s="43"/>
      <c r="P575" s="43"/>
      <c r="Q575" s="43"/>
      <c r="R575" s="43"/>
      <c r="S575" s="43"/>
      <c r="T575" s="43"/>
      <c r="U575" s="43"/>
      <c r="V575" s="43"/>
      <c r="W575" s="43"/>
      <c r="X575" s="43"/>
      <c r="Y575" s="43"/>
      <c r="Z575" s="43"/>
    </row>
    <row r="576" spans="15:26" x14ac:dyDescent="0.25">
      <c r="O576" s="43"/>
      <c r="P576" s="43"/>
      <c r="Q576" s="43"/>
      <c r="R576" s="43"/>
      <c r="S576" s="43"/>
      <c r="T576" s="43"/>
      <c r="U576" s="43"/>
      <c r="V576" s="43"/>
      <c r="W576" s="43"/>
      <c r="X576" s="43"/>
      <c r="Y576" s="43"/>
      <c r="Z576" s="43"/>
    </row>
    <row r="577" spans="15:26" x14ac:dyDescent="0.25">
      <c r="O577" s="43"/>
      <c r="P577" s="43"/>
      <c r="Q577" s="43"/>
      <c r="R577" s="43"/>
      <c r="S577" s="43"/>
      <c r="T577" s="43"/>
      <c r="U577" s="43"/>
      <c r="V577" s="43"/>
      <c r="W577" s="43"/>
      <c r="X577" s="43"/>
      <c r="Y577" s="43"/>
      <c r="Z577" s="43"/>
    </row>
    <row r="578" spans="15:26" x14ac:dyDescent="0.25">
      <c r="O578" s="43"/>
      <c r="P578" s="43"/>
      <c r="Q578" s="43"/>
      <c r="R578" s="43"/>
      <c r="S578" s="43"/>
      <c r="T578" s="43"/>
      <c r="U578" s="43"/>
      <c r="V578" s="43"/>
      <c r="W578" s="43"/>
      <c r="X578" s="43"/>
      <c r="Y578" s="43"/>
      <c r="Z578" s="43"/>
    </row>
    <row r="579" spans="15:26" x14ac:dyDescent="0.25">
      <c r="O579" s="43"/>
      <c r="P579" s="43"/>
      <c r="Q579" s="43"/>
      <c r="R579" s="43"/>
      <c r="S579" s="43"/>
      <c r="T579" s="43"/>
      <c r="U579" s="43"/>
      <c r="V579" s="43"/>
      <c r="W579" s="43"/>
      <c r="X579" s="43"/>
      <c r="Y579" s="43"/>
      <c r="Z579" s="43"/>
    </row>
    <row r="580" spans="15:26" x14ac:dyDescent="0.25">
      <c r="O580" s="43"/>
      <c r="P580" s="43"/>
      <c r="Q580" s="43"/>
      <c r="R580" s="43"/>
      <c r="S580" s="43"/>
      <c r="T580" s="43"/>
      <c r="U580" s="43"/>
      <c r="V580" s="43"/>
      <c r="W580" s="43"/>
      <c r="X580" s="43"/>
      <c r="Y580" s="43"/>
      <c r="Z580" s="43"/>
    </row>
    <row r="581" spans="15:26" x14ac:dyDescent="0.25">
      <c r="O581" s="43"/>
      <c r="P581" s="43"/>
      <c r="Q581" s="43"/>
      <c r="R581" s="43"/>
      <c r="S581" s="43"/>
      <c r="T581" s="43"/>
      <c r="U581" s="43"/>
      <c r="V581" s="43"/>
      <c r="W581" s="43"/>
      <c r="X581" s="43"/>
      <c r="Y581" s="43"/>
      <c r="Z581" s="43"/>
    </row>
    <row r="582" spans="15:26" x14ac:dyDescent="0.25">
      <c r="O582" s="43"/>
      <c r="P582" s="43"/>
      <c r="Q582" s="43"/>
      <c r="R582" s="43"/>
      <c r="S582" s="43"/>
      <c r="T582" s="43"/>
      <c r="U582" s="43"/>
      <c r="V582" s="43"/>
      <c r="W582" s="43"/>
      <c r="X582" s="43"/>
      <c r="Y582" s="43"/>
      <c r="Z582" s="43"/>
    </row>
    <row r="583" spans="15:26" x14ac:dyDescent="0.25">
      <c r="O583" s="43"/>
      <c r="P583" s="43"/>
      <c r="Q583" s="43"/>
      <c r="R583" s="43"/>
      <c r="S583" s="43"/>
      <c r="T583" s="43"/>
      <c r="U583" s="43"/>
      <c r="V583" s="43"/>
      <c r="W583" s="43"/>
      <c r="X583" s="43"/>
      <c r="Y583" s="43"/>
      <c r="Z583" s="43"/>
    </row>
    <row r="584" spans="15:26" x14ac:dyDescent="0.25">
      <c r="O584" s="43"/>
      <c r="P584" s="43"/>
      <c r="Q584" s="43"/>
      <c r="R584" s="43"/>
      <c r="S584" s="43"/>
      <c r="T584" s="43"/>
      <c r="U584" s="43"/>
      <c r="V584" s="43"/>
      <c r="W584" s="43"/>
      <c r="X584" s="43"/>
      <c r="Y584" s="43"/>
      <c r="Z584" s="43"/>
    </row>
    <row r="585" spans="15:26" x14ac:dyDescent="0.25">
      <c r="O585" s="43"/>
      <c r="P585" s="43"/>
      <c r="Q585" s="43"/>
      <c r="R585" s="43"/>
      <c r="S585" s="43"/>
      <c r="T585" s="43"/>
      <c r="U585" s="43"/>
      <c r="V585" s="43"/>
      <c r="W585" s="43"/>
      <c r="X585" s="43"/>
      <c r="Y585" s="43"/>
      <c r="Z585" s="43"/>
    </row>
    <row r="586" spans="15:26" x14ac:dyDescent="0.25">
      <c r="O586" s="43"/>
      <c r="P586" s="43"/>
      <c r="Q586" s="43"/>
      <c r="R586" s="43"/>
      <c r="S586" s="43"/>
      <c r="T586" s="43"/>
      <c r="U586" s="43"/>
      <c r="V586" s="43"/>
      <c r="W586" s="43"/>
      <c r="X586" s="43"/>
      <c r="Y586" s="43"/>
      <c r="Z586" s="43"/>
    </row>
    <row r="587" spans="15:26" x14ac:dyDescent="0.25">
      <c r="O587" s="43"/>
      <c r="P587" s="43"/>
      <c r="Q587" s="43"/>
      <c r="R587" s="43"/>
      <c r="S587" s="43"/>
      <c r="T587" s="43"/>
      <c r="U587" s="43"/>
      <c r="V587" s="43"/>
      <c r="W587" s="43"/>
      <c r="X587" s="43"/>
      <c r="Y587" s="43"/>
      <c r="Z587" s="43"/>
    </row>
    <row r="588" spans="15:26" x14ac:dyDescent="0.25">
      <c r="O588" s="43"/>
      <c r="P588" s="43"/>
      <c r="Q588" s="43"/>
      <c r="R588" s="43"/>
      <c r="S588" s="43"/>
      <c r="T588" s="43"/>
      <c r="U588" s="43"/>
      <c r="V588" s="43"/>
      <c r="W588" s="43"/>
      <c r="X588" s="43"/>
      <c r="Y588" s="43"/>
      <c r="Z588" s="43"/>
    </row>
    <row r="589" spans="15:26" x14ac:dyDescent="0.25">
      <c r="O589" s="43"/>
      <c r="P589" s="43"/>
      <c r="Q589" s="43"/>
      <c r="R589" s="43"/>
      <c r="S589" s="43"/>
      <c r="T589" s="43"/>
      <c r="U589" s="43"/>
      <c r="V589" s="43"/>
      <c r="W589" s="43"/>
      <c r="X589" s="43"/>
      <c r="Y589" s="43"/>
      <c r="Z589" s="43"/>
    </row>
    <row r="590" spans="15:26" x14ac:dyDescent="0.25">
      <c r="O590" s="43"/>
      <c r="P590" s="43"/>
      <c r="Q590" s="43"/>
      <c r="R590" s="43"/>
      <c r="S590" s="43"/>
      <c r="T590" s="43"/>
      <c r="U590" s="43"/>
      <c r="V590" s="43"/>
      <c r="W590" s="43"/>
      <c r="X590" s="43"/>
      <c r="Y590" s="43"/>
      <c r="Z590" s="43"/>
    </row>
    <row r="591" spans="15:26" x14ac:dyDescent="0.25">
      <c r="O591" s="43"/>
      <c r="P591" s="43"/>
      <c r="Q591" s="43"/>
      <c r="R591" s="43"/>
      <c r="S591" s="43"/>
      <c r="T591" s="43"/>
      <c r="U591" s="43"/>
      <c r="V591" s="43"/>
      <c r="W591" s="43"/>
      <c r="X591" s="43"/>
      <c r="Y591" s="43"/>
      <c r="Z591" s="43"/>
    </row>
    <row r="592" spans="15:26" x14ac:dyDescent="0.25">
      <c r="O592" s="43"/>
      <c r="P592" s="43"/>
      <c r="Q592" s="43"/>
      <c r="R592" s="43"/>
      <c r="S592" s="43"/>
      <c r="T592" s="43"/>
      <c r="U592" s="43"/>
      <c r="V592" s="43"/>
      <c r="W592" s="43"/>
      <c r="X592" s="43"/>
      <c r="Y592" s="43"/>
      <c r="Z592" s="43"/>
    </row>
    <row r="593" spans="15:26" x14ac:dyDescent="0.25">
      <c r="O593" s="43"/>
      <c r="P593" s="43"/>
      <c r="Q593" s="43"/>
      <c r="R593" s="43"/>
      <c r="S593" s="43"/>
      <c r="T593" s="43"/>
      <c r="U593" s="43"/>
      <c r="V593" s="43"/>
      <c r="W593" s="43"/>
      <c r="X593" s="43"/>
      <c r="Y593" s="43"/>
      <c r="Z593" s="43"/>
    </row>
    <row r="594" spans="15:26" x14ac:dyDescent="0.25">
      <c r="O594" s="43"/>
      <c r="P594" s="43"/>
      <c r="Q594" s="43"/>
      <c r="R594" s="43"/>
      <c r="S594" s="43"/>
      <c r="T594" s="43"/>
      <c r="U594" s="43"/>
      <c r="V594" s="43"/>
      <c r="W594" s="43"/>
      <c r="X594" s="43"/>
      <c r="Y594" s="43"/>
      <c r="Z594" s="43"/>
    </row>
    <row r="595" spans="15:26" x14ac:dyDescent="0.25">
      <c r="O595" s="43"/>
      <c r="P595" s="43"/>
      <c r="Q595" s="43"/>
      <c r="R595" s="43"/>
      <c r="S595" s="43"/>
      <c r="T595" s="43"/>
      <c r="U595" s="43"/>
      <c r="V595" s="43"/>
      <c r="W595" s="43"/>
      <c r="X595" s="43"/>
      <c r="Y595" s="43"/>
      <c r="Z595" s="43"/>
    </row>
    <row r="596" spans="15:26" x14ac:dyDescent="0.25">
      <c r="O596" s="43"/>
      <c r="P596" s="43"/>
      <c r="Q596" s="43"/>
      <c r="R596" s="43"/>
      <c r="S596" s="43"/>
      <c r="T596" s="43"/>
      <c r="U596" s="43"/>
      <c r="V596" s="43"/>
      <c r="W596" s="43"/>
      <c r="X596" s="43"/>
      <c r="Y596" s="43"/>
      <c r="Z596" s="43"/>
    </row>
    <row r="597" spans="15:26" x14ac:dyDescent="0.25">
      <c r="O597" s="43"/>
      <c r="P597" s="43"/>
      <c r="Q597" s="43"/>
      <c r="R597" s="43"/>
      <c r="S597" s="43"/>
      <c r="T597" s="43"/>
      <c r="U597" s="43"/>
      <c r="V597" s="43"/>
      <c r="W597" s="43"/>
      <c r="X597" s="43"/>
      <c r="Y597" s="43"/>
      <c r="Z597" s="43"/>
    </row>
    <row r="598" spans="15:26" x14ac:dyDescent="0.25">
      <c r="O598" s="43"/>
      <c r="P598" s="43"/>
      <c r="Q598" s="43"/>
      <c r="R598" s="43"/>
      <c r="S598" s="43"/>
      <c r="T598" s="43"/>
      <c r="U598" s="43"/>
      <c r="V598" s="43"/>
      <c r="W598" s="43"/>
      <c r="X598" s="43"/>
      <c r="Y598" s="43"/>
      <c r="Z598" s="43"/>
    </row>
    <row r="599" spans="15:26" x14ac:dyDescent="0.25">
      <c r="O599" s="43"/>
      <c r="P599" s="43"/>
      <c r="Q599" s="43"/>
      <c r="R599" s="43"/>
      <c r="S599" s="43"/>
      <c r="T599" s="43"/>
      <c r="U599" s="43"/>
      <c r="V599" s="43"/>
      <c r="W599" s="43"/>
      <c r="X599" s="43"/>
      <c r="Y599" s="43"/>
      <c r="Z599" s="43"/>
    </row>
    <row r="600" spans="15:26" x14ac:dyDescent="0.25">
      <c r="O600" s="43"/>
      <c r="P600" s="43"/>
      <c r="Q600" s="43"/>
      <c r="R600" s="43"/>
      <c r="S600" s="43"/>
      <c r="T600" s="43"/>
      <c r="U600" s="43"/>
      <c r="V600" s="43"/>
      <c r="W600" s="43"/>
      <c r="X600" s="43"/>
      <c r="Y600" s="43"/>
      <c r="Z600" s="43"/>
    </row>
    <row r="601" spans="15:26" x14ac:dyDescent="0.25">
      <c r="O601" s="43"/>
      <c r="P601" s="43"/>
      <c r="Q601" s="43"/>
      <c r="R601" s="43"/>
      <c r="S601" s="43"/>
      <c r="T601" s="43"/>
      <c r="U601" s="43"/>
      <c r="V601" s="43"/>
      <c r="W601" s="43"/>
      <c r="X601" s="43"/>
      <c r="Y601" s="43"/>
      <c r="Z601" s="43"/>
    </row>
    <row r="602" spans="15:26" x14ac:dyDescent="0.25">
      <c r="O602" s="43"/>
      <c r="P602" s="43"/>
      <c r="Q602" s="43"/>
      <c r="R602" s="43"/>
      <c r="S602" s="43"/>
      <c r="T602" s="43"/>
      <c r="U602" s="43"/>
      <c r="V602" s="43"/>
      <c r="W602" s="43"/>
      <c r="X602" s="43"/>
      <c r="Y602" s="43"/>
      <c r="Z602" s="43"/>
    </row>
    <row r="603" spans="15:26" x14ac:dyDescent="0.25">
      <c r="O603" s="43"/>
      <c r="P603" s="43"/>
      <c r="Q603" s="43"/>
      <c r="R603" s="43"/>
      <c r="S603" s="43"/>
      <c r="T603" s="43"/>
      <c r="U603" s="43"/>
      <c r="V603" s="43"/>
      <c r="W603" s="43"/>
      <c r="X603" s="43"/>
      <c r="Y603" s="43"/>
      <c r="Z603" s="43"/>
    </row>
    <row r="604" spans="15:26" x14ac:dyDescent="0.25">
      <c r="O604" s="43"/>
      <c r="P604" s="43"/>
      <c r="Q604" s="43"/>
      <c r="R604" s="43"/>
      <c r="S604" s="43"/>
      <c r="T604" s="43"/>
      <c r="U604" s="43"/>
      <c r="V604" s="43"/>
      <c r="W604" s="43"/>
      <c r="X604" s="43"/>
      <c r="Y604" s="43"/>
      <c r="Z604" s="43"/>
    </row>
    <row r="605" spans="15:26" x14ac:dyDescent="0.25">
      <c r="O605" s="43"/>
      <c r="P605" s="43"/>
      <c r="Q605" s="43"/>
      <c r="R605" s="43"/>
      <c r="S605" s="43"/>
      <c r="T605" s="43"/>
      <c r="U605" s="43"/>
      <c r="V605" s="43"/>
      <c r="W605" s="43"/>
      <c r="X605" s="43"/>
      <c r="Y605" s="43"/>
      <c r="Z605" s="43"/>
    </row>
    <row r="606" spans="15:26" x14ac:dyDescent="0.25">
      <c r="O606" s="43"/>
      <c r="P606" s="43"/>
      <c r="Q606" s="43"/>
      <c r="R606" s="43"/>
      <c r="S606" s="43"/>
      <c r="T606" s="43"/>
      <c r="U606" s="43"/>
      <c r="V606" s="43"/>
      <c r="W606" s="43"/>
      <c r="X606" s="43"/>
      <c r="Y606" s="43"/>
      <c r="Z606" s="43"/>
    </row>
    <row r="607" spans="15:26" x14ac:dyDescent="0.25">
      <c r="O607" s="43"/>
      <c r="P607" s="43"/>
      <c r="Q607" s="43"/>
      <c r="R607" s="43"/>
      <c r="S607" s="43"/>
      <c r="T607" s="43"/>
      <c r="U607" s="43"/>
      <c r="V607" s="43"/>
      <c r="W607" s="43"/>
      <c r="X607" s="43"/>
      <c r="Y607" s="43"/>
      <c r="Z607" s="43"/>
    </row>
    <row r="608" spans="15:26" x14ac:dyDescent="0.25">
      <c r="O608" s="43"/>
      <c r="P608" s="43"/>
      <c r="Q608" s="43"/>
      <c r="R608" s="43"/>
      <c r="S608" s="43"/>
      <c r="T608" s="43"/>
      <c r="U608" s="43"/>
      <c r="V608" s="43"/>
      <c r="W608" s="43"/>
      <c r="X608" s="43"/>
      <c r="Y608" s="43"/>
      <c r="Z608" s="43"/>
    </row>
    <row r="609" spans="15:26" x14ac:dyDescent="0.25">
      <c r="O609" s="43"/>
      <c r="P609" s="43"/>
      <c r="Q609" s="43"/>
      <c r="R609" s="43"/>
      <c r="S609" s="43"/>
      <c r="T609" s="43"/>
      <c r="U609" s="43"/>
      <c r="V609" s="43"/>
      <c r="W609" s="43"/>
      <c r="X609" s="43"/>
      <c r="Y609" s="43"/>
      <c r="Z609" s="43"/>
    </row>
    <row r="610" spans="15:26" x14ac:dyDescent="0.25">
      <c r="O610" s="43"/>
      <c r="P610" s="43"/>
      <c r="Q610" s="43"/>
      <c r="R610" s="43"/>
      <c r="S610" s="43"/>
      <c r="T610" s="43"/>
      <c r="U610" s="43"/>
      <c r="V610" s="43"/>
      <c r="W610" s="43"/>
      <c r="X610" s="43"/>
      <c r="Y610" s="43"/>
      <c r="Z610" s="43"/>
    </row>
    <row r="611" spans="15:26" x14ac:dyDescent="0.25">
      <c r="O611" s="43"/>
      <c r="P611" s="43"/>
      <c r="Q611" s="43"/>
      <c r="R611" s="43"/>
      <c r="S611" s="43"/>
      <c r="T611" s="43"/>
      <c r="U611" s="43"/>
      <c r="V611" s="43"/>
      <c r="W611" s="43"/>
      <c r="X611" s="43"/>
      <c r="Y611" s="43"/>
      <c r="Z611" s="43"/>
    </row>
    <row r="612" spans="15:26" x14ac:dyDescent="0.25">
      <c r="O612" s="43"/>
      <c r="P612" s="43"/>
      <c r="Q612" s="43"/>
      <c r="R612" s="43"/>
      <c r="S612" s="43"/>
      <c r="T612" s="43"/>
      <c r="U612" s="43"/>
      <c r="V612" s="43"/>
      <c r="W612" s="43"/>
      <c r="X612" s="43"/>
      <c r="Y612" s="43"/>
      <c r="Z612" s="43"/>
    </row>
    <row r="613" spans="15:26" x14ac:dyDescent="0.25">
      <c r="O613" s="43"/>
      <c r="P613" s="43"/>
      <c r="Q613" s="43"/>
      <c r="R613" s="43"/>
      <c r="S613" s="43"/>
      <c r="T613" s="43"/>
      <c r="U613" s="43"/>
      <c r="V613" s="43"/>
      <c r="W613" s="43"/>
      <c r="X613" s="43"/>
      <c r="Y613" s="43"/>
      <c r="Z613" s="43"/>
    </row>
    <row r="614" spans="15:26" x14ac:dyDescent="0.25">
      <c r="O614" s="43"/>
      <c r="P614" s="43"/>
      <c r="Q614" s="43"/>
      <c r="R614" s="43"/>
      <c r="S614" s="43"/>
      <c r="T614" s="43"/>
      <c r="U614" s="43"/>
      <c r="V614" s="43"/>
      <c r="W614" s="43"/>
      <c r="X614" s="43"/>
      <c r="Y614" s="43"/>
      <c r="Z614" s="43"/>
    </row>
    <row r="615" spans="15:26" x14ac:dyDescent="0.25">
      <c r="O615" s="43"/>
      <c r="P615" s="43"/>
      <c r="Q615" s="43"/>
      <c r="R615" s="43"/>
      <c r="S615" s="43"/>
      <c r="T615" s="43"/>
      <c r="U615" s="43"/>
      <c r="V615" s="43"/>
      <c r="W615" s="43"/>
      <c r="X615" s="43"/>
      <c r="Y615" s="43"/>
      <c r="Z615" s="43"/>
    </row>
    <row r="616" spans="15:26" x14ac:dyDescent="0.25">
      <c r="O616" s="43"/>
      <c r="P616" s="43"/>
      <c r="Q616" s="43"/>
      <c r="R616" s="43"/>
      <c r="S616" s="43"/>
      <c r="T616" s="43"/>
      <c r="U616" s="43"/>
      <c r="V616" s="43"/>
      <c r="W616" s="43"/>
      <c r="X616" s="43"/>
      <c r="Y616" s="43"/>
      <c r="Z616" s="43"/>
    </row>
    <row r="617" spans="15:26" x14ac:dyDescent="0.25">
      <c r="O617" s="43"/>
      <c r="P617" s="43"/>
      <c r="Q617" s="43"/>
      <c r="R617" s="43"/>
      <c r="S617" s="43"/>
      <c r="T617" s="43"/>
      <c r="U617" s="43"/>
      <c r="V617" s="43"/>
      <c r="W617" s="43"/>
      <c r="X617" s="43"/>
      <c r="Y617" s="43"/>
      <c r="Z617" s="43"/>
    </row>
    <row r="618" spans="15:26" x14ac:dyDescent="0.25">
      <c r="O618" s="43"/>
      <c r="P618" s="43"/>
      <c r="Q618" s="43"/>
      <c r="R618" s="43"/>
      <c r="S618" s="43"/>
      <c r="T618" s="43"/>
      <c r="U618" s="43"/>
      <c r="V618" s="43"/>
      <c r="W618" s="43"/>
      <c r="X618" s="43"/>
      <c r="Y618" s="43"/>
      <c r="Z618" s="43"/>
    </row>
    <row r="619" spans="15:26" x14ac:dyDescent="0.25">
      <c r="O619" s="43"/>
      <c r="P619" s="43"/>
      <c r="Q619" s="43"/>
      <c r="R619" s="43"/>
      <c r="S619" s="43"/>
      <c r="T619" s="43"/>
      <c r="U619" s="43"/>
      <c r="V619" s="43"/>
      <c r="W619" s="43"/>
      <c r="X619" s="43"/>
      <c r="Y619" s="43"/>
      <c r="Z619" s="43"/>
    </row>
    <row r="620" spans="15:26" x14ac:dyDescent="0.25">
      <c r="O620" s="43"/>
      <c r="P620" s="43"/>
      <c r="Q620" s="43"/>
      <c r="R620" s="43"/>
      <c r="S620" s="43"/>
      <c r="T620" s="43"/>
      <c r="U620" s="43"/>
      <c r="V620" s="43"/>
      <c r="W620" s="43"/>
      <c r="X620" s="43"/>
      <c r="Y620" s="43"/>
      <c r="Z620" s="43"/>
    </row>
    <row r="621" spans="15:26" x14ac:dyDescent="0.25">
      <c r="O621" s="43"/>
      <c r="P621" s="43"/>
      <c r="Q621" s="43"/>
      <c r="R621" s="43"/>
      <c r="S621" s="43"/>
      <c r="T621" s="43"/>
      <c r="U621" s="43"/>
      <c r="V621" s="43"/>
      <c r="W621" s="43"/>
      <c r="X621" s="43"/>
      <c r="Y621" s="43"/>
      <c r="Z621" s="43"/>
    </row>
    <row r="622" spans="15:26" x14ac:dyDescent="0.25">
      <c r="O622" s="43"/>
      <c r="P622" s="43"/>
      <c r="Q622" s="43"/>
      <c r="R622" s="43"/>
      <c r="S622" s="43"/>
      <c r="T622" s="43"/>
      <c r="U622" s="43"/>
      <c r="V622" s="43"/>
      <c r="W622" s="43"/>
      <c r="X622" s="43"/>
      <c r="Y622" s="43"/>
      <c r="Z622" s="43"/>
    </row>
    <row r="623" spans="15:26" x14ac:dyDescent="0.25">
      <c r="O623" s="43"/>
      <c r="P623" s="43"/>
      <c r="Q623" s="43"/>
      <c r="R623" s="43"/>
      <c r="S623" s="43"/>
      <c r="T623" s="43"/>
      <c r="U623" s="43"/>
      <c r="V623" s="43"/>
      <c r="W623" s="43"/>
      <c r="X623" s="43"/>
      <c r="Y623" s="43"/>
      <c r="Z623" s="43"/>
    </row>
    <row r="624" spans="15:26" x14ac:dyDescent="0.25">
      <c r="O624" s="43"/>
      <c r="P624" s="43"/>
      <c r="Q624" s="43"/>
      <c r="R624" s="43"/>
      <c r="S624" s="43"/>
      <c r="T624" s="43"/>
      <c r="U624" s="43"/>
      <c r="V624" s="43"/>
      <c r="W624" s="43"/>
      <c r="X624" s="43"/>
      <c r="Y624" s="43"/>
      <c r="Z624" s="43"/>
    </row>
    <row r="625" spans="15:26" x14ac:dyDescent="0.25">
      <c r="O625" s="43"/>
      <c r="P625" s="43"/>
      <c r="Q625" s="43"/>
      <c r="R625" s="43"/>
      <c r="S625" s="43"/>
      <c r="T625" s="43"/>
      <c r="U625" s="43"/>
      <c r="V625" s="43"/>
      <c r="W625" s="43"/>
      <c r="X625" s="43"/>
      <c r="Y625" s="43"/>
      <c r="Z625" s="43"/>
    </row>
    <row r="626" spans="15:26" x14ac:dyDescent="0.25">
      <c r="O626" s="43"/>
      <c r="P626" s="43"/>
      <c r="Q626" s="43"/>
      <c r="R626" s="43"/>
      <c r="S626" s="43"/>
      <c r="T626" s="43"/>
      <c r="U626" s="43"/>
      <c r="V626" s="43"/>
      <c r="W626" s="43"/>
      <c r="X626" s="43"/>
      <c r="Y626" s="43"/>
      <c r="Z626" s="43"/>
    </row>
    <row r="627" spans="15:26" x14ac:dyDescent="0.25">
      <c r="O627" s="43"/>
      <c r="P627" s="43"/>
      <c r="Q627" s="43"/>
      <c r="R627" s="43"/>
      <c r="S627" s="43"/>
      <c r="T627" s="43"/>
      <c r="U627" s="43"/>
      <c r="V627" s="43"/>
      <c r="W627" s="43"/>
      <c r="X627" s="43"/>
      <c r="Y627" s="43"/>
      <c r="Z627" s="43"/>
    </row>
    <row r="628" spans="15:26" x14ac:dyDescent="0.25">
      <c r="O628" s="43"/>
      <c r="P628" s="43"/>
      <c r="Q628" s="43"/>
      <c r="R628" s="43"/>
      <c r="S628" s="43"/>
      <c r="T628" s="43"/>
      <c r="U628" s="43"/>
      <c r="V628" s="43"/>
      <c r="W628" s="43"/>
      <c r="X628" s="43"/>
      <c r="Y628" s="43"/>
      <c r="Z628" s="43"/>
    </row>
    <row r="629" spans="15:26" x14ac:dyDescent="0.25">
      <c r="O629" s="43"/>
      <c r="P629" s="43"/>
      <c r="Q629" s="43"/>
      <c r="R629" s="43"/>
      <c r="S629" s="43"/>
      <c r="T629" s="43"/>
      <c r="U629" s="43"/>
      <c r="V629" s="43"/>
      <c r="W629" s="43"/>
      <c r="X629" s="43"/>
      <c r="Y629" s="43"/>
      <c r="Z629" s="43"/>
    </row>
    <row r="630" spans="15:26" x14ac:dyDescent="0.25">
      <c r="O630" s="43"/>
      <c r="P630" s="43"/>
      <c r="Q630" s="43"/>
      <c r="R630" s="43"/>
      <c r="S630" s="43"/>
      <c r="T630" s="43"/>
      <c r="U630" s="43"/>
      <c r="V630" s="43"/>
      <c r="W630" s="43"/>
      <c r="X630" s="43"/>
      <c r="Y630" s="43"/>
      <c r="Z630" s="43"/>
    </row>
    <row r="631" spans="15:26" x14ac:dyDescent="0.25">
      <c r="O631" s="43"/>
      <c r="P631" s="43"/>
      <c r="Q631" s="43"/>
      <c r="R631" s="43"/>
      <c r="S631" s="43"/>
      <c r="T631" s="43"/>
      <c r="U631" s="43"/>
      <c r="V631" s="43"/>
      <c r="W631" s="43"/>
      <c r="X631" s="43"/>
      <c r="Y631" s="43"/>
      <c r="Z631" s="43"/>
    </row>
    <row r="632" spans="15:26" x14ac:dyDescent="0.25">
      <c r="O632" s="43"/>
      <c r="P632" s="43"/>
      <c r="Q632" s="43"/>
      <c r="R632" s="43"/>
      <c r="S632" s="43"/>
      <c r="T632" s="43"/>
      <c r="U632" s="43"/>
      <c r="V632" s="43"/>
      <c r="W632" s="43"/>
      <c r="X632" s="43"/>
      <c r="Y632" s="43"/>
      <c r="Z632" s="43"/>
    </row>
    <row r="633" spans="15:26" x14ac:dyDescent="0.25">
      <c r="O633" s="43"/>
      <c r="P633" s="43"/>
      <c r="Q633" s="43"/>
      <c r="R633" s="43"/>
      <c r="S633" s="43"/>
      <c r="T633" s="43"/>
      <c r="U633" s="43"/>
      <c r="V633" s="43"/>
      <c r="W633" s="43"/>
      <c r="X633" s="43"/>
      <c r="Y633" s="43"/>
      <c r="Z633" s="43"/>
    </row>
    <row r="634" spans="15:26" x14ac:dyDescent="0.25">
      <c r="O634" s="43"/>
      <c r="P634" s="43"/>
      <c r="Q634" s="43"/>
      <c r="R634" s="43"/>
      <c r="S634" s="43"/>
      <c r="T634" s="43"/>
      <c r="U634" s="43"/>
      <c r="V634" s="43"/>
      <c r="W634" s="43"/>
      <c r="X634" s="43"/>
      <c r="Y634" s="43"/>
      <c r="Z634" s="43"/>
    </row>
    <row r="635" spans="15:26" x14ac:dyDescent="0.25">
      <c r="O635" s="43"/>
      <c r="P635" s="43"/>
      <c r="Q635" s="43"/>
      <c r="R635" s="43"/>
      <c r="S635" s="43"/>
      <c r="T635" s="43"/>
      <c r="U635" s="43"/>
      <c r="V635" s="43"/>
      <c r="W635" s="43"/>
      <c r="X635" s="43"/>
      <c r="Y635" s="43"/>
      <c r="Z635" s="43"/>
    </row>
    <row r="636" spans="15:26" x14ac:dyDescent="0.25">
      <c r="O636" s="43"/>
      <c r="P636" s="43"/>
      <c r="Q636" s="43"/>
      <c r="R636" s="43"/>
      <c r="S636" s="43"/>
      <c r="T636" s="43"/>
      <c r="U636" s="43"/>
      <c r="V636" s="43"/>
      <c r="W636" s="43"/>
      <c r="X636" s="43"/>
      <c r="Y636" s="43"/>
      <c r="Z636" s="43"/>
    </row>
    <row r="637" spans="15:26" x14ac:dyDescent="0.25">
      <c r="O637" s="43"/>
      <c r="P637" s="43"/>
      <c r="Q637" s="43"/>
      <c r="R637" s="43"/>
      <c r="S637" s="43"/>
      <c r="T637" s="43"/>
      <c r="U637" s="43"/>
      <c r="V637" s="43"/>
      <c r="W637" s="43"/>
      <c r="X637" s="43"/>
      <c r="Y637" s="43"/>
      <c r="Z637" s="43"/>
    </row>
    <row r="638" spans="15:26" x14ac:dyDescent="0.25">
      <c r="O638" s="43"/>
      <c r="P638" s="43"/>
      <c r="Q638" s="43"/>
      <c r="R638" s="43"/>
      <c r="S638" s="43"/>
      <c r="T638" s="43"/>
      <c r="U638" s="43"/>
      <c r="V638" s="43"/>
      <c r="W638" s="43"/>
      <c r="X638" s="43"/>
      <c r="Y638" s="43"/>
      <c r="Z638" s="43"/>
    </row>
    <row r="639" spans="15:26" x14ac:dyDescent="0.25">
      <c r="O639" s="43"/>
      <c r="P639" s="43"/>
      <c r="Q639" s="43"/>
      <c r="R639" s="43"/>
      <c r="S639" s="43"/>
      <c r="T639" s="43"/>
      <c r="U639" s="43"/>
      <c r="V639" s="43"/>
      <c r="W639" s="43"/>
      <c r="X639" s="43"/>
      <c r="Y639" s="43"/>
      <c r="Z639" s="43"/>
    </row>
    <row r="640" spans="15:26" x14ac:dyDescent="0.25">
      <c r="O640" s="43"/>
      <c r="P640" s="43"/>
      <c r="Q640" s="43"/>
      <c r="R640" s="43"/>
      <c r="S640" s="43"/>
      <c r="T640" s="43"/>
      <c r="U640" s="43"/>
      <c r="V640" s="43"/>
      <c r="W640" s="43"/>
      <c r="X640" s="43"/>
      <c r="Y640" s="43"/>
      <c r="Z640" s="43"/>
    </row>
    <row r="641" spans="15:26" x14ac:dyDescent="0.25">
      <c r="O641" s="43"/>
      <c r="P641" s="43"/>
      <c r="Q641" s="43"/>
      <c r="R641" s="43"/>
      <c r="S641" s="43"/>
      <c r="T641" s="43"/>
      <c r="U641" s="43"/>
      <c r="V641" s="43"/>
      <c r="W641" s="43"/>
      <c r="X641" s="43"/>
      <c r="Y641" s="43"/>
      <c r="Z641" s="43"/>
    </row>
    <row r="642" spans="15:26" x14ac:dyDescent="0.25">
      <c r="O642" s="43"/>
      <c r="P642" s="43"/>
      <c r="Q642" s="43"/>
      <c r="R642" s="43"/>
      <c r="S642" s="43"/>
      <c r="T642" s="43"/>
      <c r="U642" s="43"/>
      <c r="V642" s="43"/>
      <c r="W642" s="43"/>
      <c r="X642" s="43"/>
      <c r="Y642" s="43"/>
      <c r="Z642" s="43"/>
    </row>
    <row r="643" spans="15:26" x14ac:dyDescent="0.25">
      <c r="O643" s="43"/>
      <c r="P643" s="43"/>
      <c r="Q643" s="43"/>
      <c r="R643" s="43"/>
      <c r="S643" s="43"/>
      <c r="T643" s="43"/>
      <c r="U643" s="43"/>
      <c r="V643" s="43"/>
      <c r="W643" s="43"/>
      <c r="X643" s="43"/>
      <c r="Y643" s="43"/>
      <c r="Z643" s="43"/>
    </row>
    <row r="644" spans="15:26" x14ac:dyDescent="0.25">
      <c r="O644" s="43"/>
      <c r="P644" s="43"/>
      <c r="Q644" s="43"/>
      <c r="R644" s="43"/>
      <c r="S644" s="43"/>
      <c r="T644" s="43"/>
      <c r="U644" s="43"/>
      <c r="V644" s="43"/>
      <c r="W644" s="43"/>
      <c r="X644" s="43"/>
      <c r="Y644" s="43"/>
      <c r="Z644" s="43"/>
    </row>
    <row r="645" spans="15:26" x14ac:dyDescent="0.25">
      <c r="O645" s="43"/>
      <c r="P645" s="43"/>
      <c r="Q645" s="43"/>
      <c r="R645" s="43"/>
      <c r="S645" s="43"/>
      <c r="T645" s="43"/>
      <c r="U645" s="43"/>
      <c r="V645" s="43"/>
      <c r="W645" s="43"/>
      <c r="X645" s="43"/>
      <c r="Y645" s="43"/>
      <c r="Z645" s="43"/>
    </row>
    <row r="646" spans="15:26" x14ac:dyDescent="0.25">
      <c r="O646" s="43"/>
      <c r="P646" s="43"/>
      <c r="Q646" s="43"/>
      <c r="R646" s="43"/>
      <c r="S646" s="43"/>
      <c r="T646" s="43"/>
      <c r="U646" s="43"/>
      <c r="V646" s="43"/>
      <c r="W646" s="43"/>
      <c r="X646" s="43"/>
      <c r="Y646" s="43"/>
      <c r="Z646" s="43"/>
    </row>
    <row r="647" spans="15:26" x14ac:dyDescent="0.25">
      <c r="O647" s="43"/>
      <c r="P647" s="43"/>
      <c r="Q647" s="43"/>
      <c r="R647" s="43"/>
      <c r="S647" s="43"/>
      <c r="T647" s="43"/>
      <c r="U647" s="43"/>
      <c r="V647" s="43"/>
      <c r="W647" s="43"/>
      <c r="X647" s="43"/>
      <c r="Y647" s="43"/>
      <c r="Z647" s="43"/>
    </row>
    <row r="648" spans="15:26" x14ac:dyDescent="0.25">
      <c r="O648" s="43"/>
      <c r="P648" s="43"/>
      <c r="Q648" s="43"/>
      <c r="R648" s="43"/>
      <c r="S648" s="43"/>
      <c r="T648" s="43"/>
      <c r="U648" s="43"/>
      <c r="V648" s="43"/>
      <c r="W648" s="43"/>
      <c r="X648" s="43"/>
      <c r="Y648" s="43"/>
      <c r="Z648" s="43"/>
    </row>
    <row r="649" spans="15:26" x14ac:dyDescent="0.25">
      <c r="O649" s="43"/>
      <c r="P649" s="43"/>
      <c r="Q649" s="43"/>
      <c r="R649" s="43"/>
      <c r="S649" s="43"/>
      <c r="T649" s="43"/>
      <c r="U649" s="43"/>
      <c r="V649" s="43"/>
      <c r="W649" s="43"/>
      <c r="X649" s="43"/>
      <c r="Y649" s="43"/>
      <c r="Z649" s="43"/>
    </row>
    <row r="650" spans="15:26" x14ac:dyDescent="0.25">
      <c r="O650" s="43"/>
      <c r="P650" s="43"/>
      <c r="Q650" s="43"/>
      <c r="R650" s="43"/>
      <c r="S650" s="43"/>
      <c r="T650" s="43"/>
      <c r="U650" s="43"/>
      <c r="V650" s="43"/>
      <c r="W650" s="43"/>
      <c r="X650" s="43"/>
      <c r="Y650" s="43"/>
      <c r="Z650" s="43"/>
    </row>
    <row r="651" spans="15:26" x14ac:dyDescent="0.25">
      <c r="O651" s="43"/>
      <c r="P651" s="43"/>
      <c r="Q651" s="43"/>
      <c r="R651" s="43"/>
      <c r="S651" s="43"/>
      <c r="T651" s="43"/>
      <c r="U651" s="43"/>
      <c r="V651" s="43"/>
      <c r="W651" s="43"/>
      <c r="X651" s="43"/>
      <c r="Y651" s="43"/>
      <c r="Z651" s="43"/>
    </row>
    <row r="652" spans="15:26" x14ac:dyDescent="0.25">
      <c r="O652" s="43"/>
      <c r="P652" s="43"/>
      <c r="Q652" s="43"/>
      <c r="R652" s="43"/>
      <c r="S652" s="43"/>
      <c r="T652" s="43"/>
      <c r="U652" s="43"/>
      <c r="V652" s="43"/>
      <c r="W652" s="43"/>
      <c r="X652" s="43"/>
      <c r="Y652" s="43"/>
      <c r="Z652" s="43"/>
    </row>
    <row r="653" spans="15:26" x14ac:dyDescent="0.25">
      <c r="O653" s="43"/>
      <c r="P653" s="43"/>
      <c r="Q653" s="43"/>
      <c r="R653" s="43"/>
      <c r="S653" s="43"/>
      <c r="T653" s="43"/>
      <c r="U653" s="43"/>
      <c r="V653" s="43"/>
      <c r="W653" s="43"/>
      <c r="X653" s="43"/>
      <c r="Y653" s="43"/>
      <c r="Z653" s="43"/>
    </row>
    <row r="654" spans="15:26" x14ac:dyDescent="0.25">
      <c r="O654" s="43"/>
      <c r="P654" s="43"/>
      <c r="Q654" s="43"/>
      <c r="R654" s="43"/>
      <c r="S654" s="43"/>
      <c r="T654" s="43"/>
      <c r="U654" s="43"/>
      <c r="V654" s="43"/>
      <c r="W654" s="43"/>
      <c r="X654" s="43"/>
      <c r="Y654" s="43"/>
      <c r="Z654" s="43"/>
    </row>
    <row r="655" spans="15:26" x14ac:dyDescent="0.25">
      <c r="O655" s="43"/>
      <c r="P655" s="43"/>
      <c r="Q655" s="43"/>
      <c r="R655" s="43"/>
      <c r="S655" s="43"/>
      <c r="T655" s="43"/>
      <c r="U655" s="43"/>
      <c r="V655" s="43"/>
      <c r="W655" s="43"/>
      <c r="X655" s="43"/>
      <c r="Y655" s="43"/>
      <c r="Z655" s="43"/>
    </row>
    <row r="656" spans="15:26" x14ac:dyDescent="0.25">
      <c r="O656" s="43"/>
      <c r="P656" s="43"/>
      <c r="Q656" s="43"/>
      <c r="R656" s="43"/>
      <c r="S656" s="43"/>
      <c r="T656" s="43"/>
      <c r="U656" s="43"/>
      <c r="V656" s="43"/>
      <c r="W656" s="43"/>
      <c r="X656" s="43"/>
      <c r="Y656" s="43"/>
      <c r="Z656" s="43"/>
    </row>
    <row r="657" spans="15:26" x14ac:dyDescent="0.25">
      <c r="O657" s="43"/>
      <c r="P657" s="43"/>
      <c r="Q657" s="43"/>
      <c r="R657" s="43"/>
      <c r="S657" s="43"/>
      <c r="T657" s="43"/>
      <c r="U657" s="43"/>
      <c r="V657" s="43"/>
      <c r="W657" s="43"/>
      <c r="X657" s="43"/>
      <c r="Y657" s="43"/>
      <c r="Z657" s="43"/>
    </row>
    <row r="658" spans="15:26" x14ac:dyDescent="0.25">
      <c r="O658" s="43"/>
      <c r="P658" s="43"/>
      <c r="Q658" s="43"/>
      <c r="R658" s="43"/>
      <c r="S658" s="43"/>
      <c r="T658" s="43"/>
      <c r="U658" s="43"/>
      <c r="V658" s="43"/>
      <c r="W658" s="43"/>
      <c r="X658" s="43"/>
      <c r="Y658" s="43"/>
      <c r="Z658" s="43"/>
    </row>
    <row r="659" spans="15:26" x14ac:dyDescent="0.25">
      <c r="O659" s="43"/>
      <c r="P659" s="43"/>
      <c r="Q659" s="43"/>
      <c r="R659" s="43"/>
      <c r="S659" s="43"/>
      <c r="T659" s="43"/>
      <c r="U659" s="43"/>
      <c r="V659" s="43"/>
      <c r="W659" s="43"/>
      <c r="X659" s="43"/>
      <c r="Y659" s="43"/>
      <c r="Z659" s="43"/>
    </row>
    <row r="660" spans="15:26" x14ac:dyDescent="0.25">
      <c r="O660" s="43"/>
      <c r="P660" s="43"/>
      <c r="Q660" s="43"/>
      <c r="R660" s="43"/>
      <c r="S660" s="43"/>
      <c r="T660" s="43"/>
      <c r="U660" s="43"/>
      <c r="V660" s="43"/>
      <c r="W660" s="43"/>
      <c r="X660" s="43"/>
      <c r="Y660" s="43"/>
      <c r="Z660" s="43"/>
    </row>
    <row r="661" spans="15:26" x14ac:dyDescent="0.25">
      <c r="O661" s="43"/>
      <c r="P661" s="43"/>
      <c r="Q661" s="43"/>
      <c r="R661" s="43"/>
      <c r="S661" s="43"/>
      <c r="T661" s="43"/>
      <c r="U661" s="43"/>
      <c r="V661" s="43"/>
      <c r="W661" s="43"/>
      <c r="X661" s="43"/>
      <c r="Y661" s="43"/>
      <c r="Z661" s="43"/>
    </row>
    <row r="662" spans="15:26" x14ac:dyDescent="0.25">
      <c r="O662" s="43"/>
      <c r="P662" s="43"/>
      <c r="Q662" s="43"/>
      <c r="R662" s="43"/>
      <c r="S662" s="43"/>
      <c r="T662" s="43"/>
      <c r="U662" s="43"/>
      <c r="V662" s="43"/>
      <c r="W662" s="43"/>
      <c r="X662" s="43"/>
      <c r="Y662" s="43"/>
      <c r="Z662" s="43"/>
    </row>
    <row r="663" spans="15:26" x14ac:dyDescent="0.25">
      <c r="O663" s="43"/>
      <c r="P663" s="43"/>
      <c r="Q663" s="43"/>
      <c r="R663" s="43"/>
      <c r="S663" s="43"/>
      <c r="T663" s="43"/>
      <c r="U663" s="43"/>
      <c r="V663" s="43"/>
      <c r="W663" s="43"/>
      <c r="X663" s="43"/>
      <c r="Y663" s="43"/>
      <c r="Z663" s="43"/>
    </row>
    <row r="664" spans="15:26" x14ac:dyDescent="0.25">
      <c r="O664" s="43"/>
      <c r="P664" s="43"/>
      <c r="Q664" s="43"/>
      <c r="R664" s="43"/>
      <c r="S664" s="43"/>
      <c r="T664" s="43"/>
      <c r="U664" s="43"/>
      <c r="V664" s="43"/>
      <c r="W664" s="43"/>
      <c r="X664" s="43"/>
      <c r="Y664" s="43"/>
      <c r="Z664" s="43"/>
    </row>
    <row r="665" spans="15:26" x14ac:dyDescent="0.25">
      <c r="O665" s="43"/>
      <c r="P665" s="43"/>
      <c r="Q665" s="43"/>
      <c r="R665" s="43"/>
      <c r="S665" s="43"/>
      <c r="T665" s="43"/>
      <c r="U665" s="43"/>
      <c r="V665" s="43"/>
      <c r="W665" s="43"/>
      <c r="X665" s="43"/>
      <c r="Y665" s="43"/>
      <c r="Z665" s="43"/>
    </row>
    <row r="666" spans="15:26" x14ac:dyDescent="0.25">
      <c r="O666" s="43"/>
      <c r="P666" s="43"/>
      <c r="Q666" s="43"/>
      <c r="R666" s="43"/>
      <c r="S666" s="43"/>
      <c r="T666" s="43"/>
      <c r="U666" s="43"/>
      <c r="V666" s="43"/>
      <c r="W666" s="43"/>
      <c r="X666" s="43"/>
      <c r="Y666" s="43"/>
      <c r="Z666" s="43"/>
    </row>
    <row r="667" spans="15:26" x14ac:dyDescent="0.25">
      <c r="O667" s="43"/>
      <c r="P667" s="43"/>
      <c r="Q667" s="43"/>
      <c r="R667" s="43"/>
      <c r="S667" s="43"/>
      <c r="T667" s="43"/>
      <c r="U667" s="43"/>
      <c r="V667" s="43"/>
      <c r="W667" s="43"/>
      <c r="X667" s="43"/>
      <c r="Y667" s="43"/>
      <c r="Z667" s="43"/>
    </row>
    <row r="668" spans="15:26" x14ac:dyDescent="0.25">
      <c r="O668" s="43"/>
      <c r="P668" s="43"/>
      <c r="Q668" s="43"/>
      <c r="R668" s="43"/>
      <c r="S668" s="43"/>
      <c r="T668" s="43"/>
      <c r="U668" s="43"/>
      <c r="V668" s="43"/>
      <c r="W668" s="43"/>
      <c r="X668" s="43"/>
      <c r="Y668" s="43"/>
      <c r="Z668" s="43"/>
    </row>
    <row r="669" spans="15:26" x14ac:dyDescent="0.25">
      <c r="O669" s="43"/>
      <c r="P669" s="43"/>
      <c r="Q669" s="43"/>
      <c r="R669" s="43"/>
      <c r="S669" s="43"/>
      <c r="T669" s="43"/>
      <c r="U669" s="43"/>
      <c r="V669" s="43"/>
      <c r="W669" s="43"/>
      <c r="X669" s="43"/>
      <c r="Y669" s="43"/>
      <c r="Z669" s="43"/>
    </row>
    <row r="670" spans="15:26" x14ac:dyDescent="0.25">
      <c r="O670" s="43"/>
      <c r="P670" s="43"/>
      <c r="Q670" s="43"/>
      <c r="R670" s="43"/>
      <c r="S670" s="43"/>
      <c r="T670" s="43"/>
      <c r="U670" s="43"/>
      <c r="V670" s="43"/>
      <c r="W670" s="43"/>
      <c r="X670" s="43"/>
      <c r="Y670" s="43"/>
      <c r="Z670" s="43"/>
    </row>
    <row r="671" spans="15:26" x14ac:dyDescent="0.25">
      <c r="O671" s="43"/>
      <c r="P671" s="43"/>
      <c r="Q671" s="43"/>
      <c r="R671" s="43"/>
      <c r="S671" s="43"/>
      <c r="T671" s="43"/>
      <c r="U671" s="43"/>
      <c r="V671" s="43"/>
      <c r="W671" s="43"/>
      <c r="X671" s="43"/>
      <c r="Y671" s="43"/>
      <c r="Z671" s="43"/>
    </row>
    <row r="672" spans="15:26" x14ac:dyDescent="0.25">
      <c r="O672" s="43"/>
      <c r="P672" s="43"/>
      <c r="Q672" s="43"/>
      <c r="R672" s="43"/>
      <c r="S672" s="43"/>
      <c r="T672" s="43"/>
      <c r="U672" s="43"/>
      <c r="V672" s="43"/>
      <c r="W672" s="43"/>
      <c r="X672" s="43"/>
      <c r="Y672" s="43"/>
      <c r="Z672" s="43"/>
    </row>
    <row r="673" spans="15:26" x14ac:dyDescent="0.25">
      <c r="O673" s="43"/>
      <c r="P673" s="43"/>
      <c r="Q673" s="43"/>
      <c r="R673" s="43"/>
      <c r="S673" s="43"/>
      <c r="T673" s="43"/>
      <c r="U673" s="43"/>
      <c r="V673" s="43"/>
      <c r="W673" s="43"/>
      <c r="X673" s="43"/>
      <c r="Y673" s="43"/>
      <c r="Z673" s="43"/>
    </row>
    <row r="674" spans="15:26" x14ac:dyDescent="0.25">
      <c r="O674" s="43"/>
      <c r="P674" s="43"/>
      <c r="Q674" s="43"/>
      <c r="R674" s="43"/>
      <c r="S674" s="43"/>
      <c r="T674" s="43"/>
      <c r="U674" s="43"/>
      <c r="V674" s="43"/>
      <c r="W674" s="43"/>
      <c r="X674" s="43"/>
      <c r="Y674" s="43"/>
      <c r="Z674" s="43"/>
    </row>
    <row r="675" spans="15:26" x14ac:dyDescent="0.25">
      <c r="O675" s="43"/>
      <c r="P675" s="43"/>
      <c r="Q675" s="43"/>
      <c r="R675" s="43"/>
      <c r="S675" s="43"/>
      <c r="T675" s="43"/>
      <c r="U675" s="43"/>
      <c r="V675" s="43"/>
      <c r="W675" s="43"/>
      <c r="X675" s="43"/>
      <c r="Y675" s="43"/>
      <c r="Z675" s="43"/>
    </row>
    <row r="676" spans="15:26" x14ac:dyDescent="0.25">
      <c r="O676" s="43"/>
      <c r="P676" s="43"/>
      <c r="Q676" s="43"/>
      <c r="R676" s="43"/>
      <c r="S676" s="43"/>
      <c r="T676" s="43"/>
      <c r="U676" s="43"/>
      <c r="V676" s="43"/>
      <c r="W676" s="43"/>
      <c r="X676" s="43"/>
      <c r="Y676" s="43"/>
      <c r="Z676" s="43"/>
    </row>
    <row r="677" spans="15:26" x14ac:dyDescent="0.25">
      <c r="O677" s="43"/>
      <c r="P677" s="43"/>
      <c r="Q677" s="43"/>
      <c r="R677" s="43"/>
      <c r="S677" s="43"/>
      <c r="T677" s="43"/>
      <c r="U677" s="43"/>
      <c r="V677" s="43"/>
      <c r="W677" s="43"/>
      <c r="X677" s="43"/>
      <c r="Y677" s="43"/>
      <c r="Z677" s="43"/>
    </row>
    <row r="678" spans="15:26" x14ac:dyDescent="0.25">
      <c r="O678" s="43"/>
      <c r="P678" s="43"/>
      <c r="Q678" s="43"/>
      <c r="R678" s="43"/>
      <c r="S678" s="43"/>
      <c r="T678" s="43"/>
      <c r="U678" s="43"/>
      <c r="V678" s="43"/>
      <c r="W678" s="43"/>
      <c r="X678" s="43"/>
      <c r="Y678" s="43"/>
      <c r="Z678" s="43"/>
    </row>
    <row r="679" spans="15:26" x14ac:dyDescent="0.25">
      <c r="O679" s="43"/>
      <c r="P679" s="43"/>
      <c r="Q679" s="43"/>
      <c r="R679" s="43"/>
      <c r="S679" s="43"/>
      <c r="T679" s="43"/>
      <c r="U679" s="43"/>
      <c r="V679" s="43"/>
      <c r="W679" s="43"/>
      <c r="X679" s="43"/>
      <c r="Y679" s="43"/>
      <c r="Z679" s="43"/>
    </row>
    <row r="680" spans="15:26" x14ac:dyDescent="0.25">
      <c r="O680" s="43"/>
      <c r="P680" s="43"/>
      <c r="Q680" s="43"/>
      <c r="R680" s="43"/>
      <c r="S680" s="43"/>
      <c r="T680" s="43"/>
      <c r="U680" s="43"/>
      <c r="V680" s="43"/>
      <c r="W680" s="43"/>
      <c r="X680" s="43"/>
      <c r="Y680" s="43"/>
      <c r="Z680" s="43"/>
    </row>
    <row r="681" spans="15:26" x14ac:dyDescent="0.25">
      <c r="O681" s="43"/>
      <c r="P681" s="43"/>
      <c r="Q681" s="43"/>
      <c r="R681" s="43"/>
      <c r="S681" s="43"/>
      <c r="T681" s="43"/>
      <c r="U681" s="43"/>
      <c r="V681" s="43"/>
      <c r="W681" s="43"/>
      <c r="X681" s="43"/>
      <c r="Y681" s="43"/>
      <c r="Z681" s="43"/>
    </row>
    <row r="682" spans="15:26" x14ac:dyDescent="0.25">
      <c r="O682" s="43"/>
      <c r="P682" s="43"/>
      <c r="Q682" s="43"/>
      <c r="R682" s="43"/>
      <c r="S682" s="43"/>
      <c r="T682" s="43"/>
      <c r="U682" s="43"/>
      <c r="V682" s="43"/>
      <c r="W682" s="43"/>
      <c r="X682" s="43"/>
      <c r="Y682" s="43"/>
      <c r="Z682" s="43"/>
    </row>
    <row r="683" spans="15:26" x14ac:dyDescent="0.25">
      <c r="O683" s="43"/>
      <c r="P683" s="43"/>
      <c r="Q683" s="43"/>
      <c r="R683" s="43"/>
      <c r="S683" s="43"/>
      <c r="T683" s="43"/>
      <c r="U683" s="43"/>
      <c r="V683" s="43"/>
      <c r="W683" s="43"/>
      <c r="X683" s="43"/>
      <c r="Y683" s="43"/>
      <c r="Z683" s="43"/>
    </row>
    <row r="684" spans="15:26" x14ac:dyDescent="0.25">
      <c r="O684" s="43"/>
      <c r="P684" s="43"/>
      <c r="Q684" s="43"/>
      <c r="R684" s="43"/>
      <c r="S684" s="43"/>
      <c r="T684" s="43"/>
      <c r="U684" s="43"/>
      <c r="V684" s="43"/>
      <c r="W684" s="43"/>
      <c r="X684" s="43"/>
      <c r="Y684" s="43"/>
      <c r="Z684" s="43"/>
    </row>
    <row r="685" spans="15:26" x14ac:dyDescent="0.25">
      <c r="O685" s="43"/>
      <c r="P685" s="43"/>
      <c r="Q685" s="43"/>
      <c r="R685" s="43"/>
      <c r="S685" s="43"/>
      <c r="T685" s="43"/>
      <c r="U685" s="43"/>
      <c r="V685" s="43"/>
      <c r="W685" s="43"/>
      <c r="X685" s="43"/>
      <c r="Y685" s="43"/>
      <c r="Z685" s="43"/>
    </row>
    <row r="686" spans="15:26" x14ac:dyDescent="0.25">
      <c r="O686" s="43"/>
      <c r="P686" s="43"/>
      <c r="Q686" s="43"/>
      <c r="R686" s="43"/>
      <c r="S686" s="43"/>
      <c r="T686" s="43"/>
      <c r="U686" s="43"/>
      <c r="V686" s="43"/>
      <c r="W686" s="43"/>
      <c r="X686" s="43"/>
      <c r="Y686" s="43"/>
      <c r="Z686" s="43"/>
    </row>
    <row r="687" spans="15:26" x14ac:dyDescent="0.25">
      <c r="O687" s="43"/>
      <c r="P687" s="43"/>
      <c r="Q687" s="43"/>
      <c r="R687" s="43"/>
      <c r="S687" s="43"/>
      <c r="T687" s="43"/>
      <c r="U687" s="43"/>
      <c r="V687" s="43"/>
      <c r="W687" s="43"/>
      <c r="X687" s="43"/>
      <c r="Y687" s="43"/>
      <c r="Z687" s="43"/>
    </row>
    <row r="688" spans="15:26" x14ac:dyDescent="0.25">
      <c r="O688" s="43"/>
      <c r="P688" s="43"/>
      <c r="Q688" s="43"/>
      <c r="R688" s="43"/>
      <c r="S688" s="43"/>
      <c r="T688" s="43"/>
      <c r="U688" s="43"/>
      <c r="V688" s="43"/>
      <c r="W688" s="43"/>
      <c r="X688" s="43"/>
      <c r="Y688" s="43"/>
      <c r="Z688" s="43"/>
    </row>
    <row r="689" spans="15:26" x14ac:dyDescent="0.25">
      <c r="O689" s="43"/>
      <c r="P689" s="43"/>
      <c r="Q689" s="43"/>
      <c r="R689" s="43"/>
      <c r="S689" s="43"/>
      <c r="T689" s="43"/>
      <c r="U689" s="43"/>
      <c r="V689" s="43"/>
      <c r="W689" s="43"/>
      <c r="X689" s="43"/>
      <c r="Y689" s="43"/>
      <c r="Z689" s="43"/>
    </row>
    <row r="690" spans="15:26" x14ac:dyDescent="0.25">
      <c r="O690" s="43"/>
      <c r="P690" s="43"/>
      <c r="Q690" s="43"/>
      <c r="R690" s="43"/>
      <c r="S690" s="43"/>
      <c r="T690" s="43"/>
      <c r="U690" s="43"/>
      <c r="V690" s="43"/>
      <c r="W690" s="43"/>
      <c r="X690" s="43"/>
      <c r="Y690" s="43"/>
      <c r="Z690" s="43"/>
    </row>
    <row r="691" spans="15:26" x14ac:dyDescent="0.25">
      <c r="O691" s="43"/>
      <c r="P691" s="43"/>
      <c r="Q691" s="43"/>
      <c r="R691" s="43"/>
      <c r="S691" s="43"/>
      <c r="T691" s="43"/>
      <c r="U691" s="43"/>
      <c r="V691" s="43"/>
      <c r="W691" s="43"/>
      <c r="X691" s="43"/>
      <c r="Y691" s="43"/>
      <c r="Z691" s="43"/>
    </row>
    <row r="692" spans="15:26" x14ac:dyDescent="0.25">
      <c r="O692" s="43"/>
      <c r="P692" s="43"/>
      <c r="Q692" s="43"/>
      <c r="R692" s="43"/>
      <c r="S692" s="43"/>
      <c r="T692" s="43"/>
      <c r="U692" s="43"/>
      <c r="V692" s="43"/>
      <c r="W692" s="43"/>
      <c r="X692" s="43"/>
      <c r="Y692" s="43"/>
      <c r="Z692" s="43"/>
    </row>
    <row r="693" spans="15:26" x14ac:dyDescent="0.25">
      <c r="O693" s="43"/>
      <c r="P693" s="43"/>
      <c r="Q693" s="43"/>
      <c r="R693" s="43"/>
      <c r="S693" s="43"/>
      <c r="T693" s="43"/>
      <c r="U693" s="43"/>
      <c r="V693" s="43"/>
      <c r="W693" s="43"/>
      <c r="X693" s="43"/>
      <c r="Y693" s="43"/>
      <c r="Z693" s="43"/>
    </row>
    <row r="694" spans="15:26" x14ac:dyDescent="0.25">
      <c r="O694" s="43"/>
      <c r="P694" s="43"/>
      <c r="Q694" s="43"/>
      <c r="R694" s="43"/>
      <c r="S694" s="43"/>
      <c r="T694" s="43"/>
      <c r="U694" s="43"/>
      <c r="V694" s="43"/>
      <c r="W694" s="43"/>
      <c r="X694" s="43"/>
      <c r="Y694" s="43"/>
      <c r="Z694" s="43"/>
    </row>
    <row r="695" spans="15:26" x14ac:dyDescent="0.25">
      <c r="O695" s="43"/>
      <c r="P695" s="43"/>
      <c r="Q695" s="43"/>
      <c r="R695" s="43"/>
      <c r="S695" s="43"/>
      <c r="T695" s="43"/>
      <c r="U695" s="43"/>
      <c r="V695" s="43"/>
      <c r="W695" s="43"/>
      <c r="X695" s="43"/>
      <c r="Y695" s="43"/>
      <c r="Z695" s="43"/>
    </row>
    <row r="696" spans="15:26" x14ac:dyDescent="0.25">
      <c r="O696" s="43"/>
      <c r="P696" s="43"/>
      <c r="Q696" s="43"/>
      <c r="R696" s="43"/>
      <c r="S696" s="43"/>
      <c r="T696" s="43"/>
      <c r="U696" s="43"/>
      <c r="V696" s="43"/>
      <c r="W696" s="43"/>
      <c r="X696" s="43"/>
      <c r="Y696" s="43"/>
      <c r="Z696" s="43"/>
    </row>
    <row r="697" spans="15:26" x14ac:dyDescent="0.25">
      <c r="O697" s="43"/>
      <c r="P697" s="43"/>
      <c r="Q697" s="43"/>
      <c r="R697" s="43"/>
      <c r="S697" s="43"/>
      <c r="T697" s="43"/>
      <c r="U697" s="43"/>
      <c r="V697" s="43"/>
      <c r="W697" s="43"/>
      <c r="X697" s="43"/>
      <c r="Y697" s="43"/>
      <c r="Z697" s="43"/>
    </row>
    <row r="698" spans="15:26" x14ac:dyDescent="0.25">
      <c r="O698" s="43"/>
      <c r="P698" s="43"/>
      <c r="Q698" s="43"/>
      <c r="R698" s="43"/>
      <c r="S698" s="43"/>
      <c r="T698" s="43"/>
      <c r="U698" s="43"/>
      <c r="V698" s="43"/>
      <c r="W698" s="43"/>
      <c r="X698" s="43"/>
      <c r="Y698" s="43"/>
      <c r="Z698" s="43"/>
    </row>
    <row r="699" spans="15:26" x14ac:dyDescent="0.25">
      <c r="O699" s="43"/>
      <c r="P699" s="43"/>
      <c r="Q699" s="43"/>
      <c r="R699" s="43"/>
      <c r="S699" s="43"/>
      <c r="T699" s="43"/>
      <c r="U699" s="43"/>
      <c r="V699" s="43"/>
      <c r="W699" s="43"/>
      <c r="X699" s="43"/>
      <c r="Y699" s="43"/>
      <c r="Z699" s="43"/>
    </row>
    <row r="700" spans="15:26" x14ac:dyDescent="0.25">
      <c r="O700" s="43"/>
      <c r="P700" s="43"/>
      <c r="Q700" s="43"/>
      <c r="R700" s="43"/>
      <c r="S700" s="43"/>
      <c r="T700" s="43"/>
      <c r="U700" s="43"/>
      <c r="V700" s="43"/>
      <c r="W700" s="43"/>
      <c r="X700" s="43"/>
      <c r="Y700" s="43"/>
      <c r="Z700" s="43"/>
    </row>
    <row r="701" spans="15:26" x14ac:dyDescent="0.25">
      <c r="O701" s="43"/>
      <c r="P701" s="43"/>
      <c r="Q701" s="43"/>
      <c r="R701" s="43"/>
      <c r="S701" s="43"/>
      <c r="T701" s="43"/>
      <c r="U701" s="43"/>
      <c r="V701" s="43"/>
      <c r="W701" s="43"/>
      <c r="X701" s="43"/>
      <c r="Y701" s="43"/>
      <c r="Z701" s="43"/>
    </row>
    <row r="702" spans="15:26" x14ac:dyDescent="0.25">
      <c r="O702" s="43"/>
      <c r="P702" s="43"/>
      <c r="Q702" s="43"/>
      <c r="R702" s="43"/>
      <c r="S702" s="43"/>
      <c r="T702" s="43"/>
      <c r="U702" s="43"/>
      <c r="V702" s="43"/>
      <c r="W702" s="43"/>
      <c r="X702" s="43"/>
      <c r="Y702" s="43"/>
      <c r="Z702" s="43"/>
    </row>
    <row r="703" spans="15:26" x14ac:dyDescent="0.25">
      <c r="O703" s="43"/>
      <c r="P703" s="43"/>
      <c r="Q703" s="43"/>
      <c r="R703" s="43"/>
      <c r="S703" s="43"/>
      <c r="T703" s="43"/>
      <c r="U703" s="43"/>
      <c r="V703" s="43"/>
      <c r="W703" s="43"/>
      <c r="X703" s="43"/>
      <c r="Y703" s="43"/>
      <c r="Z703" s="43"/>
    </row>
    <row r="704" spans="15:26" x14ac:dyDescent="0.25">
      <c r="O704" s="43"/>
      <c r="P704" s="43"/>
      <c r="Q704" s="43"/>
      <c r="R704" s="43"/>
      <c r="S704" s="43"/>
      <c r="T704" s="43"/>
      <c r="U704" s="43"/>
      <c r="V704" s="43"/>
      <c r="W704" s="43"/>
      <c r="X704" s="43"/>
      <c r="Y704" s="43"/>
      <c r="Z704" s="43"/>
    </row>
    <row r="705" spans="15:26" x14ac:dyDescent="0.25">
      <c r="O705" s="43"/>
      <c r="P705" s="43"/>
      <c r="Q705" s="43"/>
      <c r="R705" s="43"/>
      <c r="S705" s="43"/>
      <c r="T705" s="43"/>
      <c r="U705" s="43"/>
      <c r="V705" s="43"/>
      <c r="W705" s="43"/>
      <c r="X705" s="43"/>
      <c r="Y705" s="43"/>
      <c r="Z705" s="43"/>
    </row>
    <row r="706" spans="15:26" x14ac:dyDescent="0.25">
      <c r="O706" s="43"/>
      <c r="P706" s="43"/>
      <c r="Q706" s="43"/>
      <c r="R706" s="43"/>
      <c r="S706" s="43"/>
      <c r="T706" s="43"/>
      <c r="U706" s="43"/>
      <c r="V706" s="43"/>
      <c r="W706" s="43"/>
      <c r="X706" s="43"/>
      <c r="Y706" s="43"/>
      <c r="Z706" s="43"/>
    </row>
    <row r="707" spans="15:26" x14ac:dyDescent="0.25">
      <c r="O707" s="43"/>
      <c r="P707" s="43"/>
      <c r="Q707" s="43"/>
      <c r="R707" s="43"/>
      <c r="S707" s="43"/>
      <c r="T707" s="43"/>
      <c r="U707" s="43"/>
      <c r="V707" s="43"/>
      <c r="W707" s="43"/>
      <c r="X707" s="43"/>
      <c r="Y707" s="43"/>
      <c r="Z707" s="43"/>
    </row>
    <row r="708" spans="15:26" x14ac:dyDescent="0.25">
      <c r="O708" s="43"/>
      <c r="P708" s="43"/>
      <c r="Q708" s="43"/>
      <c r="R708" s="43"/>
      <c r="S708" s="43"/>
      <c r="T708" s="43"/>
      <c r="U708" s="43"/>
      <c r="V708" s="43"/>
      <c r="W708" s="43"/>
      <c r="X708" s="43"/>
      <c r="Y708" s="43"/>
      <c r="Z708" s="43"/>
    </row>
    <row r="709" spans="15:26" x14ac:dyDescent="0.25">
      <c r="O709" s="43"/>
      <c r="P709" s="43"/>
      <c r="Q709" s="43"/>
      <c r="R709" s="43"/>
      <c r="S709" s="43"/>
      <c r="T709" s="43"/>
      <c r="U709" s="43"/>
      <c r="V709" s="43"/>
      <c r="W709" s="43"/>
      <c r="X709" s="43"/>
      <c r="Y709" s="43"/>
      <c r="Z709" s="43"/>
    </row>
    <row r="710" spans="15:26" x14ac:dyDescent="0.25">
      <c r="O710" s="43"/>
      <c r="P710" s="43"/>
      <c r="Q710" s="43"/>
      <c r="R710" s="43"/>
      <c r="S710" s="43"/>
      <c r="T710" s="43"/>
      <c r="U710" s="43"/>
      <c r="V710" s="43"/>
      <c r="W710" s="43"/>
      <c r="X710" s="43"/>
      <c r="Y710" s="43"/>
      <c r="Z710" s="43"/>
    </row>
    <row r="711" spans="15:26" x14ac:dyDescent="0.25">
      <c r="O711" s="43"/>
      <c r="P711" s="43"/>
      <c r="Q711" s="43"/>
      <c r="R711" s="43"/>
      <c r="S711" s="43"/>
      <c r="T711" s="43"/>
      <c r="U711" s="43"/>
      <c r="V711" s="43"/>
      <c r="W711" s="43"/>
      <c r="X711" s="43"/>
      <c r="Y711" s="43"/>
      <c r="Z711" s="43"/>
    </row>
    <row r="712" spans="15:26" x14ac:dyDescent="0.25">
      <c r="O712" s="43"/>
      <c r="P712" s="43"/>
      <c r="Q712" s="43"/>
      <c r="R712" s="43"/>
      <c r="S712" s="43"/>
      <c r="T712" s="43"/>
      <c r="U712" s="43"/>
      <c r="V712" s="43"/>
      <c r="W712" s="43"/>
      <c r="X712" s="43"/>
      <c r="Y712" s="43"/>
      <c r="Z712" s="43"/>
    </row>
    <row r="713" spans="15:26" x14ac:dyDescent="0.25">
      <c r="O713" s="43"/>
      <c r="P713" s="43"/>
      <c r="Q713" s="43"/>
      <c r="R713" s="43"/>
      <c r="S713" s="43"/>
      <c r="T713" s="43"/>
      <c r="U713" s="43"/>
      <c r="V713" s="43"/>
      <c r="W713" s="43"/>
      <c r="X713" s="43"/>
      <c r="Y713" s="43"/>
      <c r="Z713" s="43"/>
    </row>
    <row r="714" spans="15:26" x14ac:dyDescent="0.25">
      <c r="O714" s="43"/>
      <c r="P714" s="43"/>
      <c r="Q714" s="43"/>
      <c r="R714" s="43"/>
      <c r="S714" s="43"/>
      <c r="T714" s="43"/>
      <c r="U714" s="43"/>
      <c r="V714" s="43"/>
      <c r="W714" s="43"/>
      <c r="X714" s="43"/>
      <c r="Y714" s="43"/>
      <c r="Z714" s="43"/>
    </row>
    <row r="715" spans="15:26" x14ac:dyDescent="0.25">
      <c r="O715" s="43"/>
      <c r="P715" s="43"/>
      <c r="Q715" s="43"/>
      <c r="R715" s="43"/>
      <c r="S715" s="43"/>
      <c r="T715" s="43"/>
      <c r="U715" s="43"/>
      <c r="V715" s="43"/>
      <c r="W715" s="43"/>
      <c r="X715" s="43"/>
      <c r="Y715" s="43"/>
      <c r="Z715" s="43"/>
    </row>
    <row r="716" spans="15:26" x14ac:dyDescent="0.25">
      <c r="O716" s="43"/>
      <c r="P716" s="43"/>
      <c r="Q716" s="43"/>
      <c r="R716" s="43"/>
      <c r="S716" s="43"/>
      <c r="T716" s="43"/>
      <c r="U716" s="43"/>
      <c r="V716" s="43"/>
      <c r="W716" s="43"/>
      <c r="X716" s="43"/>
      <c r="Y716" s="43"/>
      <c r="Z716" s="43"/>
    </row>
    <row r="717" spans="15:26" x14ac:dyDescent="0.25">
      <c r="O717" s="43"/>
      <c r="P717" s="43"/>
      <c r="Q717" s="43"/>
      <c r="R717" s="43"/>
      <c r="S717" s="43"/>
      <c r="T717" s="43"/>
      <c r="U717" s="43"/>
      <c r="V717" s="43"/>
      <c r="W717" s="43"/>
      <c r="X717" s="43"/>
      <c r="Y717" s="43"/>
      <c r="Z717" s="43"/>
    </row>
    <row r="718" spans="15:26" x14ac:dyDescent="0.25">
      <c r="O718" s="43"/>
      <c r="P718" s="43"/>
      <c r="Q718" s="43"/>
      <c r="R718" s="43"/>
      <c r="S718" s="43"/>
      <c r="T718" s="43"/>
      <c r="U718" s="43"/>
      <c r="V718" s="43"/>
      <c r="W718" s="43"/>
      <c r="X718" s="43"/>
      <c r="Y718" s="43"/>
      <c r="Z718" s="43"/>
    </row>
    <row r="719" spans="15:26" x14ac:dyDescent="0.25">
      <c r="O719" s="43"/>
      <c r="P719" s="43"/>
      <c r="Q719" s="43"/>
      <c r="R719" s="43"/>
      <c r="S719" s="43"/>
      <c r="T719" s="43"/>
      <c r="U719" s="43"/>
      <c r="V719" s="43"/>
      <c r="W719" s="43"/>
      <c r="X719" s="43"/>
      <c r="Y719" s="43"/>
      <c r="Z719" s="43"/>
    </row>
    <row r="720" spans="15:26" x14ac:dyDescent="0.25">
      <c r="O720" s="43"/>
      <c r="P720" s="43"/>
      <c r="Q720" s="43"/>
      <c r="R720" s="43"/>
      <c r="S720" s="43"/>
      <c r="T720" s="43"/>
      <c r="U720" s="43"/>
      <c r="V720" s="43"/>
      <c r="W720" s="43"/>
      <c r="X720" s="43"/>
      <c r="Y720" s="43"/>
      <c r="Z720" s="43"/>
    </row>
    <row r="721" spans="15:26" x14ac:dyDescent="0.25">
      <c r="O721" s="43"/>
      <c r="P721" s="43"/>
      <c r="Q721" s="43"/>
      <c r="R721" s="43"/>
      <c r="S721" s="43"/>
      <c r="T721" s="43"/>
      <c r="U721" s="43"/>
      <c r="V721" s="43"/>
      <c r="W721" s="43"/>
      <c r="X721" s="43"/>
      <c r="Y721" s="43"/>
      <c r="Z721" s="43"/>
    </row>
    <row r="722" spans="15:26" x14ac:dyDescent="0.25">
      <c r="O722" s="43"/>
      <c r="P722" s="43"/>
      <c r="Q722" s="43"/>
      <c r="R722" s="43"/>
      <c r="S722" s="43"/>
      <c r="T722" s="43"/>
      <c r="U722" s="43"/>
      <c r="V722" s="43"/>
      <c r="W722" s="43"/>
      <c r="X722" s="43"/>
      <c r="Y722" s="43"/>
      <c r="Z722" s="43"/>
    </row>
    <row r="723" spans="15:26" x14ac:dyDescent="0.25">
      <c r="O723" s="43"/>
      <c r="P723" s="43"/>
      <c r="Q723" s="43"/>
      <c r="R723" s="43"/>
      <c r="S723" s="43"/>
      <c r="T723" s="43"/>
      <c r="U723" s="43"/>
      <c r="V723" s="43"/>
      <c r="W723" s="43"/>
      <c r="X723" s="43"/>
      <c r="Y723" s="43"/>
      <c r="Z723" s="43"/>
    </row>
    <row r="724" spans="15:26" x14ac:dyDescent="0.25">
      <c r="O724" s="43"/>
      <c r="P724" s="43"/>
      <c r="Q724" s="43"/>
      <c r="R724" s="43"/>
      <c r="S724" s="43"/>
      <c r="T724" s="43"/>
      <c r="U724" s="43"/>
      <c r="V724" s="43"/>
      <c r="W724" s="43"/>
      <c r="X724" s="43"/>
      <c r="Y724" s="43"/>
      <c r="Z724" s="43"/>
    </row>
    <row r="725" spans="15:26" x14ac:dyDescent="0.25">
      <c r="O725" s="43"/>
      <c r="P725" s="43"/>
      <c r="Q725" s="43"/>
      <c r="R725" s="43"/>
      <c r="S725" s="43"/>
      <c r="T725" s="43"/>
      <c r="U725" s="43"/>
      <c r="V725" s="43"/>
      <c r="W725" s="43"/>
      <c r="X725" s="43"/>
      <c r="Y725" s="43"/>
      <c r="Z725" s="43"/>
    </row>
    <row r="726" spans="15:26" x14ac:dyDescent="0.25">
      <c r="O726" s="43"/>
      <c r="P726" s="43"/>
      <c r="Q726" s="43"/>
      <c r="R726" s="43"/>
      <c r="S726" s="43"/>
      <c r="T726" s="43"/>
      <c r="U726" s="43"/>
      <c r="V726" s="43"/>
      <c r="W726" s="43"/>
      <c r="X726" s="43"/>
      <c r="Y726" s="43"/>
      <c r="Z726" s="43"/>
    </row>
    <row r="727" spans="15:26" x14ac:dyDescent="0.25">
      <c r="O727" s="43"/>
      <c r="P727" s="43"/>
      <c r="Q727" s="43"/>
      <c r="R727" s="43"/>
      <c r="S727" s="43"/>
      <c r="T727" s="43"/>
      <c r="U727" s="43"/>
      <c r="V727" s="43"/>
      <c r="W727" s="43"/>
      <c r="X727" s="43"/>
      <c r="Y727" s="43"/>
      <c r="Z727" s="43"/>
    </row>
    <row r="728" spans="15:26" x14ac:dyDescent="0.25">
      <c r="O728" s="43"/>
      <c r="P728" s="43"/>
      <c r="Q728" s="43"/>
      <c r="R728" s="43"/>
      <c r="S728" s="43"/>
      <c r="T728" s="43"/>
      <c r="U728" s="43"/>
      <c r="V728" s="43"/>
      <c r="W728" s="43"/>
      <c r="X728" s="43"/>
      <c r="Y728" s="43"/>
      <c r="Z728" s="43"/>
    </row>
    <row r="729" spans="15:26" x14ac:dyDescent="0.25">
      <c r="O729" s="43"/>
      <c r="P729" s="43"/>
      <c r="Q729" s="43"/>
      <c r="R729" s="43"/>
      <c r="S729" s="43"/>
      <c r="T729" s="43"/>
      <c r="U729" s="43"/>
      <c r="V729" s="43"/>
      <c r="W729" s="43"/>
      <c r="X729" s="43"/>
      <c r="Y729" s="43"/>
      <c r="Z729" s="43"/>
    </row>
    <row r="730" spans="15:26" x14ac:dyDescent="0.25">
      <c r="O730" s="43"/>
      <c r="P730" s="43"/>
      <c r="Q730" s="43"/>
      <c r="R730" s="43"/>
      <c r="S730" s="43"/>
      <c r="T730" s="43"/>
      <c r="U730" s="43"/>
      <c r="V730" s="43"/>
      <c r="W730" s="43"/>
      <c r="X730" s="43"/>
      <c r="Y730" s="43"/>
      <c r="Z730" s="43"/>
    </row>
    <row r="731" spans="15:26" x14ac:dyDescent="0.25">
      <c r="O731" s="43"/>
      <c r="P731" s="43"/>
      <c r="Q731" s="43"/>
      <c r="R731" s="43"/>
      <c r="S731" s="43"/>
      <c r="T731" s="43"/>
      <c r="U731" s="43"/>
      <c r="V731" s="43"/>
      <c r="W731" s="43"/>
      <c r="X731" s="43"/>
      <c r="Y731" s="43"/>
      <c r="Z731" s="43"/>
    </row>
    <row r="732" spans="15:26" x14ac:dyDescent="0.25">
      <c r="O732" s="43"/>
      <c r="P732" s="43"/>
      <c r="Q732" s="43"/>
      <c r="R732" s="43"/>
      <c r="S732" s="43"/>
      <c r="T732" s="43"/>
      <c r="U732" s="43"/>
      <c r="V732" s="43"/>
      <c r="W732" s="43"/>
      <c r="X732" s="43"/>
      <c r="Y732" s="43"/>
      <c r="Z732" s="43"/>
    </row>
    <row r="733" spans="15:26" x14ac:dyDescent="0.25">
      <c r="O733" s="43"/>
      <c r="P733" s="43"/>
      <c r="Q733" s="43"/>
      <c r="R733" s="43"/>
      <c r="S733" s="43"/>
      <c r="T733" s="43"/>
      <c r="U733" s="43"/>
      <c r="V733" s="43"/>
      <c r="W733" s="43"/>
      <c r="X733" s="43"/>
      <c r="Y733" s="43"/>
      <c r="Z733" s="43"/>
    </row>
    <row r="734" spans="15:26" x14ac:dyDescent="0.25">
      <c r="O734" s="43"/>
      <c r="P734" s="43"/>
      <c r="Q734" s="43"/>
      <c r="R734" s="43"/>
      <c r="S734" s="43"/>
      <c r="T734" s="43"/>
      <c r="U734" s="43"/>
      <c r="V734" s="43"/>
      <c r="W734" s="43"/>
      <c r="X734" s="43"/>
      <c r="Y734" s="43"/>
      <c r="Z734" s="43"/>
    </row>
    <row r="735" spans="15:26" x14ac:dyDescent="0.25">
      <c r="O735" s="43"/>
      <c r="P735" s="43"/>
      <c r="Q735" s="43"/>
      <c r="R735" s="43"/>
      <c r="S735" s="43"/>
      <c r="T735" s="43"/>
      <c r="U735" s="43"/>
      <c r="V735" s="43"/>
      <c r="W735" s="43"/>
      <c r="X735" s="43"/>
      <c r="Y735" s="43"/>
      <c r="Z735" s="43"/>
    </row>
    <row r="736" spans="15:26" x14ac:dyDescent="0.25">
      <c r="O736" s="43"/>
      <c r="P736" s="43"/>
      <c r="Q736" s="43"/>
      <c r="R736" s="43"/>
      <c r="S736" s="43"/>
      <c r="T736" s="43"/>
      <c r="U736" s="43"/>
      <c r="V736" s="43"/>
      <c r="W736" s="43"/>
      <c r="X736" s="43"/>
      <c r="Y736" s="43"/>
      <c r="Z736" s="43"/>
    </row>
    <row r="737" spans="15:26" x14ac:dyDescent="0.25">
      <c r="O737" s="43"/>
      <c r="P737" s="43"/>
      <c r="Q737" s="43"/>
      <c r="R737" s="43"/>
      <c r="S737" s="43"/>
      <c r="T737" s="43"/>
      <c r="U737" s="43"/>
      <c r="V737" s="43"/>
      <c r="W737" s="43"/>
      <c r="X737" s="43"/>
      <c r="Y737" s="43"/>
      <c r="Z737" s="43"/>
    </row>
    <row r="738" spans="15:26" x14ac:dyDescent="0.25">
      <c r="O738" s="43"/>
      <c r="P738" s="43"/>
      <c r="Q738" s="43"/>
      <c r="R738" s="43"/>
      <c r="S738" s="43"/>
      <c r="T738" s="43"/>
      <c r="U738" s="43"/>
      <c r="V738" s="43"/>
      <c r="W738" s="43"/>
      <c r="X738" s="43"/>
      <c r="Y738" s="43"/>
      <c r="Z738" s="43"/>
    </row>
    <row r="739" spans="15:26" x14ac:dyDescent="0.25">
      <c r="O739" s="43"/>
      <c r="P739" s="43"/>
      <c r="Q739" s="43"/>
      <c r="R739" s="43"/>
      <c r="S739" s="43"/>
      <c r="T739" s="43"/>
      <c r="U739" s="43"/>
      <c r="V739" s="43"/>
      <c r="W739" s="43"/>
      <c r="X739" s="43"/>
      <c r="Y739" s="43"/>
      <c r="Z739" s="43"/>
    </row>
    <row r="740" spans="15:26" x14ac:dyDescent="0.25">
      <c r="O740" s="43"/>
      <c r="P740" s="43"/>
      <c r="Q740" s="43"/>
      <c r="R740" s="43"/>
      <c r="S740" s="43"/>
      <c r="T740" s="43"/>
      <c r="U740" s="43"/>
      <c r="V740" s="43"/>
      <c r="W740" s="43"/>
      <c r="X740" s="43"/>
      <c r="Y740" s="43"/>
      <c r="Z740" s="43"/>
    </row>
    <row r="741" spans="15:26" x14ac:dyDescent="0.25">
      <c r="O741" s="43"/>
      <c r="P741" s="43"/>
      <c r="Q741" s="43"/>
      <c r="R741" s="43"/>
      <c r="S741" s="43"/>
      <c r="T741" s="43"/>
      <c r="U741" s="43"/>
      <c r="V741" s="43"/>
      <c r="W741" s="43"/>
      <c r="X741" s="43"/>
      <c r="Y741" s="43"/>
      <c r="Z741" s="43"/>
    </row>
    <row r="742" spans="15:26" x14ac:dyDescent="0.25">
      <c r="O742" s="43"/>
      <c r="P742" s="43"/>
      <c r="Q742" s="43"/>
      <c r="R742" s="43"/>
      <c r="S742" s="43"/>
      <c r="T742" s="43"/>
      <c r="U742" s="43"/>
      <c r="V742" s="43"/>
      <c r="W742" s="43"/>
      <c r="X742" s="43"/>
      <c r="Y742" s="43"/>
      <c r="Z742" s="43"/>
    </row>
    <row r="743" spans="15:26" x14ac:dyDescent="0.25">
      <c r="O743" s="43"/>
      <c r="P743" s="43"/>
      <c r="Q743" s="43"/>
      <c r="R743" s="43"/>
      <c r="S743" s="43"/>
      <c r="T743" s="43"/>
      <c r="U743" s="43"/>
      <c r="V743" s="43"/>
      <c r="W743" s="43"/>
      <c r="X743" s="43"/>
      <c r="Y743" s="43"/>
      <c r="Z743" s="43"/>
    </row>
    <row r="744" spans="15:26" x14ac:dyDescent="0.25">
      <c r="O744" s="43"/>
      <c r="P744" s="43"/>
      <c r="Q744" s="43"/>
      <c r="R744" s="43"/>
      <c r="S744" s="43"/>
      <c r="T744" s="43"/>
      <c r="U744" s="43"/>
      <c r="V744" s="43"/>
      <c r="W744" s="43"/>
      <c r="X744" s="43"/>
      <c r="Y744" s="43"/>
      <c r="Z744" s="43"/>
    </row>
    <row r="745" spans="15:26" x14ac:dyDescent="0.25">
      <c r="O745" s="43"/>
      <c r="P745" s="43"/>
      <c r="Q745" s="43"/>
      <c r="R745" s="43"/>
      <c r="S745" s="43"/>
      <c r="T745" s="43"/>
      <c r="U745" s="43"/>
      <c r="V745" s="43"/>
      <c r="W745" s="43"/>
      <c r="X745" s="43"/>
      <c r="Y745" s="43"/>
      <c r="Z745" s="43"/>
    </row>
    <row r="746" spans="15:26" x14ac:dyDescent="0.25">
      <c r="O746" s="43"/>
      <c r="P746" s="43"/>
      <c r="Q746" s="43"/>
      <c r="R746" s="43"/>
      <c r="S746" s="43"/>
      <c r="T746" s="43"/>
      <c r="U746" s="43"/>
      <c r="V746" s="43"/>
      <c r="W746" s="43"/>
      <c r="X746" s="43"/>
      <c r="Y746" s="43"/>
      <c r="Z746" s="43"/>
    </row>
    <row r="747" spans="15:26" x14ac:dyDescent="0.25">
      <c r="O747" s="43"/>
      <c r="P747" s="43"/>
      <c r="Q747" s="43"/>
      <c r="R747" s="43"/>
      <c r="S747" s="43"/>
      <c r="T747" s="43"/>
      <c r="U747" s="43"/>
      <c r="V747" s="43"/>
      <c r="W747" s="43"/>
      <c r="X747" s="43"/>
      <c r="Y747" s="43"/>
      <c r="Z747" s="43"/>
    </row>
    <row r="748" spans="15:26" x14ac:dyDescent="0.25">
      <c r="O748" s="43"/>
      <c r="P748" s="43"/>
      <c r="Q748" s="43"/>
      <c r="R748" s="43"/>
      <c r="S748" s="43"/>
      <c r="T748" s="43"/>
      <c r="U748" s="43"/>
      <c r="V748" s="43"/>
      <c r="W748" s="43"/>
      <c r="X748" s="43"/>
      <c r="Y748" s="43"/>
      <c r="Z748" s="43"/>
    </row>
    <row r="749" spans="15:26" x14ac:dyDescent="0.25">
      <c r="O749" s="43"/>
      <c r="P749" s="43"/>
      <c r="Q749" s="43"/>
      <c r="R749" s="43"/>
      <c r="S749" s="43"/>
      <c r="T749" s="43"/>
      <c r="U749" s="43"/>
      <c r="V749" s="43"/>
      <c r="W749" s="43"/>
      <c r="X749" s="43"/>
      <c r="Y749" s="43"/>
      <c r="Z749" s="43"/>
    </row>
    <row r="750" spans="15:26" x14ac:dyDescent="0.25">
      <c r="O750" s="43"/>
      <c r="P750" s="43"/>
      <c r="Q750" s="43"/>
      <c r="R750" s="43"/>
      <c r="S750" s="43"/>
      <c r="T750" s="43"/>
      <c r="U750" s="43"/>
      <c r="V750" s="43"/>
      <c r="W750" s="43"/>
      <c r="X750" s="43"/>
      <c r="Y750" s="43"/>
      <c r="Z750" s="43"/>
    </row>
    <row r="751" spans="15:26" x14ac:dyDescent="0.25">
      <c r="O751" s="43"/>
      <c r="P751" s="43"/>
      <c r="Q751" s="43"/>
      <c r="R751" s="43"/>
      <c r="S751" s="43"/>
      <c r="T751" s="43"/>
      <c r="U751" s="43"/>
      <c r="V751" s="43"/>
      <c r="W751" s="43"/>
      <c r="X751" s="43"/>
      <c r="Y751" s="43"/>
      <c r="Z751" s="43"/>
    </row>
    <row r="752" spans="15:26" x14ac:dyDescent="0.25">
      <c r="O752" s="43"/>
      <c r="P752" s="43"/>
      <c r="Q752" s="43"/>
      <c r="R752" s="43"/>
      <c r="S752" s="43"/>
      <c r="T752" s="43"/>
      <c r="U752" s="43"/>
      <c r="V752" s="43"/>
      <c r="W752" s="43"/>
      <c r="X752" s="43"/>
      <c r="Y752" s="43"/>
      <c r="Z752" s="43"/>
    </row>
    <row r="753" spans="15:26" x14ac:dyDescent="0.25">
      <c r="O753" s="43"/>
      <c r="P753" s="43"/>
      <c r="Q753" s="43"/>
      <c r="R753" s="43"/>
      <c r="S753" s="43"/>
      <c r="T753" s="43"/>
      <c r="U753" s="43"/>
      <c r="V753" s="43"/>
      <c r="W753" s="43"/>
      <c r="X753" s="43"/>
      <c r="Y753" s="43"/>
      <c r="Z753" s="43"/>
    </row>
    <row r="754" spans="15:26" x14ac:dyDescent="0.25">
      <c r="O754" s="43"/>
      <c r="P754" s="43"/>
      <c r="Q754" s="43"/>
      <c r="R754" s="43"/>
      <c r="S754" s="43"/>
      <c r="T754" s="43"/>
      <c r="U754" s="43"/>
      <c r="V754" s="43"/>
      <c r="W754" s="43"/>
      <c r="X754" s="43"/>
      <c r="Y754" s="43"/>
      <c r="Z754" s="43"/>
    </row>
    <row r="755" spans="15:26" x14ac:dyDescent="0.25">
      <c r="O755" s="43"/>
      <c r="P755" s="43"/>
      <c r="Q755" s="43"/>
      <c r="R755" s="43"/>
      <c r="S755" s="43"/>
      <c r="T755" s="43"/>
      <c r="U755" s="43"/>
      <c r="V755" s="43"/>
      <c r="W755" s="43"/>
      <c r="X755" s="43"/>
      <c r="Y755" s="43"/>
      <c r="Z755" s="43"/>
    </row>
    <row r="756" spans="15:26" x14ac:dyDescent="0.25">
      <c r="O756" s="43"/>
      <c r="P756" s="43"/>
      <c r="Q756" s="43"/>
      <c r="R756" s="43"/>
      <c r="S756" s="43"/>
      <c r="T756" s="43"/>
      <c r="U756" s="43"/>
      <c r="V756" s="43"/>
      <c r="W756" s="43"/>
      <c r="X756" s="43"/>
      <c r="Y756" s="43"/>
      <c r="Z756" s="43"/>
    </row>
    <row r="757" spans="15:26" x14ac:dyDescent="0.25">
      <c r="O757" s="43"/>
      <c r="P757" s="43"/>
      <c r="Q757" s="43"/>
      <c r="R757" s="43"/>
      <c r="S757" s="43"/>
      <c r="T757" s="43"/>
      <c r="U757" s="43"/>
      <c r="V757" s="43"/>
      <c r="W757" s="43"/>
      <c r="X757" s="43"/>
      <c r="Y757" s="43"/>
      <c r="Z757" s="43"/>
    </row>
    <row r="758" spans="15:26" x14ac:dyDescent="0.25">
      <c r="O758" s="43"/>
      <c r="P758" s="43"/>
      <c r="Q758" s="43"/>
      <c r="R758" s="43"/>
      <c r="S758" s="43"/>
      <c r="T758" s="43"/>
      <c r="U758" s="43"/>
      <c r="V758" s="43"/>
      <c r="W758" s="43"/>
      <c r="X758" s="43"/>
      <c r="Y758" s="43"/>
      <c r="Z758" s="43"/>
    </row>
    <row r="759" spans="15:26" x14ac:dyDescent="0.25">
      <c r="O759" s="43"/>
      <c r="P759" s="43"/>
      <c r="Q759" s="43"/>
      <c r="R759" s="43"/>
      <c r="S759" s="43"/>
      <c r="T759" s="43"/>
      <c r="U759" s="43"/>
      <c r="V759" s="43"/>
      <c r="W759" s="43"/>
      <c r="X759" s="43"/>
      <c r="Y759" s="43"/>
      <c r="Z759" s="43"/>
    </row>
    <row r="760" spans="15:26" x14ac:dyDescent="0.25">
      <c r="O760" s="43"/>
      <c r="P760" s="43"/>
      <c r="Q760" s="43"/>
      <c r="R760" s="43"/>
      <c r="S760" s="43"/>
      <c r="T760" s="43"/>
      <c r="U760" s="43"/>
      <c r="V760" s="43"/>
      <c r="W760" s="43"/>
      <c r="X760" s="43"/>
      <c r="Y760" s="43"/>
      <c r="Z760" s="43"/>
    </row>
    <row r="761" spans="15:26" x14ac:dyDescent="0.25">
      <c r="O761" s="43"/>
      <c r="P761" s="43"/>
      <c r="Q761" s="43"/>
      <c r="R761" s="43"/>
      <c r="S761" s="43"/>
      <c r="T761" s="43"/>
      <c r="U761" s="43"/>
      <c r="V761" s="43"/>
      <c r="W761" s="43"/>
      <c r="X761" s="43"/>
      <c r="Y761" s="43"/>
      <c r="Z761" s="43"/>
    </row>
    <row r="762" spans="15:26" x14ac:dyDescent="0.25">
      <c r="O762" s="43"/>
      <c r="P762" s="43"/>
      <c r="Q762" s="43"/>
      <c r="R762" s="43"/>
      <c r="S762" s="43"/>
      <c r="T762" s="43"/>
      <c r="U762" s="43"/>
      <c r="V762" s="43"/>
      <c r="W762" s="43"/>
      <c r="X762" s="43"/>
      <c r="Y762" s="43"/>
      <c r="Z762" s="43"/>
    </row>
    <row r="763" spans="15:26" x14ac:dyDescent="0.25">
      <c r="O763" s="43"/>
      <c r="P763" s="43"/>
      <c r="Q763" s="43"/>
      <c r="R763" s="43"/>
      <c r="S763" s="43"/>
      <c r="T763" s="43"/>
      <c r="U763" s="43"/>
      <c r="V763" s="43"/>
      <c r="W763" s="43"/>
      <c r="X763" s="43"/>
      <c r="Y763" s="43"/>
      <c r="Z763" s="43"/>
    </row>
    <row r="764" spans="15:26" x14ac:dyDescent="0.25">
      <c r="O764" s="43"/>
      <c r="P764" s="43"/>
      <c r="Q764" s="43"/>
      <c r="R764" s="43"/>
      <c r="S764" s="43"/>
      <c r="T764" s="43"/>
      <c r="U764" s="43"/>
      <c r="V764" s="43"/>
      <c r="W764" s="43"/>
      <c r="X764" s="43"/>
      <c r="Y764" s="43"/>
      <c r="Z764" s="43"/>
    </row>
    <row r="765" spans="15:26" x14ac:dyDescent="0.25">
      <c r="O765" s="43"/>
      <c r="P765" s="43"/>
      <c r="Q765" s="43"/>
      <c r="R765" s="43"/>
      <c r="S765" s="43"/>
      <c r="T765" s="43"/>
      <c r="U765" s="43"/>
      <c r="V765" s="43"/>
      <c r="W765" s="43"/>
      <c r="X765" s="43"/>
      <c r="Y765" s="43"/>
      <c r="Z765" s="43"/>
    </row>
    <row r="766" spans="15:26" x14ac:dyDescent="0.25">
      <c r="O766" s="43"/>
      <c r="P766" s="43"/>
      <c r="Q766" s="43"/>
      <c r="R766" s="43"/>
      <c r="S766" s="43"/>
      <c r="T766" s="43"/>
      <c r="U766" s="43"/>
      <c r="V766" s="43"/>
      <c r="W766" s="43"/>
      <c r="X766" s="43"/>
      <c r="Y766" s="43"/>
      <c r="Z766" s="43"/>
    </row>
    <row r="767" spans="15:26" x14ac:dyDescent="0.25">
      <c r="O767" s="43"/>
      <c r="P767" s="43"/>
      <c r="Q767" s="43"/>
      <c r="R767" s="43"/>
      <c r="S767" s="43"/>
      <c r="T767" s="43"/>
      <c r="U767" s="43"/>
      <c r="V767" s="43"/>
      <c r="W767" s="43"/>
      <c r="X767" s="43"/>
      <c r="Y767" s="43"/>
      <c r="Z767" s="43"/>
    </row>
    <row r="768" spans="15:26" x14ac:dyDescent="0.25">
      <c r="O768" s="43"/>
      <c r="P768" s="43"/>
      <c r="Q768" s="43"/>
      <c r="R768" s="43"/>
      <c r="S768" s="43"/>
      <c r="T768" s="43"/>
      <c r="U768" s="43"/>
      <c r="V768" s="43"/>
      <c r="W768" s="43"/>
      <c r="X768" s="43"/>
      <c r="Y768" s="43"/>
      <c r="Z768" s="43"/>
    </row>
    <row r="769" spans="15:26" x14ac:dyDescent="0.25">
      <c r="O769" s="43"/>
      <c r="P769" s="43"/>
      <c r="Q769" s="43"/>
      <c r="R769" s="43"/>
      <c r="S769" s="43"/>
      <c r="T769" s="43"/>
      <c r="U769" s="43"/>
      <c r="V769" s="43"/>
      <c r="W769" s="43"/>
      <c r="X769" s="43"/>
      <c r="Y769" s="43"/>
      <c r="Z769" s="43"/>
    </row>
    <row r="770" spans="15:26" x14ac:dyDescent="0.25">
      <c r="O770" s="43"/>
      <c r="P770" s="43"/>
      <c r="Q770" s="43"/>
      <c r="R770" s="43"/>
      <c r="S770" s="43"/>
      <c r="T770" s="43"/>
      <c r="U770" s="43"/>
      <c r="V770" s="43"/>
      <c r="W770" s="43"/>
      <c r="X770" s="43"/>
      <c r="Y770" s="43"/>
      <c r="Z770" s="43"/>
    </row>
    <row r="771" spans="15:26" x14ac:dyDescent="0.25">
      <c r="O771" s="43"/>
      <c r="P771" s="43"/>
      <c r="Q771" s="43"/>
      <c r="R771" s="43"/>
      <c r="S771" s="43"/>
      <c r="T771" s="43"/>
      <c r="U771" s="43"/>
      <c r="V771" s="43"/>
      <c r="W771" s="43"/>
      <c r="X771" s="43"/>
      <c r="Y771" s="43"/>
      <c r="Z771" s="43"/>
    </row>
    <row r="772" spans="15:26" x14ac:dyDescent="0.25">
      <c r="O772" s="43"/>
      <c r="P772" s="43"/>
      <c r="Q772" s="43"/>
      <c r="R772" s="43"/>
      <c r="S772" s="43"/>
      <c r="T772" s="43"/>
      <c r="U772" s="43"/>
      <c r="V772" s="43"/>
      <c r="W772" s="43"/>
      <c r="X772" s="43"/>
      <c r="Y772" s="43"/>
      <c r="Z772" s="43"/>
    </row>
    <row r="773" spans="15:26" x14ac:dyDescent="0.25">
      <c r="O773" s="43"/>
      <c r="P773" s="43"/>
      <c r="Q773" s="43"/>
      <c r="R773" s="43"/>
      <c r="S773" s="43"/>
      <c r="T773" s="43"/>
      <c r="U773" s="43"/>
      <c r="V773" s="43"/>
      <c r="W773" s="43"/>
      <c r="X773" s="43"/>
      <c r="Y773" s="43"/>
      <c r="Z773" s="43"/>
    </row>
    <row r="774" spans="15:26" x14ac:dyDescent="0.25">
      <c r="O774" s="43"/>
      <c r="P774" s="43"/>
      <c r="Q774" s="43"/>
      <c r="R774" s="43"/>
      <c r="S774" s="43"/>
      <c r="T774" s="43"/>
      <c r="U774" s="43"/>
      <c r="V774" s="43"/>
      <c r="W774" s="43"/>
      <c r="X774" s="43"/>
      <c r="Y774" s="43"/>
      <c r="Z774" s="43"/>
    </row>
    <row r="775" spans="15:26" x14ac:dyDescent="0.25">
      <c r="O775" s="43"/>
      <c r="P775" s="43"/>
      <c r="Q775" s="43"/>
      <c r="R775" s="43"/>
      <c r="S775" s="43"/>
      <c r="T775" s="43"/>
      <c r="U775" s="43"/>
      <c r="V775" s="43"/>
      <c r="W775" s="43"/>
      <c r="X775" s="43"/>
      <c r="Y775" s="43"/>
      <c r="Z775" s="43"/>
    </row>
    <row r="776" spans="15:26" x14ac:dyDescent="0.25">
      <c r="O776" s="43"/>
      <c r="P776" s="43"/>
      <c r="Q776" s="43"/>
      <c r="R776" s="43"/>
      <c r="S776" s="43"/>
      <c r="T776" s="43"/>
      <c r="U776" s="43"/>
      <c r="V776" s="43"/>
      <c r="W776" s="43"/>
      <c r="X776" s="43"/>
      <c r="Y776" s="43"/>
      <c r="Z776" s="43"/>
    </row>
    <row r="777" spans="15:26" x14ac:dyDescent="0.25">
      <c r="O777" s="43"/>
      <c r="P777" s="43"/>
      <c r="Q777" s="43"/>
      <c r="R777" s="43"/>
      <c r="S777" s="43"/>
      <c r="T777" s="43"/>
      <c r="U777" s="43"/>
      <c r="V777" s="43"/>
      <c r="W777" s="43"/>
      <c r="X777" s="43"/>
      <c r="Y777" s="43"/>
      <c r="Z777" s="43"/>
    </row>
    <row r="778" spans="15:26" x14ac:dyDescent="0.25">
      <c r="O778" s="43"/>
      <c r="P778" s="43"/>
      <c r="Q778" s="43"/>
      <c r="R778" s="43"/>
      <c r="S778" s="43"/>
      <c r="T778" s="43"/>
      <c r="U778" s="43"/>
      <c r="V778" s="43"/>
      <c r="W778" s="43"/>
      <c r="X778" s="43"/>
      <c r="Y778" s="43"/>
      <c r="Z778" s="43"/>
    </row>
    <row r="779" spans="15:26" x14ac:dyDescent="0.25">
      <c r="O779" s="43"/>
      <c r="P779" s="43"/>
      <c r="Q779" s="43"/>
      <c r="R779" s="43"/>
      <c r="S779" s="43"/>
      <c r="T779" s="43"/>
      <c r="U779" s="43"/>
      <c r="V779" s="43"/>
      <c r="W779" s="43"/>
      <c r="X779" s="43"/>
      <c r="Y779" s="43"/>
      <c r="Z779" s="43"/>
    </row>
    <row r="780" spans="15:26" x14ac:dyDescent="0.25">
      <c r="O780" s="43"/>
      <c r="P780" s="43"/>
      <c r="Q780" s="43"/>
      <c r="R780" s="43"/>
      <c r="S780" s="43"/>
      <c r="T780" s="43"/>
      <c r="U780" s="43"/>
      <c r="V780" s="43"/>
      <c r="W780" s="43"/>
      <c r="X780" s="43"/>
      <c r="Y780" s="43"/>
      <c r="Z780" s="43"/>
    </row>
    <row r="781" spans="15:26" x14ac:dyDescent="0.25">
      <c r="O781" s="43"/>
      <c r="P781" s="43"/>
      <c r="Q781" s="43"/>
      <c r="R781" s="43"/>
      <c r="S781" s="43"/>
      <c r="T781" s="43"/>
      <c r="U781" s="43"/>
      <c r="V781" s="43"/>
      <c r="W781" s="43"/>
      <c r="X781" s="43"/>
      <c r="Y781" s="43"/>
      <c r="Z781" s="43"/>
    </row>
    <row r="782" spans="15:26" x14ac:dyDescent="0.25">
      <c r="O782" s="43"/>
      <c r="P782" s="43"/>
      <c r="Q782" s="43"/>
      <c r="R782" s="43"/>
      <c r="S782" s="43"/>
      <c r="T782" s="43"/>
      <c r="U782" s="43"/>
      <c r="V782" s="43"/>
      <c r="W782" s="43"/>
      <c r="X782" s="43"/>
      <c r="Y782" s="43"/>
      <c r="Z782" s="43"/>
    </row>
    <row r="783" spans="15:26" x14ac:dyDescent="0.25">
      <c r="O783" s="43"/>
      <c r="P783" s="43"/>
      <c r="Q783" s="43"/>
      <c r="R783" s="43"/>
      <c r="S783" s="43"/>
      <c r="T783" s="43"/>
      <c r="U783" s="43"/>
      <c r="V783" s="43"/>
      <c r="W783" s="43"/>
      <c r="X783" s="43"/>
      <c r="Y783" s="43"/>
      <c r="Z783" s="43"/>
    </row>
    <row r="784" spans="15:26" x14ac:dyDescent="0.25">
      <c r="O784" s="43"/>
      <c r="P784" s="43"/>
      <c r="Q784" s="43"/>
      <c r="R784" s="43"/>
      <c r="S784" s="43"/>
      <c r="T784" s="43"/>
      <c r="U784" s="43"/>
      <c r="V784" s="43"/>
      <c r="W784" s="43"/>
      <c r="X784" s="43"/>
      <c r="Y784" s="43"/>
      <c r="Z784" s="43"/>
    </row>
    <row r="785" spans="15:26" x14ac:dyDescent="0.25">
      <c r="O785" s="43"/>
      <c r="P785" s="43"/>
      <c r="Q785" s="43"/>
      <c r="R785" s="43"/>
      <c r="S785" s="43"/>
      <c r="T785" s="43"/>
      <c r="U785" s="43"/>
      <c r="V785" s="43"/>
      <c r="W785" s="43"/>
      <c r="X785" s="43"/>
      <c r="Y785" s="43"/>
      <c r="Z785" s="43"/>
    </row>
    <row r="786" spans="15:26" x14ac:dyDescent="0.25">
      <c r="O786" s="43"/>
      <c r="P786" s="43"/>
      <c r="Q786" s="43"/>
      <c r="R786" s="43"/>
      <c r="S786" s="43"/>
      <c r="T786" s="43"/>
      <c r="U786" s="43"/>
      <c r="V786" s="43"/>
      <c r="W786" s="43"/>
      <c r="X786" s="43"/>
      <c r="Y786" s="43"/>
      <c r="Z786" s="43"/>
    </row>
    <row r="787" spans="15:26" x14ac:dyDescent="0.25">
      <c r="O787" s="43"/>
      <c r="P787" s="43"/>
      <c r="Q787" s="43"/>
      <c r="R787" s="43"/>
      <c r="S787" s="43"/>
      <c r="T787" s="43"/>
      <c r="U787" s="43"/>
      <c r="V787" s="43"/>
      <c r="W787" s="43"/>
      <c r="X787" s="43"/>
      <c r="Y787" s="43"/>
      <c r="Z787" s="43"/>
    </row>
    <row r="788" spans="15:26" x14ac:dyDescent="0.25">
      <c r="O788" s="43"/>
      <c r="P788" s="43"/>
      <c r="Q788" s="43"/>
      <c r="R788" s="43"/>
      <c r="S788" s="43"/>
      <c r="T788" s="43"/>
      <c r="U788" s="43"/>
      <c r="V788" s="43"/>
      <c r="W788" s="43"/>
      <c r="X788" s="43"/>
      <c r="Y788" s="43"/>
      <c r="Z788" s="43"/>
    </row>
    <row r="789" spans="15:26" x14ac:dyDescent="0.25">
      <c r="O789" s="43"/>
      <c r="P789" s="43"/>
      <c r="Q789" s="43"/>
      <c r="R789" s="43"/>
      <c r="S789" s="43"/>
      <c r="T789" s="43"/>
      <c r="U789" s="43"/>
      <c r="V789" s="43"/>
      <c r="W789" s="43"/>
      <c r="X789" s="43"/>
      <c r="Y789" s="43"/>
      <c r="Z789" s="43"/>
    </row>
    <row r="790" spans="15:26" x14ac:dyDescent="0.25">
      <c r="O790" s="43"/>
      <c r="P790" s="43"/>
      <c r="Q790" s="43"/>
      <c r="R790" s="43"/>
      <c r="S790" s="43"/>
      <c r="T790" s="43"/>
      <c r="U790" s="43"/>
      <c r="V790" s="43"/>
      <c r="W790" s="43"/>
      <c r="X790" s="43"/>
      <c r="Y790" s="43"/>
      <c r="Z790" s="43"/>
    </row>
    <row r="791" spans="15:26" x14ac:dyDescent="0.25">
      <c r="O791" s="43"/>
      <c r="P791" s="43"/>
      <c r="Q791" s="43"/>
      <c r="R791" s="43"/>
      <c r="S791" s="43"/>
      <c r="T791" s="43"/>
      <c r="U791" s="43"/>
      <c r="V791" s="43"/>
      <c r="W791" s="43"/>
      <c r="X791" s="43"/>
      <c r="Y791" s="43"/>
      <c r="Z791" s="43"/>
    </row>
    <row r="792" spans="15:26" x14ac:dyDescent="0.25">
      <c r="O792" s="43"/>
      <c r="P792" s="43"/>
      <c r="Q792" s="43"/>
      <c r="R792" s="43"/>
      <c r="S792" s="43"/>
      <c r="T792" s="43"/>
      <c r="U792" s="43"/>
      <c r="V792" s="43"/>
      <c r="W792" s="43"/>
      <c r="X792" s="43"/>
      <c r="Y792" s="43"/>
      <c r="Z792" s="43"/>
    </row>
    <row r="793" spans="15:26" x14ac:dyDescent="0.25">
      <c r="O793" s="43"/>
      <c r="P793" s="43"/>
      <c r="Q793" s="43"/>
      <c r="R793" s="43"/>
      <c r="S793" s="43"/>
      <c r="T793" s="43"/>
      <c r="U793" s="43"/>
      <c r="V793" s="43"/>
      <c r="W793" s="43"/>
      <c r="X793" s="43"/>
      <c r="Y793" s="43"/>
      <c r="Z793" s="43"/>
    </row>
    <row r="794" spans="15:26" x14ac:dyDescent="0.25">
      <c r="O794" s="43"/>
      <c r="P794" s="43"/>
      <c r="Q794" s="43"/>
      <c r="R794" s="43"/>
      <c r="S794" s="43"/>
      <c r="T794" s="43"/>
      <c r="U794" s="43"/>
      <c r="V794" s="43"/>
      <c r="W794" s="43"/>
      <c r="X794" s="43"/>
      <c r="Y794" s="43"/>
      <c r="Z794" s="43"/>
    </row>
    <row r="795" spans="15:26" x14ac:dyDescent="0.25">
      <c r="O795" s="43"/>
      <c r="P795" s="43"/>
      <c r="Q795" s="43"/>
      <c r="R795" s="43"/>
      <c r="S795" s="43"/>
      <c r="T795" s="43"/>
      <c r="U795" s="43"/>
      <c r="V795" s="43"/>
      <c r="W795" s="43"/>
      <c r="X795" s="43"/>
      <c r="Y795" s="43"/>
      <c r="Z795" s="43"/>
    </row>
    <row r="796" spans="15:26" x14ac:dyDescent="0.25">
      <c r="O796" s="43"/>
      <c r="P796" s="43"/>
      <c r="Q796" s="43"/>
      <c r="R796" s="43"/>
      <c r="S796" s="43"/>
      <c r="T796" s="43"/>
      <c r="U796" s="43"/>
      <c r="V796" s="43"/>
      <c r="W796" s="43"/>
      <c r="X796" s="43"/>
      <c r="Y796" s="43"/>
      <c r="Z796" s="43"/>
    </row>
    <row r="797" spans="15:26" x14ac:dyDescent="0.25">
      <c r="O797" s="43"/>
      <c r="P797" s="43"/>
      <c r="Q797" s="43"/>
      <c r="R797" s="43"/>
      <c r="S797" s="43"/>
      <c r="T797" s="43"/>
      <c r="U797" s="43"/>
      <c r="V797" s="43"/>
      <c r="W797" s="43"/>
      <c r="X797" s="43"/>
      <c r="Y797" s="43"/>
      <c r="Z797" s="43"/>
    </row>
    <row r="798" spans="15:26" x14ac:dyDescent="0.25">
      <c r="O798" s="43"/>
      <c r="P798" s="43"/>
      <c r="Q798" s="43"/>
      <c r="R798" s="43"/>
      <c r="S798" s="43"/>
      <c r="T798" s="43"/>
      <c r="U798" s="43"/>
      <c r="V798" s="43"/>
      <c r="W798" s="43"/>
      <c r="X798" s="43"/>
      <c r="Y798" s="43"/>
      <c r="Z798" s="43"/>
    </row>
    <row r="799" spans="15:26" x14ac:dyDescent="0.25">
      <c r="O799" s="43"/>
      <c r="P799" s="43"/>
      <c r="Q799" s="43"/>
      <c r="R799" s="43"/>
      <c r="S799" s="43"/>
      <c r="T799" s="43"/>
      <c r="U799" s="43"/>
      <c r="V799" s="43"/>
      <c r="W799" s="43"/>
      <c r="X799" s="43"/>
      <c r="Y799" s="43"/>
      <c r="Z799" s="43"/>
    </row>
    <row r="800" spans="15:26" x14ac:dyDescent="0.25">
      <c r="O800" s="43"/>
      <c r="P800" s="43"/>
      <c r="Q800" s="43"/>
      <c r="R800" s="43"/>
      <c r="S800" s="43"/>
      <c r="T800" s="43"/>
      <c r="U800" s="43"/>
      <c r="V800" s="43"/>
      <c r="W800" s="43"/>
      <c r="X800" s="43"/>
      <c r="Y800" s="43"/>
      <c r="Z800" s="43"/>
    </row>
    <row r="801" spans="15:26" x14ac:dyDescent="0.25">
      <c r="O801" s="43"/>
      <c r="P801" s="43"/>
      <c r="Q801" s="43"/>
      <c r="R801" s="43"/>
      <c r="S801" s="43"/>
      <c r="T801" s="43"/>
      <c r="U801" s="43"/>
      <c r="V801" s="43"/>
      <c r="W801" s="43"/>
      <c r="X801" s="43"/>
      <c r="Y801" s="43"/>
      <c r="Z801" s="43"/>
    </row>
    <row r="802" spans="15:26" x14ac:dyDescent="0.25">
      <c r="O802" s="43"/>
      <c r="P802" s="43"/>
      <c r="Q802" s="43"/>
      <c r="R802" s="43"/>
      <c r="S802" s="43"/>
      <c r="T802" s="43"/>
      <c r="U802" s="43"/>
      <c r="V802" s="43"/>
      <c r="W802" s="43"/>
      <c r="X802" s="43"/>
      <c r="Y802" s="43"/>
      <c r="Z802" s="43"/>
    </row>
    <row r="803" spans="15:26" x14ac:dyDescent="0.25">
      <c r="O803" s="43"/>
      <c r="P803" s="43"/>
      <c r="Q803" s="43"/>
      <c r="R803" s="43"/>
      <c r="S803" s="43"/>
      <c r="T803" s="43"/>
      <c r="U803" s="43"/>
      <c r="V803" s="43"/>
      <c r="W803" s="43"/>
      <c r="X803" s="43"/>
      <c r="Y803" s="43"/>
      <c r="Z803" s="43"/>
    </row>
    <row r="804" spans="15:26" x14ac:dyDescent="0.25">
      <c r="O804" s="43"/>
      <c r="P804" s="43"/>
      <c r="Q804" s="43"/>
      <c r="R804" s="43"/>
      <c r="S804" s="43"/>
      <c r="T804" s="43"/>
      <c r="U804" s="43"/>
      <c r="V804" s="43"/>
      <c r="W804" s="43"/>
      <c r="X804" s="43"/>
      <c r="Y804" s="43"/>
      <c r="Z804" s="43"/>
    </row>
    <row r="805" spans="15:26" x14ac:dyDescent="0.25">
      <c r="O805" s="43"/>
      <c r="P805" s="43"/>
      <c r="Q805" s="43"/>
      <c r="R805" s="43"/>
      <c r="S805" s="43"/>
      <c r="T805" s="43"/>
      <c r="U805" s="43"/>
      <c r="V805" s="43"/>
      <c r="W805" s="43"/>
      <c r="X805" s="43"/>
      <c r="Y805" s="43"/>
      <c r="Z805" s="43"/>
    </row>
    <row r="806" spans="15:26" x14ac:dyDescent="0.25">
      <c r="O806" s="43"/>
      <c r="P806" s="43"/>
      <c r="Q806" s="43"/>
      <c r="R806" s="43"/>
      <c r="S806" s="43"/>
      <c r="T806" s="43"/>
      <c r="U806" s="43"/>
      <c r="V806" s="43"/>
      <c r="W806" s="43"/>
      <c r="X806" s="43"/>
      <c r="Y806" s="43"/>
      <c r="Z806" s="43"/>
    </row>
    <row r="807" spans="15:26" x14ac:dyDescent="0.25">
      <c r="O807" s="43"/>
      <c r="P807" s="43"/>
      <c r="Q807" s="43"/>
      <c r="R807" s="43"/>
      <c r="S807" s="43"/>
      <c r="T807" s="43"/>
      <c r="U807" s="43"/>
      <c r="V807" s="43"/>
      <c r="W807" s="43"/>
      <c r="X807" s="43"/>
      <c r="Y807" s="43"/>
      <c r="Z807" s="43"/>
    </row>
    <row r="808" spans="15:26" x14ac:dyDescent="0.25">
      <c r="O808" s="43"/>
      <c r="P808" s="43"/>
      <c r="Q808" s="43"/>
      <c r="R808" s="43"/>
      <c r="S808" s="43"/>
      <c r="T808" s="43"/>
      <c r="U808" s="43"/>
      <c r="V808" s="43"/>
      <c r="W808" s="43"/>
      <c r="X808" s="43"/>
      <c r="Y808" s="43"/>
      <c r="Z808" s="43"/>
    </row>
    <row r="809" spans="15:26" x14ac:dyDescent="0.25">
      <c r="O809" s="43"/>
      <c r="P809" s="43"/>
      <c r="Q809" s="43"/>
      <c r="R809" s="43"/>
      <c r="S809" s="43"/>
      <c r="T809" s="43"/>
      <c r="U809" s="43"/>
      <c r="V809" s="43"/>
      <c r="W809" s="43"/>
      <c r="X809" s="43"/>
      <c r="Y809" s="43"/>
      <c r="Z809" s="43"/>
    </row>
    <row r="810" spans="15:26" x14ac:dyDescent="0.25">
      <c r="O810" s="43"/>
      <c r="P810" s="43"/>
      <c r="Q810" s="43"/>
      <c r="R810" s="43"/>
      <c r="S810" s="43"/>
      <c r="T810" s="43"/>
      <c r="U810" s="43"/>
      <c r="V810" s="43"/>
      <c r="W810" s="43"/>
      <c r="X810" s="43"/>
      <c r="Y810" s="43"/>
      <c r="Z810" s="43"/>
    </row>
    <row r="811" spans="15:26" x14ac:dyDescent="0.25">
      <c r="O811" s="43"/>
      <c r="P811" s="43"/>
      <c r="Q811" s="43"/>
      <c r="R811" s="43"/>
      <c r="S811" s="43"/>
      <c r="T811" s="43"/>
      <c r="U811" s="43"/>
      <c r="V811" s="43"/>
      <c r="W811" s="43"/>
      <c r="X811" s="43"/>
      <c r="Y811" s="43"/>
      <c r="Z811" s="43"/>
    </row>
    <row r="812" spans="15:26" x14ac:dyDescent="0.25">
      <c r="O812" s="43"/>
      <c r="P812" s="43"/>
      <c r="Q812" s="43"/>
      <c r="R812" s="43"/>
      <c r="S812" s="43"/>
      <c r="T812" s="43"/>
      <c r="U812" s="43"/>
      <c r="V812" s="43"/>
      <c r="W812" s="43"/>
      <c r="X812" s="43"/>
      <c r="Y812" s="43"/>
      <c r="Z812" s="43"/>
    </row>
    <row r="813" spans="15:26" x14ac:dyDescent="0.25">
      <c r="O813" s="43"/>
      <c r="P813" s="43"/>
      <c r="Q813" s="43"/>
      <c r="R813" s="43"/>
      <c r="S813" s="43"/>
      <c r="T813" s="43"/>
      <c r="U813" s="43"/>
      <c r="V813" s="43"/>
      <c r="W813" s="43"/>
      <c r="X813" s="43"/>
      <c r="Y813" s="43"/>
      <c r="Z813" s="43"/>
    </row>
    <row r="814" spans="15:26" x14ac:dyDescent="0.25">
      <c r="O814" s="43"/>
      <c r="P814" s="43"/>
      <c r="Q814" s="43"/>
      <c r="R814" s="43"/>
      <c r="S814" s="43"/>
      <c r="T814" s="43"/>
      <c r="U814" s="43"/>
      <c r="V814" s="43"/>
      <c r="W814" s="43"/>
      <c r="X814" s="43"/>
      <c r="Y814" s="43"/>
      <c r="Z814" s="43"/>
    </row>
    <row r="815" spans="15:26" x14ac:dyDescent="0.25">
      <c r="O815" s="43"/>
      <c r="P815" s="43"/>
      <c r="Q815" s="43"/>
      <c r="R815" s="43"/>
      <c r="S815" s="43"/>
      <c r="T815" s="43"/>
      <c r="U815" s="43"/>
      <c r="V815" s="43"/>
      <c r="W815" s="43"/>
      <c r="X815" s="43"/>
      <c r="Y815" s="43"/>
      <c r="Z815" s="43"/>
    </row>
    <row r="816" spans="15:26" x14ac:dyDescent="0.25">
      <c r="O816" s="43"/>
      <c r="P816" s="43"/>
      <c r="Q816" s="43"/>
      <c r="R816" s="43"/>
      <c r="S816" s="43"/>
      <c r="T816" s="43"/>
      <c r="U816" s="43"/>
      <c r="V816" s="43"/>
      <c r="W816" s="43"/>
      <c r="X816" s="43"/>
      <c r="Y816" s="43"/>
      <c r="Z816" s="43"/>
    </row>
    <row r="817" spans="15:26" x14ac:dyDescent="0.25">
      <c r="O817" s="43"/>
      <c r="P817" s="43"/>
      <c r="Q817" s="43"/>
      <c r="R817" s="43"/>
      <c r="S817" s="43"/>
      <c r="T817" s="43"/>
      <c r="U817" s="43"/>
      <c r="V817" s="43"/>
      <c r="W817" s="43"/>
      <c r="X817" s="43"/>
      <c r="Y817" s="43"/>
      <c r="Z817" s="43"/>
    </row>
    <row r="818" spans="15:26" x14ac:dyDescent="0.25">
      <c r="O818" s="43"/>
      <c r="P818" s="43"/>
      <c r="Q818" s="43"/>
      <c r="R818" s="43"/>
      <c r="S818" s="43"/>
      <c r="T818" s="43"/>
      <c r="U818" s="43"/>
      <c r="V818" s="43"/>
      <c r="W818" s="43"/>
      <c r="X818" s="43"/>
      <c r="Y818" s="43"/>
      <c r="Z818" s="43"/>
    </row>
    <row r="819" spans="15:26" x14ac:dyDescent="0.25">
      <c r="O819" s="43"/>
      <c r="P819" s="43"/>
      <c r="Q819" s="43"/>
      <c r="R819" s="43"/>
      <c r="S819" s="43"/>
      <c r="T819" s="43"/>
      <c r="U819" s="43"/>
      <c r="V819" s="43"/>
      <c r="W819" s="43"/>
      <c r="X819" s="43"/>
      <c r="Y819" s="43"/>
      <c r="Z819" s="43"/>
    </row>
    <row r="820" spans="15:26" x14ac:dyDescent="0.25">
      <c r="O820" s="43"/>
      <c r="P820" s="43"/>
      <c r="Q820" s="43"/>
      <c r="R820" s="43"/>
      <c r="S820" s="43"/>
      <c r="T820" s="43"/>
      <c r="U820" s="43"/>
      <c r="V820" s="43"/>
      <c r="W820" s="43"/>
      <c r="X820" s="43"/>
      <c r="Y820" s="43"/>
      <c r="Z820" s="43"/>
    </row>
    <row r="821" spans="15:26" x14ac:dyDescent="0.25">
      <c r="O821" s="43"/>
      <c r="P821" s="43"/>
      <c r="Q821" s="43"/>
      <c r="R821" s="43"/>
      <c r="S821" s="43"/>
      <c r="T821" s="43"/>
      <c r="U821" s="43"/>
      <c r="V821" s="43"/>
      <c r="W821" s="43"/>
      <c r="X821" s="43"/>
      <c r="Y821" s="43"/>
      <c r="Z821" s="43"/>
    </row>
    <row r="822" spans="15:26" x14ac:dyDescent="0.25">
      <c r="O822" s="43"/>
      <c r="P822" s="43"/>
      <c r="Q822" s="43"/>
      <c r="R822" s="43"/>
      <c r="S822" s="43"/>
      <c r="T822" s="43"/>
      <c r="U822" s="43"/>
      <c r="V822" s="43"/>
      <c r="W822" s="43"/>
      <c r="X822" s="43"/>
      <c r="Y822" s="43"/>
      <c r="Z822" s="43"/>
    </row>
    <row r="823" spans="15:26" x14ac:dyDescent="0.25">
      <c r="O823" s="43"/>
      <c r="P823" s="43"/>
      <c r="Q823" s="43"/>
      <c r="R823" s="43"/>
      <c r="S823" s="43"/>
      <c r="T823" s="43"/>
      <c r="U823" s="43"/>
      <c r="V823" s="43"/>
      <c r="W823" s="43"/>
      <c r="X823" s="43"/>
      <c r="Y823" s="43"/>
      <c r="Z823" s="43"/>
    </row>
    <row r="824" spans="15:26" x14ac:dyDescent="0.25">
      <c r="O824" s="43"/>
      <c r="P824" s="43"/>
      <c r="Q824" s="43"/>
      <c r="R824" s="43"/>
      <c r="S824" s="43"/>
      <c r="T824" s="43"/>
      <c r="U824" s="43"/>
      <c r="V824" s="43"/>
      <c r="W824" s="43"/>
      <c r="X824" s="43"/>
      <c r="Y824" s="43"/>
      <c r="Z824" s="43"/>
    </row>
    <row r="825" spans="15:26" x14ac:dyDescent="0.25">
      <c r="O825" s="43"/>
      <c r="P825" s="43"/>
      <c r="Q825" s="43"/>
      <c r="R825" s="43"/>
      <c r="S825" s="43"/>
      <c r="T825" s="43"/>
      <c r="U825" s="43"/>
      <c r="V825" s="43"/>
      <c r="W825" s="43"/>
      <c r="X825" s="43"/>
      <c r="Y825" s="43"/>
      <c r="Z825" s="43"/>
    </row>
    <row r="826" spans="15:26" x14ac:dyDescent="0.25">
      <c r="O826" s="43"/>
      <c r="P826" s="43"/>
      <c r="Q826" s="43"/>
      <c r="R826" s="43"/>
      <c r="S826" s="43"/>
      <c r="T826" s="43"/>
      <c r="U826" s="43"/>
      <c r="V826" s="43"/>
      <c r="W826" s="43"/>
      <c r="X826" s="43"/>
      <c r="Y826" s="43"/>
      <c r="Z826" s="43"/>
    </row>
    <row r="827" spans="15:26" x14ac:dyDescent="0.25">
      <c r="O827" s="43"/>
      <c r="P827" s="43"/>
      <c r="Q827" s="43"/>
      <c r="R827" s="43"/>
      <c r="S827" s="43"/>
      <c r="T827" s="43"/>
      <c r="U827" s="43"/>
      <c r="V827" s="43"/>
      <c r="W827" s="43"/>
      <c r="X827" s="43"/>
      <c r="Y827" s="43"/>
      <c r="Z827" s="43"/>
    </row>
    <row r="828" spans="15:26" x14ac:dyDescent="0.25">
      <c r="O828" s="43"/>
      <c r="P828" s="43"/>
      <c r="Q828" s="43"/>
      <c r="R828" s="43"/>
      <c r="S828" s="43"/>
      <c r="T828" s="43"/>
      <c r="U828" s="43"/>
      <c r="V828" s="43"/>
      <c r="W828" s="43"/>
      <c r="X828" s="43"/>
      <c r="Y828" s="43"/>
      <c r="Z828" s="43"/>
    </row>
    <row r="829" spans="15:26" x14ac:dyDescent="0.25">
      <c r="O829" s="43"/>
      <c r="P829" s="43"/>
      <c r="Q829" s="43"/>
      <c r="R829" s="43"/>
      <c r="S829" s="43"/>
      <c r="T829" s="43"/>
      <c r="U829" s="43"/>
      <c r="V829" s="43"/>
      <c r="W829" s="43"/>
      <c r="X829" s="43"/>
      <c r="Y829" s="43"/>
      <c r="Z829" s="43"/>
    </row>
    <row r="830" spans="15:26" x14ac:dyDescent="0.25">
      <c r="O830" s="43"/>
      <c r="P830" s="43"/>
      <c r="Q830" s="43"/>
      <c r="R830" s="43"/>
      <c r="S830" s="43"/>
      <c r="T830" s="43"/>
      <c r="U830" s="43"/>
      <c r="V830" s="43"/>
      <c r="W830" s="43"/>
      <c r="X830" s="43"/>
      <c r="Y830" s="43"/>
      <c r="Z830" s="43"/>
    </row>
    <row r="831" spans="15:26" x14ac:dyDescent="0.25">
      <c r="O831" s="43"/>
      <c r="P831" s="43"/>
      <c r="Q831" s="43"/>
      <c r="R831" s="43"/>
      <c r="S831" s="43"/>
      <c r="T831" s="43"/>
      <c r="U831" s="43"/>
      <c r="V831" s="43"/>
      <c r="W831" s="43"/>
      <c r="X831" s="43"/>
      <c r="Y831" s="43"/>
      <c r="Z831" s="43"/>
    </row>
    <row r="832" spans="15:26" x14ac:dyDescent="0.25">
      <c r="O832" s="43"/>
      <c r="P832" s="43"/>
      <c r="Q832" s="43"/>
      <c r="R832" s="43"/>
      <c r="S832" s="43"/>
      <c r="T832" s="43"/>
      <c r="U832" s="43"/>
      <c r="V832" s="43"/>
      <c r="W832" s="43"/>
      <c r="X832" s="43"/>
      <c r="Y832" s="43"/>
      <c r="Z832" s="43"/>
    </row>
    <row r="833" spans="15:26" x14ac:dyDescent="0.25">
      <c r="O833" s="43"/>
      <c r="P833" s="43"/>
      <c r="Q833" s="43"/>
      <c r="R833" s="43"/>
      <c r="S833" s="43"/>
      <c r="T833" s="43"/>
      <c r="U833" s="43"/>
      <c r="V833" s="43"/>
      <c r="W833" s="43"/>
      <c r="X833" s="43"/>
      <c r="Y833" s="43"/>
      <c r="Z833" s="43"/>
    </row>
    <row r="834" spans="15:26" x14ac:dyDescent="0.25">
      <c r="O834" s="43"/>
      <c r="P834" s="43"/>
      <c r="Q834" s="43"/>
      <c r="R834" s="43"/>
      <c r="S834" s="43"/>
      <c r="T834" s="43"/>
      <c r="U834" s="43"/>
      <c r="V834" s="43"/>
      <c r="W834" s="43"/>
      <c r="X834" s="43"/>
      <c r="Y834" s="43"/>
      <c r="Z834" s="43"/>
    </row>
    <row r="835" spans="15:26" x14ac:dyDescent="0.25">
      <c r="O835" s="43"/>
      <c r="P835" s="43"/>
      <c r="Q835" s="43"/>
      <c r="R835" s="43"/>
      <c r="S835" s="43"/>
      <c r="T835" s="43"/>
      <c r="U835" s="43"/>
      <c r="V835" s="43"/>
      <c r="W835" s="43"/>
      <c r="X835" s="43"/>
      <c r="Y835" s="43"/>
      <c r="Z835" s="43"/>
    </row>
    <row r="836" spans="15:26" x14ac:dyDescent="0.25">
      <c r="O836" s="43"/>
      <c r="P836" s="43"/>
      <c r="Q836" s="43"/>
      <c r="R836" s="43"/>
      <c r="S836" s="43"/>
      <c r="T836" s="43"/>
      <c r="U836" s="43"/>
      <c r="V836" s="43"/>
      <c r="W836" s="43"/>
      <c r="X836" s="43"/>
      <c r="Y836" s="43"/>
      <c r="Z836" s="43"/>
    </row>
    <row r="837" spans="15:26" x14ac:dyDescent="0.25">
      <c r="O837" s="43"/>
      <c r="P837" s="43"/>
      <c r="Q837" s="43"/>
      <c r="R837" s="43"/>
      <c r="S837" s="43"/>
      <c r="T837" s="43"/>
      <c r="U837" s="43"/>
      <c r="V837" s="43"/>
      <c r="W837" s="43"/>
      <c r="X837" s="43"/>
      <c r="Y837" s="43"/>
      <c r="Z837" s="43"/>
    </row>
    <row r="838" spans="15:26" x14ac:dyDescent="0.25">
      <c r="O838" s="43"/>
      <c r="P838" s="43"/>
      <c r="Q838" s="43"/>
      <c r="R838" s="43"/>
      <c r="S838" s="43"/>
      <c r="T838" s="43"/>
      <c r="U838" s="43"/>
      <c r="V838" s="43"/>
      <c r="W838" s="43"/>
      <c r="X838" s="43"/>
      <c r="Y838" s="43"/>
      <c r="Z838" s="43"/>
    </row>
    <row r="839" spans="15:26" x14ac:dyDescent="0.25">
      <c r="O839" s="43"/>
      <c r="P839" s="43"/>
      <c r="Q839" s="43"/>
      <c r="R839" s="43"/>
      <c r="S839" s="43"/>
      <c r="T839" s="43"/>
      <c r="U839" s="43"/>
      <c r="V839" s="43"/>
      <c r="W839" s="43"/>
      <c r="X839" s="43"/>
      <c r="Y839" s="43"/>
      <c r="Z839" s="43"/>
    </row>
    <row r="840" spans="15:26" x14ac:dyDescent="0.25">
      <c r="O840" s="43"/>
      <c r="P840" s="43"/>
      <c r="Q840" s="43"/>
      <c r="R840" s="43"/>
      <c r="S840" s="43"/>
      <c r="T840" s="43"/>
      <c r="U840" s="43"/>
      <c r="V840" s="43"/>
      <c r="W840" s="43"/>
      <c r="X840" s="43"/>
      <c r="Y840" s="43"/>
      <c r="Z840" s="43"/>
    </row>
    <row r="841" spans="15:26" x14ac:dyDescent="0.25">
      <c r="O841" s="43"/>
      <c r="P841" s="43"/>
      <c r="Q841" s="43"/>
      <c r="R841" s="43"/>
      <c r="S841" s="43"/>
      <c r="T841" s="43"/>
      <c r="U841" s="43"/>
      <c r="V841" s="43"/>
      <c r="W841" s="43"/>
      <c r="X841" s="43"/>
      <c r="Y841" s="43"/>
      <c r="Z841" s="43"/>
    </row>
    <row r="842" spans="15:26" x14ac:dyDescent="0.25">
      <c r="O842" s="43"/>
      <c r="P842" s="43"/>
      <c r="Q842" s="43"/>
      <c r="R842" s="43"/>
      <c r="S842" s="43"/>
      <c r="T842" s="43"/>
      <c r="U842" s="43"/>
      <c r="V842" s="43"/>
      <c r="W842" s="43"/>
      <c r="X842" s="43"/>
      <c r="Y842" s="43"/>
      <c r="Z842" s="43"/>
    </row>
    <row r="843" spans="15:26" x14ac:dyDescent="0.25">
      <c r="O843" s="43"/>
      <c r="P843" s="43"/>
      <c r="Q843" s="43"/>
      <c r="R843" s="43"/>
      <c r="S843" s="43"/>
      <c r="T843" s="43"/>
      <c r="U843" s="43"/>
      <c r="V843" s="43"/>
      <c r="W843" s="43"/>
      <c r="X843" s="43"/>
      <c r="Y843" s="43"/>
      <c r="Z843" s="43"/>
    </row>
    <row r="844" spans="15:26" x14ac:dyDescent="0.25">
      <c r="O844" s="43"/>
      <c r="P844" s="43"/>
      <c r="Q844" s="43"/>
      <c r="R844" s="43"/>
      <c r="S844" s="43"/>
      <c r="T844" s="43"/>
      <c r="U844" s="43"/>
      <c r="V844" s="43"/>
      <c r="W844" s="43"/>
      <c r="X844" s="43"/>
      <c r="Y844" s="43"/>
      <c r="Z844" s="43"/>
    </row>
    <row r="845" spans="15:26" x14ac:dyDescent="0.25">
      <c r="O845" s="43"/>
      <c r="P845" s="43"/>
      <c r="Q845" s="43"/>
      <c r="R845" s="43"/>
      <c r="S845" s="43"/>
      <c r="T845" s="43"/>
      <c r="U845" s="43"/>
      <c r="V845" s="43"/>
      <c r="W845" s="43"/>
      <c r="X845" s="43"/>
      <c r="Y845" s="43"/>
      <c r="Z845" s="43"/>
    </row>
    <row r="846" spans="15:26" x14ac:dyDescent="0.25">
      <c r="O846" s="43"/>
      <c r="P846" s="43"/>
      <c r="Q846" s="43"/>
      <c r="R846" s="43"/>
      <c r="S846" s="43"/>
      <c r="T846" s="43"/>
      <c r="U846" s="43"/>
      <c r="V846" s="43"/>
      <c r="W846" s="43"/>
      <c r="X846" s="43"/>
      <c r="Y846" s="43"/>
      <c r="Z846" s="43"/>
    </row>
    <row r="847" spans="15:26" x14ac:dyDescent="0.25">
      <c r="O847" s="43"/>
      <c r="P847" s="43"/>
      <c r="Q847" s="43"/>
      <c r="R847" s="43"/>
      <c r="S847" s="43"/>
      <c r="T847" s="43"/>
      <c r="U847" s="43"/>
      <c r="V847" s="43"/>
      <c r="W847" s="43"/>
      <c r="X847" s="43"/>
      <c r="Y847" s="43"/>
      <c r="Z847" s="43"/>
    </row>
    <row r="848" spans="15:26" x14ac:dyDescent="0.25">
      <c r="O848" s="43"/>
      <c r="P848" s="43"/>
      <c r="Q848" s="43"/>
      <c r="R848" s="43"/>
      <c r="S848" s="43"/>
      <c r="T848" s="43"/>
      <c r="U848" s="43"/>
      <c r="V848" s="43"/>
      <c r="W848" s="43"/>
      <c r="X848" s="43"/>
      <c r="Y848" s="43"/>
      <c r="Z848" s="43"/>
    </row>
    <row r="849" spans="15:26" x14ac:dyDescent="0.25">
      <c r="O849" s="43"/>
      <c r="P849" s="43"/>
      <c r="Q849" s="43"/>
      <c r="R849" s="43"/>
      <c r="S849" s="43"/>
      <c r="T849" s="43"/>
      <c r="U849" s="43"/>
      <c r="V849" s="43"/>
      <c r="W849" s="43"/>
      <c r="X849" s="43"/>
      <c r="Y849" s="43"/>
      <c r="Z849" s="43"/>
    </row>
    <row r="850" spans="15:26" x14ac:dyDescent="0.25">
      <c r="O850" s="43"/>
      <c r="P850" s="43"/>
      <c r="Q850" s="43"/>
      <c r="R850" s="43"/>
      <c r="S850" s="43"/>
      <c r="T850" s="43"/>
      <c r="U850" s="43"/>
      <c r="V850" s="43"/>
      <c r="W850" s="43"/>
      <c r="X850" s="43"/>
      <c r="Y850" s="43"/>
      <c r="Z850" s="43"/>
    </row>
    <row r="851" spans="15:26" x14ac:dyDescent="0.25">
      <c r="O851" s="43"/>
      <c r="P851" s="43"/>
      <c r="Q851" s="43"/>
      <c r="R851" s="43"/>
      <c r="S851" s="43"/>
      <c r="T851" s="43"/>
      <c r="U851" s="43"/>
      <c r="V851" s="43"/>
      <c r="W851" s="43"/>
      <c r="X851" s="43"/>
      <c r="Y851" s="43"/>
      <c r="Z851" s="43"/>
    </row>
    <row r="852" spans="15:26" x14ac:dyDescent="0.25">
      <c r="O852" s="43"/>
      <c r="P852" s="43"/>
      <c r="Q852" s="43"/>
      <c r="R852" s="43"/>
      <c r="S852" s="43"/>
      <c r="T852" s="43"/>
      <c r="U852" s="43"/>
      <c r="V852" s="43"/>
      <c r="W852" s="43"/>
      <c r="X852" s="43"/>
      <c r="Y852" s="43"/>
      <c r="Z852" s="43"/>
    </row>
    <row r="853" spans="15:26" x14ac:dyDescent="0.25">
      <c r="O853" s="43"/>
      <c r="P853" s="43"/>
      <c r="Q853" s="43"/>
      <c r="R853" s="43"/>
      <c r="S853" s="43"/>
      <c r="T853" s="43"/>
      <c r="U853" s="43"/>
      <c r="V853" s="43"/>
      <c r="W853" s="43"/>
      <c r="X853" s="43"/>
      <c r="Y853" s="43"/>
      <c r="Z853" s="43"/>
    </row>
    <row r="854" spans="15:26" x14ac:dyDescent="0.25">
      <c r="O854" s="43"/>
      <c r="P854" s="43"/>
      <c r="Q854" s="43"/>
      <c r="R854" s="43"/>
      <c r="S854" s="43"/>
      <c r="T854" s="43"/>
      <c r="U854" s="43"/>
      <c r="V854" s="43"/>
      <c r="W854" s="43"/>
      <c r="X854" s="43"/>
      <c r="Y854" s="43"/>
      <c r="Z854" s="43"/>
    </row>
    <row r="855" spans="15:26" x14ac:dyDescent="0.25">
      <c r="O855" s="43"/>
      <c r="P855" s="43"/>
      <c r="Q855" s="43"/>
      <c r="R855" s="43"/>
      <c r="S855" s="43"/>
      <c r="T855" s="43"/>
      <c r="U855" s="43"/>
      <c r="V855" s="43"/>
      <c r="W855" s="43"/>
      <c r="X855" s="43"/>
      <c r="Y855" s="43"/>
      <c r="Z855" s="43"/>
    </row>
    <row r="856" spans="15:26" x14ac:dyDescent="0.25">
      <c r="O856" s="43"/>
      <c r="P856" s="43"/>
      <c r="Q856" s="43"/>
      <c r="R856" s="43"/>
      <c r="S856" s="43"/>
      <c r="T856" s="43"/>
      <c r="U856" s="43"/>
      <c r="V856" s="43"/>
      <c r="W856" s="43"/>
      <c r="X856" s="43"/>
      <c r="Y856" s="43"/>
      <c r="Z856" s="43"/>
    </row>
    <row r="857" spans="15:26" x14ac:dyDescent="0.25">
      <c r="O857" s="43"/>
      <c r="P857" s="43"/>
      <c r="Q857" s="43"/>
      <c r="R857" s="43"/>
      <c r="S857" s="43"/>
      <c r="T857" s="43"/>
      <c r="U857" s="43"/>
      <c r="V857" s="43"/>
      <c r="W857" s="43"/>
      <c r="X857" s="43"/>
      <c r="Y857" s="43"/>
      <c r="Z857" s="43"/>
    </row>
    <row r="858" spans="15:26" x14ac:dyDescent="0.25">
      <c r="O858" s="43"/>
      <c r="P858" s="43"/>
      <c r="Q858" s="43"/>
      <c r="R858" s="43"/>
      <c r="S858" s="43"/>
      <c r="T858" s="43"/>
      <c r="U858" s="43"/>
      <c r="V858" s="43"/>
      <c r="W858" s="43"/>
      <c r="X858" s="43"/>
      <c r="Y858" s="43"/>
      <c r="Z858" s="43"/>
    </row>
    <row r="859" spans="15:26" x14ac:dyDescent="0.25">
      <c r="O859" s="43"/>
      <c r="P859" s="43"/>
      <c r="Q859" s="43"/>
      <c r="R859" s="43"/>
      <c r="S859" s="43"/>
      <c r="T859" s="43"/>
      <c r="U859" s="43"/>
      <c r="V859" s="43"/>
      <c r="W859" s="43"/>
      <c r="X859" s="43"/>
      <c r="Y859" s="43"/>
      <c r="Z859" s="43"/>
    </row>
    <row r="860" spans="15:26" x14ac:dyDescent="0.25">
      <c r="O860" s="43"/>
      <c r="P860" s="43"/>
      <c r="Q860" s="43"/>
      <c r="R860" s="43"/>
      <c r="S860" s="43"/>
      <c r="T860" s="43"/>
      <c r="U860" s="43"/>
      <c r="V860" s="43"/>
      <c r="W860" s="43"/>
      <c r="X860" s="43"/>
      <c r="Y860" s="43"/>
      <c r="Z860" s="43"/>
    </row>
    <row r="861" spans="15:26" x14ac:dyDescent="0.25">
      <c r="O861" s="43"/>
      <c r="P861" s="43"/>
      <c r="Q861" s="43"/>
      <c r="R861" s="43"/>
      <c r="S861" s="43"/>
      <c r="T861" s="43"/>
      <c r="U861" s="43"/>
      <c r="V861" s="43"/>
      <c r="W861" s="43"/>
      <c r="X861" s="43"/>
      <c r="Y861" s="43"/>
      <c r="Z861" s="43"/>
    </row>
    <row r="862" spans="15:26" x14ac:dyDescent="0.25">
      <c r="O862" s="43"/>
      <c r="P862" s="43"/>
      <c r="Q862" s="43"/>
      <c r="R862" s="43"/>
      <c r="S862" s="43"/>
      <c r="T862" s="43"/>
      <c r="U862" s="43"/>
      <c r="V862" s="43"/>
      <c r="W862" s="43"/>
      <c r="X862" s="43"/>
      <c r="Y862" s="43"/>
      <c r="Z862" s="43"/>
    </row>
    <row r="863" spans="15:26" x14ac:dyDescent="0.25">
      <c r="O863" s="43"/>
      <c r="P863" s="43"/>
      <c r="Q863" s="43"/>
      <c r="R863" s="43"/>
      <c r="S863" s="43"/>
      <c r="T863" s="43"/>
      <c r="U863" s="43"/>
      <c r="V863" s="43"/>
      <c r="W863" s="43"/>
      <c r="X863" s="43"/>
      <c r="Y863" s="43"/>
      <c r="Z863" s="43"/>
    </row>
    <row r="864" spans="15:26" x14ac:dyDescent="0.25">
      <c r="O864" s="43"/>
      <c r="P864" s="43"/>
      <c r="Q864" s="43"/>
      <c r="R864" s="43"/>
      <c r="S864" s="43"/>
      <c r="T864" s="43"/>
      <c r="U864" s="43"/>
      <c r="V864" s="43"/>
      <c r="W864" s="43"/>
      <c r="X864" s="43"/>
      <c r="Y864" s="43"/>
      <c r="Z864" s="43"/>
    </row>
    <row r="865" spans="15:26" x14ac:dyDescent="0.25">
      <c r="O865" s="43"/>
      <c r="P865" s="43"/>
      <c r="Q865" s="43"/>
      <c r="R865" s="43"/>
      <c r="S865" s="43"/>
      <c r="T865" s="43"/>
      <c r="U865" s="43"/>
      <c r="V865" s="43"/>
      <c r="W865" s="43"/>
      <c r="X865" s="43"/>
      <c r="Y865" s="43"/>
      <c r="Z865" s="43"/>
    </row>
    <row r="866" spans="15:26" x14ac:dyDescent="0.25">
      <c r="O866" s="43"/>
      <c r="P866" s="43"/>
      <c r="Q866" s="43"/>
      <c r="R866" s="43"/>
      <c r="S866" s="43"/>
      <c r="T866" s="43"/>
      <c r="U866" s="43"/>
      <c r="V866" s="43"/>
      <c r="W866" s="43"/>
      <c r="X866" s="43"/>
      <c r="Y866" s="43"/>
      <c r="Z866" s="43"/>
    </row>
    <row r="867" spans="15:26" x14ac:dyDescent="0.25">
      <c r="O867" s="43"/>
      <c r="P867" s="43"/>
      <c r="Q867" s="43"/>
      <c r="R867" s="43"/>
      <c r="S867" s="43"/>
      <c r="T867" s="43"/>
      <c r="U867" s="43"/>
      <c r="V867" s="43"/>
      <c r="W867" s="43"/>
      <c r="X867" s="43"/>
      <c r="Y867" s="43"/>
      <c r="Z867" s="43"/>
    </row>
    <row r="868" spans="15:26" x14ac:dyDescent="0.25">
      <c r="O868" s="43"/>
      <c r="P868" s="43"/>
      <c r="Q868" s="43"/>
      <c r="R868" s="43"/>
      <c r="S868" s="43"/>
      <c r="T868" s="43"/>
      <c r="U868" s="43"/>
      <c r="V868" s="43"/>
      <c r="W868" s="43"/>
      <c r="X868" s="43"/>
      <c r="Y868" s="43"/>
      <c r="Z868" s="43"/>
    </row>
    <row r="869" spans="15:26" x14ac:dyDescent="0.25">
      <c r="O869" s="43"/>
      <c r="P869" s="43"/>
      <c r="Q869" s="43"/>
      <c r="R869" s="43"/>
      <c r="S869" s="43"/>
      <c r="T869" s="43"/>
      <c r="U869" s="43"/>
      <c r="V869" s="43"/>
      <c r="W869" s="43"/>
      <c r="X869" s="43"/>
      <c r="Y869" s="43"/>
      <c r="Z869" s="43"/>
    </row>
    <row r="870" spans="15:26" x14ac:dyDescent="0.25">
      <c r="O870" s="43"/>
      <c r="P870" s="43"/>
      <c r="Q870" s="43"/>
      <c r="R870" s="43"/>
      <c r="S870" s="43"/>
      <c r="T870" s="43"/>
      <c r="U870" s="43"/>
      <c r="V870" s="43"/>
      <c r="W870" s="43"/>
      <c r="X870" s="43"/>
      <c r="Y870" s="43"/>
      <c r="Z870" s="43"/>
    </row>
    <row r="871" spans="15:26" x14ac:dyDescent="0.25">
      <c r="O871" s="43"/>
      <c r="P871" s="43"/>
      <c r="Q871" s="43"/>
      <c r="R871" s="43"/>
      <c r="S871" s="43"/>
      <c r="T871" s="43"/>
      <c r="U871" s="43"/>
      <c r="V871" s="43"/>
      <c r="W871" s="43"/>
      <c r="X871" s="43"/>
      <c r="Y871" s="43"/>
      <c r="Z871" s="43"/>
    </row>
    <row r="872" spans="15:26" x14ac:dyDescent="0.25">
      <c r="O872" s="43"/>
      <c r="P872" s="43"/>
      <c r="Q872" s="43"/>
      <c r="R872" s="43"/>
      <c r="S872" s="43"/>
      <c r="T872" s="43"/>
      <c r="U872" s="43"/>
      <c r="V872" s="43"/>
      <c r="W872" s="43"/>
      <c r="X872" s="43"/>
      <c r="Y872" s="43"/>
      <c r="Z872" s="43"/>
    </row>
    <row r="873" spans="15:26" x14ac:dyDescent="0.25">
      <c r="O873" s="43"/>
      <c r="P873" s="43"/>
      <c r="Q873" s="43"/>
      <c r="R873" s="43"/>
      <c r="S873" s="43"/>
      <c r="T873" s="43"/>
      <c r="U873" s="43"/>
      <c r="V873" s="43"/>
      <c r="W873" s="43"/>
      <c r="X873" s="43"/>
      <c r="Y873" s="43"/>
      <c r="Z873" s="43"/>
    </row>
    <row r="874" spans="15:26" x14ac:dyDescent="0.25">
      <c r="O874" s="43"/>
      <c r="P874" s="43"/>
      <c r="Q874" s="43"/>
      <c r="R874" s="43"/>
      <c r="S874" s="43"/>
      <c r="T874" s="43"/>
      <c r="U874" s="43"/>
      <c r="V874" s="43"/>
      <c r="W874" s="43"/>
      <c r="X874" s="43"/>
      <c r="Y874" s="43"/>
      <c r="Z874" s="43"/>
    </row>
    <row r="875" spans="15:26" x14ac:dyDescent="0.25">
      <c r="O875" s="43"/>
      <c r="P875" s="43"/>
      <c r="Q875" s="43"/>
      <c r="R875" s="43"/>
      <c r="S875" s="43"/>
      <c r="T875" s="43"/>
      <c r="U875" s="43"/>
      <c r="V875" s="43"/>
      <c r="W875" s="43"/>
      <c r="X875" s="43"/>
      <c r="Y875" s="43"/>
      <c r="Z875" s="43"/>
    </row>
    <row r="876" spans="15:26" x14ac:dyDescent="0.25">
      <c r="O876" s="43"/>
      <c r="P876" s="43"/>
      <c r="Q876" s="43"/>
      <c r="R876" s="43"/>
      <c r="S876" s="43"/>
      <c r="T876" s="43"/>
      <c r="U876" s="43"/>
      <c r="V876" s="43"/>
      <c r="W876" s="43"/>
      <c r="X876" s="43"/>
      <c r="Y876" s="43"/>
      <c r="Z876" s="43"/>
    </row>
    <row r="877" spans="15:26" x14ac:dyDescent="0.25">
      <c r="O877" s="43"/>
      <c r="P877" s="43"/>
      <c r="Q877" s="43"/>
      <c r="R877" s="43"/>
      <c r="S877" s="43"/>
      <c r="T877" s="43"/>
      <c r="U877" s="43"/>
      <c r="V877" s="43"/>
      <c r="W877" s="43"/>
      <c r="X877" s="43"/>
      <c r="Y877" s="43"/>
      <c r="Z877" s="43"/>
    </row>
    <row r="878" spans="15:26" x14ac:dyDescent="0.25">
      <c r="O878" s="43"/>
      <c r="P878" s="43"/>
      <c r="Q878" s="43"/>
      <c r="R878" s="43"/>
      <c r="S878" s="43"/>
      <c r="T878" s="43"/>
      <c r="U878" s="43"/>
      <c r="V878" s="43"/>
      <c r="W878" s="43"/>
      <c r="X878" s="43"/>
      <c r="Y878" s="43"/>
      <c r="Z878" s="43"/>
    </row>
    <row r="879" spans="15:26" x14ac:dyDescent="0.25">
      <c r="O879" s="43"/>
      <c r="P879" s="43"/>
      <c r="Q879" s="43"/>
      <c r="R879" s="43"/>
      <c r="S879" s="43"/>
      <c r="T879" s="43"/>
      <c r="U879" s="43"/>
      <c r="V879" s="43"/>
      <c r="W879" s="43"/>
      <c r="X879" s="43"/>
      <c r="Y879" s="43"/>
      <c r="Z879" s="43"/>
    </row>
    <row r="880" spans="15:26" x14ac:dyDescent="0.25">
      <c r="O880" s="43"/>
      <c r="P880" s="43"/>
      <c r="Q880" s="43"/>
      <c r="R880" s="43"/>
      <c r="S880" s="43"/>
      <c r="T880" s="43"/>
      <c r="U880" s="43"/>
      <c r="V880" s="43"/>
      <c r="W880" s="43"/>
      <c r="X880" s="43"/>
      <c r="Y880" s="43"/>
      <c r="Z880" s="43"/>
    </row>
    <row r="881" spans="15:26" x14ac:dyDescent="0.25">
      <c r="O881" s="43"/>
      <c r="P881" s="43"/>
      <c r="Q881" s="43"/>
      <c r="R881" s="43"/>
      <c r="S881" s="43"/>
      <c r="T881" s="43"/>
      <c r="U881" s="43"/>
      <c r="V881" s="43"/>
      <c r="W881" s="43"/>
      <c r="X881" s="43"/>
      <c r="Y881" s="43"/>
      <c r="Z881" s="43"/>
    </row>
    <row r="882" spans="15:26" x14ac:dyDescent="0.25">
      <c r="O882" s="43"/>
      <c r="P882" s="43"/>
      <c r="Q882" s="43"/>
      <c r="R882" s="43"/>
      <c r="S882" s="43"/>
      <c r="T882" s="43"/>
      <c r="U882" s="43"/>
      <c r="V882" s="43"/>
      <c r="W882" s="43"/>
      <c r="X882" s="43"/>
      <c r="Y882" s="43"/>
      <c r="Z882" s="43"/>
    </row>
    <row r="883" spans="15:26" x14ac:dyDescent="0.25">
      <c r="O883" s="43"/>
      <c r="P883" s="43"/>
      <c r="Q883" s="43"/>
      <c r="R883" s="43"/>
      <c r="S883" s="43"/>
      <c r="T883" s="43"/>
      <c r="U883" s="43"/>
      <c r="V883" s="43"/>
      <c r="W883" s="43"/>
      <c r="X883" s="43"/>
      <c r="Y883" s="43"/>
      <c r="Z883" s="43"/>
    </row>
    <row r="884" spans="15:26" x14ac:dyDescent="0.25">
      <c r="O884" s="43"/>
      <c r="P884" s="43"/>
      <c r="Q884" s="43"/>
      <c r="R884" s="43"/>
      <c r="S884" s="43"/>
      <c r="T884" s="43"/>
      <c r="U884" s="43"/>
      <c r="V884" s="43"/>
      <c r="W884" s="43"/>
      <c r="X884" s="43"/>
      <c r="Y884" s="43"/>
      <c r="Z884" s="43"/>
    </row>
    <row r="885" spans="15:26" x14ac:dyDescent="0.25">
      <c r="O885" s="43"/>
      <c r="P885" s="43"/>
      <c r="Q885" s="43"/>
      <c r="R885" s="43"/>
      <c r="S885" s="43"/>
      <c r="T885" s="43"/>
      <c r="U885" s="43"/>
      <c r="V885" s="43"/>
      <c r="W885" s="43"/>
      <c r="X885" s="43"/>
      <c r="Y885" s="43"/>
      <c r="Z885" s="43"/>
    </row>
    <row r="886" spans="15:26" x14ac:dyDescent="0.25">
      <c r="O886" s="43"/>
      <c r="P886" s="43"/>
      <c r="Q886" s="43"/>
      <c r="R886" s="43"/>
      <c r="S886" s="43"/>
      <c r="T886" s="43"/>
      <c r="U886" s="43"/>
      <c r="V886" s="43"/>
      <c r="W886" s="43"/>
      <c r="X886" s="43"/>
      <c r="Y886" s="43"/>
      <c r="Z886" s="43"/>
    </row>
    <row r="887" spans="15:26" x14ac:dyDescent="0.25">
      <c r="O887" s="43"/>
      <c r="P887" s="43"/>
      <c r="Q887" s="43"/>
      <c r="R887" s="43"/>
      <c r="S887" s="43"/>
      <c r="T887" s="43"/>
      <c r="U887" s="43"/>
      <c r="V887" s="43"/>
      <c r="W887" s="43"/>
      <c r="X887" s="43"/>
      <c r="Y887" s="43"/>
      <c r="Z887" s="43"/>
    </row>
    <row r="888" spans="15:26" x14ac:dyDescent="0.25">
      <c r="O888" s="43"/>
      <c r="P888" s="43"/>
      <c r="Q888" s="43"/>
      <c r="R888" s="43"/>
      <c r="S888" s="43"/>
      <c r="T888" s="43"/>
      <c r="U888" s="43"/>
      <c r="V888" s="43"/>
      <c r="W888" s="43"/>
      <c r="X888" s="43"/>
      <c r="Y888" s="43"/>
      <c r="Z888" s="43"/>
    </row>
    <row r="889" spans="15:26" x14ac:dyDescent="0.25">
      <c r="O889" s="43"/>
      <c r="P889" s="43"/>
      <c r="Q889" s="43"/>
      <c r="R889" s="43"/>
      <c r="S889" s="43"/>
      <c r="T889" s="43"/>
      <c r="U889" s="43"/>
      <c r="V889" s="43"/>
      <c r="W889" s="43"/>
      <c r="X889" s="43"/>
      <c r="Y889" s="43"/>
      <c r="Z889" s="43"/>
    </row>
    <row r="890" spans="15:26" x14ac:dyDescent="0.25">
      <c r="O890" s="43"/>
      <c r="P890" s="43"/>
      <c r="Q890" s="43"/>
      <c r="R890" s="43"/>
      <c r="S890" s="43"/>
      <c r="T890" s="43"/>
      <c r="U890" s="43"/>
      <c r="V890" s="43"/>
      <c r="W890" s="43"/>
      <c r="X890" s="43"/>
      <c r="Y890" s="43"/>
      <c r="Z890" s="43"/>
    </row>
    <row r="891" spans="15:26" x14ac:dyDescent="0.25">
      <c r="O891" s="43"/>
      <c r="P891" s="43"/>
      <c r="Q891" s="43"/>
      <c r="R891" s="43"/>
      <c r="S891" s="43"/>
      <c r="T891" s="43"/>
      <c r="U891" s="43"/>
      <c r="V891" s="43"/>
      <c r="W891" s="43"/>
      <c r="X891" s="43"/>
      <c r="Y891" s="43"/>
      <c r="Z891" s="43"/>
    </row>
    <row r="892" spans="15:26" x14ac:dyDescent="0.25">
      <c r="O892" s="43"/>
      <c r="P892" s="43"/>
      <c r="Q892" s="43"/>
      <c r="R892" s="43"/>
      <c r="S892" s="43"/>
      <c r="T892" s="43"/>
      <c r="U892" s="43"/>
      <c r="V892" s="43"/>
      <c r="W892" s="43"/>
      <c r="X892" s="43"/>
      <c r="Y892" s="43"/>
      <c r="Z892" s="43"/>
    </row>
    <row r="893" spans="15:26" x14ac:dyDescent="0.25">
      <c r="O893" s="43"/>
      <c r="P893" s="43"/>
      <c r="Q893" s="43"/>
      <c r="R893" s="43"/>
      <c r="S893" s="43"/>
      <c r="T893" s="43"/>
      <c r="U893" s="43"/>
      <c r="V893" s="43"/>
      <c r="W893" s="43"/>
      <c r="X893" s="43"/>
      <c r="Y893" s="43"/>
      <c r="Z893" s="43"/>
    </row>
    <row r="894" spans="15:26" x14ac:dyDescent="0.25">
      <c r="O894" s="43"/>
      <c r="P894" s="43"/>
      <c r="Q894" s="43"/>
      <c r="R894" s="43"/>
      <c r="S894" s="43"/>
      <c r="T894" s="43"/>
      <c r="U894" s="43"/>
      <c r="V894" s="43"/>
      <c r="W894" s="43"/>
      <c r="X894" s="43"/>
      <c r="Y894" s="43"/>
      <c r="Z894" s="43"/>
    </row>
    <row r="895" spans="15:26" x14ac:dyDescent="0.25">
      <c r="O895" s="43"/>
      <c r="P895" s="43"/>
      <c r="Q895" s="43"/>
      <c r="R895" s="43"/>
      <c r="S895" s="43"/>
      <c r="T895" s="43"/>
      <c r="U895" s="43"/>
      <c r="V895" s="43"/>
      <c r="W895" s="43"/>
      <c r="X895" s="43"/>
      <c r="Y895" s="43"/>
      <c r="Z895" s="43"/>
    </row>
    <row r="896" spans="15:26" x14ac:dyDescent="0.25">
      <c r="O896" s="43"/>
      <c r="P896" s="43"/>
      <c r="Q896" s="43"/>
      <c r="R896" s="43"/>
      <c r="S896" s="43"/>
      <c r="T896" s="43"/>
      <c r="U896" s="43"/>
      <c r="V896" s="43"/>
      <c r="W896" s="43"/>
      <c r="X896" s="43"/>
      <c r="Y896" s="43"/>
      <c r="Z896" s="43"/>
    </row>
    <row r="897" spans="15:26" x14ac:dyDescent="0.25">
      <c r="O897" s="43"/>
      <c r="P897" s="43"/>
      <c r="Q897" s="43"/>
      <c r="R897" s="43"/>
      <c r="S897" s="43"/>
      <c r="T897" s="43"/>
      <c r="U897" s="43"/>
      <c r="V897" s="43"/>
      <c r="W897" s="43"/>
      <c r="X897" s="43"/>
      <c r="Y897" s="43"/>
      <c r="Z897" s="43"/>
    </row>
    <row r="898" spans="15:26" x14ac:dyDescent="0.25">
      <c r="O898" s="43"/>
      <c r="P898" s="43"/>
      <c r="Q898" s="43"/>
      <c r="R898" s="43"/>
      <c r="S898" s="43"/>
      <c r="T898" s="43"/>
      <c r="U898" s="43"/>
      <c r="V898" s="43"/>
      <c r="W898" s="43"/>
      <c r="X898" s="43"/>
      <c r="Y898" s="43"/>
      <c r="Z898" s="43"/>
    </row>
    <row r="899" spans="15:26" x14ac:dyDescent="0.25">
      <c r="O899" s="43"/>
      <c r="P899" s="43"/>
      <c r="Q899" s="43"/>
      <c r="R899" s="43"/>
      <c r="S899" s="43"/>
      <c r="T899" s="43"/>
      <c r="U899" s="43"/>
      <c r="V899" s="43"/>
      <c r="W899" s="43"/>
      <c r="X899" s="43"/>
      <c r="Y899" s="43"/>
      <c r="Z899" s="43"/>
    </row>
    <row r="900" spans="15:26" x14ac:dyDescent="0.25">
      <c r="O900" s="43"/>
      <c r="P900" s="43"/>
      <c r="Q900" s="43"/>
      <c r="R900" s="43"/>
      <c r="S900" s="43"/>
      <c r="T900" s="43"/>
      <c r="U900" s="43"/>
      <c r="V900" s="43"/>
      <c r="W900" s="43"/>
      <c r="X900" s="43"/>
      <c r="Y900" s="43"/>
      <c r="Z900" s="43"/>
    </row>
    <row r="901" spans="15:26" x14ac:dyDescent="0.25">
      <c r="O901" s="43"/>
      <c r="P901" s="43"/>
      <c r="Q901" s="43"/>
      <c r="R901" s="43"/>
      <c r="S901" s="43"/>
      <c r="T901" s="43"/>
      <c r="U901" s="43"/>
      <c r="V901" s="43"/>
      <c r="W901" s="43"/>
      <c r="X901" s="43"/>
      <c r="Y901" s="43"/>
      <c r="Z901" s="43"/>
    </row>
    <row r="902" spans="15:26" x14ac:dyDescent="0.25">
      <c r="O902" s="43"/>
      <c r="P902" s="43"/>
      <c r="Q902" s="43"/>
      <c r="R902" s="43"/>
      <c r="S902" s="43"/>
      <c r="T902" s="43"/>
      <c r="U902" s="43"/>
      <c r="V902" s="43"/>
      <c r="W902" s="43"/>
      <c r="X902" s="43"/>
      <c r="Y902" s="43"/>
      <c r="Z902" s="43"/>
    </row>
    <row r="903" spans="15:26" x14ac:dyDescent="0.25">
      <c r="O903" s="43"/>
      <c r="P903" s="43"/>
      <c r="Q903" s="43"/>
      <c r="R903" s="43"/>
      <c r="S903" s="43"/>
      <c r="T903" s="43"/>
      <c r="U903" s="43"/>
      <c r="V903" s="43"/>
      <c r="W903" s="43"/>
      <c r="X903" s="43"/>
      <c r="Y903" s="43"/>
      <c r="Z903" s="43"/>
    </row>
    <row r="904" spans="15:26" x14ac:dyDescent="0.25">
      <c r="O904" s="43"/>
      <c r="P904" s="43"/>
      <c r="Q904" s="43"/>
      <c r="R904" s="43"/>
      <c r="S904" s="43"/>
      <c r="T904" s="43"/>
      <c r="U904" s="43"/>
      <c r="V904" s="43"/>
      <c r="W904" s="43"/>
      <c r="X904" s="43"/>
      <c r="Y904" s="43"/>
      <c r="Z904" s="43"/>
    </row>
    <row r="905" spans="15:26" x14ac:dyDescent="0.25">
      <c r="O905" s="43"/>
      <c r="P905" s="43"/>
      <c r="Q905" s="43"/>
      <c r="R905" s="43"/>
      <c r="S905" s="43"/>
      <c r="T905" s="43"/>
      <c r="U905" s="43"/>
      <c r="V905" s="43"/>
      <c r="W905" s="43"/>
      <c r="X905" s="43"/>
      <c r="Y905" s="43"/>
      <c r="Z905" s="43"/>
    </row>
    <row r="906" spans="15:26" x14ac:dyDescent="0.25">
      <c r="O906" s="43"/>
      <c r="P906" s="43"/>
      <c r="Q906" s="43"/>
      <c r="R906" s="43"/>
      <c r="S906" s="43"/>
      <c r="T906" s="43"/>
      <c r="U906" s="43"/>
      <c r="V906" s="43"/>
      <c r="W906" s="43"/>
      <c r="X906" s="43"/>
      <c r="Y906" s="43"/>
      <c r="Z906" s="43"/>
    </row>
    <row r="907" spans="15:26" x14ac:dyDescent="0.25">
      <c r="O907" s="43"/>
      <c r="P907" s="43"/>
      <c r="Q907" s="43"/>
      <c r="R907" s="43"/>
      <c r="S907" s="43"/>
      <c r="T907" s="43"/>
      <c r="U907" s="43"/>
      <c r="V907" s="43"/>
      <c r="W907" s="43"/>
      <c r="X907" s="43"/>
      <c r="Y907" s="43"/>
      <c r="Z907" s="43"/>
    </row>
    <row r="908" spans="15:26" x14ac:dyDescent="0.25">
      <c r="O908" s="43"/>
      <c r="P908" s="43"/>
      <c r="Q908" s="43"/>
      <c r="R908" s="43"/>
      <c r="S908" s="43"/>
      <c r="T908" s="43"/>
      <c r="U908" s="43"/>
      <c r="V908" s="43"/>
      <c r="W908" s="43"/>
      <c r="X908" s="43"/>
      <c r="Y908" s="43"/>
      <c r="Z908" s="43"/>
    </row>
    <row r="909" spans="15:26" x14ac:dyDescent="0.25">
      <c r="O909" s="43"/>
      <c r="P909" s="43"/>
      <c r="Q909" s="43"/>
      <c r="R909" s="43"/>
      <c r="S909" s="43"/>
      <c r="T909" s="43"/>
      <c r="U909" s="43"/>
      <c r="V909" s="43"/>
      <c r="W909" s="43"/>
      <c r="X909" s="43"/>
      <c r="Y909" s="43"/>
      <c r="Z909" s="43"/>
    </row>
    <row r="910" spans="15:26" x14ac:dyDescent="0.25">
      <c r="O910" s="43"/>
      <c r="P910" s="43"/>
      <c r="Q910" s="43"/>
      <c r="R910" s="43"/>
      <c r="S910" s="43"/>
      <c r="T910" s="43"/>
      <c r="U910" s="43"/>
      <c r="V910" s="43"/>
      <c r="W910" s="43"/>
      <c r="X910" s="43"/>
      <c r="Y910" s="43"/>
      <c r="Z910" s="43"/>
    </row>
    <row r="911" spans="15:26" x14ac:dyDescent="0.25">
      <c r="O911" s="43"/>
      <c r="P911" s="43"/>
      <c r="Q911" s="43"/>
      <c r="R911" s="43"/>
      <c r="S911" s="43"/>
      <c r="T911" s="43"/>
      <c r="U911" s="43"/>
      <c r="V911" s="43"/>
      <c r="W911" s="43"/>
      <c r="X911" s="43"/>
      <c r="Y911" s="43"/>
      <c r="Z911" s="43"/>
    </row>
    <row r="912" spans="15:26" x14ac:dyDescent="0.25">
      <c r="O912" s="43"/>
      <c r="P912" s="43"/>
      <c r="Q912" s="43"/>
      <c r="R912" s="43"/>
      <c r="S912" s="43"/>
      <c r="T912" s="43"/>
      <c r="U912" s="43"/>
      <c r="V912" s="43"/>
      <c r="W912" s="43"/>
      <c r="X912" s="43"/>
      <c r="Y912" s="43"/>
      <c r="Z912" s="43"/>
    </row>
    <row r="913" spans="15:26" x14ac:dyDescent="0.25">
      <c r="O913" s="43"/>
      <c r="P913" s="43"/>
      <c r="Q913" s="43"/>
      <c r="R913" s="43"/>
      <c r="S913" s="43"/>
      <c r="T913" s="43"/>
      <c r="U913" s="43"/>
      <c r="V913" s="43"/>
      <c r="W913" s="43"/>
      <c r="X913" s="43"/>
      <c r="Y913" s="43"/>
      <c r="Z913" s="43"/>
    </row>
    <row r="914" spans="15:26" x14ac:dyDescent="0.25">
      <c r="O914" s="43"/>
      <c r="P914" s="43"/>
      <c r="Q914" s="43"/>
      <c r="R914" s="43"/>
      <c r="S914" s="43"/>
      <c r="T914" s="43"/>
      <c r="U914" s="43"/>
      <c r="V914" s="43"/>
      <c r="W914" s="43"/>
      <c r="X914" s="43"/>
      <c r="Y914" s="43"/>
      <c r="Z914" s="43"/>
    </row>
    <row r="915" spans="15:26" x14ac:dyDescent="0.25">
      <c r="O915" s="43"/>
      <c r="P915" s="43"/>
      <c r="Q915" s="43"/>
      <c r="R915" s="43"/>
      <c r="S915" s="43"/>
      <c r="T915" s="43"/>
      <c r="U915" s="43"/>
      <c r="V915" s="43"/>
      <c r="W915" s="43"/>
      <c r="X915" s="43"/>
      <c r="Y915" s="43"/>
      <c r="Z915" s="43"/>
    </row>
    <row r="916" spans="15:26" x14ac:dyDescent="0.25">
      <c r="O916" s="43"/>
      <c r="P916" s="43"/>
      <c r="Q916" s="43"/>
      <c r="R916" s="43"/>
      <c r="S916" s="43"/>
      <c r="T916" s="43"/>
      <c r="U916" s="43"/>
      <c r="V916" s="43"/>
      <c r="W916" s="43"/>
      <c r="X916" s="43"/>
      <c r="Y916" s="43"/>
      <c r="Z916" s="43"/>
    </row>
    <row r="917" spans="15:26" x14ac:dyDescent="0.25">
      <c r="O917" s="43"/>
      <c r="P917" s="43"/>
      <c r="Q917" s="43"/>
      <c r="R917" s="43"/>
      <c r="S917" s="43"/>
      <c r="T917" s="43"/>
      <c r="U917" s="43"/>
      <c r="V917" s="43"/>
      <c r="W917" s="43"/>
      <c r="X917" s="43"/>
      <c r="Y917" s="43"/>
      <c r="Z917" s="43"/>
    </row>
    <row r="918" spans="15:26" x14ac:dyDescent="0.25">
      <c r="O918" s="43"/>
      <c r="P918" s="43"/>
      <c r="Q918" s="43"/>
      <c r="R918" s="43"/>
      <c r="S918" s="43"/>
      <c r="T918" s="43"/>
      <c r="U918" s="43"/>
      <c r="V918" s="43"/>
      <c r="W918" s="43"/>
      <c r="X918" s="43"/>
      <c r="Y918" s="43"/>
      <c r="Z918" s="43"/>
    </row>
    <row r="919" spans="15:26" x14ac:dyDescent="0.25">
      <c r="O919" s="43"/>
      <c r="P919" s="43"/>
      <c r="Q919" s="43"/>
      <c r="R919" s="43"/>
      <c r="S919" s="43"/>
      <c r="T919" s="43"/>
      <c r="U919" s="43"/>
      <c r="V919" s="43"/>
      <c r="W919" s="43"/>
      <c r="X919" s="43"/>
      <c r="Y919" s="43"/>
      <c r="Z919" s="43"/>
    </row>
    <row r="920" spans="15:26" x14ac:dyDescent="0.25">
      <c r="O920" s="43"/>
      <c r="P920" s="43"/>
      <c r="Q920" s="43"/>
      <c r="R920" s="43"/>
      <c r="S920" s="43"/>
      <c r="T920" s="43"/>
      <c r="U920" s="43"/>
      <c r="V920" s="43"/>
      <c r="W920" s="43"/>
      <c r="X920" s="43"/>
      <c r="Y920" s="43"/>
      <c r="Z920" s="43"/>
    </row>
    <row r="921" spans="15:26" x14ac:dyDescent="0.25">
      <c r="O921" s="43"/>
      <c r="P921" s="43"/>
      <c r="Q921" s="43"/>
      <c r="R921" s="43"/>
      <c r="S921" s="43"/>
      <c r="T921" s="43"/>
      <c r="U921" s="43"/>
      <c r="V921" s="43"/>
      <c r="W921" s="43"/>
      <c r="X921" s="43"/>
      <c r="Y921" s="43"/>
      <c r="Z921" s="43"/>
    </row>
    <row r="922" spans="15:26" x14ac:dyDescent="0.25">
      <c r="O922" s="43"/>
      <c r="P922" s="43"/>
      <c r="Q922" s="43"/>
      <c r="R922" s="43"/>
      <c r="S922" s="43"/>
      <c r="T922" s="43"/>
      <c r="U922" s="43"/>
      <c r="V922" s="43"/>
      <c r="W922" s="43"/>
      <c r="X922" s="43"/>
      <c r="Y922" s="43"/>
      <c r="Z922" s="43"/>
    </row>
    <row r="923" spans="15:26" x14ac:dyDescent="0.25">
      <c r="O923" s="43"/>
      <c r="P923" s="43"/>
      <c r="Q923" s="43"/>
      <c r="R923" s="43"/>
      <c r="S923" s="43"/>
      <c r="T923" s="43"/>
      <c r="U923" s="43"/>
      <c r="V923" s="43"/>
      <c r="W923" s="43"/>
      <c r="X923" s="43"/>
      <c r="Y923" s="43"/>
      <c r="Z923" s="43"/>
    </row>
    <row r="924" spans="15:26" x14ac:dyDescent="0.25">
      <c r="O924" s="43"/>
      <c r="P924" s="43"/>
      <c r="Q924" s="43"/>
      <c r="R924" s="43"/>
      <c r="S924" s="43"/>
      <c r="T924" s="43"/>
      <c r="U924" s="43"/>
      <c r="V924" s="43"/>
      <c r="W924" s="43"/>
      <c r="X924" s="43"/>
      <c r="Y924" s="43"/>
      <c r="Z924" s="43"/>
    </row>
    <row r="925" spans="15:26" x14ac:dyDescent="0.25">
      <c r="O925" s="43"/>
      <c r="P925" s="43"/>
      <c r="Q925" s="43"/>
      <c r="R925" s="43"/>
      <c r="S925" s="43"/>
      <c r="T925" s="43"/>
      <c r="U925" s="43"/>
      <c r="V925" s="43"/>
      <c r="W925" s="43"/>
      <c r="X925" s="43"/>
      <c r="Y925" s="43"/>
      <c r="Z925" s="43"/>
    </row>
    <row r="926" spans="15:26" x14ac:dyDescent="0.25">
      <c r="O926" s="43"/>
      <c r="P926" s="43"/>
      <c r="Q926" s="43"/>
      <c r="R926" s="43"/>
      <c r="S926" s="43"/>
      <c r="T926" s="43"/>
      <c r="U926" s="43"/>
      <c r="V926" s="43"/>
      <c r="W926" s="43"/>
      <c r="X926" s="43"/>
      <c r="Y926" s="43"/>
      <c r="Z926" s="43"/>
    </row>
    <row r="927" spans="15:26" x14ac:dyDescent="0.25">
      <c r="O927" s="43"/>
      <c r="P927" s="43"/>
      <c r="Q927" s="43"/>
      <c r="R927" s="43"/>
      <c r="S927" s="43"/>
      <c r="T927" s="43"/>
      <c r="U927" s="43"/>
      <c r="V927" s="43"/>
      <c r="W927" s="43"/>
      <c r="X927" s="43"/>
      <c r="Y927" s="43"/>
      <c r="Z927" s="43"/>
    </row>
    <row r="928" spans="15:26" x14ac:dyDescent="0.25">
      <c r="O928" s="43"/>
      <c r="P928" s="43"/>
      <c r="Q928" s="43"/>
      <c r="R928" s="43"/>
      <c r="S928" s="43"/>
      <c r="T928" s="43"/>
      <c r="U928" s="43"/>
      <c r="V928" s="43"/>
      <c r="W928" s="43"/>
      <c r="X928" s="43"/>
      <c r="Y928" s="43"/>
      <c r="Z928" s="43"/>
    </row>
    <row r="929" spans="15:26" x14ac:dyDescent="0.25">
      <c r="O929" s="43"/>
      <c r="P929" s="43"/>
      <c r="Q929" s="43"/>
      <c r="R929" s="43"/>
      <c r="S929" s="43"/>
      <c r="T929" s="43"/>
      <c r="U929" s="43"/>
      <c r="V929" s="43"/>
      <c r="W929" s="43"/>
      <c r="X929" s="43"/>
      <c r="Y929" s="43"/>
      <c r="Z929" s="43"/>
    </row>
    <row r="930" spans="15:26" x14ac:dyDescent="0.25">
      <c r="O930" s="43"/>
      <c r="P930" s="43"/>
      <c r="Q930" s="43"/>
      <c r="R930" s="43"/>
      <c r="S930" s="43"/>
      <c r="T930" s="43"/>
      <c r="U930" s="43"/>
      <c r="V930" s="43"/>
      <c r="W930" s="43"/>
      <c r="X930" s="43"/>
      <c r="Y930" s="43"/>
      <c r="Z930" s="43"/>
    </row>
    <row r="931" spans="15:26" x14ac:dyDescent="0.25">
      <c r="O931" s="43"/>
      <c r="P931" s="43"/>
      <c r="Q931" s="43"/>
      <c r="R931" s="43"/>
      <c r="S931" s="43"/>
      <c r="T931" s="43"/>
      <c r="U931" s="43"/>
      <c r="V931" s="43"/>
      <c r="W931" s="43"/>
      <c r="X931" s="43"/>
      <c r="Y931" s="43"/>
      <c r="Z931" s="43"/>
    </row>
    <row r="932" spans="15:26" x14ac:dyDescent="0.25">
      <c r="O932" s="43"/>
      <c r="P932" s="43"/>
      <c r="Q932" s="43"/>
      <c r="R932" s="43"/>
      <c r="S932" s="43"/>
      <c r="T932" s="43"/>
      <c r="U932" s="43"/>
      <c r="V932" s="43"/>
      <c r="W932" s="43"/>
      <c r="X932" s="43"/>
      <c r="Y932" s="43"/>
      <c r="Z932" s="43"/>
    </row>
    <row r="933" spans="15:26" x14ac:dyDescent="0.25">
      <c r="O933" s="43"/>
      <c r="P933" s="43"/>
      <c r="Q933" s="43"/>
      <c r="R933" s="43"/>
      <c r="S933" s="43"/>
      <c r="T933" s="43"/>
      <c r="U933" s="43"/>
      <c r="V933" s="43"/>
      <c r="W933" s="43"/>
      <c r="X933" s="43"/>
      <c r="Y933" s="43"/>
      <c r="Z933" s="43"/>
    </row>
    <row r="934" spans="15:26" x14ac:dyDescent="0.25">
      <c r="O934" s="43"/>
      <c r="P934" s="43"/>
      <c r="Q934" s="43"/>
      <c r="R934" s="43"/>
      <c r="S934" s="43"/>
      <c r="T934" s="43"/>
      <c r="U934" s="43"/>
      <c r="V934" s="43"/>
      <c r="W934" s="43"/>
      <c r="X934" s="43"/>
      <c r="Y934" s="43"/>
      <c r="Z934" s="43"/>
    </row>
    <row r="935" spans="15:26" x14ac:dyDescent="0.25">
      <c r="O935" s="43"/>
      <c r="P935" s="43"/>
      <c r="Q935" s="43"/>
      <c r="R935" s="43"/>
      <c r="S935" s="43"/>
      <c r="T935" s="43"/>
      <c r="U935" s="43"/>
      <c r="V935" s="43"/>
      <c r="W935" s="43"/>
      <c r="X935" s="43"/>
      <c r="Y935" s="43"/>
      <c r="Z935" s="43"/>
    </row>
    <row r="936" spans="15:26" x14ac:dyDescent="0.25">
      <c r="O936" s="43"/>
      <c r="P936" s="43"/>
      <c r="Q936" s="43"/>
      <c r="R936" s="43"/>
      <c r="S936" s="43"/>
      <c r="T936" s="43"/>
      <c r="U936" s="43"/>
      <c r="V936" s="43"/>
      <c r="W936" s="43"/>
      <c r="X936" s="43"/>
      <c r="Y936" s="43"/>
      <c r="Z936" s="43"/>
    </row>
    <row r="937" spans="15:26" x14ac:dyDescent="0.25">
      <c r="O937" s="43"/>
      <c r="P937" s="43"/>
      <c r="Q937" s="43"/>
      <c r="R937" s="43"/>
      <c r="S937" s="43"/>
      <c r="T937" s="43"/>
      <c r="U937" s="43"/>
      <c r="V937" s="43"/>
      <c r="W937" s="43"/>
      <c r="X937" s="43"/>
      <c r="Y937" s="43"/>
      <c r="Z937" s="43"/>
    </row>
    <row r="938" spans="15:26" x14ac:dyDescent="0.25">
      <c r="O938" s="43"/>
      <c r="P938" s="43"/>
      <c r="Q938" s="43"/>
      <c r="R938" s="43"/>
      <c r="S938" s="43"/>
      <c r="T938" s="43"/>
      <c r="U938" s="43"/>
      <c r="V938" s="43"/>
      <c r="W938" s="43"/>
      <c r="X938" s="43"/>
      <c r="Y938" s="43"/>
      <c r="Z938" s="43"/>
    </row>
    <row r="939" spans="15:26" x14ac:dyDescent="0.25">
      <c r="O939" s="43"/>
      <c r="P939" s="43"/>
      <c r="Q939" s="43"/>
      <c r="R939" s="43"/>
      <c r="S939" s="43"/>
      <c r="T939" s="43"/>
      <c r="U939" s="43"/>
      <c r="V939" s="43"/>
      <c r="W939" s="43"/>
      <c r="X939" s="43"/>
      <c r="Y939" s="43"/>
      <c r="Z939" s="43"/>
    </row>
    <row r="940" spans="15:26" x14ac:dyDescent="0.25">
      <c r="O940" s="43"/>
      <c r="P940" s="43"/>
      <c r="Q940" s="43"/>
      <c r="R940" s="43"/>
      <c r="S940" s="43"/>
      <c r="T940" s="43"/>
      <c r="U940" s="43"/>
      <c r="V940" s="43"/>
      <c r="W940" s="43"/>
      <c r="X940" s="43"/>
      <c r="Y940" s="43"/>
      <c r="Z940" s="43"/>
    </row>
    <row r="941" spans="15:26" x14ac:dyDescent="0.25">
      <c r="O941" s="43"/>
      <c r="P941" s="43"/>
      <c r="Q941" s="43"/>
      <c r="R941" s="43"/>
      <c r="S941" s="43"/>
      <c r="T941" s="43"/>
      <c r="U941" s="43"/>
      <c r="V941" s="43"/>
      <c r="W941" s="43"/>
      <c r="X941" s="43"/>
      <c r="Y941" s="43"/>
      <c r="Z941" s="43"/>
    </row>
    <row r="942" spans="15:26" x14ac:dyDescent="0.25">
      <c r="O942" s="43"/>
      <c r="P942" s="43"/>
      <c r="Q942" s="43"/>
      <c r="R942" s="43"/>
      <c r="S942" s="43"/>
      <c r="T942" s="43"/>
      <c r="U942" s="43"/>
      <c r="V942" s="43"/>
      <c r="W942" s="43"/>
      <c r="X942" s="43"/>
      <c r="Y942" s="43"/>
      <c r="Z942" s="43"/>
    </row>
    <row r="943" spans="15:26" x14ac:dyDescent="0.25">
      <c r="O943" s="43"/>
      <c r="P943" s="43"/>
      <c r="Q943" s="43"/>
      <c r="R943" s="43"/>
      <c r="S943" s="43"/>
      <c r="T943" s="43"/>
      <c r="U943" s="43"/>
      <c r="V943" s="43"/>
      <c r="W943" s="43"/>
      <c r="X943" s="43"/>
      <c r="Y943" s="43"/>
      <c r="Z943" s="43"/>
    </row>
    <row r="944" spans="15:26" x14ac:dyDescent="0.25">
      <c r="O944" s="43"/>
      <c r="P944" s="43"/>
      <c r="Q944" s="43"/>
      <c r="R944" s="43"/>
      <c r="S944" s="43"/>
      <c r="T944" s="43"/>
      <c r="U944" s="43"/>
      <c r="V944" s="43"/>
      <c r="W944" s="43"/>
      <c r="X944" s="43"/>
      <c r="Y944" s="43"/>
      <c r="Z944" s="43"/>
    </row>
    <row r="945" spans="15:26" x14ac:dyDescent="0.25">
      <c r="O945" s="43"/>
      <c r="P945" s="43"/>
      <c r="Q945" s="43"/>
      <c r="R945" s="43"/>
      <c r="S945" s="43"/>
      <c r="T945" s="43"/>
      <c r="U945" s="43"/>
      <c r="V945" s="43"/>
      <c r="W945" s="43"/>
      <c r="X945" s="43"/>
      <c r="Y945" s="43"/>
      <c r="Z945" s="43"/>
    </row>
    <row r="946" spans="15:26" x14ac:dyDescent="0.25">
      <c r="O946" s="43"/>
      <c r="P946" s="43"/>
      <c r="Q946" s="43"/>
      <c r="R946" s="43"/>
      <c r="S946" s="43"/>
      <c r="T946" s="43"/>
      <c r="U946" s="43"/>
      <c r="V946" s="43"/>
      <c r="W946" s="43"/>
      <c r="X946" s="43"/>
      <c r="Y946" s="43"/>
      <c r="Z946" s="43"/>
    </row>
    <row r="947" spans="15:26" x14ac:dyDescent="0.25">
      <c r="O947" s="43"/>
      <c r="P947" s="43"/>
      <c r="Q947" s="43"/>
      <c r="R947" s="43"/>
      <c r="S947" s="43"/>
      <c r="T947" s="43"/>
      <c r="U947" s="43"/>
      <c r="V947" s="43"/>
      <c r="W947" s="43"/>
      <c r="X947" s="43"/>
      <c r="Y947" s="43"/>
      <c r="Z947" s="43"/>
    </row>
    <row r="948" spans="15:26" x14ac:dyDescent="0.25">
      <c r="O948" s="43"/>
      <c r="P948" s="43"/>
      <c r="Q948" s="43"/>
      <c r="R948" s="43"/>
      <c r="S948" s="43"/>
      <c r="T948" s="43"/>
      <c r="U948" s="43"/>
      <c r="V948" s="43"/>
      <c r="W948" s="43"/>
      <c r="X948" s="43"/>
      <c r="Y948" s="43"/>
      <c r="Z948" s="43"/>
    </row>
    <row r="949" spans="15:26" x14ac:dyDescent="0.25">
      <c r="O949" s="43"/>
      <c r="P949" s="43"/>
      <c r="Q949" s="43"/>
      <c r="R949" s="43"/>
      <c r="S949" s="43"/>
      <c r="T949" s="43"/>
      <c r="U949" s="43"/>
      <c r="V949" s="43"/>
      <c r="W949" s="43"/>
      <c r="X949" s="43"/>
      <c r="Y949" s="43"/>
      <c r="Z949" s="43"/>
    </row>
    <row r="950" spans="15:26" x14ac:dyDescent="0.25">
      <c r="O950" s="43"/>
      <c r="P950" s="43"/>
      <c r="Q950" s="43"/>
      <c r="R950" s="43"/>
      <c r="S950" s="43"/>
      <c r="T950" s="43"/>
      <c r="U950" s="43"/>
      <c r="V950" s="43"/>
      <c r="W950" s="43"/>
      <c r="X950" s="43"/>
      <c r="Y950" s="43"/>
      <c r="Z950" s="43"/>
    </row>
    <row r="951" spans="15:26" x14ac:dyDescent="0.25">
      <c r="O951" s="43"/>
      <c r="P951" s="43"/>
      <c r="Q951" s="43"/>
      <c r="R951" s="43"/>
      <c r="S951" s="43"/>
      <c r="T951" s="43"/>
      <c r="U951" s="43"/>
      <c r="V951" s="43"/>
      <c r="W951" s="43"/>
      <c r="X951" s="43"/>
      <c r="Y951" s="43"/>
      <c r="Z951" s="43"/>
    </row>
    <row r="952" spans="15:26" x14ac:dyDescent="0.25">
      <c r="O952" s="43"/>
      <c r="P952" s="43"/>
      <c r="Q952" s="43"/>
      <c r="R952" s="43"/>
      <c r="S952" s="43"/>
      <c r="T952" s="43"/>
      <c r="U952" s="43"/>
      <c r="V952" s="43"/>
      <c r="W952" s="43"/>
      <c r="X952" s="43"/>
      <c r="Y952" s="43"/>
      <c r="Z952" s="43"/>
    </row>
    <row r="953" spans="15:26" x14ac:dyDescent="0.25">
      <c r="O953" s="43"/>
      <c r="P953" s="43"/>
      <c r="Q953" s="43"/>
      <c r="R953" s="43"/>
      <c r="S953" s="43"/>
      <c r="T953" s="43"/>
      <c r="U953" s="43"/>
      <c r="V953" s="43"/>
      <c r="W953" s="43"/>
      <c r="X953" s="43"/>
      <c r="Y953" s="43"/>
      <c r="Z953" s="43"/>
    </row>
    <row r="954" spans="15:26" x14ac:dyDescent="0.25">
      <c r="O954" s="43"/>
      <c r="P954" s="43"/>
      <c r="Q954" s="43"/>
      <c r="R954" s="43"/>
      <c r="S954" s="43"/>
      <c r="T954" s="43"/>
      <c r="U954" s="43"/>
      <c r="V954" s="43"/>
      <c r="W954" s="43"/>
      <c r="X954" s="43"/>
      <c r="Y954" s="43"/>
      <c r="Z954" s="43"/>
    </row>
    <row r="955" spans="15:26" x14ac:dyDescent="0.25">
      <c r="O955" s="43"/>
      <c r="P955" s="43"/>
      <c r="Q955" s="43"/>
      <c r="R955" s="43"/>
      <c r="S955" s="43"/>
      <c r="T955" s="43"/>
      <c r="U955" s="43"/>
      <c r="V955" s="43"/>
      <c r="W955" s="43"/>
      <c r="X955" s="43"/>
      <c r="Y955" s="43"/>
      <c r="Z955" s="43"/>
    </row>
    <row r="956" spans="15:26" x14ac:dyDescent="0.25">
      <c r="O956" s="43"/>
      <c r="P956" s="43"/>
      <c r="Q956" s="43"/>
      <c r="R956" s="43"/>
      <c r="S956" s="43"/>
      <c r="T956" s="43"/>
      <c r="U956" s="43"/>
      <c r="V956" s="43"/>
      <c r="W956" s="43"/>
      <c r="X956" s="43"/>
      <c r="Y956" s="43"/>
      <c r="Z956" s="43"/>
    </row>
    <row r="957" spans="15:26" x14ac:dyDescent="0.25">
      <c r="O957" s="43"/>
      <c r="P957" s="43"/>
      <c r="Q957" s="43"/>
      <c r="R957" s="43"/>
      <c r="S957" s="43"/>
      <c r="T957" s="43"/>
      <c r="U957" s="43"/>
      <c r="V957" s="43"/>
      <c r="W957" s="43"/>
      <c r="X957" s="43"/>
      <c r="Y957" s="43"/>
      <c r="Z957" s="43"/>
    </row>
    <row r="958" spans="15:26" x14ac:dyDescent="0.25">
      <c r="O958" s="43"/>
      <c r="P958" s="43"/>
      <c r="Q958" s="43"/>
      <c r="R958" s="43"/>
      <c r="S958" s="43"/>
      <c r="T958" s="43"/>
      <c r="U958" s="43"/>
      <c r="V958" s="43"/>
      <c r="W958" s="43"/>
      <c r="X958" s="43"/>
      <c r="Y958" s="43"/>
      <c r="Z958" s="43"/>
    </row>
    <row r="959" spans="15:26" x14ac:dyDescent="0.25">
      <c r="O959" s="43"/>
      <c r="P959" s="43"/>
      <c r="Q959" s="43"/>
      <c r="R959" s="43"/>
      <c r="S959" s="43"/>
      <c r="T959" s="43"/>
      <c r="U959" s="43"/>
      <c r="V959" s="43"/>
      <c r="W959" s="43"/>
      <c r="X959" s="43"/>
      <c r="Y959" s="43"/>
      <c r="Z959" s="43"/>
    </row>
    <row r="960" spans="15:26" x14ac:dyDescent="0.25">
      <c r="O960" s="43"/>
      <c r="P960" s="43"/>
      <c r="Q960" s="43"/>
      <c r="R960" s="43"/>
      <c r="S960" s="43"/>
      <c r="T960" s="43"/>
      <c r="U960" s="43"/>
      <c r="V960" s="43"/>
      <c r="W960" s="43"/>
      <c r="X960" s="43"/>
      <c r="Y960" s="43"/>
      <c r="Z960" s="43"/>
    </row>
    <row r="961" spans="15:26" x14ac:dyDescent="0.25">
      <c r="O961" s="43"/>
      <c r="P961" s="43"/>
      <c r="Q961" s="43"/>
      <c r="R961" s="43"/>
      <c r="S961" s="43"/>
      <c r="T961" s="43"/>
      <c r="U961" s="43"/>
      <c r="V961" s="43"/>
      <c r="W961" s="43"/>
      <c r="X961" s="43"/>
      <c r="Y961" s="43"/>
      <c r="Z961" s="43"/>
    </row>
    <row r="962" spans="15:26" x14ac:dyDescent="0.25">
      <c r="O962" s="43"/>
      <c r="P962" s="43"/>
      <c r="Q962" s="43"/>
      <c r="R962" s="43"/>
      <c r="S962" s="43"/>
      <c r="T962" s="43"/>
      <c r="U962" s="43"/>
      <c r="V962" s="43"/>
      <c r="W962" s="43"/>
      <c r="X962" s="43"/>
      <c r="Y962" s="43"/>
      <c r="Z962" s="43"/>
    </row>
    <row r="963" spans="15:26" x14ac:dyDescent="0.25">
      <c r="O963" s="43"/>
      <c r="P963" s="43"/>
      <c r="Q963" s="43"/>
      <c r="R963" s="43"/>
      <c r="S963" s="43"/>
      <c r="T963" s="43"/>
      <c r="U963" s="43"/>
      <c r="V963" s="43"/>
      <c r="W963" s="43"/>
      <c r="X963" s="43"/>
      <c r="Y963" s="43"/>
      <c r="Z963" s="43"/>
    </row>
    <row r="964" spans="15:26" x14ac:dyDescent="0.25">
      <c r="O964" s="43"/>
      <c r="P964" s="43"/>
      <c r="Q964" s="43"/>
      <c r="R964" s="43"/>
      <c r="S964" s="43"/>
      <c r="T964" s="43"/>
      <c r="U964" s="43"/>
      <c r="V964" s="43"/>
      <c r="W964" s="43"/>
      <c r="X964" s="43"/>
      <c r="Y964" s="43"/>
      <c r="Z964" s="43"/>
    </row>
    <row r="965" spans="15:26" x14ac:dyDescent="0.25">
      <c r="O965" s="43"/>
      <c r="P965" s="43"/>
      <c r="Q965" s="43"/>
      <c r="R965" s="43"/>
      <c r="S965" s="43"/>
      <c r="T965" s="43"/>
      <c r="U965" s="43"/>
      <c r="V965" s="43"/>
      <c r="W965" s="43"/>
      <c r="X965" s="43"/>
      <c r="Y965" s="43"/>
      <c r="Z965" s="43"/>
    </row>
    <row r="966" spans="15:26" x14ac:dyDescent="0.25">
      <c r="O966" s="43"/>
      <c r="P966" s="43"/>
      <c r="Q966" s="43"/>
      <c r="R966" s="43"/>
      <c r="S966" s="43"/>
      <c r="T966" s="43"/>
      <c r="U966" s="43"/>
      <c r="V966" s="43"/>
      <c r="W966" s="43"/>
      <c r="X966" s="43"/>
      <c r="Y966" s="43"/>
      <c r="Z966" s="43"/>
    </row>
    <row r="967" spans="15:26" x14ac:dyDescent="0.25">
      <c r="O967" s="43"/>
      <c r="P967" s="43"/>
      <c r="Q967" s="43"/>
      <c r="R967" s="43"/>
      <c r="S967" s="43"/>
      <c r="T967" s="43"/>
      <c r="U967" s="43"/>
      <c r="V967" s="43"/>
      <c r="W967" s="43"/>
      <c r="X967" s="43"/>
      <c r="Y967" s="43"/>
      <c r="Z967" s="43"/>
    </row>
    <row r="968" spans="15:26" x14ac:dyDescent="0.25">
      <c r="O968" s="43"/>
      <c r="P968" s="43"/>
      <c r="Q968" s="43"/>
      <c r="R968" s="43"/>
      <c r="S968" s="43"/>
      <c r="T968" s="43"/>
      <c r="U968" s="43"/>
      <c r="V968" s="43"/>
      <c r="W968" s="43"/>
      <c r="X968" s="43"/>
      <c r="Y968" s="43"/>
      <c r="Z968" s="43"/>
    </row>
    <row r="969" spans="15:26" x14ac:dyDescent="0.25">
      <c r="O969" s="43"/>
      <c r="P969" s="43"/>
      <c r="Q969" s="43"/>
      <c r="R969" s="43"/>
      <c r="S969" s="43"/>
      <c r="T969" s="43"/>
      <c r="U969" s="43"/>
      <c r="V969" s="43"/>
      <c r="W969" s="43"/>
      <c r="X969" s="43"/>
      <c r="Y969" s="43"/>
      <c r="Z969" s="43"/>
    </row>
    <row r="970" spans="15:26" x14ac:dyDescent="0.25">
      <c r="O970" s="43"/>
      <c r="P970" s="43"/>
      <c r="Q970" s="43"/>
      <c r="R970" s="43"/>
      <c r="S970" s="43"/>
      <c r="T970" s="43"/>
      <c r="U970" s="43"/>
      <c r="V970" s="43"/>
      <c r="W970" s="43"/>
      <c r="X970" s="43"/>
      <c r="Y970" s="43"/>
      <c r="Z970" s="43"/>
    </row>
    <row r="971" spans="15:26" x14ac:dyDescent="0.25">
      <c r="O971" s="43"/>
      <c r="P971" s="43"/>
      <c r="Q971" s="43"/>
      <c r="R971" s="43"/>
      <c r="S971" s="43"/>
      <c r="T971" s="43"/>
      <c r="U971" s="43"/>
      <c r="V971" s="43"/>
      <c r="W971" s="43"/>
      <c r="X971" s="43"/>
      <c r="Y971" s="43"/>
      <c r="Z971" s="43"/>
    </row>
    <row r="972" spans="15:26" x14ac:dyDescent="0.25">
      <c r="O972" s="43"/>
      <c r="P972" s="43"/>
      <c r="Q972" s="43"/>
      <c r="R972" s="43"/>
      <c r="S972" s="43"/>
      <c r="T972" s="43"/>
      <c r="U972" s="43"/>
      <c r="V972" s="43"/>
      <c r="W972" s="43"/>
      <c r="X972" s="43"/>
      <c r="Y972" s="43"/>
      <c r="Z972" s="43"/>
    </row>
    <row r="973" spans="15:26" x14ac:dyDescent="0.25">
      <c r="O973" s="43"/>
      <c r="P973" s="43"/>
      <c r="Q973" s="43"/>
      <c r="R973" s="43"/>
      <c r="S973" s="43"/>
      <c r="T973" s="43"/>
      <c r="U973" s="43"/>
      <c r="V973" s="43"/>
      <c r="W973" s="43"/>
      <c r="X973" s="43"/>
      <c r="Y973" s="43"/>
      <c r="Z973" s="43"/>
    </row>
    <row r="974" spans="15:26" x14ac:dyDescent="0.25">
      <c r="O974" s="43"/>
      <c r="P974" s="43"/>
      <c r="Q974" s="43"/>
      <c r="R974" s="43"/>
      <c r="S974" s="43"/>
      <c r="T974" s="43"/>
      <c r="U974" s="43"/>
      <c r="V974" s="43"/>
      <c r="W974" s="43"/>
      <c r="X974" s="43"/>
      <c r="Y974" s="43"/>
      <c r="Z974" s="43"/>
    </row>
    <row r="975" spans="15:26" x14ac:dyDescent="0.25">
      <c r="O975" s="43"/>
      <c r="P975" s="43"/>
      <c r="Q975" s="43"/>
      <c r="R975" s="43"/>
      <c r="S975" s="43"/>
      <c r="T975" s="43"/>
      <c r="U975" s="43"/>
      <c r="V975" s="43"/>
      <c r="W975" s="43"/>
      <c r="X975" s="43"/>
      <c r="Y975" s="43"/>
      <c r="Z975" s="43"/>
    </row>
    <row r="976" spans="15:26" x14ac:dyDescent="0.25">
      <c r="O976" s="43"/>
      <c r="P976" s="43"/>
      <c r="Q976" s="43"/>
      <c r="R976" s="43"/>
      <c r="S976" s="43"/>
      <c r="T976" s="43"/>
      <c r="U976" s="43"/>
      <c r="V976" s="43"/>
      <c r="W976" s="43"/>
      <c r="X976" s="43"/>
      <c r="Y976" s="43"/>
      <c r="Z976" s="43"/>
    </row>
    <row r="977" spans="15:26" x14ac:dyDescent="0.25">
      <c r="O977" s="43"/>
      <c r="P977" s="43"/>
      <c r="Q977" s="43"/>
      <c r="R977" s="43"/>
      <c r="S977" s="43"/>
      <c r="T977" s="43"/>
      <c r="U977" s="43"/>
      <c r="V977" s="43"/>
      <c r="W977" s="43"/>
      <c r="X977" s="43"/>
      <c r="Y977" s="43"/>
      <c r="Z977" s="43"/>
    </row>
    <row r="978" spans="15:26" x14ac:dyDescent="0.25">
      <c r="O978" s="43"/>
      <c r="P978" s="43"/>
      <c r="Q978" s="43"/>
      <c r="R978" s="43"/>
      <c r="S978" s="43"/>
      <c r="T978" s="43"/>
      <c r="U978" s="43"/>
      <c r="V978" s="43"/>
      <c r="W978" s="43"/>
      <c r="X978" s="43"/>
      <c r="Y978" s="43"/>
      <c r="Z978" s="43"/>
    </row>
    <row r="979" spans="15:26" x14ac:dyDescent="0.25">
      <c r="O979" s="43"/>
      <c r="P979" s="43"/>
      <c r="Q979" s="43"/>
      <c r="R979" s="43"/>
      <c r="S979" s="43"/>
      <c r="T979" s="43"/>
      <c r="U979" s="43"/>
      <c r="V979" s="43"/>
      <c r="W979" s="43"/>
      <c r="X979" s="43"/>
      <c r="Y979" s="43"/>
      <c r="Z979" s="43"/>
    </row>
    <row r="980" spans="15:26" x14ac:dyDescent="0.25">
      <c r="O980" s="43"/>
      <c r="P980" s="43"/>
      <c r="Q980" s="43"/>
      <c r="R980" s="43"/>
      <c r="S980" s="43"/>
      <c r="T980" s="43"/>
      <c r="U980" s="43"/>
      <c r="V980" s="43"/>
      <c r="W980" s="43"/>
      <c r="X980" s="43"/>
      <c r="Y980" s="43"/>
      <c r="Z980" s="43"/>
    </row>
    <row r="981" spans="15:26" x14ac:dyDescent="0.25">
      <c r="O981" s="43"/>
      <c r="P981" s="43"/>
      <c r="Q981" s="43"/>
      <c r="R981" s="43"/>
      <c r="S981" s="43"/>
      <c r="T981" s="43"/>
      <c r="U981" s="43"/>
      <c r="V981" s="43"/>
      <c r="W981" s="43"/>
      <c r="X981" s="43"/>
      <c r="Y981" s="43"/>
      <c r="Z981" s="43"/>
    </row>
    <row r="982" spans="15:26" x14ac:dyDescent="0.25">
      <c r="O982" s="43"/>
      <c r="P982" s="43"/>
      <c r="Q982" s="43"/>
      <c r="R982" s="43"/>
      <c r="S982" s="43"/>
      <c r="T982" s="43"/>
      <c r="U982" s="43"/>
      <c r="V982" s="43"/>
      <c r="W982" s="43"/>
      <c r="X982" s="43"/>
      <c r="Y982" s="43"/>
      <c r="Z982" s="43"/>
    </row>
    <row r="983" spans="15:26" x14ac:dyDescent="0.25">
      <c r="O983" s="43"/>
      <c r="P983" s="43"/>
      <c r="Q983" s="43"/>
      <c r="R983" s="43"/>
      <c r="S983" s="43"/>
      <c r="T983" s="43"/>
      <c r="U983" s="43"/>
      <c r="V983" s="43"/>
      <c r="W983" s="43"/>
      <c r="X983" s="43"/>
      <c r="Y983" s="43"/>
      <c r="Z983" s="43"/>
    </row>
    <row r="984" spans="15:26" x14ac:dyDescent="0.25">
      <c r="O984" s="43"/>
      <c r="P984" s="43"/>
      <c r="Q984" s="43"/>
      <c r="R984" s="43"/>
      <c r="S984" s="43"/>
      <c r="T984" s="43"/>
      <c r="U984" s="43"/>
      <c r="V984" s="43"/>
      <c r="W984" s="43"/>
      <c r="X984" s="43"/>
      <c r="Y984" s="43"/>
      <c r="Z984" s="43"/>
    </row>
    <row r="985" spans="15:26" x14ac:dyDescent="0.25">
      <c r="O985" s="43"/>
      <c r="P985" s="43"/>
      <c r="Q985" s="43"/>
      <c r="R985" s="43"/>
      <c r="S985" s="43"/>
      <c r="T985" s="43"/>
      <c r="U985" s="43"/>
      <c r="V985" s="43"/>
      <c r="W985" s="43"/>
      <c r="X985" s="43"/>
      <c r="Y985" s="43"/>
      <c r="Z985" s="43"/>
    </row>
    <row r="986" spans="15:26" x14ac:dyDescent="0.25">
      <c r="O986" s="43"/>
      <c r="P986" s="43"/>
      <c r="Q986" s="43"/>
      <c r="R986" s="43"/>
      <c r="S986" s="43"/>
      <c r="T986" s="43"/>
      <c r="U986" s="43"/>
      <c r="V986" s="43"/>
      <c r="W986" s="43"/>
      <c r="X986" s="43"/>
      <c r="Y986" s="43"/>
      <c r="Z986" s="43"/>
    </row>
    <row r="987" spans="15:26" x14ac:dyDescent="0.25">
      <c r="O987" s="43"/>
      <c r="P987" s="43"/>
      <c r="Q987" s="43"/>
      <c r="R987" s="43"/>
      <c r="S987" s="43"/>
      <c r="T987" s="43"/>
      <c r="U987" s="43"/>
      <c r="V987" s="43"/>
      <c r="W987" s="43"/>
      <c r="X987" s="43"/>
      <c r="Y987" s="43"/>
      <c r="Z987" s="43"/>
    </row>
    <row r="988" spans="15:26" x14ac:dyDescent="0.25">
      <c r="O988" s="43"/>
      <c r="P988" s="43"/>
      <c r="Q988" s="43"/>
      <c r="R988" s="43"/>
      <c r="S988" s="43"/>
      <c r="T988" s="43"/>
      <c r="U988" s="43"/>
      <c r="V988" s="43"/>
      <c r="W988" s="43"/>
      <c r="X988" s="43"/>
      <c r="Y988" s="43"/>
      <c r="Z988" s="43"/>
    </row>
    <row r="989" spans="15:26" x14ac:dyDescent="0.25">
      <c r="O989" s="43"/>
      <c r="P989" s="43"/>
      <c r="Q989" s="43"/>
      <c r="R989" s="43"/>
      <c r="S989" s="43"/>
      <c r="T989" s="43"/>
      <c r="U989" s="43"/>
      <c r="V989" s="43"/>
      <c r="W989" s="43"/>
      <c r="X989" s="43"/>
      <c r="Y989" s="43"/>
      <c r="Z989" s="43"/>
    </row>
    <row r="990" spans="15:26" x14ac:dyDescent="0.25">
      <c r="O990" s="43"/>
      <c r="P990" s="43"/>
      <c r="Q990" s="43"/>
      <c r="R990" s="43"/>
      <c r="S990" s="43"/>
      <c r="T990" s="43"/>
      <c r="U990" s="43"/>
      <c r="V990" s="43"/>
      <c r="W990" s="43"/>
      <c r="X990" s="43"/>
      <c r="Y990" s="43"/>
      <c r="Z990" s="43"/>
    </row>
    <row r="991" spans="15:26" x14ac:dyDescent="0.25">
      <c r="O991" s="43"/>
      <c r="P991" s="43"/>
      <c r="Q991" s="43"/>
      <c r="R991" s="43"/>
      <c r="S991" s="43"/>
      <c r="T991" s="43"/>
      <c r="U991" s="43"/>
      <c r="V991" s="43"/>
      <c r="W991" s="43"/>
      <c r="X991" s="43"/>
      <c r="Y991" s="43"/>
      <c r="Z991" s="43"/>
    </row>
    <row r="992" spans="15:26" x14ac:dyDescent="0.25">
      <c r="O992" s="43"/>
      <c r="P992" s="43"/>
      <c r="Q992" s="43"/>
      <c r="R992" s="43"/>
      <c r="S992" s="43"/>
      <c r="T992" s="43"/>
      <c r="U992" s="43"/>
      <c r="V992" s="43"/>
      <c r="W992" s="43"/>
      <c r="X992" s="43"/>
      <c r="Y992" s="43"/>
      <c r="Z992" s="43"/>
    </row>
    <row r="993" spans="15:26" x14ac:dyDescent="0.25">
      <c r="O993" s="43"/>
      <c r="P993" s="43"/>
      <c r="Q993" s="43"/>
      <c r="R993" s="43"/>
      <c r="S993" s="43"/>
      <c r="T993" s="43"/>
      <c r="U993" s="43"/>
      <c r="V993" s="43"/>
      <c r="W993" s="43"/>
      <c r="X993" s="43"/>
      <c r="Y993" s="43"/>
      <c r="Z993" s="43"/>
    </row>
    <row r="994" spans="15:26" x14ac:dyDescent="0.25">
      <c r="O994" s="43"/>
      <c r="P994" s="43"/>
      <c r="Q994" s="43"/>
      <c r="R994" s="43"/>
      <c r="S994" s="43"/>
      <c r="T994" s="43"/>
      <c r="U994" s="43"/>
      <c r="V994" s="43"/>
      <c r="W994" s="43"/>
      <c r="X994" s="43"/>
      <c r="Y994" s="43"/>
      <c r="Z994" s="43"/>
    </row>
    <row r="995" spans="15:26" x14ac:dyDescent="0.25">
      <c r="O995" s="43"/>
      <c r="P995" s="43"/>
      <c r="Q995" s="43"/>
      <c r="R995" s="43"/>
      <c r="S995" s="43"/>
      <c r="T995" s="43"/>
      <c r="U995" s="43"/>
      <c r="V995" s="43"/>
      <c r="W995" s="43"/>
      <c r="X995" s="43"/>
      <c r="Y995" s="43"/>
      <c r="Z995" s="43"/>
    </row>
    <row r="996" spans="15:26" x14ac:dyDescent="0.25">
      <c r="O996" s="43"/>
      <c r="P996" s="43"/>
      <c r="Q996" s="43"/>
      <c r="R996" s="43"/>
      <c r="S996" s="43"/>
      <c r="T996" s="43"/>
      <c r="U996" s="43"/>
      <c r="V996" s="43"/>
      <c r="W996" s="43"/>
      <c r="X996" s="43"/>
      <c r="Y996" s="43"/>
      <c r="Z996" s="43"/>
    </row>
    <row r="997" spans="15:26" x14ac:dyDescent="0.25">
      <c r="O997" s="43"/>
      <c r="P997" s="43"/>
      <c r="Q997" s="43"/>
      <c r="R997" s="43"/>
      <c r="S997" s="43"/>
      <c r="T997" s="43"/>
      <c r="U997" s="43"/>
      <c r="V997" s="43"/>
      <c r="W997" s="43"/>
      <c r="X997" s="43"/>
      <c r="Y997" s="43"/>
      <c r="Z997" s="43"/>
    </row>
    <row r="998" spans="15:26" x14ac:dyDescent="0.25">
      <c r="O998" s="43"/>
      <c r="P998" s="43"/>
      <c r="Q998" s="43"/>
      <c r="R998" s="43"/>
      <c r="S998" s="43"/>
      <c r="T998" s="43"/>
      <c r="U998" s="43"/>
      <c r="V998" s="43"/>
      <c r="W998" s="43"/>
      <c r="X998" s="43"/>
      <c r="Y998" s="43"/>
      <c r="Z998" s="43"/>
    </row>
    <row r="999" spans="15:26" x14ac:dyDescent="0.25">
      <c r="O999" s="43"/>
      <c r="P999" s="43"/>
      <c r="Q999" s="43"/>
      <c r="R999" s="43"/>
      <c r="S999" s="43"/>
      <c r="T999" s="43"/>
      <c r="U999" s="43"/>
      <c r="V999" s="43"/>
      <c r="W999" s="43"/>
      <c r="X999" s="43"/>
      <c r="Y999" s="43"/>
      <c r="Z999" s="43"/>
    </row>
    <row r="1000" spans="15:26" x14ac:dyDescent="0.25">
      <c r="O1000" s="43"/>
      <c r="P1000" s="43"/>
      <c r="Q1000" s="43"/>
      <c r="R1000" s="43"/>
      <c r="S1000" s="43"/>
      <c r="T1000" s="43"/>
      <c r="U1000" s="43"/>
      <c r="V1000" s="43"/>
      <c r="W1000" s="43"/>
      <c r="X1000" s="43"/>
      <c r="Y1000" s="43"/>
      <c r="Z1000" s="43"/>
    </row>
    <row r="1001" spans="15:26" x14ac:dyDescent="0.25">
      <c r="O1001" s="43"/>
      <c r="P1001" s="43"/>
      <c r="Q1001" s="43"/>
      <c r="R1001" s="43"/>
      <c r="S1001" s="43"/>
      <c r="T1001" s="43"/>
      <c r="U1001" s="43"/>
      <c r="V1001" s="43"/>
      <c r="W1001" s="43"/>
      <c r="X1001" s="43"/>
      <c r="Y1001" s="43"/>
      <c r="Z1001" s="43"/>
    </row>
    <row r="1002" spans="15:26" x14ac:dyDescent="0.25">
      <c r="O1002" s="43"/>
      <c r="P1002" s="43"/>
      <c r="Q1002" s="43"/>
      <c r="R1002" s="43"/>
      <c r="S1002" s="43"/>
      <c r="T1002" s="43"/>
      <c r="U1002" s="43"/>
      <c r="V1002" s="43"/>
      <c r="W1002" s="43"/>
      <c r="X1002" s="43"/>
      <c r="Y1002" s="43"/>
      <c r="Z1002" s="43"/>
    </row>
    <row r="1003" spans="15:26" x14ac:dyDescent="0.25">
      <c r="O1003" s="43"/>
      <c r="P1003" s="43"/>
      <c r="Q1003" s="43"/>
      <c r="R1003" s="43"/>
      <c r="S1003" s="43"/>
      <c r="T1003" s="43"/>
      <c r="U1003" s="43"/>
      <c r="V1003" s="43"/>
      <c r="W1003" s="43"/>
      <c r="X1003" s="43"/>
      <c r="Y1003" s="43"/>
      <c r="Z1003" s="43"/>
    </row>
    <row r="1004" spans="15:26" x14ac:dyDescent="0.25">
      <c r="O1004" s="43"/>
      <c r="P1004" s="43"/>
      <c r="Q1004" s="43"/>
      <c r="R1004" s="43"/>
      <c r="S1004" s="43"/>
      <c r="T1004" s="43"/>
      <c r="U1004" s="43"/>
      <c r="V1004" s="43"/>
      <c r="W1004" s="43"/>
      <c r="X1004" s="43"/>
      <c r="Y1004" s="43"/>
      <c r="Z1004" s="43"/>
    </row>
    <row r="1005" spans="15:26" x14ac:dyDescent="0.25">
      <c r="O1005" s="43"/>
      <c r="P1005" s="43"/>
      <c r="Q1005" s="43"/>
      <c r="R1005" s="43"/>
      <c r="S1005" s="43"/>
      <c r="T1005" s="43"/>
      <c r="U1005" s="43"/>
      <c r="V1005" s="43"/>
      <c r="W1005" s="43"/>
      <c r="X1005" s="43"/>
      <c r="Y1005" s="43"/>
      <c r="Z1005" s="43"/>
    </row>
    <row r="1006" spans="15:26" x14ac:dyDescent="0.25">
      <c r="O1006" s="43"/>
      <c r="P1006" s="43"/>
      <c r="Q1006" s="43"/>
      <c r="R1006" s="43"/>
      <c r="S1006" s="43"/>
      <c r="T1006" s="43"/>
      <c r="U1006" s="43"/>
      <c r="V1006" s="43"/>
      <c r="W1006" s="43"/>
      <c r="X1006" s="43"/>
      <c r="Y1006" s="43"/>
      <c r="Z1006" s="43"/>
    </row>
    <row r="1007" spans="15:26" x14ac:dyDescent="0.25">
      <c r="O1007" s="43"/>
      <c r="P1007" s="43"/>
      <c r="Q1007" s="43"/>
      <c r="R1007" s="43"/>
      <c r="S1007" s="43"/>
      <c r="T1007" s="43"/>
      <c r="U1007" s="43"/>
      <c r="V1007" s="43"/>
      <c r="W1007" s="43"/>
      <c r="X1007" s="43"/>
      <c r="Y1007" s="43"/>
      <c r="Z1007" s="43"/>
    </row>
    <row r="1008" spans="15:26" x14ac:dyDescent="0.25">
      <c r="O1008" s="43"/>
      <c r="P1008" s="43"/>
      <c r="Q1008" s="43"/>
      <c r="R1008" s="43"/>
      <c r="S1008" s="43"/>
      <c r="T1008" s="43"/>
      <c r="U1008" s="43"/>
      <c r="V1008" s="43"/>
      <c r="W1008" s="43"/>
      <c r="X1008" s="43"/>
      <c r="Y1008" s="43"/>
      <c r="Z1008" s="43"/>
    </row>
    <row r="1009" spans="15:26" x14ac:dyDescent="0.25">
      <c r="O1009" s="43"/>
      <c r="P1009" s="43"/>
      <c r="Q1009" s="43"/>
      <c r="R1009" s="43"/>
      <c r="S1009" s="43"/>
      <c r="T1009" s="43"/>
      <c r="U1009" s="43"/>
      <c r="V1009" s="43"/>
      <c r="W1009" s="43"/>
      <c r="X1009" s="43"/>
      <c r="Y1009" s="43"/>
      <c r="Z1009" s="43"/>
    </row>
    <row r="1010" spans="15:26" x14ac:dyDescent="0.25">
      <c r="O1010" s="43"/>
      <c r="P1010" s="43"/>
      <c r="Q1010" s="43"/>
      <c r="R1010" s="43"/>
      <c r="S1010" s="43"/>
      <c r="T1010" s="43"/>
      <c r="U1010" s="43"/>
      <c r="V1010" s="43"/>
      <c r="W1010" s="43"/>
      <c r="X1010" s="43"/>
      <c r="Y1010" s="43"/>
      <c r="Z1010" s="43"/>
    </row>
    <row r="1011" spans="15:26" x14ac:dyDescent="0.25">
      <c r="O1011" s="43"/>
      <c r="P1011" s="43"/>
      <c r="Q1011" s="43"/>
      <c r="R1011" s="43"/>
      <c r="S1011" s="43"/>
      <c r="T1011" s="43"/>
      <c r="U1011" s="43"/>
      <c r="V1011" s="43"/>
      <c r="W1011" s="43"/>
      <c r="X1011" s="43"/>
      <c r="Y1011" s="43"/>
      <c r="Z1011" s="43"/>
    </row>
    <row r="1012" spans="15:26" x14ac:dyDescent="0.25">
      <c r="O1012" s="43"/>
      <c r="P1012" s="43"/>
      <c r="Q1012" s="43"/>
      <c r="R1012" s="43"/>
      <c r="S1012" s="43"/>
      <c r="T1012" s="43"/>
      <c r="U1012" s="43"/>
      <c r="V1012" s="43"/>
      <c r="W1012" s="43"/>
      <c r="X1012" s="43"/>
      <c r="Y1012" s="43"/>
      <c r="Z1012" s="43"/>
    </row>
    <row r="1013" spans="15:26" x14ac:dyDescent="0.25">
      <c r="O1013" s="43"/>
      <c r="P1013" s="43"/>
      <c r="Q1013" s="43"/>
      <c r="R1013" s="43"/>
      <c r="S1013" s="43"/>
      <c r="T1013" s="43"/>
      <c r="U1013" s="43"/>
      <c r="V1013" s="43"/>
      <c r="W1013" s="43"/>
      <c r="X1013" s="43"/>
      <c r="Y1013" s="43"/>
      <c r="Z1013" s="43"/>
    </row>
    <row r="1014" spans="15:26" x14ac:dyDescent="0.25">
      <c r="O1014" s="43"/>
      <c r="P1014" s="43"/>
      <c r="Q1014" s="43"/>
      <c r="R1014" s="43"/>
      <c r="S1014" s="43"/>
      <c r="T1014" s="43"/>
      <c r="U1014" s="43"/>
      <c r="V1014" s="43"/>
      <c r="W1014" s="43"/>
      <c r="X1014" s="43"/>
      <c r="Y1014" s="43"/>
      <c r="Z1014" s="43"/>
    </row>
    <row r="1015" spans="15:26" x14ac:dyDescent="0.25">
      <c r="O1015" s="43"/>
      <c r="P1015" s="43"/>
      <c r="Q1015" s="43"/>
      <c r="R1015" s="43"/>
      <c r="S1015" s="43"/>
      <c r="T1015" s="43"/>
      <c r="U1015" s="43"/>
      <c r="V1015" s="43"/>
      <c r="W1015" s="43"/>
      <c r="X1015" s="43"/>
      <c r="Y1015" s="43"/>
      <c r="Z1015" s="43"/>
    </row>
    <row r="1016" spans="15:26" x14ac:dyDescent="0.25">
      <c r="O1016" s="43"/>
      <c r="P1016" s="43"/>
      <c r="Q1016" s="43"/>
      <c r="R1016" s="43"/>
      <c r="S1016" s="43"/>
      <c r="T1016" s="43"/>
      <c r="U1016" s="43"/>
      <c r="V1016" s="43"/>
      <c r="W1016" s="43"/>
      <c r="X1016" s="43"/>
      <c r="Y1016" s="43"/>
      <c r="Z1016" s="43"/>
    </row>
    <row r="1017" spans="15:26" x14ac:dyDescent="0.25">
      <c r="O1017" s="43"/>
      <c r="P1017" s="43"/>
      <c r="Q1017" s="43"/>
      <c r="R1017" s="43"/>
      <c r="S1017" s="43"/>
      <c r="T1017" s="43"/>
      <c r="U1017" s="43"/>
      <c r="V1017" s="43"/>
      <c r="W1017" s="43"/>
      <c r="X1017" s="43"/>
      <c r="Y1017" s="43"/>
      <c r="Z1017" s="43"/>
    </row>
    <row r="1018" spans="15:26" x14ac:dyDescent="0.25">
      <c r="O1018" s="43"/>
      <c r="P1018" s="43"/>
      <c r="Q1018" s="43"/>
      <c r="R1018" s="43"/>
      <c r="S1018" s="43"/>
      <c r="T1018" s="43"/>
      <c r="U1018" s="43"/>
      <c r="V1018" s="43"/>
      <c r="W1018" s="43"/>
      <c r="X1018" s="43"/>
      <c r="Y1018" s="43"/>
      <c r="Z1018" s="43"/>
    </row>
    <row r="1019" spans="15:26" x14ac:dyDescent="0.25">
      <c r="O1019" s="43"/>
      <c r="P1019" s="43"/>
      <c r="Q1019" s="43"/>
      <c r="R1019" s="43"/>
      <c r="S1019" s="43"/>
      <c r="T1019" s="43"/>
      <c r="U1019" s="43"/>
      <c r="V1019" s="43"/>
      <c r="W1019" s="43"/>
      <c r="X1019" s="43"/>
      <c r="Y1019" s="43"/>
      <c r="Z1019" s="43"/>
    </row>
    <row r="1020" spans="15:26" x14ac:dyDescent="0.25">
      <c r="O1020" s="43"/>
      <c r="P1020" s="43"/>
      <c r="Q1020" s="43"/>
      <c r="R1020" s="43"/>
      <c r="S1020" s="43"/>
      <c r="T1020" s="43"/>
      <c r="U1020" s="43"/>
      <c r="V1020" s="43"/>
      <c r="W1020" s="43"/>
      <c r="X1020" s="43"/>
      <c r="Y1020" s="43"/>
      <c r="Z1020" s="43"/>
    </row>
    <row r="1021" spans="15:26" x14ac:dyDescent="0.25">
      <c r="O1021" s="43"/>
      <c r="P1021" s="43"/>
      <c r="Q1021" s="43"/>
      <c r="R1021" s="43"/>
      <c r="S1021" s="43"/>
      <c r="T1021" s="43"/>
      <c r="U1021" s="43"/>
      <c r="V1021" s="43"/>
      <c r="W1021" s="43"/>
      <c r="X1021" s="43"/>
      <c r="Y1021" s="43"/>
      <c r="Z1021" s="43"/>
    </row>
    <row r="1022" spans="15:26" x14ac:dyDescent="0.25">
      <c r="O1022" s="43"/>
      <c r="P1022" s="43"/>
      <c r="Q1022" s="43"/>
      <c r="R1022" s="43"/>
      <c r="S1022" s="43"/>
      <c r="T1022" s="43"/>
      <c r="U1022" s="43"/>
      <c r="V1022" s="43"/>
      <c r="W1022" s="43"/>
      <c r="X1022" s="43"/>
      <c r="Y1022" s="43"/>
      <c r="Z1022" s="43"/>
    </row>
    <row r="1023" spans="15:26" x14ac:dyDescent="0.25">
      <c r="O1023" s="43"/>
      <c r="P1023" s="43"/>
      <c r="Q1023" s="43"/>
      <c r="R1023" s="43"/>
      <c r="S1023" s="43"/>
      <c r="T1023" s="43"/>
      <c r="U1023" s="43"/>
      <c r="V1023" s="43"/>
      <c r="W1023" s="43"/>
      <c r="X1023" s="43"/>
      <c r="Y1023" s="43"/>
      <c r="Z1023" s="43"/>
    </row>
    <row r="1024" spans="15:26" x14ac:dyDescent="0.25">
      <c r="O1024" s="43"/>
      <c r="P1024" s="43"/>
      <c r="Q1024" s="43"/>
      <c r="R1024" s="43"/>
      <c r="S1024" s="43"/>
      <c r="T1024" s="43"/>
      <c r="U1024" s="43"/>
      <c r="V1024" s="43"/>
      <c r="W1024" s="43"/>
      <c r="X1024" s="43"/>
      <c r="Y1024" s="43"/>
      <c r="Z1024" s="43"/>
    </row>
    <row r="1025" spans="15:26" x14ac:dyDescent="0.25">
      <c r="O1025" s="43"/>
      <c r="P1025" s="43"/>
      <c r="Q1025" s="43"/>
      <c r="R1025" s="43"/>
      <c r="S1025" s="43"/>
      <c r="T1025" s="43"/>
      <c r="U1025" s="43"/>
      <c r="V1025" s="43"/>
      <c r="W1025" s="43"/>
      <c r="X1025" s="43"/>
      <c r="Y1025" s="43"/>
      <c r="Z1025" s="43"/>
    </row>
    <row r="1026" spans="15:26" x14ac:dyDescent="0.25">
      <c r="O1026" s="43"/>
      <c r="P1026" s="43"/>
      <c r="Q1026" s="43"/>
      <c r="R1026" s="43"/>
      <c r="S1026" s="43"/>
      <c r="T1026" s="43"/>
      <c r="U1026" s="43"/>
      <c r="V1026" s="43"/>
      <c r="W1026" s="43"/>
      <c r="X1026" s="43"/>
      <c r="Y1026" s="43"/>
      <c r="Z1026" s="43"/>
    </row>
    <row r="1027" spans="15:26" x14ac:dyDescent="0.25">
      <c r="O1027" s="43"/>
      <c r="P1027" s="43"/>
      <c r="Q1027" s="43"/>
      <c r="R1027" s="43"/>
      <c r="S1027" s="43"/>
      <c r="T1027" s="43"/>
      <c r="U1027" s="43"/>
      <c r="V1027" s="43"/>
      <c r="W1027" s="43"/>
      <c r="X1027" s="43"/>
      <c r="Y1027" s="43"/>
      <c r="Z1027" s="43"/>
    </row>
    <row r="1028" spans="15:26" x14ac:dyDescent="0.25">
      <c r="O1028" s="43"/>
      <c r="P1028" s="43"/>
      <c r="Q1028" s="43"/>
      <c r="R1028" s="43"/>
      <c r="S1028" s="43"/>
      <c r="T1028" s="43"/>
      <c r="U1028" s="43"/>
      <c r="V1028" s="43"/>
      <c r="W1028" s="43"/>
      <c r="X1028" s="43"/>
      <c r="Y1028" s="43"/>
      <c r="Z1028" s="43"/>
    </row>
    <row r="1029" spans="15:26" x14ac:dyDescent="0.25">
      <c r="O1029" s="43"/>
      <c r="P1029" s="43"/>
      <c r="Q1029" s="43"/>
      <c r="R1029" s="43"/>
      <c r="S1029" s="43"/>
      <c r="T1029" s="43"/>
      <c r="U1029" s="43"/>
      <c r="V1029" s="43"/>
      <c r="W1029" s="43"/>
      <c r="X1029" s="43"/>
      <c r="Y1029" s="43"/>
      <c r="Z1029" s="43"/>
    </row>
    <row r="1030" spans="15:26" x14ac:dyDescent="0.25">
      <c r="O1030" s="43"/>
      <c r="P1030" s="43"/>
      <c r="Q1030" s="43"/>
      <c r="R1030" s="43"/>
      <c r="S1030" s="43"/>
      <c r="T1030" s="43"/>
      <c r="U1030" s="43"/>
      <c r="V1030" s="43"/>
      <c r="W1030" s="43"/>
      <c r="X1030" s="43"/>
      <c r="Y1030" s="43"/>
      <c r="Z1030" s="43"/>
    </row>
    <row r="1031" spans="15:26" x14ac:dyDescent="0.25">
      <c r="O1031" s="43"/>
      <c r="P1031" s="43"/>
      <c r="Q1031" s="43"/>
      <c r="R1031" s="43"/>
      <c r="S1031" s="43"/>
      <c r="T1031" s="43"/>
      <c r="U1031" s="43"/>
      <c r="V1031" s="43"/>
      <c r="W1031" s="43"/>
      <c r="X1031" s="43"/>
      <c r="Y1031" s="43"/>
      <c r="Z1031" s="43"/>
    </row>
    <row r="1032" spans="15:26" x14ac:dyDescent="0.25">
      <c r="O1032" s="43"/>
      <c r="P1032" s="43"/>
      <c r="Q1032" s="43"/>
      <c r="R1032" s="43"/>
      <c r="S1032" s="43"/>
      <c r="T1032" s="43"/>
      <c r="U1032" s="43"/>
      <c r="V1032" s="43"/>
      <c r="W1032" s="43"/>
      <c r="X1032" s="43"/>
      <c r="Y1032" s="43"/>
      <c r="Z1032" s="43"/>
    </row>
    <row r="1033" spans="15:26" x14ac:dyDescent="0.25">
      <c r="O1033" s="43"/>
      <c r="P1033" s="43"/>
      <c r="Q1033" s="43"/>
      <c r="R1033" s="43"/>
      <c r="S1033" s="43"/>
      <c r="T1033" s="43"/>
      <c r="U1033" s="43"/>
      <c r="V1033" s="43"/>
      <c r="W1033" s="43"/>
      <c r="X1033" s="43"/>
      <c r="Y1033" s="43"/>
      <c r="Z1033" s="43"/>
    </row>
    <row r="1034" spans="15:26" x14ac:dyDescent="0.25">
      <c r="O1034" s="43"/>
      <c r="P1034" s="43"/>
      <c r="Q1034" s="43"/>
      <c r="R1034" s="43"/>
      <c r="S1034" s="43"/>
      <c r="T1034" s="43"/>
      <c r="U1034" s="43"/>
      <c r="V1034" s="43"/>
      <c r="W1034" s="43"/>
      <c r="X1034" s="43"/>
      <c r="Y1034" s="43"/>
      <c r="Z1034" s="43"/>
    </row>
    <row r="1035" spans="15:26" x14ac:dyDescent="0.25">
      <c r="O1035" s="43"/>
      <c r="P1035" s="43"/>
      <c r="Q1035" s="43"/>
      <c r="R1035" s="43"/>
      <c r="S1035" s="43"/>
      <c r="T1035" s="43"/>
      <c r="U1035" s="43"/>
      <c r="V1035" s="43"/>
      <c r="W1035" s="43"/>
      <c r="X1035" s="43"/>
      <c r="Y1035" s="43"/>
      <c r="Z1035" s="43"/>
    </row>
    <row r="1036" spans="15:26" x14ac:dyDescent="0.25">
      <c r="O1036" s="43"/>
      <c r="P1036" s="43"/>
      <c r="Q1036" s="43"/>
      <c r="R1036" s="43"/>
      <c r="S1036" s="43"/>
      <c r="T1036" s="43"/>
      <c r="U1036" s="43"/>
      <c r="V1036" s="43"/>
      <c r="W1036" s="43"/>
      <c r="X1036" s="43"/>
      <c r="Y1036" s="43"/>
      <c r="Z1036" s="43"/>
    </row>
    <row r="1037" spans="15:26" x14ac:dyDescent="0.25">
      <c r="O1037" s="43"/>
      <c r="P1037" s="43"/>
      <c r="Q1037" s="43"/>
      <c r="R1037" s="43"/>
      <c r="S1037" s="43"/>
      <c r="T1037" s="43"/>
      <c r="U1037" s="43"/>
      <c r="V1037" s="43"/>
      <c r="W1037" s="43"/>
      <c r="X1037" s="43"/>
      <c r="Y1037" s="43"/>
      <c r="Z1037" s="43"/>
    </row>
    <row r="1038" spans="15:26" x14ac:dyDescent="0.25">
      <c r="O1038" s="43"/>
      <c r="P1038" s="43"/>
      <c r="Q1038" s="43"/>
      <c r="R1038" s="43"/>
      <c r="S1038" s="43"/>
      <c r="T1038" s="43"/>
      <c r="U1038" s="43"/>
      <c r="V1038" s="43"/>
      <c r="W1038" s="43"/>
      <c r="X1038" s="43"/>
      <c r="Y1038" s="43"/>
      <c r="Z1038" s="43"/>
    </row>
    <row r="1039" spans="15:26" x14ac:dyDescent="0.25">
      <c r="O1039" s="43"/>
      <c r="P1039" s="43"/>
      <c r="Q1039" s="43"/>
      <c r="R1039" s="43"/>
      <c r="S1039" s="43"/>
      <c r="T1039" s="43"/>
      <c r="U1039" s="43"/>
      <c r="V1039" s="43"/>
      <c r="W1039" s="43"/>
      <c r="X1039" s="43"/>
      <c r="Y1039" s="43"/>
      <c r="Z1039" s="43"/>
    </row>
    <row r="1040" spans="15:26" x14ac:dyDescent="0.25">
      <c r="O1040" s="43"/>
      <c r="P1040" s="43"/>
      <c r="Q1040" s="43"/>
      <c r="R1040" s="43"/>
      <c r="S1040" s="43"/>
      <c r="T1040" s="43"/>
      <c r="U1040" s="43"/>
      <c r="V1040" s="43"/>
      <c r="W1040" s="43"/>
      <c r="X1040" s="43"/>
      <c r="Y1040" s="43"/>
      <c r="Z1040" s="43"/>
    </row>
    <row r="1041" spans="15:26" x14ac:dyDescent="0.25">
      <c r="O1041" s="43"/>
      <c r="P1041" s="43"/>
      <c r="Q1041" s="43"/>
      <c r="R1041" s="43"/>
      <c r="S1041" s="43"/>
      <c r="T1041" s="43"/>
      <c r="U1041" s="43"/>
      <c r="V1041" s="43"/>
      <c r="W1041" s="43"/>
      <c r="X1041" s="43"/>
      <c r="Y1041" s="43"/>
      <c r="Z1041" s="43"/>
    </row>
    <row r="1042" spans="15:26" x14ac:dyDescent="0.25">
      <c r="O1042" s="43"/>
      <c r="P1042" s="43"/>
      <c r="Q1042" s="43"/>
      <c r="R1042" s="43"/>
      <c r="S1042" s="43"/>
      <c r="T1042" s="43"/>
      <c r="U1042" s="43"/>
      <c r="V1042" s="43"/>
      <c r="W1042" s="43"/>
      <c r="X1042" s="43"/>
      <c r="Y1042" s="43"/>
      <c r="Z1042" s="43"/>
    </row>
    <row r="1043" spans="15:26" x14ac:dyDescent="0.25">
      <c r="O1043" s="43"/>
      <c r="P1043" s="43"/>
      <c r="Q1043" s="43"/>
      <c r="R1043" s="43"/>
      <c r="S1043" s="43"/>
      <c r="T1043" s="43"/>
      <c r="U1043" s="43"/>
      <c r="V1043" s="43"/>
      <c r="W1043" s="43"/>
      <c r="X1043" s="43"/>
      <c r="Y1043" s="43"/>
      <c r="Z1043" s="43"/>
    </row>
    <row r="1044" spans="15:26" x14ac:dyDescent="0.25">
      <c r="O1044" s="43"/>
      <c r="P1044" s="43"/>
      <c r="Q1044" s="43"/>
      <c r="R1044" s="43"/>
      <c r="S1044" s="43"/>
      <c r="T1044" s="43"/>
      <c r="U1044" s="43"/>
      <c r="V1044" s="43"/>
      <c r="W1044" s="43"/>
      <c r="X1044" s="43"/>
      <c r="Y1044" s="43"/>
      <c r="Z1044" s="43"/>
    </row>
    <row r="1045" spans="15:26" x14ac:dyDescent="0.25">
      <c r="O1045" s="43"/>
      <c r="P1045" s="43"/>
      <c r="Q1045" s="43"/>
      <c r="R1045" s="43"/>
      <c r="S1045" s="43"/>
      <c r="T1045" s="43"/>
      <c r="U1045" s="43"/>
      <c r="V1045" s="43"/>
      <c r="W1045" s="43"/>
      <c r="X1045" s="43"/>
      <c r="Y1045" s="43"/>
      <c r="Z1045" s="43"/>
    </row>
    <row r="1046" spans="15:26" x14ac:dyDescent="0.25">
      <c r="O1046" s="43"/>
      <c r="P1046" s="43"/>
      <c r="Q1046" s="43"/>
      <c r="R1046" s="43"/>
      <c r="S1046" s="43"/>
      <c r="T1046" s="43"/>
      <c r="U1046" s="43"/>
      <c r="V1046" s="43"/>
      <c r="W1046" s="43"/>
      <c r="X1046" s="43"/>
      <c r="Y1046" s="43"/>
      <c r="Z1046" s="43"/>
    </row>
    <row r="1047" spans="15:26" x14ac:dyDescent="0.25">
      <c r="O1047" s="43"/>
      <c r="P1047" s="43"/>
      <c r="Q1047" s="43"/>
      <c r="R1047" s="43"/>
      <c r="S1047" s="43"/>
      <c r="T1047" s="43"/>
      <c r="U1047" s="43"/>
      <c r="V1047" s="43"/>
      <c r="W1047" s="43"/>
      <c r="X1047" s="43"/>
      <c r="Y1047" s="43"/>
      <c r="Z1047" s="43"/>
    </row>
    <row r="1048" spans="15:26" x14ac:dyDescent="0.25">
      <c r="O1048" s="43"/>
      <c r="P1048" s="43"/>
      <c r="Q1048" s="43"/>
      <c r="R1048" s="43"/>
      <c r="S1048" s="43"/>
      <c r="T1048" s="43"/>
      <c r="U1048" s="43"/>
      <c r="V1048" s="43"/>
      <c r="W1048" s="43"/>
      <c r="X1048" s="43"/>
      <c r="Y1048" s="43"/>
      <c r="Z1048" s="43"/>
    </row>
    <row r="1049" spans="15:26" x14ac:dyDescent="0.25">
      <c r="O1049" s="43"/>
      <c r="P1049" s="43"/>
      <c r="Q1049" s="43"/>
      <c r="R1049" s="43"/>
      <c r="S1049" s="43"/>
      <c r="T1049" s="43"/>
      <c r="U1049" s="43"/>
      <c r="V1049" s="43"/>
      <c r="W1049" s="43"/>
      <c r="X1049" s="43"/>
      <c r="Y1049" s="43"/>
      <c r="Z1049" s="43"/>
    </row>
    <row r="1050" spans="15:26" x14ac:dyDescent="0.25">
      <c r="O1050" s="43"/>
      <c r="P1050" s="43"/>
      <c r="Q1050" s="43"/>
      <c r="R1050" s="43"/>
      <c r="S1050" s="43"/>
      <c r="T1050" s="43"/>
      <c r="U1050" s="43"/>
      <c r="V1050" s="43"/>
      <c r="W1050" s="43"/>
      <c r="X1050" s="43"/>
      <c r="Y1050" s="43"/>
      <c r="Z1050" s="43"/>
    </row>
    <row r="1051" spans="15:26" x14ac:dyDescent="0.25">
      <c r="O1051" s="43"/>
      <c r="P1051" s="43"/>
      <c r="Q1051" s="43"/>
      <c r="R1051" s="43"/>
      <c r="S1051" s="43"/>
      <c r="T1051" s="43"/>
      <c r="U1051" s="43"/>
      <c r="V1051" s="43"/>
      <c r="W1051" s="43"/>
      <c r="X1051" s="43"/>
      <c r="Y1051" s="43"/>
      <c r="Z1051" s="43"/>
    </row>
    <row r="1052" spans="15:26" x14ac:dyDescent="0.25">
      <c r="O1052" s="43"/>
      <c r="P1052" s="43"/>
      <c r="Q1052" s="43"/>
      <c r="R1052" s="43"/>
      <c r="S1052" s="43"/>
      <c r="T1052" s="43"/>
      <c r="U1052" s="43"/>
      <c r="V1052" s="43"/>
      <c r="W1052" s="43"/>
      <c r="X1052" s="43"/>
      <c r="Y1052" s="43"/>
      <c r="Z1052" s="43"/>
    </row>
    <row r="1053" spans="15:26" x14ac:dyDescent="0.25">
      <c r="O1053" s="43"/>
      <c r="P1053" s="43"/>
      <c r="Q1053" s="43"/>
      <c r="R1053" s="43"/>
      <c r="S1053" s="43"/>
      <c r="T1053" s="43"/>
      <c r="U1053" s="43"/>
      <c r="V1053" s="43"/>
      <c r="W1053" s="43"/>
      <c r="X1053" s="43"/>
      <c r="Y1053" s="43"/>
      <c r="Z1053" s="43"/>
    </row>
    <row r="1054" spans="15:26" x14ac:dyDescent="0.25">
      <c r="O1054" s="43"/>
      <c r="P1054" s="43"/>
      <c r="Q1054" s="43"/>
      <c r="R1054" s="43"/>
      <c r="S1054" s="43"/>
      <c r="T1054" s="43"/>
      <c r="U1054" s="43"/>
      <c r="V1054" s="43"/>
      <c r="W1054" s="43"/>
      <c r="X1054" s="43"/>
      <c r="Y1054" s="43"/>
      <c r="Z1054" s="43"/>
    </row>
    <row r="1055" spans="15:26" x14ac:dyDescent="0.25">
      <c r="O1055" s="43"/>
      <c r="P1055" s="43"/>
      <c r="Q1055" s="43"/>
      <c r="R1055" s="43"/>
      <c r="S1055" s="43"/>
      <c r="T1055" s="43"/>
      <c r="U1055" s="43"/>
      <c r="V1055" s="43"/>
      <c r="W1055" s="43"/>
      <c r="X1055" s="43"/>
      <c r="Y1055" s="43"/>
      <c r="Z1055" s="43"/>
    </row>
    <row r="1056" spans="15:26" x14ac:dyDescent="0.25">
      <c r="O1056" s="43"/>
      <c r="P1056" s="43"/>
      <c r="Q1056" s="43"/>
      <c r="R1056" s="43"/>
      <c r="S1056" s="43"/>
      <c r="T1056" s="43"/>
      <c r="U1056" s="43"/>
      <c r="V1056" s="43"/>
      <c r="W1056" s="43"/>
      <c r="X1056" s="43"/>
      <c r="Y1056" s="43"/>
      <c r="Z1056" s="43"/>
    </row>
    <row r="1057" spans="15:26" x14ac:dyDescent="0.25">
      <c r="O1057" s="43"/>
      <c r="P1057" s="43"/>
      <c r="Q1057" s="43"/>
      <c r="R1057" s="43"/>
      <c r="S1057" s="43"/>
      <c r="T1057" s="43"/>
      <c r="U1057" s="43"/>
      <c r="V1057" s="43"/>
      <c r="W1057" s="43"/>
      <c r="X1057" s="43"/>
      <c r="Y1057" s="43"/>
      <c r="Z1057" s="43"/>
    </row>
    <row r="1058" spans="15:26" x14ac:dyDescent="0.25">
      <c r="O1058" s="43"/>
      <c r="P1058" s="43"/>
      <c r="Q1058" s="43"/>
      <c r="R1058" s="43"/>
      <c r="S1058" s="43"/>
      <c r="T1058" s="43"/>
      <c r="U1058" s="43"/>
      <c r="V1058" s="43"/>
      <c r="W1058" s="43"/>
      <c r="X1058" s="43"/>
      <c r="Y1058" s="43"/>
      <c r="Z1058" s="43"/>
    </row>
    <row r="1059" spans="15:26" x14ac:dyDescent="0.25">
      <c r="O1059" s="43"/>
      <c r="P1059" s="43"/>
      <c r="Q1059" s="43"/>
      <c r="R1059" s="43"/>
      <c r="S1059" s="43"/>
      <c r="T1059" s="43"/>
      <c r="U1059" s="43"/>
      <c r="V1059" s="43"/>
      <c r="W1059" s="43"/>
      <c r="X1059" s="43"/>
      <c r="Y1059" s="43"/>
      <c r="Z1059" s="43"/>
    </row>
    <row r="1060" spans="15:26" x14ac:dyDescent="0.25">
      <c r="O1060" s="43"/>
      <c r="P1060" s="43"/>
      <c r="Q1060" s="43"/>
      <c r="R1060" s="43"/>
      <c r="S1060" s="43"/>
      <c r="T1060" s="43"/>
      <c r="U1060" s="43"/>
      <c r="V1060" s="43"/>
      <c r="W1060" s="43"/>
      <c r="X1060" s="43"/>
      <c r="Y1060" s="43"/>
      <c r="Z1060" s="43"/>
    </row>
    <row r="1061" spans="15:26" x14ac:dyDescent="0.25">
      <c r="O1061" s="43"/>
      <c r="P1061" s="43"/>
      <c r="Q1061" s="43"/>
      <c r="R1061" s="43"/>
      <c r="S1061" s="43"/>
      <c r="T1061" s="43"/>
      <c r="U1061" s="43"/>
      <c r="V1061" s="43"/>
      <c r="W1061" s="43"/>
      <c r="X1061" s="43"/>
      <c r="Y1061" s="43"/>
      <c r="Z1061" s="43"/>
    </row>
    <row r="1062" spans="15:26" x14ac:dyDescent="0.25">
      <c r="O1062" s="43"/>
      <c r="P1062" s="43"/>
      <c r="Q1062" s="43"/>
      <c r="R1062" s="43"/>
      <c r="S1062" s="43"/>
      <c r="T1062" s="43"/>
      <c r="U1062" s="43"/>
      <c r="V1062" s="43"/>
      <c r="W1062" s="43"/>
      <c r="X1062" s="43"/>
      <c r="Y1062" s="43"/>
      <c r="Z1062" s="43"/>
    </row>
    <row r="1063" spans="15:26" x14ac:dyDescent="0.25">
      <c r="O1063" s="43"/>
      <c r="P1063" s="43"/>
      <c r="Q1063" s="43"/>
      <c r="R1063" s="43"/>
      <c r="S1063" s="43"/>
      <c r="T1063" s="43"/>
      <c r="U1063" s="43"/>
      <c r="V1063" s="43"/>
      <c r="W1063" s="43"/>
      <c r="X1063" s="43"/>
      <c r="Y1063" s="43"/>
      <c r="Z1063" s="43"/>
    </row>
    <row r="1064" spans="15:26" x14ac:dyDescent="0.25">
      <c r="O1064" s="43"/>
      <c r="P1064" s="43"/>
      <c r="Q1064" s="43"/>
      <c r="R1064" s="43"/>
      <c r="S1064" s="43"/>
      <c r="T1064" s="43"/>
      <c r="U1064" s="43"/>
      <c r="V1064" s="43"/>
      <c r="W1064" s="43"/>
      <c r="X1064" s="43"/>
      <c r="Y1064" s="43"/>
      <c r="Z1064" s="43"/>
    </row>
    <row r="1065" spans="15:26" x14ac:dyDescent="0.25">
      <c r="O1065" s="43"/>
      <c r="P1065" s="43"/>
      <c r="Q1065" s="43"/>
      <c r="R1065" s="43"/>
      <c r="S1065" s="43"/>
      <c r="T1065" s="43"/>
      <c r="U1065" s="43"/>
      <c r="V1065" s="43"/>
      <c r="W1065" s="43"/>
      <c r="X1065" s="43"/>
      <c r="Y1065" s="43"/>
      <c r="Z1065" s="43"/>
    </row>
    <row r="1066" spans="15:26" x14ac:dyDescent="0.25">
      <c r="O1066" s="43"/>
      <c r="P1066" s="43"/>
      <c r="Q1066" s="43"/>
      <c r="R1066" s="43"/>
      <c r="S1066" s="43"/>
      <c r="T1066" s="43"/>
      <c r="U1066" s="43"/>
      <c r="V1066" s="43"/>
      <c r="W1066" s="43"/>
      <c r="X1066" s="43"/>
      <c r="Y1066" s="43"/>
      <c r="Z1066" s="43"/>
    </row>
    <row r="1067" spans="15:26" x14ac:dyDescent="0.25">
      <c r="O1067" s="43"/>
      <c r="P1067" s="43"/>
      <c r="Q1067" s="43"/>
      <c r="R1067" s="43"/>
      <c r="S1067" s="43"/>
      <c r="T1067" s="43"/>
      <c r="U1067" s="43"/>
      <c r="V1067" s="43"/>
      <c r="W1067" s="43"/>
      <c r="X1067" s="43"/>
      <c r="Y1067" s="43"/>
      <c r="Z1067" s="43"/>
    </row>
    <row r="1068" spans="15:26" x14ac:dyDescent="0.25">
      <c r="O1068" s="43"/>
      <c r="P1068" s="43"/>
      <c r="Q1068" s="43"/>
      <c r="R1068" s="43"/>
      <c r="S1068" s="43"/>
      <c r="T1068" s="43"/>
      <c r="U1068" s="43"/>
      <c r="V1068" s="43"/>
      <c r="W1068" s="43"/>
      <c r="X1068" s="43"/>
      <c r="Y1068" s="43"/>
      <c r="Z1068" s="43"/>
    </row>
    <row r="1069" spans="15:26" x14ac:dyDescent="0.25">
      <c r="O1069" s="43"/>
      <c r="P1069" s="43"/>
      <c r="Q1069" s="43"/>
      <c r="R1069" s="43"/>
      <c r="S1069" s="43"/>
      <c r="T1069" s="43"/>
      <c r="U1069" s="43"/>
      <c r="V1069" s="43"/>
      <c r="W1069" s="43"/>
      <c r="X1069" s="43"/>
      <c r="Y1069" s="43"/>
      <c r="Z1069" s="43"/>
    </row>
    <row r="1070" spans="15:26" x14ac:dyDescent="0.25">
      <c r="O1070" s="43"/>
      <c r="P1070" s="43"/>
      <c r="Q1070" s="43"/>
      <c r="R1070" s="43"/>
      <c r="S1070" s="43"/>
      <c r="T1070" s="43"/>
      <c r="U1070" s="43"/>
      <c r="V1070" s="43"/>
      <c r="W1070" s="43"/>
      <c r="X1070" s="43"/>
      <c r="Y1070" s="43"/>
      <c r="Z1070" s="43"/>
    </row>
    <row r="1071" spans="15:26" x14ac:dyDescent="0.25">
      <c r="O1071" s="43"/>
      <c r="P1071" s="43"/>
      <c r="Q1071" s="43"/>
      <c r="R1071" s="43"/>
      <c r="S1071" s="43"/>
      <c r="T1071" s="43"/>
      <c r="U1071" s="43"/>
      <c r="V1071" s="43"/>
      <c r="W1071" s="43"/>
      <c r="X1071" s="43"/>
      <c r="Y1071" s="43"/>
      <c r="Z1071" s="43"/>
    </row>
    <row r="1072" spans="15:26" x14ac:dyDescent="0.25">
      <c r="O1072" s="43"/>
      <c r="P1072" s="43"/>
      <c r="Q1072" s="43"/>
      <c r="R1072" s="43"/>
      <c r="S1072" s="43"/>
      <c r="T1072" s="43"/>
      <c r="U1072" s="43"/>
      <c r="V1072" s="43"/>
      <c r="W1072" s="43"/>
      <c r="X1072" s="43"/>
      <c r="Y1072" s="43"/>
      <c r="Z1072" s="43"/>
    </row>
    <row r="1073" spans="15:26" x14ac:dyDescent="0.25">
      <c r="O1073" s="43"/>
      <c r="P1073" s="43"/>
      <c r="Q1073" s="43"/>
      <c r="R1073" s="43"/>
      <c r="S1073" s="43"/>
      <c r="T1073" s="43"/>
      <c r="U1073" s="43"/>
      <c r="V1073" s="43"/>
      <c r="W1073" s="43"/>
      <c r="X1073" s="43"/>
      <c r="Y1073" s="43"/>
      <c r="Z1073" s="43"/>
    </row>
    <row r="1074" spans="15:26" x14ac:dyDescent="0.25">
      <c r="O1074" s="43"/>
      <c r="P1074" s="43"/>
      <c r="Q1074" s="43"/>
      <c r="R1074" s="43"/>
      <c r="S1074" s="43"/>
      <c r="T1074" s="43"/>
      <c r="U1074" s="43"/>
      <c r="V1074" s="43"/>
      <c r="W1074" s="43"/>
      <c r="X1074" s="43"/>
      <c r="Y1074" s="43"/>
      <c r="Z1074" s="43"/>
    </row>
    <row r="1075" spans="15:26" x14ac:dyDescent="0.25">
      <c r="O1075" s="43"/>
      <c r="P1075" s="43"/>
      <c r="Q1075" s="43"/>
      <c r="R1075" s="43"/>
      <c r="S1075" s="43"/>
      <c r="T1075" s="43"/>
      <c r="U1075" s="43"/>
      <c r="V1075" s="43"/>
      <c r="W1075" s="43"/>
      <c r="X1075" s="43"/>
      <c r="Y1075" s="43"/>
      <c r="Z1075" s="43"/>
    </row>
    <row r="1076" spans="15:26" x14ac:dyDescent="0.25">
      <c r="O1076" s="43"/>
      <c r="P1076" s="43"/>
      <c r="Q1076" s="43"/>
      <c r="R1076" s="43"/>
      <c r="S1076" s="43"/>
      <c r="T1076" s="43"/>
      <c r="U1076" s="43"/>
      <c r="V1076" s="43"/>
      <c r="W1076" s="43"/>
      <c r="X1076" s="43"/>
      <c r="Y1076" s="43"/>
      <c r="Z1076" s="43"/>
    </row>
    <row r="1077" spans="15:26" x14ac:dyDescent="0.25">
      <c r="O1077" s="43"/>
      <c r="P1077" s="43"/>
      <c r="Q1077" s="43"/>
      <c r="R1077" s="43"/>
      <c r="S1077" s="43"/>
      <c r="T1077" s="43"/>
      <c r="U1077" s="43"/>
      <c r="V1077" s="43"/>
      <c r="W1077" s="43"/>
      <c r="X1077" s="43"/>
      <c r="Y1077" s="43"/>
      <c r="Z1077" s="43"/>
    </row>
    <row r="1078" spans="15:26" x14ac:dyDescent="0.25">
      <c r="O1078" s="43"/>
      <c r="P1078" s="43"/>
      <c r="Q1078" s="43"/>
      <c r="R1078" s="43"/>
      <c r="S1078" s="43"/>
      <c r="T1078" s="43"/>
      <c r="U1078" s="43"/>
      <c r="V1078" s="43"/>
      <c r="W1078" s="43"/>
      <c r="X1078" s="43"/>
      <c r="Y1078" s="43"/>
      <c r="Z1078" s="43"/>
    </row>
    <row r="1079" spans="15:26" x14ac:dyDescent="0.25">
      <c r="O1079" s="43"/>
      <c r="P1079" s="43"/>
      <c r="Q1079" s="43"/>
      <c r="R1079" s="43"/>
      <c r="S1079" s="43"/>
      <c r="T1079" s="43"/>
      <c r="U1079" s="43"/>
      <c r="V1079" s="43"/>
      <c r="W1079" s="43"/>
      <c r="X1079" s="43"/>
      <c r="Y1079" s="43"/>
      <c r="Z1079" s="43"/>
    </row>
    <row r="1080" spans="15:26" x14ac:dyDescent="0.25">
      <c r="O1080" s="43"/>
      <c r="P1080" s="43"/>
      <c r="Q1080" s="43"/>
      <c r="R1080" s="43"/>
      <c r="S1080" s="43"/>
      <c r="T1080" s="43"/>
      <c r="U1080" s="43"/>
      <c r="V1080" s="43"/>
      <c r="W1080" s="43"/>
      <c r="X1080" s="43"/>
      <c r="Y1080" s="43"/>
      <c r="Z1080" s="43"/>
    </row>
    <row r="1081" spans="15:26" x14ac:dyDescent="0.25">
      <c r="O1081" s="43"/>
      <c r="P1081" s="43"/>
      <c r="Q1081" s="43"/>
      <c r="R1081" s="43"/>
      <c r="S1081" s="43"/>
      <c r="T1081" s="43"/>
      <c r="U1081" s="43"/>
      <c r="V1081" s="43"/>
      <c r="W1081" s="43"/>
      <c r="X1081" s="43"/>
      <c r="Y1081" s="43"/>
      <c r="Z1081" s="43"/>
    </row>
    <row r="1082" spans="15:26" x14ac:dyDescent="0.25">
      <c r="O1082" s="43"/>
      <c r="P1082" s="43"/>
      <c r="Q1082" s="43"/>
      <c r="R1082" s="43"/>
      <c r="S1082" s="43"/>
      <c r="T1082" s="43"/>
      <c r="U1082" s="43"/>
      <c r="V1082" s="43"/>
      <c r="W1082" s="43"/>
      <c r="X1082" s="43"/>
      <c r="Y1082" s="43"/>
      <c r="Z1082" s="43"/>
    </row>
    <row r="1083" spans="15:26" x14ac:dyDescent="0.25">
      <c r="O1083" s="43"/>
      <c r="P1083" s="43"/>
      <c r="Q1083" s="43"/>
      <c r="R1083" s="43"/>
      <c r="S1083" s="43"/>
      <c r="T1083" s="43"/>
      <c r="U1083" s="43"/>
      <c r="V1083" s="43"/>
      <c r="W1083" s="43"/>
      <c r="X1083" s="43"/>
      <c r="Y1083" s="43"/>
      <c r="Z1083" s="43"/>
    </row>
    <row r="1084" spans="15:26" x14ac:dyDescent="0.25">
      <c r="O1084" s="43"/>
      <c r="P1084" s="43"/>
      <c r="Q1084" s="43"/>
      <c r="R1084" s="43"/>
      <c r="S1084" s="43"/>
      <c r="T1084" s="43"/>
      <c r="U1084" s="43"/>
      <c r="V1084" s="43"/>
      <c r="W1084" s="43"/>
      <c r="X1084" s="43"/>
      <c r="Y1084" s="43"/>
      <c r="Z1084" s="43"/>
    </row>
    <row r="1085" spans="15:26" x14ac:dyDescent="0.25">
      <c r="O1085" s="43"/>
      <c r="P1085" s="43"/>
      <c r="Q1085" s="43"/>
      <c r="R1085" s="43"/>
      <c r="S1085" s="43"/>
      <c r="T1085" s="43"/>
      <c r="U1085" s="43"/>
      <c r="V1085" s="43"/>
      <c r="W1085" s="43"/>
      <c r="X1085" s="43"/>
      <c r="Y1085" s="43"/>
      <c r="Z1085" s="43"/>
    </row>
    <row r="1086" spans="15:26" x14ac:dyDescent="0.25">
      <c r="O1086" s="43"/>
      <c r="P1086" s="43"/>
      <c r="Q1086" s="43"/>
      <c r="R1086" s="43"/>
      <c r="S1086" s="43"/>
      <c r="T1086" s="43"/>
      <c r="U1086" s="43"/>
      <c r="V1086" s="43"/>
      <c r="W1086" s="43"/>
      <c r="X1086" s="43"/>
      <c r="Y1086" s="43"/>
      <c r="Z1086" s="43"/>
    </row>
    <row r="1087" spans="15:26" x14ac:dyDescent="0.25">
      <c r="O1087" s="43"/>
      <c r="P1087" s="43"/>
      <c r="Q1087" s="43"/>
      <c r="R1087" s="43"/>
      <c r="S1087" s="43"/>
      <c r="T1087" s="43"/>
      <c r="U1087" s="43"/>
      <c r="V1087" s="43"/>
      <c r="W1087" s="43"/>
      <c r="X1087" s="43"/>
      <c r="Y1087" s="43"/>
      <c r="Z1087" s="43"/>
    </row>
    <row r="1088" spans="15:26" x14ac:dyDescent="0.25">
      <c r="O1088" s="43"/>
      <c r="P1088" s="43"/>
      <c r="Q1088" s="43"/>
      <c r="R1088" s="43"/>
      <c r="S1088" s="43"/>
      <c r="T1088" s="43"/>
      <c r="U1088" s="43"/>
      <c r="V1088" s="43"/>
      <c r="W1088" s="43"/>
      <c r="X1088" s="43"/>
      <c r="Y1088" s="43"/>
      <c r="Z1088" s="43"/>
    </row>
    <row r="1089" spans="15:26" x14ac:dyDescent="0.25">
      <c r="O1089" s="43"/>
      <c r="P1089" s="43"/>
      <c r="Q1089" s="43"/>
      <c r="R1089" s="43"/>
      <c r="S1089" s="43"/>
      <c r="T1089" s="43"/>
      <c r="U1089" s="43"/>
      <c r="V1089" s="43"/>
      <c r="W1089" s="43"/>
      <c r="X1089" s="43"/>
      <c r="Y1089" s="43"/>
      <c r="Z1089" s="43"/>
    </row>
    <row r="1090" spans="15:26" x14ac:dyDescent="0.25">
      <c r="O1090" s="43"/>
      <c r="P1090" s="43"/>
      <c r="Q1090" s="43"/>
      <c r="R1090" s="43"/>
      <c r="S1090" s="43"/>
      <c r="T1090" s="43"/>
      <c r="U1090" s="43"/>
      <c r="V1090" s="43"/>
      <c r="W1090" s="43"/>
      <c r="X1090" s="43"/>
      <c r="Y1090" s="43"/>
      <c r="Z1090" s="43"/>
    </row>
    <row r="1091" spans="15:26" x14ac:dyDescent="0.25">
      <c r="O1091" s="43"/>
      <c r="P1091" s="43"/>
      <c r="Q1091" s="43"/>
      <c r="R1091" s="43"/>
      <c r="S1091" s="43"/>
      <c r="T1091" s="43"/>
      <c r="U1091" s="43"/>
      <c r="V1091" s="43"/>
      <c r="W1091" s="43"/>
      <c r="X1091" s="43"/>
      <c r="Y1091" s="43"/>
      <c r="Z1091" s="43"/>
    </row>
    <row r="1092" spans="15:26" x14ac:dyDescent="0.25">
      <c r="O1092" s="43"/>
      <c r="P1092" s="43"/>
      <c r="Q1092" s="43"/>
      <c r="R1092" s="43"/>
      <c r="S1092" s="43"/>
      <c r="T1092" s="43"/>
      <c r="U1092" s="43"/>
      <c r="V1092" s="43"/>
      <c r="W1092" s="43"/>
      <c r="X1092" s="43"/>
      <c r="Y1092" s="43"/>
      <c r="Z1092" s="43"/>
    </row>
    <row r="1093" spans="15:26" x14ac:dyDescent="0.25">
      <c r="O1093" s="43"/>
      <c r="P1093" s="43"/>
      <c r="Q1093" s="43"/>
      <c r="R1093" s="43"/>
      <c r="S1093" s="43"/>
      <c r="T1093" s="43"/>
      <c r="U1093" s="43"/>
      <c r="V1093" s="43"/>
      <c r="W1093" s="43"/>
      <c r="X1093" s="43"/>
      <c r="Y1093" s="43"/>
      <c r="Z1093" s="43"/>
    </row>
    <row r="1094" spans="15:26" x14ac:dyDescent="0.25">
      <c r="O1094" s="43"/>
      <c r="P1094" s="43"/>
      <c r="Q1094" s="43"/>
      <c r="R1094" s="43"/>
      <c r="S1094" s="43"/>
      <c r="T1094" s="43"/>
      <c r="U1094" s="43"/>
      <c r="V1094" s="43"/>
      <c r="W1094" s="43"/>
      <c r="X1094" s="43"/>
      <c r="Y1094" s="43"/>
      <c r="Z1094" s="43"/>
    </row>
    <row r="1095" spans="15:26" x14ac:dyDescent="0.25">
      <c r="O1095" s="43"/>
      <c r="P1095" s="43"/>
      <c r="Q1095" s="43"/>
      <c r="R1095" s="43"/>
      <c r="S1095" s="43"/>
      <c r="T1095" s="43"/>
      <c r="U1095" s="43"/>
      <c r="V1095" s="43"/>
      <c r="W1095" s="43"/>
      <c r="X1095" s="43"/>
      <c r="Y1095" s="43"/>
      <c r="Z1095" s="43"/>
    </row>
    <row r="1096" spans="15:26" x14ac:dyDescent="0.25">
      <c r="O1096" s="43"/>
      <c r="P1096" s="43"/>
      <c r="Q1096" s="43"/>
      <c r="R1096" s="43"/>
      <c r="S1096" s="43"/>
      <c r="T1096" s="43"/>
      <c r="U1096" s="43"/>
      <c r="V1096" s="43"/>
      <c r="W1096" s="43"/>
      <c r="X1096" s="43"/>
      <c r="Y1096" s="43"/>
      <c r="Z1096" s="43"/>
    </row>
    <row r="1097" spans="15:26" x14ac:dyDescent="0.25">
      <c r="O1097" s="43"/>
      <c r="P1097" s="43"/>
      <c r="Q1097" s="43"/>
      <c r="R1097" s="43"/>
      <c r="S1097" s="43"/>
      <c r="T1097" s="43"/>
      <c r="U1097" s="43"/>
      <c r="V1097" s="43"/>
      <c r="W1097" s="43"/>
      <c r="X1097" s="43"/>
      <c r="Y1097" s="43"/>
      <c r="Z1097" s="43"/>
    </row>
    <row r="1098" spans="15:26" x14ac:dyDescent="0.25">
      <c r="O1098" s="43"/>
      <c r="P1098" s="43"/>
      <c r="Q1098" s="43"/>
      <c r="R1098" s="43"/>
      <c r="S1098" s="43"/>
      <c r="T1098" s="43"/>
      <c r="U1098" s="43"/>
      <c r="V1098" s="43"/>
      <c r="W1098" s="43"/>
      <c r="X1098" s="43"/>
      <c r="Y1098" s="43"/>
      <c r="Z1098" s="43"/>
    </row>
    <row r="1099" spans="15:26" x14ac:dyDescent="0.25">
      <c r="O1099" s="43"/>
      <c r="P1099" s="43"/>
      <c r="Q1099" s="43"/>
      <c r="R1099" s="43"/>
      <c r="S1099" s="43"/>
      <c r="T1099" s="43"/>
      <c r="U1099" s="43"/>
      <c r="V1099" s="43"/>
      <c r="W1099" s="43"/>
      <c r="X1099" s="43"/>
      <c r="Y1099" s="43"/>
      <c r="Z1099" s="43"/>
    </row>
    <row r="1100" spans="15:26" x14ac:dyDescent="0.25">
      <c r="O1100" s="43"/>
      <c r="P1100" s="43"/>
      <c r="Q1100" s="43"/>
      <c r="R1100" s="43"/>
      <c r="S1100" s="43"/>
      <c r="T1100" s="43"/>
      <c r="U1100" s="43"/>
      <c r="V1100" s="43"/>
      <c r="W1100" s="43"/>
      <c r="X1100" s="43"/>
      <c r="Y1100" s="43"/>
      <c r="Z1100" s="43"/>
    </row>
    <row r="1101" spans="15:26" x14ac:dyDescent="0.25">
      <c r="O1101" s="43"/>
      <c r="P1101" s="43"/>
      <c r="Q1101" s="43"/>
      <c r="R1101" s="43"/>
      <c r="S1101" s="43"/>
      <c r="T1101" s="43"/>
      <c r="U1101" s="43"/>
      <c r="V1101" s="43"/>
      <c r="W1101" s="43"/>
      <c r="X1101" s="43"/>
      <c r="Y1101" s="43"/>
      <c r="Z1101" s="43"/>
    </row>
    <row r="1102" spans="15:26" x14ac:dyDescent="0.25">
      <c r="O1102" s="43"/>
      <c r="P1102" s="43"/>
      <c r="Q1102" s="43"/>
      <c r="R1102" s="43"/>
      <c r="S1102" s="43"/>
      <c r="T1102" s="43"/>
      <c r="U1102" s="43"/>
      <c r="V1102" s="43"/>
      <c r="W1102" s="43"/>
      <c r="X1102" s="43"/>
      <c r="Y1102" s="43"/>
      <c r="Z1102" s="43"/>
    </row>
    <row r="1103" spans="15:26" x14ac:dyDescent="0.25">
      <c r="O1103" s="43"/>
      <c r="P1103" s="43"/>
      <c r="Q1103" s="43"/>
      <c r="R1103" s="43"/>
      <c r="S1103" s="43"/>
      <c r="T1103" s="43"/>
      <c r="U1103" s="43"/>
      <c r="V1103" s="43"/>
      <c r="W1103" s="43"/>
      <c r="X1103" s="43"/>
      <c r="Y1103" s="43"/>
      <c r="Z1103" s="43"/>
    </row>
    <row r="1104" spans="15:26" x14ac:dyDescent="0.25">
      <c r="O1104" s="43"/>
      <c r="P1104" s="43"/>
      <c r="Q1104" s="43"/>
      <c r="R1104" s="43"/>
      <c r="S1104" s="43"/>
      <c r="T1104" s="43"/>
      <c r="U1104" s="43"/>
      <c r="V1104" s="43"/>
      <c r="W1104" s="43"/>
      <c r="X1104" s="43"/>
      <c r="Y1104" s="43"/>
      <c r="Z1104" s="43"/>
    </row>
    <row r="1105" spans="15:26" x14ac:dyDescent="0.25">
      <c r="O1105" s="43"/>
      <c r="P1105" s="43"/>
      <c r="Q1105" s="43"/>
      <c r="R1105" s="43"/>
      <c r="S1105" s="43"/>
      <c r="T1105" s="43"/>
      <c r="U1105" s="43"/>
      <c r="V1105" s="43"/>
      <c r="W1105" s="43"/>
      <c r="X1105" s="43"/>
      <c r="Y1105" s="43"/>
      <c r="Z1105" s="43"/>
    </row>
    <row r="1106" spans="15:26" x14ac:dyDescent="0.25">
      <c r="O1106" s="43"/>
      <c r="P1106" s="43"/>
      <c r="Q1106" s="43"/>
      <c r="R1106" s="43"/>
      <c r="S1106" s="43"/>
      <c r="T1106" s="43"/>
      <c r="U1106" s="43"/>
      <c r="V1106" s="43"/>
      <c r="W1106" s="43"/>
      <c r="X1106" s="43"/>
      <c r="Y1106" s="43"/>
      <c r="Z1106" s="43"/>
    </row>
    <row r="1107" spans="15:26" x14ac:dyDescent="0.25">
      <c r="O1107" s="43"/>
      <c r="P1107" s="43"/>
      <c r="Q1107" s="43"/>
      <c r="R1107" s="43"/>
      <c r="S1107" s="43"/>
      <c r="T1107" s="43"/>
      <c r="U1107" s="43"/>
      <c r="V1107" s="43"/>
      <c r="W1107" s="43"/>
      <c r="X1107" s="43"/>
      <c r="Y1107" s="43"/>
      <c r="Z1107" s="43"/>
    </row>
    <row r="1108" spans="15:26" x14ac:dyDescent="0.25">
      <c r="O1108" s="43"/>
      <c r="P1108" s="43"/>
      <c r="Q1108" s="43"/>
      <c r="R1108" s="43"/>
      <c r="S1108" s="43"/>
      <c r="T1108" s="43"/>
      <c r="U1108" s="43"/>
      <c r="V1108" s="43"/>
      <c r="W1108" s="43"/>
      <c r="X1108" s="43"/>
      <c r="Y1108" s="43"/>
      <c r="Z1108" s="43"/>
    </row>
    <row r="1109" spans="15:26" x14ac:dyDescent="0.25">
      <c r="O1109" s="43"/>
      <c r="P1109" s="43"/>
      <c r="Q1109" s="43"/>
      <c r="R1109" s="43"/>
      <c r="S1109" s="43"/>
      <c r="T1109" s="43"/>
      <c r="U1109" s="43"/>
      <c r="V1109" s="43"/>
      <c r="W1109" s="43"/>
      <c r="X1109" s="43"/>
      <c r="Y1109" s="43"/>
      <c r="Z1109" s="43"/>
    </row>
    <row r="1110" spans="15:26" x14ac:dyDescent="0.25">
      <c r="O1110" s="43"/>
      <c r="P1110" s="43"/>
      <c r="Q1110" s="43"/>
      <c r="R1110" s="43"/>
      <c r="S1110" s="43"/>
      <c r="T1110" s="43"/>
      <c r="U1110" s="43"/>
      <c r="V1110" s="43"/>
      <c r="W1110" s="43"/>
      <c r="X1110" s="43"/>
      <c r="Y1110" s="43"/>
      <c r="Z1110" s="43"/>
    </row>
    <row r="1111" spans="15:26" x14ac:dyDescent="0.25">
      <c r="O1111" s="43"/>
      <c r="P1111" s="43"/>
      <c r="Q1111" s="43"/>
      <c r="R1111" s="43"/>
      <c r="S1111" s="43"/>
      <c r="T1111" s="43"/>
      <c r="U1111" s="43"/>
      <c r="V1111" s="43"/>
      <c r="W1111" s="43"/>
      <c r="X1111" s="43"/>
      <c r="Y1111" s="43"/>
      <c r="Z1111" s="43"/>
    </row>
    <row r="1112" spans="15:26" x14ac:dyDescent="0.25">
      <c r="O1112" s="43"/>
      <c r="P1112" s="43"/>
      <c r="Q1112" s="43"/>
      <c r="R1112" s="43"/>
      <c r="S1112" s="43"/>
      <c r="T1112" s="43"/>
      <c r="U1112" s="43"/>
      <c r="V1112" s="43"/>
      <c r="W1112" s="43"/>
      <c r="X1112" s="43"/>
      <c r="Y1112" s="43"/>
      <c r="Z1112" s="43"/>
    </row>
    <row r="1113" spans="15:26" x14ac:dyDescent="0.25">
      <c r="O1113" s="43"/>
      <c r="P1113" s="43"/>
      <c r="Q1113" s="43"/>
      <c r="R1113" s="43"/>
      <c r="S1113" s="43"/>
      <c r="T1113" s="43"/>
      <c r="U1113" s="43"/>
      <c r="V1113" s="43"/>
      <c r="W1113" s="43"/>
      <c r="X1113" s="43"/>
      <c r="Y1113" s="43"/>
      <c r="Z1113" s="43"/>
    </row>
    <row r="1114" spans="15:26" x14ac:dyDescent="0.25">
      <c r="O1114" s="43"/>
      <c r="P1114" s="43"/>
      <c r="Q1114" s="43"/>
      <c r="R1114" s="43"/>
      <c r="S1114" s="43"/>
      <c r="T1114" s="43"/>
      <c r="U1114" s="43"/>
      <c r="V1114" s="43"/>
      <c r="W1114" s="43"/>
      <c r="X1114" s="43"/>
      <c r="Y1114" s="43"/>
      <c r="Z1114" s="43"/>
    </row>
    <row r="1115" spans="15:26" x14ac:dyDescent="0.25">
      <c r="O1115" s="43"/>
      <c r="P1115" s="43"/>
      <c r="Q1115" s="43"/>
      <c r="R1115" s="43"/>
      <c r="S1115" s="43"/>
      <c r="T1115" s="43"/>
      <c r="U1115" s="43"/>
      <c r="V1115" s="43"/>
      <c r="W1115" s="43"/>
      <c r="X1115" s="43"/>
      <c r="Y1115" s="43"/>
      <c r="Z1115" s="43"/>
    </row>
    <row r="1116" spans="15:26" x14ac:dyDescent="0.25">
      <c r="O1116" s="43"/>
      <c r="P1116" s="43"/>
      <c r="Q1116" s="43"/>
      <c r="R1116" s="43"/>
      <c r="S1116" s="43"/>
      <c r="T1116" s="43"/>
      <c r="U1116" s="43"/>
      <c r="V1116" s="43"/>
      <c r="W1116" s="43"/>
      <c r="X1116" s="43"/>
      <c r="Y1116" s="43"/>
      <c r="Z1116" s="43"/>
    </row>
    <row r="1117" spans="15:26" x14ac:dyDescent="0.25">
      <c r="O1117" s="43"/>
      <c r="P1117" s="43"/>
      <c r="Q1117" s="43"/>
      <c r="R1117" s="43"/>
      <c r="S1117" s="43"/>
      <c r="T1117" s="43"/>
      <c r="U1117" s="43"/>
      <c r="V1117" s="43"/>
      <c r="W1117" s="43"/>
      <c r="X1117" s="43"/>
      <c r="Y1117" s="43"/>
      <c r="Z1117" s="43"/>
    </row>
    <row r="1118" spans="15:26" x14ac:dyDescent="0.25">
      <c r="O1118" s="43"/>
      <c r="P1118" s="43"/>
      <c r="Q1118" s="43"/>
      <c r="R1118" s="43"/>
      <c r="S1118" s="43"/>
      <c r="T1118" s="43"/>
      <c r="U1118" s="43"/>
      <c r="V1118" s="43"/>
      <c r="W1118" s="43"/>
      <c r="X1118" s="43"/>
      <c r="Y1118" s="43"/>
      <c r="Z1118" s="43"/>
    </row>
    <row r="1119" spans="15:26" x14ac:dyDescent="0.25">
      <c r="O1119" s="43"/>
      <c r="P1119" s="43"/>
      <c r="Q1119" s="43"/>
      <c r="R1119" s="43"/>
      <c r="S1119" s="43"/>
      <c r="T1119" s="43"/>
      <c r="U1119" s="43"/>
      <c r="V1119" s="43"/>
      <c r="W1119" s="43"/>
      <c r="X1119" s="43"/>
      <c r="Y1119" s="43"/>
      <c r="Z1119" s="43"/>
    </row>
    <row r="1120" spans="15:26" x14ac:dyDescent="0.25">
      <c r="O1120" s="43"/>
      <c r="P1120" s="43"/>
      <c r="Q1120" s="43"/>
      <c r="R1120" s="43"/>
      <c r="S1120" s="43"/>
      <c r="T1120" s="43"/>
      <c r="U1120" s="43"/>
      <c r="V1120" s="43"/>
      <c r="W1120" s="43"/>
      <c r="X1120" s="43"/>
      <c r="Y1120" s="43"/>
      <c r="Z1120" s="43"/>
    </row>
    <row r="1121" spans="15:26" x14ac:dyDescent="0.25">
      <c r="O1121" s="43"/>
      <c r="P1121" s="43"/>
      <c r="Q1121" s="43"/>
      <c r="R1121" s="43"/>
      <c r="S1121" s="43"/>
      <c r="T1121" s="43"/>
      <c r="U1121" s="43"/>
      <c r="V1121" s="43"/>
      <c r="W1121" s="43"/>
      <c r="X1121" s="43"/>
      <c r="Y1121" s="43"/>
      <c r="Z1121" s="43"/>
    </row>
    <row r="1122" spans="15:26" x14ac:dyDescent="0.25">
      <c r="O1122" s="43"/>
      <c r="P1122" s="43"/>
      <c r="Q1122" s="43"/>
      <c r="R1122" s="43"/>
      <c r="S1122" s="43"/>
      <c r="T1122" s="43"/>
      <c r="U1122" s="43"/>
      <c r="V1122" s="43"/>
      <c r="W1122" s="43"/>
      <c r="X1122" s="43"/>
      <c r="Y1122" s="43"/>
      <c r="Z1122" s="43"/>
    </row>
    <row r="1123" spans="15:26" x14ac:dyDescent="0.25">
      <c r="O1123" s="43"/>
      <c r="P1123" s="43"/>
      <c r="Q1123" s="43"/>
      <c r="R1123" s="43"/>
      <c r="S1123" s="43"/>
      <c r="T1123" s="43"/>
      <c r="U1123" s="43"/>
      <c r="V1123" s="43"/>
      <c r="W1123" s="43"/>
      <c r="X1123" s="43"/>
      <c r="Y1123" s="43"/>
      <c r="Z1123" s="43"/>
    </row>
    <row r="1124" spans="15:26" x14ac:dyDescent="0.25">
      <c r="O1124" s="43"/>
      <c r="P1124" s="43"/>
      <c r="Q1124" s="43"/>
      <c r="R1124" s="43"/>
      <c r="S1124" s="43"/>
      <c r="T1124" s="43"/>
      <c r="U1124" s="43"/>
      <c r="V1124" s="43"/>
      <c r="W1124" s="43"/>
      <c r="X1124" s="43"/>
      <c r="Y1124" s="43"/>
      <c r="Z1124" s="43"/>
    </row>
    <row r="1125" spans="15:26" x14ac:dyDescent="0.25">
      <c r="O1125" s="43"/>
      <c r="P1125" s="43"/>
      <c r="Q1125" s="43"/>
      <c r="R1125" s="43"/>
      <c r="S1125" s="43"/>
      <c r="T1125" s="43"/>
      <c r="U1125" s="43"/>
      <c r="V1125" s="43"/>
      <c r="W1125" s="43"/>
      <c r="X1125" s="43"/>
      <c r="Y1125" s="43"/>
      <c r="Z1125" s="43"/>
    </row>
    <row r="1126" spans="15:26" x14ac:dyDescent="0.25">
      <c r="O1126" s="43"/>
      <c r="P1126" s="43"/>
      <c r="Q1126" s="43"/>
      <c r="R1126" s="43"/>
      <c r="S1126" s="43"/>
      <c r="T1126" s="43"/>
      <c r="U1126" s="43"/>
      <c r="V1126" s="43"/>
      <c r="W1126" s="43"/>
      <c r="X1126" s="43"/>
      <c r="Y1126" s="43"/>
      <c r="Z1126" s="43"/>
    </row>
    <row r="1127" spans="15:26" x14ac:dyDescent="0.25">
      <c r="O1127" s="43"/>
      <c r="P1127" s="43"/>
      <c r="Q1127" s="43"/>
      <c r="R1127" s="43"/>
      <c r="S1127" s="43"/>
      <c r="T1127" s="43"/>
      <c r="U1127" s="43"/>
      <c r="V1127" s="43"/>
      <c r="W1127" s="43"/>
      <c r="X1127" s="43"/>
      <c r="Y1127" s="43"/>
      <c r="Z1127" s="43"/>
    </row>
    <row r="1128" spans="15:26" x14ac:dyDescent="0.25">
      <c r="O1128" s="43"/>
      <c r="P1128" s="43"/>
      <c r="Q1128" s="43"/>
      <c r="R1128" s="43"/>
      <c r="S1128" s="43"/>
      <c r="T1128" s="43"/>
      <c r="U1128" s="43"/>
      <c r="V1128" s="43"/>
      <c r="W1128" s="43"/>
      <c r="X1128" s="43"/>
      <c r="Y1128" s="43"/>
      <c r="Z1128" s="43"/>
    </row>
    <row r="1129" spans="15:26" x14ac:dyDescent="0.25">
      <c r="O1129" s="43"/>
      <c r="P1129" s="43"/>
      <c r="Q1129" s="43"/>
      <c r="R1129" s="43"/>
      <c r="S1129" s="43"/>
      <c r="T1129" s="43"/>
      <c r="U1129" s="43"/>
      <c r="V1129" s="43"/>
      <c r="W1129" s="43"/>
      <c r="X1129" s="43"/>
      <c r="Y1129" s="43"/>
      <c r="Z1129" s="43"/>
    </row>
    <row r="1130" spans="15:26" x14ac:dyDescent="0.25">
      <c r="O1130" s="43"/>
      <c r="P1130" s="43"/>
      <c r="Q1130" s="43"/>
      <c r="R1130" s="43"/>
      <c r="S1130" s="43"/>
      <c r="T1130" s="43"/>
      <c r="U1130" s="43"/>
      <c r="V1130" s="43"/>
      <c r="W1130" s="43"/>
      <c r="X1130" s="43"/>
      <c r="Y1130" s="43"/>
      <c r="Z1130" s="43"/>
    </row>
    <row r="1131" spans="15:26" x14ac:dyDescent="0.25">
      <c r="O1131" s="43"/>
      <c r="P1131" s="43"/>
      <c r="Q1131" s="43"/>
      <c r="R1131" s="43"/>
      <c r="S1131" s="43"/>
      <c r="T1131" s="43"/>
      <c r="U1131" s="43"/>
      <c r="V1131" s="43"/>
      <c r="W1131" s="43"/>
      <c r="X1131" s="43"/>
      <c r="Y1131" s="43"/>
      <c r="Z1131" s="43"/>
    </row>
    <row r="1132" spans="15:26" x14ac:dyDescent="0.25">
      <c r="O1132" s="43"/>
      <c r="P1132" s="43"/>
      <c r="Q1132" s="43"/>
      <c r="R1132" s="43"/>
      <c r="S1132" s="43"/>
      <c r="T1132" s="43"/>
      <c r="U1132" s="43"/>
      <c r="V1132" s="43"/>
      <c r="W1132" s="43"/>
      <c r="X1132" s="43"/>
      <c r="Y1132" s="43"/>
      <c r="Z1132" s="43"/>
    </row>
    <row r="1133" spans="15:26" x14ac:dyDescent="0.25">
      <c r="O1133" s="43"/>
      <c r="P1133" s="43"/>
      <c r="Q1133" s="43"/>
      <c r="R1133" s="43"/>
      <c r="S1133" s="43"/>
      <c r="T1133" s="43"/>
      <c r="U1133" s="43"/>
      <c r="V1133" s="43"/>
      <c r="W1133" s="43"/>
      <c r="X1133" s="43"/>
      <c r="Y1133" s="43"/>
      <c r="Z1133" s="43"/>
    </row>
    <row r="1134" spans="15:26" x14ac:dyDescent="0.25">
      <c r="O1134" s="43"/>
      <c r="P1134" s="43"/>
      <c r="Q1134" s="43"/>
      <c r="R1134" s="43"/>
      <c r="S1134" s="43"/>
      <c r="T1134" s="43"/>
      <c r="U1134" s="43"/>
      <c r="V1134" s="43"/>
      <c r="W1134" s="43"/>
      <c r="X1134" s="43"/>
      <c r="Y1134" s="43"/>
      <c r="Z1134" s="43"/>
    </row>
    <row r="1135" spans="15:26" x14ac:dyDescent="0.25">
      <c r="O1135" s="43"/>
      <c r="P1135" s="43"/>
      <c r="Q1135" s="43"/>
      <c r="R1135" s="43"/>
      <c r="S1135" s="43"/>
      <c r="T1135" s="43"/>
      <c r="U1135" s="43"/>
      <c r="V1135" s="43"/>
      <c r="W1135" s="43"/>
      <c r="X1135" s="43"/>
      <c r="Y1135" s="43"/>
      <c r="Z1135" s="43"/>
    </row>
    <row r="1136" spans="15:26" x14ac:dyDescent="0.25">
      <c r="O1136" s="43"/>
      <c r="P1136" s="43"/>
      <c r="Q1136" s="43"/>
      <c r="R1136" s="43"/>
      <c r="S1136" s="43"/>
      <c r="T1136" s="43"/>
      <c r="U1136" s="43"/>
      <c r="V1136" s="43"/>
      <c r="W1136" s="43"/>
      <c r="X1136" s="43"/>
      <c r="Y1136" s="43"/>
      <c r="Z1136" s="43"/>
    </row>
    <row r="1137" spans="15:26" x14ac:dyDescent="0.25">
      <c r="O1137" s="43"/>
      <c r="P1137" s="43"/>
      <c r="Q1137" s="43"/>
      <c r="R1137" s="43"/>
      <c r="S1137" s="43"/>
      <c r="T1137" s="43"/>
      <c r="U1137" s="43"/>
      <c r="V1137" s="43"/>
      <c r="W1137" s="43"/>
      <c r="X1137" s="43"/>
      <c r="Y1137" s="43"/>
      <c r="Z1137" s="43"/>
    </row>
    <row r="1138" spans="15:26" x14ac:dyDescent="0.25">
      <c r="O1138" s="43"/>
      <c r="P1138" s="43"/>
      <c r="Q1138" s="43"/>
      <c r="R1138" s="43"/>
      <c r="S1138" s="43"/>
      <c r="T1138" s="43"/>
      <c r="U1138" s="43"/>
      <c r="V1138" s="43"/>
      <c r="W1138" s="43"/>
      <c r="X1138" s="43"/>
      <c r="Y1138" s="43"/>
      <c r="Z1138" s="43"/>
    </row>
    <row r="1139" spans="15:26" x14ac:dyDescent="0.25">
      <c r="O1139" s="43"/>
      <c r="P1139" s="43"/>
      <c r="Q1139" s="43"/>
      <c r="R1139" s="43"/>
      <c r="S1139" s="43"/>
      <c r="T1139" s="43"/>
      <c r="U1139" s="43"/>
      <c r="V1139" s="43"/>
      <c r="W1139" s="43"/>
      <c r="X1139" s="43"/>
      <c r="Y1139" s="43"/>
      <c r="Z1139" s="43"/>
    </row>
    <row r="1140" spans="15:26" x14ac:dyDescent="0.25">
      <c r="O1140" s="43"/>
      <c r="P1140" s="43"/>
      <c r="Q1140" s="43"/>
      <c r="R1140" s="43"/>
      <c r="S1140" s="43"/>
      <c r="T1140" s="43"/>
      <c r="U1140" s="43"/>
      <c r="V1140" s="43"/>
      <c r="W1140" s="43"/>
      <c r="X1140" s="43"/>
      <c r="Y1140" s="43"/>
      <c r="Z1140" s="43"/>
    </row>
    <row r="1141" spans="15:26" x14ac:dyDescent="0.25">
      <c r="O1141" s="43"/>
      <c r="P1141" s="43"/>
      <c r="Q1141" s="43"/>
      <c r="R1141" s="43"/>
      <c r="S1141" s="43"/>
      <c r="T1141" s="43"/>
      <c r="U1141" s="43"/>
      <c r="V1141" s="43"/>
      <c r="W1141" s="43"/>
      <c r="X1141" s="43"/>
      <c r="Y1141" s="43"/>
      <c r="Z1141" s="43"/>
    </row>
    <row r="1142" spans="15:26" x14ac:dyDescent="0.25">
      <c r="O1142" s="43"/>
      <c r="P1142" s="43"/>
      <c r="Q1142" s="43"/>
      <c r="R1142" s="43"/>
      <c r="S1142" s="43"/>
      <c r="T1142" s="43"/>
      <c r="U1142" s="43"/>
      <c r="V1142" s="43"/>
      <c r="W1142" s="43"/>
      <c r="X1142" s="43"/>
      <c r="Y1142" s="43"/>
      <c r="Z1142" s="43"/>
    </row>
    <row r="1143" spans="15:26" x14ac:dyDescent="0.25">
      <c r="O1143" s="43"/>
      <c r="P1143" s="43"/>
      <c r="Q1143" s="43"/>
      <c r="R1143" s="43"/>
      <c r="S1143" s="43"/>
      <c r="T1143" s="43"/>
      <c r="U1143" s="43"/>
      <c r="V1143" s="43"/>
      <c r="W1143" s="43"/>
      <c r="X1143" s="43"/>
      <c r="Y1143" s="43"/>
      <c r="Z1143" s="43"/>
    </row>
    <row r="1144" spans="15:26" x14ac:dyDescent="0.25">
      <c r="O1144" s="43"/>
      <c r="P1144" s="43"/>
      <c r="Q1144" s="43"/>
      <c r="R1144" s="43"/>
      <c r="S1144" s="43"/>
      <c r="T1144" s="43"/>
      <c r="U1144" s="43"/>
      <c r="V1144" s="43"/>
      <c r="W1144" s="43"/>
      <c r="X1144" s="43"/>
      <c r="Y1144" s="43"/>
      <c r="Z1144" s="43"/>
    </row>
    <row r="1145" spans="15:26" x14ac:dyDescent="0.25">
      <c r="O1145" s="43"/>
      <c r="P1145" s="43"/>
      <c r="Q1145" s="43"/>
      <c r="R1145" s="43"/>
      <c r="S1145" s="43"/>
      <c r="T1145" s="43"/>
      <c r="U1145" s="43"/>
      <c r="V1145" s="43"/>
      <c r="W1145" s="43"/>
      <c r="X1145" s="43"/>
      <c r="Y1145" s="43"/>
      <c r="Z1145" s="43"/>
    </row>
    <row r="1146" spans="15:26" x14ac:dyDescent="0.25">
      <c r="O1146" s="43"/>
      <c r="P1146" s="43"/>
      <c r="Q1146" s="43"/>
      <c r="R1146" s="43"/>
      <c r="S1146" s="43"/>
      <c r="T1146" s="43"/>
      <c r="U1146" s="43"/>
      <c r="V1146" s="43"/>
      <c r="W1146" s="43"/>
      <c r="X1146" s="43"/>
      <c r="Y1146" s="43"/>
      <c r="Z1146" s="43"/>
    </row>
    <row r="1147" spans="15:26" x14ac:dyDescent="0.25">
      <c r="O1147" s="43"/>
      <c r="P1147" s="43"/>
      <c r="Q1147" s="43"/>
      <c r="R1147" s="43"/>
      <c r="S1147" s="43"/>
      <c r="T1147" s="43"/>
      <c r="U1147" s="43"/>
      <c r="V1147" s="43"/>
      <c r="W1147" s="43"/>
      <c r="X1147" s="43"/>
      <c r="Y1147" s="43"/>
      <c r="Z1147" s="43"/>
    </row>
    <row r="1148" spans="15:26" x14ac:dyDescent="0.25">
      <c r="O1148" s="43"/>
      <c r="P1148" s="43"/>
      <c r="Q1148" s="43"/>
      <c r="R1148" s="43"/>
      <c r="S1148" s="43"/>
      <c r="T1148" s="43"/>
      <c r="U1148" s="43"/>
      <c r="V1148" s="43"/>
      <c r="W1148" s="43"/>
      <c r="X1148" s="43"/>
      <c r="Y1148" s="43"/>
      <c r="Z1148" s="43"/>
    </row>
    <row r="1149" spans="15:26" x14ac:dyDescent="0.25">
      <c r="O1149" s="43"/>
      <c r="P1149" s="43"/>
      <c r="Q1149" s="43"/>
      <c r="R1149" s="43"/>
      <c r="S1149" s="43"/>
      <c r="T1149" s="43"/>
      <c r="U1149" s="43"/>
      <c r="V1149" s="43"/>
      <c r="W1149" s="43"/>
      <c r="X1149" s="43"/>
      <c r="Y1149" s="43"/>
      <c r="Z1149" s="43"/>
    </row>
    <row r="1150" spans="15:26" x14ac:dyDescent="0.25">
      <c r="O1150" s="43"/>
      <c r="P1150" s="43"/>
      <c r="Q1150" s="43"/>
      <c r="R1150" s="43"/>
      <c r="S1150" s="43"/>
      <c r="T1150" s="43"/>
      <c r="U1150" s="43"/>
      <c r="V1150" s="43"/>
      <c r="W1150" s="43"/>
      <c r="X1150" s="43"/>
      <c r="Y1150" s="43"/>
      <c r="Z1150" s="43"/>
    </row>
    <row r="1151" spans="15:26" x14ac:dyDescent="0.25">
      <c r="O1151" s="43"/>
      <c r="P1151" s="43"/>
      <c r="Q1151" s="43"/>
      <c r="R1151" s="43"/>
      <c r="S1151" s="43"/>
      <c r="T1151" s="43"/>
      <c r="U1151" s="43"/>
      <c r="V1151" s="43"/>
      <c r="W1151" s="43"/>
      <c r="X1151" s="43"/>
      <c r="Y1151" s="43"/>
      <c r="Z1151" s="43"/>
    </row>
    <row r="1152" spans="15:26" x14ac:dyDescent="0.25">
      <c r="O1152" s="43"/>
      <c r="P1152" s="43"/>
      <c r="Q1152" s="43"/>
      <c r="R1152" s="43"/>
      <c r="S1152" s="43"/>
      <c r="T1152" s="43"/>
      <c r="U1152" s="43"/>
      <c r="V1152" s="43"/>
      <c r="W1152" s="43"/>
      <c r="X1152" s="43"/>
      <c r="Y1152" s="43"/>
      <c r="Z1152" s="43"/>
    </row>
    <row r="1153" spans="15:26" x14ac:dyDescent="0.25">
      <c r="O1153" s="43"/>
      <c r="P1153" s="43"/>
      <c r="Q1153" s="43"/>
      <c r="R1153" s="43"/>
      <c r="S1153" s="43"/>
      <c r="T1153" s="43"/>
      <c r="U1153" s="43"/>
      <c r="V1153" s="43"/>
      <c r="W1153" s="43"/>
      <c r="X1153" s="43"/>
      <c r="Y1153" s="43"/>
      <c r="Z1153" s="43"/>
    </row>
    <row r="1154" spans="15:26" x14ac:dyDescent="0.25">
      <c r="O1154" s="43"/>
      <c r="P1154" s="43"/>
      <c r="Q1154" s="43"/>
      <c r="R1154" s="43"/>
      <c r="S1154" s="43"/>
      <c r="T1154" s="43"/>
      <c r="U1154" s="43"/>
      <c r="V1154" s="43"/>
      <c r="W1154" s="43"/>
      <c r="X1154" s="43"/>
      <c r="Y1154" s="43"/>
      <c r="Z1154" s="43"/>
    </row>
    <row r="1155" spans="15:26" x14ac:dyDescent="0.25">
      <c r="O1155" s="43"/>
      <c r="P1155" s="43"/>
      <c r="Q1155" s="43"/>
      <c r="R1155" s="43"/>
      <c r="S1155" s="43"/>
      <c r="T1155" s="43"/>
      <c r="U1155" s="43"/>
      <c r="V1155" s="43"/>
      <c r="W1155" s="43"/>
      <c r="X1155" s="43"/>
      <c r="Y1155" s="43"/>
      <c r="Z1155" s="43"/>
    </row>
    <row r="1156" spans="15:26" x14ac:dyDescent="0.25">
      <c r="O1156" s="43"/>
      <c r="P1156" s="43"/>
      <c r="Q1156" s="43"/>
      <c r="R1156" s="43"/>
      <c r="S1156" s="43"/>
      <c r="T1156" s="43"/>
      <c r="U1156" s="43"/>
      <c r="V1156" s="43"/>
      <c r="W1156" s="43"/>
      <c r="X1156" s="43"/>
      <c r="Y1156" s="43"/>
      <c r="Z1156" s="43"/>
    </row>
    <row r="1157" spans="15:26" x14ac:dyDescent="0.25">
      <c r="O1157" s="43"/>
      <c r="P1157" s="43"/>
      <c r="Q1157" s="43"/>
      <c r="R1157" s="43"/>
      <c r="S1157" s="43"/>
      <c r="T1157" s="43"/>
      <c r="U1157" s="43"/>
      <c r="V1157" s="43"/>
      <c r="W1157" s="43"/>
      <c r="X1157" s="43"/>
      <c r="Y1157" s="43"/>
      <c r="Z1157" s="43"/>
    </row>
    <row r="1158" spans="15:26" x14ac:dyDescent="0.25">
      <c r="O1158" s="43"/>
      <c r="P1158" s="43"/>
      <c r="Q1158" s="43"/>
      <c r="R1158" s="43"/>
      <c r="S1158" s="43"/>
      <c r="T1158" s="43"/>
      <c r="U1158" s="43"/>
      <c r="V1158" s="43"/>
      <c r="W1158" s="43"/>
      <c r="X1158" s="43"/>
      <c r="Y1158" s="43"/>
      <c r="Z1158" s="43"/>
    </row>
    <row r="1159" spans="15:26" x14ac:dyDescent="0.25">
      <c r="O1159" s="43"/>
      <c r="P1159" s="43"/>
      <c r="Q1159" s="43"/>
      <c r="R1159" s="43"/>
      <c r="S1159" s="43"/>
      <c r="T1159" s="43"/>
      <c r="U1159" s="43"/>
      <c r="V1159" s="43"/>
      <c r="W1159" s="43"/>
      <c r="X1159" s="43"/>
      <c r="Y1159" s="43"/>
      <c r="Z1159" s="43"/>
    </row>
    <row r="1160" spans="15:26" x14ac:dyDescent="0.25">
      <c r="O1160" s="43"/>
      <c r="P1160" s="43"/>
      <c r="Q1160" s="43"/>
      <c r="R1160" s="43"/>
      <c r="S1160" s="43"/>
      <c r="T1160" s="43"/>
      <c r="U1160" s="43"/>
      <c r="V1160" s="43"/>
      <c r="W1160" s="43"/>
      <c r="X1160" s="43"/>
      <c r="Y1160" s="43"/>
      <c r="Z1160" s="43"/>
    </row>
    <row r="1161" spans="15:26" x14ac:dyDescent="0.25">
      <c r="O1161" s="43"/>
      <c r="P1161" s="43"/>
      <c r="Q1161" s="43"/>
      <c r="R1161" s="43"/>
      <c r="S1161" s="43"/>
      <c r="T1161" s="43"/>
      <c r="U1161" s="43"/>
      <c r="V1161" s="43"/>
      <c r="W1161" s="43"/>
      <c r="X1161" s="43"/>
      <c r="Y1161" s="43"/>
      <c r="Z1161" s="43"/>
    </row>
    <row r="1162" spans="15:26" x14ac:dyDescent="0.25">
      <c r="O1162" s="43"/>
      <c r="P1162" s="43"/>
      <c r="Q1162" s="43"/>
      <c r="R1162" s="43"/>
      <c r="S1162" s="43"/>
      <c r="T1162" s="43"/>
      <c r="U1162" s="43"/>
      <c r="V1162" s="43"/>
      <c r="W1162" s="43"/>
      <c r="X1162" s="43"/>
      <c r="Y1162" s="43"/>
      <c r="Z1162" s="43"/>
    </row>
    <row r="1163" spans="15:26" x14ac:dyDescent="0.25">
      <c r="O1163" s="43"/>
      <c r="P1163" s="43"/>
      <c r="Q1163" s="43"/>
      <c r="R1163" s="43"/>
      <c r="S1163" s="43"/>
      <c r="T1163" s="43"/>
      <c r="U1163" s="43"/>
      <c r="V1163" s="43"/>
      <c r="W1163" s="43"/>
      <c r="X1163" s="43"/>
      <c r="Y1163" s="43"/>
      <c r="Z1163" s="43"/>
    </row>
    <row r="1164" spans="15:26" x14ac:dyDescent="0.25">
      <c r="O1164" s="43"/>
      <c r="P1164" s="43"/>
      <c r="Q1164" s="43"/>
      <c r="R1164" s="43"/>
      <c r="S1164" s="43"/>
      <c r="T1164" s="43"/>
      <c r="U1164" s="43"/>
      <c r="V1164" s="43"/>
      <c r="W1164" s="43"/>
      <c r="X1164" s="43"/>
      <c r="Y1164" s="43"/>
      <c r="Z1164" s="43"/>
    </row>
    <row r="1165" spans="15:26" x14ac:dyDescent="0.25">
      <c r="O1165" s="43"/>
      <c r="P1165" s="43"/>
      <c r="Q1165" s="43"/>
      <c r="R1165" s="43"/>
      <c r="S1165" s="43"/>
      <c r="T1165" s="43"/>
      <c r="U1165" s="43"/>
      <c r="V1165" s="43"/>
      <c r="W1165" s="43"/>
      <c r="X1165" s="43"/>
      <c r="Y1165" s="43"/>
      <c r="Z1165" s="43"/>
    </row>
    <row r="1166" spans="15:26" x14ac:dyDescent="0.25">
      <c r="O1166" s="43"/>
      <c r="P1166" s="43"/>
      <c r="Q1166" s="43"/>
      <c r="R1166" s="43"/>
      <c r="S1166" s="43"/>
      <c r="T1166" s="43"/>
      <c r="U1166" s="43"/>
      <c r="V1166" s="43"/>
      <c r="W1166" s="43"/>
      <c r="X1166" s="43"/>
      <c r="Y1166" s="43"/>
      <c r="Z1166" s="43"/>
    </row>
    <row r="1167" spans="15:26" x14ac:dyDescent="0.25">
      <c r="O1167" s="43"/>
      <c r="P1167" s="43"/>
      <c r="Q1167" s="43"/>
      <c r="R1167" s="43"/>
      <c r="S1167" s="43"/>
      <c r="T1167" s="43"/>
      <c r="U1167" s="43"/>
      <c r="V1167" s="43"/>
      <c r="W1167" s="43"/>
      <c r="X1167" s="43"/>
      <c r="Y1167" s="43"/>
      <c r="Z1167" s="43"/>
    </row>
    <row r="1168" spans="15:26" x14ac:dyDescent="0.25">
      <c r="O1168" s="43"/>
      <c r="P1168" s="43"/>
      <c r="Q1168" s="43"/>
      <c r="R1168" s="43"/>
      <c r="S1168" s="43"/>
      <c r="T1168" s="43"/>
      <c r="U1168" s="43"/>
      <c r="V1168" s="43"/>
      <c r="W1168" s="43"/>
      <c r="X1168" s="43"/>
      <c r="Y1168" s="43"/>
      <c r="Z1168" s="43"/>
    </row>
    <row r="1169" spans="15:26" x14ac:dyDescent="0.25">
      <c r="O1169" s="43"/>
      <c r="P1169" s="43"/>
      <c r="Q1169" s="43"/>
      <c r="R1169" s="43"/>
      <c r="S1169" s="43"/>
      <c r="T1169" s="43"/>
      <c r="U1169" s="43"/>
      <c r="V1169" s="43"/>
      <c r="W1169" s="43"/>
      <c r="X1169" s="43"/>
      <c r="Y1169" s="43"/>
      <c r="Z1169" s="43"/>
    </row>
    <row r="1170" spans="15:26" x14ac:dyDescent="0.25">
      <c r="O1170" s="43"/>
      <c r="P1170" s="43"/>
      <c r="Q1170" s="43"/>
      <c r="R1170" s="43"/>
      <c r="S1170" s="43"/>
      <c r="T1170" s="43"/>
      <c r="U1170" s="43"/>
      <c r="V1170" s="43"/>
      <c r="W1170" s="43"/>
      <c r="X1170" s="43"/>
      <c r="Y1170" s="43"/>
      <c r="Z1170" s="43"/>
    </row>
    <row r="1171" spans="15:26" x14ac:dyDescent="0.25">
      <c r="O1171" s="43"/>
      <c r="P1171" s="43"/>
      <c r="Q1171" s="43"/>
      <c r="R1171" s="43"/>
      <c r="S1171" s="43"/>
      <c r="T1171" s="43"/>
      <c r="U1171" s="43"/>
      <c r="V1171" s="43"/>
      <c r="W1171" s="43"/>
      <c r="X1171" s="43"/>
      <c r="Y1171" s="43"/>
      <c r="Z1171" s="43"/>
    </row>
    <row r="1172" spans="15:26" x14ac:dyDescent="0.25">
      <c r="O1172" s="43"/>
      <c r="P1172" s="43"/>
      <c r="Q1172" s="43"/>
      <c r="R1172" s="43"/>
      <c r="S1172" s="43"/>
      <c r="T1172" s="43"/>
      <c r="U1172" s="43"/>
      <c r="V1172" s="43"/>
      <c r="W1172" s="43"/>
      <c r="X1172" s="43"/>
      <c r="Y1172" s="43"/>
      <c r="Z1172" s="43"/>
    </row>
    <row r="1173" spans="15:26" x14ac:dyDescent="0.25">
      <c r="O1173" s="43"/>
      <c r="P1173" s="43"/>
      <c r="Q1173" s="43"/>
      <c r="R1173" s="43"/>
      <c r="S1173" s="43"/>
      <c r="T1173" s="43"/>
      <c r="U1173" s="43"/>
      <c r="V1173" s="43"/>
      <c r="W1173" s="43"/>
      <c r="X1173" s="43"/>
      <c r="Y1173" s="43"/>
      <c r="Z1173" s="43"/>
    </row>
    <row r="1174" spans="15:26" x14ac:dyDescent="0.25">
      <c r="O1174" s="43"/>
      <c r="P1174" s="43"/>
      <c r="Q1174" s="43"/>
      <c r="R1174" s="43"/>
      <c r="S1174" s="43"/>
      <c r="T1174" s="43"/>
      <c r="U1174" s="43"/>
      <c r="V1174" s="43"/>
      <c r="W1174" s="43"/>
      <c r="X1174" s="43"/>
      <c r="Y1174" s="43"/>
      <c r="Z1174" s="43"/>
    </row>
    <row r="1175" spans="15:26" x14ac:dyDescent="0.25">
      <c r="O1175" s="43"/>
      <c r="P1175" s="43"/>
      <c r="Q1175" s="43"/>
      <c r="R1175" s="43"/>
      <c r="S1175" s="43"/>
      <c r="T1175" s="43"/>
      <c r="U1175" s="43"/>
      <c r="V1175" s="43"/>
      <c r="W1175" s="43"/>
      <c r="X1175" s="43"/>
      <c r="Y1175" s="43"/>
      <c r="Z1175" s="43"/>
    </row>
    <row r="1176" spans="15:26" x14ac:dyDescent="0.25">
      <c r="O1176" s="43"/>
      <c r="P1176" s="43"/>
      <c r="Q1176" s="43"/>
      <c r="R1176" s="43"/>
      <c r="S1176" s="43"/>
      <c r="T1176" s="43"/>
      <c r="U1176" s="43"/>
      <c r="V1176" s="43"/>
      <c r="W1176" s="43"/>
      <c r="X1176" s="43"/>
      <c r="Y1176" s="43"/>
      <c r="Z1176" s="43"/>
    </row>
    <row r="1177" spans="15:26" x14ac:dyDescent="0.25">
      <c r="O1177" s="43"/>
      <c r="P1177" s="43"/>
      <c r="Q1177" s="43"/>
      <c r="R1177" s="43"/>
      <c r="S1177" s="43"/>
      <c r="T1177" s="43"/>
      <c r="U1177" s="43"/>
      <c r="V1177" s="43"/>
      <c r="W1177" s="43"/>
      <c r="X1177" s="43"/>
      <c r="Y1177" s="43"/>
      <c r="Z1177" s="43"/>
    </row>
    <row r="1178" spans="15:26" x14ac:dyDescent="0.25">
      <c r="O1178" s="43"/>
      <c r="P1178" s="43"/>
      <c r="Q1178" s="43"/>
      <c r="R1178" s="43"/>
      <c r="S1178" s="43"/>
      <c r="T1178" s="43"/>
      <c r="U1178" s="43"/>
      <c r="V1178" s="43"/>
      <c r="W1178" s="43"/>
      <c r="X1178" s="43"/>
      <c r="Y1178" s="43"/>
      <c r="Z1178" s="43"/>
    </row>
    <row r="1179" spans="15:26" x14ac:dyDescent="0.25">
      <c r="O1179" s="43"/>
      <c r="P1179" s="43"/>
      <c r="Q1179" s="43"/>
      <c r="R1179" s="43"/>
      <c r="S1179" s="43"/>
      <c r="T1179" s="43"/>
      <c r="U1179" s="43"/>
      <c r="V1179" s="43"/>
      <c r="W1179" s="43"/>
      <c r="X1179" s="43"/>
      <c r="Y1179" s="43"/>
      <c r="Z1179" s="43"/>
    </row>
    <row r="1180" spans="15:26" x14ac:dyDescent="0.25">
      <c r="O1180" s="43"/>
      <c r="P1180" s="43"/>
      <c r="Q1180" s="43"/>
      <c r="R1180" s="43"/>
      <c r="S1180" s="43"/>
      <c r="T1180" s="43"/>
      <c r="U1180" s="43"/>
      <c r="V1180" s="43"/>
      <c r="W1180" s="43"/>
      <c r="X1180" s="43"/>
      <c r="Y1180" s="43"/>
      <c r="Z1180" s="43"/>
    </row>
    <row r="1181" spans="15:26" x14ac:dyDescent="0.25">
      <c r="O1181" s="43"/>
      <c r="P1181" s="43"/>
      <c r="Q1181" s="43"/>
      <c r="R1181" s="43"/>
      <c r="S1181" s="43"/>
      <c r="T1181" s="43"/>
      <c r="U1181" s="43"/>
      <c r="V1181" s="43"/>
      <c r="W1181" s="43"/>
      <c r="X1181" s="43"/>
      <c r="Y1181" s="43"/>
      <c r="Z1181" s="43"/>
    </row>
    <row r="1182" spans="15:26" x14ac:dyDescent="0.25">
      <c r="O1182" s="43"/>
      <c r="P1182" s="43"/>
      <c r="Q1182" s="43"/>
      <c r="R1182" s="43"/>
      <c r="S1182" s="43"/>
      <c r="T1182" s="43"/>
      <c r="U1182" s="43"/>
      <c r="V1182" s="43"/>
      <c r="W1182" s="43"/>
      <c r="X1182" s="43"/>
      <c r="Y1182" s="43"/>
      <c r="Z1182" s="43"/>
    </row>
    <row r="1183" spans="15:26" x14ac:dyDescent="0.25">
      <c r="O1183" s="43"/>
      <c r="P1183" s="43"/>
      <c r="Q1183" s="43"/>
      <c r="R1183" s="43"/>
      <c r="S1183" s="43"/>
      <c r="T1183" s="43"/>
      <c r="U1183" s="43"/>
      <c r="V1183" s="43"/>
      <c r="W1183" s="43"/>
      <c r="X1183" s="43"/>
      <c r="Y1183" s="43"/>
      <c r="Z1183" s="43"/>
    </row>
    <row r="1184" spans="15:26" x14ac:dyDescent="0.25">
      <c r="O1184" s="43"/>
      <c r="P1184" s="43"/>
      <c r="Q1184" s="43"/>
      <c r="R1184" s="43"/>
      <c r="S1184" s="43"/>
      <c r="T1184" s="43"/>
      <c r="U1184" s="43"/>
      <c r="V1184" s="43"/>
      <c r="W1184" s="43"/>
      <c r="X1184" s="43"/>
      <c r="Y1184" s="43"/>
      <c r="Z1184" s="43"/>
    </row>
    <row r="1185" spans="15:26" x14ac:dyDescent="0.25">
      <c r="O1185" s="43"/>
      <c r="P1185" s="43"/>
      <c r="Q1185" s="43"/>
      <c r="R1185" s="43"/>
      <c r="S1185" s="43"/>
      <c r="T1185" s="43"/>
      <c r="U1185" s="43"/>
      <c r="V1185" s="43"/>
      <c r="W1185" s="43"/>
      <c r="X1185" s="43"/>
      <c r="Y1185" s="43"/>
      <c r="Z1185" s="43"/>
    </row>
    <row r="1186" spans="15:26" x14ac:dyDescent="0.25">
      <c r="O1186" s="43"/>
      <c r="P1186" s="43"/>
      <c r="Q1186" s="43"/>
      <c r="R1186" s="43"/>
      <c r="S1186" s="43"/>
      <c r="T1186" s="43"/>
      <c r="U1186" s="43"/>
      <c r="V1186" s="43"/>
      <c r="W1186" s="43"/>
      <c r="X1186" s="43"/>
      <c r="Y1186" s="43"/>
      <c r="Z1186" s="43"/>
    </row>
    <row r="1187" spans="15:26" x14ac:dyDescent="0.25">
      <c r="O1187" s="43"/>
      <c r="P1187" s="43"/>
      <c r="Q1187" s="43"/>
      <c r="R1187" s="43"/>
      <c r="S1187" s="43"/>
      <c r="T1187" s="43"/>
      <c r="U1187" s="43"/>
      <c r="V1187" s="43"/>
      <c r="W1187" s="43"/>
      <c r="X1187" s="43"/>
      <c r="Y1187" s="43"/>
      <c r="Z1187" s="43"/>
    </row>
    <row r="1188" spans="15:26" x14ac:dyDescent="0.25">
      <c r="O1188" s="43"/>
      <c r="P1188" s="43"/>
      <c r="Q1188" s="43"/>
      <c r="R1188" s="43"/>
      <c r="S1188" s="43"/>
      <c r="T1188" s="43"/>
      <c r="U1188" s="43"/>
      <c r="V1188" s="43"/>
      <c r="W1188" s="43"/>
      <c r="X1188" s="43"/>
      <c r="Y1188" s="43"/>
      <c r="Z1188" s="43"/>
    </row>
    <row r="1189" spans="15:26" x14ac:dyDescent="0.25">
      <c r="O1189" s="43"/>
      <c r="P1189" s="43"/>
      <c r="Q1189" s="43"/>
      <c r="R1189" s="43"/>
      <c r="S1189" s="43"/>
      <c r="T1189" s="43"/>
      <c r="U1189" s="43"/>
      <c r="V1189" s="43"/>
      <c r="W1189" s="43"/>
      <c r="X1189" s="43"/>
      <c r="Y1189" s="43"/>
      <c r="Z1189" s="43"/>
    </row>
    <row r="1190" spans="15:26" x14ac:dyDescent="0.25">
      <c r="O1190" s="43"/>
      <c r="P1190" s="43"/>
      <c r="Q1190" s="43"/>
      <c r="R1190" s="43"/>
      <c r="S1190" s="43"/>
      <c r="T1190" s="43"/>
      <c r="U1190" s="43"/>
      <c r="V1190" s="43"/>
      <c r="W1190" s="43"/>
      <c r="X1190" s="43"/>
      <c r="Y1190" s="43"/>
      <c r="Z1190" s="43"/>
    </row>
    <row r="1191" spans="15:26" x14ac:dyDescent="0.25">
      <c r="O1191" s="43"/>
      <c r="P1191" s="43"/>
      <c r="Q1191" s="43"/>
      <c r="R1191" s="43"/>
      <c r="S1191" s="43"/>
      <c r="T1191" s="43"/>
      <c r="U1191" s="43"/>
      <c r="V1191" s="43"/>
      <c r="W1191" s="43"/>
      <c r="X1191" s="43"/>
      <c r="Y1191" s="43"/>
      <c r="Z1191" s="43"/>
    </row>
    <row r="1192" spans="15:26" x14ac:dyDescent="0.25">
      <c r="O1192" s="43"/>
      <c r="P1192" s="43"/>
      <c r="Q1192" s="43"/>
      <c r="R1192" s="43"/>
      <c r="S1192" s="43"/>
      <c r="T1192" s="43"/>
      <c r="U1192" s="43"/>
      <c r="V1192" s="43"/>
      <c r="W1192" s="43"/>
      <c r="X1192" s="43"/>
      <c r="Y1192" s="43"/>
      <c r="Z1192" s="43"/>
    </row>
    <row r="1193" spans="15:26" x14ac:dyDescent="0.25">
      <c r="O1193" s="43"/>
      <c r="P1193" s="43"/>
      <c r="Q1193" s="43"/>
      <c r="R1193" s="43"/>
      <c r="S1193" s="43"/>
      <c r="T1193" s="43"/>
      <c r="U1193" s="43"/>
      <c r="V1193" s="43"/>
      <c r="W1193" s="43"/>
      <c r="X1193" s="43"/>
      <c r="Y1193" s="43"/>
      <c r="Z1193" s="43"/>
    </row>
    <row r="1194" spans="15:26" x14ac:dyDescent="0.25">
      <c r="O1194" s="43"/>
      <c r="P1194" s="43"/>
      <c r="Q1194" s="43"/>
      <c r="R1194" s="43"/>
      <c r="S1194" s="43"/>
      <c r="T1194" s="43"/>
      <c r="U1194" s="43"/>
      <c r="V1194" s="43"/>
      <c r="W1194" s="43"/>
      <c r="X1194" s="43"/>
      <c r="Y1194" s="43"/>
      <c r="Z1194" s="43"/>
    </row>
    <row r="1195" spans="15:26" x14ac:dyDescent="0.25">
      <c r="O1195" s="43"/>
      <c r="P1195" s="43"/>
      <c r="Q1195" s="43"/>
      <c r="R1195" s="43"/>
      <c r="S1195" s="43"/>
      <c r="T1195" s="43"/>
      <c r="U1195" s="43"/>
      <c r="V1195" s="43"/>
      <c r="W1195" s="43"/>
      <c r="X1195" s="43"/>
      <c r="Y1195" s="43"/>
      <c r="Z1195" s="43"/>
    </row>
    <row r="1196" spans="15:26" x14ac:dyDescent="0.25">
      <c r="O1196" s="43"/>
      <c r="P1196" s="43"/>
      <c r="Q1196" s="43"/>
      <c r="R1196" s="43"/>
      <c r="S1196" s="43"/>
      <c r="T1196" s="43"/>
      <c r="U1196" s="43"/>
      <c r="V1196" s="43"/>
      <c r="W1196" s="43"/>
      <c r="X1196" s="43"/>
      <c r="Y1196" s="43"/>
      <c r="Z1196" s="43"/>
    </row>
    <row r="1197" spans="15:26" x14ac:dyDescent="0.25">
      <c r="O1197" s="43"/>
      <c r="P1197" s="43"/>
      <c r="Q1197" s="43"/>
      <c r="R1197" s="43"/>
      <c r="S1197" s="43"/>
      <c r="T1197" s="43"/>
      <c r="U1197" s="43"/>
      <c r="V1197" s="43"/>
      <c r="W1197" s="43"/>
      <c r="X1197" s="43"/>
      <c r="Y1197" s="43"/>
      <c r="Z1197" s="43"/>
    </row>
    <row r="1198" spans="15:26" x14ac:dyDescent="0.25">
      <c r="O1198" s="43"/>
      <c r="P1198" s="43"/>
      <c r="Q1198" s="43"/>
      <c r="R1198" s="43"/>
      <c r="S1198" s="43"/>
      <c r="T1198" s="43"/>
      <c r="U1198" s="43"/>
      <c r="V1198" s="43"/>
      <c r="W1198" s="43"/>
      <c r="X1198" s="43"/>
      <c r="Y1198" s="43"/>
      <c r="Z1198" s="43"/>
    </row>
    <row r="1199" spans="15:26" x14ac:dyDescent="0.25">
      <c r="O1199" s="43"/>
      <c r="P1199" s="43"/>
      <c r="Q1199" s="43"/>
      <c r="R1199" s="43"/>
      <c r="S1199" s="43"/>
      <c r="T1199" s="43"/>
      <c r="U1199" s="43"/>
      <c r="V1199" s="43"/>
      <c r="W1199" s="43"/>
      <c r="X1199" s="43"/>
      <c r="Y1199" s="43"/>
      <c r="Z1199" s="43"/>
    </row>
    <row r="1200" spans="15:26" x14ac:dyDescent="0.25">
      <c r="O1200" s="43"/>
      <c r="P1200" s="43"/>
      <c r="Q1200" s="43"/>
      <c r="R1200" s="43"/>
      <c r="S1200" s="43"/>
      <c r="T1200" s="43"/>
      <c r="U1200" s="43"/>
      <c r="V1200" s="43"/>
      <c r="W1200" s="43"/>
      <c r="X1200" s="43"/>
      <c r="Y1200" s="43"/>
      <c r="Z1200" s="43"/>
    </row>
    <row r="1201" spans="15:26" x14ac:dyDescent="0.25">
      <c r="O1201" s="43"/>
      <c r="P1201" s="43"/>
      <c r="Q1201" s="43"/>
      <c r="R1201" s="43"/>
      <c r="S1201" s="43"/>
      <c r="T1201" s="43"/>
      <c r="U1201" s="43"/>
      <c r="V1201" s="43"/>
      <c r="W1201" s="43"/>
      <c r="X1201" s="43"/>
      <c r="Y1201" s="43"/>
      <c r="Z1201" s="43"/>
    </row>
    <row r="1202" spans="15:26" x14ac:dyDescent="0.25">
      <c r="O1202" s="43"/>
      <c r="P1202" s="43"/>
      <c r="Q1202" s="43"/>
      <c r="R1202" s="43"/>
      <c r="S1202" s="43"/>
      <c r="T1202" s="43"/>
      <c r="U1202" s="43"/>
      <c r="V1202" s="43"/>
      <c r="W1202" s="43"/>
      <c r="X1202" s="43"/>
      <c r="Y1202" s="43"/>
      <c r="Z1202" s="43"/>
    </row>
    <row r="1203" spans="15:26" x14ac:dyDescent="0.25">
      <c r="O1203" s="43"/>
      <c r="P1203" s="43"/>
      <c r="Q1203" s="43"/>
      <c r="R1203" s="43"/>
      <c r="S1203" s="43"/>
      <c r="T1203" s="43"/>
      <c r="U1203" s="43"/>
      <c r="V1203" s="43"/>
      <c r="W1203" s="43"/>
      <c r="X1203" s="43"/>
      <c r="Y1203" s="43"/>
      <c r="Z1203" s="43"/>
    </row>
    <row r="1204" spans="15:26" x14ac:dyDescent="0.25">
      <c r="O1204" s="43"/>
      <c r="P1204" s="43"/>
      <c r="Q1204" s="43"/>
      <c r="R1204" s="43"/>
      <c r="S1204" s="43"/>
      <c r="T1204" s="43"/>
      <c r="U1204" s="43"/>
      <c r="V1204" s="43"/>
      <c r="W1204" s="43"/>
      <c r="X1204" s="43"/>
      <c r="Y1204" s="43"/>
      <c r="Z1204" s="43"/>
    </row>
    <row r="1205" spans="15:26" x14ac:dyDescent="0.25">
      <c r="O1205" s="43"/>
      <c r="P1205" s="43"/>
      <c r="Q1205" s="43"/>
      <c r="R1205" s="43"/>
      <c r="S1205" s="43"/>
      <c r="T1205" s="43"/>
      <c r="U1205" s="43"/>
      <c r="V1205" s="43"/>
      <c r="W1205" s="43"/>
      <c r="X1205" s="43"/>
      <c r="Y1205" s="43"/>
      <c r="Z1205" s="43"/>
    </row>
    <row r="1206" spans="15:26" x14ac:dyDescent="0.25">
      <c r="O1206" s="43"/>
      <c r="P1206" s="43"/>
      <c r="Q1206" s="43"/>
      <c r="R1206" s="43"/>
      <c r="S1206" s="43"/>
      <c r="T1206" s="43"/>
      <c r="U1206" s="43"/>
      <c r="V1206" s="43"/>
      <c r="W1206" s="43"/>
      <c r="X1206" s="43"/>
      <c r="Y1206" s="43"/>
      <c r="Z1206" s="43"/>
    </row>
    <row r="1207" spans="15:26" x14ac:dyDescent="0.25">
      <c r="O1207" s="43"/>
      <c r="P1207" s="43"/>
      <c r="Q1207" s="43"/>
      <c r="R1207" s="43"/>
      <c r="S1207" s="43"/>
      <c r="T1207" s="43"/>
      <c r="U1207" s="43"/>
      <c r="V1207" s="43"/>
      <c r="W1207" s="43"/>
      <c r="X1207" s="43"/>
      <c r="Y1207" s="43"/>
      <c r="Z1207" s="43"/>
    </row>
    <row r="1208" spans="15:26" x14ac:dyDescent="0.25">
      <c r="O1208" s="43"/>
      <c r="P1208" s="43"/>
      <c r="Q1208" s="43"/>
      <c r="R1208" s="43"/>
      <c r="S1208" s="43"/>
      <c r="T1208" s="43"/>
      <c r="U1208" s="43"/>
      <c r="V1208" s="43"/>
      <c r="W1208" s="43"/>
      <c r="X1208" s="43"/>
      <c r="Y1208" s="43"/>
      <c r="Z1208" s="43"/>
    </row>
    <row r="1209" spans="15:26" x14ac:dyDescent="0.25">
      <c r="O1209" s="43"/>
      <c r="P1209" s="43"/>
      <c r="Q1209" s="43"/>
      <c r="R1209" s="43"/>
      <c r="S1209" s="43"/>
      <c r="T1209" s="43"/>
      <c r="U1209" s="43"/>
      <c r="V1209" s="43"/>
      <c r="W1209" s="43"/>
      <c r="X1209" s="43"/>
      <c r="Y1209" s="43"/>
      <c r="Z1209" s="43"/>
    </row>
    <row r="1210" spans="15:26" x14ac:dyDescent="0.25">
      <c r="O1210" s="43"/>
      <c r="P1210" s="43"/>
      <c r="Q1210" s="43"/>
      <c r="R1210" s="43"/>
      <c r="S1210" s="43"/>
      <c r="T1210" s="43"/>
      <c r="U1210" s="43"/>
      <c r="V1210" s="43"/>
      <c r="W1210" s="43"/>
      <c r="X1210" s="43"/>
      <c r="Y1210" s="43"/>
      <c r="Z1210" s="43"/>
    </row>
    <row r="1211" spans="15:26" x14ac:dyDescent="0.25">
      <c r="O1211" s="43"/>
      <c r="P1211" s="43"/>
      <c r="Q1211" s="43"/>
      <c r="R1211" s="43"/>
      <c r="S1211" s="43"/>
      <c r="T1211" s="43"/>
      <c r="U1211" s="43"/>
      <c r="V1211" s="43"/>
      <c r="W1211" s="43"/>
      <c r="X1211" s="43"/>
      <c r="Y1211" s="43"/>
      <c r="Z1211" s="43"/>
    </row>
    <row r="1212" spans="15:26" x14ac:dyDescent="0.25">
      <c r="O1212" s="43"/>
      <c r="P1212" s="43"/>
      <c r="Q1212" s="43"/>
      <c r="R1212" s="43"/>
      <c r="S1212" s="43"/>
      <c r="T1212" s="43"/>
      <c r="U1212" s="43"/>
      <c r="V1212" s="43"/>
      <c r="W1212" s="43"/>
      <c r="X1212" s="43"/>
      <c r="Y1212" s="43"/>
      <c r="Z1212" s="43"/>
    </row>
    <row r="1213" spans="15:26" x14ac:dyDescent="0.25">
      <c r="O1213" s="43"/>
      <c r="P1213" s="43"/>
      <c r="Q1213" s="43"/>
      <c r="R1213" s="43"/>
      <c r="S1213" s="43"/>
      <c r="T1213" s="43"/>
      <c r="U1213" s="43"/>
      <c r="V1213" s="43"/>
      <c r="W1213" s="43"/>
      <c r="X1213" s="43"/>
      <c r="Y1213" s="43"/>
      <c r="Z1213" s="43"/>
    </row>
    <row r="1214" spans="15:26" x14ac:dyDescent="0.25">
      <c r="O1214" s="43"/>
      <c r="P1214" s="43"/>
      <c r="Q1214" s="43"/>
      <c r="R1214" s="43"/>
      <c r="S1214" s="43"/>
      <c r="T1214" s="43"/>
      <c r="U1214" s="43"/>
      <c r="V1214" s="43"/>
      <c r="W1214" s="43"/>
      <c r="X1214" s="43"/>
      <c r="Y1214" s="43"/>
      <c r="Z1214" s="43"/>
    </row>
    <row r="1215" spans="15:26" x14ac:dyDescent="0.25">
      <c r="O1215" s="43"/>
      <c r="P1215" s="43"/>
      <c r="Q1215" s="43"/>
      <c r="R1215" s="43"/>
      <c r="S1215" s="43"/>
      <c r="T1215" s="43"/>
      <c r="U1215" s="43"/>
      <c r="V1215" s="43"/>
      <c r="W1215" s="43"/>
      <c r="X1215" s="43"/>
      <c r="Y1215" s="43"/>
      <c r="Z1215" s="43"/>
    </row>
    <row r="1216" spans="15:26" x14ac:dyDescent="0.25">
      <c r="O1216" s="43"/>
      <c r="P1216" s="43"/>
      <c r="Q1216" s="43"/>
      <c r="R1216" s="43"/>
      <c r="S1216" s="43"/>
      <c r="T1216" s="43"/>
      <c r="U1216" s="43"/>
      <c r="V1216" s="43"/>
      <c r="W1216" s="43"/>
      <c r="X1216" s="43"/>
      <c r="Y1216" s="43"/>
      <c r="Z1216" s="43"/>
    </row>
    <row r="1217" spans="15:26" x14ac:dyDescent="0.25">
      <c r="O1217" s="43"/>
      <c r="P1217" s="43"/>
      <c r="Q1217" s="43"/>
      <c r="R1217" s="43"/>
      <c r="S1217" s="43"/>
      <c r="T1217" s="43"/>
      <c r="U1217" s="43"/>
      <c r="V1217" s="43"/>
      <c r="W1217" s="43"/>
      <c r="X1217" s="43"/>
      <c r="Y1217" s="43"/>
      <c r="Z1217" s="43"/>
    </row>
    <row r="1218" spans="15:26" x14ac:dyDescent="0.25">
      <c r="O1218" s="43"/>
      <c r="P1218" s="43"/>
      <c r="Q1218" s="43"/>
      <c r="R1218" s="43"/>
      <c r="S1218" s="43"/>
      <c r="T1218" s="43"/>
      <c r="U1218" s="43"/>
      <c r="V1218" s="43"/>
      <c r="W1218" s="43"/>
      <c r="X1218" s="43"/>
      <c r="Y1218" s="43"/>
      <c r="Z1218" s="43"/>
    </row>
    <row r="1219" spans="15:26" x14ac:dyDescent="0.25">
      <c r="O1219" s="43"/>
      <c r="P1219" s="43"/>
      <c r="Q1219" s="43"/>
      <c r="R1219" s="43"/>
      <c r="S1219" s="43"/>
      <c r="T1219" s="43"/>
      <c r="U1219" s="43"/>
      <c r="V1219" s="43"/>
      <c r="W1219" s="43"/>
      <c r="X1219" s="43"/>
      <c r="Y1219" s="43"/>
      <c r="Z1219" s="43"/>
    </row>
    <row r="1220" spans="15:26" x14ac:dyDescent="0.25">
      <c r="O1220" s="43"/>
      <c r="P1220" s="43"/>
      <c r="Q1220" s="43"/>
      <c r="R1220" s="43"/>
      <c r="S1220" s="43"/>
      <c r="T1220" s="43"/>
      <c r="U1220" s="43"/>
      <c r="V1220" s="43"/>
      <c r="W1220" s="43"/>
      <c r="X1220" s="43"/>
      <c r="Y1220" s="43"/>
      <c r="Z1220" s="43"/>
    </row>
    <row r="1221" spans="15:26" x14ac:dyDescent="0.25">
      <c r="O1221" s="43"/>
      <c r="P1221" s="43"/>
      <c r="Q1221" s="43"/>
      <c r="R1221" s="43"/>
      <c r="S1221" s="43"/>
      <c r="T1221" s="43"/>
      <c r="U1221" s="43"/>
      <c r="V1221" s="43"/>
      <c r="W1221" s="43"/>
      <c r="X1221" s="43"/>
      <c r="Y1221" s="43"/>
      <c r="Z1221" s="43"/>
    </row>
    <row r="1222" spans="15:26" x14ac:dyDescent="0.25">
      <c r="O1222" s="43"/>
      <c r="P1222" s="43"/>
      <c r="Q1222" s="43"/>
      <c r="R1222" s="43"/>
      <c r="S1222" s="43"/>
      <c r="T1222" s="43"/>
      <c r="U1222" s="43"/>
      <c r="V1222" s="43"/>
      <c r="W1222" s="43"/>
      <c r="X1222" s="43"/>
      <c r="Y1222" s="43"/>
      <c r="Z1222" s="43"/>
    </row>
    <row r="1223" spans="15:26" x14ac:dyDescent="0.25">
      <c r="O1223" s="43"/>
      <c r="P1223" s="43"/>
      <c r="Q1223" s="43"/>
      <c r="R1223" s="43"/>
      <c r="S1223" s="43"/>
      <c r="T1223" s="43"/>
      <c r="U1223" s="43"/>
      <c r="V1223" s="43"/>
      <c r="W1223" s="43"/>
      <c r="X1223" s="43"/>
      <c r="Y1223" s="43"/>
      <c r="Z1223" s="43"/>
    </row>
    <row r="1224" spans="15:26" x14ac:dyDescent="0.25">
      <c r="O1224" s="43"/>
      <c r="P1224" s="43"/>
      <c r="Q1224" s="43"/>
      <c r="R1224" s="43"/>
      <c r="S1224" s="43"/>
      <c r="T1224" s="43"/>
      <c r="U1224" s="43"/>
      <c r="V1224" s="43"/>
      <c r="W1224" s="43"/>
      <c r="X1224" s="43"/>
      <c r="Y1224" s="43"/>
      <c r="Z1224" s="43"/>
    </row>
    <row r="1225" spans="15:26" x14ac:dyDescent="0.25">
      <c r="O1225" s="43"/>
      <c r="P1225" s="43"/>
      <c r="Q1225" s="43"/>
      <c r="R1225" s="43"/>
      <c r="S1225" s="43"/>
      <c r="T1225" s="43"/>
      <c r="U1225" s="43"/>
      <c r="V1225" s="43"/>
      <c r="W1225" s="43"/>
      <c r="X1225" s="43"/>
      <c r="Y1225" s="43"/>
      <c r="Z1225" s="43"/>
    </row>
    <row r="1226" spans="15:26" x14ac:dyDescent="0.25">
      <c r="O1226" s="43"/>
      <c r="P1226" s="43"/>
      <c r="Q1226" s="43"/>
      <c r="R1226" s="43"/>
      <c r="S1226" s="43"/>
      <c r="T1226" s="43"/>
      <c r="U1226" s="43"/>
      <c r="V1226" s="43"/>
      <c r="W1226" s="43"/>
      <c r="X1226" s="43"/>
      <c r="Y1226" s="43"/>
      <c r="Z1226" s="43"/>
    </row>
    <row r="1227" spans="15:26" x14ac:dyDescent="0.25">
      <c r="O1227" s="43"/>
      <c r="P1227" s="43"/>
      <c r="Q1227" s="43"/>
      <c r="R1227" s="43"/>
      <c r="S1227" s="43"/>
      <c r="T1227" s="43"/>
      <c r="U1227" s="43"/>
      <c r="V1227" s="43"/>
      <c r="W1227" s="43"/>
      <c r="X1227" s="43"/>
      <c r="Y1227" s="43"/>
      <c r="Z1227" s="43"/>
    </row>
    <row r="1228" spans="15:26" x14ac:dyDescent="0.25">
      <c r="O1228" s="43"/>
      <c r="P1228" s="43"/>
      <c r="Q1228" s="43"/>
      <c r="R1228" s="43"/>
      <c r="S1228" s="43"/>
      <c r="T1228" s="43"/>
      <c r="U1228" s="43"/>
      <c r="V1228" s="43"/>
      <c r="W1228" s="43"/>
      <c r="X1228" s="43"/>
      <c r="Y1228" s="43"/>
      <c r="Z1228" s="43"/>
    </row>
    <row r="1229" spans="15:26" x14ac:dyDescent="0.25">
      <c r="O1229" s="43"/>
      <c r="P1229" s="43"/>
      <c r="Q1229" s="43"/>
      <c r="R1229" s="43"/>
      <c r="S1229" s="43"/>
      <c r="T1229" s="43"/>
      <c r="U1229" s="43"/>
      <c r="V1229" s="43"/>
      <c r="W1229" s="43"/>
      <c r="X1229" s="43"/>
      <c r="Y1229" s="43"/>
      <c r="Z1229" s="43"/>
    </row>
    <row r="1230" spans="15:26" x14ac:dyDescent="0.25">
      <c r="O1230" s="43"/>
      <c r="P1230" s="43"/>
      <c r="Q1230" s="43"/>
      <c r="R1230" s="43"/>
      <c r="S1230" s="43"/>
      <c r="T1230" s="43"/>
      <c r="U1230" s="43"/>
      <c r="V1230" s="43"/>
      <c r="W1230" s="43"/>
      <c r="X1230" s="43"/>
      <c r="Y1230" s="43"/>
      <c r="Z1230" s="43"/>
    </row>
    <row r="1231" spans="15:26" x14ac:dyDescent="0.25">
      <c r="O1231" s="43"/>
      <c r="P1231" s="43"/>
      <c r="Q1231" s="43"/>
      <c r="R1231" s="43"/>
      <c r="S1231" s="43"/>
      <c r="T1231" s="43"/>
      <c r="U1231" s="43"/>
      <c r="V1231" s="43"/>
      <c r="W1231" s="43"/>
      <c r="X1231" s="43"/>
      <c r="Y1231" s="43"/>
      <c r="Z1231" s="43"/>
    </row>
    <row r="1232" spans="15:26" x14ac:dyDescent="0.25">
      <c r="O1232" s="43"/>
      <c r="P1232" s="43"/>
      <c r="Q1232" s="43"/>
      <c r="R1232" s="43"/>
      <c r="S1232" s="43"/>
      <c r="T1232" s="43"/>
      <c r="U1232" s="43"/>
      <c r="V1232" s="43"/>
      <c r="W1232" s="43"/>
      <c r="X1232" s="43"/>
      <c r="Y1232" s="43"/>
      <c r="Z1232" s="43"/>
    </row>
    <row r="1233" spans="15:26" x14ac:dyDescent="0.25">
      <c r="O1233" s="43"/>
      <c r="P1233" s="43"/>
      <c r="Q1233" s="43"/>
      <c r="R1233" s="43"/>
      <c r="S1233" s="43"/>
      <c r="T1233" s="43"/>
      <c r="U1233" s="43"/>
      <c r="V1233" s="43"/>
      <c r="W1233" s="43"/>
      <c r="X1233" s="43"/>
      <c r="Y1233" s="43"/>
      <c r="Z1233" s="43"/>
    </row>
    <row r="1234" spans="15:26" x14ac:dyDescent="0.25">
      <c r="O1234" s="43"/>
      <c r="P1234" s="43"/>
      <c r="Q1234" s="43"/>
      <c r="R1234" s="43"/>
      <c r="S1234" s="43"/>
      <c r="T1234" s="43"/>
      <c r="U1234" s="43"/>
      <c r="V1234" s="43"/>
      <c r="W1234" s="43"/>
      <c r="X1234" s="43"/>
      <c r="Y1234" s="43"/>
      <c r="Z1234" s="43"/>
    </row>
    <row r="1235" spans="15:26" x14ac:dyDescent="0.25">
      <c r="O1235" s="43"/>
      <c r="P1235" s="43"/>
      <c r="Q1235" s="43"/>
      <c r="R1235" s="43"/>
      <c r="S1235" s="43"/>
      <c r="T1235" s="43"/>
      <c r="U1235" s="43"/>
      <c r="V1235" s="43"/>
      <c r="W1235" s="43"/>
      <c r="X1235" s="43"/>
      <c r="Y1235" s="43"/>
      <c r="Z1235" s="43"/>
    </row>
    <row r="1236" spans="15:26" x14ac:dyDescent="0.25">
      <c r="O1236" s="43"/>
      <c r="P1236" s="43"/>
      <c r="Q1236" s="43"/>
      <c r="R1236" s="43"/>
      <c r="S1236" s="43"/>
      <c r="T1236" s="43"/>
      <c r="U1236" s="43"/>
      <c r="V1236" s="43"/>
      <c r="W1236" s="43"/>
      <c r="X1236" s="43"/>
      <c r="Y1236" s="43"/>
      <c r="Z1236" s="43"/>
    </row>
    <row r="1237" spans="15:26" x14ac:dyDescent="0.25">
      <c r="O1237" s="43"/>
      <c r="P1237" s="43"/>
      <c r="Q1237" s="43"/>
      <c r="R1237" s="43"/>
      <c r="S1237" s="43"/>
      <c r="T1237" s="43"/>
      <c r="U1237" s="43"/>
      <c r="V1237" s="43"/>
      <c r="W1237" s="43"/>
      <c r="X1237" s="43"/>
      <c r="Y1237" s="43"/>
      <c r="Z1237" s="43"/>
    </row>
    <row r="1238" spans="15:26" x14ac:dyDescent="0.25">
      <c r="O1238" s="43"/>
      <c r="P1238" s="43"/>
      <c r="Q1238" s="43"/>
      <c r="R1238" s="43"/>
      <c r="S1238" s="43"/>
      <c r="T1238" s="43"/>
      <c r="U1238" s="43"/>
      <c r="V1238" s="43"/>
      <c r="W1238" s="43"/>
      <c r="X1238" s="43"/>
      <c r="Y1238" s="43"/>
      <c r="Z1238" s="43"/>
    </row>
    <row r="1239" spans="15:26" x14ac:dyDescent="0.25">
      <c r="O1239" s="43"/>
      <c r="P1239" s="43"/>
      <c r="Q1239" s="43"/>
      <c r="R1239" s="43"/>
      <c r="S1239" s="43"/>
      <c r="T1239" s="43"/>
      <c r="U1239" s="43"/>
      <c r="V1239" s="43"/>
      <c r="W1239" s="43"/>
      <c r="X1239" s="43"/>
      <c r="Y1239" s="43"/>
      <c r="Z1239" s="43"/>
    </row>
    <row r="1240" spans="15:26" x14ac:dyDescent="0.25">
      <c r="O1240" s="43"/>
      <c r="P1240" s="43"/>
      <c r="Q1240" s="43"/>
      <c r="R1240" s="43"/>
      <c r="S1240" s="43"/>
      <c r="T1240" s="43"/>
      <c r="U1240" s="43"/>
      <c r="V1240" s="43"/>
      <c r="W1240" s="43"/>
      <c r="X1240" s="43"/>
      <c r="Y1240" s="43"/>
      <c r="Z1240" s="43"/>
    </row>
    <row r="1241" spans="15:26" x14ac:dyDescent="0.25">
      <c r="O1241" s="43"/>
      <c r="P1241" s="43"/>
      <c r="Q1241" s="43"/>
      <c r="R1241" s="43"/>
      <c r="S1241" s="43"/>
      <c r="T1241" s="43"/>
      <c r="U1241" s="43"/>
      <c r="V1241" s="43"/>
      <c r="W1241" s="43"/>
      <c r="X1241" s="43"/>
      <c r="Y1241" s="43"/>
      <c r="Z1241" s="43"/>
    </row>
    <row r="1242" spans="15:26" x14ac:dyDescent="0.25">
      <c r="O1242" s="43"/>
      <c r="P1242" s="43"/>
      <c r="Q1242" s="43"/>
      <c r="R1242" s="43"/>
      <c r="S1242" s="43"/>
      <c r="T1242" s="43"/>
      <c r="U1242" s="43"/>
      <c r="V1242" s="43"/>
      <c r="W1242" s="43"/>
      <c r="X1242" s="43"/>
      <c r="Y1242" s="43"/>
      <c r="Z1242" s="43"/>
    </row>
    <row r="1243" spans="15:26" x14ac:dyDescent="0.25">
      <c r="O1243" s="43"/>
      <c r="P1243" s="43"/>
      <c r="Q1243" s="43"/>
      <c r="R1243" s="43"/>
      <c r="S1243" s="43"/>
      <c r="T1243" s="43"/>
      <c r="U1243" s="43"/>
      <c r="V1243" s="43"/>
      <c r="W1243" s="43"/>
      <c r="X1243" s="43"/>
      <c r="Y1243" s="43"/>
      <c r="Z1243" s="43"/>
    </row>
    <row r="1244" spans="15:26" x14ac:dyDescent="0.25">
      <c r="O1244" s="43"/>
      <c r="P1244" s="43"/>
      <c r="Q1244" s="43"/>
      <c r="R1244" s="43"/>
      <c r="S1244" s="43"/>
      <c r="T1244" s="43"/>
      <c r="U1244" s="43"/>
      <c r="V1244" s="43"/>
      <c r="W1244" s="43"/>
      <c r="X1244" s="43"/>
      <c r="Y1244" s="43"/>
      <c r="Z1244" s="43"/>
    </row>
    <row r="1245" spans="15:26" x14ac:dyDescent="0.25">
      <c r="O1245" s="43"/>
      <c r="P1245" s="43"/>
      <c r="Q1245" s="43"/>
      <c r="R1245" s="43"/>
      <c r="S1245" s="43"/>
      <c r="T1245" s="43"/>
      <c r="U1245" s="43"/>
      <c r="V1245" s="43"/>
      <c r="W1245" s="43"/>
      <c r="X1245" s="43"/>
      <c r="Y1245" s="43"/>
      <c r="Z1245" s="43"/>
    </row>
    <row r="1246" spans="15:26" x14ac:dyDescent="0.25">
      <c r="O1246" s="43"/>
      <c r="P1246" s="43"/>
      <c r="Q1246" s="43"/>
      <c r="R1246" s="43"/>
      <c r="S1246" s="43"/>
      <c r="T1246" s="43"/>
      <c r="U1246" s="43"/>
      <c r="V1246" s="43"/>
      <c r="W1246" s="43"/>
      <c r="X1246" s="43"/>
      <c r="Y1246" s="43"/>
      <c r="Z1246" s="43"/>
    </row>
    <row r="1247" spans="15:26" x14ac:dyDescent="0.25">
      <c r="O1247" s="43"/>
      <c r="P1247" s="43"/>
      <c r="Q1247" s="43"/>
      <c r="R1247" s="43"/>
      <c r="S1247" s="43"/>
      <c r="T1247" s="43"/>
      <c r="U1247" s="43"/>
      <c r="V1247" s="43"/>
      <c r="W1247" s="43"/>
      <c r="X1247" s="43"/>
      <c r="Y1247" s="43"/>
      <c r="Z1247" s="43"/>
    </row>
    <row r="1248" spans="15:26" x14ac:dyDescent="0.25">
      <c r="O1248" s="43"/>
      <c r="P1248" s="43"/>
      <c r="Q1248" s="43"/>
      <c r="R1248" s="43"/>
      <c r="S1248" s="43"/>
      <c r="T1248" s="43"/>
      <c r="U1248" s="43"/>
      <c r="V1248" s="43"/>
      <c r="W1248" s="43"/>
      <c r="X1248" s="43"/>
      <c r="Y1248" s="43"/>
      <c r="Z1248" s="43"/>
    </row>
    <row r="1249" spans="15:26" x14ac:dyDescent="0.25">
      <c r="O1249" s="43"/>
      <c r="P1249" s="43"/>
      <c r="Q1249" s="43"/>
      <c r="R1249" s="43"/>
      <c r="S1249" s="43"/>
      <c r="T1249" s="43"/>
      <c r="U1249" s="43"/>
      <c r="V1249" s="43"/>
      <c r="W1249" s="43"/>
      <c r="X1249" s="43"/>
      <c r="Y1249" s="43"/>
      <c r="Z1249" s="43"/>
    </row>
    <row r="1250" spans="15:26" x14ac:dyDescent="0.25">
      <c r="O1250" s="43"/>
      <c r="P1250" s="43"/>
      <c r="Q1250" s="43"/>
      <c r="R1250" s="43"/>
      <c r="S1250" s="43"/>
      <c r="T1250" s="43"/>
      <c r="U1250" s="43"/>
      <c r="V1250" s="43"/>
      <c r="W1250" s="43"/>
      <c r="X1250" s="43"/>
      <c r="Y1250" s="43"/>
      <c r="Z1250" s="43"/>
    </row>
    <row r="1251" spans="15:26" x14ac:dyDescent="0.25">
      <c r="O1251" s="43"/>
      <c r="P1251" s="43"/>
      <c r="Q1251" s="43"/>
      <c r="R1251" s="43"/>
      <c r="S1251" s="43"/>
      <c r="T1251" s="43"/>
      <c r="U1251" s="43"/>
      <c r="V1251" s="43"/>
      <c r="W1251" s="43"/>
      <c r="X1251" s="43"/>
      <c r="Y1251" s="43"/>
      <c r="Z1251" s="43"/>
    </row>
    <row r="1252" spans="15:26" x14ac:dyDescent="0.25">
      <c r="O1252" s="43"/>
      <c r="P1252" s="43"/>
      <c r="Q1252" s="43"/>
      <c r="R1252" s="43"/>
      <c r="S1252" s="43"/>
      <c r="T1252" s="43"/>
      <c r="U1252" s="43"/>
      <c r="V1252" s="43"/>
      <c r="W1252" s="43"/>
      <c r="X1252" s="43"/>
      <c r="Y1252" s="43"/>
      <c r="Z1252" s="43"/>
    </row>
    <row r="1253" spans="15:26" x14ac:dyDescent="0.25">
      <c r="O1253" s="43"/>
      <c r="P1253" s="43"/>
      <c r="Q1253" s="43"/>
      <c r="R1253" s="43"/>
      <c r="S1253" s="43"/>
      <c r="T1253" s="43"/>
      <c r="U1253" s="43"/>
      <c r="V1253" s="43"/>
      <c r="W1253" s="43"/>
      <c r="X1253" s="43"/>
      <c r="Y1253" s="43"/>
      <c r="Z1253" s="43"/>
    </row>
    <row r="1254" spans="15:26" x14ac:dyDescent="0.25">
      <c r="O1254" s="43"/>
      <c r="P1254" s="43"/>
      <c r="Q1254" s="43"/>
      <c r="R1254" s="43"/>
      <c r="S1254" s="43"/>
      <c r="T1254" s="43"/>
      <c r="U1254" s="43"/>
      <c r="V1254" s="43"/>
      <c r="W1254" s="43"/>
      <c r="X1254" s="43"/>
      <c r="Y1254" s="43"/>
      <c r="Z1254" s="43"/>
    </row>
    <row r="1255" spans="15:26" x14ac:dyDescent="0.25">
      <c r="O1255" s="43"/>
      <c r="P1255" s="43"/>
      <c r="Q1255" s="43"/>
      <c r="R1255" s="43"/>
      <c r="S1255" s="43"/>
      <c r="T1255" s="43"/>
      <c r="U1255" s="43"/>
      <c r="V1255" s="43"/>
      <c r="W1255" s="43"/>
      <c r="X1255" s="43"/>
      <c r="Y1255" s="43"/>
      <c r="Z1255" s="43"/>
    </row>
    <row r="1256" spans="15:26" x14ac:dyDescent="0.25">
      <c r="O1256" s="43"/>
      <c r="P1256" s="43"/>
      <c r="Q1256" s="43"/>
      <c r="R1256" s="43"/>
      <c r="S1256" s="43"/>
      <c r="T1256" s="43"/>
      <c r="U1256" s="43"/>
      <c r="V1256" s="43"/>
      <c r="W1256" s="43"/>
      <c r="X1256" s="43"/>
      <c r="Y1256" s="43"/>
      <c r="Z1256" s="43"/>
    </row>
    <row r="1257" spans="15:26" x14ac:dyDescent="0.25">
      <c r="O1257" s="43"/>
      <c r="P1257" s="43"/>
      <c r="Q1257" s="43"/>
      <c r="R1257" s="43"/>
      <c r="S1257" s="43"/>
      <c r="T1257" s="43"/>
      <c r="U1257" s="43"/>
      <c r="V1257" s="43"/>
      <c r="W1257" s="43"/>
      <c r="X1257" s="43"/>
      <c r="Y1257" s="43"/>
      <c r="Z1257" s="43"/>
    </row>
    <row r="1258" spans="15:26" x14ac:dyDescent="0.25">
      <c r="O1258" s="43"/>
      <c r="P1258" s="43"/>
      <c r="Q1258" s="43"/>
      <c r="R1258" s="43"/>
      <c r="S1258" s="43"/>
      <c r="T1258" s="43"/>
      <c r="U1258" s="43"/>
      <c r="V1258" s="43"/>
      <c r="W1258" s="43"/>
      <c r="X1258" s="43"/>
      <c r="Y1258" s="43"/>
      <c r="Z1258" s="43"/>
    </row>
    <row r="1259" spans="15:26" x14ac:dyDescent="0.25">
      <c r="O1259" s="43"/>
      <c r="P1259" s="43"/>
      <c r="Q1259" s="43"/>
      <c r="R1259" s="43"/>
      <c r="S1259" s="43"/>
      <c r="T1259" s="43"/>
      <c r="U1259" s="43"/>
      <c r="V1259" s="43"/>
      <c r="W1259" s="43"/>
      <c r="X1259" s="43"/>
      <c r="Y1259" s="43"/>
      <c r="Z1259" s="43"/>
    </row>
    <row r="1260" spans="15:26" x14ac:dyDescent="0.25">
      <c r="O1260" s="43"/>
      <c r="P1260" s="43"/>
      <c r="Q1260" s="43"/>
      <c r="R1260" s="43"/>
      <c r="S1260" s="43"/>
      <c r="T1260" s="43"/>
      <c r="U1260" s="43"/>
      <c r="V1260" s="43"/>
      <c r="W1260" s="43"/>
      <c r="X1260" s="43"/>
      <c r="Y1260" s="43"/>
      <c r="Z1260" s="43"/>
    </row>
    <row r="1261" spans="15:26" x14ac:dyDescent="0.25">
      <c r="O1261" s="43"/>
      <c r="P1261" s="43"/>
      <c r="Q1261" s="43"/>
      <c r="R1261" s="43"/>
      <c r="S1261" s="43"/>
      <c r="T1261" s="43"/>
      <c r="U1261" s="43"/>
      <c r="V1261" s="43"/>
      <c r="W1261" s="43"/>
      <c r="X1261" s="43"/>
      <c r="Y1261" s="43"/>
      <c r="Z1261" s="43"/>
    </row>
    <row r="1262" spans="15:26" x14ac:dyDescent="0.25">
      <c r="O1262" s="43"/>
      <c r="P1262" s="43"/>
      <c r="Q1262" s="43"/>
      <c r="R1262" s="43"/>
      <c r="S1262" s="43"/>
      <c r="T1262" s="43"/>
      <c r="U1262" s="43"/>
      <c r="V1262" s="43"/>
      <c r="W1262" s="43"/>
      <c r="X1262" s="43"/>
      <c r="Y1262" s="43"/>
      <c r="Z1262" s="43"/>
    </row>
    <row r="1263" spans="15:26" x14ac:dyDescent="0.25">
      <c r="O1263" s="43"/>
      <c r="P1263" s="43"/>
      <c r="Q1263" s="43"/>
      <c r="R1263" s="43"/>
      <c r="S1263" s="43"/>
      <c r="T1263" s="43"/>
      <c r="U1263" s="43"/>
      <c r="V1263" s="43"/>
      <c r="W1263" s="43"/>
      <c r="X1263" s="43"/>
      <c r="Y1263" s="43"/>
      <c r="Z1263" s="43"/>
    </row>
    <row r="1264" spans="15:26" x14ac:dyDescent="0.25">
      <c r="O1264" s="43"/>
      <c r="P1264" s="43"/>
      <c r="Q1264" s="43"/>
      <c r="R1264" s="43"/>
      <c r="S1264" s="43"/>
      <c r="T1264" s="43"/>
      <c r="U1264" s="43"/>
      <c r="V1264" s="43"/>
      <c r="W1264" s="43"/>
      <c r="X1264" s="43"/>
      <c r="Y1264" s="43"/>
      <c r="Z1264" s="43"/>
    </row>
    <row r="1265" spans="15:26" x14ac:dyDescent="0.25">
      <c r="O1265" s="43"/>
      <c r="P1265" s="43"/>
      <c r="Q1265" s="43"/>
      <c r="R1265" s="43"/>
      <c r="S1265" s="43"/>
      <c r="T1265" s="43"/>
      <c r="U1265" s="43"/>
      <c r="V1265" s="43"/>
      <c r="W1265" s="43"/>
      <c r="X1265" s="43"/>
      <c r="Y1265" s="43"/>
      <c r="Z1265" s="43"/>
    </row>
    <row r="1266" spans="15:26" x14ac:dyDescent="0.25">
      <c r="O1266" s="43"/>
      <c r="P1266" s="43"/>
      <c r="Q1266" s="43"/>
      <c r="R1266" s="43"/>
      <c r="S1266" s="43"/>
      <c r="T1266" s="43"/>
      <c r="U1266" s="43"/>
      <c r="V1266" s="43"/>
      <c r="W1266" s="43"/>
      <c r="X1266" s="43"/>
      <c r="Y1266" s="43"/>
      <c r="Z1266" s="43"/>
    </row>
    <row r="1267" spans="15:26" x14ac:dyDescent="0.25">
      <c r="O1267" s="43"/>
      <c r="P1267" s="43"/>
      <c r="Q1267" s="43"/>
      <c r="R1267" s="43"/>
      <c r="S1267" s="43"/>
      <c r="T1267" s="43"/>
      <c r="U1267" s="43"/>
      <c r="V1267" s="43"/>
      <c r="W1267" s="43"/>
      <c r="X1267" s="43"/>
      <c r="Y1267" s="43"/>
      <c r="Z1267" s="43"/>
    </row>
    <row r="1268" spans="15:26" x14ac:dyDescent="0.25">
      <c r="O1268" s="43"/>
      <c r="P1268" s="43"/>
      <c r="Q1268" s="43"/>
      <c r="R1268" s="43"/>
      <c r="S1268" s="43"/>
      <c r="T1268" s="43"/>
      <c r="U1268" s="43"/>
      <c r="V1268" s="43"/>
      <c r="W1268" s="43"/>
      <c r="X1268" s="43"/>
      <c r="Y1268" s="43"/>
      <c r="Z1268" s="43"/>
    </row>
    <row r="1269" spans="15:26" x14ac:dyDescent="0.25">
      <c r="O1269" s="43"/>
      <c r="P1269" s="43"/>
      <c r="Q1269" s="43"/>
      <c r="R1269" s="43"/>
      <c r="S1269" s="43"/>
      <c r="T1269" s="43"/>
      <c r="U1269" s="43"/>
      <c r="V1269" s="43"/>
      <c r="W1269" s="43"/>
      <c r="X1269" s="43"/>
      <c r="Y1269" s="43"/>
      <c r="Z1269" s="43"/>
    </row>
    <row r="1270" spans="15:26" x14ac:dyDescent="0.25">
      <c r="O1270" s="43"/>
      <c r="P1270" s="43"/>
      <c r="Q1270" s="43"/>
      <c r="R1270" s="43"/>
      <c r="S1270" s="43"/>
      <c r="T1270" s="43"/>
      <c r="U1270" s="43"/>
      <c r="V1270" s="43"/>
      <c r="W1270" s="43"/>
      <c r="X1270" s="43"/>
      <c r="Y1270" s="43"/>
      <c r="Z1270" s="43"/>
    </row>
    <row r="1271" spans="15:26" x14ac:dyDescent="0.25">
      <c r="O1271" s="43"/>
      <c r="P1271" s="43"/>
      <c r="Q1271" s="43"/>
      <c r="R1271" s="43"/>
      <c r="S1271" s="43"/>
      <c r="T1271" s="43"/>
      <c r="U1271" s="43"/>
      <c r="V1271" s="43"/>
      <c r="W1271" s="43"/>
      <c r="X1271" s="43"/>
      <c r="Y1271" s="43"/>
      <c r="Z1271" s="43"/>
    </row>
    <row r="1272" spans="15:26" x14ac:dyDescent="0.25">
      <c r="O1272" s="43"/>
      <c r="P1272" s="43"/>
      <c r="Q1272" s="43"/>
      <c r="R1272" s="43"/>
      <c r="S1272" s="43"/>
      <c r="T1272" s="43"/>
      <c r="U1272" s="43"/>
      <c r="V1272" s="43"/>
      <c r="W1272" s="43"/>
      <c r="X1272" s="43"/>
      <c r="Y1272" s="43"/>
      <c r="Z1272" s="43"/>
    </row>
    <row r="1273" spans="15:26" x14ac:dyDescent="0.25">
      <c r="O1273" s="43"/>
      <c r="P1273" s="43"/>
      <c r="Q1273" s="43"/>
      <c r="R1273" s="43"/>
      <c r="S1273" s="43"/>
      <c r="T1273" s="43"/>
      <c r="U1273" s="43"/>
      <c r="V1273" s="43"/>
      <c r="W1273" s="43"/>
      <c r="X1273" s="43"/>
      <c r="Y1273" s="43"/>
      <c r="Z1273" s="43"/>
    </row>
    <row r="1274" spans="15:26" x14ac:dyDescent="0.25">
      <c r="O1274" s="43"/>
      <c r="P1274" s="43"/>
      <c r="Q1274" s="43"/>
      <c r="R1274" s="43"/>
      <c r="S1274" s="43"/>
      <c r="T1274" s="43"/>
      <c r="U1274" s="43"/>
      <c r="V1274" s="43"/>
      <c r="W1274" s="43"/>
      <c r="X1274" s="43"/>
      <c r="Y1274" s="43"/>
      <c r="Z1274" s="43"/>
    </row>
    <row r="1275" spans="15:26" x14ac:dyDescent="0.25">
      <c r="O1275" s="43"/>
      <c r="P1275" s="43"/>
      <c r="Q1275" s="43"/>
      <c r="R1275" s="43"/>
      <c r="S1275" s="43"/>
      <c r="T1275" s="43"/>
      <c r="U1275" s="43"/>
      <c r="V1275" s="43"/>
      <c r="W1275" s="43"/>
      <c r="X1275" s="43"/>
      <c r="Y1275" s="43"/>
      <c r="Z1275" s="43"/>
    </row>
    <row r="1276" spans="15:26" x14ac:dyDescent="0.25">
      <c r="O1276" s="43"/>
      <c r="P1276" s="43"/>
      <c r="Q1276" s="43"/>
      <c r="R1276" s="43"/>
      <c r="S1276" s="43"/>
      <c r="T1276" s="43"/>
      <c r="U1276" s="43"/>
      <c r="V1276" s="43"/>
      <c r="W1276" s="43"/>
      <c r="X1276" s="43"/>
      <c r="Y1276" s="43"/>
      <c r="Z1276" s="43"/>
    </row>
    <row r="1277" spans="15:26" x14ac:dyDescent="0.25">
      <c r="O1277" s="43"/>
      <c r="P1277" s="43"/>
      <c r="Q1277" s="43"/>
      <c r="R1277" s="43"/>
      <c r="S1277" s="43"/>
      <c r="T1277" s="43"/>
      <c r="U1277" s="43"/>
      <c r="V1277" s="43"/>
      <c r="W1277" s="43"/>
      <c r="X1277" s="43"/>
      <c r="Y1277" s="43"/>
      <c r="Z1277" s="43"/>
    </row>
    <row r="1278" spans="15:26" x14ac:dyDescent="0.25">
      <c r="O1278" s="43"/>
      <c r="P1278" s="43"/>
      <c r="Q1278" s="43"/>
      <c r="R1278" s="43"/>
      <c r="S1278" s="43"/>
      <c r="T1278" s="43"/>
      <c r="U1278" s="43"/>
      <c r="V1278" s="43"/>
      <c r="W1278" s="43"/>
      <c r="X1278" s="43"/>
      <c r="Y1278" s="43"/>
      <c r="Z1278" s="43"/>
    </row>
    <row r="1279" spans="15:26" x14ac:dyDescent="0.25">
      <c r="O1279" s="43"/>
      <c r="P1279" s="43"/>
      <c r="Q1279" s="43"/>
      <c r="R1279" s="43"/>
      <c r="S1279" s="43"/>
      <c r="T1279" s="43"/>
      <c r="U1279" s="43"/>
      <c r="V1279" s="43"/>
      <c r="W1279" s="43"/>
      <c r="X1279" s="43"/>
      <c r="Y1279" s="43"/>
      <c r="Z1279" s="43"/>
    </row>
    <row r="1280" spans="15:26" x14ac:dyDescent="0.25">
      <c r="O1280" s="43"/>
      <c r="P1280" s="43"/>
      <c r="Q1280" s="43"/>
      <c r="R1280" s="43"/>
      <c r="S1280" s="43"/>
      <c r="T1280" s="43"/>
      <c r="U1280" s="43"/>
      <c r="V1280" s="43"/>
      <c r="W1280" s="43"/>
      <c r="X1280" s="43"/>
      <c r="Y1280" s="43"/>
      <c r="Z1280" s="43"/>
    </row>
    <row r="1281" spans="15:26" x14ac:dyDescent="0.25">
      <c r="O1281" s="43"/>
      <c r="P1281" s="43"/>
      <c r="Q1281" s="43"/>
      <c r="R1281" s="43"/>
      <c r="S1281" s="43"/>
      <c r="T1281" s="43"/>
      <c r="U1281" s="43"/>
      <c r="V1281" s="43"/>
      <c r="W1281" s="43"/>
      <c r="X1281" s="43"/>
      <c r="Y1281" s="43"/>
      <c r="Z1281" s="43"/>
    </row>
    <row r="1282" spans="15:26" x14ac:dyDescent="0.25">
      <c r="O1282" s="43"/>
      <c r="P1282" s="43"/>
      <c r="Q1282" s="43"/>
      <c r="R1282" s="43"/>
      <c r="S1282" s="43"/>
      <c r="T1282" s="43"/>
      <c r="U1282" s="43"/>
      <c r="V1282" s="43"/>
      <c r="W1282" s="43"/>
      <c r="X1282" s="43"/>
      <c r="Y1282" s="43"/>
      <c r="Z1282" s="43"/>
    </row>
    <row r="1283" spans="15:26" x14ac:dyDescent="0.25">
      <c r="O1283" s="43"/>
      <c r="P1283" s="43"/>
      <c r="Q1283" s="43"/>
      <c r="R1283" s="43"/>
      <c r="S1283" s="43"/>
      <c r="T1283" s="43"/>
      <c r="U1283" s="43"/>
      <c r="V1283" s="43"/>
      <c r="W1283" s="43"/>
      <c r="X1283" s="43"/>
      <c r="Y1283" s="43"/>
      <c r="Z1283" s="43"/>
    </row>
    <row r="1284" spans="15:26" x14ac:dyDescent="0.25">
      <c r="O1284" s="43"/>
      <c r="P1284" s="43"/>
      <c r="Q1284" s="43"/>
      <c r="R1284" s="43"/>
      <c r="S1284" s="43"/>
      <c r="T1284" s="43"/>
      <c r="U1284" s="43"/>
      <c r="V1284" s="43"/>
      <c r="W1284" s="43"/>
      <c r="X1284" s="43"/>
      <c r="Y1284" s="43"/>
      <c r="Z1284" s="43"/>
    </row>
    <row r="1285" spans="15:26" x14ac:dyDescent="0.25">
      <c r="O1285" s="43"/>
      <c r="P1285" s="43"/>
      <c r="Q1285" s="43"/>
      <c r="R1285" s="43"/>
      <c r="S1285" s="43"/>
      <c r="T1285" s="43"/>
      <c r="U1285" s="43"/>
      <c r="V1285" s="43"/>
      <c r="W1285" s="43"/>
      <c r="X1285" s="43"/>
      <c r="Y1285" s="43"/>
      <c r="Z1285" s="43"/>
    </row>
    <row r="1286" spans="15:26" x14ac:dyDescent="0.25">
      <c r="O1286" s="43"/>
      <c r="P1286" s="43"/>
      <c r="Q1286" s="43"/>
      <c r="R1286" s="43"/>
      <c r="S1286" s="43"/>
      <c r="T1286" s="43"/>
      <c r="U1286" s="43"/>
      <c r="V1286" s="43"/>
      <c r="W1286" s="43"/>
      <c r="X1286" s="43"/>
      <c r="Y1286" s="43"/>
      <c r="Z1286" s="43"/>
    </row>
    <row r="1287" spans="15:26" x14ac:dyDescent="0.25">
      <c r="O1287" s="43"/>
      <c r="P1287" s="43"/>
      <c r="Q1287" s="43"/>
      <c r="R1287" s="43"/>
      <c r="S1287" s="43"/>
      <c r="T1287" s="43"/>
      <c r="U1287" s="43"/>
      <c r="V1287" s="43"/>
      <c r="W1287" s="43"/>
      <c r="X1287" s="43"/>
      <c r="Y1287" s="43"/>
      <c r="Z1287" s="43"/>
    </row>
    <row r="1288" spans="15:26" x14ac:dyDescent="0.25">
      <c r="O1288" s="43"/>
      <c r="P1288" s="43"/>
      <c r="Q1288" s="43"/>
      <c r="R1288" s="43"/>
      <c r="S1288" s="43"/>
      <c r="T1288" s="43"/>
      <c r="U1288" s="43"/>
      <c r="V1288" s="43"/>
      <c r="W1288" s="43"/>
      <c r="X1288" s="43"/>
      <c r="Y1288" s="43"/>
      <c r="Z1288" s="43"/>
    </row>
    <row r="1289" spans="15:26" x14ac:dyDescent="0.25">
      <c r="O1289" s="43"/>
      <c r="P1289" s="43"/>
      <c r="Q1289" s="43"/>
      <c r="R1289" s="43"/>
      <c r="S1289" s="43"/>
      <c r="T1289" s="43"/>
      <c r="U1289" s="43"/>
      <c r="V1289" s="43"/>
      <c r="W1289" s="43"/>
      <c r="X1289" s="43"/>
      <c r="Y1289" s="43"/>
      <c r="Z1289" s="43"/>
    </row>
    <row r="1290" spans="15:26" x14ac:dyDescent="0.25">
      <c r="O1290" s="43"/>
      <c r="P1290" s="43"/>
      <c r="Q1290" s="43"/>
      <c r="R1290" s="43"/>
      <c r="S1290" s="43"/>
      <c r="T1290" s="43"/>
      <c r="U1290" s="43"/>
      <c r="V1290" s="43"/>
      <c r="W1290" s="43"/>
      <c r="X1290" s="43"/>
      <c r="Y1290" s="43"/>
      <c r="Z1290" s="43"/>
    </row>
    <row r="1291" spans="15:26" x14ac:dyDescent="0.25">
      <c r="O1291" s="43"/>
      <c r="P1291" s="43"/>
      <c r="Q1291" s="43"/>
      <c r="R1291" s="43"/>
      <c r="S1291" s="43"/>
      <c r="T1291" s="43"/>
      <c r="U1291" s="43"/>
      <c r="V1291" s="43"/>
      <c r="W1291" s="43"/>
      <c r="X1291" s="43"/>
      <c r="Y1291" s="43"/>
      <c r="Z1291" s="43"/>
    </row>
    <row r="1292" spans="15:26" x14ac:dyDescent="0.25">
      <c r="O1292" s="43"/>
      <c r="P1292" s="43"/>
      <c r="Q1292" s="43"/>
      <c r="R1292" s="43"/>
      <c r="S1292" s="43"/>
      <c r="T1292" s="43"/>
      <c r="U1292" s="43"/>
      <c r="V1292" s="43"/>
      <c r="W1292" s="43"/>
      <c r="X1292" s="43"/>
      <c r="Y1292" s="43"/>
      <c r="Z1292" s="43"/>
    </row>
    <row r="1293" spans="15:26" x14ac:dyDescent="0.25">
      <c r="O1293" s="43"/>
      <c r="P1293" s="43"/>
      <c r="Q1293" s="43"/>
      <c r="R1293" s="43"/>
      <c r="S1293" s="43"/>
      <c r="T1293" s="43"/>
      <c r="U1293" s="43"/>
      <c r="V1293" s="43"/>
      <c r="W1293" s="43"/>
      <c r="X1293" s="43"/>
      <c r="Y1293" s="43"/>
      <c r="Z1293" s="43"/>
    </row>
    <row r="1294" spans="15:26" x14ac:dyDescent="0.25">
      <c r="O1294" s="43"/>
      <c r="P1294" s="43"/>
      <c r="Q1294" s="43"/>
      <c r="R1294" s="43"/>
      <c r="S1294" s="43"/>
      <c r="T1294" s="43"/>
      <c r="U1294" s="43"/>
      <c r="V1294" s="43"/>
      <c r="W1294" s="43"/>
      <c r="X1294" s="43"/>
      <c r="Y1294" s="43"/>
      <c r="Z1294" s="43"/>
    </row>
    <row r="1295" spans="15:26" x14ac:dyDescent="0.25">
      <c r="O1295" s="43"/>
      <c r="P1295" s="43"/>
      <c r="Q1295" s="43"/>
      <c r="R1295" s="43"/>
      <c r="S1295" s="43"/>
      <c r="T1295" s="43"/>
      <c r="U1295" s="43"/>
      <c r="V1295" s="43"/>
      <c r="W1295" s="43"/>
      <c r="X1295" s="43"/>
      <c r="Y1295" s="43"/>
      <c r="Z1295" s="43"/>
    </row>
    <row r="1296" spans="15:26" x14ac:dyDescent="0.25">
      <c r="O1296" s="43"/>
      <c r="P1296" s="43"/>
      <c r="Q1296" s="43"/>
      <c r="R1296" s="43"/>
      <c r="S1296" s="43"/>
      <c r="T1296" s="43"/>
      <c r="U1296" s="43"/>
      <c r="V1296" s="43"/>
      <c r="W1296" s="43"/>
      <c r="X1296" s="43"/>
      <c r="Y1296" s="43"/>
      <c r="Z1296" s="43"/>
    </row>
    <row r="1297" spans="15:26" x14ac:dyDescent="0.25">
      <c r="O1297" s="43"/>
      <c r="P1297" s="43"/>
      <c r="Q1297" s="43"/>
      <c r="R1297" s="43"/>
      <c r="S1297" s="43"/>
      <c r="T1297" s="43"/>
      <c r="U1297" s="43"/>
      <c r="V1297" s="43"/>
      <c r="W1297" s="43"/>
      <c r="X1297" s="43"/>
      <c r="Y1297" s="43"/>
      <c r="Z1297" s="43"/>
    </row>
    <row r="1298" spans="15:26" x14ac:dyDescent="0.25">
      <c r="O1298" s="43"/>
      <c r="P1298" s="43"/>
      <c r="Q1298" s="43"/>
      <c r="R1298" s="43"/>
      <c r="S1298" s="43"/>
      <c r="T1298" s="43"/>
      <c r="U1298" s="43"/>
      <c r="V1298" s="43"/>
      <c r="W1298" s="43"/>
      <c r="X1298" s="43"/>
      <c r="Y1298" s="43"/>
      <c r="Z1298" s="43"/>
    </row>
    <row r="1299" spans="15:26" x14ac:dyDescent="0.25">
      <c r="O1299" s="43"/>
      <c r="P1299" s="43"/>
      <c r="Q1299" s="43"/>
      <c r="R1299" s="43"/>
      <c r="S1299" s="43"/>
      <c r="T1299" s="43"/>
      <c r="U1299" s="43"/>
      <c r="V1299" s="43"/>
      <c r="W1299" s="43"/>
      <c r="X1299" s="43"/>
      <c r="Y1299" s="43"/>
      <c r="Z1299" s="43"/>
    </row>
    <row r="1300" spans="15:26" x14ac:dyDescent="0.25">
      <c r="O1300" s="43"/>
      <c r="P1300" s="43"/>
      <c r="Q1300" s="43"/>
      <c r="R1300" s="43"/>
      <c r="S1300" s="43"/>
      <c r="T1300" s="43"/>
      <c r="U1300" s="43"/>
      <c r="V1300" s="43"/>
      <c r="W1300" s="43"/>
      <c r="X1300" s="43"/>
      <c r="Y1300" s="43"/>
      <c r="Z1300" s="43"/>
    </row>
    <row r="1301" spans="15:26" x14ac:dyDescent="0.25">
      <c r="O1301" s="43"/>
      <c r="P1301" s="43"/>
      <c r="Q1301" s="43"/>
      <c r="R1301" s="43"/>
      <c r="S1301" s="43"/>
      <c r="T1301" s="43"/>
      <c r="U1301" s="43"/>
      <c r="V1301" s="43"/>
      <c r="W1301" s="43"/>
      <c r="X1301" s="43"/>
      <c r="Y1301" s="43"/>
      <c r="Z1301" s="43"/>
    </row>
    <row r="1302" spans="15:26" x14ac:dyDescent="0.25">
      <c r="O1302" s="43"/>
      <c r="P1302" s="43"/>
      <c r="Q1302" s="43"/>
      <c r="R1302" s="43"/>
      <c r="S1302" s="43"/>
      <c r="T1302" s="43"/>
      <c r="U1302" s="43"/>
      <c r="V1302" s="43"/>
      <c r="W1302" s="43"/>
      <c r="X1302" s="43"/>
      <c r="Y1302" s="43"/>
      <c r="Z1302" s="43"/>
    </row>
    <row r="1303" spans="15:26" x14ac:dyDescent="0.25">
      <c r="O1303" s="43"/>
      <c r="P1303" s="43"/>
      <c r="Q1303" s="43"/>
      <c r="R1303" s="43"/>
      <c r="S1303" s="43"/>
      <c r="T1303" s="43"/>
      <c r="U1303" s="43"/>
      <c r="V1303" s="43"/>
      <c r="W1303" s="43"/>
      <c r="X1303" s="43"/>
      <c r="Y1303" s="43"/>
      <c r="Z1303" s="43"/>
    </row>
    <row r="1304" spans="15:26" x14ac:dyDescent="0.25">
      <c r="O1304" s="43"/>
      <c r="P1304" s="43"/>
      <c r="Q1304" s="43"/>
      <c r="R1304" s="43"/>
      <c r="S1304" s="43"/>
      <c r="T1304" s="43"/>
      <c r="U1304" s="43"/>
      <c r="V1304" s="43"/>
      <c r="W1304" s="43"/>
      <c r="X1304" s="43"/>
      <c r="Y1304" s="43"/>
      <c r="Z1304" s="43"/>
    </row>
    <row r="1305" spans="15:26" x14ac:dyDescent="0.25">
      <c r="O1305" s="43"/>
      <c r="P1305" s="43"/>
      <c r="Q1305" s="43"/>
      <c r="R1305" s="43"/>
      <c r="S1305" s="43"/>
      <c r="T1305" s="43"/>
      <c r="U1305" s="43"/>
      <c r="V1305" s="43"/>
      <c r="W1305" s="43"/>
      <c r="X1305" s="43"/>
      <c r="Y1305" s="43"/>
      <c r="Z1305" s="43"/>
    </row>
    <row r="1306" spans="15:26" x14ac:dyDescent="0.25">
      <c r="O1306" s="43"/>
      <c r="P1306" s="43"/>
      <c r="Q1306" s="43"/>
      <c r="R1306" s="43"/>
      <c r="S1306" s="43"/>
      <c r="T1306" s="43"/>
      <c r="U1306" s="43"/>
      <c r="V1306" s="43"/>
      <c r="W1306" s="43"/>
      <c r="X1306" s="43"/>
      <c r="Y1306" s="43"/>
      <c r="Z1306" s="43"/>
    </row>
    <row r="1307" spans="15:26" x14ac:dyDescent="0.25">
      <c r="O1307" s="43"/>
      <c r="P1307" s="43"/>
      <c r="Q1307" s="43"/>
      <c r="R1307" s="43"/>
      <c r="S1307" s="43"/>
      <c r="T1307" s="43"/>
      <c r="U1307" s="43"/>
      <c r="V1307" s="43"/>
      <c r="W1307" s="43"/>
      <c r="X1307" s="43"/>
      <c r="Y1307" s="43"/>
      <c r="Z1307" s="43"/>
    </row>
    <row r="1308" spans="15:26" x14ac:dyDescent="0.25">
      <c r="O1308" s="43"/>
      <c r="P1308" s="43"/>
      <c r="Q1308" s="43"/>
      <c r="R1308" s="43"/>
      <c r="S1308" s="43"/>
      <c r="T1308" s="43"/>
      <c r="U1308" s="43"/>
      <c r="V1308" s="43"/>
      <c r="W1308" s="43"/>
      <c r="X1308" s="43"/>
      <c r="Y1308" s="43"/>
      <c r="Z1308" s="43"/>
    </row>
    <row r="1309" spans="15:26" x14ac:dyDescent="0.25">
      <c r="O1309" s="43"/>
      <c r="P1309" s="43"/>
      <c r="Q1309" s="43"/>
      <c r="R1309" s="43"/>
      <c r="S1309" s="43"/>
      <c r="T1309" s="43"/>
      <c r="U1309" s="43"/>
      <c r="V1309" s="43"/>
      <c r="W1309" s="43"/>
      <c r="X1309" s="43"/>
      <c r="Y1309" s="43"/>
      <c r="Z1309" s="43"/>
    </row>
    <row r="1310" spans="15:26" x14ac:dyDescent="0.25">
      <c r="O1310" s="43"/>
      <c r="P1310" s="43"/>
      <c r="Q1310" s="43"/>
      <c r="R1310" s="43"/>
      <c r="S1310" s="43"/>
      <c r="T1310" s="43"/>
      <c r="U1310" s="43"/>
      <c r="V1310" s="43"/>
      <c r="W1310" s="43"/>
      <c r="X1310" s="43"/>
      <c r="Y1310" s="43"/>
      <c r="Z1310" s="43"/>
    </row>
    <row r="1311" spans="15:26" x14ac:dyDescent="0.25">
      <c r="O1311" s="43"/>
      <c r="P1311" s="43"/>
      <c r="Q1311" s="43"/>
      <c r="R1311" s="43"/>
      <c r="S1311" s="43"/>
      <c r="T1311" s="43"/>
      <c r="U1311" s="43"/>
      <c r="V1311" s="43"/>
      <c r="W1311" s="43"/>
      <c r="X1311" s="43"/>
      <c r="Y1311" s="43"/>
      <c r="Z1311" s="43"/>
    </row>
    <row r="1312" spans="15:26" x14ac:dyDescent="0.25">
      <c r="O1312" s="43"/>
      <c r="P1312" s="43"/>
      <c r="Q1312" s="43"/>
      <c r="R1312" s="43"/>
      <c r="S1312" s="43"/>
      <c r="T1312" s="43"/>
      <c r="U1312" s="43"/>
      <c r="V1312" s="43"/>
      <c r="W1312" s="43"/>
      <c r="X1312" s="43"/>
      <c r="Y1312" s="43"/>
      <c r="Z1312" s="43"/>
    </row>
    <row r="1313" spans="15:26" x14ac:dyDescent="0.25">
      <c r="O1313" s="43"/>
      <c r="P1313" s="43"/>
      <c r="Q1313" s="43"/>
      <c r="R1313" s="43"/>
      <c r="S1313" s="43"/>
      <c r="T1313" s="43"/>
      <c r="U1313" s="43"/>
      <c r="V1313" s="43"/>
      <c r="W1313" s="43"/>
      <c r="X1313" s="43"/>
      <c r="Y1313" s="43"/>
      <c r="Z1313" s="43"/>
    </row>
    <row r="1314" spans="15:26" x14ac:dyDescent="0.25">
      <c r="O1314" s="43"/>
      <c r="P1314" s="43"/>
      <c r="Q1314" s="43"/>
      <c r="R1314" s="43"/>
      <c r="S1314" s="43"/>
      <c r="T1314" s="43"/>
      <c r="U1314" s="43"/>
      <c r="V1314" s="43"/>
      <c r="W1314" s="43"/>
      <c r="X1314" s="43"/>
      <c r="Y1314" s="43"/>
      <c r="Z1314" s="43"/>
    </row>
    <row r="1315" spans="15:26" x14ac:dyDescent="0.25">
      <c r="O1315" s="43"/>
      <c r="P1315" s="43"/>
      <c r="Q1315" s="43"/>
      <c r="R1315" s="43"/>
      <c r="S1315" s="43"/>
      <c r="T1315" s="43"/>
      <c r="U1315" s="43"/>
      <c r="V1315" s="43"/>
      <c r="W1315" s="43"/>
      <c r="X1315" s="43"/>
      <c r="Y1315" s="43"/>
      <c r="Z1315" s="43"/>
    </row>
    <row r="1316" spans="15:26" x14ac:dyDescent="0.25">
      <c r="O1316" s="43"/>
      <c r="P1316" s="43"/>
      <c r="Q1316" s="43"/>
      <c r="R1316" s="43"/>
      <c r="S1316" s="43"/>
      <c r="T1316" s="43"/>
      <c r="U1316" s="43"/>
      <c r="V1316" s="43"/>
      <c r="W1316" s="43"/>
      <c r="X1316" s="43"/>
      <c r="Y1316" s="43"/>
      <c r="Z1316" s="43"/>
    </row>
    <row r="1317" spans="15:26" x14ac:dyDescent="0.25">
      <c r="O1317" s="43"/>
      <c r="P1317" s="43"/>
      <c r="Q1317" s="43"/>
      <c r="R1317" s="43"/>
      <c r="S1317" s="43"/>
      <c r="T1317" s="43"/>
      <c r="U1317" s="43"/>
      <c r="V1317" s="43"/>
      <c r="W1317" s="43"/>
      <c r="X1317" s="43"/>
      <c r="Y1317" s="43"/>
      <c r="Z1317" s="43"/>
    </row>
    <row r="1318" spans="15:26" x14ac:dyDescent="0.25">
      <c r="O1318" s="43"/>
      <c r="P1318" s="43"/>
      <c r="Q1318" s="43"/>
      <c r="R1318" s="43"/>
      <c r="S1318" s="43"/>
      <c r="T1318" s="43"/>
      <c r="U1318" s="43"/>
      <c r="V1318" s="43"/>
      <c r="W1318" s="43"/>
      <c r="X1318" s="43"/>
      <c r="Y1318" s="43"/>
      <c r="Z1318" s="43"/>
    </row>
    <row r="1319" spans="15:26" x14ac:dyDescent="0.25">
      <c r="O1319" s="43"/>
      <c r="P1319" s="43"/>
      <c r="Q1319" s="43"/>
      <c r="R1319" s="43"/>
      <c r="S1319" s="43"/>
      <c r="T1319" s="43"/>
      <c r="U1319" s="43"/>
      <c r="V1319" s="43"/>
      <c r="W1319" s="43"/>
      <c r="X1319" s="43"/>
      <c r="Y1319" s="43"/>
      <c r="Z1319" s="43"/>
    </row>
    <row r="1320" spans="15:26" x14ac:dyDescent="0.25">
      <c r="O1320" s="43"/>
      <c r="P1320" s="43"/>
      <c r="Q1320" s="43"/>
      <c r="R1320" s="43"/>
      <c r="S1320" s="43"/>
      <c r="T1320" s="43"/>
      <c r="U1320" s="43"/>
      <c r="V1320" s="43"/>
      <c r="W1320" s="43"/>
      <c r="X1320" s="43"/>
      <c r="Y1320" s="43"/>
      <c r="Z1320" s="43"/>
    </row>
    <row r="1321" spans="15:26" x14ac:dyDescent="0.25">
      <c r="O1321" s="43"/>
      <c r="P1321" s="43"/>
      <c r="Q1321" s="43"/>
      <c r="R1321" s="43"/>
      <c r="S1321" s="43"/>
      <c r="T1321" s="43"/>
      <c r="U1321" s="43"/>
      <c r="V1321" s="43"/>
      <c r="W1321" s="43"/>
      <c r="X1321" s="43"/>
      <c r="Y1321" s="43"/>
      <c r="Z1321" s="43"/>
    </row>
    <row r="1322" spans="15:26" x14ac:dyDescent="0.25">
      <c r="O1322" s="43"/>
      <c r="P1322" s="43"/>
      <c r="Q1322" s="43"/>
      <c r="R1322" s="43"/>
      <c r="S1322" s="43"/>
      <c r="T1322" s="43"/>
      <c r="U1322" s="43"/>
      <c r="V1322" s="43"/>
      <c r="W1322" s="43"/>
      <c r="X1322" s="43"/>
      <c r="Y1322" s="43"/>
      <c r="Z1322" s="43"/>
    </row>
    <row r="1323" spans="15:26" x14ac:dyDescent="0.25">
      <c r="O1323" s="43"/>
      <c r="P1323" s="43"/>
      <c r="Q1323" s="43"/>
      <c r="R1323" s="43"/>
      <c r="S1323" s="43"/>
      <c r="T1323" s="43"/>
      <c r="U1323" s="43"/>
      <c r="V1323" s="43"/>
      <c r="W1323" s="43"/>
      <c r="X1323" s="43"/>
      <c r="Y1323" s="43"/>
      <c r="Z1323" s="43"/>
    </row>
    <row r="1324" spans="15:26" x14ac:dyDescent="0.25">
      <c r="O1324" s="43"/>
      <c r="P1324" s="43"/>
      <c r="Q1324" s="43"/>
      <c r="R1324" s="43"/>
      <c r="S1324" s="43"/>
      <c r="T1324" s="43"/>
      <c r="U1324" s="43"/>
      <c r="V1324" s="43"/>
      <c r="W1324" s="43"/>
      <c r="X1324" s="43"/>
      <c r="Y1324" s="43"/>
      <c r="Z1324" s="43"/>
    </row>
    <row r="1325" spans="15:26" x14ac:dyDescent="0.25">
      <c r="O1325" s="43"/>
      <c r="P1325" s="43"/>
      <c r="Q1325" s="43"/>
      <c r="R1325" s="43"/>
      <c r="S1325" s="43"/>
      <c r="T1325" s="43"/>
      <c r="U1325" s="43"/>
      <c r="V1325" s="43"/>
      <c r="W1325" s="43"/>
      <c r="X1325" s="43"/>
      <c r="Y1325" s="43"/>
      <c r="Z1325" s="43"/>
    </row>
    <row r="1326" spans="15:26" x14ac:dyDescent="0.25">
      <c r="O1326" s="43"/>
      <c r="P1326" s="43"/>
      <c r="Q1326" s="43"/>
      <c r="R1326" s="43"/>
      <c r="S1326" s="43"/>
      <c r="T1326" s="43"/>
      <c r="U1326" s="43"/>
      <c r="V1326" s="43"/>
      <c r="W1326" s="43"/>
      <c r="X1326" s="43"/>
      <c r="Y1326" s="43"/>
      <c r="Z1326" s="43"/>
    </row>
    <row r="1327" spans="15:26" x14ac:dyDescent="0.25">
      <c r="O1327" s="43"/>
      <c r="P1327" s="43"/>
      <c r="Q1327" s="43"/>
      <c r="R1327" s="43"/>
      <c r="S1327" s="43"/>
      <c r="T1327" s="43"/>
      <c r="U1327" s="43"/>
      <c r="V1327" s="43"/>
      <c r="W1327" s="43"/>
      <c r="X1327" s="43"/>
      <c r="Y1327" s="43"/>
      <c r="Z1327" s="43"/>
    </row>
    <row r="1328" spans="15:26" x14ac:dyDescent="0.25">
      <c r="O1328" s="43"/>
      <c r="P1328" s="43"/>
      <c r="Q1328" s="43"/>
      <c r="R1328" s="43"/>
      <c r="S1328" s="43"/>
      <c r="T1328" s="43"/>
      <c r="U1328" s="43"/>
      <c r="V1328" s="43"/>
      <c r="W1328" s="43"/>
      <c r="X1328" s="43"/>
      <c r="Y1328" s="43"/>
      <c r="Z1328" s="43"/>
    </row>
    <row r="1329" spans="15:26" x14ac:dyDescent="0.25">
      <c r="O1329" s="43"/>
      <c r="P1329" s="43"/>
      <c r="Q1329" s="43"/>
      <c r="R1329" s="43"/>
      <c r="S1329" s="43"/>
      <c r="T1329" s="43"/>
      <c r="U1329" s="43"/>
      <c r="V1329" s="43"/>
      <c r="W1329" s="43"/>
      <c r="X1329" s="43"/>
      <c r="Y1329" s="43"/>
      <c r="Z1329" s="43"/>
    </row>
    <row r="1330" spans="15:26" x14ac:dyDescent="0.25">
      <c r="O1330" s="43"/>
      <c r="P1330" s="43"/>
      <c r="Q1330" s="43"/>
      <c r="R1330" s="43"/>
      <c r="S1330" s="43"/>
      <c r="T1330" s="43"/>
      <c r="U1330" s="43"/>
      <c r="V1330" s="43"/>
      <c r="W1330" s="43"/>
      <c r="X1330" s="43"/>
      <c r="Y1330" s="43"/>
      <c r="Z1330" s="43"/>
    </row>
    <row r="1331" spans="15:26" x14ac:dyDescent="0.25">
      <c r="O1331" s="43"/>
      <c r="P1331" s="43"/>
      <c r="Q1331" s="43"/>
      <c r="R1331" s="43"/>
      <c r="S1331" s="43"/>
      <c r="T1331" s="43"/>
      <c r="U1331" s="43"/>
      <c r="V1331" s="43"/>
      <c r="W1331" s="43"/>
      <c r="X1331" s="43"/>
      <c r="Y1331" s="43"/>
      <c r="Z1331" s="43"/>
    </row>
    <row r="1332" spans="15:26" x14ac:dyDescent="0.25">
      <c r="O1332" s="43"/>
      <c r="P1332" s="43"/>
      <c r="Q1332" s="43"/>
      <c r="R1332" s="43"/>
      <c r="S1332" s="43"/>
      <c r="T1332" s="43"/>
      <c r="U1332" s="43"/>
      <c r="V1332" s="43"/>
      <c r="W1332" s="43"/>
      <c r="X1332" s="43"/>
      <c r="Y1332" s="43"/>
      <c r="Z1332" s="43"/>
    </row>
    <row r="1333" spans="15:26" x14ac:dyDescent="0.25">
      <c r="O1333" s="43"/>
      <c r="P1333" s="43"/>
      <c r="Q1333" s="43"/>
      <c r="R1333" s="43"/>
      <c r="S1333" s="43"/>
      <c r="T1333" s="43"/>
      <c r="U1333" s="43"/>
      <c r="V1333" s="43"/>
      <c r="W1333" s="43"/>
      <c r="X1333" s="43"/>
      <c r="Y1333" s="43"/>
      <c r="Z1333" s="43"/>
    </row>
    <row r="1334" spans="15:26" x14ac:dyDescent="0.25">
      <c r="O1334" s="43"/>
      <c r="P1334" s="43"/>
      <c r="Q1334" s="43"/>
      <c r="R1334" s="43"/>
      <c r="S1334" s="43"/>
      <c r="T1334" s="43"/>
      <c r="U1334" s="43"/>
      <c r="V1334" s="43"/>
      <c r="W1334" s="43"/>
      <c r="X1334" s="43"/>
      <c r="Y1334" s="43"/>
      <c r="Z1334" s="43"/>
    </row>
    <row r="1335" spans="15:26" x14ac:dyDescent="0.25">
      <c r="O1335" s="43"/>
      <c r="P1335" s="43"/>
      <c r="Q1335" s="43"/>
      <c r="R1335" s="43"/>
      <c r="S1335" s="43"/>
      <c r="T1335" s="43"/>
      <c r="U1335" s="43"/>
      <c r="V1335" s="43"/>
      <c r="W1335" s="43"/>
      <c r="X1335" s="43"/>
      <c r="Y1335" s="43"/>
      <c r="Z1335" s="43"/>
    </row>
    <row r="1336" spans="15:26" x14ac:dyDescent="0.25">
      <c r="O1336" s="43"/>
      <c r="P1336" s="43"/>
      <c r="Q1336" s="43"/>
      <c r="R1336" s="43"/>
      <c r="S1336" s="43"/>
      <c r="T1336" s="43"/>
      <c r="U1336" s="43"/>
      <c r="V1336" s="43"/>
      <c r="W1336" s="43"/>
      <c r="X1336" s="43"/>
      <c r="Y1336" s="43"/>
      <c r="Z1336" s="43"/>
    </row>
    <row r="1337" spans="15:26" x14ac:dyDescent="0.25">
      <c r="O1337" s="43"/>
      <c r="P1337" s="43"/>
      <c r="Q1337" s="43"/>
      <c r="R1337" s="43"/>
      <c r="S1337" s="43"/>
      <c r="T1337" s="43"/>
      <c r="U1337" s="43"/>
      <c r="V1337" s="43"/>
      <c r="W1337" s="43"/>
      <c r="X1337" s="43"/>
      <c r="Y1337" s="43"/>
      <c r="Z1337" s="43"/>
    </row>
    <row r="1338" spans="15:26" x14ac:dyDescent="0.25">
      <c r="O1338" s="43"/>
      <c r="P1338" s="43"/>
      <c r="Q1338" s="43"/>
      <c r="R1338" s="43"/>
      <c r="S1338" s="43"/>
      <c r="T1338" s="43"/>
      <c r="U1338" s="43"/>
      <c r="V1338" s="43"/>
      <c r="W1338" s="43"/>
      <c r="X1338" s="43"/>
      <c r="Y1338" s="43"/>
      <c r="Z1338" s="43"/>
    </row>
    <row r="1339" spans="15:26" x14ac:dyDescent="0.25">
      <c r="O1339" s="43"/>
      <c r="P1339" s="43"/>
      <c r="Q1339" s="43"/>
      <c r="R1339" s="43"/>
      <c r="S1339" s="43"/>
      <c r="T1339" s="43"/>
      <c r="U1339" s="43"/>
      <c r="V1339" s="43"/>
      <c r="W1339" s="43"/>
      <c r="X1339" s="43"/>
      <c r="Y1339" s="43"/>
      <c r="Z1339" s="43"/>
    </row>
    <row r="1340" spans="15:26" x14ac:dyDescent="0.25">
      <c r="O1340" s="43"/>
      <c r="P1340" s="43"/>
      <c r="Q1340" s="43"/>
      <c r="R1340" s="43"/>
      <c r="S1340" s="43"/>
      <c r="T1340" s="43"/>
      <c r="U1340" s="43"/>
      <c r="V1340" s="43"/>
      <c r="W1340" s="43"/>
      <c r="X1340" s="43"/>
      <c r="Y1340" s="43"/>
      <c r="Z1340" s="43"/>
    </row>
    <row r="1341" spans="15:26" x14ac:dyDescent="0.25">
      <c r="O1341" s="43"/>
      <c r="P1341" s="43"/>
      <c r="Q1341" s="43"/>
      <c r="R1341" s="43"/>
      <c r="S1341" s="43"/>
      <c r="T1341" s="43"/>
      <c r="U1341" s="43"/>
      <c r="V1341" s="43"/>
      <c r="W1341" s="43"/>
      <c r="X1341" s="43"/>
      <c r="Y1341" s="43"/>
      <c r="Z1341" s="43"/>
    </row>
    <row r="1342" spans="15:26" x14ac:dyDescent="0.25">
      <c r="O1342" s="43"/>
      <c r="P1342" s="43"/>
      <c r="Q1342" s="43"/>
      <c r="R1342" s="43"/>
      <c r="S1342" s="43"/>
      <c r="T1342" s="43"/>
      <c r="U1342" s="43"/>
      <c r="V1342" s="43"/>
      <c r="W1342" s="43"/>
      <c r="X1342" s="43"/>
      <c r="Y1342" s="43"/>
      <c r="Z1342" s="43"/>
    </row>
    <row r="1343" spans="15:26" x14ac:dyDescent="0.25">
      <c r="O1343" s="43"/>
      <c r="P1343" s="43"/>
      <c r="Q1343" s="43"/>
      <c r="R1343" s="43"/>
      <c r="S1343" s="43"/>
      <c r="T1343" s="43"/>
      <c r="U1343" s="43"/>
      <c r="V1343" s="43"/>
      <c r="W1343" s="43"/>
      <c r="X1343" s="43"/>
      <c r="Y1343" s="43"/>
      <c r="Z1343" s="43"/>
    </row>
    <row r="1344" spans="15:26" x14ac:dyDescent="0.25">
      <c r="O1344" s="43"/>
      <c r="P1344" s="43"/>
      <c r="Q1344" s="43"/>
      <c r="R1344" s="43"/>
      <c r="S1344" s="43"/>
      <c r="T1344" s="43"/>
      <c r="U1344" s="43"/>
      <c r="V1344" s="43"/>
      <c r="W1344" s="43"/>
      <c r="X1344" s="43"/>
      <c r="Y1344" s="43"/>
      <c r="Z1344" s="43"/>
    </row>
    <row r="1345" spans="15:26" x14ac:dyDescent="0.25">
      <c r="O1345" s="43"/>
      <c r="P1345" s="43"/>
      <c r="Q1345" s="43"/>
      <c r="R1345" s="43"/>
      <c r="S1345" s="43"/>
      <c r="T1345" s="43"/>
      <c r="U1345" s="43"/>
      <c r="V1345" s="43"/>
      <c r="W1345" s="43"/>
      <c r="X1345" s="43"/>
      <c r="Y1345" s="43"/>
      <c r="Z1345" s="43"/>
    </row>
    <row r="1346" spans="15:26" x14ac:dyDescent="0.25">
      <c r="O1346" s="43"/>
      <c r="P1346" s="43"/>
      <c r="Q1346" s="43"/>
      <c r="R1346" s="43"/>
      <c r="S1346" s="43"/>
      <c r="T1346" s="43"/>
      <c r="U1346" s="43"/>
      <c r="V1346" s="43"/>
      <c r="W1346" s="43"/>
      <c r="X1346" s="43"/>
      <c r="Y1346" s="43"/>
      <c r="Z1346" s="43"/>
    </row>
    <row r="1347" spans="15:26" x14ac:dyDescent="0.25">
      <c r="O1347" s="43"/>
      <c r="P1347" s="43"/>
      <c r="Q1347" s="43"/>
      <c r="R1347" s="43"/>
      <c r="S1347" s="43"/>
      <c r="T1347" s="43"/>
      <c r="U1347" s="43"/>
      <c r="V1347" s="43"/>
      <c r="W1347" s="43"/>
      <c r="X1347" s="43"/>
      <c r="Y1347" s="43"/>
      <c r="Z1347" s="43"/>
    </row>
    <row r="1348" spans="15:26" x14ac:dyDescent="0.25">
      <c r="O1348" s="43"/>
      <c r="P1348" s="43"/>
      <c r="Q1348" s="43"/>
      <c r="R1348" s="43"/>
      <c r="S1348" s="43"/>
      <c r="T1348" s="43"/>
      <c r="U1348" s="43"/>
      <c r="V1348" s="43"/>
      <c r="W1348" s="43"/>
      <c r="X1348" s="43"/>
      <c r="Y1348" s="43"/>
      <c r="Z1348" s="43"/>
    </row>
    <row r="1349" spans="15:26" x14ac:dyDescent="0.25">
      <c r="O1349" s="43"/>
      <c r="P1349" s="43"/>
      <c r="Q1349" s="43"/>
      <c r="R1349" s="43"/>
      <c r="S1349" s="43"/>
      <c r="T1349" s="43"/>
      <c r="U1349" s="43"/>
      <c r="V1349" s="43"/>
      <c r="W1349" s="43"/>
      <c r="X1349" s="43"/>
      <c r="Y1349" s="43"/>
      <c r="Z1349" s="43"/>
    </row>
    <row r="1350" spans="15:26" x14ac:dyDescent="0.25">
      <c r="O1350" s="43"/>
      <c r="P1350" s="43"/>
      <c r="Q1350" s="43"/>
      <c r="R1350" s="43"/>
      <c r="S1350" s="43"/>
      <c r="T1350" s="43"/>
      <c r="U1350" s="43"/>
      <c r="V1350" s="43"/>
      <c r="W1350" s="43"/>
      <c r="X1350" s="43"/>
      <c r="Y1350" s="43"/>
      <c r="Z1350" s="43"/>
    </row>
    <row r="1351" spans="15:26" x14ac:dyDescent="0.25">
      <c r="O1351" s="43"/>
      <c r="P1351" s="43"/>
      <c r="Q1351" s="43"/>
      <c r="R1351" s="43"/>
      <c r="S1351" s="43"/>
      <c r="T1351" s="43"/>
      <c r="U1351" s="43"/>
      <c r="V1351" s="43"/>
      <c r="W1351" s="43"/>
      <c r="X1351" s="43"/>
      <c r="Y1351" s="43"/>
      <c r="Z1351" s="43"/>
    </row>
    <row r="1352" spans="15:26" x14ac:dyDescent="0.25">
      <c r="O1352" s="43"/>
      <c r="P1352" s="43"/>
      <c r="Q1352" s="43"/>
      <c r="R1352" s="43"/>
      <c r="S1352" s="43"/>
      <c r="T1352" s="43"/>
      <c r="U1352" s="43"/>
      <c r="V1352" s="43"/>
      <c r="W1352" s="43"/>
      <c r="X1352" s="43"/>
      <c r="Y1352" s="43"/>
      <c r="Z1352" s="43"/>
    </row>
    <row r="1353" spans="15:26" x14ac:dyDescent="0.25">
      <c r="O1353" s="43"/>
      <c r="P1353" s="43"/>
      <c r="Q1353" s="43"/>
      <c r="R1353" s="43"/>
      <c r="S1353" s="43"/>
      <c r="T1353" s="43"/>
      <c r="U1353" s="43"/>
      <c r="V1353" s="43"/>
      <c r="W1353" s="43"/>
      <c r="X1353" s="43"/>
      <c r="Y1353" s="43"/>
      <c r="Z1353" s="43"/>
    </row>
    <row r="1354" spans="15:26" x14ac:dyDescent="0.25">
      <c r="O1354" s="43"/>
      <c r="P1354" s="43"/>
      <c r="Q1354" s="43"/>
      <c r="R1354" s="43"/>
      <c r="S1354" s="43"/>
      <c r="T1354" s="43"/>
      <c r="U1354" s="43"/>
      <c r="V1354" s="43"/>
      <c r="W1354" s="43"/>
      <c r="X1354" s="43"/>
      <c r="Y1354" s="43"/>
      <c r="Z1354" s="43"/>
    </row>
    <row r="1355" spans="15:26" x14ac:dyDescent="0.25">
      <c r="O1355" s="43"/>
      <c r="P1355" s="43"/>
      <c r="Q1355" s="43"/>
      <c r="R1355" s="43"/>
      <c r="S1355" s="43"/>
      <c r="T1355" s="43"/>
      <c r="U1355" s="43"/>
      <c r="V1355" s="43"/>
      <c r="W1355" s="43"/>
      <c r="X1355" s="43"/>
      <c r="Y1355" s="43"/>
      <c r="Z1355" s="43"/>
    </row>
    <row r="1356" spans="15:26" x14ac:dyDescent="0.25">
      <c r="O1356" s="43"/>
      <c r="P1356" s="43"/>
      <c r="Q1356" s="43"/>
      <c r="R1356" s="43"/>
      <c r="S1356" s="43"/>
      <c r="T1356" s="43"/>
      <c r="U1356" s="43"/>
      <c r="V1356" s="43"/>
      <c r="W1356" s="43"/>
      <c r="X1356" s="43"/>
      <c r="Y1356" s="43"/>
      <c r="Z1356" s="43"/>
    </row>
    <row r="1357" spans="15:26" x14ac:dyDescent="0.25">
      <c r="O1357" s="43"/>
      <c r="P1357" s="43"/>
      <c r="Q1357" s="43"/>
      <c r="R1357" s="43"/>
      <c r="S1357" s="43"/>
      <c r="T1357" s="43"/>
      <c r="U1357" s="43"/>
      <c r="V1357" s="43"/>
      <c r="W1357" s="43"/>
      <c r="X1357" s="43"/>
      <c r="Y1357" s="43"/>
      <c r="Z1357" s="43"/>
    </row>
    <row r="1358" spans="15:26" x14ac:dyDescent="0.25">
      <c r="O1358" s="43"/>
      <c r="P1358" s="43"/>
      <c r="Q1358" s="43"/>
      <c r="R1358" s="43"/>
      <c r="S1358" s="43"/>
      <c r="T1358" s="43"/>
      <c r="U1358" s="43"/>
      <c r="V1358" s="43"/>
      <c r="W1358" s="43"/>
      <c r="X1358" s="43"/>
      <c r="Y1358" s="43"/>
      <c r="Z1358" s="43"/>
    </row>
    <row r="1359" spans="15:26" x14ac:dyDescent="0.25">
      <c r="O1359" s="43"/>
      <c r="P1359" s="43"/>
      <c r="Q1359" s="43"/>
      <c r="R1359" s="43"/>
      <c r="S1359" s="43"/>
      <c r="T1359" s="43"/>
      <c r="U1359" s="43"/>
      <c r="V1359" s="43"/>
      <c r="W1359" s="43"/>
      <c r="X1359" s="43"/>
      <c r="Y1359" s="43"/>
      <c r="Z1359" s="43"/>
    </row>
    <row r="1360" spans="15:26" x14ac:dyDescent="0.25">
      <c r="O1360" s="43"/>
      <c r="P1360" s="43"/>
      <c r="Q1360" s="43"/>
      <c r="R1360" s="43"/>
      <c r="S1360" s="43"/>
      <c r="T1360" s="43"/>
      <c r="U1360" s="43"/>
      <c r="V1360" s="43"/>
      <c r="W1360" s="43"/>
      <c r="X1360" s="43"/>
      <c r="Y1360" s="43"/>
      <c r="Z1360" s="43"/>
    </row>
    <row r="1361" spans="15:26" x14ac:dyDescent="0.25">
      <c r="O1361" s="43"/>
      <c r="P1361" s="43"/>
      <c r="Q1361" s="43"/>
      <c r="R1361" s="43"/>
      <c r="S1361" s="43"/>
      <c r="T1361" s="43"/>
      <c r="U1361" s="43"/>
      <c r="V1361" s="43"/>
      <c r="W1361" s="43"/>
      <c r="X1361" s="43"/>
      <c r="Y1361" s="43"/>
      <c r="Z1361" s="43"/>
    </row>
    <row r="1362" spans="15:26" x14ac:dyDescent="0.25">
      <c r="O1362" s="43"/>
      <c r="P1362" s="43"/>
      <c r="Q1362" s="43"/>
      <c r="R1362" s="43"/>
      <c r="S1362" s="43"/>
      <c r="T1362" s="43"/>
      <c r="U1362" s="43"/>
      <c r="V1362" s="43"/>
      <c r="W1362" s="43"/>
      <c r="X1362" s="43"/>
      <c r="Y1362" s="43"/>
      <c r="Z1362" s="43"/>
    </row>
    <row r="1363" spans="15:26" x14ac:dyDescent="0.25">
      <c r="O1363" s="43"/>
      <c r="P1363" s="43"/>
      <c r="Q1363" s="43"/>
      <c r="R1363" s="43"/>
      <c r="S1363" s="43"/>
      <c r="T1363" s="43"/>
      <c r="U1363" s="43"/>
      <c r="V1363" s="43"/>
      <c r="W1363" s="43"/>
      <c r="X1363" s="43"/>
      <c r="Y1363" s="43"/>
      <c r="Z1363" s="43"/>
    </row>
    <row r="1364" spans="15:26" x14ac:dyDescent="0.25">
      <c r="O1364" s="43"/>
      <c r="P1364" s="43"/>
      <c r="Q1364" s="43"/>
      <c r="R1364" s="43"/>
      <c r="S1364" s="43"/>
      <c r="T1364" s="43"/>
      <c r="U1364" s="43"/>
      <c r="V1364" s="43"/>
      <c r="W1364" s="43"/>
      <c r="X1364" s="43"/>
      <c r="Y1364" s="43"/>
      <c r="Z1364" s="43"/>
    </row>
    <row r="1365" spans="15:26" x14ac:dyDescent="0.25">
      <c r="O1365" s="43"/>
      <c r="P1365" s="43"/>
      <c r="Q1365" s="43"/>
      <c r="R1365" s="43"/>
      <c r="S1365" s="43"/>
      <c r="T1365" s="43"/>
      <c r="U1365" s="43"/>
      <c r="V1365" s="43"/>
      <c r="W1365" s="43"/>
      <c r="X1365" s="43"/>
      <c r="Y1365" s="43"/>
      <c r="Z1365" s="43"/>
    </row>
    <row r="1366" spans="15:26" x14ac:dyDescent="0.25">
      <c r="O1366" s="43"/>
      <c r="P1366" s="43"/>
      <c r="Q1366" s="43"/>
      <c r="R1366" s="43"/>
      <c r="S1366" s="43"/>
      <c r="T1366" s="43"/>
      <c r="U1366" s="43"/>
      <c r="V1366" s="43"/>
      <c r="W1366" s="43"/>
      <c r="X1366" s="43"/>
      <c r="Y1366" s="43"/>
      <c r="Z1366" s="43"/>
    </row>
    <row r="1367" spans="15:26" x14ac:dyDescent="0.25">
      <c r="O1367" s="43"/>
      <c r="P1367" s="43"/>
      <c r="Q1367" s="43"/>
      <c r="R1367" s="43"/>
      <c r="S1367" s="43"/>
      <c r="T1367" s="43"/>
      <c r="U1367" s="43"/>
      <c r="V1367" s="43"/>
      <c r="W1367" s="43"/>
      <c r="X1367" s="43"/>
      <c r="Y1367" s="43"/>
      <c r="Z1367" s="43"/>
    </row>
    <row r="1368" spans="15:26" x14ac:dyDescent="0.25">
      <c r="O1368" s="43"/>
      <c r="P1368" s="43"/>
      <c r="Q1368" s="43"/>
      <c r="R1368" s="43"/>
      <c r="S1368" s="43"/>
      <c r="T1368" s="43"/>
      <c r="U1368" s="43"/>
      <c r="V1368" s="43"/>
      <c r="W1368" s="43"/>
      <c r="X1368" s="43"/>
      <c r="Y1368" s="43"/>
      <c r="Z1368" s="43"/>
    </row>
    <row r="1369" spans="15:26" x14ac:dyDescent="0.25">
      <c r="O1369" s="43"/>
      <c r="P1369" s="43"/>
      <c r="Q1369" s="43"/>
      <c r="R1369" s="43"/>
      <c r="S1369" s="43"/>
      <c r="T1369" s="43"/>
      <c r="U1369" s="43"/>
      <c r="V1369" s="43"/>
      <c r="W1369" s="43"/>
      <c r="X1369" s="43"/>
      <c r="Y1369" s="43"/>
      <c r="Z1369" s="43"/>
    </row>
    <row r="1370" spans="15:26" x14ac:dyDescent="0.25">
      <c r="O1370" s="43"/>
      <c r="P1370" s="43"/>
      <c r="Q1370" s="43"/>
      <c r="R1370" s="43"/>
      <c r="S1370" s="43"/>
      <c r="T1370" s="43"/>
      <c r="U1370" s="43"/>
      <c r="V1370" s="43"/>
      <c r="W1370" s="43"/>
      <c r="X1370" s="43"/>
      <c r="Y1370" s="43"/>
      <c r="Z1370" s="43"/>
    </row>
    <row r="1371" spans="15:26" x14ac:dyDescent="0.25">
      <c r="O1371" s="43"/>
      <c r="P1371" s="43"/>
      <c r="Q1371" s="43"/>
      <c r="R1371" s="43"/>
      <c r="S1371" s="43"/>
      <c r="T1371" s="43"/>
      <c r="U1371" s="43"/>
      <c r="V1371" s="43"/>
      <c r="W1371" s="43"/>
      <c r="X1371" s="43"/>
      <c r="Y1371" s="43"/>
      <c r="Z1371" s="43"/>
    </row>
    <row r="1372" spans="15:26" x14ac:dyDescent="0.25">
      <c r="O1372" s="43"/>
      <c r="P1372" s="43"/>
      <c r="Q1372" s="43"/>
      <c r="R1372" s="43"/>
      <c r="S1372" s="43"/>
      <c r="T1372" s="43"/>
      <c r="U1372" s="43"/>
      <c r="V1372" s="43"/>
      <c r="W1372" s="43"/>
      <c r="X1372" s="43"/>
      <c r="Y1372" s="43"/>
      <c r="Z1372" s="43"/>
    </row>
    <row r="1373" spans="15:26" x14ac:dyDescent="0.25">
      <c r="O1373" s="43"/>
      <c r="P1373" s="43"/>
      <c r="Q1373" s="43"/>
      <c r="R1373" s="43"/>
      <c r="S1373" s="43"/>
      <c r="T1373" s="43"/>
      <c r="U1373" s="43"/>
      <c r="V1373" s="43"/>
      <c r="W1373" s="43"/>
      <c r="X1373" s="43"/>
      <c r="Y1373" s="43"/>
      <c r="Z1373" s="43"/>
    </row>
    <row r="1374" spans="15:26" x14ac:dyDescent="0.25">
      <c r="O1374" s="43"/>
      <c r="P1374" s="43"/>
      <c r="Q1374" s="43"/>
      <c r="R1374" s="43"/>
      <c r="S1374" s="43"/>
      <c r="T1374" s="43"/>
      <c r="U1374" s="43"/>
      <c r="V1374" s="43"/>
      <c r="W1374" s="43"/>
      <c r="X1374" s="43"/>
      <c r="Y1374" s="43"/>
      <c r="Z1374" s="43"/>
    </row>
    <row r="1375" spans="15:26" x14ac:dyDescent="0.25">
      <c r="O1375" s="43"/>
      <c r="P1375" s="43"/>
      <c r="Q1375" s="43"/>
      <c r="R1375" s="43"/>
      <c r="S1375" s="43"/>
      <c r="T1375" s="43"/>
      <c r="U1375" s="43"/>
      <c r="V1375" s="43"/>
      <c r="W1375" s="43"/>
      <c r="X1375" s="43"/>
      <c r="Y1375" s="43"/>
      <c r="Z1375" s="43"/>
    </row>
    <row r="1376" spans="15:26" x14ac:dyDescent="0.25">
      <c r="O1376" s="43"/>
      <c r="P1376" s="43"/>
      <c r="Q1376" s="43"/>
      <c r="R1376" s="43"/>
      <c r="S1376" s="43"/>
      <c r="T1376" s="43"/>
      <c r="U1376" s="43"/>
      <c r="V1376" s="43"/>
      <c r="W1376" s="43"/>
      <c r="X1376" s="43"/>
      <c r="Y1376" s="43"/>
      <c r="Z1376" s="43"/>
    </row>
    <row r="1377" spans="15:26" x14ac:dyDescent="0.25">
      <c r="O1377" s="43"/>
      <c r="P1377" s="43"/>
      <c r="Q1377" s="43"/>
      <c r="R1377" s="43"/>
      <c r="S1377" s="43"/>
      <c r="T1377" s="43"/>
      <c r="U1377" s="43"/>
      <c r="V1377" s="43"/>
      <c r="W1377" s="43"/>
      <c r="X1377" s="43"/>
      <c r="Y1377" s="43"/>
      <c r="Z1377" s="43"/>
    </row>
    <row r="1378" spans="15:26" x14ac:dyDescent="0.25">
      <c r="O1378" s="43"/>
      <c r="P1378" s="43"/>
      <c r="Q1378" s="43"/>
      <c r="R1378" s="43"/>
      <c r="S1378" s="43"/>
      <c r="T1378" s="43"/>
      <c r="U1378" s="43"/>
      <c r="V1378" s="43"/>
      <c r="W1378" s="43"/>
      <c r="X1378" s="43"/>
      <c r="Y1378" s="43"/>
      <c r="Z1378" s="43"/>
    </row>
    <row r="1379" spans="15:26" x14ac:dyDescent="0.25">
      <c r="O1379" s="43"/>
      <c r="P1379" s="43"/>
      <c r="Q1379" s="43"/>
      <c r="R1379" s="43"/>
      <c r="S1379" s="43"/>
      <c r="T1379" s="43"/>
      <c r="U1379" s="43"/>
      <c r="V1379" s="43"/>
      <c r="W1379" s="43"/>
      <c r="X1379" s="43"/>
      <c r="Y1379" s="43"/>
      <c r="Z1379" s="43"/>
    </row>
    <row r="1380" spans="15:26" x14ac:dyDescent="0.25">
      <c r="O1380" s="43"/>
      <c r="P1380" s="43"/>
      <c r="Q1380" s="43"/>
      <c r="R1380" s="43"/>
      <c r="S1380" s="43"/>
      <c r="T1380" s="43"/>
      <c r="U1380" s="43"/>
      <c r="V1380" s="43"/>
      <c r="W1380" s="43"/>
      <c r="X1380" s="43"/>
      <c r="Y1380" s="43"/>
      <c r="Z1380" s="43"/>
    </row>
    <row r="1381" spans="15:26" x14ac:dyDescent="0.25">
      <c r="O1381" s="43"/>
      <c r="P1381" s="43"/>
      <c r="Q1381" s="43"/>
      <c r="R1381" s="43"/>
      <c r="S1381" s="43"/>
      <c r="T1381" s="43"/>
      <c r="U1381" s="43"/>
      <c r="V1381" s="43"/>
      <c r="W1381" s="43"/>
      <c r="X1381" s="43"/>
      <c r="Y1381" s="43"/>
      <c r="Z1381" s="43"/>
    </row>
    <row r="1382" spans="15:26" x14ac:dyDescent="0.25">
      <c r="O1382" s="43"/>
      <c r="P1382" s="43"/>
      <c r="Q1382" s="43"/>
      <c r="R1382" s="43"/>
      <c r="S1382" s="43"/>
      <c r="T1382" s="43"/>
      <c r="U1382" s="43"/>
      <c r="V1382" s="43"/>
      <c r="W1382" s="43"/>
      <c r="X1382" s="43"/>
      <c r="Y1382" s="43"/>
      <c r="Z1382" s="43"/>
    </row>
    <row r="1383" spans="15:26" x14ac:dyDescent="0.25">
      <c r="O1383" s="43"/>
      <c r="P1383" s="43"/>
      <c r="Q1383" s="43"/>
      <c r="R1383" s="43"/>
      <c r="S1383" s="43"/>
      <c r="T1383" s="43"/>
      <c r="U1383" s="43"/>
      <c r="V1383" s="43"/>
      <c r="W1383" s="43"/>
      <c r="X1383" s="43"/>
      <c r="Y1383" s="43"/>
      <c r="Z1383" s="43"/>
    </row>
    <row r="1384" spans="15:26" x14ac:dyDescent="0.25">
      <c r="O1384" s="43"/>
      <c r="P1384" s="43"/>
      <c r="Q1384" s="43"/>
      <c r="R1384" s="43"/>
      <c r="S1384" s="43"/>
      <c r="T1384" s="43"/>
      <c r="U1384" s="43"/>
      <c r="V1384" s="43"/>
      <c r="W1384" s="43"/>
      <c r="X1384" s="43"/>
      <c r="Y1384" s="43"/>
      <c r="Z1384" s="43"/>
    </row>
    <row r="1385" spans="15:26" x14ac:dyDescent="0.25">
      <c r="O1385" s="43"/>
      <c r="P1385" s="43"/>
      <c r="Q1385" s="43"/>
      <c r="R1385" s="43"/>
      <c r="S1385" s="43"/>
      <c r="T1385" s="43"/>
      <c r="U1385" s="43"/>
      <c r="V1385" s="43"/>
      <c r="W1385" s="43"/>
      <c r="X1385" s="43"/>
      <c r="Y1385" s="43"/>
      <c r="Z1385" s="43"/>
    </row>
    <row r="1386" spans="15:26" x14ac:dyDescent="0.25">
      <c r="O1386" s="43"/>
      <c r="P1386" s="43"/>
      <c r="Q1386" s="43"/>
      <c r="R1386" s="43"/>
      <c r="S1386" s="43"/>
      <c r="T1386" s="43"/>
      <c r="U1386" s="43"/>
      <c r="V1386" s="43"/>
      <c r="W1386" s="43"/>
      <c r="X1386" s="43"/>
      <c r="Y1386" s="43"/>
      <c r="Z1386" s="43"/>
    </row>
    <row r="1387" spans="15:26" x14ac:dyDescent="0.25">
      <c r="O1387" s="43"/>
      <c r="P1387" s="43"/>
      <c r="Q1387" s="43"/>
      <c r="R1387" s="43"/>
      <c r="S1387" s="43"/>
      <c r="T1387" s="43"/>
      <c r="U1387" s="43"/>
      <c r="V1387" s="43"/>
      <c r="W1387" s="43"/>
      <c r="X1387" s="43"/>
      <c r="Y1387" s="43"/>
      <c r="Z1387" s="43"/>
    </row>
    <row r="1388" spans="15:26" x14ac:dyDescent="0.25">
      <c r="O1388" s="43"/>
      <c r="P1388" s="43"/>
      <c r="Q1388" s="43"/>
      <c r="R1388" s="43"/>
      <c r="S1388" s="43"/>
      <c r="T1388" s="43"/>
      <c r="U1388" s="43"/>
      <c r="V1388" s="43"/>
      <c r="W1388" s="43"/>
      <c r="X1388" s="43"/>
      <c r="Y1388" s="43"/>
      <c r="Z1388" s="43"/>
    </row>
    <row r="1389" spans="15:26" x14ac:dyDescent="0.25">
      <c r="O1389" s="43"/>
      <c r="P1389" s="43"/>
      <c r="Q1389" s="43"/>
      <c r="R1389" s="43"/>
      <c r="S1389" s="43"/>
      <c r="T1389" s="43"/>
      <c r="U1389" s="43"/>
      <c r="V1389" s="43"/>
      <c r="W1389" s="43"/>
      <c r="X1389" s="43"/>
      <c r="Y1389" s="43"/>
      <c r="Z1389" s="43"/>
    </row>
    <row r="1390" spans="15:26" x14ac:dyDescent="0.25">
      <c r="O1390" s="43"/>
      <c r="P1390" s="43"/>
      <c r="Q1390" s="43"/>
      <c r="R1390" s="43"/>
      <c r="S1390" s="43"/>
      <c r="T1390" s="43"/>
      <c r="U1390" s="43"/>
      <c r="V1390" s="43"/>
      <c r="W1390" s="43"/>
      <c r="X1390" s="43"/>
      <c r="Y1390" s="43"/>
      <c r="Z1390" s="43"/>
    </row>
    <row r="1391" spans="15:26" x14ac:dyDescent="0.25">
      <c r="O1391" s="43"/>
      <c r="P1391" s="43"/>
      <c r="Q1391" s="43"/>
      <c r="R1391" s="43"/>
      <c r="S1391" s="43"/>
      <c r="T1391" s="43"/>
      <c r="U1391" s="43"/>
      <c r="V1391" s="43"/>
      <c r="W1391" s="43"/>
      <c r="X1391" s="43"/>
      <c r="Y1391" s="43"/>
      <c r="Z1391" s="43"/>
    </row>
    <row r="1392" spans="15:26" x14ac:dyDescent="0.25">
      <c r="O1392" s="43"/>
      <c r="P1392" s="43"/>
      <c r="Q1392" s="43"/>
      <c r="R1392" s="43"/>
      <c r="S1392" s="43"/>
      <c r="T1392" s="43"/>
      <c r="U1392" s="43"/>
      <c r="V1392" s="43"/>
      <c r="W1392" s="43"/>
      <c r="X1392" s="43"/>
      <c r="Y1392" s="43"/>
      <c r="Z1392" s="43"/>
    </row>
    <row r="1393" spans="15:26" x14ac:dyDescent="0.25">
      <c r="O1393" s="43"/>
      <c r="P1393" s="43"/>
      <c r="Q1393" s="43"/>
      <c r="R1393" s="43"/>
      <c r="S1393" s="43"/>
      <c r="T1393" s="43"/>
      <c r="U1393" s="43"/>
      <c r="V1393" s="43"/>
      <c r="W1393" s="43"/>
      <c r="X1393" s="43"/>
      <c r="Y1393" s="43"/>
      <c r="Z1393" s="43"/>
    </row>
    <row r="1394" spans="15:26" x14ac:dyDescent="0.25">
      <c r="O1394" s="43"/>
      <c r="P1394" s="43"/>
      <c r="Q1394" s="43"/>
      <c r="R1394" s="43"/>
      <c r="S1394" s="43"/>
      <c r="T1394" s="43"/>
      <c r="U1394" s="43"/>
      <c r="V1394" s="43"/>
      <c r="W1394" s="43"/>
      <c r="X1394" s="43"/>
      <c r="Y1394" s="43"/>
      <c r="Z1394" s="43"/>
    </row>
    <row r="1395" spans="15:26" x14ac:dyDescent="0.25">
      <c r="O1395" s="43"/>
      <c r="P1395" s="43"/>
      <c r="Q1395" s="43"/>
      <c r="R1395" s="43"/>
      <c r="S1395" s="43"/>
      <c r="T1395" s="43"/>
      <c r="U1395" s="43"/>
      <c r="V1395" s="43"/>
      <c r="W1395" s="43"/>
      <c r="X1395" s="43"/>
      <c r="Y1395" s="43"/>
      <c r="Z1395" s="43"/>
    </row>
    <row r="1396" spans="15:26" x14ac:dyDescent="0.25">
      <c r="O1396" s="43"/>
      <c r="P1396" s="43"/>
      <c r="Q1396" s="43"/>
      <c r="R1396" s="43"/>
      <c r="S1396" s="43"/>
      <c r="T1396" s="43"/>
      <c r="U1396" s="43"/>
      <c r="V1396" s="43"/>
      <c r="W1396" s="43"/>
      <c r="X1396" s="43"/>
      <c r="Y1396" s="43"/>
      <c r="Z1396" s="43"/>
    </row>
    <row r="1397" spans="15:26" x14ac:dyDescent="0.25">
      <c r="O1397" s="43"/>
      <c r="P1397" s="43"/>
      <c r="Q1397" s="43"/>
      <c r="R1397" s="43"/>
      <c r="S1397" s="43"/>
      <c r="T1397" s="43"/>
      <c r="U1397" s="43"/>
      <c r="V1397" s="43"/>
      <c r="W1397" s="43"/>
      <c r="X1397" s="43"/>
      <c r="Y1397" s="43"/>
      <c r="Z1397" s="43"/>
    </row>
    <row r="1398" spans="15:26" x14ac:dyDescent="0.25">
      <c r="O1398" s="43"/>
      <c r="P1398" s="43"/>
      <c r="Q1398" s="43"/>
      <c r="R1398" s="43"/>
      <c r="S1398" s="43"/>
      <c r="T1398" s="43"/>
      <c r="U1398" s="43"/>
      <c r="V1398" s="43"/>
      <c r="W1398" s="43"/>
      <c r="X1398" s="43"/>
      <c r="Y1398" s="43"/>
      <c r="Z1398" s="43"/>
    </row>
    <row r="1399" spans="15:26" x14ac:dyDescent="0.25">
      <c r="O1399" s="43"/>
      <c r="P1399" s="43"/>
      <c r="Q1399" s="43"/>
      <c r="R1399" s="43"/>
      <c r="S1399" s="43"/>
      <c r="T1399" s="43"/>
      <c r="U1399" s="43"/>
      <c r="V1399" s="43"/>
      <c r="W1399" s="43"/>
      <c r="X1399" s="43"/>
      <c r="Y1399" s="43"/>
      <c r="Z1399" s="43"/>
    </row>
    <row r="1400" spans="15:26" x14ac:dyDescent="0.25">
      <c r="O1400" s="43"/>
      <c r="P1400" s="43"/>
      <c r="Q1400" s="43"/>
      <c r="R1400" s="43"/>
      <c r="S1400" s="43"/>
      <c r="T1400" s="43"/>
      <c r="U1400" s="43"/>
      <c r="V1400" s="43"/>
      <c r="W1400" s="43"/>
      <c r="X1400" s="43"/>
      <c r="Y1400" s="43"/>
      <c r="Z1400" s="43"/>
    </row>
    <row r="1401" spans="15:26" x14ac:dyDescent="0.25">
      <c r="O1401" s="43"/>
      <c r="P1401" s="43"/>
      <c r="Q1401" s="43"/>
      <c r="R1401" s="43"/>
      <c r="S1401" s="43"/>
      <c r="T1401" s="43"/>
      <c r="U1401" s="43"/>
      <c r="V1401" s="43"/>
      <c r="W1401" s="43"/>
      <c r="X1401" s="43"/>
      <c r="Y1401" s="43"/>
      <c r="Z1401" s="43"/>
    </row>
    <row r="1402" spans="15:26" x14ac:dyDescent="0.25">
      <c r="O1402" s="43"/>
      <c r="P1402" s="43"/>
      <c r="Q1402" s="43"/>
      <c r="R1402" s="43"/>
      <c r="S1402" s="43"/>
      <c r="T1402" s="43"/>
      <c r="U1402" s="43"/>
      <c r="V1402" s="43"/>
      <c r="W1402" s="43"/>
      <c r="X1402" s="43"/>
      <c r="Y1402" s="43"/>
      <c r="Z1402" s="43"/>
    </row>
    <row r="1403" spans="15:26" x14ac:dyDescent="0.25">
      <c r="O1403" s="43"/>
      <c r="P1403" s="43"/>
      <c r="Q1403" s="43"/>
      <c r="R1403" s="43"/>
      <c r="S1403" s="43"/>
      <c r="T1403" s="43"/>
      <c r="U1403" s="43"/>
      <c r="V1403" s="43"/>
      <c r="W1403" s="43"/>
      <c r="X1403" s="43"/>
      <c r="Y1403" s="43"/>
      <c r="Z1403" s="43"/>
    </row>
    <row r="1404" spans="15:26" x14ac:dyDescent="0.25">
      <c r="O1404" s="43"/>
      <c r="P1404" s="43"/>
      <c r="Q1404" s="43"/>
      <c r="R1404" s="43"/>
      <c r="S1404" s="43"/>
      <c r="T1404" s="43"/>
      <c r="U1404" s="43"/>
      <c r="V1404" s="43"/>
      <c r="W1404" s="43"/>
      <c r="X1404" s="43"/>
      <c r="Y1404" s="43"/>
      <c r="Z1404" s="43"/>
    </row>
    <row r="1405" spans="15:26" x14ac:dyDescent="0.25">
      <c r="O1405" s="43"/>
      <c r="P1405" s="43"/>
      <c r="Q1405" s="43"/>
      <c r="R1405" s="43"/>
      <c r="S1405" s="43"/>
      <c r="T1405" s="43"/>
      <c r="U1405" s="43"/>
      <c r="V1405" s="43"/>
      <c r="W1405" s="43"/>
      <c r="X1405" s="43"/>
      <c r="Y1405" s="43"/>
      <c r="Z1405" s="43"/>
    </row>
    <row r="1406" spans="15:26" x14ac:dyDescent="0.25">
      <c r="O1406" s="43"/>
      <c r="P1406" s="43"/>
      <c r="Q1406" s="43"/>
      <c r="R1406" s="43"/>
      <c r="S1406" s="43"/>
      <c r="T1406" s="43"/>
      <c r="U1406" s="43"/>
      <c r="V1406" s="43"/>
      <c r="W1406" s="43"/>
      <c r="X1406" s="43"/>
      <c r="Y1406" s="43"/>
      <c r="Z1406" s="43"/>
    </row>
    <row r="1407" spans="15:26" x14ac:dyDescent="0.25">
      <c r="O1407" s="43"/>
      <c r="P1407" s="43"/>
      <c r="Q1407" s="43"/>
      <c r="R1407" s="43"/>
      <c r="S1407" s="43"/>
      <c r="T1407" s="43"/>
      <c r="U1407" s="43"/>
      <c r="V1407" s="43"/>
      <c r="W1407" s="43"/>
      <c r="X1407" s="43"/>
      <c r="Y1407" s="43"/>
      <c r="Z1407" s="43"/>
    </row>
    <row r="1408" spans="15:26" x14ac:dyDescent="0.25">
      <c r="O1408" s="43"/>
      <c r="P1408" s="43"/>
      <c r="Q1408" s="43"/>
      <c r="R1408" s="43"/>
      <c r="S1408" s="43"/>
      <c r="T1408" s="43"/>
      <c r="U1408" s="43"/>
      <c r="V1408" s="43"/>
      <c r="W1408" s="43"/>
      <c r="X1408" s="43"/>
      <c r="Y1408" s="43"/>
      <c r="Z1408" s="43"/>
    </row>
    <row r="1409" spans="15:26" x14ac:dyDescent="0.25">
      <c r="O1409" s="43"/>
      <c r="P1409" s="43"/>
      <c r="Q1409" s="43"/>
      <c r="R1409" s="43"/>
      <c r="S1409" s="43"/>
      <c r="T1409" s="43"/>
      <c r="U1409" s="43"/>
      <c r="V1409" s="43"/>
      <c r="W1409" s="43"/>
      <c r="X1409" s="43"/>
      <c r="Y1409" s="43"/>
      <c r="Z1409" s="43"/>
    </row>
    <row r="1410" spans="15:26" x14ac:dyDescent="0.25">
      <c r="O1410" s="43"/>
      <c r="P1410" s="43"/>
      <c r="Q1410" s="43"/>
      <c r="R1410" s="43"/>
      <c r="S1410" s="43"/>
      <c r="T1410" s="43"/>
      <c r="U1410" s="43"/>
      <c r="V1410" s="43"/>
      <c r="W1410" s="43"/>
      <c r="X1410" s="43"/>
      <c r="Y1410" s="43"/>
      <c r="Z1410" s="43"/>
    </row>
    <row r="1411" spans="15:26" x14ac:dyDescent="0.25">
      <c r="O1411" s="43"/>
      <c r="P1411" s="43"/>
      <c r="Q1411" s="43"/>
      <c r="R1411" s="43"/>
      <c r="S1411" s="43"/>
      <c r="T1411" s="43"/>
      <c r="U1411" s="43"/>
      <c r="V1411" s="43"/>
      <c r="W1411" s="43"/>
      <c r="X1411" s="43"/>
      <c r="Y1411" s="43"/>
      <c r="Z1411" s="43"/>
    </row>
    <row r="1412" spans="15:26" x14ac:dyDescent="0.25">
      <c r="O1412" s="43"/>
      <c r="P1412" s="43"/>
      <c r="Q1412" s="43"/>
      <c r="R1412" s="43"/>
      <c r="S1412" s="43"/>
      <c r="T1412" s="43"/>
      <c r="U1412" s="43"/>
      <c r="V1412" s="43"/>
      <c r="W1412" s="43"/>
      <c r="X1412" s="43"/>
      <c r="Y1412" s="43"/>
      <c r="Z1412" s="43"/>
    </row>
    <row r="1413" spans="15:26" x14ac:dyDescent="0.25">
      <c r="O1413" s="43"/>
      <c r="P1413" s="43"/>
      <c r="Q1413" s="43"/>
      <c r="R1413" s="43"/>
      <c r="S1413" s="43"/>
      <c r="T1413" s="43"/>
      <c r="U1413" s="43"/>
      <c r="V1413" s="43"/>
      <c r="W1413" s="43"/>
      <c r="X1413" s="43"/>
      <c r="Y1413" s="43"/>
      <c r="Z1413" s="43"/>
    </row>
    <row r="1414" spans="15:26" x14ac:dyDescent="0.25">
      <c r="O1414" s="43"/>
      <c r="P1414" s="43"/>
      <c r="Q1414" s="43"/>
      <c r="R1414" s="43"/>
      <c r="S1414" s="43"/>
      <c r="T1414" s="43"/>
      <c r="U1414" s="43"/>
      <c r="V1414" s="43"/>
      <c r="W1414" s="43"/>
      <c r="X1414" s="43"/>
      <c r="Y1414" s="43"/>
      <c r="Z1414" s="43"/>
    </row>
    <row r="1415" spans="15:26" x14ac:dyDescent="0.25">
      <c r="O1415" s="43"/>
      <c r="P1415" s="43"/>
      <c r="Q1415" s="43"/>
      <c r="R1415" s="43"/>
      <c r="S1415" s="43"/>
      <c r="T1415" s="43"/>
      <c r="U1415" s="43"/>
      <c r="V1415" s="43"/>
      <c r="W1415" s="43"/>
      <c r="X1415" s="43"/>
      <c r="Y1415" s="43"/>
      <c r="Z1415" s="43"/>
    </row>
    <row r="1416" spans="15:26" x14ac:dyDescent="0.25">
      <c r="O1416" s="43"/>
      <c r="P1416" s="43"/>
      <c r="Q1416" s="43"/>
      <c r="R1416" s="43"/>
      <c r="S1416" s="43"/>
      <c r="T1416" s="43"/>
      <c r="U1416" s="43"/>
      <c r="V1416" s="43"/>
      <c r="W1416" s="43"/>
      <c r="X1416" s="43"/>
      <c r="Y1416" s="43"/>
      <c r="Z1416" s="43"/>
    </row>
    <row r="1417" spans="15:26" x14ac:dyDescent="0.25">
      <c r="O1417" s="43"/>
      <c r="P1417" s="43"/>
      <c r="Q1417" s="43"/>
      <c r="R1417" s="43"/>
      <c r="S1417" s="43"/>
      <c r="T1417" s="43"/>
      <c r="U1417" s="43"/>
      <c r="V1417" s="43"/>
      <c r="W1417" s="43"/>
      <c r="X1417" s="43"/>
      <c r="Y1417" s="43"/>
      <c r="Z1417" s="43"/>
    </row>
    <row r="1418" spans="15:26" x14ac:dyDescent="0.25">
      <c r="O1418" s="43"/>
      <c r="P1418" s="43"/>
      <c r="Q1418" s="43"/>
      <c r="R1418" s="43"/>
      <c r="S1418" s="43"/>
      <c r="T1418" s="43"/>
      <c r="U1418" s="43"/>
      <c r="V1418" s="43"/>
      <c r="W1418" s="43"/>
      <c r="X1418" s="43"/>
      <c r="Y1418" s="43"/>
      <c r="Z1418" s="43"/>
    </row>
    <row r="1419" spans="15:26" x14ac:dyDescent="0.25">
      <c r="O1419" s="43"/>
      <c r="P1419" s="43"/>
      <c r="Q1419" s="43"/>
      <c r="R1419" s="43"/>
      <c r="S1419" s="43"/>
      <c r="T1419" s="43"/>
      <c r="U1419" s="43"/>
      <c r="V1419" s="43"/>
      <c r="W1419" s="43"/>
      <c r="X1419" s="43"/>
      <c r="Y1419" s="43"/>
      <c r="Z1419" s="43"/>
    </row>
    <row r="1420" spans="15:26" x14ac:dyDescent="0.25">
      <c r="O1420" s="43"/>
      <c r="P1420" s="43"/>
      <c r="Q1420" s="43"/>
      <c r="R1420" s="43"/>
      <c r="S1420" s="43"/>
      <c r="T1420" s="43"/>
      <c r="U1420" s="43"/>
      <c r="V1420" s="43"/>
      <c r="W1420" s="43"/>
      <c r="X1420" s="43"/>
      <c r="Y1420" s="43"/>
      <c r="Z1420" s="43"/>
    </row>
    <row r="1421" spans="15:26" x14ac:dyDescent="0.25">
      <c r="O1421" s="43"/>
      <c r="P1421" s="43"/>
      <c r="Q1421" s="43"/>
      <c r="R1421" s="43"/>
      <c r="S1421" s="43"/>
      <c r="T1421" s="43"/>
      <c r="U1421" s="43"/>
      <c r="V1421" s="43"/>
      <c r="W1421" s="43"/>
      <c r="X1421" s="43"/>
      <c r="Y1421" s="43"/>
      <c r="Z1421" s="43"/>
    </row>
    <row r="1422" spans="15:26" x14ac:dyDescent="0.25">
      <c r="O1422" s="43"/>
      <c r="P1422" s="43"/>
      <c r="Q1422" s="43"/>
      <c r="R1422" s="43"/>
      <c r="S1422" s="43"/>
      <c r="T1422" s="43"/>
      <c r="U1422" s="43"/>
      <c r="V1422" s="43"/>
      <c r="W1422" s="43"/>
      <c r="X1422" s="43"/>
      <c r="Y1422" s="43"/>
      <c r="Z1422" s="43"/>
    </row>
    <row r="1423" spans="15:26" x14ac:dyDescent="0.25">
      <c r="O1423" s="43"/>
      <c r="P1423" s="43"/>
      <c r="Q1423" s="43"/>
      <c r="R1423" s="43"/>
      <c r="S1423" s="43"/>
      <c r="T1423" s="43"/>
      <c r="U1423" s="43"/>
      <c r="V1423" s="43"/>
      <c r="W1423" s="43"/>
      <c r="X1423" s="43"/>
      <c r="Y1423" s="43"/>
      <c r="Z1423" s="43"/>
    </row>
    <row r="1424" spans="15:26" x14ac:dyDescent="0.25">
      <c r="O1424" s="43"/>
      <c r="P1424" s="43"/>
      <c r="Q1424" s="43"/>
      <c r="R1424" s="43"/>
      <c r="S1424" s="43"/>
      <c r="T1424" s="43"/>
      <c r="U1424" s="43"/>
      <c r="V1424" s="43"/>
      <c r="W1424" s="43"/>
      <c r="X1424" s="43"/>
      <c r="Y1424" s="43"/>
      <c r="Z1424" s="43"/>
    </row>
    <row r="1425" spans="15:26" x14ac:dyDescent="0.25">
      <c r="O1425" s="43"/>
      <c r="P1425" s="43"/>
      <c r="Q1425" s="43"/>
      <c r="R1425" s="43"/>
      <c r="S1425" s="43"/>
      <c r="T1425" s="43"/>
      <c r="U1425" s="43"/>
      <c r="V1425" s="43"/>
      <c r="W1425" s="43"/>
      <c r="X1425" s="43"/>
      <c r="Y1425" s="43"/>
      <c r="Z1425" s="43"/>
    </row>
    <row r="1426" spans="15:26" x14ac:dyDescent="0.25">
      <c r="O1426" s="43"/>
      <c r="P1426" s="43"/>
      <c r="Q1426" s="43"/>
      <c r="R1426" s="43"/>
      <c r="S1426" s="43"/>
      <c r="T1426" s="43"/>
      <c r="U1426" s="43"/>
      <c r="V1426" s="43"/>
      <c r="W1426" s="43"/>
      <c r="X1426" s="43"/>
      <c r="Y1426" s="43"/>
      <c r="Z1426" s="43"/>
    </row>
    <row r="1427" spans="15:26" x14ac:dyDescent="0.25">
      <c r="O1427" s="43"/>
      <c r="P1427" s="43"/>
      <c r="Q1427" s="43"/>
      <c r="R1427" s="43"/>
      <c r="S1427" s="43"/>
      <c r="T1427" s="43"/>
      <c r="U1427" s="43"/>
      <c r="V1427" s="43"/>
      <c r="W1427" s="43"/>
      <c r="X1427" s="43"/>
      <c r="Y1427" s="43"/>
      <c r="Z1427" s="43"/>
    </row>
    <row r="1428" spans="15:26" x14ac:dyDescent="0.25">
      <c r="O1428" s="43"/>
      <c r="P1428" s="43"/>
      <c r="Q1428" s="43"/>
      <c r="R1428" s="43"/>
      <c r="S1428" s="43"/>
      <c r="T1428" s="43"/>
      <c r="U1428" s="43"/>
      <c r="V1428" s="43"/>
      <c r="W1428" s="43"/>
      <c r="X1428" s="43"/>
      <c r="Y1428" s="43"/>
      <c r="Z1428" s="43"/>
    </row>
    <row r="1429" spans="15:26" x14ac:dyDescent="0.25">
      <c r="O1429" s="43"/>
      <c r="P1429" s="43"/>
      <c r="Q1429" s="43"/>
      <c r="R1429" s="43"/>
      <c r="S1429" s="43"/>
      <c r="T1429" s="43"/>
      <c r="U1429" s="43"/>
      <c r="V1429" s="43"/>
      <c r="W1429" s="43"/>
      <c r="X1429" s="43"/>
      <c r="Y1429" s="43"/>
      <c r="Z1429" s="43"/>
    </row>
    <row r="1430" spans="15:26" x14ac:dyDescent="0.25">
      <c r="O1430" s="43"/>
      <c r="P1430" s="43"/>
      <c r="Q1430" s="43"/>
      <c r="R1430" s="43"/>
      <c r="S1430" s="43"/>
      <c r="T1430" s="43"/>
      <c r="U1430" s="43"/>
      <c r="V1430" s="43"/>
      <c r="W1430" s="43"/>
      <c r="X1430" s="43"/>
      <c r="Y1430" s="43"/>
      <c r="Z1430" s="43"/>
    </row>
    <row r="1431" spans="15:26" x14ac:dyDescent="0.25">
      <c r="O1431" s="43"/>
      <c r="P1431" s="43"/>
      <c r="Q1431" s="43"/>
      <c r="R1431" s="43"/>
      <c r="S1431" s="43"/>
      <c r="T1431" s="43"/>
      <c r="U1431" s="43"/>
      <c r="V1431" s="43"/>
      <c r="W1431" s="43"/>
      <c r="X1431" s="43"/>
      <c r="Y1431" s="43"/>
      <c r="Z1431" s="43"/>
    </row>
    <row r="1432" spans="15:26" x14ac:dyDescent="0.25">
      <c r="O1432" s="43"/>
      <c r="P1432" s="43"/>
      <c r="Q1432" s="43"/>
      <c r="R1432" s="43"/>
      <c r="S1432" s="43"/>
      <c r="T1432" s="43"/>
      <c r="U1432" s="43"/>
      <c r="V1432" s="43"/>
      <c r="W1432" s="43"/>
      <c r="X1432" s="43"/>
      <c r="Y1432" s="43"/>
      <c r="Z1432" s="43"/>
    </row>
    <row r="1433" spans="15:26" x14ac:dyDescent="0.25">
      <c r="O1433" s="43"/>
      <c r="P1433" s="43"/>
      <c r="Q1433" s="43"/>
      <c r="R1433" s="43"/>
      <c r="S1433" s="43"/>
      <c r="T1433" s="43"/>
      <c r="U1433" s="43"/>
      <c r="V1433" s="43"/>
      <c r="W1433" s="43"/>
      <c r="X1433" s="43"/>
      <c r="Y1433" s="43"/>
      <c r="Z1433" s="43"/>
    </row>
    <row r="1434" spans="15:26" x14ac:dyDescent="0.25">
      <c r="O1434" s="43"/>
      <c r="P1434" s="43"/>
      <c r="Q1434" s="43"/>
      <c r="R1434" s="43"/>
      <c r="S1434" s="43"/>
      <c r="T1434" s="43"/>
      <c r="U1434" s="43"/>
      <c r="V1434" s="43"/>
      <c r="W1434" s="43"/>
      <c r="X1434" s="43"/>
      <c r="Y1434" s="43"/>
      <c r="Z1434" s="43"/>
    </row>
    <row r="1435" spans="15:26" x14ac:dyDescent="0.25">
      <c r="O1435" s="43"/>
      <c r="P1435" s="43"/>
      <c r="Q1435" s="43"/>
      <c r="R1435" s="43"/>
      <c r="S1435" s="43"/>
      <c r="T1435" s="43"/>
      <c r="U1435" s="43"/>
      <c r="V1435" s="43"/>
      <c r="W1435" s="43"/>
      <c r="X1435" s="43"/>
      <c r="Y1435" s="43"/>
      <c r="Z1435" s="43"/>
    </row>
    <row r="1436" spans="15:26" x14ac:dyDescent="0.25">
      <c r="O1436" s="43"/>
      <c r="P1436" s="43"/>
      <c r="Q1436" s="43"/>
      <c r="R1436" s="43"/>
      <c r="S1436" s="43"/>
      <c r="T1436" s="43"/>
      <c r="U1436" s="43"/>
      <c r="V1436" s="43"/>
      <c r="W1436" s="43"/>
      <c r="X1436" s="43"/>
      <c r="Y1436" s="43"/>
      <c r="Z1436" s="43"/>
    </row>
    <row r="1437" spans="15:26" x14ac:dyDescent="0.25">
      <c r="O1437" s="43"/>
      <c r="P1437" s="43"/>
      <c r="Q1437" s="43"/>
      <c r="R1437" s="43"/>
      <c r="S1437" s="43"/>
      <c r="T1437" s="43"/>
      <c r="U1437" s="43"/>
      <c r="V1437" s="43"/>
      <c r="W1437" s="43"/>
      <c r="X1437" s="43"/>
      <c r="Y1437" s="43"/>
      <c r="Z1437" s="43"/>
    </row>
    <row r="1438" spans="15:26" x14ac:dyDescent="0.25">
      <c r="O1438" s="43"/>
      <c r="P1438" s="43"/>
      <c r="Q1438" s="43"/>
      <c r="R1438" s="43"/>
      <c r="S1438" s="43"/>
      <c r="T1438" s="43"/>
      <c r="U1438" s="43"/>
      <c r="V1438" s="43"/>
      <c r="W1438" s="43"/>
      <c r="X1438" s="43"/>
      <c r="Y1438" s="43"/>
      <c r="Z1438" s="43"/>
    </row>
    <row r="1439" spans="15:26" x14ac:dyDescent="0.25">
      <c r="O1439" s="43"/>
      <c r="P1439" s="43"/>
      <c r="Q1439" s="43"/>
      <c r="R1439" s="43"/>
      <c r="S1439" s="43"/>
      <c r="T1439" s="43"/>
      <c r="U1439" s="43"/>
      <c r="V1439" s="43"/>
      <c r="W1439" s="43"/>
      <c r="X1439" s="43"/>
      <c r="Y1439" s="43"/>
      <c r="Z1439" s="43"/>
    </row>
    <row r="1440" spans="15:26" x14ac:dyDescent="0.25">
      <c r="O1440" s="43"/>
      <c r="P1440" s="43"/>
      <c r="Q1440" s="43"/>
      <c r="R1440" s="43"/>
      <c r="S1440" s="43"/>
      <c r="T1440" s="43"/>
      <c r="U1440" s="43"/>
      <c r="V1440" s="43"/>
      <c r="W1440" s="43"/>
      <c r="X1440" s="43"/>
      <c r="Y1440" s="43"/>
      <c r="Z1440" s="43"/>
    </row>
    <row r="1441" spans="15:26" x14ac:dyDescent="0.25">
      <c r="O1441" s="43"/>
      <c r="P1441" s="43"/>
      <c r="Q1441" s="43"/>
      <c r="R1441" s="43"/>
      <c r="S1441" s="43"/>
      <c r="T1441" s="43"/>
      <c r="U1441" s="43"/>
      <c r="V1441" s="43"/>
      <c r="W1441" s="43"/>
      <c r="X1441" s="43"/>
      <c r="Y1441" s="43"/>
      <c r="Z1441" s="43"/>
    </row>
    <row r="1442" spans="15:26" x14ac:dyDescent="0.25">
      <c r="O1442" s="43"/>
      <c r="P1442" s="43"/>
      <c r="Q1442" s="43"/>
      <c r="R1442" s="43"/>
      <c r="S1442" s="43"/>
      <c r="T1442" s="43"/>
      <c r="U1442" s="43"/>
      <c r="V1442" s="43"/>
      <c r="W1442" s="43"/>
      <c r="X1442" s="43"/>
      <c r="Y1442" s="43"/>
      <c r="Z1442" s="43"/>
    </row>
    <row r="1443" spans="15:26" x14ac:dyDescent="0.25">
      <c r="O1443" s="43"/>
      <c r="P1443" s="43"/>
      <c r="Q1443" s="43"/>
      <c r="R1443" s="43"/>
      <c r="S1443" s="43"/>
      <c r="T1443" s="43"/>
      <c r="U1443" s="43"/>
      <c r="V1443" s="43"/>
      <c r="W1443" s="43"/>
      <c r="X1443" s="43"/>
      <c r="Y1443" s="43"/>
      <c r="Z1443" s="43"/>
    </row>
    <row r="1444" spans="15:26" x14ac:dyDescent="0.25">
      <c r="O1444" s="43"/>
      <c r="P1444" s="43"/>
      <c r="Q1444" s="43"/>
      <c r="R1444" s="43"/>
      <c r="S1444" s="43"/>
      <c r="T1444" s="43"/>
      <c r="U1444" s="43"/>
      <c r="V1444" s="43"/>
      <c r="W1444" s="43"/>
      <c r="X1444" s="43"/>
      <c r="Y1444" s="43"/>
      <c r="Z1444" s="43"/>
    </row>
    <row r="1445" spans="15:26" x14ac:dyDescent="0.25">
      <c r="O1445" s="43"/>
      <c r="P1445" s="43"/>
      <c r="Q1445" s="43"/>
      <c r="R1445" s="43"/>
      <c r="S1445" s="43"/>
      <c r="T1445" s="43"/>
      <c r="U1445" s="43"/>
      <c r="V1445" s="43"/>
      <c r="W1445" s="43"/>
      <c r="X1445" s="43"/>
      <c r="Y1445" s="43"/>
      <c r="Z1445" s="43"/>
    </row>
    <row r="1446" spans="15:26" x14ac:dyDescent="0.25">
      <c r="O1446" s="43"/>
      <c r="P1446" s="43"/>
      <c r="Q1446" s="43"/>
      <c r="R1446" s="43"/>
      <c r="S1446" s="43"/>
      <c r="T1446" s="43"/>
      <c r="U1446" s="43"/>
      <c r="V1446" s="43"/>
      <c r="W1446" s="43"/>
      <c r="X1446" s="43"/>
      <c r="Y1446" s="43"/>
      <c r="Z1446" s="43"/>
    </row>
    <row r="1447" spans="15:26" x14ac:dyDescent="0.25">
      <c r="O1447" s="43"/>
      <c r="P1447" s="43"/>
      <c r="Q1447" s="43"/>
      <c r="R1447" s="43"/>
      <c r="S1447" s="43"/>
      <c r="T1447" s="43"/>
      <c r="U1447" s="43"/>
      <c r="V1447" s="43"/>
      <c r="W1447" s="43"/>
      <c r="X1447" s="43"/>
      <c r="Y1447" s="43"/>
      <c r="Z1447" s="43"/>
    </row>
    <row r="1448" spans="15:26" x14ac:dyDescent="0.25">
      <c r="O1448" s="43"/>
      <c r="P1448" s="43"/>
      <c r="Q1448" s="43"/>
      <c r="R1448" s="43"/>
      <c r="S1448" s="43"/>
      <c r="T1448" s="43"/>
      <c r="U1448" s="43"/>
      <c r="V1448" s="43"/>
      <c r="W1448" s="43"/>
      <c r="X1448" s="43"/>
      <c r="Y1448" s="43"/>
      <c r="Z1448" s="43"/>
    </row>
    <row r="1449" spans="15:26" x14ac:dyDescent="0.25">
      <c r="O1449" s="43"/>
      <c r="P1449" s="43"/>
      <c r="Q1449" s="43"/>
      <c r="R1449" s="43"/>
      <c r="S1449" s="43"/>
      <c r="T1449" s="43"/>
      <c r="U1449" s="43"/>
      <c r="V1449" s="43"/>
      <c r="W1449" s="43"/>
      <c r="X1449" s="43"/>
      <c r="Y1449" s="43"/>
      <c r="Z1449" s="43"/>
    </row>
    <row r="1450" spans="15:26" x14ac:dyDescent="0.25">
      <c r="O1450" s="43"/>
      <c r="P1450" s="43"/>
      <c r="Q1450" s="43"/>
      <c r="R1450" s="43"/>
      <c r="S1450" s="43"/>
      <c r="T1450" s="43"/>
      <c r="U1450" s="43"/>
      <c r="V1450" s="43"/>
      <c r="W1450" s="43"/>
      <c r="X1450" s="43"/>
      <c r="Y1450" s="43"/>
      <c r="Z1450" s="43"/>
    </row>
    <row r="1451" spans="15:26" x14ac:dyDescent="0.25">
      <c r="O1451" s="43"/>
      <c r="P1451" s="43"/>
      <c r="Q1451" s="43"/>
      <c r="R1451" s="43"/>
      <c r="S1451" s="43"/>
      <c r="T1451" s="43"/>
      <c r="U1451" s="43"/>
      <c r="V1451" s="43"/>
      <c r="W1451" s="43"/>
      <c r="X1451" s="43"/>
      <c r="Y1451" s="43"/>
      <c r="Z1451" s="43"/>
    </row>
    <row r="1452" spans="15:26" x14ac:dyDescent="0.25">
      <c r="O1452" s="43"/>
      <c r="P1452" s="43"/>
      <c r="Q1452" s="43"/>
      <c r="R1452" s="43"/>
      <c r="S1452" s="43"/>
      <c r="T1452" s="43"/>
      <c r="U1452" s="43"/>
      <c r="V1452" s="43"/>
      <c r="W1452" s="43"/>
      <c r="X1452" s="43"/>
      <c r="Y1452" s="43"/>
      <c r="Z1452" s="43"/>
    </row>
    <row r="1453" spans="15:26" x14ac:dyDescent="0.25">
      <c r="O1453" s="43"/>
      <c r="P1453" s="43"/>
      <c r="Q1453" s="43"/>
      <c r="R1453" s="43"/>
      <c r="S1453" s="43"/>
      <c r="T1453" s="43"/>
      <c r="U1453" s="43"/>
      <c r="V1453" s="43"/>
      <c r="W1453" s="43"/>
      <c r="X1453" s="43"/>
      <c r="Y1453" s="43"/>
      <c r="Z1453" s="43"/>
    </row>
    <row r="1454" spans="15:26" x14ac:dyDescent="0.25">
      <c r="O1454" s="43"/>
      <c r="P1454" s="43"/>
      <c r="Q1454" s="43"/>
      <c r="R1454" s="43"/>
      <c r="S1454" s="43"/>
      <c r="T1454" s="43"/>
      <c r="U1454" s="43"/>
      <c r="V1454" s="43"/>
      <c r="W1454" s="43"/>
      <c r="X1454" s="43"/>
      <c r="Y1454" s="43"/>
      <c r="Z1454" s="43"/>
    </row>
    <row r="1455" spans="15:26" x14ac:dyDescent="0.25">
      <c r="O1455" s="43"/>
      <c r="P1455" s="43"/>
      <c r="Q1455" s="43"/>
      <c r="R1455" s="43"/>
      <c r="S1455" s="43"/>
      <c r="T1455" s="43"/>
      <c r="U1455" s="43"/>
      <c r="V1455" s="43"/>
      <c r="W1455" s="43"/>
      <c r="X1455" s="43"/>
      <c r="Y1455" s="43"/>
      <c r="Z1455" s="43"/>
    </row>
    <row r="1456" spans="15:26" x14ac:dyDescent="0.25">
      <c r="O1456" s="43"/>
      <c r="P1456" s="43"/>
      <c r="Q1456" s="43"/>
      <c r="R1456" s="43"/>
      <c r="S1456" s="43"/>
      <c r="T1456" s="43"/>
      <c r="U1456" s="43"/>
      <c r="V1456" s="43"/>
      <c r="W1456" s="43"/>
      <c r="X1456" s="43"/>
      <c r="Y1456" s="43"/>
      <c r="Z1456" s="43"/>
    </row>
    <row r="1457" spans="15:26" x14ac:dyDescent="0.25">
      <c r="O1457" s="43"/>
      <c r="P1457" s="43"/>
      <c r="Q1457" s="43"/>
      <c r="R1457" s="43"/>
      <c r="S1457" s="43"/>
      <c r="T1457" s="43"/>
      <c r="U1457" s="43"/>
      <c r="V1457" s="43"/>
      <c r="W1457" s="43"/>
      <c r="X1457" s="43"/>
      <c r="Y1457" s="43"/>
      <c r="Z1457" s="43"/>
    </row>
    <row r="1458" spans="15:26" x14ac:dyDescent="0.25">
      <c r="O1458" s="43"/>
      <c r="P1458" s="43"/>
      <c r="Q1458" s="43"/>
      <c r="R1458" s="43"/>
      <c r="S1458" s="43"/>
      <c r="T1458" s="43"/>
      <c r="U1458" s="43"/>
      <c r="V1458" s="43"/>
      <c r="W1458" s="43"/>
      <c r="X1458" s="43"/>
      <c r="Y1458" s="43"/>
      <c r="Z1458" s="43"/>
    </row>
    <row r="1459" spans="15:26" x14ac:dyDescent="0.25">
      <c r="O1459" s="43"/>
      <c r="P1459" s="43"/>
      <c r="Q1459" s="43"/>
      <c r="R1459" s="43"/>
      <c r="S1459" s="43"/>
      <c r="T1459" s="43"/>
      <c r="U1459" s="43"/>
      <c r="V1459" s="43"/>
      <c r="W1459" s="43"/>
      <c r="X1459" s="43"/>
      <c r="Y1459" s="43"/>
      <c r="Z1459" s="43"/>
    </row>
    <row r="1460" spans="15:26" x14ac:dyDescent="0.25">
      <c r="O1460" s="43"/>
      <c r="P1460" s="43"/>
      <c r="Q1460" s="43"/>
      <c r="R1460" s="43"/>
      <c r="S1460" s="43"/>
      <c r="T1460" s="43"/>
      <c r="U1460" s="43"/>
      <c r="V1460" s="43"/>
      <c r="W1460" s="43"/>
      <c r="X1460" s="43"/>
      <c r="Y1460" s="43"/>
      <c r="Z1460" s="43"/>
    </row>
    <row r="1461" spans="15:26" x14ac:dyDescent="0.25">
      <c r="O1461" s="43"/>
      <c r="P1461" s="43"/>
      <c r="Q1461" s="43"/>
      <c r="R1461" s="43"/>
      <c r="S1461" s="43"/>
      <c r="T1461" s="43"/>
      <c r="U1461" s="43"/>
      <c r="V1461" s="43"/>
      <c r="W1461" s="43"/>
      <c r="X1461" s="43"/>
      <c r="Y1461" s="43"/>
      <c r="Z1461" s="43"/>
    </row>
    <row r="1462" spans="15:26" x14ac:dyDescent="0.25">
      <c r="O1462" s="43"/>
      <c r="P1462" s="43"/>
      <c r="Q1462" s="43"/>
      <c r="R1462" s="43"/>
      <c r="S1462" s="43"/>
      <c r="T1462" s="43"/>
      <c r="U1462" s="43"/>
      <c r="V1462" s="43"/>
      <c r="W1462" s="43"/>
      <c r="X1462" s="43"/>
      <c r="Y1462" s="43"/>
      <c r="Z1462" s="43"/>
    </row>
    <row r="1463" spans="15:26" x14ac:dyDescent="0.25">
      <c r="O1463" s="43"/>
      <c r="P1463" s="43"/>
      <c r="Q1463" s="43"/>
      <c r="R1463" s="43"/>
      <c r="S1463" s="43"/>
      <c r="T1463" s="43"/>
      <c r="U1463" s="43"/>
      <c r="V1463" s="43"/>
      <c r="W1463" s="43"/>
      <c r="X1463" s="43"/>
      <c r="Y1463" s="43"/>
      <c r="Z1463" s="43"/>
    </row>
    <row r="1464" spans="15:26" x14ac:dyDescent="0.25">
      <c r="O1464" s="43"/>
      <c r="P1464" s="43"/>
      <c r="Q1464" s="43"/>
      <c r="R1464" s="43"/>
      <c r="S1464" s="43"/>
      <c r="T1464" s="43"/>
      <c r="U1464" s="43"/>
      <c r="V1464" s="43"/>
      <c r="W1464" s="43"/>
      <c r="X1464" s="43"/>
      <c r="Y1464" s="43"/>
      <c r="Z1464" s="43"/>
    </row>
    <row r="1465" spans="15:26" x14ac:dyDescent="0.25">
      <c r="O1465" s="43"/>
      <c r="P1465" s="43"/>
      <c r="Q1465" s="43"/>
      <c r="R1465" s="43"/>
      <c r="S1465" s="43"/>
      <c r="T1465" s="43"/>
      <c r="U1465" s="43"/>
      <c r="V1465" s="43"/>
      <c r="W1465" s="43"/>
      <c r="X1465" s="43"/>
      <c r="Y1465" s="43"/>
      <c r="Z1465" s="43"/>
    </row>
    <row r="1466" spans="15:26" x14ac:dyDescent="0.25">
      <c r="O1466" s="43"/>
      <c r="P1466" s="43"/>
      <c r="Q1466" s="43"/>
      <c r="R1466" s="43"/>
      <c r="S1466" s="43"/>
      <c r="T1466" s="43"/>
      <c r="U1466" s="43"/>
      <c r="V1466" s="43"/>
      <c r="W1466" s="43"/>
      <c r="X1466" s="43"/>
      <c r="Y1466" s="43"/>
      <c r="Z1466" s="43"/>
    </row>
    <row r="1467" spans="15:26" x14ac:dyDescent="0.25">
      <c r="O1467" s="43"/>
      <c r="P1467" s="43"/>
      <c r="Q1467" s="43"/>
      <c r="R1467" s="43"/>
      <c r="S1467" s="43"/>
      <c r="T1467" s="43"/>
      <c r="U1467" s="43"/>
      <c r="V1467" s="43"/>
      <c r="W1467" s="43"/>
      <c r="X1467" s="43"/>
      <c r="Y1467" s="43"/>
      <c r="Z1467" s="43"/>
    </row>
    <row r="1468" spans="15:26" x14ac:dyDescent="0.25">
      <c r="O1468" s="43"/>
      <c r="P1468" s="43"/>
      <c r="Q1468" s="43"/>
      <c r="R1468" s="43"/>
      <c r="S1468" s="43"/>
      <c r="T1468" s="43"/>
      <c r="U1468" s="43"/>
      <c r="V1468" s="43"/>
      <c r="W1468" s="43"/>
      <c r="X1468" s="43"/>
      <c r="Y1468" s="43"/>
      <c r="Z1468" s="43"/>
    </row>
    <row r="1469" spans="15:26" x14ac:dyDescent="0.25">
      <c r="O1469" s="43"/>
      <c r="P1469" s="43"/>
      <c r="Q1469" s="43"/>
      <c r="R1469" s="43"/>
      <c r="S1469" s="43"/>
      <c r="T1469" s="43"/>
      <c r="U1469" s="43"/>
      <c r="V1469" s="43"/>
      <c r="W1469" s="43"/>
      <c r="X1469" s="43"/>
      <c r="Y1469" s="43"/>
      <c r="Z1469" s="43"/>
    </row>
    <row r="1470" spans="15:26" x14ac:dyDescent="0.25">
      <c r="O1470" s="43"/>
      <c r="P1470" s="43"/>
      <c r="Q1470" s="43"/>
      <c r="R1470" s="43"/>
      <c r="S1470" s="43"/>
      <c r="T1470" s="43"/>
      <c r="U1470" s="43"/>
      <c r="V1470" s="43"/>
      <c r="W1470" s="43"/>
      <c r="X1470" s="43"/>
      <c r="Y1470" s="43"/>
      <c r="Z1470" s="43"/>
    </row>
    <row r="1471" spans="15:26" x14ac:dyDescent="0.25">
      <c r="O1471" s="43"/>
      <c r="P1471" s="43"/>
      <c r="Q1471" s="43"/>
      <c r="R1471" s="43"/>
      <c r="S1471" s="43"/>
      <c r="T1471" s="43"/>
      <c r="U1471" s="43"/>
      <c r="V1471" s="43"/>
      <c r="W1471" s="43"/>
      <c r="X1471" s="43"/>
      <c r="Y1471" s="43"/>
      <c r="Z1471" s="43"/>
    </row>
    <row r="1472" spans="15:26" x14ac:dyDescent="0.25">
      <c r="O1472" s="43"/>
      <c r="P1472" s="43"/>
      <c r="Q1472" s="43"/>
      <c r="R1472" s="43"/>
      <c r="S1472" s="43"/>
      <c r="T1472" s="43"/>
      <c r="U1472" s="43"/>
      <c r="V1472" s="43"/>
      <c r="W1472" s="43"/>
      <c r="X1472" s="43"/>
      <c r="Y1472" s="43"/>
      <c r="Z1472" s="43"/>
    </row>
    <row r="1473" spans="15:26" x14ac:dyDescent="0.25">
      <c r="O1473" s="43"/>
      <c r="P1473" s="43"/>
      <c r="Q1473" s="43"/>
      <c r="R1473" s="43"/>
      <c r="S1473" s="43"/>
      <c r="T1473" s="43"/>
      <c r="U1473" s="43"/>
      <c r="V1473" s="43"/>
      <c r="W1473" s="43"/>
      <c r="X1473" s="43"/>
      <c r="Y1473" s="43"/>
      <c r="Z1473" s="43"/>
    </row>
    <row r="1474" spans="15:26" x14ac:dyDescent="0.25">
      <c r="O1474" s="43"/>
      <c r="P1474" s="43"/>
      <c r="Q1474" s="43"/>
      <c r="R1474" s="43"/>
      <c r="S1474" s="43"/>
      <c r="T1474" s="43"/>
      <c r="U1474" s="43"/>
      <c r="V1474" s="43"/>
      <c r="W1474" s="43"/>
      <c r="X1474" s="43"/>
      <c r="Y1474" s="43"/>
      <c r="Z1474" s="43"/>
    </row>
    <row r="1475" spans="15:26" x14ac:dyDescent="0.25">
      <c r="O1475" s="43"/>
      <c r="P1475" s="43"/>
      <c r="Q1475" s="43"/>
      <c r="R1475" s="43"/>
      <c r="S1475" s="43"/>
      <c r="T1475" s="43"/>
      <c r="U1475" s="43"/>
      <c r="V1475" s="43"/>
      <c r="W1475" s="43"/>
      <c r="X1475" s="43"/>
      <c r="Y1475" s="43"/>
      <c r="Z1475" s="43"/>
    </row>
    <row r="1476" spans="15:26" x14ac:dyDescent="0.25">
      <c r="O1476" s="43"/>
      <c r="P1476" s="43"/>
      <c r="Q1476" s="43"/>
      <c r="R1476" s="43"/>
      <c r="S1476" s="43"/>
      <c r="T1476" s="43"/>
      <c r="U1476" s="43"/>
      <c r="V1476" s="43"/>
      <c r="W1476" s="43"/>
      <c r="X1476" s="43"/>
      <c r="Y1476" s="43"/>
      <c r="Z1476" s="43"/>
    </row>
    <row r="1477" spans="15:26" x14ac:dyDescent="0.25">
      <c r="O1477" s="43"/>
      <c r="P1477" s="43"/>
      <c r="Q1477" s="43"/>
      <c r="R1477" s="43"/>
      <c r="S1477" s="43"/>
      <c r="T1477" s="43"/>
      <c r="U1477" s="43"/>
      <c r="V1477" s="43"/>
      <c r="W1477" s="43"/>
      <c r="X1477" s="43"/>
      <c r="Y1477" s="43"/>
      <c r="Z1477" s="43"/>
    </row>
    <row r="1478" spans="15:26" x14ac:dyDescent="0.25">
      <c r="O1478" s="43"/>
      <c r="P1478" s="43"/>
      <c r="Q1478" s="43"/>
      <c r="R1478" s="43"/>
      <c r="S1478" s="43"/>
      <c r="T1478" s="43"/>
      <c r="U1478" s="43"/>
      <c r="V1478" s="43"/>
      <c r="W1478" s="43"/>
      <c r="X1478" s="43"/>
      <c r="Y1478" s="43"/>
      <c r="Z1478" s="43"/>
    </row>
    <row r="1479" spans="15:26" x14ac:dyDescent="0.25">
      <c r="O1479" s="43"/>
      <c r="P1479" s="43"/>
      <c r="Q1479" s="43"/>
      <c r="R1479" s="43"/>
      <c r="S1479" s="43"/>
      <c r="T1479" s="43"/>
      <c r="U1479" s="43"/>
      <c r="V1479" s="43"/>
      <c r="W1479" s="43"/>
      <c r="X1479" s="43"/>
      <c r="Y1479" s="43"/>
      <c r="Z1479" s="43"/>
    </row>
    <row r="1480" spans="15:26" x14ac:dyDescent="0.25">
      <c r="O1480" s="43"/>
      <c r="P1480" s="43"/>
      <c r="Q1480" s="43"/>
      <c r="R1480" s="43"/>
      <c r="S1480" s="43"/>
      <c r="T1480" s="43"/>
      <c r="U1480" s="43"/>
      <c r="V1480" s="43"/>
      <c r="W1480" s="43"/>
      <c r="X1480" s="43"/>
      <c r="Y1480" s="43"/>
      <c r="Z1480" s="43"/>
    </row>
    <row r="1481" spans="15:26" x14ac:dyDescent="0.25">
      <c r="O1481" s="43"/>
      <c r="P1481" s="43"/>
      <c r="Q1481" s="43"/>
      <c r="R1481" s="43"/>
      <c r="S1481" s="43"/>
      <c r="T1481" s="43"/>
      <c r="U1481" s="43"/>
      <c r="V1481" s="43"/>
      <c r="W1481" s="43"/>
      <c r="X1481" s="43"/>
      <c r="Y1481" s="43"/>
      <c r="Z1481" s="43"/>
    </row>
    <row r="1482" spans="15:26" x14ac:dyDescent="0.25">
      <c r="O1482" s="43"/>
      <c r="P1482" s="43"/>
      <c r="Q1482" s="43"/>
      <c r="R1482" s="43"/>
      <c r="S1482" s="43"/>
      <c r="T1482" s="43"/>
      <c r="U1482" s="43"/>
      <c r="V1482" s="43"/>
      <c r="W1482" s="43"/>
      <c r="X1482" s="43"/>
      <c r="Y1482" s="43"/>
      <c r="Z1482" s="43"/>
    </row>
    <row r="1483" spans="15:26" x14ac:dyDescent="0.25">
      <c r="O1483" s="43"/>
      <c r="P1483" s="43"/>
      <c r="Q1483" s="43"/>
      <c r="R1483" s="43"/>
      <c r="S1483" s="43"/>
      <c r="T1483" s="43"/>
      <c r="U1483" s="43"/>
      <c r="V1483" s="43"/>
      <c r="W1483" s="43"/>
      <c r="X1483" s="43"/>
      <c r="Y1483" s="43"/>
      <c r="Z1483" s="43"/>
    </row>
    <row r="1484" spans="15:26" x14ac:dyDescent="0.25">
      <c r="O1484" s="43"/>
      <c r="P1484" s="43"/>
      <c r="Q1484" s="43"/>
      <c r="R1484" s="43"/>
      <c r="S1484" s="43"/>
      <c r="T1484" s="43"/>
      <c r="U1484" s="43"/>
      <c r="V1484" s="43"/>
      <c r="W1484" s="43"/>
      <c r="X1484" s="43"/>
      <c r="Y1484" s="43"/>
      <c r="Z1484" s="43"/>
    </row>
    <row r="1485" spans="15:26" x14ac:dyDescent="0.25">
      <c r="O1485" s="43"/>
      <c r="P1485" s="43"/>
      <c r="Q1485" s="43"/>
      <c r="R1485" s="43"/>
      <c r="S1485" s="43"/>
      <c r="T1485" s="43"/>
      <c r="U1485" s="43"/>
      <c r="V1485" s="43"/>
      <c r="W1485" s="43"/>
      <c r="X1485" s="43"/>
      <c r="Y1485" s="43"/>
      <c r="Z1485" s="43"/>
    </row>
    <row r="1486" spans="15:26" x14ac:dyDescent="0.25">
      <c r="O1486" s="43"/>
      <c r="P1486" s="43"/>
      <c r="Q1486" s="43"/>
      <c r="R1486" s="43"/>
      <c r="S1486" s="43"/>
      <c r="T1486" s="43"/>
      <c r="U1486" s="43"/>
      <c r="V1486" s="43"/>
      <c r="W1486" s="43"/>
      <c r="X1486" s="43"/>
      <c r="Y1486" s="43"/>
      <c r="Z1486" s="43"/>
    </row>
    <row r="1487" spans="15:26" x14ac:dyDescent="0.25">
      <c r="O1487" s="43"/>
      <c r="P1487" s="43"/>
      <c r="Q1487" s="43"/>
      <c r="R1487" s="43"/>
      <c r="S1487" s="43"/>
      <c r="T1487" s="43"/>
      <c r="U1487" s="43"/>
      <c r="V1487" s="43"/>
      <c r="W1487" s="43"/>
      <c r="X1487" s="43"/>
      <c r="Y1487" s="43"/>
      <c r="Z1487" s="43"/>
    </row>
    <row r="1488" spans="15:26" x14ac:dyDescent="0.25">
      <c r="O1488" s="43"/>
      <c r="P1488" s="43"/>
      <c r="Q1488" s="43"/>
      <c r="R1488" s="43"/>
      <c r="S1488" s="43"/>
      <c r="T1488" s="43"/>
      <c r="U1488" s="43"/>
      <c r="V1488" s="43"/>
      <c r="W1488" s="43"/>
      <c r="X1488" s="43"/>
      <c r="Y1488" s="43"/>
      <c r="Z1488" s="43"/>
    </row>
    <row r="1489" spans="15:26" x14ac:dyDescent="0.25">
      <c r="O1489" s="43"/>
      <c r="P1489" s="43"/>
      <c r="Q1489" s="43"/>
      <c r="R1489" s="43"/>
      <c r="S1489" s="43"/>
      <c r="T1489" s="43"/>
      <c r="U1489" s="43"/>
      <c r="V1489" s="43"/>
      <c r="W1489" s="43"/>
      <c r="X1489" s="43"/>
      <c r="Y1489" s="43"/>
      <c r="Z1489" s="43"/>
    </row>
    <row r="1490" spans="15:26" x14ac:dyDescent="0.25">
      <c r="O1490" s="43"/>
      <c r="P1490" s="43"/>
      <c r="Q1490" s="43"/>
      <c r="R1490" s="43"/>
      <c r="S1490" s="43"/>
      <c r="T1490" s="43"/>
      <c r="U1490" s="43"/>
      <c r="V1490" s="43"/>
      <c r="W1490" s="43"/>
      <c r="X1490" s="43"/>
      <c r="Y1490" s="43"/>
      <c r="Z1490" s="43"/>
    </row>
    <row r="1491" spans="15:26" x14ac:dyDescent="0.25">
      <c r="O1491" s="43"/>
      <c r="P1491" s="43"/>
      <c r="Q1491" s="43"/>
      <c r="R1491" s="43"/>
      <c r="S1491" s="43"/>
      <c r="T1491" s="43"/>
      <c r="U1491" s="43"/>
      <c r="V1491" s="43"/>
      <c r="W1491" s="43"/>
      <c r="X1491" s="43"/>
      <c r="Y1491" s="43"/>
      <c r="Z1491" s="43"/>
    </row>
    <row r="1492" spans="15:26" x14ac:dyDescent="0.25">
      <c r="O1492" s="43"/>
      <c r="P1492" s="43"/>
      <c r="Q1492" s="43"/>
      <c r="R1492" s="43"/>
      <c r="S1492" s="43"/>
      <c r="T1492" s="43"/>
      <c r="U1492" s="43"/>
      <c r="V1492" s="43"/>
      <c r="W1492" s="43"/>
      <c r="X1492" s="43"/>
      <c r="Y1492" s="43"/>
      <c r="Z1492" s="43"/>
    </row>
    <row r="1493" spans="15:26" x14ac:dyDescent="0.25">
      <c r="O1493" s="43"/>
      <c r="P1493" s="43"/>
      <c r="Q1493" s="43"/>
      <c r="R1493" s="43"/>
      <c r="S1493" s="43"/>
      <c r="T1493" s="43"/>
      <c r="U1493" s="43"/>
      <c r="V1493" s="43"/>
      <c r="W1493" s="43"/>
      <c r="X1493" s="43"/>
      <c r="Y1493" s="43"/>
      <c r="Z1493" s="43"/>
    </row>
    <row r="1494" spans="15:26" x14ac:dyDescent="0.25">
      <c r="O1494" s="43"/>
      <c r="P1494" s="43"/>
      <c r="Q1494" s="43"/>
      <c r="R1494" s="43"/>
      <c r="S1494" s="43"/>
      <c r="T1494" s="43"/>
      <c r="U1494" s="43"/>
      <c r="V1494" s="43"/>
      <c r="W1494" s="43"/>
      <c r="X1494" s="43"/>
      <c r="Y1494" s="43"/>
      <c r="Z1494" s="43"/>
    </row>
    <row r="1495" spans="15:26" x14ac:dyDescent="0.25">
      <c r="O1495" s="43"/>
      <c r="P1495" s="43"/>
      <c r="Q1495" s="43"/>
      <c r="R1495" s="43"/>
      <c r="S1495" s="43"/>
      <c r="T1495" s="43"/>
      <c r="U1495" s="43"/>
      <c r="V1495" s="43"/>
      <c r="W1495" s="43"/>
      <c r="X1495" s="43"/>
      <c r="Y1495" s="43"/>
      <c r="Z1495" s="43"/>
    </row>
    <row r="1496" spans="15:26" x14ac:dyDescent="0.25">
      <c r="O1496" s="43"/>
      <c r="P1496" s="43"/>
      <c r="Q1496" s="43"/>
      <c r="R1496" s="43"/>
      <c r="S1496" s="43"/>
      <c r="T1496" s="43"/>
      <c r="U1496" s="43"/>
      <c r="V1496" s="43"/>
      <c r="W1496" s="43"/>
      <c r="X1496" s="43"/>
      <c r="Y1496" s="43"/>
      <c r="Z1496" s="43"/>
    </row>
    <row r="1497" spans="15:26" x14ac:dyDescent="0.25">
      <c r="O1497" s="43"/>
      <c r="P1497" s="43"/>
      <c r="Q1497" s="43"/>
      <c r="R1497" s="43"/>
      <c r="S1497" s="43"/>
      <c r="T1497" s="43"/>
      <c r="U1497" s="43"/>
      <c r="V1497" s="43"/>
      <c r="W1497" s="43"/>
      <c r="X1497" s="43"/>
      <c r="Y1497" s="43"/>
      <c r="Z1497" s="43"/>
    </row>
    <row r="1498" spans="15:26" x14ac:dyDescent="0.25">
      <c r="O1498" s="43"/>
      <c r="P1498" s="43"/>
      <c r="Q1498" s="43"/>
      <c r="R1498" s="43"/>
      <c r="S1498" s="43"/>
      <c r="T1498" s="43"/>
      <c r="U1498" s="43"/>
      <c r="V1498" s="43"/>
      <c r="W1498" s="43"/>
      <c r="X1498" s="43"/>
      <c r="Y1498" s="43"/>
      <c r="Z1498" s="43"/>
    </row>
    <row r="1499" spans="15:26" x14ac:dyDescent="0.25">
      <c r="O1499" s="43"/>
      <c r="P1499" s="43"/>
      <c r="Q1499" s="43"/>
      <c r="R1499" s="43"/>
      <c r="S1499" s="43"/>
      <c r="T1499" s="43"/>
      <c r="U1499" s="43"/>
      <c r="V1499" s="43"/>
      <c r="W1499" s="43"/>
      <c r="X1499" s="43"/>
      <c r="Y1499" s="43"/>
      <c r="Z1499" s="43"/>
    </row>
    <row r="1500" spans="15:26" x14ac:dyDescent="0.25">
      <c r="O1500" s="43"/>
      <c r="P1500" s="43"/>
      <c r="Q1500" s="43"/>
      <c r="R1500" s="43"/>
      <c r="S1500" s="43"/>
      <c r="T1500" s="43"/>
      <c r="U1500" s="43"/>
      <c r="V1500" s="43"/>
      <c r="W1500" s="43"/>
      <c r="X1500" s="43"/>
      <c r="Y1500" s="43"/>
      <c r="Z1500" s="43"/>
    </row>
    <row r="1501" spans="15:26" x14ac:dyDescent="0.25">
      <c r="O1501" s="43"/>
      <c r="P1501" s="43"/>
      <c r="Q1501" s="43"/>
      <c r="R1501" s="43"/>
      <c r="S1501" s="43"/>
      <c r="T1501" s="43"/>
      <c r="U1501" s="43"/>
      <c r="V1501" s="43"/>
      <c r="W1501" s="43"/>
      <c r="X1501" s="43"/>
      <c r="Y1501" s="43"/>
      <c r="Z1501" s="43"/>
    </row>
    <row r="1502" spans="15:26" x14ac:dyDescent="0.25">
      <c r="O1502" s="43"/>
      <c r="P1502" s="43"/>
      <c r="Q1502" s="43"/>
      <c r="R1502" s="43"/>
      <c r="S1502" s="43"/>
      <c r="T1502" s="43"/>
      <c r="U1502" s="43"/>
      <c r="V1502" s="43"/>
      <c r="W1502" s="43"/>
      <c r="X1502" s="43"/>
      <c r="Y1502" s="43"/>
      <c r="Z1502" s="43"/>
    </row>
    <row r="1503" spans="15:26" x14ac:dyDescent="0.25">
      <c r="O1503" s="43"/>
      <c r="P1503" s="43"/>
      <c r="Q1503" s="43"/>
      <c r="R1503" s="43"/>
      <c r="S1503" s="43"/>
      <c r="T1503" s="43"/>
      <c r="U1503" s="43"/>
      <c r="V1503" s="43"/>
      <c r="W1503" s="43"/>
      <c r="X1503" s="43"/>
      <c r="Y1503" s="43"/>
      <c r="Z1503" s="43"/>
    </row>
    <row r="1504" spans="15:26" x14ac:dyDescent="0.25">
      <c r="O1504" s="43"/>
      <c r="P1504" s="43"/>
      <c r="Q1504" s="43"/>
      <c r="R1504" s="43"/>
      <c r="S1504" s="43"/>
      <c r="T1504" s="43"/>
      <c r="U1504" s="43"/>
      <c r="V1504" s="43"/>
      <c r="W1504" s="43"/>
      <c r="X1504" s="43"/>
      <c r="Y1504" s="43"/>
      <c r="Z1504" s="43"/>
    </row>
    <row r="1505" spans="15:26" x14ac:dyDescent="0.25">
      <c r="O1505" s="43"/>
      <c r="P1505" s="43"/>
      <c r="Q1505" s="43"/>
      <c r="R1505" s="43"/>
      <c r="S1505" s="43"/>
      <c r="T1505" s="43"/>
      <c r="U1505" s="43"/>
      <c r="V1505" s="43"/>
      <c r="W1505" s="43"/>
      <c r="X1505" s="43"/>
      <c r="Y1505" s="43"/>
      <c r="Z1505" s="43"/>
    </row>
    <row r="1506" spans="15:26" x14ac:dyDescent="0.25">
      <c r="O1506" s="43"/>
      <c r="P1506" s="43"/>
      <c r="Q1506" s="43"/>
      <c r="R1506" s="43"/>
      <c r="S1506" s="43"/>
      <c r="T1506" s="43"/>
      <c r="U1506" s="43"/>
      <c r="V1506" s="43"/>
      <c r="W1506" s="43"/>
      <c r="X1506" s="43"/>
      <c r="Y1506" s="43"/>
      <c r="Z1506" s="43"/>
    </row>
    <row r="1507" spans="15:26" x14ac:dyDescent="0.25">
      <c r="O1507" s="43"/>
      <c r="P1507" s="43"/>
      <c r="Q1507" s="43"/>
      <c r="R1507" s="43"/>
      <c r="S1507" s="43"/>
      <c r="T1507" s="43"/>
      <c r="U1507" s="43"/>
      <c r="V1507" s="43"/>
      <c r="W1507" s="43"/>
      <c r="X1507" s="43"/>
      <c r="Y1507" s="43"/>
      <c r="Z1507" s="43"/>
    </row>
    <row r="1508" spans="15:26" x14ac:dyDescent="0.25">
      <c r="O1508" s="43"/>
      <c r="P1508" s="43"/>
      <c r="Q1508" s="43"/>
      <c r="R1508" s="43"/>
      <c r="S1508" s="43"/>
      <c r="T1508" s="43"/>
      <c r="U1508" s="43"/>
      <c r="V1508" s="43"/>
      <c r="W1508" s="43"/>
      <c r="X1508" s="43"/>
      <c r="Y1508" s="43"/>
      <c r="Z1508" s="43"/>
    </row>
    <row r="1509" spans="15:26" x14ac:dyDescent="0.25">
      <c r="O1509" s="43"/>
      <c r="P1509" s="43"/>
      <c r="Q1509" s="43"/>
      <c r="R1509" s="43"/>
      <c r="S1509" s="43"/>
      <c r="T1509" s="43"/>
      <c r="U1509" s="43"/>
      <c r="V1509" s="43"/>
      <c r="W1509" s="43"/>
      <c r="X1509" s="43"/>
      <c r="Y1509" s="43"/>
      <c r="Z1509" s="43"/>
    </row>
    <row r="1510" spans="15:26" x14ac:dyDescent="0.25">
      <c r="O1510" s="43"/>
      <c r="P1510" s="43"/>
      <c r="Q1510" s="43"/>
      <c r="R1510" s="43"/>
      <c r="S1510" s="43"/>
      <c r="T1510" s="43"/>
      <c r="U1510" s="43"/>
      <c r="V1510" s="43"/>
      <c r="W1510" s="43"/>
      <c r="X1510" s="43"/>
      <c r="Y1510" s="43"/>
      <c r="Z1510" s="43"/>
    </row>
    <row r="1511" spans="15:26" x14ac:dyDescent="0.25">
      <c r="O1511" s="43"/>
      <c r="P1511" s="43"/>
      <c r="Q1511" s="43"/>
      <c r="R1511" s="43"/>
      <c r="S1511" s="43"/>
      <c r="T1511" s="43"/>
      <c r="U1511" s="43"/>
      <c r="V1511" s="43"/>
      <c r="W1511" s="43"/>
      <c r="X1511" s="43"/>
      <c r="Y1511" s="43"/>
      <c r="Z1511" s="43"/>
    </row>
    <row r="1512" spans="15:26" x14ac:dyDescent="0.25">
      <c r="O1512" s="43"/>
      <c r="P1512" s="43"/>
      <c r="Q1512" s="43"/>
      <c r="R1512" s="43"/>
      <c r="S1512" s="43"/>
      <c r="T1512" s="43"/>
      <c r="U1512" s="43"/>
      <c r="V1512" s="43"/>
      <c r="W1512" s="43"/>
      <c r="X1512" s="43"/>
      <c r="Y1512" s="43"/>
      <c r="Z1512" s="43"/>
    </row>
    <row r="1513" spans="15:26" x14ac:dyDescent="0.25">
      <c r="O1513" s="43"/>
      <c r="P1513" s="43"/>
      <c r="Q1513" s="43"/>
      <c r="R1513" s="43"/>
      <c r="S1513" s="43"/>
      <c r="T1513" s="43"/>
      <c r="U1513" s="43"/>
      <c r="V1513" s="43"/>
      <c r="W1513" s="43"/>
      <c r="X1513" s="43"/>
      <c r="Y1513" s="43"/>
      <c r="Z1513" s="43"/>
    </row>
    <row r="1514" spans="15:26" x14ac:dyDescent="0.25">
      <c r="O1514" s="43"/>
      <c r="P1514" s="43"/>
      <c r="Q1514" s="43"/>
      <c r="R1514" s="43"/>
      <c r="S1514" s="43"/>
      <c r="T1514" s="43"/>
      <c r="U1514" s="43"/>
      <c r="V1514" s="43"/>
      <c r="W1514" s="43"/>
      <c r="X1514" s="43"/>
      <c r="Y1514" s="43"/>
      <c r="Z1514" s="43"/>
    </row>
    <row r="1515" spans="15:26" x14ac:dyDescent="0.25">
      <c r="O1515" s="43"/>
      <c r="P1515" s="43"/>
      <c r="Q1515" s="43"/>
      <c r="R1515" s="43"/>
      <c r="S1515" s="43"/>
      <c r="T1515" s="43"/>
      <c r="U1515" s="43"/>
      <c r="V1515" s="43"/>
      <c r="W1515" s="43"/>
      <c r="X1515" s="43"/>
      <c r="Y1515" s="43"/>
      <c r="Z1515" s="43"/>
    </row>
    <row r="1516" spans="15:26" x14ac:dyDescent="0.25">
      <c r="O1516" s="43"/>
      <c r="P1516" s="43"/>
      <c r="Q1516" s="43"/>
      <c r="R1516" s="43"/>
      <c r="S1516" s="43"/>
      <c r="T1516" s="43"/>
      <c r="U1516" s="43"/>
      <c r="V1516" s="43"/>
      <c r="W1516" s="43"/>
      <c r="X1516" s="43"/>
      <c r="Y1516" s="43"/>
      <c r="Z1516" s="43"/>
    </row>
    <row r="1517" spans="15:26" x14ac:dyDescent="0.25">
      <c r="O1517" s="43"/>
      <c r="P1517" s="43"/>
      <c r="Q1517" s="43"/>
      <c r="R1517" s="43"/>
      <c r="S1517" s="43"/>
      <c r="T1517" s="43"/>
      <c r="U1517" s="43"/>
      <c r="V1517" s="43"/>
      <c r="W1517" s="43"/>
      <c r="X1517" s="43"/>
      <c r="Y1517" s="43"/>
      <c r="Z1517" s="43"/>
    </row>
    <row r="1518" spans="15:26" x14ac:dyDescent="0.25">
      <c r="O1518" s="43"/>
      <c r="P1518" s="43"/>
      <c r="Q1518" s="43"/>
      <c r="R1518" s="43"/>
      <c r="S1518" s="43"/>
      <c r="T1518" s="43"/>
      <c r="U1518" s="43"/>
      <c r="V1518" s="43"/>
      <c r="W1518" s="43"/>
      <c r="X1518" s="43"/>
      <c r="Y1518" s="43"/>
      <c r="Z1518" s="43"/>
    </row>
    <row r="1519" spans="15:26" x14ac:dyDescent="0.25">
      <c r="O1519" s="43"/>
      <c r="P1519" s="43"/>
      <c r="Q1519" s="43"/>
      <c r="R1519" s="43"/>
      <c r="S1519" s="43"/>
      <c r="T1519" s="43"/>
      <c r="U1519" s="43"/>
      <c r="V1519" s="43"/>
      <c r="W1519" s="43"/>
      <c r="X1519" s="43"/>
      <c r="Y1519" s="43"/>
      <c r="Z1519" s="43"/>
    </row>
    <row r="1520" spans="15:26" x14ac:dyDescent="0.25">
      <c r="O1520" s="43"/>
      <c r="P1520" s="43"/>
      <c r="Q1520" s="43"/>
      <c r="R1520" s="43"/>
      <c r="S1520" s="43"/>
      <c r="T1520" s="43"/>
      <c r="U1520" s="43"/>
      <c r="V1520" s="43"/>
      <c r="W1520" s="43"/>
      <c r="X1520" s="43"/>
      <c r="Y1520" s="43"/>
      <c r="Z1520" s="43"/>
    </row>
    <row r="1521" spans="15:26" x14ac:dyDescent="0.25">
      <c r="O1521" s="43"/>
      <c r="P1521" s="43"/>
      <c r="Q1521" s="43"/>
      <c r="R1521" s="43"/>
      <c r="S1521" s="43"/>
      <c r="T1521" s="43"/>
      <c r="U1521" s="43"/>
      <c r="V1521" s="43"/>
      <c r="W1521" s="43"/>
      <c r="X1521" s="43"/>
      <c r="Y1521" s="43"/>
      <c r="Z1521" s="43"/>
    </row>
    <row r="1522" spans="15:26" x14ac:dyDescent="0.25">
      <c r="O1522" s="43"/>
      <c r="P1522" s="43"/>
      <c r="Q1522" s="43"/>
      <c r="R1522" s="43"/>
      <c r="S1522" s="43"/>
      <c r="T1522" s="43"/>
      <c r="U1522" s="43"/>
      <c r="V1522" s="43"/>
      <c r="W1522" s="43"/>
      <c r="X1522" s="43"/>
      <c r="Y1522" s="43"/>
      <c r="Z1522" s="43"/>
    </row>
    <row r="1523" spans="15:26" x14ac:dyDescent="0.25">
      <c r="O1523" s="43"/>
      <c r="P1523" s="43"/>
      <c r="Q1523" s="43"/>
      <c r="R1523" s="43"/>
      <c r="S1523" s="43"/>
      <c r="T1523" s="43"/>
      <c r="U1523" s="43"/>
      <c r="V1523" s="43"/>
      <c r="W1523" s="43"/>
      <c r="X1523" s="43"/>
      <c r="Y1523" s="43"/>
      <c r="Z1523" s="43"/>
    </row>
    <row r="1524" spans="15:26" x14ac:dyDescent="0.25">
      <c r="O1524" s="43"/>
      <c r="P1524" s="43"/>
      <c r="Q1524" s="43"/>
      <c r="R1524" s="43"/>
      <c r="S1524" s="43"/>
      <c r="T1524" s="43"/>
      <c r="U1524" s="43"/>
      <c r="V1524" s="43"/>
      <c r="W1524" s="43"/>
      <c r="X1524" s="43"/>
      <c r="Y1524" s="43"/>
      <c r="Z1524" s="43"/>
    </row>
    <row r="1525" spans="15:26" x14ac:dyDescent="0.25">
      <c r="O1525" s="43"/>
      <c r="P1525" s="43"/>
      <c r="Q1525" s="43"/>
      <c r="R1525" s="43"/>
      <c r="S1525" s="43"/>
      <c r="T1525" s="43"/>
      <c r="U1525" s="43"/>
      <c r="V1525" s="43"/>
      <c r="W1525" s="43"/>
      <c r="X1525" s="43"/>
      <c r="Y1525" s="43"/>
      <c r="Z1525" s="43"/>
    </row>
    <row r="1526" spans="15:26" x14ac:dyDescent="0.25">
      <c r="O1526" s="43"/>
      <c r="P1526" s="43"/>
      <c r="Q1526" s="43"/>
      <c r="R1526" s="43"/>
      <c r="S1526" s="43"/>
      <c r="T1526" s="43"/>
      <c r="U1526" s="43"/>
      <c r="V1526" s="43"/>
      <c r="W1526" s="43"/>
      <c r="X1526" s="43"/>
      <c r="Y1526" s="43"/>
      <c r="Z1526" s="43"/>
    </row>
    <row r="1527" spans="15:26" x14ac:dyDescent="0.25">
      <c r="O1527" s="43"/>
      <c r="P1527" s="43"/>
      <c r="Q1527" s="43"/>
      <c r="R1527" s="43"/>
      <c r="S1527" s="43"/>
      <c r="T1527" s="43"/>
      <c r="U1527" s="43"/>
      <c r="V1527" s="43"/>
      <c r="W1527" s="43"/>
      <c r="X1527" s="43"/>
      <c r="Y1527" s="43"/>
      <c r="Z1527" s="43"/>
    </row>
    <row r="1528" spans="15:26" x14ac:dyDescent="0.25">
      <c r="O1528" s="43"/>
      <c r="P1528" s="43"/>
      <c r="Q1528" s="43"/>
      <c r="R1528" s="43"/>
      <c r="S1528" s="43"/>
      <c r="T1528" s="43"/>
      <c r="U1528" s="43"/>
      <c r="V1528" s="43"/>
      <c r="W1528" s="43"/>
      <c r="X1528" s="43"/>
      <c r="Y1528" s="43"/>
      <c r="Z1528" s="43"/>
    </row>
    <row r="1529" spans="15:26" x14ac:dyDescent="0.25">
      <c r="O1529" s="43"/>
      <c r="P1529" s="43"/>
      <c r="Q1529" s="43"/>
      <c r="R1529" s="43"/>
      <c r="S1529" s="43"/>
      <c r="T1529" s="43"/>
      <c r="U1529" s="43"/>
      <c r="V1529" s="43"/>
      <c r="W1529" s="43"/>
      <c r="X1529" s="43"/>
      <c r="Y1529" s="43"/>
      <c r="Z1529" s="43"/>
    </row>
    <row r="1530" spans="15:26" x14ac:dyDescent="0.25">
      <c r="O1530" s="43"/>
      <c r="P1530" s="43"/>
      <c r="Q1530" s="43"/>
      <c r="R1530" s="43"/>
      <c r="S1530" s="43"/>
      <c r="T1530" s="43"/>
      <c r="U1530" s="43"/>
      <c r="V1530" s="43"/>
      <c r="W1530" s="43"/>
      <c r="X1530" s="43"/>
      <c r="Y1530" s="43"/>
      <c r="Z1530" s="43"/>
    </row>
    <row r="1531" spans="15:26" x14ac:dyDescent="0.25">
      <c r="O1531" s="43"/>
      <c r="P1531" s="43"/>
      <c r="Q1531" s="43"/>
      <c r="R1531" s="43"/>
      <c r="S1531" s="43"/>
      <c r="T1531" s="43"/>
      <c r="U1531" s="43"/>
      <c r="V1531" s="43"/>
      <c r="W1531" s="43"/>
      <c r="X1531" s="43"/>
      <c r="Y1531" s="43"/>
      <c r="Z1531" s="43"/>
    </row>
    <row r="1532" spans="15:26" x14ac:dyDescent="0.25">
      <c r="O1532" s="43"/>
      <c r="P1532" s="43"/>
      <c r="Q1532" s="43"/>
      <c r="R1532" s="43"/>
      <c r="S1532" s="43"/>
      <c r="T1532" s="43"/>
      <c r="U1532" s="43"/>
      <c r="V1532" s="43"/>
      <c r="W1532" s="43"/>
      <c r="X1532" s="43"/>
      <c r="Y1532" s="43"/>
      <c r="Z1532" s="43"/>
    </row>
    <row r="1533" spans="15:26" x14ac:dyDescent="0.25">
      <c r="O1533" s="43"/>
      <c r="P1533" s="43"/>
      <c r="Q1533" s="43"/>
      <c r="R1533" s="43"/>
      <c r="S1533" s="43"/>
      <c r="T1533" s="43"/>
      <c r="U1533" s="43"/>
      <c r="V1533" s="43"/>
      <c r="W1533" s="43"/>
      <c r="X1533" s="43"/>
      <c r="Y1533" s="43"/>
      <c r="Z1533" s="43"/>
    </row>
    <row r="1534" spans="15:26" x14ac:dyDescent="0.25">
      <c r="O1534" s="43"/>
      <c r="P1534" s="43"/>
      <c r="Q1534" s="43"/>
      <c r="R1534" s="43"/>
      <c r="S1534" s="43"/>
      <c r="T1534" s="43"/>
      <c r="U1534" s="43"/>
      <c r="V1534" s="43"/>
      <c r="W1534" s="43"/>
      <c r="X1534" s="43"/>
      <c r="Y1534" s="43"/>
      <c r="Z1534" s="43"/>
    </row>
    <row r="1535" spans="15:26" x14ac:dyDescent="0.25">
      <c r="O1535" s="43"/>
      <c r="P1535" s="43"/>
      <c r="Q1535" s="43"/>
      <c r="R1535" s="43"/>
      <c r="S1535" s="43"/>
      <c r="T1535" s="43"/>
      <c r="U1535" s="43"/>
      <c r="V1535" s="43"/>
      <c r="W1535" s="43"/>
      <c r="X1535" s="43"/>
      <c r="Y1535" s="43"/>
      <c r="Z1535" s="43"/>
    </row>
    <row r="1536" spans="15:26" x14ac:dyDescent="0.25">
      <c r="O1536" s="43"/>
      <c r="P1536" s="43"/>
      <c r="Q1536" s="43"/>
      <c r="R1536" s="43"/>
      <c r="S1536" s="43"/>
      <c r="T1536" s="43"/>
      <c r="U1536" s="43"/>
      <c r="V1536" s="43"/>
      <c r="W1536" s="43"/>
      <c r="X1536" s="43"/>
      <c r="Y1536" s="43"/>
      <c r="Z1536" s="43"/>
    </row>
    <row r="1537" spans="15:26" x14ac:dyDescent="0.25">
      <c r="O1537" s="43"/>
      <c r="P1537" s="43"/>
      <c r="Q1537" s="43"/>
      <c r="R1537" s="43"/>
      <c r="S1537" s="43"/>
      <c r="T1537" s="43"/>
      <c r="U1537" s="43"/>
      <c r="V1537" s="43"/>
      <c r="W1537" s="43"/>
      <c r="X1537" s="43"/>
      <c r="Y1537" s="43"/>
      <c r="Z1537" s="43"/>
    </row>
    <row r="1538" spans="15:26" x14ac:dyDescent="0.25">
      <c r="O1538" s="43"/>
      <c r="P1538" s="43"/>
      <c r="Q1538" s="43"/>
      <c r="R1538" s="43"/>
      <c r="S1538" s="43"/>
      <c r="T1538" s="43"/>
      <c r="U1538" s="43"/>
      <c r="V1538" s="43"/>
      <c r="W1538" s="43"/>
      <c r="X1538" s="43"/>
      <c r="Y1538" s="43"/>
      <c r="Z1538" s="43"/>
    </row>
    <row r="1539" spans="15:26" x14ac:dyDescent="0.25">
      <c r="O1539" s="43"/>
      <c r="P1539" s="43"/>
      <c r="Q1539" s="43"/>
      <c r="R1539" s="43"/>
      <c r="S1539" s="43"/>
      <c r="T1539" s="43"/>
      <c r="U1539" s="43"/>
      <c r="V1539" s="43"/>
      <c r="W1539" s="43"/>
      <c r="X1539" s="43"/>
      <c r="Y1539" s="43"/>
      <c r="Z1539" s="43"/>
    </row>
    <row r="1540" spans="15:26" x14ac:dyDescent="0.25">
      <c r="O1540" s="43"/>
      <c r="P1540" s="43"/>
      <c r="Q1540" s="43"/>
      <c r="R1540" s="43"/>
      <c r="S1540" s="43"/>
      <c r="T1540" s="43"/>
      <c r="U1540" s="43"/>
      <c r="V1540" s="43"/>
      <c r="W1540" s="43"/>
      <c r="X1540" s="43"/>
      <c r="Y1540" s="43"/>
      <c r="Z1540" s="43"/>
    </row>
    <row r="1541" spans="15:26" x14ac:dyDescent="0.25">
      <c r="O1541" s="43"/>
      <c r="P1541" s="43"/>
      <c r="Q1541" s="43"/>
      <c r="R1541" s="43"/>
      <c r="S1541" s="43"/>
      <c r="T1541" s="43"/>
      <c r="U1541" s="43"/>
      <c r="V1541" s="43"/>
      <c r="W1541" s="43"/>
      <c r="X1541" s="43"/>
      <c r="Y1541" s="43"/>
      <c r="Z1541" s="43"/>
    </row>
    <row r="1542" spans="15:26" x14ac:dyDescent="0.25">
      <c r="O1542" s="43"/>
      <c r="P1542" s="43"/>
      <c r="Q1542" s="43"/>
      <c r="R1542" s="43"/>
      <c r="S1542" s="43"/>
      <c r="T1542" s="43"/>
      <c r="U1542" s="43"/>
      <c r="V1542" s="43"/>
      <c r="W1542" s="43"/>
      <c r="X1542" s="43"/>
      <c r="Y1542" s="43"/>
      <c r="Z1542" s="43"/>
    </row>
    <row r="1543" spans="15:26" x14ac:dyDescent="0.25">
      <c r="O1543" s="43"/>
      <c r="P1543" s="43"/>
      <c r="Q1543" s="43"/>
      <c r="R1543" s="43"/>
      <c r="S1543" s="43"/>
      <c r="T1543" s="43"/>
      <c r="U1543" s="43"/>
      <c r="V1543" s="43"/>
      <c r="W1543" s="43"/>
      <c r="X1543" s="43"/>
      <c r="Y1543" s="43"/>
      <c r="Z1543" s="43"/>
    </row>
    <row r="1544" spans="15:26" x14ac:dyDescent="0.25">
      <c r="O1544" s="43"/>
      <c r="P1544" s="43"/>
      <c r="Q1544" s="43"/>
      <c r="R1544" s="43"/>
      <c r="S1544" s="43"/>
      <c r="T1544" s="43"/>
      <c r="U1544" s="43"/>
      <c r="V1544" s="43"/>
      <c r="W1544" s="43"/>
      <c r="X1544" s="43"/>
      <c r="Y1544" s="43"/>
      <c r="Z1544" s="43"/>
    </row>
    <row r="1545" spans="15:26" x14ac:dyDescent="0.25">
      <c r="O1545" s="43"/>
      <c r="P1545" s="43"/>
      <c r="Q1545" s="43"/>
      <c r="R1545" s="43"/>
      <c r="S1545" s="43"/>
      <c r="T1545" s="43"/>
      <c r="U1545" s="43"/>
      <c r="V1545" s="43"/>
      <c r="W1545" s="43"/>
      <c r="X1545" s="43"/>
      <c r="Y1545" s="43"/>
      <c r="Z1545" s="43"/>
    </row>
    <row r="1546" spans="15:26" x14ac:dyDescent="0.25">
      <c r="O1546" s="43"/>
      <c r="P1546" s="43"/>
      <c r="Q1546" s="43"/>
      <c r="R1546" s="43"/>
      <c r="S1546" s="43"/>
      <c r="T1546" s="43"/>
      <c r="U1546" s="43"/>
      <c r="V1546" s="43"/>
      <c r="W1546" s="43"/>
      <c r="X1546" s="43"/>
      <c r="Y1546" s="43"/>
      <c r="Z1546" s="43"/>
    </row>
    <row r="1547" spans="15:26" x14ac:dyDescent="0.25">
      <c r="O1547" s="43"/>
      <c r="P1547" s="43"/>
      <c r="Q1547" s="43"/>
      <c r="R1547" s="43"/>
      <c r="S1547" s="43"/>
      <c r="T1547" s="43"/>
      <c r="U1547" s="43"/>
      <c r="V1547" s="43"/>
      <c r="W1547" s="43"/>
      <c r="X1547" s="43"/>
      <c r="Y1547" s="43"/>
      <c r="Z1547" s="43"/>
    </row>
    <row r="1548" spans="15:26" x14ac:dyDescent="0.25">
      <c r="O1548" s="43"/>
      <c r="P1548" s="43"/>
      <c r="Q1548" s="43"/>
      <c r="R1548" s="43"/>
      <c r="S1548" s="43"/>
      <c r="T1548" s="43"/>
      <c r="U1548" s="43"/>
      <c r="V1548" s="43"/>
      <c r="W1548" s="43"/>
      <c r="X1548" s="43"/>
      <c r="Y1548" s="43"/>
      <c r="Z1548" s="43"/>
    </row>
    <row r="1549" spans="15:26" x14ac:dyDescent="0.25">
      <c r="O1549" s="43"/>
      <c r="P1549" s="43"/>
      <c r="Q1549" s="43"/>
      <c r="R1549" s="43"/>
      <c r="S1549" s="43"/>
      <c r="T1549" s="43"/>
      <c r="U1549" s="43"/>
      <c r="V1549" s="43"/>
      <c r="W1549" s="43"/>
      <c r="X1549" s="43"/>
      <c r="Y1549" s="43"/>
      <c r="Z1549" s="43"/>
    </row>
    <row r="1550" spans="15:26" x14ac:dyDescent="0.25">
      <c r="O1550" s="43"/>
      <c r="P1550" s="43"/>
      <c r="Q1550" s="43"/>
      <c r="R1550" s="43"/>
      <c r="S1550" s="43"/>
      <c r="T1550" s="43"/>
      <c r="U1550" s="43"/>
      <c r="V1550" s="43"/>
      <c r="W1550" s="43"/>
      <c r="X1550" s="43"/>
      <c r="Y1550" s="43"/>
      <c r="Z1550" s="43"/>
    </row>
    <row r="1551" spans="15:26" x14ac:dyDescent="0.25">
      <c r="O1551" s="43"/>
      <c r="P1551" s="43"/>
      <c r="Q1551" s="43"/>
      <c r="R1551" s="43"/>
      <c r="S1551" s="43"/>
      <c r="T1551" s="43"/>
      <c r="U1551" s="43"/>
      <c r="V1551" s="43"/>
      <c r="W1551" s="43"/>
      <c r="X1551" s="43"/>
      <c r="Y1551" s="43"/>
      <c r="Z1551" s="43"/>
    </row>
    <row r="1552" spans="15:26" x14ac:dyDescent="0.25">
      <c r="O1552" s="43"/>
      <c r="P1552" s="43"/>
      <c r="Q1552" s="43"/>
      <c r="R1552" s="43"/>
      <c r="S1552" s="43"/>
      <c r="T1552" s="43"/>
      <c r="U1552" s="43"/>
      <c r="V1552" s="43"/>
      <c r="W1552" s="43"/>
      <c r="X1552" s="43"/>
      <c r="Y1552" s="43"/>
      <c r="Z1552" s="43"/>
    </row>
    <row r="1553" spans="15:26" x14ac:dyDescent="0.25">
      <c r="O1553" s="43"/>
      <c r="P1553" s="43"/>
      <c r="Q1553" s="43"/>
      <c r="R1553" s="43"/>
      <c r="S1553" s="43"/>
      <c r="T1553" s="43"/>
      <c r="U1553" s="43"/>
      <c r="V1553" s="43"/>
      <c r="W1553" s="43"/>
      <c r="X1553" s="43"/>
      <c r="Y1553" s="43"/>
      <c r="Z1553" s="43"/>
    </row>
    <row r="1554" spans="15:26" x14ac:dyDescent="0.25">
      <c r="O1554" s="43"/>
      <c r="P1554" s="43"/>
      <c r="Q1554" s="43"/>
      <c r="R1554" s="43"/>
      <c r="S1554" s="43"/>
      <c r="T1554" s="43"/>
      <c r="U1554" s="43"/>
      <c r="V1554" s="43"/>
      <c r="W1554" s="43"/>
      <c r="X1554" s="43"/>
      <c r="Y1554" s="43"/>
      <c r="Z1554" s="43"/>
    </row>
    <row r="1555" spans="15:26" x14ac:dyDescent="0.25">
      <c r="O1555" s="43"/>
      <c r="P1555" s="43"/>
      <c r="Q1555" s="43"/>
      <c r="R1555" s="43"/>
      <c r="S1555" s="43"/>
      <c r="T1555" s="43"/>
      <c r="U1555" s="43"/>
      <c r="V1555" s="43"/>
      <c r="W1555" s="43"/>
      <c r="X1555" s="43"/>
      <c r="Y1555" s="43"/>
      <c r="Z1555" s="43"/>
    </row>
    <row r="1556" spans="15:26" x14ac:dyDescent="0.25">
      <c r="O1556" s="43"/>
      <c r="P1556" s="43"/>
      <c r="Q1556" s="43"/>
      <c r="R1556" s="43"/>
      <c r="S1556" s="43"/>
      <c r="T1556" s="43"/>
      <c r="U1556" s="43"/>
      <c r="V1556" s="43"/>
      <c r="W1556" s="43"/>
      <c r="X1556" s="43"/>
      <c r="Y1556" s="43"/>
      <c r="Z1556" s="43"/>
    </row>
    <row r="1557" spans="15:26" x14ac:dyDescent="0.25">
      <c r="O1557" s="43"/>
      <c r="P1557" s="43"/>
      <c r="Q1557" s="43"/>
      <c r="R1557" s="43"/>
      <c r="S1557" s="43"/>
      <c r="T1557" s="43"/>
      <c r="U1557" s="43"/>
      <c r="V1557" s="43"/>
      <c r="W1557" s="43"/>
      <c r="X1557" s="43"/>
      <c r="Y1557" s="43"/>
      <c r="Z1557" s="43"/>
    </row>
    <row r="1558" spans="15:26" x14ac:dyDescent="0.25">
      <c r="O1558" s="43"/>
      <c r="P1558" s="43"/>
      <c r="Q1558" s="43"/>
      <c r="R1558" s="43"/>
      <c r="S1558" s="43"/>
      <c r="T1558" s="43"/>
      <c r="U1558" s="43"/>
      <c r="V1558" s="43"/>
      <c r="W1558" s="43"/>
      <c r="X1558" s="43"/>
      <c r="Y1558" s="43"/>
      <c r="Z1558" s="43"/>
    </row>
    <row r="1559" spans="15:26" x14ac:dyDescent="0.25">
      <c r="O1559" s="43"/>
      <c r="P1559" s="43"/>
      <c r="Q1559" s="43"/>
      <c r="R1559" s="43"/>
      <c r="S1559" s="43"/>
      <c r="T1559" s="43"/>
      <c r="U1559" s="43"/>
      <c r="V1559" s="43"/>
      <c r="W1559" s="43"/>
      <c r="X1559" s="43"/>
      <c r="Y1559" s="43"/>
      <c r="Z1559" s="43"/>
    </row>
    <row r="1560" spans="15:26" x14ac:dyDescent="0.25">
      <c r="O1560" s="43"/>
      <c r="P1560" s="43"/>
      <c r="Q1560" s="43"/>
      <c r="R1560" s="43"/>
      <c r="S1560" s="43"/>
      <c r="T1560" s="43"/>
      <c r="U1560" s="43"/>
      <c r="V1560" s="43"/>
      <c r="W1560" s="43"/>
      <c r="X1560" s="43"/>
      <c r="Y1560" s="43"/>
      <c r="Z1560" s="43"/>
    </row>
    <row r="1561" spans="15:26" x14ac:dyDescent="0.25">
      <c r="O1561" s="43"/>
      <c r="P1561" s="43"/>
      <c r="Q1561" s="43"/>
      <c r="R1561" s="43"/>
      <c r="S1561" s="43"/>
      <c r="T1561" s="43"/>
      <c r="U1561" s="43"/>
      <c r="V1561" s="43"/>
      <c r="W1561" s="43"/>
      <c r="X1561" s="43"/>
      <c r="Y1561" s="43"/>
      <c r="Z1561" s="43"/>
    </row>
    <row r="1562" spans="15:26" x14ac:dyDescent="0.25">
      <c r="O1562" s="43"/>
      <c r="P1562" s="43"/>
      <c r="Q1562" s="43"/>
      <c r="R1562" s="43"/>
      <c r="S1562" s="43"/>
      <c r="T1562" s="43"/>
      <c r="U1562" s="43"/>
      <c r="V1562" s="43"/>
      <c r="W1562" s="43"/>
      <c r="X1562" s="43"/>
      <c r="Y1562" s="43"/>
      <c r="Z1562" s="43"/>
    </row>
    <row r="1563" spans="15:26" x14ac:dyDescent="0.25">
      <c r="O1563" s="43"/>
      <c r="P1563" s="43"/>
      <c r="Q1563" s="43"/>
      <c r="R1563" s="43"/>
      <c r="S1563" s="43"/>
      <c r="T1563" s="43"/>
      <c r="U1563" s="43"/>
      <c r="V1563" s="43"/>
      <c r="W1563" s="43"/>
      <c r="X1563" s="43"/>
      <c r="Y1563" s="43"/>
      <c r="Z1563" s="43"/>
    </row>
    <row r="1564" spans="15:26" x14ac:dyDescent="0.25">
      <c r="O1564" s="43"/>
      <c r="P1564" s="43"/>
      <c r="Q1564" s="43"/>
      <c r="R1564" s="43"/>
      <c r="S1564" s="43"/>
      <c r="T1564" s="43"/>
      <c r="U1564" s="43"/>
      <c r="V1564" s="43"/>
      <c r="W1564" s="43"/>
      <c r="X1564" s="43"/>
      <c r="Y1564" s="43"/>
      <c r="Z1564" s="43"/>
    </row>
    <row r="1565" spans="15:26" x14ac:dyDescent="0.25">
      <c r="O1565" s="43"/>
      <c r="P1565" s="43"/>
      <c r="Q1565" s="43"/>
      <c r="R1565" s="43"/>
      <c r="S1565" s="43"/>
      <c r="T1565" s="43"/>
      <c r="U1565" s="43"/>
      <c r="V1565" s="43"/>
      <c r="W1565" s="43"/>
      <c r="X1565" s="43"/>
      <c r="Y1565" s="43"/>
      <c r="Z1565" s="43"/>
    </row>
    <row r="1566" spans="15:26" x14ac:dyDescent="0.25">
      <c r="O1566" s="43"/>
      <c r="P1566" s="43"/>
      <c r="Q1566" s="43"/>
      <c r="R1566" s="43"/>
      <c r="S1566" s="43"/>
      <c r="T1566" s="43"/>
      <c r="U1566" s="43"/>
      <c r="V1566" s="43"/>
      <c r="W1566" s="43"/>
      <c r="X1566" s="43"/>
      <c r="Y1566" s="43"/>
      <c r="Z1566" s="43"/>
    </row>
    <row r="1567" spans="15:26" x14ac:dyDescent="0.25">
      <c r="O1567" s="43"/>
      <c r="P1567" s="43"/>
      <c r="Q1567" s="43"/>
      <c r="R1567" s="43"/>
      <c r="S1567" s="43"/>
      <c r="T1567" s="43"/>
      <c r="U1567" s="43"/>
      <c r="V1567" s="43"/>
      <c r="W1567" s="43"/>
      <c r="X1567" s="43"/>
      <c r="Y1567" s="43"/>
      <c r="Z1567" s="43"/>
    </row>
    <row r="1568" spans="15:26" x14ac:dyDescent="0.25">
      <c r="O1568" s="43"/>
      <c r="P1568" s="43"/>
      <c r="Q1568" s="43"/>
      <c r="R1568" s="43"/>
      <c r="S1568" s="43"/>
      <c r="T1568" s="43"/>
      <c r="U1568" s="43"/>
      <c r="V1568" s="43"/>
      <c r="W1568" s="43"/>
      <c r="X1568" s="43"/>
      <c r="Y1568" s="43"/>
      <c r="Z1568" s="43"/>
    </row>
    <row r="1569" spans="15:26" x14ac:dyDescent="0.25">
      <c r="O1569" s="43"/>
      <c r="P1569" s="43"/>
      <c r="Q1569" s="43"/>
      <c r="R1569" s="43"/>
      <c r="S1569" s="43"/>
      <c r="T1569" s="43"/>
      <c r="U1569" s="43"/>
      <c r="V1569" s="43"/>
      <c r="W1569" s="43"/>
      <c r="X1569" s="43"/>
      <c r="Y1569" s="43"/>
      <c r="Z1569" s="43"/>
    </row>
    <row r="1570" spans="15:26" x14ac:dyDescent="0.25">
      <c r="O1570" s="43"/>
      <c r="P1570" s="43"/>
      <c r="Q1570" s="43"/>
      <c r="R1570" s="43"/>
      <c r="S1570" s="43"/>
      <c r="T1570" s="43"/>
      <c r="U1570" s="43"/>
      <c r="V1570" s="43"/>
      <c r="W1570" s="43"/>
      <c r="X1570" s="43"/>
      <c r="Y1570" s="43"/>
      <c r="Z1570" s="43"/>
    </row>
    <row r="1571" spans="15:26" x14ac:dyDescent="0.25">
      <c r="O1571" s="43"/>
      <c r="P1571" s="43"/>
      <c r="Q1571" s="43"/>
      <c r="R1571" s="43"/>
      <c r="S1571" s="43"/>
      <c r="T1571" s="43"/>
      <c r="U1571" s="43"/>
      <c r="V1571" s="43"/>
      <c r="W1571" s="43"/>
      <c r="X1571" s="43"/>
      <c r="Y1571" s="43"/>
      <c r="Z1571" s="43"/>
    </row>
    <row r="1572" spans="15:26" x14ac:dyDescent="0.25">
      <c r="O1572" s="43"/>
      <c r="P1572" s="43"/>
      <c r="Q1572" s="43"/>
      <c r="R1572" s="43"/>
      <c r="S1572" s="43"/>
      <c r="T1572" s="43"/>
      <c r="U1572" s="43"/>
      <c r="V1572" s="43"/>
      <c r="W1572" s="43"/>
      <c r="X1572" s="43"/>
      <c r="Y1572" s="43"/>
      <c r="Z1572" s="43"/>
    </row>
    <row r="1573" spans="15:26" x14ac:dyDescent="0.25">
      <c r="O1573" s="43"/>
      <c r="P1573" s="43"/>
      <c r="Q1573" s="43"/>
      <c r="R1573" s="43"/>
      <c r="S1573" s="43"/>
      <c r="T1573" s="43"/>
      <c r="U1573" s="43"/>
      <c r="V1573" s="43"/>
      <c r="W1573" s="43"/>
      <c r="X1573" s="43"/>
      <c r="Y1573" s="43"/>
      <c r="Z1573" s="43"/>
    </row>
    <row r="1574" spans="15:26" x14ac:dyDescent="0.25">
      <c r="O1574" s="43"/>
      <c r="P1574" s="43"/>
      <c r="Q1574" s="43"/>
      <c r="R1574" s="43"/>
      <c r="S1574" s="43"/>
      <c r="T1574" s="43"/>
      <c r="U1574" s="43"/>
      <c r="V1574" s="43"/>
      <c r="W1574" s="43"/>
      <c r="X1574" s="43"/>
      <c r="Y1574" s="43"/>
      <c r="Z1574" s="43"/>
    </row>
    <row r="1575" spans="15:26" x14ac:dyDescent="0.25">
      <c r="O1575" s="43"/>
      <c r="P1575" s="43"/>
      <c r="Q1575" s="43"/>
      <c r="R1575" s="43"/>
      <c r="S1575" s="43"/>
      <c r="T1575" s="43"/>
      <c r="U1575" s="43"/>
      <c r="V1575" s="43"/>
      <c r="W1575" s="43"/>
      <c r="X1575" s="43"/>
      <c r="Y1575" s="43"/>
      <c r="Z1575" s="43"/>
    </row>
    <row r="1576" spans="15:26" x14ac:dyDescent="0.25">
      <c r="O1576" s="43"/>
      <c r="P1576" s="43"/>
      <c r="Q1576" s="43"/>
      <c r="R1576" s="43"/>
      <c r="S1576" s="43"/>
      <c r="T1576" s="43"/>
      <c r="U1576" s="43"/>
      <c r="V1576" s="43"/>
      <c r="W1576" s="43"/>
      <c r="X1576" s="43"/>
      <c r="Y1576" s="43"/>
      <c r="Z1576" s="43"/>
    </row>
    <row r="1577" spans="15:26" x14ac:dyDescent="0.25">
      <c r="O1577" s="43"/>
      <c r="P1577" s="43"/>
      <c r="Q1577" s="43"/>
      <c r="R1577" s="43"/>
      <c r="S1577" s="43"/>
      <c r="T1577" s="43"/>
      <c r="U1577" s="43"/>
      <c r="V1577" s="43"/>
      <c r="W1577" s="43"/>
      <c r="X1577" s="43"/>
      <c r="Y1577" s="43"/>
      <c r="Z1577" s="43"/>
    </row>
    <row r="1578" spans="15:26" x14ac:dyDescent="0.25">
      <c r="O1578" s="43"/>
      <c r="P1578" s="43"/>
      <c r="Q1578" s="43"/>
      <c r="R1578" s="43"/>
      <c r="S1578" s="43"/>
      <c r="T1578" s="43"/>
      <c r="U1578" s="43"/>
      <c r="V1578" s="43"/>
      <c r="W1578" s="43"/>
      <c r="X1578" s="43"/>
      <c r="Y1578" s="43"/>
      <c r="Z1578" s="43"/>
    </row>
    <row r="1579" spans="15:26" x14ac:dyDescent="0.25">
      <c r="O1579" s="43"/>
      <c r="P1579" s="43"/>
      <c r="Q1579" s="43"/>
      <c r="R1579" s="43"/>
      <c r="S1579" s="43"/>
      <c r="T1579" s="43"/>
      <c r="U1579" s="43"/>
      <c r="V1579" s="43"/>
      <c r="W1579" s="43"/>
      <c r="X1579" s="43"/>
      <c r="Y1579" s="43"/>
      <c r="Z1579" s="43"/>
    </row>
    <row r="1580" spans="15:26" x14ac:dyDescent="0.25">
      <c r="O1580" s="43"/>
      <c r="P1580" s="43"/>
      <c r="Q1580" s="43"/>
      <c r="R1580" s="43"/>
      <c r="S1580" s="43"/>
      <c r="T1580" s="43"/>
      <c r="U1580" s="43"/>
      <c r="V1580" s="43"/>
      <c r="W1580" s="43"/>
      <c r="X1580" s="43"/>
      <c r="Y1580" s="43"/>
      <c r="Z1580" s="43"/>
    </row>
    <row r="1581" spans="15:26" x14ac:dyDescent="0.25">
      <c r="O1581" s="43"/>
      <c r="P1581" s="43"/>
      <c r="Q1581" s="43"/>
      <c r="R1581" s="43"/>
      <c r="S1581" s="43"/>
      <c r="T1581" s="43"/>
      <c r="U1581" s="43"/>
      <c r="V1581" s="43"/>
      <c r="W1581" s="43"/>
      <c r="X1581" s="43"/>
      <c r="Y1581" s="43"/>
      <c r="Z1581" s="43"/>
    </row>
    <row r="1582" spans="15:26" x14ac:dyDescent="0.25">
      <c r="O1582" s="43"/>
      <c r="P1582" s="43"/>
      <c r="Q1582" s="43"/>
      <c r="R1582" s="43"/>
      <c r="S1582" s="43"/>
      <c r="T1582" s="43"/>
      <c r="U1582" s="43"/>
      <c r="V1582" s="43"/>
      <c r="W1582" s="43"/>
      <c r="X1582" s="43"/>
      <c r="Y1582" s="43"/>
      <c r="Z1582" s="43"/>
    </row>
    <row r="1583" spans="15:26" x14ac:dyDescent="0.25">
      <c r="O1583" s="43"/>
      <c r="P1583" s="43"/>
      <c r="Q1583" s="43"/>
      <c r="R1583" s="43"/>
      <c r="S1583" s="43"/>
      <c r="T1583" s="43"/>
      <c r="U1583" s="43"/>
      <c r="V1583" s="43"/>
      <c r="W1583" s="43"/>
      <c r="X1583" s="43"/>
      <c r="Y1583" s="43"/>
      <c r="Z1583" s="43"/>
    </row>
    <row r="1584" spans="15:26" x14ac:dyDescent="0.25">
      <c r="O1584" s="43"/>
      <c r="P1584" s="43"/>
      <c r="Q1584" s="43"/>
      <c r="R1584" s="43"/>
      <c r="S1584" s="43"/>
      <c r="T1584" s="43"/>
      <c r="U1584" s="43"/>
      <c r="V1584" s="43"/>
      <c r="W1584" s="43"/>
      <c r="X1584" s="43"/>
      <c r="Y1584" s="43"/>
      <c r="Z1584" s="43"/>
    </row>
    <row r="1585" spans="15:26" x14ac:dyDescent="0.25">
      <c r="O1585" s="43"/>
      <c r="P1585" s="43"/>
      <c r="Q1585" s="43"/>
      <c r="R1585" s="43"/>
      <c r="S1585" s="43"/>
      <c r="T1585" s="43"/>
      <c r="U1585" s="43"/>
      <c r="V1585" s="43"/>
      <c r="W1585" s="43"/>
      <c r="X1585" s="43"/>
      <c r="Y1585" s="43"/>
      <c r="Z1585" s="43"/>
    </row>
    <row r="1586" spans="15:26" x14ac:dyDescent="0.25">
      <c r="O1586" s="43"/>
      <c r="P1586" s="43"/>
      <c r="Q1586" s="43"/>
      <c r="R1586" s="43"/>
      <c r="S1586" s="43"/>
      <c r="T1586" s="43"/>
      <c r="U1586" s="43"/>
      <c r="V1586" s="43"/>
      <c r="W1586" s="43"/>
      <c r="X1586" s="43"/>
      <c r="Y1586" s="43"/>
      <c r="Z1586" s="43"/>
    </row>
    <row r="1587" spans="15:26" x14ac:dyDescent="0.25">
      <c r="O1587" s="43"/>
      <c r="P1587" s="43"/>
      <c r="Q1587" s="43"/>
      <c r="R1587" s="43"/>
      <c r="S1587" s="43"/>
      <c r="T1587" s="43"/>
      <c r="U1587" s="43"/>
      <c r="V1587" s="43"/>
      <c r="W1587" s="43"/>
      <c r="X1587" s="43"/>
      <c r="Y1587" s="43"/>
      <c r="Z1587" s="43"/>
    </row>
    <row r="1588" spans="15:26" x14ac:dyDescent="0.25">
      <c r="O1588" s="43"/>
      <c r="P1588" s="43"/>
      <c r="Q1588" s="43"/>
      <c r="R1588" s="43"/>
      <c r="S1588" s="43"/>
      <c r="T1588" s="43"/>
      <c r="U1588" s="43"/>
      <c r="V1588" s="43"/>
      <c r="W1588" s="43"/>
      <c r="X1588" s="43"/>
      <c r="Y1588" s="43"/>
      <c r="Z1588" s="43"/>
    </row>
    <row r="1589" spans="15:26" x14ac:dyDescent="0.25">
      <c r="O1589" s="43"/>
      <c r="P1589" s="43"/>
      <c r="Q1589" s="43"/>
      <c r="R1589" s="43"/>
      <c r="S1589" s="43"/>
      <c r="T1589" s="43"/>
      <c r="U1589" s="43"/>
      <c r="V1589" s="43"/>
      <c r="W1589" s="43"/>
      <c r="X1589" s="43"/>
      <c r="Y1589" s="43"/>
      <c r="Z1589" s="43"/>
    </row>
    <row r="1590" spans="15:26" x14ac:dyDescent="0.25">
      <c r="O1590" s="43"/>
      <c r="P1590" s="43"/>
      <c r="Q1590" s="43"/>
      <c r="R1590" s="43"/>
      <c r="S1590" s="43"/>
      <c r="T1590" s="43"/>
      <c r="U1590" s="43"/>
      <c r="V1590" s="43"/>
      <c r="W1590" s="43"/>
      <c r="X1590" s="43"/>
      <c r="Y1590" s="43"/>
      <c r="Z1590" s="43"/>
    </row>
    <row r="1591" spans="15:26" x14ac:dyDescent="0.25">
      <c r="O1591" s="43"/>
      <c r="P1591" s="43"/>
      <c r="Q1591" s="43"/>
      <c r="R1591" s="43"/>
      <c r="S1591" s="43"/>
      <c r="T1591" s="43"/>
      <c r="U1591" s="43"/>
      <c r="V1591" s="43"/>
      <c r="W1591" s="43"/>
      <c r="X1591" s="43"/>
      <c r="Y1591" s="43"/>
      <c r="Z1591" s="43"/>
    </row>
    <row r="1592" spans="15:26" x14ac:dyDescent="0.25">
      <c r="O1592" s="43"/>
      <c r="P1592" s="43"/>
      <c r="Q1592" s="43"/>
      <c r="R1592" s="43"/>
      <c r="S1592" s="43"/>
      <c r="T1592" s="43"/>
      <c r="U1592" s="43"/>
      <c r="V1592" s="43"/>
      <c r="W1592" s="43"/>
      <c r="X1592" s="43"/>
      <c r="Y1592" s="43"/>
      <c r="Z1592" s="43"/>
    </row>
    <row r="1593" spans="15:26" x14ac:dyDescent="0.25">
      <c r="O1593" s="43"/>
      <c r="P1593" s="43"/>
      <c r="Q1593" s="43"/>
      <c r="R1593" s="43"/>
      <c r="S1593" s="43"/>
      <c r="T1593" s="43"/>
      <c r="U1593" s="43"/>
      <c r="V1593" s="43"/>
      <c r="W1593" s="43"/>
      <c r="X1593" s="43"/>
      <c r="Y1593" s="43"/>
      <c r="Z1593" s="43"/>
    </row>
    <row r="1594" spans="15:26" x14ac:dyDescent="0.25">
      <c r="O1594" s="43"/>
      <c r="P1594" s="43"/>
      <c r="Q1594" s="43"/>
      <c r="R1594" s="43"/>
      <c r="S1594" s="43"/>
      <c r="T1594" s="43"/>
      <c r="U1594" s="43"/>
      <c r="V1594" s="43"/>
      <c r="W1594" s="43"/>
      <c r="X1594" s="43"/>
      <c r="Y1594" s="43"/>
      <c r="Z1594" s="43"/>
    </row>
    <row r="1595" spans="15:26" x14ac:dyDescent="0.25">
      <c r="O1595" s="43"/>
      <c r="P1595" s="43"/>
      <c r="Q1595" s="43"/>
      <c r="R1595" s="43"/>
      <c r="S1595" s="43"/>
      <c r="T1595" s="43"/>
      <c r="U1595" s="43"/>
      <c r="V1595" s="43"/>
      <c r="W1595" s="43"/>
      <c r="X1595" s="43"/>
      <c r="Y1595" s="43"/>
      <c r="Z1595" s="43"/>
    </row>
    <row r="1596" spans="15:26" x14ac:dyDescent="0.25">
      <c r="O1596" s="43"/>
      <c r="P1596" s="43"/>
      <c r="Q1596" s="43"/>
      <c r="R1596" s="43"/>
      <c r="S1596" s="43"/>
      <c r="T1596" s="43"/>
      <c r="U1596" s="43"/>
      <c r="V1596" s="43"/>
      <c r="W1596" s="43"/>
      <c r="X1596" s="43"/>
      <c r="Y1596" s="43"/>
      <c r="Z1596" s="43"/>
    </row>
    <row r="1597" spans="15:26" x14ac:dyDescent="0.25">
      <c r="O1597" s="43"/>
      <c r="P1597" s="43"/>
      <c r="Q1597" s="43"/>
      <c r="R1597" s="43"/>
      <c r="S1597" s="43"/>
      <c r="T1597" s="43"/>
      <c r="U1597" s="43"/>
      <c r="V1597" s="43"/>
      <c r="W1597" s="43"/>
      <c r="X1597" s="43"/>
      <c r="Y1597" s="43"/>
      <c r="Z1597" s="43"/>
    </row>
    <row r="1598" spans="15:26" x14ac:dyDescent="0.25">
      <c r="O1598" s="43"/>
      <c r="P1598" s="43"/>
      <c r="Q1598" s="43"/>
      <c r="R1598" s="43"/>
      <c r="S1598" s="43"/>
      <c r="T1598" s="43"/>
      <c r="U1598" s="43"/>
      <c r="V1598" s="43"/>
      <c r="W1598" s="43"/>
      <c r="X1598" s="43"/>
      <c r="Y1598" s="43"/>
      <c r="Z1598" s="43"/>
    </row>
    <row r="1599" spans="15:26" x14ac:dyDescent="0.25">
      <c r="O1599" s="43"/>
      <c r="P1599" s="43"/>
      <c r="Q1599" s="43"/>
      <c r="R1599" s="43"/>
      <c r="S1599" s="43"/>
      <c r="T1599" s="43"/>
      <c r="U1599" s="43"/>
      <c r="V1599" s="43"/>
      <c r="W1599" s="43"/>
      <c r="X1599" s="43"/>
      <c r="Y1599" s="43"/>
      <c r="Z1599" s="43"/>
    </row>
    <row r="1600" spans="15:26" x14ac:dyDescent="0.25">
      <c r="O1600" s="43"/>
      <c r="P1600" s="43"/>
      <c r="Q1600" s="43"/>
      <c r="R1600" s="43"/>
      <c r="S1600" s="43"/>
      <c r="T1600" s="43"/>
      <c r="U1600" s="43"/>
      <c r="V1600" s="43"/>
      <c r="W1600" s="43"/>
      <c r="X1600" s="43"/>
      <c r="Y1600" s="43"/>
      <c r="Z1600" s="43"/>
    </row>
    <row r="1601" spans="15:26" x14ac:dyDescent="0.25">
      <c r="O1601" s="43"/>
      <c r="P1601" s="43"/>
      <c r="Q1601" s="43"/>
      <c r="R1601" s="43"/>
      <c r="S1601" s="43"/>
      <c r="T1601" s="43"/>
      <c r="U1601" s="43"/>
      <c r="V1601" s="43"/>
      <c r="W1601" s="43"/>
      <c r="X1601" s="43"/>
      <c r="Y1601" s="43"/>
      <c r="Z1601" s="43"/>
    </row>
    <row r="1602" spans="15:26" x14ac:dyDescent="0.25">
      <c r="O1602" s="43"/>
      <c r="P1602" s="43"/>
      <c r="Q1602" s="43"/>
      <c r="R1602" s="43"/>
      <c r="S1602" s="43"/>
      <c r="T1602" s="43"/>
      <c r="U1602" s="43"/>
      <c r="V1602" s="43"/>
      <c r="W1602" s="43"/>
      <c r="X1602" s="43"/>
      <c r="Y1602" s="43"/>
      <c r="Z1602" s="43"/>
    </row>
    <row r="1603" spans="15:26" x14ac:dyDescent="0.25">
      <c r="O1603" s="43"/>
      <c r="P1603" s="43"/>
      <c r="Q1603" s="43"/>
      <c r="R1603" s="43"/>
      <c r="S1603" s="43"/>
      <c r="T1603" s="43"/>
      <c r="U1603" s="43"/>
      <c r="V1603" s="43"/>
      <c r="W1603" s="43"/>
      <c r="X1603" s="43"/>
      <c r="Y1603" s="43"/>
      <c r="Z1603" s="43"/>
    </row>
    <row r="1604" spans="15:26" x14ac:dyDescent="0.25">
      <c r="O1604" s="43"/>
      <c r="P1604" s="43"/>
      <c r="Q1604" s="43"/>
      <c r="R1604" s="43"/>
      <c r="S1604" s="43"/>
      <c r="T1604" s="43"/>
      <c r="U1604" s="43"/>
      <c r="V1604" s="43"/>
      <c r="W1604" s="43"/>
      <c r="X1604" s="43"/>
      <c r="Y1604" s="43"/>
      <c r="Z1604" s="43"/>
    </row>
    <row r="1605" spans="15:26" x14ac:dyDescent="0.25">
      <c r="O1605" s="43"/>
      <c r="P1605" s="43"/>
      <c r="Q1605" s="43"/>
      <c r="R1605" s="43"/>
      <c r="S1605" s="43"/>
      <c r="T1605" s="43"/>
      <c r="U1605" s="43"/>
      <c r="V1605" s="43"/>
      <c r="W1605" s="43"/>
      <c r="X1605" s="43"/>
      <c r="Y1605" s="43"/>
      <c r="Z1605" s="43"/>
    </row>
    <row r="1606" spans="15:26" x14ac:dyDescent="0.25">
      <c r="O1606" s="43"/>
      <c r="P1606" s="43"/>
      <c r="Q1606" s="43"/>
      <c r="R1606" s="43"/>
      <c r="S1606" s="43"/>
      <c r="T1606" s="43"/>
      <c r="U1606" s="43"/>
      <c r="V1606" s="43"/>
      <c r="W1606" s="43"/>
      <c r="X1606" s="43"/>
      <c r="Y1606" s="43"/>
      <c r="Z1606" s="43"/>
    </row>
    <row r="1607" spans="15:26" x14ac:dyDescent="0.25">
      <c r="O1607" s="43"/>
      <c r="P1607" s="43"/>
      <c r="Q1607" s="43"/>
      <c r="R1607" s="43"/>
      <c r="S1607" s="43"/>
      <c r="T1607" s="43"/>
      <c r="U1607" s="43"/>
      <c r="V1607" s="43"/>
      <c r="W1607" s="43"/>
      <c r="X1607" s="43"/>
      <c r="Y1607" s="43"/>
      <c r="Z1607" s="43"/>
    </row>
    <row r="1608" spans="15:26" x14ac:dyDescent="0.25">
      <c r="O1608" s="43"/>
      <c r="P1608" s="43"/>
      <c r="Q1608" s="43"/>
      <c r="R1608" s="43"/>
      <c r="S1608" s="43"/>
      <c r="T1608" s="43"/>
      <c r="U1608" s="43"/>
      <c r="V1608" s="43"/>
      <c r="W1608" s="43"/>
      <c r="X1608" s="43"/>
      <c r="Y1608" s="43"/>
      <c r="Z1608" s="43"/>
    </row>
    <row r="1609" spans="15:26" x14ac:dyDescent="0.25">
      <c r="O1609" s="43"/>
      <c r="P1609" s="43"/>
      <c r="Q1609" s="43"/>
      <c r="R1609" s="43"/>
      <c r="S1609" s="43"/>
      <c r="T1609" s="43"/>
      <c r="U1609" s="43"/>
      <c r="V1609" s="43"/>
      <c r="W1609" s="43"/>
      <c r="X1609" s="43"/>
      <c r="Y1609" s="43"/>
      <c r="Z1609" s="43"/>
    </row>
    <row r="1610" spans="15:26" x14ac:dyDescent="0.25">
      <c r="O1610" s="43"/>
      <c r="P1610" s="43"/>
      <c r="Q1610" s="43"/>
      <c r="R1610" s="43"/>
      <c r="S1610" s="43"/>
      <c r="T1610" s="43"/>
      <c r="U1610" s="43"/>
      <c r="V1610" s="43"/>
      <c r="W1610" s="43"/>
      <c r="X1610" s="43"/>
      <c r="Y1610" s="43"/>
      <c r="Z1610" s="43"/>
    </row>
    <row r="1611" spans="15:26" x14ac:dyDescent="0.25">
      <c r="O1611" s="43"/>
      <c r="P1611" s="43"/>
      <c r="Q1611" s="43"/>
      <c r="R1611" s="43"/>
      <c r="S1611" s="43"/>
      <c r="T1611" s="43"/>
      <c r="U1611" s="43"/>
      <c r="V1611" s="43"/>
      <c r="W1611" s="43"/>
      <c r="X1611" s="43"/>
      <c r="Y1611" s="43"/>
      <c r="Z1611" s="43"/>
    </row>
    <row r="1612" spans="15:26" x14ac:dyDescent="0.25">
      <c r="O1612" s="43"/>
      <c r="P1612" s="43"/>
      <c r="Q1612" s="43"/>
      <c r="R1612" s="43"/>
      <c r="S1612" s="43"/>
      <c r="T1612" s="43"/>
      <c r="U1612" s="43"/>
      <c r="V1612" s="43"/>
      <c r="W1612" s="43"/>
      <c r="X1612" s="43"/>
      <c r="Y1612" s="43"/>
      <c r="Z1612" s="43"/>
    </row>
    <row r="1613" spans="15:26" x14ac:dyDescent="0.25">
      <c r="O1613" s="43"/>
      <c r="P1613" s="43"/>
      <c r="Q1613" s="43"/>
      <c r="R1613" s="43"/>
      <c r="S1613" s="43"/>
      <c r="T1613" s="43"/>
      <c r="U1613" s="43"/>
      <c r="V1613" s="43"/>
      <c r="W1613" s="43"/>
      <c r="X1613" s="43"/>
      <c r="Y1613" s="43"/>
      <c r="Z1613" s="43"/>
    </row>
    <row r="1614" spans="15:26" x14ac:dyDescent="0.25">
      <c r="O1614" s="43"/>
      <c r="P1614" s="43"/>
      <c r="Q1614" s="43"/>
      <c r="R1614" s="43"/>
      <c r="S1614" s="43"/>
      <c r="T1614" s="43"/>
      <c r="U1614" s="43"/>
      <c r="V1614" s="43"/>
      <c r="W1614" s="43"/>
      <c r="X1614" s="43"/>
      <c r="Y1614" s="43"/>
      <c r="Z1614" s="43"/>
    </row>
    <row r="1615" spans="15:26" x14ac:dyDescent="0.25">
      <c r="O1615" s="43"/>
      <c r="P1615" s="43"/>
      <c r="Q1615" s="43"/>
      <c r="R1615" s="43"/>
      <c r="S1615" s="43"/>
      <c r="T1615" s="43"/>
      <c r="U1615" s="43"/>
      <c r="V1615" s="43"/>
      <c r="W1615" s="43"/>
      <c r="X1615" s="43"/>
      <c r="Y1615" s="43"/>
      <c r="Z1615" s="43"/>
    </row>
    <row r="1616" spans="15:26" x14ac:dyDescent="0.25">
      <c r="O1616" s="43"/>
      <c r="P1616" s="43"/>
      <c r="Q1616" s="43"/>
      <c r="R1616" s="43"/>
      <c r="S1616" s="43"/>
      <c r="T1616" s="43"/>
      <c r="U1616" s="43"/>
      <c r="V1616" s="43"/>
      <c r="W1616" s="43"/>
      <c r="X1616" s="43"/>
      <c r="Y1616" s="43"/>
      <c r="Z1616" s="43"/>
    </row>
    <row r="1617" spans="15:26" x14ac:dyDescent="0.25">
      <c r="O1617" s="43"/>
      <c r="P1617" s="43"/>
      <c r="Q1617" s="43"/>
      <c r="R1617" s="43"/>
      <c r="S1617" s="43"/>
      <c r="T1617" s="43"/>
      <c r="U1617" s="43"/>
      <c r="V1617" s="43"/>
      <c r="W1617" s="43"/>
      <c r="X1617" s="43"/>
      <c r="Y1617" s="43"/>
      <c r="Z1617" s="43"/>
    </row>
    <row r="1618" spans="15:26" x14ac:dyDescent="0.25">
      <c r="O1618" s="43"/>
      <c r="P1618" s="43"/>
      <c r="Q1618" s="43"/>
      <c r="R1618" s="43"/>
      <c r="S1618" s="43"/>
      <c r="T1618" s="43"/>
      <c r="U1618" s="43"/>
      <c r="V1618" s="43"/>
      <c r="W1618" s="43"/>
      <c r="X1618" s="43"/>
      <c r="Y1618" s="43"/>
      <c r="Z1618" s="43"/>
    </row>
    <row r="1619" spans="15:26" x14ac:dyDescent="0.25">
      <c r="O1619" s="43"/>
      <c r="P1619" s="43"/>
      <c r="Q1619" s="43"/>
      <c r="R1619" s="43"/>
      <c r="S1619" s="43"/>
      <c r="T1619" s="43"/>
      <c r="U1619" s="43"/>
      <c r="V1619" s="43"/>
      <c r="W1619" s="43"/>
      <c r="X1619" s="43"/>
      <c r="Y1619" s="43"/>
      <c r="Z1619" s="43"/>
    </row>
    <row r="1620" spans="15:26" x14ac:dyDescent="0.25">
      <c r="O1620" s="43"/>
      <c r="P1620" s="43"/>
      <c r="Q1620" s="43"/>
      <c r="R1620" s="43"/>
      <c r="S1620" s="43"/>
      <c r="T1620" s="43"/>
      <c r="U1620" s="43"/>
      <c r="V1620" s="43"/>
      <c r="W1620" s="43"/>
      <c r="X1620" s="43"/>
      <c r="Y1620" s="43"/>
      <c r="Z1620" s="43"/>
    </row>
    <row r="1621" spans="15:26" x14ac:dyDescent="0.25">
      <c r="O1621" s="43"/>
      <c r="P1621" s="43"/>
      <c r="Q1621" s="43"/>
      <c r="R1621" s="43"/>
      <c r="S1621" s="43"/>
      <c r="T1621" s="43"/>
      <c r="U1621" s="43"/>
      <c r="V1621" s="43"/>
      <c r="W1621" s="43"/>
      <c r="X1621" s="43"/>
      <c r="Y1621" s="43"/>
      <c r="Z1621" s="43"/>
    </row>
    <row r="1622" spans="15:26" x14ac:dyDescent="0.25">
      <c r="O1622" s="43"/>
      <c r="P1622" s="43"/>
      <c r="Q1622" s="43"/>
      <c r="R1622" s="43"/>
      <c r="S1622" s="43"/>
      <c r="T1622" s="43"/>
      <c r="U1622" s="43"/>
      <c r="V1622" s="43"/>
      <c r="W1622" s="43"/>
      <c r="X1622" s="43"/>
      <c r="Y1622" s="43"/>
      <c r="Z1622" s="43"/>
    </row>
    <row r="1623" spans="15:26" x14ac:dyDescent="0.25">
      <c r="O1623" s="43"/>
      <c r="P1623" s="43"/>
      <c r="Q1623" s="43"/>
      <c r="R1623" s="43"/>
      <c r="S1623" s="43"/>
      <c r="T1623" s="43"/>
      <c r="U1623" s="43"/>
      <c r="V1623" s="43"/>
      <c r="W1623" s="43"/>
      <c r="X1623" s="43"/>
      <c r="Y1623" s="43"/>
      <c r="Z1623" s="43"/>
    </row>
    <row r="1624" spans="15:26" x14ac:dyDescent="0.25">
      <c r="O1624" s="43"/>
      <c r="P1624" s="43"/>
      <c r="Q1624" s="43"/>
      <c r="R1624" s="43"/>
      <c r="S1624" s="43"/>
      <c r="T1624" s="43"/>
      <c r="U1624" s="43"/>
      <c r="V1624" s="43"/>
      <c r="W1624" s="43"/>
      <c r="X1624" s="43"/>
      <c r="Y1624" s="43"/>
      <c r="Z1624" s="43"/>
    </row>
    <row r="1625" spans="15:26" x14ac:dyDescent="0.25">
      <c r="O1625" s="43"/>
      <c r="P1625" s="43"/>
      <c r="Q1625" s="43"/>
      <c r="R1625" s="43"/>
      <c r="S1625" s="43"/>
      <c r="T1625" s="43"/>
      <c r="U1625" s="43"/>
      <c r="V1625" s="43"/>
      <c r="W1625" s="43"/>
      <c r="X1625" s="43"/>
      <c r="Y1625" s="43"/>
      <c r="Z1625" s="43"/>
    </row>
    <row r="1626" spans="15:26" x14ac:dyDescent="0.25">
      <c r="O1626" s="43"/>
      <c r="P1626" s="43"/>
      <c r="Q1626" s="43"/>
      <c r="R1626" s="43"/>
      <c r="S1626" s="43"/>
      <c r="T1626" s="43"/>
      <c r="U1626" s="43"/>
      <c r="V1626" s="43"/>
      <c r="W1626" s="43"/>
      <c r="X1626" s="43"/>
      <c r="Y1626" s="43"/>
      <c r="Z1626" s="43"/>
    </row>
    <row r="1627" spans="15:26" x14ac:dyDescent="0.25">
      <c r="O1627" s="43"/>
      <c r="P1627" s="43"/>
      <c r="Q1627" s="43"/>
      <c r="R1627" s="43"/>
      <c r="S1627" s="43"/>
      <c r="T1627" s="43"/>
      <c r="U1627" s="43"/>
      <c r="V1627" s="43"/>
      <c r="W1627" s="43"/>
      <c r="X1627" s="43"/>
      <c r="Y1627" s="43"/>
      <c r="Z1627" s="43"/>
    </row>
    <row r="1628" spans="15:26" x14ac:dyDescent="0.25">
      <c r="O1628" s="43"/>
      <c r="P1628" s="43"/>
      <c r="Q1628" s="43"/>
      <c r="R1628" s="43"/>
      <c r="S1628" s="43"/>
      <c r="T1628" s="43"/>
      <c r="U1628" s="43"/>
      <c r="V1628" s="43"/>
      <c r="W1628" s="43"/>
      <c r="X1628" s="43"/>
      <c r="Y1628" s="43"/>
      <c r="Z1628" s="43"/>
    </row>
    <row r="1629" spans="15:26" x14ac:dyDescent="0.25">
      <c r="O1629" s="43"/>
      <c r="P1629" s="43"/>
      <c r="Q1629" s="43"/>
      <c r="R1629" s="43"/>
      <c r="S1629" s="43"/>
      <c r="T1629" s="43"/>
      <c r="U1629" s="43"/>
      <c r="V1629" s="43"/>
      <c r="W1629" s="43"/>
      <c r="X1629" s="43"/>
      <c r="Y1629" s="43"/>
      <c r="Z1629" s="43"/>
    </row>
    <row r="1630" spans="15:26" x14ac:dyDescent="0.25">
      <c r="O1630" s="43"/>
      <c r="P1630" s="43"/>
      <c r="Q1630" s="43"/>
      <c r="R1630" s="43"/>
      <c r="S1630" s="43"/>
      <c r="T1630" s="43"/>
      <c r="U1630" s="43"/>
      <c r="V1630" s="43"/>
      <c r="W1630" s="43"/>
      <c r="X1630" s="43"/>
      <c r="Y1630" s="43"/>
      <c r="Z1630" s="43"/>
    </row>
    <row r="1631" spans="15:26" x14ac:dyDescent="0.25">
      <c r="O1631" s="43"/>
      <c r="P1631" s="43"/>
      <c r="Q1631" s="43"/>
      <c r="R1631" s="43"/>
      <c r="S1631" s="43"/>
      <c r="T1631" s="43"/>
      <c r="U1631" s="43"/>
      <c r="V1631" s="43"/>
      <c r="W1631" s="43"/>
      <c r="X1631" s="43"/>
      <c r="Y1631" s="43"/>
      <c r="Z1631" s="43"/>
    </row>
    <row r="1632" spans="15:26" x14ac:dyDescent="0.25">
      <c r="O1632" s="43"/>
      <c r="P1632" s="43"/>
      <c r="Q1632" s="43"/>
      <c r="R1632" s="43"/>
      <c r="S1632" s="43"/>
      <c r="T1632" s="43"/>
      <c r="U1632" s="43"/>
      <c r="V1632" s="43"/>
      <c r="W1632" s="43"/>
      <c r="X1632" s="43"/>
      <c r="Y1632" s="43"/>
      <c r="Z1632" s="43"/>
    </row>
    <row r="1633" spans="15:26" x14ac:dyDescent="0.25">
      <c r="O1633" s="43"/>
      <c r="P1633" s="43"/>
      <c r="Q1633" s="43"/>
      <c r="R1633" s="43"/>
      <c r="S1633" s="43"/>
      <c r="T1633" s="43"/>
      <c r="U1633" s="43"/>
      <c r="V1633" s="43"/>
      <c r="W1633" s="43"/>
      <c r="X1633" s="43"/>
      <c r="Y1633" s="43"/>
      <c r="Z1633" s="43"/>
    </row>
    <row r="1634" spans="15:26" x14ac:dyDescent="0.25">
      <c r="O1634" s="43"/>
      <c r="P1634" s="43"/>
      <c r="Q1634" s="43"/>
      <c r="R1634" s="43"/>
      <c r="S1634" s="43"/>
      <c r="T1634" s="43"/>
      <c r="U1634" s="43"/>
      <c r="V1634" s="43"/>
      <c r="W1634" s="43"/>
      <c r="X1634" s="43"/>
      <c r="Y1634" s="43"/>
      <c r="Z1634" s="43"/>
    </row>
    <row r="1635" spans="15:26" x14ac:dyDescent="0.25">
      <c r="O1635" s="43"/>
      <c r="P1635" s="43"/>
      <c r="Q1635" s="43"/>
      <c r="R1635" s="43"/>
      <c r="S1635" s="43"/>
      <c r="T1635" s="43"/>
      <c r="U1635" s="43"/>
      <c r="V1635" s="43"/>
      <c r="W1635" s="43"/>
      <c r="X1635" s="43"/>
      <c r="Y1635" s="43"/>
      <c r="Z1635" s="43"/>
    </row>
    <row r="1636" spans="15:26" x14ac:dyDescent="0.25">
      <c r="O1636" s="43"/>
      <c r="P1636" s="43"/>
      <c r="Q1636" s="43"/>
      <c r="R1636" s="43"/>
      <c r="S1636" s="43"/>
      <c r="T1636" s="43"/>
      <c r="U1636" s="43"/>
      <c r="V1636" s="43"/>
      <c r="W1636" s="43"/>
      <c r="X1636" s="43"/>
      <c r="Y1636" s="43"/>
      <c r="Z1636" s="43"/>
    </row>
    <row r="1637" spans="15:26" x14ac:dyDescent="0.25">
      <c r="O1637" s="43"/>
      <c r="P1637" s="43"/>
      <c r="Q1637" s="43"/>
      <c r="R1637" s="43"/>
      <c r="S1637" s="43"/>
      <c r="T1637" s="43"/>
      <c r="U1637" s="43"/>
      <c r="V1637" s="43"/>
      <c r="W1637" s="43"/>
      <c r="X1637" s="43"/>
      <c r="Y1637" s="43"/>
      <c r="Z1637" s="43"/>
    </row>
    <row r="1638" spans="15:26" x14ac:dyDescent="0.25">
      <c r="O1638" s="43"/>
      <c r="P1638" s="43"/>
      <c r="Q1638" s="43"/>
      <c r="R1638" s="43"/>
      <c r="S1638" s="43"/>
      <c r="T1638" s="43"/>
      <c r="U1638" s="43"/>
      <c r="V1638" s="43"/>
      <c r="W1638" s="43"/>
      <c r="X1638" s="43"/>
      <c r="Y1638" s="43"/>
      <c r="Z1638" s="43"/>
    </row>
    <row r="1639" spans="15:26" x14ac:dyDescent="0.25">
      <c r="O1639" s="43"/>
      <c r="P1639" s="43"/>
      <c r="Q1639" s="43"/>
      <c r="R1639" s="43"/>
      <c r="S1639" s="43"/>
      <c r="T1639" s="43"/>
      <c r="U1639" s="43"/>
      <c r="V1639" s="43"/>
      <c r="W1639" s="43"/>
      <c r="X1639" s="43"/>
      <c r="Y1639" s="43"/>
      <c r="Z1639" s="43"/>
    </row>
    <row r="1640" spans="15:26" x14ac:dyDescent="0.25">
      <c r="O1640" s="43"/>
      <c r="P1640" s="43"/>
      <c r="Q1640" s="43"/>
      <c r="R1640" s="43"/>
      <c r="S1640" s="43"/>
      <c r="T1640" s="43"/>
      <c r="U1640" s="43"/>
      <c r="V1640" s="43"/>
      <c r="W1640" s="43"/>
      <c r="X1640" s="43"/>
      <c r="Y1640" s="43"/>
      <c r="Z1640" s="43"/>
    </row>
    <row r="1641" spans="15:26" x14ac:dyDescent="0.25">
      <c r="O1641" s="43"/>
      <c r="P1641" s="43"/>
      <c r="Q1641" s="43"/>
      <c r="R1641" s="43"/>
      <c r="S1641" s="43"/>
      <c r="T1641" s="43"/>
      <c r="U1641" s="43"/>
      <c r="V1641" s="43"/>
      <c r="W1641" s="43"/>
      <c r="X1641" s="43"/>
      <c r="Y1641" s="43"/>
      <c r="Z1641" s="43"/>
    </row>
    <row r="1642" spans="15:26" x14ac:dyDescent="0.25">
      <c r="O1642" s="43"/>
      <c r="P1642" s="43"/>
      <c r="Q1642" s="43"/>
      <c r="R1642" s="43"/>
      <c r="S1642" s="43"/>
      <c r="T1642" s="43"/>
      <c r="U1642" s="43"/>
      <c r="V1642" s="43"/>
      <c r="W1642" s="43"/>
      <c r="X1642" s="43"/>
      <c r="Y1642" s="43"/>
      <c r="Z1642" s="43"/>
    </row>
    <row r="1643" spans="15:26" x14ac:dyDescent="0.25">
      <c r="O1643" s="43"/>
      <c r="P1643" s="43"/>
      <c r="Q1643" s="43"/>
      <c r="R1643" s="43"/>
      <c r="S1643" s="43"/>
      <c r="T1643" s="43"/>
      <c r="U1643" s="43"/>
      <c r="V1643" s="43"/>
      <c r="W1643" s="43"/>
      <c r="X1643" s="43"/>
      <c r="Y1643" s="43"/>
      <c r="Z1643" s="43"/>
    </row>
    <row r="1644" spans="15:26" x14ac:dyDescent="0.25">
      <c r="O1644" s="43"/>
      <c r="P1644" s="43"/>
      <c r="Q1644" s="43"/>
      <c r="R1644" s="43"/>
      <c r="S1644" s="43"/>
      <c r="T1644" s="43"/>
      <c r="U1644" s="43"/>
      <c r="V1644" s="43"/>
      <c r="W1644" s="43"/>
      <c r="X1644" s="43"/>
      <c r="Y1644" s="43"/>
      <c r="Z1644" s="43"/>
    </row>
    <row r="1645" spans="15:26" x14ac:dyDescent="0.25">
      <c r="O1645" s="43"/>
      <c r="P1645" s="43"/>
      <c r="Q1645" s="43"/>
      <c r="R1645" s="43"/>
      <c r="S1645" s="43"/>
      <c r="T1645" s="43"/>
      <c r="U1645" s="43"/>
      <c r="V1645" s="43"/>
      <c r="W1645" s="43"/>
      <c r="X1645" s="43"/>
      <c r="Y1645" s="43"/>
      <c r="Z1645" s="43"/>
    </row>
    <row r="1646" spans="15:26" x14ac:dyDescent="0.25">
      <c r="O1646" s="43"/>
      <c r="P1646" s="43"/>
      <c r="Q1646" s="43"/>
      <c r="R1646" s="43"/>
      <c r="S1646" s="43"/>
      <c r="T1646" s="43"/>
      <c r="U1646" s="43"/>
      <c r="V1646" s="43"/>
      <c r="W1646" s="43"/>
      <c r="X1646" s="43"/>
      <c r="Y1646" s="43"/>
      <c r="Z1646" s="43"/>
    </row>
    <row r="1647" spans="15:26" x14ac:dyDescent="0.25">
      <c r="O1647" s="43"/>
      <c r="P1647" s="43"/>
      <c r="Q1647" s="43"/>
      <c r="R1647" s="43"/>
      <c r="S1647" s="43"/>
      <c r="T1647" s="43"/>
      <c r="U1647" s="43"/>
      <c r="V1647" s="43"/>
      <c r="W1647" s="43"/>
      <c r="X1647" s="43"/>
      <c r="Y1647" s="43"/>
      <c r="Z1647" s="43"/>
    </row>
    <row r="1648" spans="15:26" x14ac:dyDescent="0.25">
      <c r="O1648" s="43"/>
      <c r="P1648" s="43"/>
      <c r="Q1648" s="43"/>
      <c r="R1648" s="43"/>
      <c r="S1648" s="43"/>
      <c r="T1648" s="43"/>
      <c r="U1648" s="43"/>
      <c r="V1648" s="43"/>
      <c r="W1648" s="43"/>
      <c r="X1648" s="43"/>
      <c r="Y1648" s="43"/>
      <c r="Z1648" s="43"/>
    </row>
    <row r="1649" spans="15:26" x14ac:dyDescent="0.25">
      <c r="O1649" s="43"/>
      <c r="P1649" s="43"/>
      <c r="Q1649" s="43"/>
      <c r="R1649" s="43"/>
      <c r="S1649" s="43"/>
      <c r="T1649" s="43"/>
      <c r="U1649" s="43"/>
      <c r="V1649" s="43"/>
      <c r="W1649" s="43"/>
      <c r="X1649" s="43"/>
      <c r="Y1649" s="43"/>
      <c r="Z1649" s="43"/>
    </row>
    <row r="1650" spans="15:26" x14ac:dyDescent="0.25">
      <c r="O1650" s="43"/>
      <c r="P1650" s="43"/>
      <c r="Q1650" s="43"/>
      <c r="R1650" s="43"/>
      <c r="S1650" s="43"/>
      <c r="T1650" s="43"/>
      <c r="U1650" s="43"/>
      <c r="V1650" s="43"/>
      <c r="W1650" s="43"/>
      <c r="X1650" s="43"/>
      <c r="Y1650" s="43"/>
      <c r="Z1650" s="43"/>
    </row>
    <row r="1651" spans="15:26" x14ac:dyDescent="0.25">
      <c r="O1651" s="43"/>
      <c r="P1651" s="43"/>
      <c r="Q1651" s="43"/>
      <c r="R1651" s="43"/>
      <c r="S1651" s="43"/>
      <c r="T1651" s="43"/>
      <c r="U1651" s="43"/>
      <c r="V1651" s="43"/>
      <c r="W1651" s="43"/>
      <c r="X1651" s="43"/>
      <c r="Y1651" s="43"/>
      <c r="Z1651" s="43"/>
    </row>
    <row r="1652" spans="15:26" x14ac:dyDescent="0.25">
      <c r="O1652" s="43"/>
      <c r="P1652" s="43"/>
      <c r="Q1652" s="43"/>
      <c r="R1652" s="43"/>
      <c r="S1652" s="43"/>
      <c r="T1652" s="43"/>
      <c r="U1652" s="43"/>
      <c r="V1652" s="43"/>
      <c r="W1652" s="43"/>
      <c r="X1652" s="43"/>
      <c r="Y1652" s="43"/>
      <c r="Z1652" s="43"/>
    </row>
    <row r="1653" spans="15:26" x14ac:dyDescent="0.25">
      <c r="O1653" s="43"/>
      <c r="P1653" s="43"/>
      <c r="Q1653" s="43"/>
      <c r="R1653" s="43"/>
      <c r="S1653" s="43"/>
      <c r="T1653" s="43"/>
      <c r="U1653" s="43"/>
      <c r="V1653" s="43"/>
      <c r="W1653" s="43"/>
      <c r="X1653" s="43"/>
      <c r="Y1653" s="43"/>
      <c r="Z1653" s="43"/>
    </row>
    <row r="1654" spans="15:26" x14ac:dyDescent="0.25">
      <c r="O1654" s="43"/>
      <c r="P1654" s="43"/>
      <c r="Q1654" s="43"/>
      <c r="R1654" s="43"/>
      <c r="S1654" s="43"/>
      <c r="T1654" s="43"/>
      <c r="U1654" s="43"/>
      <c r="V1654" s="43"/>
      <c r="W1654" s="43"/>
      <c r="X1654" s="43"/>
      <c r="Y1654" s="43"/>
      <c r="Z1654" s="43"/>
    </row>
    <row r="1655" spans="15:26" x14ac:dyDescent="0.25">
      <c r="O1655" s="43"/>
      <c r="P1655" s="43"/>
      <c r="Q1655" s="43"/>
      <c r="R1655" s="43"/>
      <c r="S1655" s="43"/>
      <c r="T1655" s="43"/>
      <c r="U1655" s="43"/>
      <c r="V1655" s="43"/>
      <c r="W1655" s="43"/>
      <c r="X1655" s="43"/>
      <c r="Y1655" s="43"/>
      <c r="Z1655" s="43"/>
    </row>
    <row r="1656" spans="15:26" x14ac:dyDescent="0.25">
      <c r="O1656" s="43"/>
      <c r="P1656" s="43"/>
      <c r="Q1656" s="43"/>
      <c r="R1656" s="43"/>
      <c r="S1656" s="43"/>
      <c r="T1656" s="43"/>
      <c r="U1656" s="43"/>
      <c r="V1656" s="43"/>
      <c r="W1656" s="43"/>
      <c r="X1656" s="43"/>
      <c r="Y1656" s="43"/>
      <c r="Z1656" s="43"/>
    </row>
    <row r="1657" spans="15:26" x14ac:dyDescent="0.25">
      <c r="O1657" s="43"/>
      <c r="P1657" s="43"/>
      <c r="Q1657" s="43"/>
      <c r="R1657" s="43"/>
      <c r="S1657" s="43"/>
      <c r="T1657" s="43"/>
      <c r="U1657" s="43"/>
      <c r="V1657" s="43"/>
      <c r="W1657" s="43"/>
      <c r="X1657" s="43"/>
      <c r="Y1657" s="43"/>
      <c r="Z1657" s="43"/>
    </row>
    <row r="1658" spans="15:26" x14ac:dyDescent="0.25">
      <c r="O1658" s="43"/>
      <c r="P1658" s="43"/>
      <c r="Q1658" s="43"/>
      <c r="R1658" s="43"/>
      <c r="S1658" s="43"/>
      <c r="T1658" s="43"/>
      <c r="U1658" s="43"/>
      <c r="V1658" s="43"/>
      <c r="W1658" s="43"/>
      <c r="X1658" s="43"/>
      <c r="Y1658" s="43"/>
      <c r="Z1658" s="43"/>
    </row>
    <row r="1659" spans="15:26" x14ac:dyDescent="0.25">
      <c r="O1659" s="43"/>
      <c r="P1659" s="43"/>
      <c r="Q1659" s="43"/>
      <c r="R1659" s="43"/>
      <c r="S1659" s="43"/>
      <c r="T1659" s="43"/>
      <c r="U1659" s="43"/>
      <c r="V1659" s="43"/>
      <c r="W1659" s="43"/>
      <c r="X1659" s="43"/>
      <c r="Y1659" s="43"/>
      <c r="Z1659" s="43"/>
    </row>
    <row r="1660" spans="15:26" x14ac:dyDescent="0.25">
      <c r="O1660" s="43"/>
      <c r="P1660" s="43"/>
      <c r="Q1660" s="43"/>
      <c r="R1660" s="43"/>
      <c r="S1660" s="43"/>
      <c r="T1660" s="43"/>
      <c r="U1660" s="43"/>
      <c r="V1660" s="43"/>
      <c r="W1660" s="43"/>
      <c r="X1660" s="43"/>
      <c r="Y1660" s="43"/>
      <c r="Z1660" s="43"/>
    </row>
    <row r="1661" spans="15:26" x14ac:dyDescent="0.25">
      <c r="O1661" s="43"/>
      <c r="P1661" s="43"/>
      <c r="Q1661" s="43"/>
      <c r="R1661" s="43"/>
      <c r="S1661" s="43"/>
      <c r="T1661" s="43"/>
      <c r="U1661" s="43"/>
      <c r="V1661" s="43"/>
      <c r="W1661" s="43"/>
      <c r="X1661" s="43"/>
      <c r="Y1661" s="43"/>
      <c r="Z1661" s="43"/>
    </row>
    <row r="1662" spans="15:26" x14ac:dyDescent="0.25">
      <c r="O1662" s="43"/>
      <c r="P1662" s="43"/>
      <c r="Q1662" s="43"/>
      <c r="R1662" s="43"/>
      <c r="S1662" s="43"/>
      <c r="T1662" s="43"/>
      <c r="U1662" s="43"/>
      <c r="V1662" s="43"/>
      <c r="W1662" s="43"/>
      <c r="X1662" s="43"/>
      <c r="Y1662" s="43"/>
      <c r="Z1662" s="43"/>
    </row>
    <row r="1663" spans="15:26" x14ac:dyDescent="0.25">
      <c r="O1663" s="43"/>
      <c r="P1663" s="43"/>
      <c r="Q1663" s="43"/>
      <c r="R1663" s="43"/>
      <c r="S1663" s="43"/>
      <c r="T1663" s="43"/>
      <c r="U1663" s="43"/>
      <c r="V1663" s="43"/>
      <c r="W1663" s="43"/>
      <c r="X1663" s="43"/>
      <c r="Y1663" s="43"/>
      <c r="Z1663" s="43"/>
    </row>
    <row r="1664" spans="15:26" x14ac:dyDescent="0.25">
      <c r="O1664" s="43"/>
      <c r="P1664" s="43"/>
      <c r="Q1664" s="43"/>
      <c r="R1664" s="43"/>
      <c r="S1664" s="43"/>
      <c r="T1664" s="43"/>
      <c r="U1664" s="43"/>
      <c r="V1664" s="43"/>
      <c r="W1664" s="43"/>
      <c r="X1664" s="43"/>
      <c r="Y1664" s="43"/>
      <c r="Z1664" s="43"/>
    </row>
    <row r="1665" spans="15:26" x14ac:dyDescent="0.25">
      <c r="O1665" s="43"/>
      <c r="P1665" s="43"/>
      <c r="Q1665" s="43"/>
      <c r="R1665" s="43"/>
      <c r="S1665" s="43"/>
      <c r="T1665" s="43"/>
      <c r="U1665" s="43"/>
      <c r="V1665" s="43"/>
      <c r="W1665" s="43"/>
      <c r="X1665" s="43"/>
      <c r="Y1665" s="43"/>
      <c r="Z1665" s="43"/>
    </row>
    <row r="1666" spans="15:26" x14ac:dyDescent="0.25">
      <c r="O1666" s="43"/>
      <c r="P1666" s="43"/>
      <c r="Q1666" s="43"/>
      <c r="R1666" s="43"/>
      <c r="S1666" s="43"/>
      <c r="T1666" s="43"/>
      <c r="U1666" s="43"/>
      <c r="V1666" s="43"/>
      <c r="W1666" s="43"/>
      <c r="X1666" s="43"/>
      <c r="Y1666" s="43"/>
      <c r="Z1666" s="43"/>
    </row>
    <row r="1667" spans="15:26" x14ac:dyDescent="0.25">
      <c r="O1667" s="43"/>
      <c r="P1667" s="43"/>
      <c r="Q1667" s="43"/>
      <c r="R1667" s="43"/>
      <c r="S1667" s="43"/>
      <c r="T1667" s="43"/>
      <c r="U1667" s="43"/>
      <c r="V1667" s="43"/>
      <c r="W1667" s="43"/>
      <c r="X1667" s="43"/>
      <c r="Y1667" s="43"/>
      <c r="Z1667" s="43"/>
    </row>
    <row r="1668" spans="15:26" x14ac:dyDescent="0.25">
      <c r="O1668" s="43"/>
      <c r="P1668" s="43"/>
      <c r="Q1668" s="43"/>
      <c r="R1668" s="43"/>
      <c r="S1668" s="43"/>
      <c r="T1668" s="43"/>
      <c r="U1668" s="43"/>
      <c r="V1668" s="43"/>
      <c r="W1668" s="43"/>
      <c r="X1668" s="43"/>
      <c r="Y1668" s="43"/>
      <c r="Z1668" s="43"/>
    </row>
    <row r="1669" spans="15:26" x14ac:dyDescent="0.25">
      <c r="O1669" s="43"/>
      <c r="P1669" s="43"/>
      <c r="Q1669" s="43"/>
      <c r="R1669" s="43"/>
      <c r="S1669" s="43"/>
      <c r="T1669" s="43"/>
      <c r="U1669" s="43"/>
      <c r="V1669" s="43"/>
      <c r="W1669" s="43"/>
      <c r="X1669" s="43"/>
      <c r="Y1669" s="43"/>
      <c r="Z1669" s="43"/>
    </row>
    <row r="1670" spans="15:26" x14ac:dyDescent="0.25">
      <c r="O1670" s="43"/>
      <c r="P1670" s="43"/>
      <c r="Q1670" s="43"/>
      <c r="R1670" s="43"/>
      <c r="S1670" s="43"/>
      <c r="T1670" s="43"/>
      <c r="U1670" s="43"/>
      <c r="V1670" s="43"/>
      <c r="W1670" s="43"/>
      <c r="X1670" s="43"/>
      <c r="Y1670" s="43"/>
      <c r="Z1670" s="43"/>
    </row>
    <row r="1671" spans="15:26" x14ac:dyDescent="0.25">
      <c r="O1671" s="43"/>
      <c r="P1671" s="43"/>
      <c r="Q1671" s="43"/>
      <c r="R1671" s="43"/>
      <c r="S1671" s="43"/>
      <c r="T1671" s="43"/>
      <c r="U1671" s="43"/>
      <c r="V1671" s="43"/>
      <c r="W1671" s="43"/>
      <c r="X1671" s="43"/>
      <c r="Y1671" s="43"/>
      <c r="Z1671" s="43"/>
    </row>
    <row r="1672" spans="15:26" x14ac:dyDescent="0.25">
      <c r="O1672" s="43"/>
      <c r="P1672" s="43"/>
      <c r="Q1672" s="43"/>
      <c r="R1672" s="43"/>
      <c r="S1672" s="43"/>
      <c r="T1672" s="43"/>
      <c r="U1672" s="43"/>
      <c r="V1672" s="43"/>
      <c r="W1672" s="43"/>
      <c r="X1672" s="43"/>
      <c r="Y1672" s="43"/>
      <c r="Z1672" s="43"/>
    </row>
    <row r="1673" spans="15:26" x14ac:dyDescent="0.25">
      <c r="O1673" s="43"/>
      <c r="P1673" s="43"/>
      <c r="Q1673" s="43"/>
      <c r="R1673" s="43"/>
      <c r="S1673" s="43"/>
      <c r="T1673" s="43"/>
      <c r="U1673" s="43"/>
      <c r="V1673" s="43"/>
      <c r="W1673" s="43"/>
      <c r="X1673" s="43"/>
      <c r="Y1673" s="43"/>
      <c r="Z1673" s="43"/>
    </row>
    <row r="1674" spans="15:26" x14ac:dyDescent="0.25">
      <c r="O1674" s="43"/>
      <c r="P1674" s="43"/>
      <c r="Q1674" s="43"/>
      <c r="R1674" s="43"/>
      <c r="S1674" s="43"/>
      <c r="T1674" s="43"/>
      <c r="U1674" s="43"/>
      <c r="V1674" s="43"/>
      <c r="W1674" s="43"/>
      <c r="X1674" s="43"/>
      <c r="Y1674" s="43"/>
      <c r="Z1674" s="43"/>
    </row>
    <row r="1675" spans="15:26" x14ac:dyDescent="0.25">
      <c r="O1675" s="43"/>
      <c r="P1675" s="43"/>
      <c r="Q1675" s="43"/>
      <c r="R1675" s="43"/>
      <c r="S1675" s="43"/>
      <c r="T1675" s="43"/>
      <c r="U1675" s="43"/>
      <c r="V1675" s="43"/>
      <c r="W1675" s="43"/>
      <c r="X1675" s="43"/>
      <c r="Y1675" s="43"/>
      <c r="Z1675" s="43"/>
    </row>
    <row r="1676" spans="15:26" x14ac:dyDescent="0.25">
      <c r="O1676" s="43"/>
      <c r="P1676" s="43"/>
      <c r="Q1676" s="43"/>
      <c r="R1676" s="43"/>
      <c r="S1676" s="43"/>
      <c r="T1676" s="43"/>
      <c r="U1676" s="43"/>
      <c r="V1676" s="43"/>
      <c r="W1676" s="43"/>
      <c r="X1676" s="43"/>
      <c r="Y1676" s="43"/>
      <c r="Z1676" s="43"/>
    </row>
    <row r="1677" spans="15:26" x14ac:dyDescent="0.25">
      <c r="O1677" s="43"/>
      <c r="P1677" s="43"/>
      <c r="Q1677" s="43"/>
      <c r="R1677" s="43"/>
      <c r="S1677" s="43"/>
      <c r="T1677" s="43"/>
      <c r="U1677" s="43"/>
      <c r="V1677" s="43"/>
      <c r="W1677" s="43"/>
      <c r="X1677" s="43"/>
      <c r="Y1677" s="43"/>
      <c r="Z1677" s="43"/>
    </row>
    <row r="1678" spans="15:26" x14ac:dyDescent="0.25">
      <c r="O1678" s="43"/>
      <c r="P1678" s="43"/>
      <c r="Q1678" s="43"/>
      <c r="R1678" s="43"/>
      <c r="S1678" s="43"/>
      <c r="T1678" s="43"/>
      <c r="U1678" s="43"/>
      <c r="V1678" s="43"/>
      <c r="W1678" s="43"/>
      <c r="X1678" s="43"/>
      <c r="Y1678" s="43"/>
      <c r="Z1678" s="43"/>
    </row>
    <row r="1679" spans="15:26" x14ac:dyDescent="0.25">
      <c r="O1679" s="43"/>
      <c r="P1679" s="43"/>
      <c r="Q1679" s="43"/>
      <c r="R1679" s="43"/>
      <c r="S1679" s="43"/>
      <c r="T1679" s="43"/>
      <c r="U1679" s="43"/>
      <c r="V1679" s="43"/>
      <c r="W1679" s="43"/>
      <c r="X1679" s="43"/>
      <c r="Y1679" s="43"/>
      <c r="Z1679" s="43"/>
    </row>
    <row r="1680" spans="15:26" x14ac:dyDescent="0.25">
      <c r="O1680" s="43"/>
      <c r="P1680" s="43"/>
      <c r="Q1680" s="43"/>
      <c r="R1680" s="43"/>
      <c r="S1680" s="43"/>
      <c r="T1680" s="43"/>
      <c r="U1680" s="43"/>
      <c r="V1680" s="43"/>
      <c r="W1680" s="43"/>
      <c r="X1680" s="43"/>
      <c r="Y1680" s="43"/>
      <c r="Z1680" s="43"/>
    </row>
    <row r="1681" spans="15:26" x14ac:dyDescent="0.25">
      <c r="O1681" s="43"/>
      <c r="P1681" s="43"/>
      <c r="Q1681" s="43"/>
      <c r="R1681" s="43"/>
      <c r="S1681" s="43"/>
      <c r="T1681" s="43"/>
      <c r="U1681" s="43"/>
      <c r="V1681" s="43"/>
      <c r="W1681" s="43"/>
      <c r="X1681" s="43"/>
      <c r="Y1681" s="43"/>
      <c r="Z1681" s="43"/>
    </row>
    <row r="1682" spans="15:26" x14ac:dyDescent="0.25">
      <c r="O1682" s="43"/>
      <c r="P1682" s="43"/>
      <c r="Q1682" s="43"/>
      <c r="R1682" s="43"/>
      <c r="S1682" s="43"/>
      <c r="T1682" s="43"/>
      <c r="U1682" s="43"/>
      <c r="V1682" s="43"/>
      <c r="W1682" s="43"/>
      <c r="X1682" s="43"/>
      <c r="Y1682" s="43"/>
      <c r="Z1682" s="43"/>
    </row>
    <row r="1683" spans="15:26" x14ac:dyDescent="0.25">
      <c r="O1683" s="43"/>
      <c r="P1683" s="43"/>
      <c r="Q1683" s="43"/>
      <c r="R1683" s="43"/>
      <c r="S1683" s="43"/>
      <c r="T1683" s="43"/>
      <c r="U1683" s="43"/>
      <c r="V1683" s="43"/>
      <c r="W1683" s="43"/>
      <c r="X1683" s="43"/>
      <c r="Y1683" s="43"/>
      <c r="Z1683" s="43"/>
    </row>
    <row r="1684" spans="15:26" x14ac:dyDescent="0.25">
      <c r="O1684" s="43"/>
      <c r="P1684" s="43"/>
      <c r="Q1684" s="43"/>
      <c r="R1684" s="43"/>
      <c r="S1684" s="43"/>
      <c r="T1684" s="43"/>
      <c r="U1684" s="43"/>
      <c r="V1684" s="43"/>
      <c r="W1684" s="43"/>
      <c r="X1684" s="43"/>
      <c r="Y1684" s="43"/>
      <c r="Z1684" s="43"/>
    </row>
    <row r="1685" spans="15:26" x14ac:dyDescent="0.25">
      <c r="O1685" s="43"/>
      <c r="P1685" s="43"/>
      <c r="Q1685" s="43"/>
      <c r="R1685" s="43"/>
      <c r="S1685" s="43"/>
      <c r="T1685" s="43"/>
      <c r="U1685" s="43"/>
      <c r="V1685" s="43"/>
      <c r="W1685" s="43"/>
      <c r="X1685" s="43"/>
      <c r="Y1685" s="43"/>
      <c r="Z1685" s="43"/>
    </row>
    <row r="1686" spans="15:26" x14ac:dyDescent="0.25">
      <c r="O1686" s="43"/>
      <c r="P1686" s="43"/>
      <c r="Q1686" s="43"/>
      <c r="R1686" s="43"/>
      <c r="S1686" s="43"/>
      <c r="T1686" s="43"/>
      <c r="U1686" s="43"/>
      <c r="V1686" s="43"/>
      <c r="W1686" s="43"/>
      <c r="X1686" s="43"/>
      <c r="Y1686" s="43"/>
      <c r="Z1686" s="43"/>
    </row>
    <row r="1687" spans="15:26" x14ac:dyDescent="0.25">
      <c r="O1687" s="43"/>
      <c r="P1687" s="43"/>
      <c r="Q1687" s="43"/>
      <c r="R1687" s="43"/>
      <c r="S1687" s="43"/>
      <c r="T1687" s="43"/>
      <c r="U1687" s="43"/>
      <c r="V1687" s="43"/>
      <c r="W1687" s="43"/>
      <c r="X1687" s="43"/>
      <c r="Y1687" s="43"/>
      <c r="Z1687" s="43"/>
    </row>
    <row r="1688" spans="15:26" x14ac:dyDescent="0.25">
      <c r="O1688" s="43"/>
      <c r="P1688" s="43"/>
      <c r="Q1688" s="43"/>
      <c r="R1688" s="43"/>
      <c r="S1688" s="43"/>
      <c r="T1688" s="43"/>
      <c r="U1688" s="43"/>
      <c r="V1688" s="43"/>
      <c r="W1688" s="43"/>
      <c r="X1688" s="43"/>
      <c r="Y1688" s="43"/>
      <c r="Z1688" s="43"/>
    </row>
    <row r="1689" spans="15:26" x14ac:dyDescent="0.25">
      <c r="O1689" s="43"/>
      <c r="P1689" s="43"/>
      <c r="Q1689" s="43"/>
      <c r="R1689" s="43"/>
      <c r="S1689" s="43"/>
      <c r="T1689" s="43"/>
      <c r="U1689" s="43"/>
      <c r="V1689" s="43"/>
      <c r="W1689" s="43"/>
      <c r="X1689" s="43"/>
      <c r="Y1689" s="43"/>
      <c r="Z1689" s="43"/>
    </row>
    <row r="1690" spans="15:26" x14ac:dyDescent="0.25">
      <c r="O1690" s="43"/>
      <c r="P1690" s="43"/>
      <c r="Q1690" s="43"/>
      <c r="R1690" s="43"/>
      <c r="S1690" s="43"/>
      <c r="T1690" s="43"/>
      <c r="U1690" s="43"/>
      <c r="V1690" s="43"/>
      <c r="W1690" s="43"/>
      <c r="X1690" s="43"/>
      <c r="Y1690" s="43"/>
      <c r="Z1690" s="43"/>
    </row>
    <row r="1691" spans="15:26" x14ac:dyDescent="0.25">
      <c r="O1691" s="43"/>
      <c r="P1691" s="43"/>
      <c r="Q1691" s="43"/>
      <c r="R1691" s="43"/>
      <c r="S1691" s="43"/>
      <c r="T1691" s="43"/>
      <c r="U1691" s="43"/>
      <c r="V1691" s="43"/>
      <c r="W1691" s="43"/>
      <c r="X1691" s="43"/>
      <c r="Y1691" s="43"/>
      <c r="Z1691" s="43"/>
    </row>
    <row r="1692" spans="15:26" x14ac:dyDescent="0.25">
      <c r="O1692" s="43"/>
      <c r="P1692" s="43"/>
      <c r="Q1692" s="43"/>
      <c r="R1692" s="43"/>
      <c r="S1692" s="43"/>
      <c r="T1692" s="43"/>
      <c r="U1692" s="43"/>
      <c r="V1692" s="43"/>
      <c r="W1692" s="43"/>
      <c r="X1692" s="43"/>
      <c r="Y1692" s="43"/>
      <c r="Z1692" s="43"/>
    </row>
    <row r="1693" spans="15:26" x14ac:dyDescent="0.25">
      <c r="O1693" s="43"/>
      <c r="P1693" s="43"/>
      <c r="Q1693" s="43"/>
      <c r="R1693" s="43"/>
      <c r="S1693" s="43"/>
      <c r="T1693" s="43"/>
      <c r="U1693" s="43"/>
      <c r="V1693" s="43"/>
      <c r="W1693" s="43"/>
      <c r="X1693" s="43"/>
      <c r="Y1693" s="43"/>
      <c r="Z1693" s="43"/>
    </row>
    <row r="1694" spans="15:26" x14ac:dyDescent="0.25">
      <c r="O1694" s="43"/>
      <c r="P1694" s="43"/>
      <c r="Q1694" s="43"/>
      <c r="R1694" s="43"/>
      <c r="S1694" s="43"/>
      <c r="T1694" s="43"/>
      <c r="U1694" s="43"/>
      <c r="V1694" s="43"/>
      <c r="W1694" s="43"/>
      <c r="X1694" s="43"/>
      <c r="Y1694" s="43"/>
      <c r="Z1694" s="43"/>
    </row>
    <row r="1695" spans="15:26" x14ac:dyDescent="0.25">
      <c r="O1695" s="43"/>
      <c r="P1695" s="43"/>
      <c r="Q1695" s="43"/>
      <c r="R1695" s="43"/>
      <c r="S1695" s="43"/>
      <c r="T1695" s="43"/>
      <c r="U1695" s="43"/>
      <c r="V1695" s="43"/>
      <c r="W1695" s="43"/>
      <c r="X1695" s="43"/>
      <c r="Y1695" s="43"/>
      <c r="Z1695" s="43"/>
    </row>
    <row r="1696" spans="15:26" x14ac:dyDescent="0.25">
      <c r="O1696" s="43"/>
      <c r="P1696" s="43"/>
      <c r="Q1696" s="43"/>
      <c r="R1696" s="43"/>
      <c r="S1696" s="43"/>
      <c r="T1696" s="43"/>
      <c r="U1696" s="43"/>
      <c r="V1696" s="43"/>
      <c r="W1696" s="43"/>
      <c r="X1696" s="43"/>
      <c r="Y1696" s="43"/>
      <c r="Z1696" s="43"/>
    </row>
    <row r="1697" spans="15:26" x14ac:dyDescent="0.25">
      <c r="O1697" s="43"/>
      <c r="P1697" s="43"/>
      <c r="Q1697" s="43"/>
      <c r="R1697" s="43"/>
      <c r="S1697" s="43"/>
      <c r="T1697" s="43"/>
      <c r="U1697" s="43"/>
      <c r="V1697" s="43"/>
      <c r="W1697" s="43"/>
      <c r="X1697" s="43"/>
      <c r="Y1697" s="43"/>
      <c r="Z1697" s="43"/>
    </row>
    <row r="1698" spans="15:26" x14ac:dyDescent="0.25">
      <c r="O1698" s="43"/>
      <c r="P1698" s="43"/>
      <c r="Q1698" s="43"/>
      <c r="R1698" s="43"/>
      <c r="S1698" s="43"/>
      <c r="T1698" s="43"/>
      <c r="U1698" s="43"/>
      <c r="V1698" s="43"/>
      <c r="W1698" s="43"/>
      <c r="X1698" s="43"/>
      <c r="Y1698" s="43"/>
      <c r="Z1698" s="43"/>
    </row>
    <row r="1699" spans="15:26" x14ac:dyDescent="0.25">
      <c r="O1699" s="43"/>
      <c r="P1699" s="43"/>
      <c r="Q1699" s="43"/>
      <c r="R1699" s="43"/>
      <c r="S1699" s="43"/>
      <c r="T1699" s="43"/>
      <c r="U1699" s="43"/>
      <c r="V1699" s="43"/>
      <c r="W1699" s="43"/>
      <c r="X1699" s="43"/>
      <c r="Y1699" s="43"/>
      <c r="Z1699" s="43"/>
    </row>
    <row r="1700" spans="15:26" x14ac:dyDescent="0.25">
      <c r="O1700" s="43"/>
      <c r="P1700" s="43"/>
      <c r="Q1700" s="43"/>
      <c r="R1700" s="43"/>
      <c r="S1700" s="43"/>
      <c r="T1700" s="43"/>
      <c r="U1700" s="43"/>
      <c r="V1700" s="43"/>
      <c r="W1700" s="43"/>
      <c r="X1700" s="43"/>
      <c r="Y1700" s="43"/>
      <c r="Z1700" s="43"/>
    </row>
    <row r="1701" spans="15:26" x14ac:dyDescent="0.25">
      <c r="O1701" s="43"/>
      <c r="P1701" s="43"/>
      <c r="Q1701" s="43"/>
      <c r="R1701" s="43"/>
      <c r="S1701" s="43"/>
      <c r="T1701" s="43"/>
      <c r="U1701" s="43"/>
      <c r="V1701" s="43"/>
      <c r="W1701" s="43"/>
      <c r="X1701" s="43"/>
      <c r="Y1701" s="43"/>
      <c r="Z1701" s="43"/>
    </row>
    <row r="1702" spans="15:26" x14ac:dyDescent="0.25">
      <c r="O1702" s="43"/>
      <c r="P1702" s="43"/>
      <c r="Q1702" s="43"/>
      <c r="R1702" s="43"/>
      <c r="S1702" s="43"/>
      <c r="T1702" s="43"/>
      <c r="U1702" s="43"/>
      <c r="V1702" s="43"/>
      <c r="W1702" s="43"/>
      <c r="X1702" s="43"/>
      <c r="Y1702" s="43"/>
      <c r="Z1702" s="43"/>
    </row>
    <row r="1703" spans="15:26" x14ac:dyDescent="0.25">
      <c r="O1703" s="43"/>
      <c r="P1703" s="43"/>
      <c r="Q1703" s="43"/>
      <c r="R1703" s="43"/>
      <c r="S1703" s="43"/>
      <c r="T1703" s="43"/>
      <c r="U1703" s="43"/>
      <c r="V1703" s="43"/>
      <c r="W1703" s="43"/>
      <c r="X1703" s="43"/>
      <c r="Y1703" s="43"/>
      <c r="Z1703" s="43"/>
    </row>
    <row r="1704" spans="15:26" x14ac:dyDescent="0.25">
      <c r="O1704" s="43"/>
      <c r="P1704" s="43"/>
      <c r="Q1704" s="43"/>
      <c r="R1704" s="43"/>
      <c r="S1704" s="43"/>
      <c r="T1704" s="43"/>
      <c r="U1704" s="43"/>
      <c r="V1704" s="43"/>
      <c r="W1704" s="43"/>
      <c r="X1704" s="43"/>
      <c r="Y1704" s="43"/>
      <c r="Z1704" s="43"/>
    </row>
    <row r="1705" spans="15:26" x14ac:dyDescent="0.25">
      <c r="O1705" s="43"/>
      <c r="P1705" s="43"/>
      <c r="Q1705" s="43"/>
      <c r="R1705" s="43"/>
      <c r="S1705" s="43"/>
      <c r="T1705" s="43"/>
      <c r="U1705" s="43"/>
      <c r="V1705" s="43"/>
      <c r="W1705" s="43"/>
      <c r="X1705" s="43"/>
      <c r="Y1705" s="43"/>
      <c r="Z1705" s="43"/>
    </row>
    <row r="1706" spans="15:26" x14ac:dyDescent="0.25">
      <c r="O1706" s="43"/>
      <c r="P1706" s="43"/>
      <c r="Q1706" s="43"/>
      <c r="R1706" s="43"/>
      <c r="S1706" s="43"/>
      <c r="T1706" s="43"/>
      <c r="U1706" s="43"/>
      <c r="V1706" s="43"/>
      <c r="W1706" s="43"/>
      <c r="X1706" s="43"/>
      <c r="Y1706" s="43"/>
      <c r="Z1706" s="43"/>
    </row>
    <row r="1707" spans="15:26" x14ac:dyDescent="0.25">
      <c r="O1707" s="43"/>
      <c r="P1707" s="43"/>
      <c r="Q1707" s="43"/>
      <c r="R1707" s="43"/>
      <c r="S1707" s="43"/>
      <c r="T1707" s="43"/>
      <c r="U1707" s="43"/>
      <c r="V1707" s="43"/>
      <c r="W1707" s="43"/>
      <c r="X1707" s="43"/>
      <c r="Y1707" s="43"/>
      <c r="Z1707" s="43"/>
    </row>
    <row r="1708" spans="15:26" x14ac:dyDescent="0.25">
      <c r="O1708" s="43"/>
      <c r="P1708" s="43"/>
      <c r="Q1708" s="43"/>
      <c r="R1708" s="43"/>
      <c r="S1708" s="43"/>
      <c r="T1708" s="43"/>
      <c r="U1708" s="43"/>
      <c r="V1708" s="43"/>
      <c r="W1708" s="43"/>
      <c r="X1708" s="43"/>
      <c r="Y1708" s="43"/>
      <c r="Z1708" s="43"/>
    </row>
    <row r="1709" spans="15:26" x14ac:dyDescent="0.25">
      <c r="O1709" s="43"/>
      <c r="P1709" s="43"/>
      <c r="Q1709" s="43"/>
      <c r="R1709" s="43"/>
      <c r="S1709" s="43"/>
      <c r="T1709" s="43"/>
      <c r="U1709" s="43"/>
      <c r="V1709" s="43"/>
      <c r="W1709" s="43"/>
      <c r="X1709" s="43"/>
      <c r="Y1709" s="43"/>
      <c r="Z1709" s="43"/>
    </row>
    <row r="1710" spans="15:26" x14ac:dyDescent="0.25">
      <c r="O1710" s="43"/>
      <c r="P1710" s="43"/>
      <c r="Q1710" s="43"/>
      <c r="R1710" s="43"/>
      <c r="S1710" s="43"/>
      <c r="T1710" s="43"/>
      <c r="U1710" s="43"/>
      <c r="V1710" s="43"/>
      <c r="W1710" s="43"/>
      <c r="X1710" s="43"/>
      <c r="Y1710" s="43"/>
      <c r="Z1710" s="43"/>
    </row>
    <row r="1711" spans="15:26" x14ac:dyDescent="0.25">
      <c r="O1711" s="43"/>
      <c r="P1711" s="43"/>
      <c r="Q1711" s="43"/>
      <c r="R1711" s="43"/>
      <c r="S1711" s="43"/>
      <c r="T1711" s="43"/>
      <c r="U1711" s="43"/>
      <c r="V1711" s="43"/>
      <c r="W1711" s="43"/>
      <c r="X1711" s="43"/>
      <c r="Y1711" s="43"/>
      <c r="Z1711" s="43"/>
    </row>
    <row r="1712" spans="15:26" x14ac:dyDescent="0.25">
      <c r="O1712" s="43"/>
      <c r="P1712" s="43"/>
      <c r="Q1712" s="43"/>
      <c r="R1712" s="43"/>
      <c r="S1712" s="43"/>
      <c r="T1712" s="43"/>
      <c r="U1712" s="43"/>
      <c r="V1712" s="43"/>
      <c r="W1712" s="43"/>
      <c r="X1712" s="43"/>
      <c r="Y1712" s="43"/>
      <c r="Z1712" s="43"/>
    </row>
    <row r="1713" spans="15:26" x14ac:dyDescent="0.25">
      <c r="O1713" s="43"/>
      <c r="P1713" s="43"/>
      <c r="Q1713" s="43"/>
      <c r="R1713" s="43"/>
      <c r="S1713" s="43"/>
      <c r="T1713" s="43"/>
      <c r="U1713" s="43"/>
      <c r="V1713" s="43"/>
      <c r="W1713" s="43"/>
      <c r="X1713" s="43"/>
      <c r="Y1713" s="43"/>
      <c r="Z1713" s="43"/>
    </row>
    <row r="1714" spans="15:26" x14ac:dyDescent="0.25">
      <c r="O1714" s="43"/>
      <c r="P1714" s="43"/>
      <c r="Q1714" s="43"/>
      <c r="R1714" s="43"/>
      <c r="S1714" s="43"/>
      <c r="T1714" s="43"/>
      <c r="U1714" s="43"/>
      <c r="V1714" s="43"/>
      <c r="W1714" s="43"/>
      <c r="X1714" s="43"/>
      <c r="Y1714" s="43"/>
      <c r="Z1714" s="43"/>
    </row>
    <row r="1715" spans="15:26" x14ac:dyDescent="0.25">
      <c r="O1715" s="43"/>
      <c r="P1715" s="43"/>
      <c r="Q1715" s="43"/>
      <c r="R1715" s="43"/>
      <c r="S1715" s="43"/>
      <c r="T1715" s="43"/>
      <c r="U1715" s="43"/>
      <c r="V1715" s="43"/>
      <c r="W1715" s="43"/>
      <c r="X1715" s="43"/>
      <c r="Y1715" s="43"/>
      <c r="Z1715" s="43"/>
    </row>
    <row r="1716" spans="15:26" x14ac:dyDescent="0.25">
      <c r="O1716" s="43"/>
      <c r="P1716" s="43"/>
      <c r="Q1716" s="43"/>
      <c r="R1716" s="43"/>
      <c r="S1716" s="43"/>
      <c r="T1716" s="43"/>
      <c r="U1716" s="43"/>
      <c r="V1716" s="43"/>
      <c r="W1716" s="43"/>
      <c r="X1716" s="43"/>
      <c r="Y1716" s="43"/>
      <c r="Z1716" s="43"/>
    </row>
    <row r="1717" spans="15:26" x14ac:dyDescent="0.25">
      <c r="O1717" s="43"/>
      <c r="P1717" s="43"/>
      <c r="Q1717" s="43"/>
      <c r="R1717" s="43"/>
      <c r="S1717" s="43"/>
      <c r="T1717" s="43"/>
      <c r="U1717" s="43"/>
      <c r="V1717" s="43"/>
      <c r="W1717" s="43"/>
      <c r="X1717" s="43"/>
      <c r="Y1717" s="43"/>
      <c r="Z1717" s="43"/>
    </row>
    <row r="1718" spans="15:26" x14ac:dyDescent="0.25">
      <c r="O1718" s="43"/>
      <c r="P1718" s="43"/>
      <c r="Q1718" s="43"/>
      <c r="R1718" s="43"/>
      <c r="S1718" s="43"/>
      <c r="T1718" s="43"/>
      <c r="U1718" s="43"/>
      <c r="V1718" s="43"/>
      <c r="W1718" s="43"/>
      <c r="X1718" s="43"/>
      <c r="Y1718" s="43"/>
      <c r="Z1718" s="43"/>
    </row>
    <row r="1719" spans="15:26" x14ac:dyDescent="0.25">
      <c r="O1719" s="43"/>
      <c r="P1719" s="43"/>
      <c r="Q1719" s="43"/>
      <c r="R1719" s="43"/>
      <c r="S1719" s="43"/>
      <c r="T1719" s="43"/>
      <c r="U1719" s="43"/>
      <c r="V1719" s="43"/>
      <c r="W1719" s="43"/>
      <c r="X1719" s="43"/>
      <c r="Y1719" s="43"/>
      <c r="Z1719" s="43"/>
    </row>
    <row r="1720" spans="15:26" x14ac:dyDescent="0.25">
      <c r="O1720" s="43"/>
      <c r="P1720" s="43"/>
      <c r="Q1720" s="43"/>
      <c r="R1720" s="43"/>
      <c r="S1720" s="43"/>
      <c r="T1720" s="43"/>
      <c r="U1720" s="43"/>
      <c r="V1720" s="43"/>
      <c r="W1720" s="43"/>
      <c r="X1720" s="43"/>
      <c r="Y1720" s="43"/>
      <c r="Z1720" s="43"/>
    </row>
    <row r="1721" spans="15:26" x14ac:dyDescent="0.25">
      <c r="O1721" s="43"/>
      <c r="P1721" s="43"/>
      <c r="Q1721" s="43"/>
      <c r="R1721" s="43"/>
      <c r="S1721" s="43"/>
      <c r="T1721" s="43"/>
      <c r="U1721" s="43"/>
      <c r="V1721" s="43"/>
      <c r="W1721" s="43"/>
      <c r="X1721" s="43"/>
      <c r="Y1721" s="43"/>
      <c r="Z1721" s="43"/>
    </row>
    <row r="1722" spans="15:26" x14ac:dyDescent="0.25">
      <c r="O1722" s="43"/>
      <c r="P1722" s="43"/>
      <c r="Q1722" s="43"/>
      <c r="R1722" s="43"/>
      <c r="S1722" s="43"/>
      <c r="T1722" s="43"/>
      <c r="U1722" s="43"/>
      <c r="V1722" s="43"/>
      <c r="W1722" s="43"/>
      <c r="X1722" s="43"/>
      <c r="Y1722" s="43"/>
      <c r="Z1722" s="43"/>
    </row>
    <row r="1723" spans="15:26" x14ac:dyDescent="0.25">
      <c r="O1723" s="43"/>
      <c r="P1723" s="43"/>
      <c r="Q1723" s="43"/>
      <c r="R1723" s="43"/>
      <c r="S1723" s="43"/>
      <c r="T1723" s="43"/>
      <c r="U1723" s="43"/>
      <c r="V1723" s="43"/>
      <c r="W1723" s="43"/>
      <c r="X1723" s="43"/>
      <c r="Y1723" s="43"/>
      <c r="Z1723" s="43"/>
    </row>
    <row r="1724" spans="15:26" x14ac:dyDescent="0.25">
      <c r="O1724" s="43"/>
      <c r="P1724" s="43"/>
      <c r="Q1724" s="43"/>
      <c r="R1724" s="43"/>
      <c r="S1724" s="43"/>
      <c r="T1724" s="43"/>
      <c r="U1724" s="43"/>
      <c r="V1724" s="43"/>
      <c r="W1724" s="43"/>
      <c r="X1724" s="43"/>
      <c r="Y1724" s="43"/>
      <c r="Z1724" s="43"/>
    </row>
    <row r="1725" spans="15:26" x14ac:dyDescent="0.25">
      <c r="O1725" s="43"/>
      <c r="P1725" s="43"/>
      <c r="Q1725" s="43"/>
      <c r="R1725" s="43"/>
      <c r="S1725" s="43"/>
      <c r="T1725" s="43"/>
      <c r="U1725" s="43"/>
      <c r="V1725" s="43"/>
      <c r="W1725" s="43"/>
      <c r="X1725" s="43"/>
      <c r="Y1725" s="43"/>
      <c r="Z1725" s="43"/>
    </row>
    <row r="1726" spans="15:26" x14ac:dyDescent="0.25">
      <c r="O1726" s="43"/>
      <c r="P1726" s="43"/>
      <c r="Q1726" s="43"/>
      <c r="R1726" s="43"/>
      <c r="S1726" s="43"/>
      <c r="T1726" s="43"/>
      <c r="U1726" s="43"/>
      <c r="V1726" s="43"/>
      <c r="W1726" s="43"/>
      <c r="X1726" s="43"/>
      <c r="Y1726" s="43"/>
      <c r="Z1726" s="43"/>
    </row>
    <row r="1727" spans="15:26" x14ac:dyDescent="0.25">
      <c r="O1727" s="43"/>
      <c r="P1727" s="43"/>
      <c r="Q1727" s="43"/>
      <c r="R1727" s="43"/>
      <c r="S1727" s="43"/>
      <c r="T1727" s="43"/>
      <c r="U1727" s="43"/>
      <c r="V1727" s="43"/>
      <c r="W1727" s="43"/>
      <c r="X1727" s="43"/>
      <c r="Y1727" s="43"/>
      <c r="Z1727" s="43"/>
    </row>
    <row r="1728" spans="15:26" x14ac:dyDescent="0.25">
      <c r="O1728" s="43"/>
      <c r="P1728" s="43"/>
      <c r="Q1728" s="43"/>
      <c r="R1728" s="43"/>
      <c r="S1728" s="43"/>
      <c r="T1728" s="43"/>
      <c r="U1728" s="43"/>
      <c r="V1728" s="43"/>
      <c r="W1728" s="43"/>
      <c r="X1728" s="43"/>
      <c r="Y1728" s="43"/>
      <c r="Z1728" s="43"/>
    </row>
    <row r="1729" spans="15:26" x14ac:dyDescent="0.25">
      <c r="O1729" s="43"/>
      <c r="P1729" s="43"/>
      <c r="Q1729" s="43"/>
      <c r="R1729" s="43"/>
      <c r="S1729" s="43"/>
      <c r="T1729" s="43"/>
      <c r="U1729" s="43"/>
      <c r="V1729" s="43"/>
      <c r="W1729" s="43"/>
      <c r="X1729" s="43"/>
      <c r="Y1729" s="43"/>
      <c r="Z1729" s="43"/>
    </row>
    <row r="1730" spans="15:26" x14ac:dyDescent="0.25">
      <c r="O1730" s="43"/>
      <c r="P1730" s="43"/>
      <c r="Q1730" s="43"/>
      <c r="R1730" s="43"/>
      <c r="S1730" s="43"/>
      <c r="T1730" s="43"/>
      <c r="U1730" s="43"/>
      <c r="V1730" s="43"/>
      <c r="W1730" s="43"/>
      <c r="X1730" s="43"/>
      <c r="Y1730" s="43"/>
      <c r="Z1730" s="43"/>
    </row>
    <row r="1731" spans="15:26" x14ac:dyDescent="0.25">
      <c r="O1731" s="43"/>
      <c r="P1731" s="43"/>
      <c r="Q1731" s="43"/>
      <c r="R1731" s="43"/>
      <c r="S1731" s="43"/>
      <c r="T1731" s="43"/>
      <c r="U1731" s="43"/>
      <c r="V1731" s="43"/>
      <c r="W1731" s="43"/>
      <c r="X1731" s="43"/>
      <c r="Y1731" s="43"/>
      <c r="Z1731" s="43"/>
    </row>
    <row r="1732" spans="15:26" x14ac:dyDescent="0.25">
      <c r="O1732" s="43"/>
      <c r="P1732" s="43"/>
      <c r="Q1732" s="43"/>
      <c r="R1732" s="43"/>
      <c r="S1732" s="43"/>
      <c r="T1732" s="43"/>
      <c r="U1732" s="43"/>
      <c r="V1732" s="43"/>
      <c r="W1732" s="43"/>
      <c r="X1732" s="43"/>
      <c r="Y1732" s="43"/>
      <c r="Z1732" s="43"/>
    </row>
    <row r="1733" spans="15:26" x14ac:dyDescent="0.25">
      <c r="O1733" s="43"/>
      <c r="P1733" s="43"/>
      <c r="Q1733" s="43"/>
      <c r="R1733" s="43"/>
      <c r="S1733" s="43"/>
      <c r="T1733" s="43"/>
      <c r="U1733" s="43"/>
      <c r="V1733" s="43"/>
      <c r="W1733" s="43"/>
      <c r="X1733" s="43"/>
      <c r="Y1733" s="43"/>
      <c r="Z1733" s="43"/>
    </row>
    <row r="1734" spans="15:26" x14ac:dyDescent="0.25">
      <c r="O1734" s="43"/>
      <c r="P1734" s="43"/>
      <c r="Q1734" s="43"/>
      <c r="R1734" s="43"/>
      <c r="S1734" s="43"/>
      <c r="T1734" s="43"/>
      <c r="U1734" s="43"/>
      <c r="V1734" s="43"/>
      <c r="W1734" s="43"/>
      <c r="X1734" s="43"/>
      <c r="Y1734" s="43"/>
      <c r="Z1734" s="43"/>
    </row>
    <row r="1735" spans="15:26" x14ac:dyDescent="0.25">
      <c r="O1735" s="43"/>
      <c r="P1735" s="43"/>
      <c r="Q1735" s="43"/>
      <c r="R1735" s="43"/>
      <c r="S1735" s="43"/>
      <c r="T1735" s="43"/>
      <c r="U1735" s="43"/>
      <c r="V1735" s="43"/>
      <c r="W1735" s="43"/>
      <c r="X1735" s="43"/>
      <c r="Y1735" s="43"/>
      <c r="Z1735" s="43"/>
    </row>
    <row r="1736" spans="15:26" x14ac:dyDescent="0.25">
      <c r="O1736" s="43"/>
      <c r="P1736" s="43"/>
      <c r="Q1736" s="43"/>
      <c r="R1736" s="43"/>
      <c r="S1736" s="43"/>
      <c r="T1736" s="43"/>
      <c r="U1736" s="43"/>
      <c r="V1736" s="43"/>
      <c r="W1736" s="43"/>
      <c r="X1736" s="43"/>
      <c r="Y1736" s="43"/>
      <c r="Z1736" s="43"/>
    </row>
    <row r="1737" spans="15:26" x14ac:dyDescent="0.25">
      <c r="O1737" s="43"/>
      <c r="P1737" s="43"/>
      <c r="Q1737" s="43"/>
      <c r="R1737" s="43"/>
      <c r="S1737" s="43"/>
      <c r="T1737" s="43"/>
      <c r="U1737" s="43"/>
      <c r="V1737" s="43"/>
      <c r="W1737" s="43"/>
      <c r="X1737" s="43"/>
      <c r="Y1737" s="43"/>
      <c r="Z1737" s="43"/>
    </row>
    <row r="1738" spans="15:26" x14ac:dyDescent="0.25">
      <c r="O1738" s="43"/>
      <c r="P1738" s="43"/>
      <c r="Q1738" s="43"/>
      <c r="R1738" s="43"/>
      <c r="S1738" s="43"/>
      <c r="T1738" s="43"/>
      <c r="U1738" s="43"/>
      <c r="V1738" s="43"/>
      <c r="W1738" s="43"/>
      <c r="X1738" s="43"/>
      <c r="Y1738" s="43"/>
      <c r="Z1738" s="43"/>
    </row>
    <row r="1739" spans="15:26" x14ac:dyDescent="0.25">
      <c r="O1739" s="43"/>
      <c r="P1739" s="43"/>
      <c r="Q1739" s="43"/>
      <c r="R1739" s="43"/>
      <c r="S1739" s="43"/>
      <c r="T1739" s="43"/>
      <c r="U1739" s="43"/>
      <c r="V1739" s="43"/>
      <c r="W1739" s="43"/>
      <c r="X1739" s="43"/>
      <c r="Y1739" s="43"/>
      <c r="Z1739" s="43"/>
    </row>
    <row r="1740" spans="15:26" x14ac:dyDescent="0.25">
      <c r="O1740" s="43"/>
      <c r="P1740" s="43"/>
      <c r="Q1740" s="43"/>
      <c r="R1740" s="43"/>
      <c r="S1740" s="43"/>
      <c r="T1740" s="43"/>
      <c r="U1740" s="43"/>
      <c r="V1740" s="43"/>
      <c r="W1740" s="43"/>
      <c r="X1740" s="43"/>
      <c r="Y1740" s="43"/>
      <c r="Z1740" s="43"/>
    </row>
    <row r="1741" spans="15:26" x14ac:dyDescent="0.25">
      <c r="O1741" s="43"/>
      <c r="P1741" s="43"/>
      <c r="Q1741" s="43"/>
      <c r="R1741" s="43"/>
      <c r="S1741" s="43"/>
      <c r="T1741" s="43"/>
      <c r="U1741" s="43"/>
      <c r="V1741" s="43"/>
      <c r="W1741" s="43"/>
      <c r="X1741" s="43"/>
      <c r="Y1741" s="43"/>
      <c r="Z1741" s="43"/>
    </row>
    <row r="1742" spans="15:26" x14ac:dyDescent="0.25">
      <c r="O1742" s="43"/>
      <c r="P1742" s="43"/>
      <c r="Q1742" s="43"/>
      <c r="R1742" s="43"/>
      <c r="S1742" s="43"/>
      <c r="T1742" s="43"/>
      <c r="U1742" s="43"/>
      <c r="V1742" s="43"/>
      <c r="W1742" s="43"/>
      <c r="X1742" s="43"/>
      <c r="Y1742" s="43"/>
      <c r="Z1742" s="43"/>
    </row>
    <row r="1743" spans="15:26" x14ac:dyDescent="0.25">
      <c r="O1743" s="43"/>
      <c r="P1743" s="43"/>
      <c r="Q1743" s="43"/>
      <c r="R1743" s="43"/>
      <c r="S1743" s="43"/>
      <c r="T1743" s="43"/>
      <c r="U1743" s="43"/>
      <c r="V1743" s="43"/>
      <c r="W1743" s="43"/>
      <c r="X1743" s="43"/>
      <c r="Y1743" s="43"/>
      <c r="Z1743" s="43"/>
    </row>
    <row r="1744" spans="15:26" x14ac:dyDescent="0.25">
      <c r="O1744" s="43"/>
      <c r="P1744" s="43"/>
      <c r="Q1744" s="43"/>
      <c r="R1744" s="43"/>
      <c r="S1744" s="43"/>
      <c r="T1744" s="43"/>
      <c r="U1744" s="43"/>
      <c r="V1744" s="43"/>
      <c r="W1744" s="43"/>
      <c r="X1744" s="43"/>
      <c r="Y1744" s="43"/>
      <c r="Z1744" s="43"/>
    </row>
    <row r="1745" spans="15:26" x14ac:dyDescent="0.25">
      <c r="O1745" s="43"/>
      <c r="P1745" s="43"/>
      <c r="Q1745" s="43"/>
      <c r="R1745" s="43"/>
      <c r="S1745" s="43"/>
      <c r="T1745" s="43"/>
      <c r="U1745" s="43"/>
      <c r="V1745" s="43"/>
      <c r="W1745" s="43"/>
      <c r="X1745" s="43"/>
      <c r="Y1745" s="43"/>
      <c r="Z1745" s="43"/>
    </row>
    <row r="1746" spans="15:26" x14ac:dyDescent="0.25">
      <c r="O1746" s="43"/>
      <c r="P1746" s="43"/>
      <c r="Q1746" s="43"/>
      <c r="R1746" s="43"/>
      <c r="S1746" s="43"/>
      <c r="T1746" s="43"/>
      <c r="U1746" s="43"/>
      <c r="V1746" s="43"/>
      <c r="W1746" s="43"/>
      <c r="X1746" s="43"/>
      <c r="Y1746" s="43"/>
      <c r="Z1746" s="43"/>
    </row>
    <row r="1747" spans="15:26" x14ac:dyDescent="0.25">
      <c r="O1747" s="43"/>
      <c r="P1747" s="43"/>
      <c r="Q1747" s="43"/>
      <c r="R1747" s="43"/>
      <c r="S1747" s="43"/>
      <c r="T1747" s="43"/>
      <c r="U1747" s="43"/>
      <c r="V1747" s="43"/>
      <c r="W1747" s="43"/>
      <c r="X1747" s="43"/>
      <c r="Y1747" s="43"/>
      <c r="Z1747" s="43"/>
    </row>
    <row r="1748" spans="15:26" x14ac:dyDescent="0.25">
      <c r="O1748" s="43"/>
      <c r="P1748" s="43"/>
      <c r="Q1748" s="43"/>
      <c r="R1748" s="43"/>
      <c r="S1748" s="43"/>
      <c r="T1748" s="43"/>
      <c r="U1748" s="43"/>
      <c r="V1748" s="43"/>
      <c r="W1748" s="43"/>
      <c r="X1748" s="43"/>
      <c r="Y1748" s="43"/>
      <c r="Z1748" s="43"/>
    </row>
    <row r="1749" spans="15:26" x14ac:dyDescent="0.25">
      <c r="O1749" s="43"/>
      <c r="P1749" s="43"/>
      <c r="Q1749" s="43"/>
      <c r="R1749" s="43"/>
      <c r="S1749" s="43"/>
      <c r="T1749" s="43"/>
      <c r="U1749" s="43"/>
      <c r="V1749" s="43"/>
      <c r="W1749" s="43"/>
      <c r="X1749" s="43"/>
      <c r="Y1749" s="43"/>
      <c r="Z1749" s="43"/>
    </row>
    <row r="1750" spans="15:26" x14ac:dyDescent="0.25">
      <c r="O1750" s="43"/>
      <c r="P1750" s="43"/>
      <c r="Q1750" s="43"/>
      <c r="R1750" s="43"/>
      <c r="S1750" s="43"/>
      <c r="T1750" s="43"/>
      <c r="U1750" s="43"/>
      <c r="V1750" s="43"/>
      <c r="W1750" s="43"/>
      <c r="X1750" s="43"/>
      <c r="Y1750" s="43"/>
      <c r="Z1750" s="43"/>
    </row>
    <row r="1751" spans="15:26" x14ac:dyDescent="0.25">
      <c r="O1751" s="43"/>
      <c r="P1751" s="43"/>
      <c r="Q1751" s="43"/>
      <c r="R1751" s="43"/>
      <c r="S1751" s="43"/>
      <c r="T1751" s="43"/>
      <c r="U1751" s="43"/>
      <c r="V1751" s="43"/>
      <c r="W1751" s="43"/>
      <c r="X1751" s="43"/>
      <c r="Y1751" s="43"/>
      <c r="Z1751" s="43"/>
    </row>
    <row r="1752" spans="15:26" x14ac:dyDescent="0.25">
      <c r="O1752" s="43"/>
      <c r="P1752" s="43"/>
      <c r="Q1752" s="43"/>
      <c r="R1752" s="43"/>
      <c r="S1752" s="43"/>
      <c r="T1752" s="43"/>
      <c r="U1752" s="43"/>
      <c r="V1752" s="43"/>
      <c r="W1752" s="43"/>
      <c r="X1752" s="43"/>
      <c r="Y1752" s="43"/>
      <c r="Z1752" s="43"/>
    </row>
    <row r="1753" spans="15:26" x14ac:dyDescent="0.25">
      <c r="O1753" s="43"/>
      <c r="P1753" s="43"/>
      <c r="Q1753" s="43"/>
      <c r="R1753" s="43"/>
      <c r="S1753" s="43"/>
      <c r="T1753" s="43"/>
      <c r="U1753" s="43"/>
      <c r="V1753" s="43"/>
      <c r="W1753" s="43"/>
      <c r="X1753" s="43"/>
      <c r="Y1753" s="43"/>
      <c r="Z1753" s="43"/>
    </row>
    <row r="1754" spans="15:26" x14ac:dyDescent="0.25">
      <c r="O1754" s="43"/>
      <c r="P1754" s="43"/>
      <c r="Q1754" s="43"/>
      <c r="R1754" s="43"/>
      <c r="S1754" s="43"/>
      <c r="T1754" s="43"/>
      <c r="U1754" s="43"/>
      <c r="V1754" s="43"/>
      <c r="W1754" s="43"/>
      <c r="X1754" s="43"/>
      <c r="Y1754" s="43"/>
      <c r="Z1754" s="43"/>
    </row>
    <row r="1755" spans="15:26" x14ac:dyDescent="0.25">
      <c r="O1755" s="43"/>
      <c r="P1755" s="43"/>
      <c r="Q1755" s="43"/>
      <c r="R1755" s="43"/>
      <c r="S1755" s="43"/>
      <c r="T1755" s="43"/>
      <c r="U1755" s="43"/>
      <c r="V1755" s="43"/>
      <c r="W1755" s="43"/>
      <c r="X1755" s="43"/>
      <c r="Y1755" s="43"/>
      <c r="Z1755" s="43"/>
    </row>
    <row r="1756" spans="15:26" x14ac:dyDescent="0.25">
      <c r="O1756" s="43"/>
      <c r="P1756" s="43"/>
      <c r="Q1756" s="43"/>
      <c r="R1756" s="43"/>
      <c r="S1756" s="43"/>
      <c r="T1756" s="43"/>
      <c r="U1756" s="43"/>
      <c r="V1756" s="43"/>
      <c r="W1756" s="43"/>
      <c r="X1756" s="43"/>
      <c r="Y1756" s="43"/>
      <c r="Z1756" s="43"/>
    </row>
    <row r="1757" spans="15:26" x14ac:dyDescent="0.25">
      <c r="O1757" s="43"/>
      <c r="P1757" s="43"/>
      <c r="Q1757" s="43"/>
      <c r="R1757" s="43"/>
      <c r="S1757" s="43"/>
      <c r="T1757" s="43"/>
      <c r="U1757" s="43"/>
      <c r="V1757" s="43"/>
      <c r="W1757" s="43"/>
      <c r="X1757" s="43"/>
      <c r="Y1757" s="43"/>
      <c r="Z1757" s="43"/>
    </row>
    <row r="1758" spans="15:26" x14ac:dyDescent="0.25">
      <c r="O1758" s="43"/>
      <c r="P1758" s="43"/>
      <c r="Q1758" s="43"/>
      <c r="R1758" s="43"/>
      <c r="S1758" s="43"/>
      <c r="T1758" s="43"/>
      <c r="U1758" s="43"/>
      <c r="V1758" s="43"/>
      <c r="W1758" s="43"/>
      <c r="X1758" s="43"/>
      <c r="Y1758" s="43"/>
      <c r="Z1758" s="43"/>
    </row>
    <row r="1759" spans="15:26" x14ac:dyDescent="0.25">
      <c r="O1759" s="43"/>
      <c r="P1759" s="43"/>
      <c r="Q1759" s="43"/>
      <c r="R1759" s="43"/>
      <c r="S1759" s="43"/>
      <c r="T1759" s="43"/>
      <c r="U1759" s="43"/>
      <c r="V1759" s="43"/>
      <c r="W1759" s="43"/>
      <c r="X1759" s="43"/>
      <c r="Y1759" s="43"/>
      <c r="Z1759" s="43"/>
    </row>
    <row r="1760" spans="15:26" x14ac:dyDescent="0.25">
      <c r="O1760" s="43"/>
      <c r="P1760" s="43"/>
      <c r="Q1760" s="43"/>
      <c r="R1760" s="43"/>
      <c r="S1760" s="43"/>
      <c r="T1760" s="43"/>
      <c r="U1760" s="43"/>
      <c r="V1760" s="43"/>
      <c r="W1760" s="43"/>
      <c r="X1760" s="43"/>
      <c r="Y1760" s="43"/>
      <c r="Z1760" s="43"/>
    </row>
    <row r="1761" spans="15:26" x14ac:dyDescent="0.25">
      <c r="O1761" s="43"/>
      <c r="P1761" s="43"/>
      <c r="Q1761" s="43"/>
      <c r="R1761" s="43"/>
      <c r="S1761" s="43"/>
      <c r="T1761" s="43"/>
      <c r="U1761" s="43"/>
      <c r="V1761" s="43"/>
      <c r="W1761" s="43"/>
      <c r="X1761" s="43"/>
      <c r="Y1761" s="43"/>
      <c r="Z1761" s="43"/>
    </row>
    <row r="1762" spans="15:26" x14ac:dyDescent="0.25">
      <c r="O1762" s="43"/>
      <c r="P1762" s="43"/>
      <c r="Q1762" s="43"/>
      <c r="R1762" s="43"/>
      <c r="S1762" s="43"/>
      <c r="T1762" s="43"/>
      <c r="U1762" s="43"/>
      <c r="V1762" s="43"/>
      <c r="W1762" s="43"/>
      <c r="X1762" s="43"/>
      <c r="Y1762" s="43"/>
      <c r="Z1762" s="43"/>
    </row>
    <row r="1763" spans="15:26" x14ac:dyDescent="0.25">
      <c r="O1763" s="43"/>
      <c r="P1763" s="43"/>
      <c r="Q1763" s="43"/>
      <c r="R1763" s="43"/>
      <c r="S1763" s="43"/>
      <c r="T1763" s="43"/>
      <c r="U1763" s="43"/>
      <c r="V1763" s="43"/>
      <c r="W1763" s="43"/>
      <c r="X1763" s="43"/>
      <c r="Y1763" s="43"/>
      <c r="Z1763" s="43"/>
    </row>
    <row r="1764" spans="15:26" x14ac:dyDescent="0.25">
      <c r="O1764" s="43"/>
      <c r="P1764" s="43"/>
      <c r="Q1764" s="43"/>
      <c r="R1764" s="43"/>
      <c r="S1764" s="43"/>
      <c r="T1764" s="43"/>
      <c r="U1764" s="43"/>
      <c r="V1764" s="43"/>
      <c r="W1764" s="43"/>
      <c r="X1764" s="43"/>
      <c r="Y1764" s="43"/>
      <c r="Z1764" s="43"/>
    </row>
    <row r="1765" spans="15:26" x14ac:dyDescent="0.25">
      <c r="O1765" s="43"/>
      <c r="P1765" s="43"/>
      <c r="Q1765" s="43"/>
      <c r="R1765" s="43"/>
      <c r="S1765" s="43"/>
      <c r="T1765" s="43"/>
      <c r="U1765" s="43"/>
      <c r="V1765" s="43"/>
      <c r="W1765" s="43"/>
      <c r="X1765" s="43"/>
      <c r="Y1765" s="43"/>
      <c r="Z1765" s="43"/>
    </row>
    <row r="1766" spans="15:26" x14ac:dyDescent="0.25">
      <c r="O1766" s="43"/>
      <c r="P1766" s="43"/>
      <c r="Q1766" s="43"/>
      <c r="R1766" s="43"/>
      <c r="S1766" s="43"/>
      <c r="T1766" s="43"/>
      <c r="U1766" s="43"/>
      <c r="V1766" s="43"/>
      <c r="W1766" s="43"/>
      <c r="X1766" s="43"/>
      <c r="Y1766" s="43"/>
      <c r="Z1766" s="43"/>
    </row>
    <row r="1767" spans="15:26" x14ac:dyDescent="0.25">
      <c r="O1767" s="43"/>
      <c r="P1767" s="43"/>
      <c r="Q1767" s="43"/>
      <c r="R1767" s="43"/>
      <c r="S1767" s="43"/>
      <c r="T1767" s="43"/>
      <c r="U1767" s="43"/>
      <c r="V1767" s="43"/>
      <c r="W1767" s="43"/>
      <c r="X1767" s="43"/>
      <c r="Y1767" s="43"/>
      <c r="Z1767" s="43"/>
    </row>
    <row r="1768" spans="15:26" x14ac:dyDescent="0.25">
      <c r="O1768" s="43"/>
      <c r="P1768" s="43"/>
      <c r="Q1768" s="43"/>
      <c r="R1768" s="43"/>
      <c r="S1768" s="43"/>
      <c r="T1768" s="43"/>
      <c r="U1768" s="43"/>
      <c r="V1768" s="43"/>
      <c r="W1768" s="43"/>
      <c r="X1768" s="43"/>
      <c r="Y1768" s="43"/>
      <c r="Z1768" s="43"/>
    </row>
    <row r="1769" spans="15:26" x14ac:dyDescent="0.25">
      <c r="O1769" s="43"/>
      <c r="P1769" s="43"/>
      <c r="Q1769" s="43"/>
      <c r="R1769" s="43"/>
      <c r="S1769" s="43"/>
      <c r="T1769" s="43"/>
      <c r="U1769" s="43"/>
      <c r="V1769" s="43"/>
      <c r="W1769" s="43"/>
      <c r="X1769" s="43"/>
      <c r="Y1769" s="43"/>
      <c r="Z1769" s="43"/>
    </row>
    <row r="1770" spans="15:26" x14ac:dyDescent="0.25">
      <c r="O1770" s="43"/>
      <c r="P1770" s="43"/>
      <c r="Q1770" s="43"/>
      <c r="R1770" s="43"/>
      <c r="S1770" s="43"/>
      <c r="T1770" s="43"/>
      <c r="U1770" s="43"/>
      <c r="V1770" s="43"/>
      <c r="W1770" s="43"/>
      <c r="X1770" s="43"/>
      <c r="Y1770" s="43"/>
      <c r="Z1770" s="43"/>
    </row>
    <row r="1771" spans="15:26" x14ac:dyDescent="0.25">
      <c r="O1771" s="43"/>
      <c r="P1771" s="43"/>
      <c r="Q1771" s="43"/>
      <c r="R1771" s="43"/>
      <c r="S1771" s="43"/>
      <c r="T1771" s="43"/>
      <c r="U1771" s="43"/>
      <c r="V1771" s="43"/>
      <c r="W1771" s="43"/>
      <c r="X1771" s="43"/>
      <c r="Y1771" s="43"/>
      <c r="Z1771" s="43"/>
    </row>
    <row r="1772" spans="15:26" x14ac:dyDescent="0.25">
      <c r="O1772" s="43"/>
      <c r="P1772" s="43"/>
      <c r="Q1772" s="43"/>
      <c r="R1772" s="43"/>
      <c r="S1772" s="43"/>
      <c r="T1772" s="43"/>
      <c r="U1772" s="43"/>
      <c r="V1772" s="43"/>
      <c r="W1772" s="43"/>
      <c r="X1772" s="43"/>
      <c r="Y1772" s="43"/>
      <c r="Z1772" s="43"/>
    </row>
    <row r="1773" spans="15:26" x14ac:dyDescent="0.25">
      <c r="O1773" s="43"/>
      <c r="P1773" s="43"/>
      <c r="Q1773" s="43"/>
      <c r="R1773" s="43"/>
      <c r="S1773" s="43"/>
      <c r="T1773" s="43"/>
      <c r="U1773" s="43"/>
      <c r="V1773" s="43"/>
      <c r="W1773" s="43"/>
      <c r="X1773" s="43"/>
      <c r="Y1773" s="43"/>
      <c r="Z1773" s="43"/>
    </row>
    <row r="1774" spans="15:26" x14ac:dyDescent="0.25">
      <c r="O1774" s="43"/>
      <c r="P1774" s="43"/>
      <c r="Q1774" s="43"/>
      <c r="R1774" s="43"/>
      <c r="S1774" s="43"/>
      <c r="T1774" s="43"/>
      <c r="U1774" s="43"/>
      <c r="V1774" s="43"/>
      <c r="W1774" s="43"/>
      <c r="X1774" s="43"/>
      <c r="Y1774" s="43"/>
      <c r="Z1774" s="43"/>
    </row>
    <row r="1775" spans="15:26" x14ac:dyDescent="0.25">
      <c r="O1775" s="43"/>
      <c r="P1775" s="43"/>
      <c r="Q1775" s="43"/>
      <c r="R1775" s="43"/>
      <c r="S1775" s="43"/>
      <c r="T1775" s="43"/>
      <c r="U1775" s="43"/>
      <c r="V1775" s="43"/>
      <c r="W1775" s="43"/>
      <c r="X1775" s="43"/>
      <c r="Y1775" s="43"/>
      <c r="Z1775" s="43"/>
    </row>
    <row r="1776" spans="15:26" x14ac:dyDescent="0.25">
      <c r="O1776" s="43"/>
      <c r="P1776" s="43"/>
      <c r="Q1776" s="43"/>
      <c r="R1776" s="43"/>
      <c r="S1776" s="43"/>
      <c r="T1776" s="43"/>
      <c r="U1776" s="43"/>
      <c r="V1776" s="43"/>
      <c r="W1776" s="43"/>
      <c r="X1776" s="43"/>
      <c r="Y1776" s="43"/>
      <c r="Z1776" s="43"/>
    </row>
    <row r="1777" spans="15:26" x14ac:dyDescent="0.25">
      <c r="O1777" s="43"/>
      <c r="P1777" s="43"/>
      <c r="Q1777" s="43"/>
      <c r="R1777" s="43"/>
      <c r="S1777" s="43"/>
      <c r="T1777" s="43"/>
      <c r="U1777" s="43"/>
      <c r="V1777" s="43"/>
      <c r="W1777" s="43"/>
      <c r="X1777" s="43"/>
      <c r="Y1777" s="43"/>
      <c r="Z1777" s="43"/>
    </row>
    <row r="1778" spans="15:26" x14ac:dyDescent="0.25">
      <c r="O1778" s="43"/>
      <c r="P1778" s="43"/>
      <c r="Q1778" s="43"/>
      <c r="R1778" s="43"/>
      <c r="S1778" s="43"/>
      <c r="T1778" s="43"/>
      <c r="U1778" s="43"/>
      <c r="V1778" s="43"/>
      <c r="W1778" s="43"/>
      <c r="X1778" s="43"/>
      <c r="Y1778" s="43"/>
      <c r="Z1778" s="43"/>
    </row>
    <row r="1779" spans="15:26" x14ac:dyDescent="0.25">
      <c r="O1779" s="43"/>
      <c r="P1779" s="43"/>
      <c r="Q1779" s="43"/>
      <c r="R1779" s="43"/>
      <c r="S1779" s="43"/>
      <c r="T1779" s="43"/>
      <c r="U1779" s="43"/>
      <c r="V1779" s="43"/>
      <c r="W1779" s="43"/>
      <c r="X1779" s="43"/>
      <c r="Y1779" s="43"/>
      <c r="Z1779" s="43"/>
    </row>
    <row r="1780" spans="15:26" x14ac:dyDescent="0.25">
      <c r="O1780" s="43"/>
      <c r="P1780" s="43"/>
      <c r="Q1780" s="43"/>
      <c r="R1780" s="43"/>
      <c r="S1780" s="43"/>
      <c r="T1780" s="43"/>
      <c r="U1780" s="43"/>
      <c r="V1780" s="43"/>
      <c r="W1780" s="43"/>
      <c r="X1780" s="43"/>
      <c r="Y1780" s="43"/>
      <c r="Z1780" s="43"/>
    </row>
    <row r="1781" spans="15:26" x14ac:dyDescent="0.25">
      <c r="O1781" s="43"/>
      <c r="P1781" s="43"/>
      <c r="Q1781" s="43"/>
      <c r="R1781" s="43"/>
      <c r="S1781" s="43"/>
      <c r="T1781" s="43"/>
      <c r="U1781" s="43"/>
      <c r="V1781" s="43"/>
      <c r="W1781" s="43"/>
      <c r="X1781" s="43"/>
      <c r="Y1781" s="43"/>
      <c r="Z1781" s="43"/>
    </row>
    <row r="1782" spans="15:26" x14ac:dyDescent="0.25">
      <c r="O1782" s="43"/>
      <c r="P1782" s="43"/>
      <c r="Q1782" s="43"/>
      <c r="R1782" s="43"/>
      <c r="S1782" s="43"/>
      <c r="T1782" s="43"/>
      <c r="U1782" s="43"/>
      <c r="V1782" s="43"/>
      <c r="W1782" s="43"/>
      <c r="X1782" s="43"/>
      <c r="Y1782" s="43"/>
      <c r="Z1782" s="43"/>
    </row>
    <row r="1783" spans="15:26" x14ac:dyDescent="0.25">
      <c r="O1783" s="43"/>
      <c r="P1783" s="43"/>
      <c r="Q1783" s="43"/>
      <c r="R1783" s="43"/>
      <c r="S1783" s="43"/>
      <c r="T1783" s="43"/>
      <c r="U1783" s="43"/>
      <c r="V1783" s="43"/>
      <c r="W1783" s="43"/>
      <c r="X1783" s="43"/>
      <c r="Y1783" s="43"/>
      <c r="Z1783" s="43"/>
    </row>
    <row r="1784" spans="15:26" x14ac:dyDescent="0.25">
      <c r="O1784" s="43"/>
      <c r="P1784" s="43"/>
      <c r="Q1784" s="43"/>
      <c r="R1784" s="43"/>
      <c r="S1784" s="43"/>
      <c r="T1784" s="43"/>
      <c r="U1784" s="43"/>
      <c r="V1784" s="43"/>
      <c r="W1784" s="43"/>
      <c r="X1784" s="43"/>
      <c r="Y1784" s="43"/>
      <c r="Z1784" s="43"/>
    </row>
    <row r="1785" spans="15:26" x14ac:dyDescent="0.25">
      <c r="O1785" s="43"/>
      <c r="P1785" s="43"/>
      <c r="Q1785" s="43"/>
      <c r="R1785" s="43"/>
      <c r="S1785" s="43"/>
      <c r="T1785" s="43"/>
      <c r="U1785" s="43"/>
      <c r="V1785" s="43"/>
      <c r="W1785" s="43"/>
      <c r="X1785" s="43"/>
      <c r="Y1785" s="43"/>
      <c r="Z1785" s="43"/>
    </row>
    <row r="1786" spans="15:26" x14ac:dyDescent="0.25">
      <c r="O1786" s="43"/>
      <c r="P1786" s="43"/>
      <c r="Q1786" s="43"/>
      <c r="R1786" s="43"/>
      <c r="S1786" s="43"/>
      <c r="T1786" s="43"/>
      <c r="U1786" s="43"/>
      <c r="V1786" s="43"/>
      <c r="W1786" s="43"/>
      <c r="X1786" s="43"/>
      <c r="Y1786" s="43"/>
      <c r="Z1786" s="43"/>
    </row>
    <row r="1787" spans="15:26" x14ac:dyDescent="0.25">
      <c r="O1787" s="43"/>
      <c r="P1787" s="43"/>
      <c r="Q1787" s="43"/>
      <c r="R1787" s="43"/>
      <c r="S1787" s="43"/>
      <c r="T1787" s="43"/>
      <c r="U1787" s="43"/>
      <c r="V1787" s="43"/>
      <c r="W1787" s="43"/>
      <c r="X1787" s="43"/>
      <c r="Y1787" s="43"/>
      <c r="Z1787" s="43"/>
    </row>
    <row r="1788" spans="15:26" x14ac:dyDescent="0.25">
      <c r="O1788" s="43"/>
      <c r="P1788" s="43"/>
      <c r="Q1788" s="43"/>
      <c r="R1788" s="43"/>
      <c r="S1788" s="43"/>
      <c r="T1788" s="43"/>
      <c r="U1788" s="43"/>
      <c r="V1788" s="43"/>
      <c r="W1788" s="43"/>
      <c r="X1788" s="43"/>
      <c r="Y1788" s="43"/>
      <c r="Z1788" s="43"/>
    </row>
    <row r="1789" spans="15:26" x14ac:dyDescent="0.25">
      <c r="O1789" s="43"/>
      <c r="P1789" s="43"/>
      <c r="Q1789" s="43"/>
      <c r="R1789" s="43"/>
      <c r="S1789" s="43"/>
      <c r="T1789" s="43"/>
      <c r="U1789" s="43"/>
      <c r="V1789" s="43"/>
      <c r="W1789" s="43"/>
      <c r="X1789" s="43"/>
      <c r="Y1789" s="43"/>
      <c r="Z1789" s="43"/>
    </row>
    <row r="1790" spans="15:26" x14ac:dyDescent="0.25">
      <c r="O1790" s="43"/>
      <c r="P1790" s="43"/>
      <c r="Q1790" s="43"/>
      <c r="R1790" s="43"/>
      <c r="S1790" s="43"/>
      <c r="T1790" s="43"/>
      <c r="U1790" s="43"/>
      <c r="V1790" s="43"/>
      <c r="W1790" s="43"/>
      <c r="X1790" s="43"/>
      <c r="Y1790" s="43"/>
      <c r="Z1790" s="43"/>
    </row>
    <row r="1791" spans="15:26" x14ac:dyDescent="0.25">
      <c r="O1791" s="43"/>
      <c r="P1791" s="43"/>
      <c r="Q1791" s="43"/>
      <c r="R1791" s="43"/>
      <c r="S1791" s="43"/>
      <c r="T1791" s="43"/>
      <c r="U1791" s="43"/>
      <c r="V1791" s="43"/>
      <c r="W1791" s="43"/>
      <c r="X1791" s="43"/>
      <c r="Y1791" s="43"/>
      <c r="Z1791" s="43"/>
    </row>
    <row r="1792" spans="15:26" x14ac:dyDescent="0.25">
      <c r="O1792" s="43"/>
      <c r="P1792" s="43"/>
      <c r="Q1792" s="43"/>
      <c r="R1792" s="43"/>
      <c r="S1792" s="43"/>
      <c r="T1792" s="43"/>
      <c r="U1792" s="43"/>
      <c r="V1792" s="43"/>
      <c r="W1792" s="43"/>
      <c r="X1792" s="43"/>
      <c r="Y1792" s="43"/>
      <c r="Z1792" s="43"/>
    </row>
    <row r="1793" spans="15:26" x14ac:dyDescent="0.25">
      <c r="O1793" s="43"/>
      <c r="P1793" s="43"/>
      <c r="Q1793" s="43"/>
      <c r="R1793" s="43"/>
      <c r="S1793" s="43"/>
      <c r="T1793" s="43"/>
      <c r="U1793" s="43"/>
      <c r="V1793" s="43"/>
      <c r="W1793" s="43"/>
      <c r="X1793" s="43"/>
      <c r="Y1793" s="43"/>
      <c r="Z1793" s="43"/>
    </row>
    <row r="1794" spans="15:26" x14ac:dyDescent="0.25">
      <c r="O1794" s="43"/>
      <c r="P1794" s="43"/>
      <c r="Q1794" s="43"/>
      <c r="R1794" s="43"/>
      <c r="S1794" s="43"/>
      <c r="T1794" s="43"/>
      <c r="U1794" s="43"/>
      <c r="V1794" s="43"/>
      <c r="W1794" s="43"/>
      <c r="X1794" s="43"/>
      <c r="Y1794" s="43"/>
      <c r="Z1794" s="43"/>
    </row>
    <row r="1795" spans="15:26" x14ac:dyDescent="0.25">
      <c r="O1795" s="43"/>
      <c r="P1795" s="43"/>
      <c r="Q1795" s="43"/>
      <c r="R1795" s="43"/>
      <c r="S1795" s="43"/>
      <c r="T1795" s="43"/>
      <c r="U1795" s="43"/>
      <c r="V1795" s="43"/>
      <c r="W1795" s="43"/>
      <c r="X1795" s="43"/>
      <c r="Y1795" s="43"/>
      <c r="Z1795" s="43"/>
    </row>
    <row r="1796" spans="15:26" x14ac:dyDescent="0.25">
      <c r="O1796" s="43"/>
      <c r="P1796" s="43"/>
      <c r="Q1796" s="43"/>
      <c r="R1796" s="43"/>
      <c r="S1796" s="43"/>
      <c r="T1796" s="43"/>
      <c r="U1796" s="43"/>
      <c r="V1796" s="43"/>
      <c r="W1796" s="43"/>
      <c r="X1796" s="43"/>
      <c r="Y1796" s="43"/>
      <c r="Z1796" s="43"/>
    </row>
    <row r="1797" spans="15:26" x14ac:dyDescent="0.25">
      <c r="O1797" s="43"/>
      <c r="P1797" s="43"/>
      <c r="Q1797" s="43"/>
      <c r="R1797" s="43"/>
      <c r="S1797" s="43"/>
      <c r="T1797" s="43"/>
      <c r="U1797" s="43"/>
      <c r="V1797" s="43"/>
      <c r="W1797" s="43"/>
      <c r="X1797" s="43"/>
      <c r="Y1797" s="43"/>
      <c r="Z1797" s="43"/>
    </row>
    <row r="1798" spans="15:26" x14ac:dyDescent="0.25">
      <c r="O1798" s="43"/>
      <c r="P1798" s="43"/>
      <c r="Q1798" s="43"/>
      <c r="R1798" s="43"/>
      <c r="S1798" s="43"/>
      <c r="T1798" s="43"/>
      <c r="U1798" s="43"/>
      <c r="V1798" s="43"/>
      <c r="W1798" s="43"/>
      <c r="X1798" s="43"/>
      <c r="Y1798" s="43"/>
      <c r="Z1798" s="43"/>
    </row>
    <row r="1799" spans="15:26" x14ac:dyDescent="0.25">
      <c r="O1799" s="43"/>
      <c r="P1799" s="43"/>
      <c r="Q1799" s="43"/>
      <c r="R1799" s="43"/>
      <c r="S1799" s="43"/>
      <c r="T1799" s="43"/>
      <c r="U1799" s="43"/>
      <c r="V1799" s="43"/>
      <c r="W1799" s="43"/>
      <c r="X1799" s="43"/>
      <c r="Y1799" s="43"/>
      <c r="Z1799" s="43"/>
    </row>
    <row r="1800" spans="15:26" x14ac:dyDescent="0.25">
      <c r="O1800" s="43"/>
      <c r="P1800" s="43"/>
      <c r="Q1800" s="43"/>
      <c r="R1800" s="43"/>
      <c r="S1800" s="43"/>
      <c r="T1800" s="43"/>
      <c r="U1800" s="43"/>
      <c r="V1800" s="43"/>
      <c r="W1800" s="43"/>
      <c r="X1800" s="43"/>
      <c r="Y1800" s="43"/>
      <c r="Z1800" s="43"/>
    </row>
    <row r="1801" spans="15:26" x14ac:dyDescent="0.25">
      <c r="O1801" s="43"/>
      <c r="P1801" s="43"/>
      <c r="Q1801" s="43"/>
      <c r="R1801" s="43"/>
      <c r="S1801" s="43"/>
      <c r="T1801" s="43"/>
      <c r="U1801" s="43"/>
      <c r="V1801" s="43"/>
      <c r="W1801" s="43"/>
      <c r="X1801" s="43"/>
      <c r="Y1801" s="43"/>
      <c r="Z1801" s="43"/>
    </row>
    <row r="1802" spans="15:26" x14ac:dyDescent="0.25">
      <c r="O1802" s="43"/>
      <c r="P1802" s="43"/>
      <c r="Q1802" s="43"/>
      <c r="R1802" s="43"/>
      <c r="S1802" s="43"/>
      <c r="T1802" s="43"/>
      <c r="U1802" s="43"/>
      <c r="V1802" s="43"/>
      <c r="W1802" s="43"/>
      <c r="X1802" s="43"/>
      <c r="Y1802" s="43"/>
      <c r="Z1802" s="43"/>
    </row>
    <row r="1803" spans="15:26" x14ac:dyDescent="0.25">
      <c r="O1803" s="43"/>
      <c r="P1803" s="43"/>
      <c r="Q1803" s="43"/>
      <c r="R1803" s="43"/>
      <c r="S1803" s="43"/>
      <c r="T1803" s="43"/>
      <c r="U1803" s="43"/>
      <c r="V1803" s="43"/>
      <c r="W1803" s="43"/>
      <c r="X1803" s="43"/>
      <c r="Y1803" s="43"/>
      <c r="Z1803" s="43"/>
    </row>
    <row r="1804" spans="15:26" x14ac:dyDescent="0.25">
      <c r="O1804" s="43"/>
      <c r="P1804" s="43"/>
      <c r="Q1804" s="43"/>
      <c r="R1804" s="43"/>
      <c r="S1804" s="43"/>
      <c r="T1804" s="43"/>
      <c r="U1804" s="43"/>
      <c r="V1804" s="43"/>
      <c r="W1804" s="43"/>
      <c r="X1804" s="43"/>
      <c r="Y1804" s="43"/>
      <c r="Z1804" s="43"/>
    </row>
    <row r="1805" spans="15:26" x14ac:dyDescent="0.25">
      <c r="O1805" s="43"/>
      <c r="P1805" s="43"/>
      <c r="Q1805" s="43"/>
      <c r="R1805" s="43"/>
      <c r="S1805" s="43"/>
      <c r="T1805" s="43"/>
      <c r="U1805" s="43"/>
      <c r="V1805" s="43"/>
      <c r="W1805" s="43"/>
      <c r="X1805" s="43"/>
      <c r="Y1805" s="43"/>
      <c r="Z1805" s="43"/>
    </row>
    <row r="1806" spans="15:26" x14ac:dyDescent="0.25">
      <c r="O1806" s="43"/>
      <c r="P1806" s="43"/>
      <c r="Q1806" s="43"/>
      <c r="R1806" s="43"/>
      <c r="S1806" s="43"/>
      <c r="T1806" s="43"/>
      <c r="U1806" s="43"/>
      <c r="V1806" s="43"/>
      <c r="W1806" s="43"/>
      <c r="X1806" s="43"/>
      <c r="Y1806" s="43"/>
      <c r="Z1806" s="43"/>
    </row>
    <row r="1807" spans="15:26" x14ac:dyDescent="0.25">
      <c r="O1807" s="43"/>
      <c r="P1807" s="43"/>
      <c r="Q1807" s="43"/>
      <c r="R1807" s="43"/>
      <c r="S1807" s="43"/>
      <c r="T1807" s="43"/>
      <c r="U1807" s="43"/>
      <c r="V1807" s="43"/>
      <c r="W1807" s="43"/>
      <c r="X1807" s="43"/>
      <c r="Y1807" s="43"/>
      <c r="Z1807" s="43"/>
    </row>
    <row r="1808" spans="15:26" x14ac:dyDescent="0.25">
      <c r="O1808" s="43"/>
      <c r="P1808" s="43"/>
      <c r="Q1808" s="43"/>
      <c r="R1808" s="43"/>
      <c r="S1808" s="43"/>
      <c r="T1808" s="43"/>
      <c r="U1808" s="43"/>
      <c r="V1808" s="43"/>
      <c r="W1808" s="43"/>
      <c r="X1808" s="43"/>
      <c r="Y1808" s="43"/>
      <c r="Z1808" s="43"/>
    </row>
    <row r="1809" spans="15:26" x14ac:dyDescent="0.25">
      <c r="O1809" s="43"/>
      <c r="P1809" s="43"/>
      <c r="Q1809" s="43"/>
      <c r="R1809" s="43"/>
      <c r="S1809" s="43"/>
      <c r="T1809" s="43"/>
      <c r="U1809" s="43"/>
      <c r="V1809" s="43"/>
      <c r="W1809" s="43"/>
      <c r="X1809" s="43"/>
      <c r="Y1809" s="43"/>
      <c r="Z1809" s="43"/>
    </row>
    <row r="1810" spans="15:26" x14ac:dyDescent="0.25">
      <c r="O1810" s="43"/>
      <c r="P1810" s="43"/>
      <c r="Q1810" s="43"/>
      <c r="R1810" s="43"/>
      <c r="S1810" s="43"/>
      <c r="T1810" s="43"/>
      <c r="U1810" s="43"/>
      <c r="V1810" s="43"/>
      <c r="W1810" s="43"/>
      <c r="X1810" s="43"/>
      <c r="Y1810" s="43"/>
      <c r="Z1810" s="43"/>
    </row>
    <row r="1811" spans="15:26" x14ac:dyDescent="0.25">
      <c r="O1811" s="43"/>
      <c r="P1811" s="43"/>
      <c r="Q1811" s="43"/>
      <c r="R1811" s="43"/>
      <c r="S1811" s="43"/>
      <c r="T1811" s="43"/>
      <c r="U1811" s="43"/>
      <c r="V1811" s="43"/>
      <c r="W1811" s="43"/>
      <c r="X1811" s="43"/>
      <c r="Y1811" s="43"/>
      <c r="Z1811" s="43"/>
    </row>
    <row r="1812" spans="15:26" x14ac:dyDescent="0.25">
      <c r="O1812" s="43"/>
      <c r="P1812" s="43"/>
      <c r="Q1812" s="43"/>
      <c r="R1812" s="43"/>
      <c r="S1812" s="43"/>
      <c r="T1812" s="43"/>
      <c r="U1812" s="43"/>
      <c r="V1812" s="43"/>
      <c r="W1812" s="43"/>
      <c r="X1812" s="43"/>
      <c r="Y1812" s="43"/>
      <c r="Z1812" s="43"/>
    </row>
    <row r="1813" spans="15:26" x14ac:dyDescent="0.25">
      <c r="O1813" s="43"/>
      <c r="P1813" s="43"/>
      <c r="Q1813" s="43"/>
      <c r="R1813" s="43"/>
      <c r="S1813" s="43"/>
      <c r="T1813" s="43"/>
      <c r="U1813" s="43"/>
      <c r="V1813" s="43"/>
      <c r="W1813" s="43"/>
      <c r="X1813" s="43"/>
      <c r="Y1813" s="43"/>
      <c r="Z1813" s="43"/>
    </row>
    <row r="1814" spans="15:26" x14ac:dyDescent="0.25">
      <c r="O1814" s="43"/>
      <c r="P1814" s="43"/>
      <c r="Q1814" s="43"/>
      <c r="R1814" s="43"/>
      <c r="S1814" s="43"/>
      <c r="T1814" s="43"/>
      <c r="U1814" s="43"/>
      <c r="V1814" s="43"/>
      <c r="W1814" s="43"/>
      <c r="X1814" s="43"/>
      <c r="Y1814" s="43"/>
      <c r="Z1814" s="43"/>
    </row>
    <row r="1815" spans="15:26" x14ac:dyDescent="0.25">
      <c r="O1815" s="43"/>
      <c r="P1815" s="43"/>
      <c r="Q1815" s="43"/>
      <c r="R1815" s="43"/>
      <c r="S1815" s="43"/>
      <c r="T1815" s="43"/>
      <c r="U1815" s="43"/>
      <c r="V1815" s="43"/>
      <c r="W1815" s="43"/>
      <c r="X1815" s="43"/>
      <c r="Y1815" s="43"/>
      <c r="Z1815" s="43"/>
    </row>
    <row r="1816" spans="15:26" x14ac:dyDescent="0.25">
      <c r="O1816" s="43"/>
      <c r="P1816" s="43"/>
      <c r="Q1816" s="43"/>
      <c r="R1816" s="43"/>
      <c r="S1816" s="43"/>
      <c r="T1816" s="43"/>
      <c r="U1816" s="43"/>
      <c r="V1816" s="43"/>
      <c r="W1816" s="43"/>
      <c r="X1816" s="43"/>
      <c r="Y1816" s="43"/>
      <c r="Z1816" s="43"/>
    </row>
    <row r="1817" spans="15:26" x14ac:dyDescent="0.25">
      <c r="O1817" s="43"/>
      <c r="P1817" s="43"/>
      <c r="Q1817" s="43"/>
      <c r="R1817" s="43"/>
      <c r="S1817" s="43"/>
      <c r="T1817" s="43"/>
      <c r="U1817" s="43"/>
      <c r="V1817" s="43"/>
      <c r="W1817" s="43"/>
      <c r="X1817" s="43"/>
      <c r="Y1817" s="43"/>
      <c r="Z1817" s="43"/>
    </row>
    <row r="1818" spans="15:26" x14ac:dyDescent="0.25">
      <c r="O1818" s="43"/>
      <c r="P1818" s="43"/>
      <c r="Q1818" s="43"/>
      <c r="R1818" s="43"/>
      <c r="S1818" s="43"/>
      <c r="T1818" s="43"/>
      <c r="U1818" s="43"/>
      <c r="V1818" s="43"/>
      <c r="W1818" s="43"/>
      <c r="X1818" s="43"/>
      <c r="Y1818" s="43"/>
      <c r="Z1818" s="43"/>
    </row>
    <row r="1819" spans="15:26" x14ac:dyDescent="0.25">
      <c r="O1819" s="43"/>
      <c r="P1819" s="43"/>
      <c r="Q1819" s="43"/>
      <c r="R1819" s="43"/>
      <c r="S1819" s="43"/>
      <c r="T1819" s="43"/>
      <c r="U1819" s="43"/>
      <c r="V1819" s="43"/>
      <c r="W1819" s="43"/>
      <c r="X1819" s="43"/>
      <c r="Y1819" s="43"/>
      <c r="Z1819" s="43"/>
    </row>
    <row r="1820" spans="15:26" x14ac:dyDescent="0.25">
      <c r="O1820" s="43"/>
      <c r="P1820" s="43"/>
      <c r="Q1820" s="43"/>
      <c r="R1820" s="43"/>
      <c r="S1820" s="43"/>
      <c r="T1820" s="43"/>
      <c r="U1820" s="43"/>
      <c r="V1820" s="43"/>
      <c r="W1820" s="43"/>
      <c r="X1820" s="43"/>
      <c r="Y1820" s="43"/>
      <c r="Z1820" s="43"/>
    </row>
    <row r="1821" spans="15:26" x14ac:dyDescent="0.25">
      <c r="O1821" s="43"/>
      <c r="P1821" s="43"/>
      <c r="Q1821" s="43"/>
      <c r="R1821" s="43"/>
      <c r="S1821" s="43"/>
      <c r="T1821" s="43"/>
      <c r="U1821" s="43"/>
      <c r="V1821" s="43"/>
      <c r="W1821" s="43"/>
      <c r="X1821" s="43"/>
      <c r="Y1821" s="43"/>
      <c r="Z1821" s="43"/>
    </row>
    <row r="1822" spans="15:26" x14ac:dyDescent="0.25">
      <c r="O1822" s="43"/>
      <c r="P1822" s="43"/>
      <c r="Q1822" s="43"/>
      <c r="R1822" s="43"/>
      <c r="S1822" s="43"/>
      <c r="T1822" s="43"/>
      <c r="U1822" s="43"/>
      <c r="V1822" s="43"/>
      <c r="W1822" s="43"/>
      <c r="X1822" s="43"/>
      <c r="Y1822" s="43"/>
      <c r="Z1822" s="43"/>
    </row>
    <row r="1823" spans="15:26" x14ac:dyDescent="0.25">
      <c r="O1823" s="43"/>
      <c r="P1823" s="43"/>
      <c r="Q1823" s="43"/>
      <c r="R1823" s="43"/>
      <c r="S1823" s="43"/>
      <c r="T1823" s="43"/>
      <c r="U1823" s="43"/>
      <c r="V1823" s="43"/>
      <c r="W1823" s="43"/>
      <c r="X1823" s="43"/>
      <c r="Y1823" s="43"/>
      <c r="Z1823" s="43"/>
    </row>
    <row r="1824" spans="15:26" x14ac:dyDescent="0.25">
      <c r="O1824" s="43"/>
      <c r="P1824" s="43"/>
      <c r="Q1824" s="43"/>
      <c r="R1824" s="43"/>
      <c r="S1824" s="43"/>
      <c r="T1824" s="43"/>
      <c r="U1824" s="43"/>
      <c r="V1824" s="43"/>
      <c r="W1824" s="43"/>
      <c r="X1824" s="43"/>
      <c r="Y1824" s="43"/>
      <c r="Z1824" s="43"/>
    </row>
    <row r="1825" spans="15:26" x14ac:dyDescent="0.25">
      <c r="O1825" s="43"/>
      <c r="P1825" s="43"/>
      <c r="Q1825" s="43"/>
      <c r="R1825" s="43"/>
      <c r="S1825" s="43"/>
      <c r="T1825" s="43"/>
      <c r="U1825" s="43"/>
      <c r="V1825" s="43"/>
      <c r="W1825" s="43"/>
      <c r="X1825" s="43"/>
      <c r="Y1825" s="43"/>
      <c r="Z1825" s="43"/>
    </row>
    <row r="1826" spans="15:26" x14ac:dyDescent="0.25">
      <c r="O1826" s="43"/>
      <c r="P1826" s="43"/>
      <c r="Q1826" s="43"/>
      <c r="R1826" s="43"/>
      <c r="S1826" s="43"/>
      <c r="T1826" s="43"/>
      <c r="U1826" s="43"/>
      <c r="V1826" s="43"/>
      <c r="W1826" s="43"/>
      <c r="X1826" s="43"/>
      <c r="Y1826" s="43"/>
      <c r="Z1826" s="43"/>
    </row>
    <row r="1827" spans="15:26" x14ac:dyDescent="0.25">
      <c r="O1827" s="43"/>
      <c r="P1827" s="43"/>
      <c r="Q1827" s="43"/>
      <c r="R1827" s="43"/>
      <c r="S1827" s="43"/>
      <c r="T1827" s="43"/>
      <c r="U1827" s="43"/>
      <c r="V1827" s="43"/>
      <c r="W1827" s="43"/>
      <c r="X1827" s="43"/>
      <c r="Y1827" s="43"/>
      <c r="Z1827" s="43"/>
    </row>
    <row r="1828" spans="15:26" x14ac:dyDescent="0.25">
      <c r="O1828" s="43"/>
      <c r="P1828" s="43"/>
      <c r="Q1828" s="43"/>
      <c r="R1828" s="43"/>
      <c r="S1828" s="43"/>
      <c r="T1828" s="43"/>
      <c r="U1828" s="43"/>
      <c r="V1828" s="43"/>
      <c r="W1828" s="43"/>
      <c r="X1828" s="43"/>
      <c r="Y1828" s="43"/>
      <c r="Z1828" s="43"/>
    </row>
    <row r="1829" spans="15:26" x14ac:dyDescent="0.25">
      <c r="O1829" s="43"/>
      <c r="P1829" s="43"/>
      <c r="Q1829" s="43"/>
      <c r="R1829" s="43"/>
      <c r="S1829" s="43"/>
      <c r="T1829" s="43"/>
      <c r="U1829" s="43"/>
      <c r="V1829" s="43"/>
      <c r="W1829" s="43"/>
      <c r="X1829" s="43"/>
      <c r="Y1829" s="43"/>
      <c r="Z1829" s="43"/>
    </row>
    <row r="1830" spans="15:26" x14ac:dyDescent="0.25">
      <c r="O1830" s="43"/>
      <c r="P1830" s="43"/>
      <c r="Q1830" s="43"/>
      <c r="R1830" s="43"/>
      <c r="S1830" s="43"/>
      <c r="T1830" s="43"/>
      <c r="U1830" s="43"/>
      <c r="V1830" s="43"/>
      <c r="W1830" s="43"/>
      <c r="X1830" s="43"/>
      <c r="Y1830" s="43"/>
      <c r="Z1830" s="43"/>
    </row>
    <row r="1831" spans="15:26" x14ac:dyDescent="0.25">
      <c r="O1831" s="43"/>
      <c r="P1831" s="43"/>
      <c r="Q1831" s="43"/>
      <c r="R1831" s="43"/>
      <c r="S1831" s="43"/>
      <c r="T1831" s="43"/>
      <c r="U1831" s="43"/>
      <c r="V1831" s="43"/>
      <c r="W1831" s="43"/>
      <c r="X1831" s="43"/>
      <c r="Y1831" s="43"/>
      <c r="Z1831" s="43"/>
    </row>
    <row r="1832" spans="15:26" x14ac:dyDescent="0.25">
      <c r="O1832" s="43"/>
      <c r="P1832" s="43"/>
      <c r="Q1832" s="43"/>
      <c r="R1832" s="43"/>
      <c r="S1832" s="43"/>
      <c r="T1832" s="43"/>
      <c r="U1832" s="43"/>
      <c r="V1832" s="43"/>
      <c r="W1832" s="43"/>
      <c r="X1832" s="43"/>
      <c r="Y1832" s="43"/>
      <c r="Z1832" s="43"/>
    </row>
    <row r="1833" spans="15:26" x14ac:dyDescent="0.25">
      <c r="O1833" s="43"/>
      <c r="P1833" s="43"/>
      <c r="Q1833" s="43"/>
      <c r="R1833" s="43"/>
      <c r="S1833" s="43"/>
      <c r="T1833" s="43"/>
      <c r="U1833" s="43"/>
      <c r="V1833" s="43"/>
      <c r="W1833" s="43"/>
      <c r="X1833" s="43"/>
      <c r="Y1833" s="43"/>
      <c r="Z1833" s="43"/>
    </row>
    <row r="1834" spans="15:26" x14ac:dyDescent="0.25">
      <c r="O1834" s="43"/>
      <c r="P1834" s="43"/>
      <c r="Q1834" s="43"/>
      <c r="R1834" s="43"/>
      <c r="S1834" s="43"/>
      <c r="T1834" s="43"/>
      <c r="U1834" s="43"/>
      <c r="V1834" s="43"/>
      <c r="W1834" s="43"/>
      <c r="X1834" s="43"/>
      <c r="Y1834" s="43"/>
      <c r="Z1834" s="43"/>
    </row>
    <row r="1835" spans="15:26" x14ac:dyDescent="0.25">
      <c r="O1835" s="43"/>
      <c r="P1835" s="43"/>
      <c r="Q1835" s="43"/>
      <c r="R1835" s="43"/>
      <c r="S1835" s="43"/>
      <c r="T1835" s="43"/>
      <c r="U1835" s="43"/>
      <c r="V1835" s="43"/>
      <c r="W1835" s="43"/>
      <c r="X1835" s="43"/>
      <c r="Y1835" s="43"/>
      <c r="Z1835" s="43"/>
    </row>
    <row r="1836" spans="15:26" x14ac:dyDescent="0.25">
      <c r="O1836" s="43"/>
      <c r="P1836" s="43"/>
      <c r="Q1836" s="43"/>
      <c r="R1836" s="43"/>
      <c r="S1836" s="43"/>
      <c r="T1836" s="43"/>
      <c r="U1836" s="43"/>
      <c r="V1836" s="43"/>
      <c r="W1836" s="43"/>
      <c r="X1836" s="43"/>
      <c r="Y1836" s="43"/>
      <c r="Z1836" s="43"/>
    </row>
    <row r="1837" spans="15:26" x14ac:dyDescent="0.25">
      <c r="O1837" s="43"/>
      <c r="P1837" s="43"/>
      <c r="Q1837" s="43"/>
      <c r="R1837" s="43"/>
      <c r="S1837" s="43"/>
      <c r="T1837" s="43"/>
      <c r="U1837" s="43"/>
      <c r="V1837" s="43"/>
      <c r="W1837" s="43"/>
      <c r="X1837" s="43"/>
      <c r="Y1837" s="43"/>
      <c r="Z1837" s="43"/>
    </row>
    <row r="1838" spans="15:26" x14ac:dyDescent="0.25">
      <c r="O1838" s="43"/>
      <c r="P1838" s="43"/>
      <c r="Q1838" s="43"/>
      <c r="R1838" s="43"/>
      <c r="S1838" s="43"/>
      <c r="T1838" s="43"/>
      <c r="U1838" s="43"/>
      <c r="V1838" s="43"/>
      <c r="W1838" s="43"/>
      <c r="X1838" s="43"/>
      <c r="Y1838" s="43"/>
      <c r="Z1838" s="43"/>
    </row>
    <row r="1839" spans="15:26" x14ac:dyDescent="0.25">
      <c r="O1839" s="43"/>
      <c r="P1839" s="43"/>
      <c r="Q1839" s="43"/>
      <c r="R1839" s="43"/>
      <c r="S1839" s="43"/>
      <c r="T1839" s="43"/>
      <c r="U1839" s="43"/>
      <c r="V1839" s="43"/>
      <c r="W1839" s="43"/>
      <c r="X1839" s="43"/>
      <c r="Y1839" s="43"/>
      <c r="Z1839" s="43"/>
    </row>
    <row r="1840" spans="15:26" x14ac:dyDescent="0.25">
      <c r="O1840" s="43"/>
      <c r="P1840" s="43"/>
      <c r="Q1840" s="43"/>
      <c r="R1840" s="43"/>
      <c r="S1840" s="43"/>
      <c r="T1840" s="43"/>
      <c r="U1840" s="43"/>
      <c r="V1840" s="43"/>
      <c r="W1840" s="43"/>
      <c r="X1840" s="43"/>
      <c r="Y1840" s="43"/>
      <c r="Z1840" s="43"/>
    </row>
    <row r="1841" spans="15:26" x14ac:dyDescent="0.25">
      <c r="O1841" s="43"/>
      <c r="P1841" s="43"/>
      <c r="Q1841" s="43"/>
      <c r="R1841" s="43"/>
      <c r="S1841" s="43"/>
      <c r="T1841" s="43"/>
      <c r="U1841" s="43"/>
      <c r="V1841" s="43"/>
      <c r="W1841" s="43"/>
      <c r="X1841" s="43"/>
      <c r="Y1841" s="43"/>
      <c r="Z1841" s="43"/>
    </row>
    <row r="1842" spans="15:26" x14ac:dyDescent="0.25">
      <c r="O1842" s="43"/>
      <c r="P1842" s="43"/>
      <c r="Q1842" s="43"/>
      <c r="R1842" s="43"/>
      <c r="S1842" s="43"/>
      <c r="T1842" s="43"/>
      <c r="U1842" s="43"/>
      <c r="V1842" s="43"/>
      <c r="W1842" s="43"/>
      <c r="X1842" s="43"/>
      <c r="Y1842" s="43"/>
      <c r="Z1842" s="43"/>
    </row>
    <row r="1843" spans="15:26" x14ac:dyDescent="0.25">
      <c r="O1843" s="43"/>
      <c r="P1843" s="43"/>
      <c r="Q1843" s="43"/>
      <c r="R1843" s="43"/>
      <c r="S1843" s="43"/>
      <c r="T1843" s="43"/>
      <c r="U1843" s="43"/>
      <c r="V1843" s="43"/>
      <c r="W1843" s="43"/>
      <c r="X1843" s="43"/>
      <c r="Y1843" s="43"/>
      <c r="Z1843" s="43"/>
    </row>
    <row r="1844" spans="15:26" x14ac:dyDescent="0.25">
      <c r="O1844" s="43"/>
      <c r="P1844" s="43"/>
      <c r="Q1844" s="43"/>
      <c r="R1844" s="43"/>
      <c r="S1844" s="43"/>
      <c r="T1844" s="43"/>
      <c r="U1844" s="43"/>
      <c r="V1844" s="43"/>
      <c r="W1844" s="43"/>
      <c r="X1844" s="43"/>
      <c r="Y1844" s="43"/>
      <c r="Z1844" s="43"/>
    </row>
    <row r="1845" spans="15:26" x14ac:dyDescent="0.25">
      <c r="O1845" s="43"/>
      <c r="P1845" s="43"/>
      <c r="Q1845" s="43"/>
      <c r="R1845" s="43"/>
      <c r="S1845" s="43"/>
      <c r="T1845" s="43"/>
      <c r="U1845" s="43"/>
      <c r="V1845" s="43"/>
      <c r="W1845" s="43"/>
      <c r="X1845" s="43"/>
      <c r="Y1845" s="43"/>
      <c r="Z1845" s="43"/>
    </row>
    <row r="1846" spans="15:26" x14ac:dyDescent="0.25">
      <c r="O1846" s="43"/>
      <c r="P1846" s="43"/>
      <c r="Q1846" s="43"/>
      <c r="R1846" s="43"/>
      <c r="S1846" s="43"/>
      <c r="T1846" s="43"/>
      <c r="U1846" s="43"/>
      <c r="V1846" s="43"/>
      <c r="W1846" s="43"/>
      <c r="X1846" s="43"/>
      <c r="Y1846" s="43"/>
      <c r="Z1846" s="43"/>
    </row>
    <row r="1847" spans="15:26" x14ac:dyDescent="0.25">
      <c r="O1847" s="43"/>
      <c r="P1847" s="43"/>
      <c r="Q1847" s="43"/>
      <c r="R1847" s="43"/>
      <c r="S1847" s="43"/>
      <c r="T1847" s="43"/>
      <c r="U1847" s="43"/>
      <c r="V1847" s="43"/>
      <c r="W1847" s="43"/>
      <c r="X1847" s="43"/>
      <c r="Y1847" s="43"/>
      <c r="Z1847" s="43"/>
    </row>
    <row r="1848" spans="15:26" x14ac:dyDescent="0.25">
      <c r="O1848" s="43"/>
      <c r="P1848" s="43"/>
      <c r="Q1848" s="43"/>
      <c r="R1848" s="43"/>
      <c r="S1848" s="43"/>
      <c r="T1848" s="43"/>
      <c r="U1848" s="43"/>
      <c r="V1848" s="43"/>
      <c r="W1848" s="43"/>
      <c r="X1848" s="43"/>
      <c r="Y1848" s="43"/>
      <c r="Z1848" s="43"/>
    </row>
    <row r="1849" spans="15:26" x14ac:dyDescent="0.25">
      <c r="O1849" s="43"/>
      <c r="P1849" s="43"/>
      <c r="Q1849" s="43"/>
      <c r="R1849" s="43"/>
      <c r="S1849" s="43"/>
      <c r="T1849" s="43"/>
      <c r="U1849" s="43"/>
      <c r="V1849" s="43"/>
      <c r="W1849" s="43"/>
      <c r="X1849" s="43"/>
      <c r="Y1849" s="43"/>
      <c r="Z1849" s="43"/>
    </row>
    <row r="1850" spans="15:26" x14ac:dyDescent="0.25">
      <c r="O1850" s="43"/>
      <c r="P1850" s="43"/>
      <c r="Q1850" s="43"/>
      <c r="R1850" s="43"/>
      <c r="S1850" s="43"/>
      <c r="T1850" s="43"/>
      <c r="U1850" s="43"/>
      <c r="V1850" s="43"/>
      <c r="W1850" s="43"/>
      <c r="X1850" s="43"/>
      <c r="Y1850" s="43"/>
      <c r="Z1850" s="43"/>
    </row>
    <row r="1851" spans="15:26" x14ac:dyDescent="0.25">
      <c r="O1851" s="43"/>
      <c r="P1851" s="43"/>
      <c r="Q1851" s="43"/>
      <c r="R1851" s="43"/>
      <c r="S1851" s="43"/>
      <c r="T1851" s="43"/>
      <c r="U1851" s="43"/>
      <c r="V1851" s="43"/>
      <c r="W1851" s="43"/>
      <c r="X1851" s="43"/>
      <c r="Y1851" s="43"/>
      <c r="Z1851" s="43"/>
    </row>
    <row r="1852" spans="15:26" x14ac:dyDescent="0.25">
      <c r="O1852" s="43"/>
      <c r="P1852" s="43"/>
      <c r="Q1852" s="43"/>
      <c r="R1852" s="43"/>
      <c r="S1852" s="43"/>
      <c r="T1852" s="43"/>
      <c r="U1852" s="43"/>
      <c r="V1852" s="43"/>
      <c r="W1852" s="43"/>
      <c r="X1852" s="43"/>
      <c r="Y1852" s="43"/>
      <c r="Z1852" s="43"/>
    </row>
    <row r="1853" spans="15:26" x14ac:dyDescent="0.25">
      <c r="O1853" s="43"/>
      <c r="P1853" s="43"/>
      <c r="Q1853" s="43"/>
      <c r="R1853" s="43"/>
      <c r="S1853" s="43"/>
      <c r="T1853" s="43"/>
      <c r="U1853" s="43"/>
      <c r="V1853" s="43"/>
      <c r="W1853" s="43"/>
      <c r="X1853" s="43"/>
      <c r="Y1853" s="43"/>
      <c r="Z1853" s="43"/>
    </row>
    <row r="1854" spans="15:26" x14ac:dyDescent="0.25">
      <c r="O1854" s="43"/>
      <c r="P1854" s="43"/>
      <c r="Q1854" s="43"/>
      <c r="R1854" s="43"/>
      <c r="S1854" s="43"/>
      <c r="T1854" s="43"/>
      <c r="U1854" s="43"/>
      <c r="V1854" s="43"/>
      <c r="W1854" s="43"/>
      <c r="X1854" s="43"/>
      <c r="Y1854" s="43"/>
      <c r="Z1854" s="43"/>
    </row>
    <row r="1855" spans="15:26" x14ac:dyDescent="0.25">
      <c r="O1855" s="43"/>
      <c r="P1855" s="43"/>
      <c r="Q1855" s="43"/>
      <c r="R1855" s="43"/>
      <c r="S1855" s="43"/>
      <c r="T1855" s="43"/>
      <c r="U1855" s="43"/>
      <c r="V1855" s="43"/>
      <c r="W1855" s="43"/>
      <c r="X1855" s="43"/>
      <c r="Y1855" s="43"/>
      <c r="Z1855" s="43"/>
    </row>
    <row r="1856" spans="15:26" x14ac:dyDescent="0.25">
      <c r="O1856" s="43"/>
      <c r="P1856" s="43"/>
      <c r="Q1856" s="43"/>
      <c r="R1856" s="43"/>
      <c r="S1856" s="43"/>
      <c r="T1856" s="43"/>
      <c r="U1856" s="43"/>
      <c r="V1856" s="43"/>
      <c r="W1856" s="43"/>
      <c r="X1856" s="43"/>
      <c r="Y1856" s="43"/>
      <c r="Z1856" s="43"/>
    </row>
    <row r="1857" spans="15:26" x14ac:dyDescent="0.25">
      <c r="O1857" s="43"/>
      <c r="P1857" s="43"/>
      <c r="Q1857" s="43"/>
      <c r="R1857" s="43"/>
      <c r="S1857" s="43"/>
      <c r="T1857" s="43"/>
      <c r="U1857" s="43"/>
      <c r="V1857" s="43"/>
      <c r="W1857" s="43"/>
      <c r="X1857" s="43"/>
      <c r="Y1857" s="43"/>
      <c r="Z1857" s="43"/>
    </row>
    <row r="1858" spans="15:26" x14ac:dyDescent="0.25">
      <c r="O1858" s="43"/>
      <c r="P1858" s="43"/>
      <c r="Q1858" s="43"/>
      <c r="R1858" s="43"/>
      <c r="S1858" s="43"/>
      <c r="T1858" s="43"/>
      <c r="U1858" s="43"/>
      <c r="V1858" s="43"/>
      <c r="W1858" s="43"/>
      <c r="X1858" s="43"/>
      <c r="Y1858" s="43"/>
      <c r="Z1858" s="43"/>
    </row>
    <row r="1859" spans="15:26" x14ac:dyDescent="0.25">
      <c r="O1859" s="43"/>
      <c r="P1859" s="43"/>
      <c r="Q1859" s="43"/>
      <c r="R1859" s="43"/>
      <c r="S1859" s="43"/>
      <c r="T1859" s="43"/>
      <c r="U1859" s="43"/>
      <c r="V1859" s="43"/>
      <c r="W1859" s="43"/>
      <c r="X1859" s="43"/>
      <c r="Y1859" s="43"/>
      <c r="Z1859" s="43"/>
    </row>
    <row r="1860" spans="15:26" x14ac:dyDescent="0.25">
      <c r="O1860" s="43"/>
      <c r="P1860" s="43"/>
      <c r="Q1860" s="43"/>
      <c r="R1860" s="43"/>
      <c r="S1860" s="43"/>
      <c r="T1860" s="43"/>
      <c r="U1860" s="43"/>
      <c r="V1860" s="43"/>
      <c r="W1860" s="43"/>
      <c r="X1860" s="43"/>
      <c r="Y1860" s="43"/>
      <c r="Z1860" s="43"/>
    </row>
    <row r="1861" spans="15:26" x14ac:dyDescent="0.25">
      <c r="O1861" s="43"/>
      <c r="P1861" s="43"/>
      <c r="Q1861" s="43"/>
      <c r="R1861" s="43"/>
      <c r="S1861" s="43"/>
      <c r="T1861" s="43"/>
      <c r="U1861" s="43"/>
      <c r="V1861" s="43"/>
      <c r="W1861" s="43"/>
      <c r="X1861" s="43"/>
      <c r="Y1861" s="43"/>
      <c r="Z1861" s="43"/>
    </row>
    <row r="1862" spans="15:26" x14ac:dyDescent="0.25">
      <c r="O1862" s="43"/>
      <c r="P1862" s="43"/>
      <c r="Q1862" s="43"/>
      <c r="R1862" s="43"/>
      <c r="S1862" s="43"/>
      <c r="T1862" s="43"/>
      <c r="U1862" s="43"/>
      <c r="V1862" s="43"/>
      <c r="W1862" s="43"/>
      <c r="X1862" s="43"/>
      <c r="Y1862" s="43"/>
      <c r="Z1862" s="43"/>
    </row>
    <row r="1863" spans="15:26" x14ac:dyDescent="0.25">
      <c r="O1863" s="43"/>
      <c r="P1863" s="43"/>
      <c r="Q1863" s="43"/>
      <c r="R1863" s="43"/>
      <c r="S1863" s="43"/>
      <c r="T1863" s="43"/>
      <c r="U1863" s="43"/>
      <c r="V1863" s="43"/>
      <c r="W1863" s="43"/>
      <c r="X1863" s="43"/>
      <c r="Y1863" s="43"/>
      <c r="Z1863" s="43"/>
    </row>
    <row r="1864" spans="15:26" x14ac:dyDescent="0.25">
      <c r="O1864" s="43"/>
      <c r="P1864" s="43"/>
      <c r="Q1864" s="43"/>
      <c r="R1864" s="43"/>
      <c r="S1864" s="43"/>
      <c r="T1864" s="43"/>
      <c r="U1864" s="43"/>
      <c r="V1864" s="43"/>
      <c r="W1864" s="43"/>
      <c r="X1864" s="43"/>
      <c r="Y1864" s="43"/>
      <c r="Z1864" s="43"/>
    </row>
    <row r="1865" spans="15:26" x14ac:dyDescent="0.25">
      <c r="O1865" s="43"/>
      <c r="P1865" s="43"/>
      <c r="Q1865" s="43"/>
      <c r="R1865" s="43"/>
      <c r="S1865" s="43"/>
      <c r="T1865" s="43"/>
      <c r="U1865" s="43"/>
      <c r="V1865" s="43"/>
      <c r="W1865" s="43"/>
      <c r="X1865" s="43"/>
      <c r="Y1865" s="43"/>
      <c r="Z1865" s="43"/>
    </row>
    <row r="1866" spans="15:26" x14ac:dyDescent="0.25">
      <c r="O1866" s="43"/>
      <c r="P1866" s="43"/>
      <c r="Q1866" s="43"/>
      <c r="R1866" s="43"/>
      <c r="S1866" s="43"/>
      <c r="T1866" s="43"/>
      <c r="U1866" s="43"/>
      <c r="V1866" s="43"/>
      <c r="W1866" s="43"/>
      <c r="X1866" s="43"/>
      <c r="Y1866" s="43"/>
      <c r="Z1866" s="43"/>
    </row>
    <row r="1867" spans="15:26" x14ac:dyDescent="0.25">
      <c r="O1867" s="43"/>
      <c r="P1867" s="43"/>
      <c r="Q1867" s="43"/>
      <c r="R1867" s="43"/>
      <c r="S1867" s="43"/>
      <c r="T1867" s="43"/>
      <c r="U1867" s="43"/>
      <c r="V1867" s="43"/>
      <c r="W1867" s="43"/>
      <c r="X1867" s="43"/>
      <c r="Y1867" s="43"/>
      <c r="Z1867" s="43"/>
    </row>
    <row r="1868" spans="15:26" x14ac:dyDescent="0.25">
      <c r="O1868" s="43"/>
      <c r="P1868" s="43"/>
      <c r="Q1868" s="43"/>
      <c r="R1868" s="43"/>
      <c r="S1868" s="43"/>
      <c r="T1868" s="43"/>
      <c r="U1868" s="43"/>
      <c r="V1868" s="43"/>
      <c r="W1868" s="43"/>
      <c r="X1868" s="43"/>
      <c r="Y1868" s="43"/>
      <c r="Z1868" s="43"/>
    </row>
    <row r="1869" spans="15:26" x14ac:dyDescent="0.25">
      <c r="O1869" s="43"/>
      <c r="P1869" s="43"/>
      <c r="Q1869" s="43"/>
      <c r="R1869" s="43"/>
      <c r="S1869" s="43"/>
      <c r="T1869" s="43"/>
      <c r="U1869" s="43"/>
      <c r="V1869" s="43"/>
      <c r="W1869" s="43"/>
      <c r="X1869" s="43"/>
      <c r="Y1869" s="43"/>
      <c r="Z1869" s="43"/>
    </row>
    <row r="1870" spans="15:26" x14ac:dyDescent="0.25">
      <c r="O1870" s="43"/>
      <c r="P1870" s="43"/>
      <c r="Q1870" s="43"/>
      <c r="R1870" s="43"/>
      <c r="S1870" s="43"/>
      <c r="T1870" s="43"/>
      <c r="U1870" s="43"/>
      <c r="V1870" s="43"/>
      <c r="W1870" s="43"/>
      <c r="X1870" s="43"/>
      <c r="Y1870" s="43"/>
      <c r="Z1870" s="43"/>
    </row>
    <row r="1871" spans="15:26" x14ac:dyDescent="0.25">
      <c r="O1871" s="43"/>
      <c r="P1871" s="43"/>
      <c r="Q1871" s="43"/>
      <c r="R1871" s="43"/>
      <c r="S1871" s="43"/>
      <c r="T1871" s="43"/>
      <c r="U1871" s="43"/>
      <c r="V1871" s="43"/>
      <c r="W1871" s="43"/>
      <c r="X1871" s="43"/>
      <c r="Y1871" s="43"/>
      <c r="Z1871" s="43"/>
    </row>
    <row r="1872" spans="15:26" x14ac:dyDescent="0.25">
      <c r="O1872" s="43"/>
      <c r="P1872" s="43"/>
      <c r="Q1872" s="43"/>
      <c r="R1872" s="43"/>
      <c r="S1872" s="43"/>
      <c r="T1872" s="43"/>
      <c r="U1872" s="43"/>
      <c r="V1872" s="43"/>
      <c r="W1872" s="43"/>
      <c r="X1872" s="43"/>
      <c r="Y1872" s="43"/>
      <c r="Z1872" s="43"/>
    </row>
    <row r="1873" spans="15:26" x14ac:dyDescent="0.25">
      <c r="O1873" s="43"/>
      <c r="P1873" s="43"/>
      <c r="Q1873" s="43"/>
      <c r="R1873" s="43"/>
      <c r="S1873" s="43"/>
      <c r="T1873" s="43"/>
      <c r="U1873" s="43"/>
      <c r="V1873" s="43"/>
      <c r="W1873" s="43"/>
      <c r="X1873" s="43"/>
      <c r="Y1873" s="43"/>
      <c r="Z1873" s="43"/>
    </row>
    <row r="1874" spans="15:26" x14ac:dyDescent="0.25">
      <c r="O1874" s="43"/>
      <c r="P1874" s="43"/>
      <c r="Q1874" s="43"/>
      <c r="R1874" s="43"/>
      <c r="S1874" s="43"/>
      <c r="T1874" s="43"/>
      <c r="U1874" s="43"/>
      <c r="V1874" s="43"/>
      <c r="W1874" s="43"/>
      <c r="X1874" s="43"/>
      <c r="Y1874" s="43"/>
      <c r="Z1874" s="43"/>
    </row>
    <row r="1875" spans="15:26" x14ac:dyDescent="0.25">
      <c r="O1875" s="43"/>
      <c r="P1875" s="43"/>
      <c r="Q1875" s="43"/>
      <c r="R1875" s="43"/>
      <c r="S1875" s="43"/>
      <c r="T1875" s="43"/>
      <c r="U1875" s="43"/>
      <c r="V1875" s="43"/>
      <c r="W1875" s="43"/>
      <c r="X1875" s="43"/>
      <c r="Y1875" s="43"/>
      <c r="Z1875" s="43"/>
    </row>
    <row r="1876" spans="15:26" x14ac:dyDescent="0.25">
      <c r="O1876" s="43"/>
      <c r="P1876" s="43"/>
      <c r="Q1876" s="43"/>
      <c r="R1876" s="43"/>
      <c r="S1876" s="43"/>
      <c r="T1876" s="43"/>
      <c r="U1876" s="43"/>
      <c r="V1876" s="43"/>
      <c r="W1876" s="43"/>
      <c r="X1876" s="43"/>
      <c r="Y1876" s="43"/>
      <c r="Z1876" s="43"/>
    </row>
    <row r="1877" spans="15:26" x14ac:dyDescent="0.25">
      <c r="O1877" s="43"/>
      <c r="P1877" s="43"/>
      <c r="Q1877" s="43"/>
      <c r="R1877" s="43"/>
      <c r="S1877" s="43"/>
      <c r="T1877" s="43"/>
      <c r="U1877" s="43"/>
      <c r="V1877" s="43"/>
      <c r="W1877" s="43"/>
      <c r="X1877" s="43"/>
      <c r="Y1877" s="43"/>
      <c r="Z1877" s="43"/>
    </row>
    <row r="1878" spans="15:26" x14ac:dyDescent="0.25">
      <c r="O1878" s="43"/>
      <c r="P1878" s="43"/>
      <c r="Q1878" s="43"/>
      <c r="R1878" s="43"/>
      <c r="S1878" s="43"/>
      <c r="T1878" s="43"/>
      <c r="U1878" s="43"/>
      <c r="V1878" s="43"/>
      <c r="W1878" s="43"/>
      <c r="X1878" s="43"/>
      <c r="Y1878" s="43"/>
      <c r="Z1878" s="43"/>
    </row>
    <row r="1879" spans="15:26" x14ac:dyDescent="0.25">
      <c r="O1879" s="43"/>
      <c r="P1879" s="43"/>
      <c r="Q1879" s="43"/>
      <c r="R1879" s="43"/>
      <c r="S1879" s="43"/>
      <c r="T1879" s="43"/>
      <c r="U1879" s="43"/>
      <c r="V1879" s="43"/>
      <c r="W1879" s="43"/>
      <c r="X1879" s="43"/>
      <c r="Y1879" s="43"/>
      <c r="Z1879" s="43"/>
    </row>
    <row r="1880" spans="15:26" x14ac:dyDescent="0.25">
      <c r="O1880" s="43"/>
      <c r="P1880" s="43"/>
      <c r="Q1880" s="43"/>
      <c r="R1880" s="43"/>
      <c r="S1880" s="43"/>
      <c r="T1880" s="43"/>
      <c r="U1880" s="43"/>
      <c r="V1880" s="43"/>
      <c r="W1880" s="43"/>
      <c r="X1880" s="43"/>
      <c r="Y1880" s="43"/>
      <c r="Z1880" s="43"/>
    </row>
    <row r="1881" spans="15:26" x14ac:dyDescent="0.25">
      <c r="O1881" s="43"/>
      <c r="P1881" s="43"/>
      <c r="Q1881" s="43"/>
      <c r="R1881" s="43"/>
      <c r="S1881" s="43"/>
      <c r="T1881" s="43"/>
      <c r="U1881" s="43"/>
      <c r="V1881" s="43"/>
      <c r="W1881" s="43"/>
      <c r="X1881" s="43"/>
      <c r="Y1881" s="43"/>
      <c r="Z1881" s="43"/>
    </row>
    <row r="1882" spans="15:26" x14ac:dyDescent="0.25">
      <c r="O1882" s="43"/>
      <c r="P1882" s="43"/>
      <c r="Q1882" s="43"/>
      <c r="R1882" s="43"/>
      <c r="S1882" s="43"/>
      <c r="T1882" s="43"/>
      <c r="U1882" s="43"/>
      <c r="V1882" s="43"/>
      <c r="W1882" s="43"/>
      <c r="X1882" s="43"/>
      <c r="Y1882" s="43"/>
      <c r="Z1882" s="43"/>
    </row>
    <row r="1883" spans="15:26" x14ac:dyDescent="0.25">
      <c r="O1883" s="43"/>
      <c r="P1883" s="43"/>
      <c r="Q1883" s="43"/>
      <c r="R1883" s="43"/>
      <c r="S1883" s="43"/>
      <c r="T1883" s="43"/>
      <c r="U1883" s="43"/>
      <c r="V1883" s="43"/>
      <c r="W1883" s="43"/>
      <c r="X1883" s="43"/>
      <c r="Y1883" s="43"/>
      <c r="Z1883" s="43"/>
    </row>
    <row r="1884" spans="15:26" x14ac:dyDescent="0.25">
      <c r="O1884" s="43"/>
      <c r="P1884" s="43"/>
      <c r="Q1884" s="43"/>
      <c r="R1884" s="43"/>
      <c r="S1884" s="43"/>
      <c r="T1884" s="43"/>
      <c r="U1884" s="43"/>
      <c r="V1884" s="43"/>
      <c r="W1884" s="43"/>
      <c r="X1884" s="43"/>
      <c r="Y1884" s="43"/>
      <c r="Z1884" s="43"/>
    </row>
    <row r="1885" spans="15:26" x14ac:dyDescent="0.25">
      <c r="O1885" s="43"/>
      <c r="P1885" s="43"/>
      <c r="Q1885" s="43"/>
      <c r="R1885" s="43"/>
      <c r="S1885" s="43"/>
      <c r="T1885" s="43"/>
      <c r="U1885" s="43"/>
      <c r="V1885" s="43"/>
      <c r="W1885" s="43"/>
      <c r="X1885" s="43"/>
      <c r="Y1885" s="43"/>
      <c r="Z1885" s="43"/>
    </row>
    <row r="1886" spans="15:26" x14ac:dyDescent="0.25">
      <c r="O1886" s="43"/>
      <c r="P1886" s="43"/>
      <c r="Q1886" s="43"/>
      <c r="R1886" s="43"/>
      <c r="S1886" s="43"/>
      <c r="T1886" s="43"/>
      <c r="U1886" s="43"/>
      <c r="V1886" s="43"/>
      <c r="W1886" s="43"/>
      <c r="X1886" s="43"/>
      <c r="Y1886" s="43"/>
      <c r="Z1886" s="43"/>
    </row>
    <row r="1887" spans="15:26" x14ac:dyDescent="0.25">
      <c r="O1887" s="43"/>
      <c r="P1887" s="43"/>
      <c r="Q1887" s="43"/>
      <c r="R1887" s="43"/>
      <c r="S1887" s="43"/>
      <c r="T1887" s="43"/>
      <c r="U1887" s="43"/>
      <c r="V1887" s="43"/>
      <c r="W1887" s="43"/>
      <c r="X1887" s="43"/>
      <c r="Y1887" s="43"/>
      <c r="Z1887" s="43"/>
    </row>
    <row r="1888" spans="15:26" x14ac:dyDescent="0.25">
      <c r="O1888" s="43"/>
      <c r="P1888" s="43"/>
      <c r="Q1888" s="43"/>
      <c r="R1888" s="43"/>
      <c r="S1888" s="43"/>
      <c r="T1888" s="43"/>
      <c r="U1888" s="43"/>
      <c r="V1888" s="43"/>
      <c r="W1888" s="43"/>
      <c r="X1888" s="43"/>
      <c r="Y1888" s="43"/>
      <c r="Z1888" s="43"/>
    </row>
    <row r="1889" spans="15:26" x14ac:dyDescent="0.25">
      <c r="O1889" s="43"/>
      <c r="P1889" s="43"/>
      <c r="Q1889" s="43"/>
      <c r="R1889" s="43"/>
      <c r="S1889" s="43"/>
      <c r="T1889" s="43"/>
      <c r="U1889" s="43"/>
      <c r="V1889" s="43"/>
      <c r="W1889" s="43"/>
      <c r="X1889" s="43"/>
      <c r="Y1889" s="43"/>
      <c r="Z1889" s="43"/>
    </row>
    <row r="1890" spans="15:26" x14ac:dyDescent="0.25">
      <c r="O1890" s="43"/>
      <c r="P1890" s="43"/>
      <c r="Q1890" s="43"/>
      <c r="R1890" s="43"/>
      <c r="S1890" s="43"/>
      <c r="T1890" s="43"/>
      <c r="U1890" s="43"/>
      <c r="V1890" s="43"/>
      <c r="W1890" s="43"/>
      <c r="X1890" s="43"/>
      <c r="Y1890" s="43"/>
      <c r="Z1890" s="43"/>
    </row>
    <row r="1891" spans="15:26" x14ac:dyDescent="0.25">
      <c r="O1891" s="43"/>
      <c r="P1891" s="43"/>
      <c r="Q1891" s="43"/>
      <c r="R1891" s="43"/>
      <c r="S1891" s="43"/>
      <c r="T1891" s="43"/>
      <c r="U1891" s="43"/>
      <c r="V1891" s="43"/>
      <c r="W1891" s="43"/>
      <c r="X1891" s="43"/>
      <c r="Y1891" s="43"/>
      <c r="Z1891" s="43"/>
    </row>
    <row r="1892" spans="15:26" x14ac:dyDescent="0.25">
      <c r="O1892" s="43"/>
      <c r="P1892" s="43"/>
      <c r="Q1892" s="43"/>
      <c r="R1892" s="43"/>
      <c r="S1892" s="43"/>
      <c r="T1892" s="43"/>
      <c r="U1892" s="43"/>
      <c r="V1892" s="43"/>
      <c r="W1892" s="43"/>
      <c r="X1892" s="43"/>
      <c r="Y1892" s="43"/>
      <c r="Z1892" s="43"/>
    </row>
    <row r="1893" spans="15:26" x14ac:dyDescent="0.25">
      <c r="O1893" s="43"/>
      <c r="P1893" s="43"/>
      <c r="Q1893" s="43"/>
      <c r="R1893" s="43"/>
      <c r="S1893" s="43"/>
      <c r="T1893" s="43"/>
      <c r="U1893" s="43"/>
      <c r="V1893" s="43"/>
      <c r="W1893" s="43"/>
      <c r="X1893" s="43"/>
      <c r="Y1893" s="43"/>
      <c r="Z1893" s="43"/>
    </row>
    <row r="1894" spans="15:26" x14ac:dyDescent="0.25">
      <c r="O1894" s="43"/>
      <c r="P1894" s="43"/>
      <c r="Q1894" s="43"/>
      <c r="R1894" s="43"/>
      <c r="S1894" s="43"/>
      <c r="T1894" s="43"/>
      <c r="U1894" s="43"/>
      <c r="V1894" s="43"/>
      <c r="W1894" s="43"/>
      <c r="X1894" s="43"/>
      <c r="Y1894" s="43"/>
      <c r="Z1894" s="43"/>
    </row>
    <row r="1895" spans="15:26" x14ac:dyDescent="0.25">
      <c r="O1895" s="43"/>
      <c r="P1895" s="43"/>
      <c r="Q1895" s="43"/>
      <c r="R1895" s="43"/>
      <c r="S1895" s="43"/>
      <c r="T1895" s="43"/>
      <c r="U1895" s="43"/>
      <c r="V1895" s="43"/>
      <c r="W1895" s="43"/>
      <c r="X1895" s="43"/>
      <c r="Y1895" s="43"/>
      <c r="Z1895" s="43"/>
    </row>
    <row r="1896" spans="15:26" x14ac:dyDescent="0.25">
      <c r="O1896" s="43"/>
      <c r="P1896" s="43"/>
      <c r="Q1896" s="43"/>
      <c r="R1896" s="43"/>
      <c r="S1896" s="43"/>
      <c r="T1896" s="43"/>
      <c r="U1896" s="43"/>
      <c r="V1896" s="43"/>
      <c r="W1896" s="43"/>
      <c r="X1896" s="43"/>
      <c r="Y1896" s="43"/>
      <c r="Z1896" s="43"/>
    </row>
    <row r="1897" spans="15:26" x14ac:dyDescent="0.25">
      <c r="O1897" s="43"/>
      <c r="P1897" s="43"/>
      <c r="Q1897" s="43"/>
      <c r="R1897" s="43"/>
      <c r="S1897" s="43"/>
      <c r="T1897" s="43"/>
      <c r="U1897" s="43"/>
      <c r="V1897" s="43"/>
      <c r="W1897" s="43"/>
      <c r="X1897" s="43"/>
      <c r="Y1897" s="43"/>
      <c r="Z1897" s="43"/>
    </row>
    <row r="1898" spans="15:26" x14ac:dyDescent="0.25">
      <c r="O1898" s="43"/>
      <c r="P1898" s="43"/>
      <c r="Q1898" s="43"/>
      <c r="R1898" s="43"/>
      <c r="S1898" s="43"/>
      <c r="T1898" s="43"/>
      <c r="U1898" s="43"/>
      <c r="V1898" s="43"/>
      <c r="W1898" s="43"/>
      <c r="X1898" s="43"/>
      <c r="Y1898" s="43"/>
      <c r="Z1898" s="43"/>
    </row>
    <row r="1899" spans="15:26" x14ac:dyDescent="0.25">
      <c r="O1899" s="43"/>
      <c r="P1899" s="43"/>
      <c r="Q1899" s="43"/>
      <c r="R1899" s="43"/>
      <c r="S1899" s="43"/>
      <c r="T1899" s="43"/>
      <c r="U1899" s="43"/>
      <c r="V1899" s="43"/>
      <c r="W1899" s="43"/>
      <c r="X1899" s="43"/>
      <c r="Y1899" s="43"/>
      <c r="Z1899" s="43"/>
    </row>
    <row r="1900" spans="15:26" x14ac:dyDescent="0.25">
      <c r="O1900" s="43"/>
      <c r="P1900" s="43"/>
      <c r="Q1900" s="43"/>
      <c r="R1900" s="43"/>
      <c r="S1900" s="43"/>
      <c r="T1900" s="43"/>
      <c r="U1900" s="43"/>
      <c r="V1900" s="43"/>
      <c r="W1900" s="43"/>
      <c r="X1900" s="43"/>
      <c r="Y1900" s="43"/>
      <c r="Z1900" s="43"/>
    </row>
    <row r="1901" spans="15:26" x14ac:dyDescent="0.25">
      <c r="O1901" s="43"/>
      <c r="P1901" s="43"/>
      <c r="Q1901" s="43"/>
      <c r="R1901" s="43"/>
      <c r="S1901" s="43"/>
      <c r="T1901" s="43"/>
      <c r="U1901" s="43"/>
      <c r="V1901" s="43"/>
      <c r="W1901" s="43"/>
      <c r="X1901" s="43"/>
      <c r="Y1901" s="43"/>
      <c r="Z1901" s="43"/>
    </row>
    <row r="1902" spans="15:26" x14ac:dyDescent="0.25">
      <c r="O1902" s="43"/>
      <c r="P1902" s="43"/>
      <c r="Q1902" s="43"/>
      <c r="R1902" s="43"/>
      <c r="S1902" s="43"/>
      <c r="T1902" s="43"/>
      <c r="U1902" s="43"/>
      <c r="V1902" s="43"/>
      <c r="W1902" s="43"/>
      <c r="X1902" s="43"/>
      <c r="Y1902" s="43"/>
      <c r="Z1902" s="43"/>
    </row>
    <row r="1903" spans="15:26" x14ac:dyDescent="0.25">
      <c r="O1903" s="43"/>
      <c r="P1903" s="43"/>
      <c r="Q1903" s="43"/>
      <c r="R1903" s="43"/>
      <c r="S1903" s="43"/>
      <c r="T1903" s="43"/>
      <c r="U1903" s="43"/>
      <c r="V1903" s="43"/>
      <c r="W1903" s="43"/>
      <c r="X1903" s="43"/>
      <c r="Y1903" s="43"/>
      <c r="Z1903" s="43"/>
    </row>
    <row r="1904" spans="15:26" x14ac:dyDescent="0.25">
      <c r="O1904" s="43"/>
      <c r="P1904" s="43"/>
      <c r="Q1904" s="43"/>
      <c r="R1904" s="43"/>
      <c r="S1904" s="43"/>
      <c r="T1904" s="43"/>
      <c r="U1904" s="43"/>
      <c r="V1904" s="43"/>
      <c r="W1904" s="43"/>
      <c r="X1904" s="43"/>
      <c r="Y1904" s="43"/>
      <c r="Z1904" s="43"/>
    </row>
    <row r="1905" spans="15:26" x14ac:dyDescent="0.25">
      <c r="O1905" s="43"/>
      <c r="P1905" s="43"/>
      <c r="Q1905" s="43"/>
      <c r="R1905" s="43"/>
      <c r="S1905" s="43"/>
      <c r="T1905" s="43"/>
      <c r="U1905" s="43"/>
      <c r="V1905" s="43"/>
      <c r="W1905" s="43"/>
      <c r="X1905" s="43"/>
      <c r="Y1905" s="43"/>
      <c r="Z1905" s="43"/>
    </row>
    <row r="1906" spans="15:26" x14ac:dyDescent="0.25">
      <c r="O1906" s="43"/>
      <c r="P1906" s="43"/>
      <c r="Q1906" s="43"/>
      <c r="R1906" s="43"/>
      <c r="S1906" s="43"/>
      <c r="T1906" s="43"/>
      <c r="U1906" s="43"/>
      <c r="V1906" s="43"/>
      <c r="W1906" s="43"/>
      <c r="X1906" s="43"/>
      <c r="Y1906" s="43"/>
      <c r="Z1906" s="43"/>
    </row>
    <row r="1907" spans="15:26" x14ac:dyDescent="0.25">
      <c r="O1907" s="43"/>
      <c r="P1907" s="43"/>
      <c r="Q1907" s="43"/>
      <c r="R1907" s="43"/>
      <c r="S1907" s="43"/>
      <c r="T1907" s="43"/>
      <c r="U1907" s="43"/>
      <c r="V1907" s="43"/>
      <c r="W1907" s="43"/>
      <c r="X1907" s="43"/>
      <c r="Y1907" s="43"/>
      <c r="Z1907" s="43"/>
    </row>
    <row r="1908" spans="15:26" x14ac:dyDescent="0.25">
      <c r="O1908" s="43"/>
      <c r="P1908" s="43"/>
      <c r="Q1908" s="43"/>
      <c r="R1908" s="43"/>
      <c r="S1908" s="43"/>
      <c r="T1908" s="43"/>
      <c r="U1908" s="43"/>
      <c r="V1908" s="43"/>
      <c r="W1908" s="43"/>
      <c r="X1908" s="43"/>
      <c r="Y1908" s="43"/>
      <c r="Z1908" s="43"/>
    </row>
    <row r="1909" spans="15:26" x14ac:dyDescent="0.25">
      <c r="O1909" s="43"/>
      <c r="P1909" s="43"/>
      <c r="Q1909" s="43"/>
      <c r="R1909" s="43"/>
      <c r="S1909" s="43"/>
      <c r="T1909" s="43"/>
      <c r="U1909" s="43"/>
      <c r="V1909" s="43"/>
      <c r="W1909" s="43"/>
      <c r="X1909" s="43"/>
      <c r="Y1909" s="43"/>
      <c r="Z1909" s="43"/>
    </row>
    <row r="1910" spans="15:26" x14ac:dyDescent="0.25">
      <c r="O1910" s="43"/>
      <c r="P1910" s="43"/>
      <c r="Q1910" s="43"/>
      <c r="R1910" s="43"/>
      <c r="S1910" s="43"/>
      <c r="T1910" s="43"/>
      <c r="U1910" s="43"/>
      <c r="V1910" s="43"/>
      <c r="W1910" s="43"/>
      <c r="X1910" s="43"/>
      <c r="Y1910" s="43"/>
      <c r="Z1910" s="43"/>
    </row>
    <row r="1911" spans="15:26" x14ac:dyDescent="0.25">
      <c r="O1911" s="43"/>
      <c r="P1911" s="43"/>
      <c r="Q1911" s="43"/>
      <c r="R1911" s="43"/>
      <c r="S1911" s="43"/>
      <c r="T1911" s="43"/>
      <c r="U1911" s="43"/>
      <c r="V1911" s="43"/>
      <c r="W1911" s="43"/>
      <c r="X1911" s="43"/>
      <c r="Y1911" s="43"/>
      <c r="Z1911" s="43"/>
    </row>
    <row r="1912" spans="15:26" x14ac:dyDescent="0.25">
      <c r="O1912" s="43"/>
      <c r="P1912" s="43"/>
      <c r="Q1912" s="43"/>
      <c r="R1912" s="43"/>
      <c r="S1912" s="43"/>
      <c r="T1912" s="43"/>
      <c r="U1912" s="43"/>
      <c r="V1912" s="43"/>
      <c r="W1912" s="43"/>
      <c r="X1912" s="43"/>
      <c r="Y1912" s="43"/>
      <c r="Z1912" s="43"/>
    </row>
    <row r="1913" spans="15:26" x14ac:dyDescent="0.25">
      <c r="O1913" s="43"/>
      <c r="P1913" s="43"/>
      <c r="Q1913" s="43"/>
      <c r="R1913" s="43"/>
      <c r="S1913" s="43"/>
      <c r="T1913" s="43"/>
      <c r="U1913" s="43"/>
      <c r="V1913" s="43"/>
      <c r="W1913" s="43"/>
      <c r="X1913" s="43"/>
      <c r="Y1913" s="43"/>
      <c r="Z1913" s="43"/>
    </row>
    <row r="1914" spans="15:26" x14ac:dyDescent="0.25">
      <c r="O1914" s="43"/>
      <c r="P1914" s="43"/>
      <c r="Q1914" s="43"/>
      <c r="R1914" s="43"/>
      <c r="S1914" s="43"/>
      <c r="T1914" s="43"/>
      <c r="U1914" s="43"/>
      <c r="V1914" s="43"/>
      <c r="W1914" s="43"/>
      <c r="X1914" s="43"/>
      <c r="Y1914" s="43"/>
      <c r="Z1914" s="43"/>
    </row>
    <row r="1915" spans="15:26" x14ac:dyDescent="0.25">
      <c r="O1915" s="43"/>
      <c r="P1915" s="43"/>
      <c r="Q1915" s="43"/>
      <c r="R1915" s="43"/>
      <c r="S1915" s="43"/>
      <c r="T1915" s="43"/>
      <c r="U1915" s="43"/>
      <c r="V1915" s="43"/>
      <c r="W1915" s="43"/>
      <c r="X1915" s="43"/>
      <c r="Y1915" s="43"/>
      <c r="Z1915" s="43"/>
    </row>
    <row r="1916" spans="15:26" x14ac:dyDescent="0.25">
      <c r="O1916" s="43"/>
      <c r="P1916" s="43"/>
      <c r="Q1916" s="43"/>
      <c r="R1916" s="43"/>
      <c r="S1916" s="43"/>
      <c r="T1916" s="43"/>
      <c r="U1916" s="43"/>
      <c r="V1916" s="43"/>
      <c r="W1916" s="43"/>
      <c r="X1916" s="43"/>
      <c r="Y1916" s="43"/>
      <c r="Z1916" s="43"/>
    </row>
    <row r="1917" spans="15:26" x14ac:dyDescent="0.25">
      <c r="O1917" s="43"/>
      <c r="P1917" s="43"/>
      <c r="Q1917" s="43"/>
      <c r="R1917" s="43"/>
      <c r="S1917" s="43"/>
      <c r="T1917" s="43"/>
      <c r="U1917" s="43"/>
      <c r="V1917" s="43"/>
      <c r="W1917" s="43"/>
      <c r="X1917" s="43"/>
      <c r="Y1917" s="43"/>
      <c r="Z1917" s="43"/>
    </row>
    <row r="1918" spans="15:26" x14ac:dyDescent="0.25">
      <c r="O1918" s="43"/>
      <c r="P1918" s="43"/>
      <c r="Q1918" s="43"/>
      <c r="R1918" s="43"/>
      <c r="S1918" s="43"/>
      <c r="T1918" s="43"/>
      <c r="U1918" s="43"/>
      <c r="V1918" s="43"/>
      <c r="W1918" s="43"/>
      <c r="X1918" s="43"/>
      <c r="Y1918" s="43"/>
      <c r="Z1918" s="43"/>
    </row>
    <row r="1919" spans="15:26" x14ac:dyDescent="0.25">
      <c r="O1919" s="43"/>
      <c r="P1919" s="43"/>
      <c r="Q1919" s="43"/>
      <c r="R1919" s="43"/>
      <c r="S1919" s="43"/>
      <c r="T1919" s="43"/>
      <c r="U1919" s="43"/>
      <c r="V1919" s="43"/>
      <c r="W1919" s="43"/>
      <c r="X1919" s="43"/>
      <c r="Y1919" s="43"/>
      <c r="Z1919" s="43"/>
    </row>
    <row r="1920" spans="15:26" x14ac:dyDescent="0.25">
      <c r="O1920" s="43"/>
      <c r="P1920" s="43"/>
      <c r="Q1920" s="43"/>
      <c r="R1920" s="43"/>
      <c r="S1920" s="43"/>
      <c r="T1920" s="43"/>
      <c r="U1920" s="43"/>
      <c r="V1920" s="43"/>
      <c r="W1920" s="43"/>
      <c r="X1920" s="43"/>
      <c r="Y1920" s="43"/>
      <c r="Z1920" s="43"/>
    </row>
    <row r="1921" spans="15:26" x14ac:dyDescent="0.25">
      <c r="O1921" s="43"/>
      <c r="P1921" s="43"/>
      <c r="Q1921" s="43"/>
      <c r="R1921" s="43"/>
      <c r="S1921" s="43"/>
      <c r="T1921" s="43"/>
      <c r="U1921" s="43"/>
      <c r="V1921" s="43"/>
      <c r="W1921" s="43"/>
      <c r="X1921" s="43"/>
      <c r="Y1921" s="43"/>
      <c r="Z1921" s="43"/>
    </row>
    <row r="1922" spans="15:26" x14ac:dyDescent="0.25">
      <c r="O1922" s="43"/>
      <c r="P1922" s="43"/>
      <c r="Q1922" s="43"/>
      <c r="R1922" s="43"/>
      <c r="S1922" s="43"/>
      <c r="T1922" s="43"/>
      <c r="U1922" s="43"/>
      <c r="V1922" s="43"/>
      <c r="W1922" s="43"/>
      <c r="X1922" s="43"/>
      <c r="Y1922" s="43"/>
      <c r="Z1922" s="43"/>
    </row>
    <row r="1923" spans="15:26" x14ac:dyDescent="0.25">
      <c r="O1923" s="43"/>
      <c r="P1923" s="43"/>
      <c r="Q1923" s="43"/>
      <c r="R1923" s="43"/>
      <c r="S1923" s="43"/>
      <c r="T1923" s="43"/>
      <c r="U1923" s="43"/>
      <c r="V1923" s="43"/>
      <c r="W1923" s="43"/>
      <c r="X1923" s="43"/>
      <c r="Y1923" s="43"/>
      <c r="Z1923" s="43"/>
    </row>
    <row r="1924" spans="15:26" x14ac:dyDescent="0.25">
      <c r="O1924" s="43"/>
      <c r="P1924" s="43"/>
      <c r="Q1924" s="43"/>
      <c r="R1924" s="43"/>
      <c r="S1924" s="43"/>
      <c r="T1924" s="43"/>
      <c r="U1924" s="43"/>
      <c r="V1924" s="43"/>
      <c r="W1924" s="43"/>
      <c r="X1924" s="43"/>
      <c r="Y1924" s="43"/>
      <c r="Z1924" s="43"/>
    </row>
    <row r="1925" spans="15:26" x14ac:dyDescent="0.25">
      <c r="O1925" s="43"/>
      <c r="P1925" s="43"/>
      <c r="Q1925" s="43"/>
      <c r="R1925" s="43"/>
      <c r="S1925" s="43"/>
      <c r="T1925" s="43"/>
      <c r="U1925" s="43"/>
      <c r="V1925" s="43"/>
      <c r="W1925" s="43"/>
      <c r="X1925" s="43"/>
      <c r="Y1925" s="43"/>
      <c r="Z1925" s="43"/>
    </row>
    <row r="1926" spans="15:26" x14ac:dyDescent="0.25">
      <c r="O1926" s="43"/>
      <c r="P1926" s="43"/>
      <c r="Q1926" s="43"/>
      <c r="R1926" s="43"/>
      <c r="S1926" s="43"/>
      <c r="T1926" s="43"/>
      <c r="U1926" s="43"/>
      <c r="V1926" s="43"/>
      <c r="W1926" s="43"/>
      <c r="X1926" s="43"/>
      <c r="Y1926" s="43"/>
      <c r="Z1926" s="43"/>
    </row>
    <row r="1927" spans="15:26" x14ac:dyDescent="0.25">
      <c r="O1927" s="43"/>
      <c r="P1927" s="43"/>
      <c r="Q1927" s="43"/>
      <c r="R1927" s="43"/>
      <c r="S1927" s="43"/>
      <c r="T1927" s="43"/>
      <c r="U1927" s="43"/>
      <c r="V1927" s="43"/>
      <c r="W1927" s="43"/>
      <c r="X1927" s="43"/>
      <c r="Y1927" s="43"/>
      <c r="Z1927" s="43"/>
    </row>
    <row r="1928" spans="15:26" x14ac:dyDescent="0.25">
      <c r="O1928" s="43"/>
      <c r="P1928" s="43"/>
      <c r="Q1928" s="43"/>
      <c r="R1928" s="43"/>
      <c r="S1928" s="43"/>
      <c r="T1928" s="43"/>
      <c r="U1928" s="43"/>
      <c r="V1928" s="43"/>
      <c r="W1928" s="43"/>
      <c r="X1928" s="43"/>
      <c r="Y1928" s="43"/>
      <c r="Z1928" s="43"/>
    </row>
    <row r="1929" spans="15:26" x14ac:dyDescent="0.25">
      <c r="O1929" s="43"/>
      <c r="P1929" s="43"/>
      <c r="Q1929" s="43"/>
      <c r="R1929" s="43"/>
      <c r="S1929" s="43"/>
      <c r="T1929" s="43"/>
      <c r="U1929" s="43"/>
      <c r="V1929" s="43"/>
      <c r="W1929" s="43"/>
      <c r="X1929" s="43"/>
      <c r="Y1929" s="43"/>
      <c r="Z1929" s="43"/>
    </row>
    <row r="1930" spans="15:26" x14ac:dyDescent="0.25">
      <c r="O1930" s="43"/>
      <c r="P1930" s="43"/>
      <c r="Q1930" s="43"/>
      <c r="R1930" s="43"/>
      <c r="S1930" s="43"/>
      <c r="T1930" s="43"/>
      <c r="U1930" s="43"/>
      <c r="V1930" s="43"/>
      <c r="W1930" s="43"/>
      <c r="X1930" s="43"/>
      <c r="Y1930" s="43"/>
      <c r="Z1930" s="43"/>
    </row>
    <row r="1931" spans="15:26" x14ac:dyDescent="0.25">
      <c r="O1931" s="43"/>
      <c r="P1931" s="43"/>
      <c r="Q1931" s="43"/>
      <c r="R1931" s="43"/>
      <c r="S1931" s="43"/>
      <c r="T1931" s="43"/>
      <c r="U1931" s="43"/>
      <c r="V1931" s="43"/>
      <c r="W1931" s="43"/>
      <c r="X1931" s="43"/>
      <c r="Y1931" s="43"/>
      <c r="Z1931" s="43"/>
    </row>
    <row r="1932" spans="15:26" x14ac:dyDescent="0.25">
      <c r="O1932" s="43"/>
      <c r="P1932" s="43"/>
      <c r="Q1932" s="43"/>
      <c r="R1932" s="43"/>
      <c r="S1932" s="43"/>
      <c r="T1932" s="43"/>
      <c r="U1932" s="43"/>
      <c r="V1932" s="43"/>
      <c r="W1932" s="43"/>
      <c r="X1932" s="43"/>
      <c r="Y1932" s="43"/>
      <c r="Z1932" s="43"/>
    </row>
    <row r="1933" spans="15:26" x14ac:dyDescent="0.25">
      <c r="O1933" s="43"/>
      <c r="P1933" s="43"/>
      <c r="Q1933" s="43"/>
      <c r="R1933" s="43"/>
      <c r="S1933" s="43"/>
      <c r="T1933" s="43"/>
      <c r="U1933" s="43"/>
      <c r="V1933" s="43"/>
      <c r="W1933" s="43"/>
      <c r="X1933" s="43"/>
      <c r="Y1933" s="43"/>
      <c r="Z1933" s="43"/>
    </row>
    <row r="1934" spans="15:26" x14ac:dyDescent="0.25">
      <c r="O1934" s="43"/>
      <c r="P1934" s="43"/>
      <c r="Q1934" s="43"/>
      <c r="R1934" s="43"/>
      <c r="S1934" s="43"/>
      <c r="T1934" s="43"/>
      <c r="U1934" s="43"/>
      <c r="V1934" s="43"/>
      <c r="W1934" s="43"/>
      <c r="X1934" s="43"/>
      <c r="Y1934" s="43"/>
      <c r="Z1934" s="43"/>
    </row>
    <row r="1935" spans="15:26" x14ac:dyDescent="0.25">
      <c r="O1935" s="43"/>
      <c r="P1935" s="43"/>
      <c r="Q1935" s="43"/>
      <c r="R1935" s="43"/>
      <c r="S1935" s="43"/>
      <c r="T1935" s="43"/>
      <c r="U1935" s="43"/>
      <c r="V1935" s="43"/>
      <c r="W1935" s="43"/>
      <c r="X1935" s="43"/>
      <c r="Y1935" s="43"/>
      <c r="Z1935" s="43"/>
    </row>
    <row r="1936" spans="15:26" x14ac:dyDescent="0.25">
      <c r="O1936" s="43"/>
      <c r="P1936" s="43"/>
      <c r="Q1936" s="43"/>
      <c r="R1936" s="43"/>
      <c r="S1936" s="43"/>
      <c r="T1936" s="43"/>
      <c r="U1936" s="43"/>
      <c r="V1936" s="43"/>
      <c r="W1936" s="43"/>
      <c r="X1936" s="43"/>
      <c r="Y1936" s="43"/>
      <c r="Z1936" s="43"/>
    </row>
    <row r="1937" spans="15:26" x14ac:dyDescent="0.25">
      <c r="O1937" s="43"/>
      <c r="P1937" s="43"/>
      <c r="Q1937" s="43"/>
      <c r="R1937" s="43"/>
      <c r="S1937" s="43"/>
      <c r="T1937" s="43"/>
      <c r="U1937" s="43"/>
      <c r="V1937" s="43"/>
      <c r="W1937" s="43"/>
      <c r="X1937" s="43"/>
      <c r="Y1937" s="43"/>
      <c r="Z1937" s="43"/>
    </row>
    <row r="1938" spans="15:26" x14ac:dyDescent="0.25">
      <c r="O1938" s="43"/>
      <c r="P1938" s="43"/>
      <c r="Q1938" s="43"/>
      <c r="R1938" s="43"/>
      <c r="S1938" s="43"/>
      <c r="T1938" s="43"/>
      <c r="U1938" s="43"/>
      <c r="V1938" s="43"/>
      <c r="W1938" s="43"/>
      <c r="X1938" s="43"/>
      <c r="Y1938" s="43"/>
      <c r="Z1938" s="43"/>
    </row>
    <row r="1939" spans="15:26" x14ac:dyDescent="0.25">
      <c r="O1939" s="43"/>
      <c r="P1939" s="43"/>
      <c r="Q1939" s="43"/>
      <c r="R1939" s="43"/>
      <c r="S1939" s="43"/>
      <c r="T1939" s="43"/>
      <c r="U1939" s="43"/>
      <c r="V1939" s="43"/>
      <c r="W1939" s="43"/>
      <c r="X1939" s="43"/>
      <c r="Y1939" s="43"/>
      <c r="Z1939" s="43"/>
    </row>
    <row r="1940" spans="15:26" x14ac:dyDescent="0.25">
      <c r="O1940" s="43"/>
      <c r="P1940" s="43"/>
      <c r="Q1940" s="43"/>
      <c r="R1940" s="43"/>
      <c r="S1940" s="43"/>
      <c r="T1940" s="43"/>
      <c r="U1940" s="43"/>
      <c r="V1940" s="43"/>
      <c r="W1940" s="43"/>
      <c r="X1940" s="43"/>
      <c r="Y1940" s="43"/>
      <c r="Z1940" s="43"/>
    </row>
    <row r="1941" spans="15:26" x14ac:dyDescent="0.25">
      <c r="O1941" s="43"/>
      <c r="P1941" s="43"/>
      <c r="Q1941" s="43"/>
      <c r="R1941" s="43"/>
      <c r="S1941" s="43"/>
      <c r="T1941" s="43"/>
      <c r="U1941" s="43"/>
      <c r="V1941" s="43"/>
      <c r="W1941" s="43"/>
      <c r="X1941" s="43"/>
      <c r="Y1941" s="43"/>
      <c r="Z1941" s="43"/>
    </row>
    <row r="1942" spans="15:26" x14ac:dyDescent="0.25">
      <c r="O1942" s="43"/>
      <c r="P1942" s="43"/>
      <c r="Q1942" s="43"/>
      <c r="R1942" s="43"/>
      <c r="S1942" s="43"/>
      <c r="T1942" s="43"/>
      <c r="U1942" s="43"/>
      <c r="V1942" s="43"/>
      <c r="W1942" s="43"/>
      <c r="X1942" s="43"/>
      <c r="Y1942" s="43"/>
      <c r="Z1942" s="43"/>
    </row>
    <row r="1943" spans="15:26" x14ac:dyDescent="0.25">
      <c r="O1943" s="43"/>
      <c r="P1943" s="43"/>
      <c r="Q1943" s="43"/>
      <c r="R1943" s="43"/>
      <c r="S1943" s="43"/>
      <c r="T1943" s="43"/>
      <c r="U1943" s="43"/>
      <c r="V1943" s="43"/>
      <c r="W1943" s="43"/>
      <c r="X1943" s="43"/>
      <c r="Y1943" s="43"/>
      <c r="Z1943" s="43"/>
    </row>
    <row r="1944" spans="15:26" x14ac:dyDescent="0.25">
      <c r="O1944" s="43"/>
      <c r="P1944" s="43"/>
      <c r="Q1944" s="43"/>
      <c r="R1944" s="43"/>
      <c r="S1944" s="43"/>
      <c r="T1944" s="43"/>
      <c r="U1944" s="43"/>
      <c r="V1944" s="43"/>
      <c r="W1944" s="43"/>
      <c r="X1944" s="43"/>
      <c r="Y1944" s="43"/>
      <c r="Z1944" s="43"/>
    </row>
    <row r="1945" spans="15:26" x14ac:dyDescent="0.25">
      <c r="O1945" s="43"/>
      <c r="P1945" s="43"/>
      <c r="Q1945" s="43"/>
      <c r="R1945" s="43"/>
      <c r="S1945" s="43"/>
      <c r="T1945" s="43"/>
      <c r="U1945" s="43"/>
      <c r="V1945" s="43"/>
      <c r="W1945" s="43"/>
      <c r="X1945" s="43"/>
      <c r="Y1945" s="43"/>
      <c r="Z1945" s="43"/>
    </row>
    <row r="1946" spans="15:26" x14ac:dyDescent="0.25">
      <c r="O1946" s="43"/>
      <c r="P1946" s="43"/>
      <c r="Q1946" s="43"/>
      <c r="R1946" s="43"/>
      <c r="S1946" s="43"/>
      <c r="T1946" s="43"/>
      <c r="U1946" s="43"/>
      <c r="V1946" s="43"/>
      <c r="W1946" s="43"/>
      <c r="X1946" s="43"/>
      <c r="Y1946" s="43"/>
      <c r="Z1946" s="43"/>
    </row>
    <row r="1947" spans="15:26" x14ac:dyDescent="0.25">
      <c r="O1947" s="43"/>
      <c r="P1947" s="43"/>
      <c r="Q1947" s="43"/>
      <c r="R1947" s="43"/>
      <c r="S1947" s="43"/>
      <c r="T1947" s="43"/>
      <c r="U1947" s="43"/>
      <c r="V1947" s="43"/>
      <c r="W1947" s="43"/>
      <c r="X1947" s="43"/>
      <c r="Y1947" s="43"/>
      <c r="Z1947" s="43"/>
    </row>
    <row r="1948" spans="15:26" x14ac:dyDescent="0.25">
      <c r="O1948" s="43"/>
      <c r="P1948" s="43"/>
      <c r="Q1948" s="43"/>
      <c r="R1948" s="43"/>
      <c r="S1948" s="43"/>
      <c r="T1948" s="43"/>
      <c r="U1948" s="43"/>
      <c r="V1948" s="43"/>
      <c r="W1948" s="43"/>
      <c r="X1948" s="43"/>
      <c r="Y1948" s="43"/>
      <c r="Z1948" s="43"/>
    </row>
    <row r="1949" spans="15:26" x14ac:dyDescent="0.25">
      <c r="O1949" s="43"/>
      <c r="P1949" s="43"/>
      <c r="Q1949" s="43"/>
      <c r="R1949" s="43"/>
      <c r="S1949" s="43"/>
      <c r="T1949" s="43"/>
      <c r="U1949" s="43"/>
      <c r="V1949" s="43"/>
      <c r="W1949" s="43"/>
      <c r="X1949" s="43"/>
      <c r="Y1949" s="43"/>
      <c r="Z1949" s="43"/>
    </row>
    <row r="1950" spans="15:26" x14ac:dyDescent="0.25">
      <c r="O1950" s="43"/>
      <c r="P1950" s="43"/>
      <c r="Q1950" s="43"/>
      <c r="R1950" s="43"/>
      <c r="S1950" s="43"/>
      <c r="T1950" s="43"/>
      <c r="U1950" s="43"/>
      <c r="V1950" s="43"/>
      <c r="W1950" s="43"/>
      <c r="X1950" s="43"/>
      <c r="Y1950" s="43"/>
      <c r="Z1950" s="43"/>
    </row>
    <row r="1951" spans="15:26" x14ac:dyDescent="0.25">
      <c r="O1951" s="43"/>
      <c r="P1951" s="43"/>
      <c r="Q1951" s="43"/>
      <c r="R1951" s="43"/>
      <c r="S1951" s="43"/>
      <c r="T1951" s="43"/>
      <c r="U1951" s="43"/>
      <c r="V1951" s="43"/>
      <c r="W1951" s="43"/>
      <c r="X1951" s="43"/>
      <c r="Y1951" s="43"/>
      <c r="Z1951" s="43"/>
    </row>
    <row r="1952" spans="15:26" x14ac:dyDescent="0.25">
      <c r="O1952" s="43"/>
      <c r="P1952" s="43"/>
      <c r="Q1952" s="43"/>
      <c r="R1952" s="43"/>
      <c r="S1952" s="43"/>
      <c r="T1952" s="43"/>
      <c r="U1952" s="43"/>
      <c r="V1952" s="43"/>
      <c r="W1952" s="43"/>
      <c r="X1952" s="43"/>
      <c r="Y1952" s="43"/>
      <c r="Z1952" s="43"/>
    </row>
    <row r="1953" spans="15:26" x14ac:dyDescent="0.25">
      <c r="O1953" s="43"/>
      <c r="P1953" s="43"/>
      <c r="Q1953" s="43"/>
      <c r="R1953" s="43"/>
      <c r="S1953" s="43"/>
      <c r="T1953" s="43"/>
      <c r="U1953" s="43"/>
      <c r="V1953" s="43"/>
      <c r="W1953" s="43"/>
      <c r="X1953" s="43"/>
      <c r="Y1953" s="43"/>
      <c r="Z1953" s="43"/>
    </row>
    <row r="1954" spans="15:26" x14ac:dyDescent="0.25">
      <c r="O1954" s="43"/>
      <c r="P1954" s="43"/>
      <c r="Q1954" s="43"/>
      <c r="R1954" s="43"/>
      <c r="S1954" s="43"/>
      <c r="T1954" s="43"/>
      <c r="U1954" s="43"/>
      <c r="V1954" s="43"/>
      <c r="W1954" s="43"/>
      <c r="X1954" s="43"/>
      <c r="Y1954" s="43"/>
      <c r="Z1954" s="43"/>
    </row>
    <row r="1955" spans="15:26" x14ac:dyDescent="0.25">
      <c r="O1955" s="43"/>
      <c r="P1955" s="43"/>
      <c r="Q1955" s="43"/>
      <c r="R1955" s="43"/>
      <c r="S1955" s="43"/>
      <c r="T1955" s="43"/>
      <c r="U1955" s="43"/>
      <c r="V1955" s="43"/>
      <c r="W1955" s="43"/>
      <c r="X1955" s="43"/>
      <c r="Y1955" s="43"/>
      <c r="Z1955" s="43"/>
    </row>
    <row r="1956" spans="15:26" x14ac:dyDescent="0.25">
      <c r="O1956" s="43"/>
      <c r="P1956" s="43"/>
      <c r="Q1956" s="43"/>
      <c r="R1956" s="43"/>
      <c r="S1956" s="43"/>
      <c r="T1956" s="43"/>
      <c r="U1956" s="43"/>
      <c r="V1956" s="43"/>
      <c r="W1956" s="43"/>
      <c r="X1956" s="43"/>
      <c r="Y1956" s="43"/>
      <c r="Z1956" s="43"/>
    </row>
    <row r="1957" spans="15:26" x14ac:dyDescent="0.25">
      <c r="O1957" s="43"/>
      <c r="P1957" s="43"/>
      <c r="Q1957" s="43"/>
      <c r="R1957" s="43"/>
      <c r="S1957" s="43"/>
      <c r="T1957" s="43"/>
      <c r="U1957" s="43"/>
      <c r="V1957" s="43"/>
      <c r="W1957" s="43"/>
      <c r="X1957" s="43"/>
      <c r="Y1957" s="43"/>
      <c r="Z1957" s="43"/>
    </row>
    <row r="1958" spans="15:26" x14ac:dyDescent="0.25">
      <c r="O1958" s="43"/>
      <c r="P1958" s="43"/>
      <c r="Q1958" s="43"/>
      <c r="R1958" s="43"/>
      <c r="S1958" s="43"/>
      <c r="T1958" s="43"/>
      <c r="U1958" s="43"/>
      <c r="V1958" s="43"/>
      <c r="W1958" s="43"/>
      <c r="X1958" s="43"/>
      <c r="Y1958" s="43"/>
      <c r="Z1958" s="43"/>
    </row>
    <row r="1959" spans="15:26" x14ac:dyDescent="0.25">
      <c r="O1959" s="43"/>
      <c r="P1959" s="43"/>
      <c r="Q1959" s="43"/>
      <c r="R1959" s="43"/>
      <c r="S1959" s="43"/>
      <c r="T1959" s="43"/>
      <c r="U1959" s="43"/>
      <c r="V1959" s="43"/>
      <c r="W1959" s="43"/>
      <c r="X1959" s="43"/>
      <c r="Y1959" s="43"/>
      <c r="Z1959" s="43"/>
    </row>
    <row r="1960" spans="15:26" x14ac:dyDescent="0.25">
      <c r="O1960" s="43"/>
      <c r="P1960" s="43"/>
      <c r="Q1960" s="43"/>
      <c r="R1960" s="43"/>
      <c r="S1960" s="43"/>
      <c r="T1960" s="43"/>
      <c r="U1960" s="43"/>
      <c r="V1960" s="43"/>
      <c r="W1960" s="43"/>
      <c r="X1960" s="43"/>
      <c r="Y1960" s="43"/>
      <c r="Z1960" s="43"/>
    </row>
    <row r="1961" spans="15:26" x14ac:dyDescent="0.25">
      <c r="O1961" s="43"/>
      <c r="P1961" s="43"/>
      <c r="Q1961" s="43"/>
      <c r="R1961" s="43"/>
      <c r="S1961" s="43"/>
      <c r="T1961" s="43"/>
      <c r="U1961" s="43"/>
      <c r="V1961" s="43"/>
      <c r="W1961" s="43"/>
      <c r="X1961" s="43"/>
      <c r="Y1961" s="43"/>
      <c r="Z1961" s="43"/>
    </row>
    <row r="1962" spans="15:26" x14ac:dyDescent="0.25">
      <c r="O1962" s="43"/>
      <c r="P1962" s="43"/>
      <c r="Q1962" s="43"/>
      <c r="R1962" s="43"/>
      <c r="S1962" s="43"/>
      <c r="T1962" s="43"/>
      <c r="U1962" s="43"/>
      <c r="V1962" s="43"/>
      <c r="W1962" s="43"/>
      <c r="X1962" s="43"/>
      <c r="Y1962" s="43"/>
      <c r="Z1962" s="43"/>
    </row>
    <row r="1963" spans="15:26" x14ac:dyDescent="0.25">
      <c r="O1963" s="43"/>
      <c r="P1963" s="43"/>
      <c r="Q1963" s="43"/>
      <c r="R1963" s="43"/>
      <c r="S1963" s="43"/>
      <c r="T1963" s="43"/>
      <c r="U1963" s="43"/>
      <c r="V1963" s="43"/>
      <c r="W1963" s="43"/>
      <c r="X1963" s="43"/>
      <c r="Y1963" s="43"/>
      <c r="Z1963" s="43"/>
    </row>
    <row r="1964" spans="15:26" x14ac:dyDescent="0.25">
      <c r="O1964" s="43"/>
      <c r="P1964" s="43"/>
      <c r="Q1964" s="43"/>
      <c r="R1964" s="43"/>
      <c r="S1964" s="43"/>
      <c r="T1964" s="43"/>
      <c r="U1964" s="43"/>
      <c r="V1964" s="43"/>
      <c r="W1964" s="43"/>
      <c r="X1964" s="43"/>
      <c r="Y1964" s="43"/>
      <c r="Z1964" s="43"/>
    </row>
    <row r="1965" spans="15:26" x14ac:dyDescent="0.25">
      <c r="O1965" s="43"/>
      <c r="P1965" s="43"/>
      <c r="Q1965" s="43"/>
      <c r="R1965" s="43"/>
      <c r="S1965" s="43"/>
      <c r="T1965" s="43"/>
      <c r="U1965" s="43"/>
      <c r="V1965" s="43"/>
      <c r="W1965" s="43"/>
      <c r="X1965" s="43"/>
      <c r="Y1965" s="43"/>
      <c r="Z1965" s="43"/>
    </row>
    <row r="1966" spans="15:26" x14ac:dyDescent="0.25">
      <c r="O1966" s="43"/>
      <c r="P1966" s="43"/>
      <c r="Q1966" s="43"/>
      <c r="R1966" s="43"/>
      <c r="S1966" s="43"/>
      <c r="T1966" s="43"/>
      <c r="U1966" s="43"/>
      <c r="V1966" s="43"/>
      <c r="W1966" s="43"/>
      <c r="X1966" s="43"/>
      <c r="Y1966" s="43"/>
      <c r="Z1966" s="43"/>
    </row>
    <row r="1967" spans="15:26" x14ac:dyDescent="0.25">
      <c r="O1967" s="43"/>
      <c r="P1967" s="43"/>
      <c r="Q1967" s="43"/>
      <c r="R1967" s="43"/>
      <c r="S1967" s="43"/>
      <c r="T1967" s="43"/>
      <c r="U1967" s="43"/>
      <c r="V1967" s="43"/>
      <c r="W1967" s="43"/>
      <c r="X1967" s="43"/>
      <c r="Y1967" s="43"/>
      <c r="Z1967" s="43"/>
    </row>
    <row r="1968" spans="15:26" x14ac:dyDescent="0.25">
      <c r="O1968" s="43"/>
      <c r="P1968" s="43"/>
      <c r="Q1968" s="43"/>
      <c r="R1968" s="43"/>
      <c r="S1968" s="43"/>
      <c r="T1968" s="43"/>
      <c r="U1968" s="43"/>
      <c r="V1968" s="43"/>
      <c r="W1968" s="43"/>
      <c r="X1968" s="43"/>
      <c r="Y1968" s="43"/>
      <c r="Z1968" s="43"/>
    </row>
    <row r="1969" spans="15:26" x14ac:dyDescent="0.25">
      <c r="O1969" s="43"/>
      <c r="P1969" s="43"/>
      <c r="Q1969" s="43"/>
      <c r="R1969" s="43"/>
      <c r="S1969" s="43"/>
      <c r="T1969" s="43"/>
      <c r="U1969" s="43"/>
      <c r="V1969" s="43"/>
      <c r="W1969" s="43"/>
      <c r="X1969" s="43"/>
      <c r="Y1969" s="43"/>
      <c r="Z1969" s="43"/>
    </row>
    <row r="1970" spans="15:26" x14ac:dyDescent="0.25">
      <c r="O1970" s="43"/>
      <c r="P1970" s="43"/>
      <c r="Q1970" s="43"/>
      <c r="R1970" s="43"/>
      <c r="S1970" s="43"/>
      <c r="T1970" s="43"/>
      <c r="U1970" s="43"/>
      <c r="V1970" s="43"/>
      <c r="W1970" s="43"/>
      <c r="X1970" s="43"/>
      <c r="Y1970" s="43"/>
      <c r="Z1970" s="43"/>
    </row>
    <row r="1971" spans="15:26" x14ac:dyDescent="0.25">
      <c r="O1971" s="43"/>
      <c r="P1971" s="43"/>
      <c r="Q1971" s="43"/>
      <c r="R1971" s="43"/>
      <c r="S1971" s="43"/>
      <c r="T1971" s="43"/>
      <c r="U1971" s="43"/>
      <c r="V1971" s="43"/>
      <c r="W1971" s="43"/>
      <c r="X1971" s="43"/>
      <c r="Y1971" s="43"/>
      <c r="Z1971" s="43"/>
    </row>
    <row r="1972" spans="15:26" x14ac:dyDescent="0.25">
      <c r="O1972" s="43"/>
      <c r="P1972" s="43"/>
      <c r="Q1972" s="43"/>
      <c r="R1972" s="43"/>
      <c r="S1972" s="43"/>
      <c r="T1972" s="43"/>
      <c r="U1972" s="43"/>
      <c r="V1972" s="43"/>
      <c r="W1972" s="43"/>
      <c r="X1972" s="43"/>
      <c r="Y1972" s="43"/>
      <c r="Z1972" s="43"/>
    </row>
    <row r="1973" spans="15:26" x14ac:dyDescent="0.25">
      <c r="O1973" s="43"/>
      <c r="P1973" s="43"/>
      <c r="Q1973" s="43"/>
      <c r="R1973" s="43"/>
      <c r="S1973" s="43"/>
      <c r="T1973" s="43"/>
      <c r="U1973" s="43"/>
      <c r="V1973" s="43"/>
      <c r="W1973" s="43"/>
      <c r="X1973" s="43"/>
      <c r="Y1973" s="43"/>
      <c r="Z1973" s="43"/>
    </row>
    <row r="1974" spans="15:26" x14ac:dyDescent="0.25">
      <c r="O1974" s="43"/>
      <c r="P1974" s="43"/>
      <c r="Q1974" s="43"/>
      <c r="R1974" s="43"/>
      <c r="S1974" s="43"/>
      <c r="T1974" s="43"/>
      <c r="U1974" s="43"/>
      <c r="V1974" s="43"/>
      <c r="W1974" s="43"/>
      <c r="X1974" s="43"/>
      <c r="Y1974" s="43"/>
      <c r="Z1974" s="43"/>
    </row>
    <row r="1975" spans="15:26" x14ac:dyDescent="0.25">
      <c r="O1975" s="43"/>
      <c r="P1975" s="43"/>
      <c r="Q1975" s="43"/>
      <c r="R1975" s="43"/>
      <c r="S1975" s="43"/>
      <c r="T1975" s="43"/>
      <c r="U1975" s="43"/>
      <c r="V1975" s="43"/>
      <c r="W1975" s="43"/>
      <c r="X1975" s="43"/>
      <c r="Y1975" s="43"/>
      <c r="Z1975" s="43"/>
    </row>
    <row r="1976" spans="15:26" x14ac:dyDescent="0.25">
      <c r="O1976" s="43"/>
      <c r="P1976" s="43"/>
      <c r="Q1976" s="43"/>
      <c r="R1976" s="43"/>
      <c r="S1976" s="43"/>
      <c r="T1976" s="43"/>
      <c r="U1976" s="43"/>
      <c r="V1976" s="43"/>
      <c r="W1976" s="43"/>
      <c r="X1976" s="43"/>
      <c r="Y1976" s="43"/>
      <c r="Z1976" s="43"/>
    </row>
    <row r="1977" spans="15:26" x14ac:dyDescent="0.25">
      <c r="O1977" s="43"/>
      <c r="P1977" s="43"/>
      <c r="Q1977" s="43"/>
      <c r="R1977" s="43"/>
      <c r="S1977" s="43"/>
      <c r="T1977" s="43"/>
      <c r="U1977" s="43"/>
      <c r="V1977" s="43"/>
      <c r="W1977" s="43"/>
      <c r="X1977" s="43"/>
      <c r="Y1977" s="43"/>
      <c r="Z1977" s="43"/>
    </row>
    <row r="1978" spans="15:26" x14ac:dyDescent="0.25">
      <c r="O1978" s="43"/>
      <c r="P1978" s="43"/>
      <c r="Q1978" s="43"/>
      <c r="R1978" s="43"/>
      <c r="S1978" s="43"/>
      <c r="T1978" s="43"/>
      <c r="U1978" s="43"/>
      <c r="V1978" s="43"/>
      <c r="W1978" s="43"/>
      <c r="X1978" s="43"/>
      <c r="Y1978" s="43"/>
      <c r="Z1978" s="43"/>
    </row>
    <row r="1979" spans="15:26" x14ac:dyDescent="0.25">
      <c r="O1979" s="43"/>
      <c r="P1979" s="43"/>
      <c r="Q1979" s="43"/>
      <c r="R1979" s="43"/>
      <c r="S1979" s="43"/>
      <c r="T1979" s="43"/>
      <c r="U1979" s="43"/>
      <c r="V1979" s="43"/>
      <c r="W1979" s="43"/>
      <c r="X1979" s="43"/>
      <c r="Y1979" s="43"/>
      <c r="Z1979" s="43"/>
    </row>
    <row r="1980" spans="15:26" x14ac:dyDescent="0.25">
      <c r="O1980" s="43"/>
      <c r="P1980" s="43"/>
      <c r="Q1980" s="43"/>
      <c r="R1980" s="43"/>
      <c r="S1980" s="43"/>
      <c r="T1980" s="43"/>
      <c r="U1980" s="43"/>
      <c r="V1980" s="43"/>
      <c r="W1980" s="43"/>
      <c r="X1980" s="43"/>
      <c r="Y1980" s="43"/>
      <c r="Z1980" s="43"/>
    </row>
    <row r="1981" spans="15:26" x14ac:dyDescent="0.25">
      <c r="O1981" s="43"/>
      <c r="P1981" s="43"/>
      <c r="Q1981" s="43"/>
      <c r="R1981" s="43"/>
      <c r="S1981" s="43"/>
      <c r="T1981" s="43"/>
      <c r="U1981" s="43"/>
      <c r="V1981" s="43"/>
      <c r="W1981" s="43"/>
      <c r="X1981" s="43"/>
      <c r="Y1981" s="43"/>
      <c r="Z1981" s="43"/>
    </row>
    <row r="1982" spans="15:26" x14ac:dyDescent="0.25">
      <c r="O1982" s="43"/>
      <c r="P1982" s="43"/>
      <c r="Q1982" s="43"/>
      <c r="R1982" s="43"/>
      <c r="S1982" s="43"/>
      <c r="T1982" s="43"/>
      <c r="U1982" s="43"/>
      <c r="V1982" s="43"/>
      <c r="W1982" s="43"/>
      <c r="X1982" s="43"/>
      <c r="Y1982" s="43"/>
      <c r="Z1982" s="43"/>
    </row>
    <row r="1983" spans="15:26" x14ac:dyDescent="0.25">
      <c r="O1983" s="43"/>
      <c r="P1983" s="43"/>
      <c r="Q1983" s="43"/>
      <c r="R1983" s="43"/>
      <c r="S1983" s="43"/>
      <c r="T1983" s="43"/>
      <c r="U1983" s="43"/>
      <c r="V1983" s="43"/>
      <c r="W1983" s="43"/>
      <c r="X1983" s="43"/>
      <c r="Y1983" s="43"/>
      <c r="Z1983" s="43"/>
    </row>
    <row r="1984" spans="15:26" x14ac:dyDescent="0.25">
      <c r="O1984" s="43"/>
      <c r="P1984" s="43"/>
      <c r="Q1984" s="43"/>
      <c r="R1984" s="43"/>
      <c r="S1984" s="43"/>
      <c r="T1984" s="43"/>
      <c r="U1984" s="43"/>
      <c r="V1984" s="43"/>
      <c r="W1984" s="43"/>
      <c r="X1984" s="43"/>
      <c r="Y1984" s="43"/>
      <c r="Z1984" s="43"/>
    </row>
    <row r="1985" spans="15:26" x14ac:dyDescent="0.25">
      <c r="O1985" s="43"/>
      <c r="P1985" s="43"/>
      <c r="Q1985" s="43"/>
      <c r="R1985" s="43"/>
      <c r="S1985" s="43"/>
      <c r="T1985" s="43"/>
      <c r="U1985" s="43"/>
      <c r="V1985" s="43"/>
      <c r="W1985" s="43"/>
      <c r="X1985" s="43"/>
      <c r="Y1985" s="43"/>
      <c r="Z1985" s="43"/>
    </row>
    <row r="1986" spans="15:26" x14ac:dyDescent="0.25">
      <c r="O1986" s="43"/>
      <c r="P1986" s="43"/>
      <c r="Q1986" s="43"/>
      <c r="R1986" s="43"/>
      <c r="S1986" s="43"/>
      <c r="T1986" s="43"/>
      <c r="U1986" s="43"/>
      <c r="V1986" s="43"/>
      <c r="W1986" s="43"/>
      <c r="X1986" s="43"/>
      <c r="Y1986" s="43"/>
      <c r="Z1986" s="43"/>
    </row>
    <row r="1987" spans="15:26" x14ac:dyDescent="0.25">
      <c r="O1987" s="43"/>
      <c r="P1987" s="43"/>
      <c r="Q1987" s="43"/>
      <c r="R1987" s="43"/>
      <c r="S1987" s="43"/>
      <c r="T1987" s="43"/>
      <c r="U1987" s="43"/>
      <c r="V1987" s="43"/>
      <c r="W1987" s="43"/>
      <c r="X1987" s="43"/>
      <c r="Y1987" s="43"/>
      <c r="Z1987" s="43"/>
    </row>
    <row r="1988" spans="15:26" x14ac:dyDescent="0.25">
      <c r="O1988" s="43"/>
      <c r="P1988" s="43"/>
      <c r="Q1988" s="43"/>
      <c r="R1988" s="43"/>
      <c r="S1988" s="43"/>
      <c r="T1988" s="43"/>
      <c r="U1988" s="43"/>
      <c r="V1988" s="43"/>
      <c r="W1988" s="43"/>
      <c r="X1988" s="43"/>
      <c r="Y1988" s="43"/>
      <c r="Z1988" s="43"/>
    </row>
    <row r="1989" spans="15:26" x14ac:dyDescent="0.25">
      <c r="O1989" s="43"/>
      <c r="P1989" s="43"/>
      <c r="Q1989" s="43"/>
      <c r="R1989" s="43"/>
      <c r="S1989" s="43"/>
      <c r="T1989" s="43"/>
      <c r="U1989" s="43"/>
      <c r="V1989" s="43"/>
      <c r="W1989" s="43"/>
      <c r="X1989" s="43"/>
      <c r="Y1989" s="43"/>
      <c r="Z1989" s="43"/>
    </row>
    <row r="1990" spans="15:26" x14ac:dyDescent="0.25">
      <c r="O1990" s="43"/>
      <c r="P1990" s="43"/>
      <c r="Q1990" s="43"/>
      <c r="R1990" s="43"/>
      <c r="S1990" s="43"/>
      <c r="T1990" s="43"/>
      <c r="U1990" s="43"/>
      <c r="V1990" s="43"/>
      <c r="W1990" s="43"/>
      <c r="X1990" s="43"/>
      <c r="Y1990" s="43"/>
      <c r="Z1990" s="43"/>
    </row>
    <row r="1991" spans="15:26" x14ac:dyDescent="0.25">
      <c r="O1991" s="43"/>
      <c r="P1991" s="43"/>
      <c r="Q1991" s="43"/>
      <c r="R1991" s="43"/>
      <c r="S1991" s="43"/>
      <c r="T1991" s="43"/>
      <c r="U1991" s="43"/>
      <c r="V1991" s="43"/>
      <c r="W1991" s="43"/>
      <c r="X1991" s="43"/>
      <c r="Y1991" s="43"/>
      <c r="Z1991" s="43"/>
    </row>
    <row r="1992" spans="15:26" x14ac:dyDescent="0.25">
      <c r="O1992" s="43"/>
      <c r="P1992" s="43"/>
      <c r="Q1992" s="43"/>
      <c r="R1992" s="43"/>
      <c r="S1992" s="43"/>
      <c r="T1992" s="43"/>
      <c r="U1992" s="43"/>
      <c r="V1992" s="43"/>
      <c r="W1992" s="43"/>
      <c r="X1992" s="43"/>
      <c r="Y1992" s="43"/>
      <c r="Z1992" s="43"/>
    </row>
    <row r="1993" spans="15:26" x14ac:dyDescent="0.25">
      <c r="O1993" s="43"/>
      <c r="P1993" s="43"/>
      <c r="Q1993" s="43"/>
      <c r="R1993" s="43"/>
      <c r="S1993" s="43"/>
      <c r="T1993" s="43"/>
      <c r="U1993" s="43"/>
      <c r="V1993" s="43"/>
      <c r="W1993" s="43"/>
      <c r="X1993" s="43"/>
      <c r="Y1993" s="43"/>
      <c r="Z1993" s="43"/>
    </row>
    <row r="1994" spans="15:26" x14ac:dyDescent="0.25">
      <c r="O1994" s="43"/>
      <c r="P1994" s="43"/>
      <c r="Q1994" s="43"/>
      <c r="R1994" s="43"/>
      <c r="S1994" s="43"/>
      <c r="T1994" s="43"/>
      <c r="U1994" s="43"/>
      <c r="V1994" s="43"/>
      <c r="W1994" s="43"/>
      <c r="X1994" s="43"/>
      <c r="Y1994" s="43"/>
      <c r="Z1994" s="43"/>
    </row>
    <row r="1995" spans="15:26" x14ac:dyDescent="0.25">
      <c r="O1995" s="43"/>
      <c r="P1995" s="43"/>
      <c r="Q1995" s="43"/>
      <c r="R1995" s="43"/>
      <c r="S1995" s="43"/>
      <c r="T1995" s="43"/>
      <c r="U1995" s="43"/>
      <c r="V1995" s="43"/>
      <c r="W1995" s="43"/>
      <c r="X1995" s="43"/>
      <c r="Y1995" s="43"/>
      <c r="Z1995" s="43"/>
    </row>
    <row r="1996" spans="15:26" x14ac:dyDescent="0.25">
      <c r="O1996" s="43"/>
      <c r="P1996" s="43"/>
      <c r="Q1996" s="43"/>
      <c r="R1996" s="43"/>
      <c r="S1996" s="43"/>
      <c r="T1996" s="43"/>
      <c r="U1996" s="43"/>
      <c r="V1996" s="43"/>
      <c r="W1996" s="43"/>
      <c r="X1996" s="43"/>
      <c r="Y1996" s="43"/>
      <c r="Z1996" s="43"/>
    </row>
    <row r="1997" spans="15:26" x14ac:dyDescent="0.25">
      <c r="O1997" s="43"/>
      <c r="P1997" s="43"/>
      <c r="Q1997" s="43"/>
      <c r="R1997" s="43"/>
      <c r="S1997" s="43"/>
      <c r="T1997" s="43"/>
      <c r="U1997" s="43"/>
      <c r="V1997" s="43"/>
      <c r="W1997" s="43"/>
      <c r="X1997" s="43"/>
      <c r="Y1997" s="43"/>
      <c r="Z1997" s="43"/>
    </row>
    <row r="1998" spans="15:26" x14ac:dyDescent="0.25">
      <c r="O1998" s="43"/>
      <c r="P1998" s="43"/>
      <c r="Q1998" s="43"/>
      <c r="R1998" s="43"/>
      <c r="S1998" s="43"/>
      <c r="T1998" s="43"/>
      <c r="U1998" s="43"/>
      <c r="V1998" s="43"/>
      <c r="W1998" s="43"/>
      <c r="X1998" s="43"/>
      <c r="Y1998" s="43"/>
      <c r="Z1998" s="43"/>
    </row>
    <row r="1999" spans="15:26" x14ac:dyDescent="0.25">
      <c r="O1999" s="43"/>
      <c r="P1999" s="43"/>
      <c r="Q1999" s="43"/>
      <c r="R1999" s="43"/>
      <c r="S1999" s="43"/>
      <c r="T1999" s="43"/>
      <c r="U1999" s="43"/>
      <c r="V1999" s="43"/>
      <c r="W1999" s="43"/>
      <c r="X1999" s="43"/>
      <c r="Y1999" s="43"/>
      <c r="Z1999" s="43"/>
    </row>
    <row r="2000" spans="15:26" x14ac:dyDescent="0.25">
      <c r="O2000" s="43"/>
      <c r="P2000" s="43"/>
      <c r="Q2000" s="43"/>
      <c r="R2000" s="43"/>
      <c r="S2000" s="43"/>
      <c r="T2000" s="43"/>
      <c r="U2000" s="43"/>
      <c r="V2000" s="43"/>
      <c r="W2000" s="43"/>
      <c r="X2000" s="43"/>
      <c r="Y2000" s="43"/>
      <c r="Z2000" s="43"/>
    </row>
    <row r="2001" spans="15:26" x14ac:dyDescent="0.25">
      <c r="O2001" s="43"/>
      <c r="P2001" s="43"/>
      <c r="Q2001" s="43"/>
      <c r="R2001" s="43"/>
      <c r="S2001" s="43"/>
      <c r="T2001" s="43"/>
      <c r="U2001" s="43"/>
      <c r="V2001" s="43"/>
      <c r="W2001" s="43"/>
      <c r="X2001" s="43"/>
      <c r="Y2001" s="43"/>
      <c r="Z2001" s="43"/>
    </row>
    <row r="2002" spans="15:26" x14ac:dyDescent="0.25">
      <c r="O2002" s="43"/>
      <c r="P2002" s="43"/>
      <c r="Q2002" s="43"/>
      <c r="R2002" s="43"/>
      <c r="S2002" s="43"/>
      <c r="T2002" s="43"/>
      <c r="U2002" s="43"/>
      <c r="V2002" s="43"/>
      <c r="W2002" s="43"/>
      <c r="X2002" s="43"/>
      <c r="Y2002" s="43"/>
      <c r="Z2002" s="43"/>
    </row>
    <row r="2003" spans="15:26" x14ac:dyDescent="0.25">
      <c r="O2003" s="43"/>
      <c r="P2003" s="43"/>
      <c r="Q2003" s="43"/>
      <c r="R2003" s="43"/>
      <c r="S2003" s="43"/>
      <c r="T2003" s="43"/>
      <c r="U2003" s="43"/>
      <c r="V2003" s="43"/>
      <c r="W2003" s="43"/>
      <c r="X2003" s="43"/>
      <c r="Y2003" s="43"/>
      <c r="Z2003" s="43"/>
    </row>
    <row r="2004" spans="15:26" x14ac:dyDescent="0.25">
      <c r="O2004" s="43"/>
      <c r="P2004" s="43"/>
      <c r="Q2004" s="43"/>
      <c r="R2004" s="43"/>
      <c r="S2004" s="43"/>
      <c r="T2004" s="43"/>
      <c r="U2004" s="43"/>
      <c r="V2004" s="43"/>
      <c r="W2004" s="43"/>
      <c r="X2004" s="43"/>
      <c r="Y2004" s="43"/>
      <c r="Z2004" s="43"/>
    </row>
    <row r="2005" spans="15:26" x14ac:dyDescent="0.25">
      <c r="O2005" s="43"/>
      <c r="P2005" s="43"/>
      <c r="Q2005" s="43"/>
      <c r="R2005" s="43"/>
      <c r="S2005" s="43"/>
      <c r="T2005" s="43"/>
      <c r="U2005" s="43"/>
      <c r="V2005" s="43"/>
      <c r="W2005" s="43"/>
      <c r="X2005" s="43"/>
      <c r="Y2005" s="43"/>
      <c r="Z2005" s="43"/>
    </row>
    <row r="2006" spans="15:26" x14ac:dyDescent="0.25">
      <c r="O2006" s="43"/>
      <c r="P2006" s="43"/>
      <c r="Q2006" s="43"/>
      <c r="R2006" s="43"/>
      <c r="S2006" s="43"/>
      <c r="T2006" s="43"/>
      <c r="U2006" s="43"/>
      <c r="V2006" s="43"/>
      <c r="W2006" s="43"/>
      <c r="X2006" s="43"/>
      <c r="Y2006" s="43"/>
      <c r="Z2006" s="43"/>
    </row>
    <row r="2007" spans="15:26" x14ac:dyDescent="0.25">
      <c r="O2007" s="43"/>
      <c r="P2007" s="43"/>
      <c r="Q2007" s="43"/>
      <c r="R2007" s="43"/>
      <c r="S2007" s="43"/>
      <c r="T2007" s="43"/>
      <c r="U2007" s="43"/>
      <c r="V2007" s="43"/>
      <c r="W2007" s="43"/>
      <c r="X2007" s="43"/>
      <c r="Y2007" s="43"/>
      <c r="Z2007" s="43"/>
    </row>
    <row r="2008" spans="15:26" x14ac:dyDescent="0.25">
      <c r="O2008" s="43"/>
      <c r="P2008" s="43"/>
      <c r="Q2008" s="43"/>
      <c r="R2008" s="43"/>
      <c r="S2008" s="43"/>
      <c r="T2008" s="43"/>
      <c r="U2008" s="43"/>
      <c r="V2008" s="43"/>
      <c r="W2008" s="43"/>
      <c r="X2008" s="43"/>
      <c r="Y2008" s="43"/>
      <c r="Z2008" s="43"/>
    </row>
    <row r="2009" spans="15:26" x14ac:dyDescent="0.25">
      <c r="O2009" s="43"/>
      <c r="P2009" s="43"/>
      <c r="Q2009" s="43"/>
      <c r="R2009" s="43"/>
      <c r="S2009" s="43"/>
      <c r="T2009" s="43"/>
      <c r="U2009" s="43"/>
      <c r="V2009" s="43"/>
      <c r="W2009" s="43"/>
      <c r="X2009" s="43"/>
      <c r="Y2009" s="43"/>
      <c r="Z2009" s="43"/>
    </row>
    <row r="2010" spans="15:26" x14ac:dyDescent="0.25">
      <c r="O2010" s="43"/>
      <c r="P2010" s="43"/>
      <c r="Q2010" s="43"/>
      <c r="R2010" s="43"/>
      <c r="S2010" s="43"/>
      <c r="T2010" s="43"/>
      <c r="U2010" s="43"/>
      <c r="V2010" s="43"/>
      <c r="W2010" s="43"/>
      <c r="X2010" s="43"/>
      <c r="Y2010" s="43"/>
      <c r="Z2010" s="43"/>
    </row>
    <row r="2011" spans="15:26" x14ac:dyDescent="0.25">
      <c r="O2011" s="43"/>
      <c r="P2011" s="43"/>
      <c r="Q2011" s="43"/>
      <c r="R2011" s="43"/>
      <c r="S2011" s="43"/>
      <c r="T2011" s="43"/>
      <c r="U2011" s="43"/>
      <c r="V2011" s="43"/>
      <c r="W2011" s="43"/>
      <c r="X2011" s="43"/>
      <c r="Y2011" s="43"/>
      <c r="Z2011" s="43"/>
    </row>
    <row r="2012" spans="15:26" x14ac:dyDescent="0.25">
      <c r="O2012" s="43"/>
      <c r="P2012" s="43"/>
      <c r="Q2012" s="43"/>
      <c r="R2012" s="43"/>
      <c r="S2012" s="43"/>
      <c r="T2012" s="43"/>
      <c r="U2012" s="43"/>
      <c r="V2012" s="43"/>
      <c r="W2012" s="43"/>
      <c r="X2012" s="43"/>
      <c r="Y2012" s="43"/>
      <c r="Z2012" s="43"/>
    </row>
    <row r="2013" spans="15:26" x14ac:dyDescent="0.25">
      <c r="O2013" s="43"/>
      <c r="P2013" s="43"/>
      <c r="Q2013" s="43"/>
      <c r="R2013" s="43"/>
      <c r="S2013" s="43"/>
      <c r="T2013" s="43"/>
      <c r="U2013" s="43"/>
      <c r="V2013" s="43"/>
      <c r="W2013" s="43"/>
      <c r="X2013" s="43"/>
      <c r="Y2013" s="43"/>
      <c r="Z2013" s="43"/>
    </row>
    <row r="2014" spans="15:26" x14ac:dyDescent="0.25">
      <c r="O2014" s="43"/>
      <c r="P2014" s="43"/>
      <c r="Q2014" s="43"/>
      <c r="R2014" s="43"/>
      <c r="S2014" s="43"/>
      <c r="T2014" s="43"/>
      <c r="U2014" s="43"/>
      <c r="V2014" s="43"/>
      <c r="W2014" s="43"/>
      <c r="X2014" s="43"/>
      <c r="Y2014" s="43"/>
      <c r="Z2014" s="43"/>
    </row>
    <row r="2015" spans="15:26" x14ac:dyDescent="0.25">
      <c r="O2015" s="43"/>
      <c r="P2015" s="43"/>
      <c r="Q2015" s="43"/>
      <c r="R2015" s="43"/>
      <c r="S2015" s="43"/>
      <c r="T2015" s="43"/>
      <c r="U2015" s="43"/>
      <c r="V2015" s="43"/>
      <c r="W2015" s="43"/>
      <c r="X2015" s="43"/>
      <c r="Y2015" s="43"/>
      <c r="Z2015" s="43"/>
    </row>
    <row r="2016" spans="15:26" x14ac:dyDescent="0.25">
      <c r="O2016" s="43"/>
      <c r="P2016" s="43"/>
      <c r="Q2016" s="43"/>
      <c r="R2016" s="43"/>
      <c r="S2016" s="43"/>
      <c r="T2016" s="43"/>
      <c r="U2016" s="43"/>
      <c r="V2016" s="43"/>
      <c r="W2016" s="43"/>
      <c r="X2016" s="43"/>
      <c r="Y2016" s="43"/>
      <c r="Z2016" s="43"/>
    </row>
    <row r="2017" spans="15:26" x14ac:dyDescent="0.25">
      <c r="O2017" s="43"/>
      <c r="P2017" s="43"/>
      <c r="Q2017" s="43"/>
      <c r="R2017" s="43"/>
      <c r="S2017" s="43"/>
      <c r="T2017" s="43"/>
      <c r="U2017" s="43"/>
      <c r="V2017" s="43"/>
      <c r="W2017" s="43"/>
      <c r="X2017" s="43"/>
      <c r="Y2017" s="43"/>
      <c r="Z2017" s="43"/>
    </row>
    <row r="2018" spans="15:26" x14ac:dyDescent="0.25">
      <c r="O2018" s="43"/>
      <c r="P2018" s="43"/>
      <c r="Q2018" s="43"/>
      <c r="R2018" s="43"/>
      <c r="S2018" s="43"/>
      <c r="T2018" s="43"/>
      <c r="U2018" s="43"/>
      <c r="V2018" s="43"/>
      <c r="W2018" s="43"/>
      <c r="X2018" s="43"/>
      <c r="Y2018" s="43"/>
      <c r="Z2018" s="43"/>
    </row>
    <row r="2019" spans="15:26" x14ac:dyDescent="0.25">
      <c r="O2019" s="43"/>
      <c r="P2019" s="43"/>
      <c r="Q2019" s="43"/>
      <c r="R2019" s="43"/>
      <c r="S2019" s="43"/>
      <c r="T2019" s="43"/>
      <c r="U2019" s="43"/>
      <c r="V2019" s="43"/>
      <c r="W2019" s="43"/>
      <c r="X2019" s="43"/>
      <c r="Y2019" s="43"/>
      <c r="Z2019" s="43"/>
    </row>
    <row r="2020" spans="15:26" x14ac:dyDescent="0.25">
      <c r="O2020" s="43"/>
      <c r="P2020" s="43"/>
      <c r="Q2020" s="43"/>
      <c r="R2020" s="43"/>
      <c r="S2020" s="43"/>
      <c r="T2020" s="43"/>
      <c r="U2020" s="43"/>
      <c r="V2020" s="43"/>
      <c r="W2020" s="43"/>
      <c r="X2020" s="43"/>
      <c r="Y2020" s="43"/>
      <c r="Z2020" s="43"/>
    </row>
    <row r="2021" spans="15:26" x14ac:dyDescent="0.25">
      <c r="O2021" s="43"/>
      <c r="P2021" s="43"/>
      <c r="Q2021" s="43"/>
      <c r="R2021" s="43"/>
      <c r="S2021" s="43"/>
      <c r="T2021" s="43"/>
      <c r="U2021" s="43"/>
      <c r="V2021" s="43"/>
      <c r="W2021" s="43"/>
      <c r="X2021" s="43"/>
      <c r="Y2021" s="43"/>
      <c r="Z2021" s="43"/>
    </row>
    <row r="2022" spans="15:26" x14ac:dyDescent="0.25">
      <c r="O2022" s="43"/>
      <c r="P2022" s="43"/>
      <c r="Q2022" s="43"/>
      <c r="R2022" s="43"/>
      <c r="S2022" s="43"/>
      <c r="T2022" s="43"/>
      <c r="U2022" s="43"/>
      <c r="V2022" s="43"/>
      <c r="W2022" s="43"/>
      <c r="X2022" s="43"/>
      <c r="Y2022" s="43"/>
      <c r="Z2022" s="43"/>
    </row>
    <row r="2023" spans="15:26" x14ac:dyDescent="0.25">
      <c r="O2023" s="43"/>
      <c r="P2023" s="43"/>
      <c r="Q2023" s="43"/>
      <c r="R2023" s="43"/>
      <c r="S2023" s="43"/>
      <c r="T2023" s="43"/>
      <c r="U2023" s="43"/>
      <c r="V2023" s="43"/>
      <c r="W2023" s="43"/>
      <c r="X2023" s="43"/>
      <c r="Y2023" s="43"/>
      <c r="Z2023" s="43"/>
    </row>
    <row r="2024" spans="15:26" x14ac:dyDescent="0.25">
      <c r="O2024" s="43"/>
      <c r="P2024" s="43"/>
      <c r="Q2024" s="43"/>
      <c r="R2024" s="43"/>
      <c r="S2024" s="43"/>
      <c r="T2024" s="43"/>
      <c r="U2024" s="43"/>
      <c r="V2024" s="43"/>
      <c r="W2024" s="43"/>
      <c r="X2024" s="43"/>
      <c r="Y2024" s="43"/>
      <c r="Z2024" s="43"/>
    </row>
    <row r="2025" spans="15:26" x14ac:dyDescent="0.25">
      <c r="O2025" s="43"/>
      <c r="P2025" s="43"/>
      <c r="Q2025" s="43"/>
      <c r="R2025" s="43"/>
      <c r="S2025" s="43"/>
      <c r="T2025" s="43"/>
      <c r="U2025" s="43"/>
      <c r="V2025" s="43"/>
      <c r="W2025" s="43"/>
      <c r="X2025" s="43"/>
      <c r="Y2025" s="43"/>
      <c r="Z2025" s="43"/>
    </row>
    <row r="2026" spans="15:26" x14ac:dyDescent="0.25">
      <c r="O2026" s="43"/>
      <c r="P2026" s="43"/>
      <c r="Q2026" s="43"/>
      <c r="R2026" s="43"/>
      <c r="S2026" s="43"/>
      <c r="T2026" s="43"/>
      <c r="U2026" s="43"/>
      <c r="V2026" s="43"/>
      <c r="W2026" s="43"/>
      <c r="X2026" s="43"/>
      <c r="Y2026" s="43"/>
      <c r="Z2026" s="43"/>
    </row>
    <row r="2027" spans="15:26" x14ac:dyDescent="0.25">
      <c r="O2027" s="43"/>
      <c r="P2027" s="43"/>
      <c r="Q2027" s="43"/>
      <c r="R2027" s="43"/>
      <c r="S2027" s="43"/>
      <c r="T2027" s="43"/>
      <c r="U2027" s="43"/>
      <c r="V2027" s="43"/>
      <c r="W2027" s="43"/>
      <c r="X2027" s="43"/>
      <c r="Y2027" s="43"/>
      <c r="Z2027" s="43"/>
    </row>
    <row r="2028" spans="15:26" x14ac:dyDescent="0.25">
      <c r="O2028" s="43"/>
      <c r="P2028" s="43"/>
      <c r="Q2028" s="43"/>
      <c r="R2028" s="43"/>
      <c r="S2028" s="43"/>
      <c r="T2028" s="43"/>
      <c r="U2028" s="43"/>
      <c r="V2028" s="43"/>
      <c r="W2028" s="43"/>
      <c r="X2028" s="43"/>
      <c r="Y2028" s="43"/>
      <c r="Z2028" s="43"/>
    </row>
    <row r="2029" spans="15:26" x14ac:dyDescent="0.25">
      <c r="O2029" s="43"/>
      <c r="P2029" s="43"/>
      <c r="Q2029" s="43"/>
      <c r="R2029" s="43"/>
      <c r="S2029" s="43"/>
      <c r="T2029" s="43"/>
      <c r="U2029" s="43"/>
      <c r="V2029" s="43"/>
      <c r="W2029" s="43"/>
      <c r="X2029" s="43"/>
      <c r="Y2029" s="43"/>
      <c r="Z2029" s="43"/>
    </row>
    <row r="2030" spans="15:26" x14ac:dyDescent="0.25">
      <c r="O2030" s="43"/>
      <c r="P2030" s="43"/>
      <c r="Q2030" s="43"/>
      <c r="R2030" s="43"/>
      <c r="S2030" s="43"/>
      <c r="T2030" s="43"/>
      <c r="U2030" s="43"/>
      <c r="V2030" s="43"/>
      <c r="W2030" s="43"/>
      <c r="X2030" s="43"/>
      <c r="Y2030" s="43"/>
      <c r="Z2030" s="43"/>
    </row>
    <row r="2031" spans="15:26" x14ac:dyDescent="0.25">
      <c r="O2031" s="43"/>
      <c r="P2031" s="43"/>
      <c r="Q2031" s="43"/>
      <c r="R2031" s="43"/>
      <c r="S2031" s="43"/>
      <c r="T2031" s="43"/>
      <c r="U2031" s="43"/>
      <c r="V2031" s="43"/>
      <c r="W2031" s="43"/>
      <c r="X2031" s="43"/>
      <c r="Y2031" s="43"/>
      <c r="Z2031" s="43"/>
    </row>
    <row r="2032" spans="15:26" x14ac:dyDescent="0.25">
      <c r="O2032" s="43"/>
      <c r="P2032" s="43"/>
      <c r="Q2032" s="43"/>
      <c r="R2032" s="43"/>
      <c r="S2032" s="43"/>
      <c r="T2032" s="43"/>
      <c r="U2032" s="43"/>
      <c r="V2032" s="43"/>
      <c r="W2032" s="43"/>
      <c r="X2032" s="43"/>
      <c r="Y2032" s="43"/>
      <c r="Z2032" s="43"/>
    </row>
    <row r="2033" spans="15:26" x14ac:dyDescent="0.25">
      <c r="O2033" s="43"/>
      <c r="P2033" s="43"/>
      <c r="Q2033" s="43"/>
      <c r="R2033" s="43"/>
      <c r="S2033" s="43"/>
      <c r="T2033" s="43"/>
      <c r="U2033" s="43"/>
      <c r="V2033" s="43"/>
      <c r="W2033" s="43"/>
      <c r="X2033" s="43"/>
      <c r="Y2033" s="43"/>
      <c r="Z2033" s="43"/>
    </row>
    <row r="2034" spans="15:26" x14ac:dyDescent="0.25">
      <c r="O2034" s="43"/>
      <c r="P2034" s="43"/>
      <c r="Q2034" s="43"/>
      <c r="R2034" s="43"/>
      <c r="S2034" s="43"/>
      <c r="T2034" s="43"/>
      <c r="U2034" s="43"/>
      <c r="V2034" s="43"/>
      <c r="W2034" s="43"/>
      <c r="X2034" s="43"/>
      <c r="Y2034" s="43"/>
      <c r="Z2034" s="43"/>
    </row>
    <row r="2035" spans="15:26" x14ac:dyDescent="0.25">
      <c r="O2035" s="43"/>
      <c r="P2035" s="43"/>
      <c r="Q2035" s="43"/>
      <c r="R2035" s="43"/>
      <c r="S2035" s="43"/>
      <c r="T2035" s="43"/>
      <c r="U2035" s="43"/>
      <c r="V2035" s="43"/>
      <c r="W2035" s="43"/>
      <c r="X2035" s="43"/>
      <c r="Y2035" s="43"/>
      <c r="Z2035" s="43"/>
    </row>
    <row r="2036" spans="15:26" x14ac:dyDescent="0.25">
      <c r="O2036" s="43"/>
      <c r="P2036" s="43"/>
      <c r="Q2036" s="43"/>
      <c r="R2036" s="43"/>
      <c r="S2036" s="43"/>
      <c r="T2036" s="43"/>
      <c r="U2036" s="43"/>
      <c r="V2036" s="43"/>
      <c r="W2036" s="43"/>
      <c r="X2036" s="43"/>
      <c r="Y2036" s="43"/>
      <c r="Z2036" s="43"/>
    </row>
    <row r="2037" spans="15:26" x14ac:dyDescent="0.25">
      <c r="O2037" s="43"/>
      <c r="P2037" s="43"/>
      <c r="Q2037" s="43"/>
      <c r="R2037" s="43"/>
      <c r="S2037" s="43"/>
      <c r="T2037" s="43"/>
      <c r="U2037" s="43"/>
      <c r="V2037" s="43"/>
      <c r="W2037" s="43"/>
      <c r="X2037" s="43"/>
      <c r="Y2037" s="43"/>
      <c r="Z2037" s="43"/>
    </row>
    <row r="2038" spans="15:26" x14ac:dyDescent="0.25">
      <c r="O2038" s="43"/>
      <c r="P2038" s="43"/>
      <c r="Q2038" s="43"/>
      <c r="R2038" s="43"/>
      <c r="S2038" s="43"/>
      <c r="T2038" s="43"/>
      <c r="U2038" s="43"/>
      <c r="V2038" s="43"/>
      <c r="W2038" s="43"/>
      <c r="X2038" s="43"/>
      <c r="Y2038" s="43"/>
      <c r="Z2038" s="43"/>
    </row>
    <row r="2039" spans="15:26" x14ac:dyDescent="0.25">
      <c r="O2039" s="43"/>
      <c r="P2039" s="43"/>
      <c r="Q2039" s="43"/>
      <c r="R2039" s="43"/>
      <c r="S2039" s="43"/>
      <c r="T2039" s="43"/>
      <c r="U2039" s="43"/>
      <c r="V2039" s="43"/>
      <c r="W2039" s="43"/>
      <c r="X2039" s="43"/>
      <c r="Y2039" s="43"/>
      <c r="Z2039" s="43"/>
    </row>
    <row r="2040" spans="15:26" x14ac:dyDescent="0.25">
      <c r="O2040" s="43"/>
      <c r="P2040" s="43"/>
      <c r="Q2040" s="43"/>
      <c r="R2040" s="43"/>
      <c r="S2040" s="43"/>
      <c r="T2040" s="43"/>
      <c r="U2040" s="43"/>
      <c r="V2040" s="43"/>
      <c r="W2040" s="43"/>
      <c r="X2040" s="43"/>
      <c r="Y2040" s="43"/>
      <c r="Z2040" s="43"/>
    </row>
    <row r="2041" spans="15:26" x14ac:dyDescent="0.25">
      <c r="O2041" s="43"/>
      <c r="P2041" s="43"/>
      <c r="Q2041" s="43"/>
      <c r="R2041" s="43"/>
      <c r="S2041" s="43"/>
      <c r="T2041" s="43"/>
      <c r="U2041" s="43"/>
      <c r="V2041" s="43"/>
      <c r="W2041" s="43"/>
      <c r="X2041" s="43"/>
      <c r="Y2041" s="43"/>
      <c r="Z2041" s="43"/>
    </row>
    <row r="2042" spans="15:26" x14ac:dyDescent="0.25">
      <c r="O2042" s="43"/>
      <c r="P2042" s="43"/>
      <c r="Q2042" s="43"/>
      <c r="R2042" s="43"/>
      <c r="S2042" s="43"/>
      <c r="T2042" s="43"/>
      <c r="U2042" s="43"/>
      <c r="V2042" s="43"/>
      <c r="W2042" s="43"/>
      <c r="X2042" s="43"/>
      <c r="Y2042" s="43"/>
      <c r="Z2042" s="43"/>
    </row>
    <row r="2043" spans="15:26" x14ac:dyDescent="0.25">
      <c r="O2043" s="43"/>
      <c r="P2043" s="43"/>
      <c r="Q2043" s="43"/>
      <c r="R2043" s="43"/>
      <c r="S2043" s="43"/>
      <c r="T2043" s="43"/>
      <c r="U2043" s="43"/>
      <c r="V2043" s="43"/>
      <c r="W2043" s="43"/>
      <c r="X2043" s="43"/>
      <c r="Y2043" s="43"/>
      <c r="Z2043" s="43"/>
    </row>
    <row r="2044" spans="15:26" x14ac:dyDescent="0.25">
      <c r="O2044" s="43"/>
      <c r="P2044" s="43"/>
      <c r="Q2044" s="43"/>
      <c r="R2044" s="43"/>
      <c r="S2044" s="43"/>
      <c r="T2044" s="43"/>
      <c r="U2044" s="43"/>
      <c r="V2044" s="43"/>
      <c r="W2044" s="43"/>
      <c r="X2044" s="43"/>
      <c r="Y2044" s="43"/>
      <c r="Z2044" s="43"/>
    </row>
    <row r="2045" spans="15:26" x14ac:dyDescent="0.25">
      <c r="O2045" s="43"/>
      <c r="P2045" s="43"/>
      <c r="Q2045" s="43"/>
      <c r="R2045" s="43"/>
      <c r="S2045" s="43"/>
      <c r="T2045" s="43"/>
      <c r="U2045" s="43"/>
      <c r="V2045" s="43"/>
      <c r="W2045" s="43"/>
      <c r="X2045" s="43"/>
      <c r="Y2045" s="43"/>
      <c r="Z2045" s="43"/>
    </row>
    <row r="2046" spans="15:26" x14ac:dyDescent="0.25">
      <c r="O2046" s="43"/>
      <c r="P2046" s="43"/>
      <c r="Q2046" s="43"/>
      <c r="R2046" s="43"/>
      <c r="S2046" s="43"/>
      <c r="T2046" s="43"/>
      <c r="U2046" s="43"/>
      <c r="V2046" s="43"/>
      <c r="W2046" s="43"/>
      <c r="X2046" s="43"/>
      <c r="Y2046" s="43"/>
      <c r="Z2046" s="43"/>
    </row>
    <row r="2047" spans="15:26" x14ac:dyDescent="0.25">
      <c r="O2047" s="43"/>
      <c r="P2047" s="43"/>
      <c r="Q2047" s="43"/>
      <c r="R2047" s="43"/>
      <c r="S2047" s="43"/>
      <c r="T2047" s="43"/>
      <c r="U2047" s="43"/>
      <c r="V2047" s="43"/>
      <c r="W2047" s="43"/>
      <c r="X2047" s="43"/>
      <c r="Y2047" s="43"/>
      <c r="Z2047" s="43"/>
    </row>
    <row r="2048" spans="15:26" x14ac:dyDescent="0.25">
      <c r="O2048" s="43"/>
      <c r="P2048" s="43"/>
      <c r="Q2048" s="43"/>
      <c r="R2048" s="43"/>
      <c r="S2048" s="43"/>
      <c r="T2048" s="43"/>
      <c r="U2048" s="43"/>
      <c r="V2048" s="43"/>
      <c r="W2048" s="43"/>
      <c r="X2048" s="43"/>
      <c r="Y2048" s="43"/>
      <c r="Z2048" s="43"/>
    </row>
    <row r="2049" spans="15:26" x14ac:dyDescent="0.25">
      <c r="O2049" s="43"/>
      <c r="P2049" s="43"/>
      <c r="Q2049" s="43"/>
      <c r="R2049" s="43"/>
      <c r="S2049" s="43"/>
      <c r="T2049" s="43"/>
      <c r="U2049" s="43"/>
      <c r="V2049" s="43"/>
      <c r="W2049" s="43"/>
      <c r="X2049" s="43"/>
      <c r="Y2049" s="43"/>
      <c r="Z2049" s="43"/>
    </row>
    <row r="2050" spans="15:26" x14ac:dyDescent="0.25">
      <c r="O2050" s="43"/>
      <c r="P2050" s="43"/>
      <c r="Q2050" s="43"/>
      <c r="R2050" s="43"/>
      <c r="S2050" s="43"/>
      <c r="T2050" s="43"/>
      <c r="U2050" s="43"/>
      <c r="V2050" s="43"/>
      <c r="W2050" s="43"/>
      <c r="X2050" s="43"/>
      <c r="Y2050" s="43"/>
      <c r="Z2050" s="43"/>
    </row>
    <row r="2051" spans="15:26" x14ac:dyDescent="0.25">
      <c r="O2051" s="43"/>
      <c r="P2051" s="43"/>
      <c r="Q2051" s="43"/>
      <c r="R2051" s="43"/>
      <c r="S2051" s="43"/>
      <c r="T2051" s="43"/>
      <c r="U2051" s="43"/>
      <c r="V2051" s="43"/>
      <c r="W2051" s="43"/>
      <c r="X2051" s="43"/>
      <c r="Y2051" s="43"/>
      <c r="Z2051" s="43"/>
    </row>
    <row r="2052" spans="15:26" x14ac:dyDescent="0.25">
      <c r="O2052" s="43"/>
      <c r="P2052" s="43"/>
      <c r="Q2052" s="43"/>
      <c r="R2052" s="43"/>
      <c r="S2052" s="43"/>
      <c r="T2052" s="43"/>
      <c r="U2052" s="43"/>
      <c r="V2052" s="43"/>
      <c r="W2052" s="43"/>
      <c r="X2052" s="43"/>
      <c r="Y2052" s="43"/>
      <c r="Z2052" s="43"/>
    </row>
    <row r="2053" spans="15:26" x14ac:dyDescent="0.25">
      <c r="O2053" s="43"/>
      <c r="P2053" s="43"/>
      <c r="Q2053" s="43"/>
      <c r="R2053" s="43"/>
      <c r="S2053" s="43"/>
      <c r="T2053" s="43"/>
      <c r="U2053" s="43"/>
      <c r="V2053" s="43"/>
      <c r="W2053" s="43"/>
      <c r="X2053" s="43"/>
      <c r="Y2053" s="43"/>
      <c r="Z2053" s="43"/>
    </row>
    <row r="2054" spans="15:26" x14ac:dyDescent="0.25">
      <c r="O2054" s="43"/>
      <c r="P2054" s="43"/>
      <c r="Q2054" s="43"/>
      <c r="R2054" s="43"/>
      <c r="S2054" s="43"/>
      <c r="T2054" s="43"/>
      <c r="U2054" s="43"/>
      <c r="V2054" s="43"/>
      <c r="W2054" s="43"/>
      <c r="X2054" s="43"/>
      <c r="Y2054" s="43"/>
      <c r="Z2054" s="43"/>
    </row>
    <row r="2055" spans="15:26" x14ac:dyDescent="0.25">
      <c r="O2055" s="43"/>
      <c r="P2055" s="43"/>
      <c r="Q2055" s="43"/>
      <c r="R2055" s="43"/>
      <c r="S2055" s="43"/>
      <c r="T2055" s="43"/>
      <c r="U2055" s="43"/>
      <c r="V2055" s="43"/>
      <c r="W2055" s="43"/>
      <c r="X2055" s="43"/>
      <c r="Y2055" s="43"/>
      <c r="Z2055" s="43"/>
    </row>
    <row r="2056" spans="15:26" x14ac:dyDescent="0.25">
      <c r="O2056" s="43"/>
      <c r="P2056" s="43"/>
      <c r="Q2056" s="43"/>
      <c r="R2056" s="43"/>
      <c r="S2056" s="43"/>
      <c r="T2056" s="43"/>
      <c r="U2056" s="43"/>
      <c r="V2056" s="43"/>
      <c r="W2056" s="43"/>
      <c r="X2056" s="43"/>
      <c r="Y2056" s="43"/>
      <c r="Z2056" s="43"/>
    </row>
    <row r="2057" spans="15:26" x14ac:dyDescent="0.25">
      <c r="O2057" s="43"/>
      <c r="P2057" s="43"/>
      <c r="Q2057" s="43"/>
      <c r="R2057" s="43"/>
      <c r="S2057" s="43"/>
      <c r="T2057" s="43"/>
      <c r="U2057" s="43"/>
      <c r="V2057" s="43"/>
      <c r="W2057" s="43"/>
      <c r="X2057" s="43"/>
      <c r="Y2057" s="43"/>
      <c r="Z2057" s="43"/>
    </row>
    <row r="2058" spans="15:26" x14ac:dyDescent="0.25">
      <c r="O2058" s="43"/>
      <c r="P2058" s="43"/>
      <c r="Q2058" s="43"/>
      <c r="R2058" s="43"/>
      <c r="S2058" s="43"/>
      <c r="T2058" s="43"/>
      <c r="U2058" s="43"/>
      <c r="V2058" s="43"/>
      <c r="W2058" s="43"/>
      <c r="X2058" s="43"/>
      <c r="Y2058" s="43"/>
      <c r="Z2058" s="43"/>
    </row>
    <row r="2059" spans="15:26" x14ac:dyDescent="0.25">
      <c r="O2059" s="43"/>
      <c r="P2059" s="43"/>
      <c r="Q2059" s="43"/>
      <c r="R2059" s="43"/>
      <c r="S2059" s="43"/>
      <c r="T2059" s="43"/>
      <c r="U2059" s="43"/>
      <c r="V2059" s="43"/>
      <c r="W2059" s="43"/>
      <c r="X2059" s="43"/>
      <c r="Y2059" s="43"/>
      <c r="Z2059" s="43"/>
    </row>
    <row r="2060" spans="15:26" x14ac:dyDescent="0.25">
      <c r="O2060" s="43"/>
      <c r="P2060" s="43"/>
      <c r="Q2060" s="43"/>
      <c r="R2060" s="43"/>
      <c r="S2060" s="43"/>
      <c r="T2060" s="43"/>
      <c r="U2060" s="43"/>
      <c r="V2060" s="43"/>
      <c r="W2060" s="43"/>
      <c r="X2060" s="43"/>
      <c r="Y2060" s="43"/>
      <c r="Z2060" s="43"/>
    </row>
    <row r="2061" spans="15:26" x14ac:dyDescent="0.25">
      <c r="O2061" s="43"/>
      <c r="P2061" s="43"/>
      <c r="Q2061" s="43"/>
      <c r="R2061" s="43"/>
      <c r="S2061" s="43"/>
      <c r="T2061" s="43"/>
      <c r="U2061" s="43"/>
      <c r="V2061" s="43"/>
      <c r="W2061" s="43"/>
      <c r="X2061" s="43"/>
      <c r="Y2061" s="43"/>
      <c r="Z2061" s="43"/>
    </row>
    <row r="2062" spans="15:26" x14ac:dyDescent="0.25">
      <c r="O2062" s="43"/>
      <c r="P2062" s="43"/>
      <c r="Q2062" s="43"/>
      <c r="R2062" s="43"/>
      <c r="S2062" s="43"/>
      <c r="T2062" s="43"/>
      <c r="U2062" s="43"/>
      <c r="V2062" s="43"/>
      <c r="W2062" s="43"/>
      <c r="X2062" s="43"/>
      <c r="Y2062" s="43"/>
      <c r="Z2062" s="43"/>
    </row>
    <row r="2063" spans="15:26" x14ac:dyDescent="0.25">
      <c r="O2063" s="43"/>
      <c r="P2063" s="43"/>
      <c r="Q2063" s="43"/>
      <c r="R2063" s="43"/>
      <c r="S2063" s="43"/>
      <c r="T2063" s="43"/>
      <c r="U2063" s="43"/>
      <c r="V2063" s="43"/>
      <c r="W2063" s="43"/>
      <c r="X2063" s="43"/>
      <c r="Y2063" s="43"/>
      <c r="Z2063" s="43"/>
    </row>
    <row r="2064" spans="15:26" x14ac:dyDescent="0.25">
      <c r="O2064" s="43"/>
      <c r="P2064" s="43"/>
      <c r="Q2064" s="43"/>
      <c r="R2064" s="43"/>
      <c r="S2064" s="43"/>
      <c r="T2064" s="43"/>
      <c r="U2064" s="43"/>
      <c r="V2064" s="43"/>
      <c r="W2064" s="43"/>
      <c r="X2064" s="43"/>
      <c r="Y2064" s="43"/>
      <c r="Z2064" s="43"/>
    </row>
    <row r="2065" spans="15:26" x14ac:dyDescent="0.25">
      <c r="O2065" s="43"/>
      <c r="P2065" s="43"/>
      <c r="Q2065" s="43"/>
      <c r="R2065" s="43"/>
      <c r="S2065" s="43"/>
      <c r="T2065" s="43"/>
      <c r="U2065" s="43"/>
      <c r="V2065" s="43"/>
      <c r="W2065" s="43"/>
      <c r="X2065" s="43"/>
      <c r="Y2065" s="43"/>
      <c r="Z2065" s="43"/>
    </row>
    <row r="2066" spans="15:26" x14ac:dyDescent="0.25">
      <c r="O2066" s="43"/>
      <c r="P2066" s="43"/>
      <c r="Q2066" s="43"/>
      <c r="R2066" s="43"/>
      <c r="S2066" s="43"/>
      <c r="T2066" s="43"/>
      <c r="U2066" s="43"/>
      <c r="V2066" s="43"/>
      <c r="W2066" s="43"/>
      <c r="X2066" s="43"/>
      <c r="Y2066" s="43"/>
      <c r="Z2066" s="43"/>
    </row>
    <row r="2067" spans="15:26" x14ac:dyDescent="0.25">
      <c r="O2067" s="43"/>
      <c r="P2067" s="43"/>
      <c r="Q2067" s="43"/>
      <c r="R2067" s="43"/>
      <c r="S2067" s="43"/>
      <c r="T2067" s="43"/>
      <c r="U2067" s="43"/>
      <c r="V2067" s="43"/>
      <c r="W2067" s="43"/>
      <c r="X2067" s="43"/>
      <c r="Y2067" s="43"/>
      <c r="Z2067" s="43"/>
    </row>
    <row r="2068" spans="15:26" x14ac:dyDescent="0.25">
      <c r="O2068" s="43"/>
      <c r="P2068" s="43"/>
      <c r="Q2068" s="43"/>
      <c r="R2068" s="43"/>
      <c r="S2068" s="43"/>
      <c r="T2068" s="43"/>
      <c r="U2068" s="43"/>
      <c r="V2068" s="43"/>
      <c r="W2068" s="43"/>
      <c r="X2068" s="43"/>
      <c r="Y2068" s="43"/>
      <c r="Z2068" s="43"/>
    </row>
    <row r="2069" spans="15:26" x14ac:dyDescent="0.25">
      <c r="O2069" s="43"/>
      <c r="P2069" s="43"/>
      <c r="Q2069" s="43"/>
      <c r="R2069" s="43"/>
      <c r="S2069" s="43"/>
      <c r="T2069" s="43"/>
      <c r="U2069" s="43"/>
      <c r="V2069" s="43"/>
      <c r="W2069" s="43"/>
      <c r="X2069" s="43"/>
      <c r="Y2069" s="43"/>
      <c r="Z2069" s="43"/>
    </row>
    <row r="2070" spans="15:26" x14ac:dyDescent="0.25">
      <c r="O2070" s="43"/>
      <c r="P2070" s="43"/>
      <c r="Q2070" s="43"/>
      <c r="R2070" s="43"/>
      <c r="S2070" s="43"/>
      <c r="T2070" s="43"/>
      <c r="U2070" s="43"/>
      <c r="V2070" s="43"/>
      <c r="W2070" s="43"/>
      <c r="X2070" s="43"/>
      <c r="Y2070" s="43"/>
      <c r="Z2070" s="43"/>
    </row>
    <row r="2071" spans="15:26" x14ac:dyDescent="0.25">
      <c r="O2071" s="43"/>
      <c r="P2071" s="43"/>
      <c r="Q2071" s="43"/>
      <c r="R2071" s="43"/>
      <c r="S2071" s="43"/>
      <c r="T2071" s="43"/>
      <c r="U2071" s="43"/>
      <c r="V2071" s="43"/>
      <c r="W2071" s="43"/>
      <c r="X2071" s="43"/>
      <c r="Y2071" s="43"/>
      <c r="Z2071" s="43"/>
    </row>
    <row r="2072" spans="15:26" x14ac:dyDescent="0.25">
      <c r="O2072" s="43"/>
      <c r="P2072" s="43"/>
      <c r="Q2072" s="43"/>
      <c r="R2072" s="43"/>
      <c r="S2072" s="43"/>
      <c r="T2072" s="43"/>
      <c r="U2072" s="43"/>
      <c r="V2072" s="43"/>
      <c r="W2072" s="43"/>
      <c r="X2072" s="43"/>
      <c r="Y2072" s="43"/>
      <c r="Z2072" s="43"/>
    </row>
    <row r="2073" spans="15:26" x14ac:dyDescent="0.25">
      <c r="O2073" s="43"/>
      <c r="P2073" s="43"/>
      <c r="Q2073" s="43"/>
      <c r="R2073" s="43"/>
      <c r="S2073" s="43"/>
      <c r="T2073" s="43"/>
      <c r="U2073" s="43"/>
      <c r="V2073" s="43"/>
      <c r="W2073" s="43"/>
      <c r="X2073" s="43"/>
      <c r="Y2073" s="43"/>
      <c r="Z2073" s="43"/>
    </row>
    <row r="2074" spans="15:26" x14ac:dyDescent="0.25">
      <c r="O2074" s="43"/>
      <c r="P2074" s="43"/>
      <c r="Q2074" s="43"/>
      <c r="R2074" s="43"/>
      <c r="S2074" s="43"/>
      <c r="T2074" s="43"/>
      <c r="U2074" s="43"/>
      <c r="V2074" s="43"/>
      <c r="W2074" s="43"/>
      <c r="X2074" s="43"/>
      <c r="Y2074" s="43"/>
      <c r="Z2074" s="43"/>
    </row>
    <row r="2075" spans="15:26" x14ac:dyDescent="0.25">
      <c r="O2075" s="43"/>
      <c r="P2075" s="43"/>
      <c r="Q2075" s="43"/>
      <c r="R2075" s="43"/>
      <c r="S2075" s="43"/>
      <c r="T2075" s="43"/>
      <c r="U2075" s="43"/>
      <c r="V2075" s="43"/>
      <c r="W2075" s="43"/>
      <c r="X2075" s="43"/>
      <c r="Y2075" s="43"/>
      <c r="Z2075" s="43"/>
    </row>
    <row r="2076" spans="15:26" x14ac:dyDescent="0.25">
      <c r="O2076" s="43"/>
      <c r="P2076" s="43"/>
      <c r="Q2076" s="43"/>
      <c r="R2076" s="43"/>
      <c r="S2076" s="43"/>
      <c r="T2076" s="43"/>
      <c r="U2076" s="43"/>
      <c r="V2076" s="43"/>
      <c r="W2076" s="43"/>
      <c r="X2076" s="43"/>
      <c r="Y2076" s="43"/>
      <c r="Z2076" s="43"/>
    </row>
    <row r="2077" spans="15:26" x14ac:dyDescent="0.25">
      <c r="O2077" s="43"/>
      <c r="P2077" s="43"/>
      <c r="Q2077" s="43"/>
      <c r="R2077" s="43"/>
      <c r="S2077" s="43"/>
      <c r="T2077" s="43"/>
      <c r="U2077" s="43"/>
      <c r="V2077" s="43"/>
      <c r="W2077" s="43"/>
      <c r="X2077" s="43"/>
      <c r="Y2077" s="43"/>
      <c r="Z2077" s="43"/>
    </row>
    <row r="2078" spans="15:26" x14ac:dyDescent="0.25">
      <c r="O2078" s="43"/>
      <c r="P2078" s="43"/>
      <c r="Q2078" s="43"/>
      <c r="R2078" s="43"/>
      <c r="S2078" s="43"/>
      <c r="T2078" s="43"/>
      <c r="U2078" s="43"/>
      <c r="V2078" s="43"/>
      <c r="W2078" s="43"/>
      <c r="X2078" s="43"/>
      <c r="Y2078" s="43"/>
      <c r="Z2078" s="43"/>
    </row>
    <row r="2079" spans="15:26" x14ac:dyDescent="0.25">
      <c r="O2079" s="43"/>
      <c r="P2079" s="43"/>
      <c r="Q2079" s="43"/>
      <c r="R2079" s="43"/>
      <c r="S2079" s="43"/>
      <c r="T2079" s="43"/>
      <c r="U2079" s="43"/>
      <c r="V2079" s="43"/>
      <c r="W2079" s="43"/>
      <c r="X2079" s="43"/>
      <c r="Y2079" s="43"/>
      <c r="Z2079" s="43"/>
    </row>
    <row r="2080" spans="15:26" x14ac:dyDescent="0.25">
      <c r="O2080" s="43"/>
      <c r="P2080" s="43"/>
      <c r="Q2080" s="43"/>
      <c r="R2080" s="43"/>
      <c r="S2080" s="43"/>
      <c r="T2080" s="43"/>
      <c r="U2080" s="43"/>
      <c r="V2080" s="43"/>
      <c r="W2080" s="43"/>
      <c r="X2080" s="43"/>
      <c r="Y2080" s="43"/>
      <c r="Z2080" s="43"/>
    </row>
    <row r="2081" spans="15:26" x14ac:dyDescent="0.25">
      <c r="O2081" s="43"/>
      <c r="P2081" s="43"/>
      <c r="Q2081" s="43"/>
      <c r="R2081" s="43"/>
      <c r="S2081" s="43"/>
      <c r="T2081" s="43"/>
      <c r="U2081" s="43"/>
      <c r="V2081" s="43"/>
      <c r="W2081" s="43"/>
      <c r="X2081" s="43"/>
      <c r="Y2081" s="43"/>
      <c r="Z2081" s="43"/>
    </row>
    <row r="2082" spans="15:26" x14ac:dyDescent="0.25">
      <c r="O2082" s="43"/>
      <c r="P2082" s="43"/>
      <c r="Q2082" s="43"/>
      <c r="R2082" s="43"/>
      <c r="S2082" s="43"/>
      <c r="T2082" s="43"/>
      <c r="U2082" s="43"/>
      <c r="V2082" s="43"/>
      <c r="W2082" s="43"/>
      <c r="X2082" s="43"/>
      <c r="Y2082" s="43"/>
      <c r="Z2082" s="43"/>
    </row>
    <row r="2083" spans="15:26" x14ac:dyDescent="0.25">
      <c r="O2083" s="43"/>
      <c r="P2083" s="43"/>
      <c r="Q2083" s="43"/>
      <c r="R2083" s="43"/>
      <c r="S2083" s="43"/>
      <c r="T2083" s="43"/>
      <c r="U2083" s="43"/>
      <c r="V2083" s="43"/>
      <c r="W2083" s="43"/>
      <c r="X2083" s="43"/>
      <c r="Y2083" s="43"/>
      <c r="Z2083" s="43"/>
    </row>
    <row r="2084" spans="15:26" x14ac:dyDescent="0.25">
      <c r="O2084" s="43"/>
      <c r="P2084" s="43"/>
      <c r="Q2084" s="43"/>
      <c r="R2084" s="43"/>
      <c r="S2084" s="43"/>
      <c r="T2084" s="43"/>
      <c r="U2084" s="43"/>
      <c r="V2084" s="43"/>
      <c r="W2084" s="43"/>
      <c r="X2084" s="43"/>
      <c r="Y2084" s="43"/>
      <c r="Z2084" s="43"/>
    </row>
    <row r="2085" spans="15:26" x14ac:dyDescent="0.25">
      <c r="O2085" s="43"/>
      <c r="P2085" s="43"/>
      <c r="Q2085" s="43"/>
      <c r="R2085" s="43"/>
      <c r="S2085" s="43"/>
      <c r="T2085" s="43"/>
      <c r="U2085" s="43"/>
      <c r="V2085" s="43"/>
      <c r="W2085" s="43"/>
      <c r="X2085" s="43"/>
      <c r="Y2085" s="43"/>
      <c r="Z2085" s="43"/>
    </row>
    <row r="2086" spans="15:26" x14ac:dyDescent="0.25">
      <c r="O2086" s="43"/>
      <c r="P2086" s="43"/>
      <c r="Q2086" s="43"/>
      <c r="R2086" s="43"/>
      <c r="S2086" s="43"/>
      <c r="T2086" s="43"/>
      <c r="U2086" s="43"/>
      <c r="V2086" s="43"/>
      <c r="W2086" s="43"/>
      <c r="X2086" s="43"/>
      <c r="Y2086" s="43"/>
      <c r="Z2086" s="43"/>
    </row>
    <row r="2087" spans="15:26" x14ac:dyDescent="0.25">
      <c r="O2087" s="43"/>
      <c r="P2087" s="43"/>
      <c r="Q2087" s="43"/>
      <c r="R2087" s="43"/>
      <c r="S2087" s="43"/>
      <c r="T2087" s="43"/>
      <c r="U2087" s="43"/>
      <c r="V2087" s="43"/>
      <c r="W2087" s="43"/>
      <c r="X2087" s="43"/>
      <c r="Y2087" s="43"/>
      <c r="Z2087" s="43"/>
    </row>
    <row r="2088" spans="15:26" x14ac:dyDescent="0.25">
      <c r="O2088" s="43"/>
      <c r="P2088" s="43"/>
      <c r="Q2088" s="43"/>
      <c r="R2088" s="43"/>
      <c r="S2088" s="43"/>
      <c r="T2088" s="43"/>
      <c r="U2088" s="43"/>
      <c r="V2088" s="43"/>
      <c r="W2088" s="43"/>
      <c r="X2088" s="43"/>
      <c r="Y2088" s="43"/>
      <c r="Z2088" s="43"/>
    </row>
    <row r="2089" spans="15:26" x14ac:dyDescent="0.25">
      <c r="O2089" s="43"/>
      <c r="P2089" s="43"/>
      <c r="Q2089" s="43"/>
      <c r="R2089" s="43"/>
      <c r="S2089" s="43"/>
      <c r="T2089" s="43"/>
      <c r="U2089" s="43"/>
      <c r="V2089" s="43"/>
      <c r="W2089" s="43"/>
      <c r="X2089" s="43"/>
      <c r="Y2089" s="43"/>
      <c r="Z2089" s="43"/>
    </row>
    <row r="2090" spans="15:26" x14ac:dyDescent="0.25">
      <c r="O2090" s="43"/>
      <c r="P2090" s="43"/>
      <c r="Q2090" s="43"/>
      <c r="R2090" s="43"/>
      <c r="S2090" s="43"/>
      <c r="T2090" s="43"/>
      <c r="U2090" s="43"/>
      <c r="V2090" s="43"/>
      <c r="W2090" s="43"/>
      <c r="X2090" s="43"/>
      <c r="Y2090" s="43"/>
      <c r="Z2090" s="43"/>
    </row>
    <row r="2091" spans="15:26" x14ac:dyDescent="0.25">
      <c r="O2091" s="43"/>
      <c r="P2091" s="43"/>
      <c r="Q2091" s="43"/>
      <c r="R2091" s="43"/>
      <c r="S2091" s="43"/>
      <c r="T2091" s="43"/>
      <c r="U2091" s="43"/>
      <c r="V2091" s="43"/>
      <c r="W2091" s="43"/>
      <c r="X2091" s="43"/>
      <c r="Y2091" s="43"/>
      <c r="Z2091" s="43"/>
    </row>
    <row r="2092" spans="15:26" x14ac:dyDescent="0.25">
      <c r="O2092" s="43"/>
      <c r="P2092" s="43"/>
      <c r="Q2092" s="43"/>
      <c r="R2092" s="43"/>
      <c r="S2092" s="43"/>
      <c r="T2092" s="43"/>
      <c r="U2092" s="43"/>
      <c r="V2092" s="43"/>
      <c r="W2092" s="43"/>
      <c r="X2092" s="43"/>
      <c r="Y2092" s="43"/>
      <c r="Z2092" s="43"/>
    </row>
    <row r="2093" spans="15:26" x14ac:dyDescent="0.25">
      <c r="O2093" s="43"/>
      <c r="P2093" s="43"/>
      <c r="Q2093" s="43"/>
      <c r="R2093" s="43"/>
      <c r="S2093" s="43"/>
      <c r="T2093" s="43"/>
      <c r="U2093" s="43"/>
      <c r="V2093" s="43"/>
      <c r="W2093" s="43"/>
      <c r="X2093" s="43"/>
      <c r="Y2093" s="43"/>
      <c r="Z2093" s="43"/>
    </row>
    <row r="2094" spans="15:26" x14ac:dyDescent="0.25">
      <c r="O2094" s="43"/>
      <c r="P2094" s="43"/>
      <c r="Q2094" s="43"/>
      <c r="R2094" s="43"/>
      <c r="S2094" s="43"/>
      <c r="T2094" s="43"/>
      <c r="U2094" s="43"/>
      <c r="V2094" s="43"/>
      <c r="W2094" s="43"/>
      <c r="X2094" s="43"/>
      <c r="Y2094" s="43"/>
      <c r="Z2094" s="43"/>
    </row>
    <row r="2095" spans="15:26" x14ac:dyDescent="0.25">
      <c r="O2095" s="43"/>
      <c r="P2095" s="43"/>
      <c r="Q2095" s="43"/>
      <c r="R2095" s="43"/>
      <c r="S2095" s="43"/>
      <c r="T2095" s="43"/>
      <c r="U2095" s="43"/>
      <c r="V2095" s="43"/>
      <c r="W2095" s="43"/>
      <c r="X2095" s="43"/>
      <c r="Y2095" s="43"/>
      <c r="Z2095" s="43"/>
    </row>
    <row r="2096" spans="15:26" x14ac:dyDescent="0.25">
      <c r="O2096" s="43"/>
      <c r="P2096" s="43"/>
      <c r="Q2096" s="43"/>
      <c r="R2096" s="43"/>
      <c r="S2096" s="43"/>
      <c r="T2096" s="43"/>
      <c r="U2096" s="43"/>
      <c r="V2096" s="43"/>
      <c r="W2096" s="43"/>
      <c r="X2096" s="43"/>
      <c r="Y2096" s="43"/>
      <c r="Z2096" s="43"/>
    </row>
    <row r="2097" spans="15:26" x14ac:dyDescent="0.25">
      <c r="O2097" s="43"/>
      <c r="P2097" s="43"/>
      <c r="Q2097" s="43"/>
      <c r="R2097" s="43"/>
      <c r="S2097" s="43"/>
      <c r="T2097" s="43"/>
      <c r="U2097" s="43"/>
      <c r="V2097" s="43"/>
      <c r="W2097" s="43"/>
      <c r="X2097" s="43"/>
      <c r="Y2097" s="43"/>
      <c r="Z2097" s="43"/>
    </row>
    <row r="2098" spans="15:26" x14ac:dyDescent="0.25">
      <c r="O2098" s="43"/>
      <c r="P2098" s="43"/>
      <c r="Q2098" s="43"/>
      <c r="R2098" s="43"/>
      <c r="S2098" s="43"/>
      <c r="T2098" s="43"/>
      <c r="U2098" s="43"/>
      <c r="V2098" s="43"/>
      <c r="W2098" s="43"/>
      <c r="X2098" s="43"/>
      <c r="Y2098" s="43"/>
      <c r="Z2098" s="43"/>
    </row>
    <row r="2099" spans="15:26" x14ac:dyDescent="0.25">
      <c r="O2099" s="43"/>
      <c r="P2099" s="43"/>
      <c r="Q2099" s="43"/>
      <c r="R2099" s="43"/>
      <c r="S2099" s="43"/>
      <c r="T2099" s="43"/>
      <c r="U2099" s="43"/>
      <c r="V2099" s="43"/>
      <c r="W2099" s="43"/>
      <c r="X2099" s="43"/>
      <c r="Y2099" s="43"/>
      <c r="Z2099" s="43"/>
    </row>
    <row r="2100" spans="15:26" x14ac:dyDescent="0.25">
      <c r="O2100" s="43"/>
      <c r="P2100" s="43"/>
      <c r="Q2100" s="43"/>
      <c r="R2100" s="43"/>
      <c r="S2100" s="43"/>
      <c r="T2100" s="43"/>
      <c r="U2100" s="43"/>
      <c r="V2100" s="43"/>
      <c r="W2100" s="43"/>
      <c r="X2100" s="43"/>
      <c r="Y2100" s="43"/>
      <c r="Z2100" s="43"/>
    </row>
    <row r="2101" spans="15:26" x14ac:dyDescent="0.25">
      <c r="O2101" s="43"/>
      <c r="P2101" s="43"/>
      <c r="Q2101" s="43"/>
      <c r="R2101" s="43"/>
      <c r="S2101" s="43"/>
      <c r="T2101" s="43"/>
      <c r="U2101" s="43"/>
      <c r="V2101" s="43"/>
      <c r="W2101" s="43"/>
      <c r="X2101" s="43"/>
      <c r="Y2101" s="43"/>
      <c r="Z2101" s="43"/>
    </row>
    <row r="2102" spans="15:26" x14ac:dyDescent="0.25">
      <c r="O2102" s="43"/>
      <c r="P2102" s="43"/>
      <c r="Q2102" s="43"/>
      <c r="R2102" s="43"/>
      <c r="S2102" s="43"/>
      <c r="T2102" s="43"/>
      <c r="U2102" s="43"/>
      <c r="V2102" s="43"/>
      <c r="W2102" s="43"/>
      <c r="X2102" s="43"/>
      <c r="Y2102" s="43"/>
      <c r="Z2102" s="43"/>
    </row>
    <row r="2103" spans="15:26" x14ac:dyDescent="0.25">
      <c r="O2103" s="43"/>
      <c r="P2103" s="43"/>
      <c r="Q2103" s="43"/>
      <c r="R2103" s="43"/>
      <c r="S2103" s="43"/>
      <c r="T2103" s="43"/>
      <c r="U2103" s="43"/>
      <c r="V2103" s="43"/>
      <c r="W2103" s="43"/>
      <c r="X2103" s="43"/>
      <c r="Y2103" s="43"/>
      <c r="Z2103" s="43"/>
    </row>
    <row r="2104" spans="15:26" x14ac:dyDescent="0.25">
      <c r="O2104" s="43"/>
      <c r="P2104" s="43"/>
      <c r="Q2104" s="43"/>
      <c r="R2104" s="43"/>
      <c r="S2104" s="43"/>
      <c r="T2104" s="43"/>
      <c r="U2104" s="43"/>
      <c r="V2104" s="43"/>
      <c r="W2104" s="43"/>
      <c r="X2104" s="43"/>
      <c r="Y2104" s="43"/>
      <c r="Z2104" s="43"/>
    </row>
    <row r="2105" spans="15:26" x14ac:dyDescent="0.25">
      <c r="O2105" s="43"/>
      <c r="P2105" s="43"/>
      <c r="Q2105" s="43"/>
      <c r="R2105" s="43"/>
      <c r="S2105" s="43"/>
      <c r="T2105" s="43"/>
      <c r="U2105" s="43"/>
      <c r="V2105" s="43"/>
      <c r="W2105" s="43"/>
      <c r="X2105" s="43"/>
      <c r="Y2105" s="43"/>
      <c r="Z2105" s="43"/>
    </row>
    <row r="2106" spans="15:26" x14ac:dyDescent="0.25">
      <c r="O2106" s="43"/>
      <c r="P2106" s="43"/>
      <c r="Q2106" s="43"/>
      <c r="R2106" s="43"/>
      <c r="S2106" s="43"/>
      <c r="T2106" s="43"/>
      <c r="U2106" s="43"/>
      <c r="V2106" s="43"/>
      <c r="W2106" s="43"/>
      <c r="X2106" s="43"/>
      <c r="Y2106" s="43"/>
      <c r="Z2106" s="43"/>
    </row>
    <row r="2107" spans="15:26" x14ac:dyDescent="0.25">
      <c r="O2107" s="43"/>
      <c r="P2107" s="43"/>
      <c r="Q2107" s="43"/>
      <c r="R2107" s="43"/>
      <c r="S2107" s="43"/>
      <c r="T2107" s="43"/>
      <c r="U2107" s="43"/>
      <c r="V2107" s="43"/>
      <c r="W2107" s="43"/>
      <c r="X2107" s="43"/>
      <c r="Y2107" s="43"/>
      <c r="Z2107" s="43"/>
    </row>
    <row r="2108" spans="15:26" x14ac:dyDescent="0.25">
      <c r="O2108" s="43"/>
      <c r="P2108" s="43"/>
      <c r="Q2108" s="43"/>
      <c r="R2108" s="43"/>
      <c r="S2108" s="43"/>
      <c r="T2108" s="43"/>
      <c r="U2108" s="43"/>
      <c r="V2108" s="43"/>
      <c r="W2108" s="43"/>
      <c r="X2108" s="43"/>
      <c r="Y2108" s="43"/>
      <c r="Z2108" s="43"/>
    </row>
    <row r="2109" spans="15:26" x14ac:dyDescent="0.25">
      <c r="O2109" s="43"/>
      <c r="P2109" s="43"/>
      <c r="Q2109" s="43"/>
      <c r="R2109" s="43"/>
      <c r="S2109" s="43"/>
      <c r="T2109" s="43"/>
      <c r="U2109" s="43"/>
      <c r="V2109" s="43"/>
      <c r="W2109" s="43"/>
      <c r="X2109" s="43"/>
      <c r="Y2109" s="43"/>
      <c r="Z2109" s="43"/>
    </row>
    <row r="2110" spans="15:26" x14ac:dyDescent="0.25">
      <c r="O2110" s="43"/>
      <c r="P2110" s="43"/>
      <c r="Q2110" s="43"/>
      <c r="R2110" s="43"/>
      <c r="S2110" s="43"/>
      <c r="T2110" s="43"/>
      <c r="U2110" s="43"/>
      <c r="V2110" s="43"/>
      <c r="W2110" s="43"/>
      <c r="X2110" s="43"/>
      <c r="Y2110" s="43"/>
      <c r="Z2110" s="43"/>
    </row>
    <row r="2111" spans="15:26" x14ac:dyDescent="0.25">
      <c r="O2111" s="43"/>
      <c r="P2111" s="43"/>
      <c r="Q2111" s="43"/>
      <c r="R2111" s="43"/>
      <c r="S2111" s="43"/>
      <c r="T2111" s="43"/>
      <c r="U2111" s="43"/>
      <c r="V2111" s="43"/>
      <c r="W2111" s="43"/>
      <c r="X2111" s="43"/>
      <c r="Y2111" s="43"/>
      <c r="Z2111" s="43"/>
    </row>
    <row r="2112" spans="15:26" x14ac:dyDescent="0.25">
      <c r="O2112" s="43"/>
      <c r="P2112" s="43"/>
      <c r="Q2112" s="43"/>
      <c r="R2112" s="43"/>
      <c r="S2112" s="43"/>
      <c r="T2112" s="43"/>
      <c r="U2112" s="43"/>
      <c r="V2112" s="43"/>
      <c r="W2112" s="43"/>
      <c r="X2112" s="43"/>
      <c r="Y2112" s="43"/>
      <c r="Z2112" s="43"/>
    </row>
    <row r="2113" spans="15:26" x14ac:dyDescent="0.25">
      <c r="O2113" s="43"/>
      <c r="P2113" s="43"/>
      <c r="Q2113" s="43"/>
      <c r="R2113" s="43"/>
      <c r="S2113" s="43"/>
      <c r="T2113" s="43"/>
      <c r="U2113" s="43"/>
      <c r="V2113" s="43"/>
      <c r="W2113" s="43"/>
      <c r="X2113" s="43"/>
      <c r="Y2113" s="43"/>
      <c r="Z2113" s="43"/>
    </row>
    <row r="2114" spans="15:26" x14ac:dyDescent="0.25">
      <c r="O2114" s="43"/>
      <c r="P2114" s="43"/>
      <c r="Q2114" s="43"/>
      <c r="R2114" s="43"/>
      <c r="S2114" s="43"/>
      <c r="T2114" s="43"/>
      <c r="U2114" s="43"/>
      <c r="V2114" s="43"/>
      <c r="W2114" s="43"/>
      <c r="X2114" s="43"/>
      <c r="Y2114" s="43"/>
      <c r="Z2114" s="43"/>
    </row>
    <row r="2115" spans="15:26" x14ac:dyDescent="0.25">
      <c r="O2115" s="43"/>
      <c r="P2115" s="43"/>
      <c r="Q2115" s="43"/>
      <c r="R2115" s="43"/>
      <c r="S2115" s="43"/>
      <c r="T2115" s="43"/>
      <c r="U2115" s="43"/>
      <c r="V2115" s="43"/>
      <c r="W2115" s="43"/>
      <c r="X2115" s="43"/>
      <c r="Y2115" s="43"/>
      <c r="Z2115" s="43"/>
    </row>
    <row r="2116" spans="15:26" x14ac:dyDescent="0.25">
      <c r="O2116" s="43"/>
      <c r="P2116" s="43"/>
      <c r="Q2116" s="43"/>
      <c r="R2116" s="43"/>
      <c r="S2116" s="43"/>
      <c r="T2116" s="43"/>
      <c r="U2116" s="43"/>
      <c r="V2116" s="43"/>
      <c r="W2116" s="43"/>
      <c r="X2116" s="43"/>
      <c r="Y2116" s="43"/>
      <c r="Z2116" s="43"/>
    </row>
    <row r="2117" spans="15:26" x14ac:dyDescent="0.25">
      <c r="O2117" s="43"/>
      <c r="P2117" s="43"/>
      <c r="Q2117" s="43"/>
      <c r="R2117" s="43"/>
      <c r="S2117" s="43"/>
      <c r="T2117" s="43"/>
      <c r="U2117" s="43"/>
      <c r="V2117" s="43"/>
      <c r="W2117" s="43"/>
      <c r="X2117" s="43"/>
      <c r="Y2117" s="43"/>
      <c r="Z2117" s="43"/>
    </row>
    <row r="2118" spans="15:26" x14ac:dyDescent="0.25">
      <c r="O2118" s="43"/>
      <c r="P2118" s="43"/>
      <c r="Q2118" s="43"/>
      <c r="R2118" s="43"/>
      <c r="S2118" s="43"/>
      <c r="T2118" s="43"/>
      <c r="U2118" s="43"/>
      <c r="V2118" s="43"/>
      <c r="W2118" s="43"/>
      <c r="X2118" s="43"/>
      <c r="Y2118" s="43"/>
      <c r="Z2118" s="43"/>
    </row>
    <row r="2119" spans="15:26" x14ac:dyDescent="0.25">
      <c r="O2119" s="43"/>
      <c r="P2119" s="43"/>
      <c r="Q2119" s="43"/>
      <c r="R2119" s="43"/>
      <c r="S2119" s="43"/>
      <c r="T2119" s="43"/>
      <c r="U2119" s="43"/>
      <c r="V2119" s="43"/>
      <c r="W2119" s="43"/>
      <c r="X2119" s="43"/>
      <c r="Y2119" s="43"/>
      <c r="Z2119" s="43"/>
    </row>
    <row r="2120" spans="15:26" x14ac:dyDescent="0.25">
      <c r="O2120" s="43"/>
      <c r="P2120" s="43"/>
      <c r="Q2120" s="43"/>
      <c r="R2120" s="43"/>
      <c r="S2120" s="43"/>
      <c r="T2120" s="43"/>
      <c r="U2120" s="43"/>
      <c r="V2120" s="43"/>
      <c r="W2120" s="43"/>
      <c r="X2120" s="43"/>
      <c r="Y2120" s="43"/>
      <c r="Z2120" s="43"/>
    </row>
    <row r="2121" spans="15:26" x14ac:dyDescent="0.25">
      <c r="O2121" s="43"/>
      <c r="P2121" s="43"/>
      <c r="Q2121" s="43"/>
      <c r="R2121" s="43"/>
      <c r="S2121" s="43"/>
      <c r="T2121" s="43"/>
      <c r="U2121" s="43"/>
      <c r="V2121" s="43"/>
      <c r="W2121" s="43"/>
      <c r="X2121" s="43"/>
      <c r="Y2121" s="43"/>
      <c r="Z2121" s="43"/>
    </row>
    <row r="2122" spans="15:26" x14ac:dyDescent="0.25">
      <c r="O2122" s="43"/>
      <c r="P2122" s="43"/>
      <c r="Q2122" s="43"/>
      <c r="R2122" s="43"/>
      <c r="S2122" s="43"/>
      <c r="T2122" s="43"/>
      <c r="U2122" s="43"/>
      <c r="V2122" s="43"/>
      <c r="W2122" s="43"/>
      <c r="X2122" s="43"/>
      <c r="Y2122" s="43"/>
      <c r="Z2122" s="43"/>
    </row>
    <row r="2123" spans="15:26" x14ac:dyDescent="0.25">
      <c r="O2123" s="43"/>
      <c r="P2123" s="43"/>
      <c r="Q2123" s="43"/>
      <c r="R2123" s="43"/>
      <c r="S2123" s="43"/>
      <c r="T2123" s="43"/>
      <c r="U2123" s="43"/>
      <c r="V2123" s="43"/>
      <c r="W2123" s="43"/>
      <c r="X2123" s="43"/>
      <c r="Y2123" s="43"/>
      <c r="Z2123" s="43"/>
    </row>
    <row r="2124" spans="15:26" x14ac:dyDescent="0.25">
      <c r="O2124" s="43"/>
      <c r="P2124" s="43"/>
      <c r="Q2124" s="43"/>
      <c r="R2124" s="43"/>
      <c r="S2124" s="43"/>
      <c r="T2124" s="43"/>
      <c r="U2124" s="43"/>
      <c r="V2124" s="43"/>
      <c r="W2124" s="43"/>
      <c r="X2124" s="43"/>
      <c r="Y2124" s="43"/>
      <c r="Z2124" s="43"/>
    </row>
    <row r="2125" spans="15:26" x14ac:dyDescent="0.25">
      <c r="O2125" s="43"/>
      <c r="P2125" s="43"/>
      <c r="Q2125" s="43"/>
      <c r="R2125" s="43"/>
      <c r="S2125" s="43"/>
      <c r="T2125" s="43"/>
      <c r="U2125" s="43"/>
      <c r="V2125" s="43"/>
      <c r="W2125" s="43"/>
      <c r="X2125" s="43"/>
      <c r="Y2125" s="43"/>
      <c r="Z2125" s="43"/>
    </row>
    <row r="2126" spans="15:26" x14ac:dyDescent="0.25">
      <c r="O2126" s="43"/>
      <c r="P2126" s="43"/>
      <c r="Q2126" s="43"/>
      <c r="R2126" s="43"/>
      <c r="S2126" s="43"/>
      <c r="T2126" s="43"/>
      <c r="U2126" s="43"/>
      <c r="V2126" s="43"/>
      <c r="W2126" s="43"/>
      <c r="X2126" s="43"/>
      <c r="Y2126" s="43"/>
      <c r="Z2126" s="43"/>
    </row>
    <row r="2127" spans="15:26" x14ac:dyDescent="0.25">
      <c r="O2127" s="43"/>
      <c r="P2127" s="43"/>
      <c r="Q2127" s="43"/>
      <c r="R2127" s="43"/>
      <c r="S2127" s="43"/>
      <c r="T2127" s="43"/>
      <c r="U2127" s="43"/>
      <c r="V2127" s="43"/>
      <c r="W2127" s="43"/>
      <c r="X2127" s="43"/>
      <c r="Y2127" s="43"/>
      <c r="Z2127" s="43"/>
    </row>
    <row r="2128" spans="15:26" x14ac:dyDescent="0.25">
      <c r="O2128" s="43"/>
      <c r="P2128" s="43"/>
      <c r="Q2128" s="43"/>
      <c r="R2128" s="43"/>
      <c r="S2128" s="43"/>
      <c r="T2128" s="43"/>
      <c r="U2128" s="43"/>
      <c r="V2128" s="43"/>
      <c r="W2128" s="43"/>
      <c r="X2128" s="43"/>
      <c r="Y2128" s="43"/>
      <c r="Z2128" s="43"/>
    </row>
    <row r="2129" spans="15:26" x14ac:dyDescent="0.25">
      <c r="O2129" s="43"/>
      <c r="P2129" s="43"/>
      <c r="Q2129" s="43"/>
      <c r="R2129" s="43"/>
      <c r="S2129" s="43"/>
      <c r="T2129" s="43"/>
      <c r="U2129" s="43"/>
      <c r="V2129" s="43"/>
      <c r="W2129" s="43"/>
      <c r="X2129" s="43"/>
      <c r="Y2129" s="43"/>
      <c r="Z2129" s="43"/>
    </row>
    <row r="2130" spans="15:26" x14ac:dyDescent="0.25">
      <c r="O2130" s="43"/>
      <c r="P2130" s="43"/>
      <c r="Q2130" s="43"/>
      <c r="R2130" s="43"/>
      <c r="S2130" s="43"/>
      <c r="T2130" s="43"/>
      <c r="U2130" s="43"/>
      <c r="V2130" s="43"/>
      <c r="W2130" s="43"/>
      <c r="X2130" s="43"/>
      <c r="Y2130" s="43"/>
      <c r="Z2130" s="43"/>
    </row>
    <row r="2131" spans="15:26" x14ac:dyDescent="0.25">
      <c r="O2131" s="43"/>
      <c r="P2131" s="43"/>
      <c r="Q2131" s="43"/>
      <c r="R2131" s="43"/>
      <c r="S2131" s="43"/>
      <c r="T2131" s="43"/>
      <c r="U2131" s="43"/>
      <c r="V2131" s="43"/>
      <c r="W2131" s="43"/>
      <c r="X2131" s="43"/>
      <c r="Y2131" s="43"/>
      <c r="Z2131" s="43"/>
    </row>
    <row r="2132" spans="15:26" x14ac:dyDescent="0.25">
      <c r="O2132" s="43"/>
      <c r="P2132" s="43"/>
      <c r="Q2132" s="43"/>
      <c r="R2132" s="43"/>
      <c r="S2132" s="43"/>
      <c r="T2132" s="43"/>
      <c r="U2132" s="43"/>
      <c r="V2132" s="43"/>
      <c r="W2132" s="43"/>
      <c r="X2132" s="43"/>
      <c r="Y2132" s="43"/>
      <c r="Z2132" s="43"/>
    </row>
    <row r="2133" spans="15:26" x14ac:dyDescent="0.25">
      <c r="O2133" s="43"/>
      <c r="P2133" s="43"/>
      <c r="Q2133" s="43"/>
      <c r="R2133" s="43"/>
      <c r="S2133" s="43"/>
      <c r="T2133" s="43"/>
      <c r="U2133" s="43"/>
      <c r="V2133" s="43"/>
      <c r="W2133" s="43"/>
      <c r="X2133" s="43"/>
      <c r="Y2133" s="43"/>
      <c r="Z2133" s="43"/>
    </row>
    <row r="2134" spans="15:26" x14ac:dyDescent="0.25">
      <c r="O2134" s="43"/>
      <c r="P2134" s="43"/>
      <c r="Q2134" s="43"/>
      <c r="R2134" s="43"/>
      <c r="S2134" s="43"/>
      <c r="T2134" s="43"/>
      <c r="U2134" s="43"/>
      <c r="V2134" s="43"/>
      <c r="W2134" s="43"/>
      <c r="X2134" s="43"/>
      <c r="Y2134" s="43"/>
      <c r="Z2134" s="43"/>
    </row>
    <row r="2135" spans="15:26" x14ac:dyDescent="0.25">
      <c r="O2135" s="43"/>
      <c r="P2135" s="43"/>
      <c r="Q2135" s="43"/>
      <c r="R2135" s="43"/>
      <c r="S2135" s="43"/>
      <c r="T2135" s="43"/>
      <c r="U2135" s="43"/>
      <c r="V2135" s="43"/>
      <c r="W2135" s="43"/>
      <c r="X2135" s="43"/>
      <c r="Y2135" s="43"/>
      <c r="Z2135" s="43"/>
    </row>
    <row r="2136" spans="15:26" x14ac:dyDescent="0.25">
      <c r="O2136" s="43"/>
      <c r="P2136" s="43"/>
      <c r="Q2136" s="43"/>
      <c r="R2136" s="43"/>
      <c r="S2136" s="43"/>
      <c r="T2136" s="43"/>
      <c r="U2136" s="43"/>
      <c r="V2136" s="43"/>
      <c r="W2136" s="43"/>
      <c r="X2136" s="43"/>
      <c r="Y2136" s="43"/>
      <c r="Z2136" s="43"/>
    </row>
    <row r="2137" spans="15:26" x14ac:dyDescent="0.25">
      <c r="O2137" s="43"/>
      <c r="P2137" s="43"/>
      <c r="Q2137" s="43"/>
      <c r="R2137" s="43"/>
      <c r="S2137" s="43"/>
      <c r="T2137" s="43"/>
      <c r="U2137" s="43"/>
      <c r="V2137" s="43"/>
      <c r="W2137" s="43"/>
      <c r="X2137" s="43"/>
      <c r="Y2137" s="43"/>
      <c r="Z2137" s="43"/>
    </row>
    <row r="2138" spans="15:26" x14ac:dyDescent="0.25">
      <c r="O2138" s="43"/>
      <c r="P2138" s="43"/>
      <c r="Q2138" s="43"/>
      <c r="R2138" s="43"/>
      <c r="S2138" s="43"/>
      <c r="T2138" s="43"/>
      <c r="U2138" s="43"/>
      <c r="V2138" s="43"/>
      <c r="W2138" s="43"/>
      <c r="X2138" s="43"/>
      <c r="Y2138" s="43"/>
      <c r="Z2138" s="43"/>
    </row>
    <row r="2139" spans="15:26" x14ac:dyDescent="0.25">
      <c r="O2139" s="43"/>
      <c r="P2139" s="43"/>
      <c r="Q2139" s="43"/>
      <c r="R2139" s="43"/>
      <c r="S2139" s="43"/>
      <c r="T2139" s="43"/>
      <c r="U2139" s="43"/>
      <c r="V2139" s="43"/>
      <c r="W2139" s="43"/>
      <c r="X2139" s="43"/>
      <c r="Y2139" s="43"/>
      <c r="Z2139" s="43"/>
    </row>
    <row r="2140" spans="15:26" x14ac:dyDescent="0.25">
      <c r="O2140" s="43"/>
      <c r="P2140" s="43"/>
      <c r="Q2140" s="43"/>
      <c r="R2140" s="43"/>
      <c r="S2140" s="43"/>
      <c r="T2140" s="43"/>
      <c r="U2140" s="43"/>
      <c r="V2140" s="43"/>
      <c r="W2140" s="43"/>
      <c r="X2140" s="43"/>
      <c r="Y2140" s="43"/>
      <c r="Z2140" s="43"/>
    </row>
    <row r="2141" spans="15:26" x14ac:dyDescent="0.25">
      <c r="O2141" s="43"/>
      <c r="P2141" s="43"/>
      <c r="Q2141" s="43"/>
      <c r="R2141" s="43"/>
      <c r="S2141" s="43"/>
      <c r="T2141" s="43"/>
      <c r="U2141" s="43"/>
      <c r="V2141" s="43"/>
      <c r="W2141" s="43"/>
      <c r="X2141" s="43"/>
      <c r="Y2141" s="43"/>
      <c r="Z2141" s="43"/>
    </row>
    <row r="2142" spans="15:26" x14ac:dyDescent="0.25">
      <c r="O2142" s="43"/>
      <c r="P2142" s="43"/>
      <c r="Q2142" s="43"/>
      <c r="R2142" s="43"/>
      <c r="S2142" s="43"/>
      <c r="T2142" s="43"/>
      <c r="U2142" s="43"/>
      <c r="V2142" s="43"/>
      <c r="W2142" s="43"/>
      <c r="X2142" s="43"/>
      <c r="Y2142" s="43"/>
      <c r="Z2142" s="43"/>
    </row>
    <row r="2143" spans="15:26" x14ac:dyDescent="0.25">
      <c r="O2143" s="43"/>
      <c r="P2143" s="43"/>
      <c r="Q2143" s="43"/>
      <c r="R2143" s="43"/>
      <c r="S2143" s="43"/>
      <c r="T2143" s="43"/>
      <c r="U2143" s="43"/>
      <c r="V2143" s="43"/>
      <c r="W2143" s="43"/>
      <c r="X2143" s="43"/>
      <c r="Y2143" s="43"/>
      <c r="Z2143" s="43"/>
    </row>
    <row r="2144" spans="15:26" x14ac:dyDescent="0.25">
      <c r="O2144" s="43"/>
      <c r="P2144" s="43"/>
      <c r="Q2144" s="43"/>
      <c r="R2144" s="43"/>
      <c r="S2144" s="43"/>
      <c r="T2144" s="43"/>
      <c r="U2144" s="43"/>
      <c r="V2144" s="43"/>
      <c r="W2144" s="43"/>
      <c r="X2144" s="43"/>
      <c r="Y2144" s="43"/>
      <c r="Z2144" s="43"/>
    </row>
    <row r="2145" spans="15:26" x14ac:dyDescent="0.25">
      <c r="O2145" s="43"/>
      <c r="P2145" s="43"/>
      <c r="Q2145" s="43"/>
      <c r="R2145" s="43"/>
      <c r="S2145" s="43"/>
      <c r="T2145" s="43"/>
      <c r="U2145" s="43"/>
      <c r="V2145" s="43"/>
      <c r="W2145" s="43"/>
      <c r="X2145" s="43"/>
      <c r="Y2145" s="43"/>
      <c r="Z2145" s="43"/>
    </row>
    <row r="2146" spans="15:26" x14ac:dyDescent="0.25">
      <c r="O2146" s="43"/>
      <c r="P2146" s="43"/>
      <c r="Q2146" s="43"/>
      <c r="R2146" s="43"/>
      <c r="S2146" s="43"/>
      <c r="T2146" s="43"/>
      <c r="U2146" s="43"/>
      <c r="V2146" s="43"/>
      <c r="W2146" s="43"/>
      <c r="X2146" s="43"/>
      <c r="Y2146" s="43"/>
      <c r="Z2146" s="43"/>
    </row>
    <row r="2147" spans="15:26" x14ac:dyDescent="0.25">
      <c r="O2147" s="43"/>
      <c r="P2147" s="43"/>
      <c r="Q2147" s="43"/>
      <c r="R2147" s="43"/>
      <c r="S2147" s="43"/>
      <c r="T2147" s="43"/>
      <c r="U2147" s="43"/>
      <c r="V2147" s="43"/>
      <c r="W2147" s="43"/>
      <c r="X2147" s="43"/>
      <c r="Y2147" s="43"/>
      <c r="Z2147" s="43"/>
    </row>
    <row r="2148" spans="15:26" x14ac:dyDescent="0.25">
      <c r="O2148" s="43"/>
      <c r="P2148" s="43"/>
      <c r="Q2148" s="43"/>
      <c r="R2148" s="43"/>
      <c r="S2148" s="43"/>
      <c r="T2148" s="43"/>
      <c r="U2148" s="43"/>
      <c r="V2148" s="43"/>
      <c r="W2148" s="43"/>
      <c r="X2148" s="43"/>
      <c r="Y2148" s="43"/>
      <c r="Z2148" s="43"/>
    </row>
    <row r="2149" spans="15:26" x14ac:dyDescent="0.25">
      <c r="O2149" s="43"/>
      <c r="P2149" s="43"/>
      <c r="Q2149" s="43"/>
      <c r="R2149" s="43"/>
      <c r="S2149" s="43"/>
      <c r="T2149" s="43"/>
      <c r="U2149" s="43"/>
      <c r="V2149" s="43"/>
      <c r="W2149" s="43"/>
      <c r="X2149" s="43"/>
      <c r="Y2149" s="43"/>
      <c r="Z2149" s="43"/>
    </row>
    <row r="2150" spans="15:26" x14ac:dyDescent="0.25">
      <c r="O2150" s="43"/>
      <c r="P2150" s="43"/>
      <c r="Q2150" s="43"/>
      <c r="R2150" s="43"/>
      <c r="S2150" s="43"/>
      <c r="T2150" s="43"/>
      <c r="U2150" s="43"/>
      <c r="V2150" s="43"/>
      <c r="W2150" s="43"/>
      <c r="X2150" s="43"/>
      <c r="Y2150" s="43"/>
      <c r="Z2150" s="43"/>
    </row>
    <row r="2151" spans="15:26" x14ac:dyDescent="0.25">
      <c r="O2151" s="43"/>
      <c r="P2151" s="43"/>
      <c r="Q2151" s="43"/>
      <c r="R2151" s="43"/>
      <c r="S2151" s="43"/>
      <c r="T2151" s="43"/>
      <c r="U2151" s="43"/>
      <c r="V2151" s="43"/>
      <c r="W2151" s="43"/>
      <c r="X2151" s="43"/>
      <c r="Y2151" s="43"/>
      <c r="Z2151" s="43"/>
    </row>
    <row r="2152" spans="15:26" x14ac:dyDescent="0.25">
      <c r="O2152" s="43"/>
      <c r="P2152" s="43"/>
      <c r="Q2152" s="43"/>
      <c r="R2152" s="43"/>
      <c r="S2152" s="43"/>
      <c r="T2152" s="43"/>
      <c r="U2152" s="43"/>
      <c r="V2152" s="43"/>
      <c r="W2152" s="43"/>
      <c r="X2152" s="43"/>
      <c r="Y2152" s="43"/>
      <c r="Z2152" s="43"/>
    </row>
    <row r="2153" spans="15:26" x14ac:dyDescent="0.25">
      <c r="O2153" s="43"/>
      <c r="P2153" s="43"/>
      <c r="Q2153" s="43"/>
      <c r="R2153" s="43"/>
      <c r="S2153" s="43"/>
      <c r="T2153" s="43"/>
      <c r="U2153" s="43"/>
      <c r="V2153" s="43"/>
      <c r="W2153" s="43"/>
      <c r="X2153" s="43"/>
      <c r="Y2153" s="43"/>
      <c r="Z2153" s="43"/>
    </row>
    <row r="2154" spans="15:26" x14ac:dyDescent="0.25">
      <c r="O2154" s="43"/>
      <c r="P2154" s="43"/>
      <c r="Q2154" s="43"/>
      <c r="R2154" s="43"/>
      <c r="S2154" s="43"/>
      <c r="T2154" s="43"/>
      <c r="U2154" s="43"/>
      <c r="V2154" s="43"/>
      <c r="W2154" s="43"/>
      <c r="X2154" s="43"/>
      <c r="Y2154" s="43"/>
      <c r="Z2154" s="43"/>
    </row>
    <row r="2155" spans="15:26" x14ac:dyDescent="0.25">
      <c r="O2155" s="43"/>
      <c r="P2155" s="43"/>
      <c r="Q2155" s="43"/>
      <c r="R2155" s="43"/>
      <c r="S2155" s="43"/>
      <c r="T2155" s="43"/>
      <c r="U2155" s="43"/>
      <c r="V2155" s="43"/>
      <c r="W2155" s="43"/>
      <c r="X2155" s="43"/>
      <c r="Y2155" s="43"/>
      <c r="Z2155" s="43"/>
    </row>
    <row r="2156" spans="15:26" x14ac:dyDescent="0.25">
      <c r="O2156" s="43"/>
      <c r="P2156" s="43"/>
      <c r="Q2156" s="43"/>
      <c r="R2156" s="43"/>
      <c r="S2156" s="43"/>
      <c r="T2156" s="43"/>
      <c r="U2156" s="43"/>
      <c r="V2156" s="43"/>
      <c r="W2156" s="43"/>
      <c r="X2156" s="43"/>
      <c r="Y2156" s="43"/>
      <c r="Z2156" s="43"/>
    </row>
    <row r="2157" spans="15:26" x14ac:dyDescent="0.25">
      <c r="O2157" s="43"/>
      <c r="P2157" s="43"/>
      <c r="Q2157" s="43"/>
      <c r="R2157" s="43"/>
      <c r="S2157" s="43"/>
      <c r="T2157" s="43"/>
      <c r="U2157" s="43"/>
      <c r="V2157" s="43"/>
      <c r="W2157" s="43"/>
      <c r="X2157" s="43"/>
      <c r="Y2157" s="43"/>
      <c r="Z2157" s="43"/>
    </row>
    <row r="2158" spans="15:26" x14ac:dyDescent="0.25">
      <c r="O2158" s="43"/>
      <c r="P2158" s="43"/>
      <c r="Q2158" s="43"/>
      <c r="R2158" s="43"/>
      <c r="S2158" s="43"/>
      <c r="T2158" s="43"/>
      <c r="U2158" s="43"/>
      <c r="V2158" s="43"/>
      <c r="W2158" s="43"/>
      <c r="X2158" s="43"/>
      <c r="Y2158" s="43"/>
      <c r="Z2158" s="43"/>
    </row>
    <row r="2159" spans="15:26" x14ac:dyDescent="0.25">
      <c r="O2159" s="43"/>
      <c r="P2159" s="43"/>
      <c r="Q2159" s="43"/>
      <c r="R2159" s="43"/>
      <c r="S2159" s="43"/>
      <c r="T2159" s="43"/>
      <c r="U2159" s="43"/>
      <c r="V2159" s="43"/>
      <c r="W2159" s="43"/>
      <c r="X2159" s="43"/>
      <c r="Y2159" s="43"/>
      <c r="Z2159" s="43"/>
    </row>
    <row r="2160" spans="15:26" x14ac:dyDescent="0.25">
      <c r="O2160" s="43"/>
      <c r="P2160" s="43"/>
      <c r="Q2160" s="43"/>
      <c r="R2160" s="43"/>
      <c r="S2160" s="43"/>
      <c r="T2160" s="43"/>
      <c r="U2160" s="43"/>
      <c r="V2160" s="43"/>
      <c r="W2160" s="43"/>
      <c r="X2160" s="43"/>
      <c r="Y2160" s="43"/>
      <c r="Z2160" s="43"/>
    </row>
    <row r="2161" spans="15:26" x14ac:dyDescent="0.25">
      <c r="O2161" s="43"/>
      <c r="P2161" s="43"/>
      <c r="Q2161" s="43"/>
      <c r="R2161" s="43"/>
      <c r="S2161" s="43"/>
      <c r="T2161" s="43"/>
      <c r="U2161" s="43"/>
      <c r="V2161" s="43"/>
      <c r="W2161" s="43"/>
      <c r="X2161" s="43"/>
      <c r="Y2161" s="43"/>
      <c r="Z2161" s="43"/>
    </row>
    <row r="2162" spans="15:26" x14ac:dyDescent="0.25">
      <c r="O2162" s="43"/>
      <c r="P2162" s="43"/>
      <c r="Q2162" s="43"/>
      <c r="R2162" s="43"/>
      <c r="S2162" s="43"/>
      <c r="T2162" s="43"/>
      <c r="U2162" s="43"/>
      <c r="V2162" s="43"/>
      <c r="W2162" s="43"/>
      <c r="X2162" s="43"/>
      <c r="Y2162" s="43"/>
      <c r="Z2162" s="43"/>
    </row>
    <row r="2163" spans="15:26" x14ac:dyDescent="0.25">
      <c r="O2163" s="43"/>
      <c r="P2163" s="43"/>
      <c r="Q2163" s="43"/>
      <c r="R2163" s="43"/>
      <c r="S2163" s="43"/>
      <c r="T2163" s="43"/>
      <c r="U2163" s="43"/>
      <c r="V2163" s="43"/>
      <c r="W2163" s="43"/>
      <c r="X2163" s="43"/>
      <c r="Y2163" s="43"/>
      <c r="Z2163" s="43"/>
    </row>
    <row r="2164" spans="15:26" x14ac:dyDescent="0.25">
      <c r="O2164" s="43"/>
      <c r="P2164" s="43"/>
      <c r="Q2164" s="43"/>
      <c r="R2164" s="43"/>
      <c r="S2164" s="43"/>
      <c r="T2164" s="43"/>
      <c r="U2164" s="43"/>
      <c r="V2164" s="43"/>
      <c r="W2164" s="43"/>
      <c r="X2164" s="43"/>
      <c r="Y2164" s="43"/>
      <c r="Z2164" s="43"/>
    </row>
    <row r="2165" spans="15:26" x14ac:dyDescent="0.25">
      <c r="O2165" s="43"/>
      <c r="P2165" s="43"/>
      <c r="Q2165" s="43"/>
      <c r="R2165" s="43"/>
      <c r="S2165" s="43"/>
      <c r="T2165" s="43"/>
      <c r="U2165" s="43"/>
      <c r="V2165" s="43"/>
      <c r="W2165" s="43"/>
      <c r="X2165" s="43"/>
      <c r="Y2165" s="43"/>
      <c r="Z2165" s="43"/>
    </row>
    <row r="2166" spans="15:26" x14ac:dyDescent="0.25">
      <c r="O2166" s="43"/>
      <c r="P2166" s="43"/>
      <c r="Q2166" s="43"/>
      <c r="R2166" s="43"/>
      <c r="S2166" s="43"/>
      <c r="T2166" s="43"/>
      <c r="U2166" s="43"/>
      <c r="V2166" s="43"/>
      <c r="W2166" s="43"/>
      <c r="X2166" s="43"/>
      <c r="Y2166" s="43"/>
      <c r="Z2166" s="43"/>
    </row>
    <row r="2167" spans="15:26" x14ac:dyDescent="0.25">
      <c r="O2167" s="43"/>
      <c r="P2167" s="43"/>
      <c r="Q2167" s="43"/>
      <c r="R2167" s="43"/>
      <c r="S2167" s="43"/>
      <c r="T2167" s="43"/>
      <c r="U2167" s="43"/>
      <c r="V2167" s="43"/>
      <c r="W2167" s="43"/>
      <c r="X2167" s="43"/>
      <c r="Y2167" s="43"/>
      <c r="Z2167" s="43"/>
    </row>
    <row r="2168" spans="15:26" x14ac:dyDescent="0.25">
      <c r="O2168" s="43"/>
      <c r="P2168" s="43"/>
      <c r="Q2168" s="43"/>
      <c r="R2168" s="43"/>
      <c r="S2168" s="43"/>
      <c r="T2168" s="43"/>
      <c r="U2168" s="43"/>
      <c r="V2168" s="43"/>
      <c r="W2168" s="43"/>
      <c r="X2168" s="43"/>
      <c r="Y2168" s="43"/>
      <c r="Z2168" s="43"/>
    </row>
    <row r="2169" spans="15:26" x14ac:dyDescent="0.25">
      <c r="O2169" s="43"/>
      <c r="P2169" s="43"/>
      <c r="Q2169" s="43"/>
      <c r="R2169" s="43"/>
      <c r="S2169" s="43"/>
      <c r="T2169" s="43"/>
      <c r="U2169" s="43"/>
      <c r="V2169" s="43"/>
      <c r="W2169" s="43"/>
      <c r="X2169" s="43"/>
      <c r="Y2169" s="43"/>
      <c r="Z2169" s="43"/>
    </row>
    <row r="2170" spans="15:26" x14ac:dyDescent="0.25">
      <c r="O2170" s="43"/>
      <c r="P2170" s="43"/>
      <c r="Q2170" s="43"/>
      <c r="R2170" s="43"/>
      <c r="S2170" s="43"/>
      <c r="T2170" s="43"/>
      <c r="U2170" s="43"/>
      <c r="V2170" s="43"/>
      <c r="W2170" s="43"/>
      <c r="X2170" s="43"/>
      <c r="Y2170" s="43"/>
      <c r="Z2170" s="43"/>
    </row>
    <row r="2171" spans="15:26" x14ac:dyDescent="0.25">
      <c r="O2171" s="43"/>
      <c r="P2171" s="43"/>
      <c r="Q2171" s="43"/>
      <c r="R2171" s="43"/>
      <c r="S2171" s="43"/>
      <c r="T2171" s="43"/>
      <c r="U2171" s="43"/>
      <c r="V2171" s="43"/>
      <c r="W2171" s="43"/>
      <c r="X2171" s="43"/>
      <c r="Y2171" s="43"/>
      <c r="Z2171" s="43"/>
    </row>
    <row r="2172" spans="15:26" x14ac:dyDescent="0.25">
      <c r="O2172" s="43"/>
      <c r="P2172" s="43"/>
      <c r="Q2172" s="43"/>
      <c r="R2172" s="43"/>
      <c r="S2172" s="43"/>
      <c r="T2172" s="43"/>
      <c r="U2172" s="43"/>
      <c r="V2172" s="43"/>
      <c r="W2172" s="43"/>
      <c r="X2172" s="43"/>
      <c r="Y2172" s="43"/>
      <c r="Z2172" s="43"/>
    </row>
    <row r="2173" spans="15:26" x14ac:dyDescent="0.25">
      <c r="O2173" s="43"/>
      <c r="P2173" s="43"/>
      <c r="Q2173" s="43"/>
      <c r="R2173" s="43"/>
      <c r="S2173" s="43"/>
      <c r="T2173" s="43"/>
      <c r="U2173" s="43"/>
      <c r="V2173" s="43"/>
      <c r="W2173" s="43"/>
      <c r="X2173" s="43"/>
      <c r="Y2173" s="43"/>
      <c r="Z2173" s="43"/>
    </row>
    <row r="2174" spans="15:26" x14ac:dyDescent="0.25">
      <c r="O2174" s="43"/>
      <c r="P2174" s="43"/>
      <c r="Q2174" s="43"/>
      <c r="R2174" s="43"/>
      <c r="S2174" s="43"/>
      <c r="T2174" s="43"/>
      <c r="U2174" s="43"/>
      <c r="V2174" s="43"/>
      <c r="W2174" s="43"/>
      <c r="X2174" s="43"/>
      <c r="Y2174" s="43"/>
      <c r="Z2174" s="43"/>
    </row>
    <row r="2175" spans="15:26" x14ac:dyDescent="0.25">
      <c r="O2175" s="43"/>
      <c r="P2175" s="43"/>
      <c r="Q2175" s="43"/>
      <c r="R2175" s="43"/>
      <c r="S2175" s="43"/>
      <c r="T2175" s="43"/>
      <c r="U2175" s="43"/>
      <c r="V2175" s="43"/>
      <c r="W2175" s="43"/>
      <c r="X2175" s="43"/>
      <c r="Y2175" s="43"/>
      <c r="Z2175" s="43"/>
    </row>
    <row r="2176" spans="15:26" x14ac:dyDescent="0.25">
      <c r="O2176" s="43"/>
      <c r="P2176" s="43"/>
      <c r="Q2176" s="43"/>
      <c r="R2176" s="43"/>
      <c r="S2176" s="43"/>
      <c r="T2176" s="43"/>
      <c r="U2176" s="43"/>
      <c r="V2176" s="43"/>
      <c r="W2176" s="43"/>
      <c r="X2176" s="43"/>
      <c r="Y2176" s="43"/>
      <c r="Z2176" s="43"/>
    </row>
    <row r="2177" spans="15:26" x14ac:dyDescent="0.25">
      <c r="O2177" s="43"/>
      <c r="P2177" s="43"/>
      <c r="Q2177" s="43"/>
      <c r="R2177" s="43"/>
      <c r="S2177" s="43"/>
      <c r="T2177" s="43"/>
      <c r="U2177" s="43"/>
      <c r="V2177" s="43"/>
      <c r="W2177" s="43"/>
      <c r="X2177" s="43"/>
      <c r="Y2177" s="43"/>
      <c r="Z2177" s="43"/>
    </row>
    <row r="2178" spans="15:26" x14ac:dyDescent="0.25">
      <c r="O2178" s="43"/>
      <c r="P2178" s="43"/>
      <c r="Q2178" s="43"/>
      <c r="R2178" s="43"/>
      <c r="S2178" s="43"/>
      <c r="T2178" s="43"/>
      <c r="U2178" s="43"/>
      <c r="V2178" s="43"/>
      <c r="W2178" s="43"/>
      <c r="X2178" s="43"/>
      <c r="Y2178" s="43"/>
      <c r="Z2178" s="43"/>
    </row>
    <row r="2179" spans="15:26" x14ac:dyDescent="0.25">
      <c r="O2179" s="43"/>
      <c r="P2179" s="43"/>
      <c r="Q2179" s="43"/>
      <c r="R2179" s="43"/>
      <c r="S2179" s="43"/>
      <c r="T2179" s="43"/>
      <c r="U2179" s="43"/>
      <c r="V2179" s="43"/>
      <c r="W2179" s="43"/>
      <c r="X2179" s="43"/>
      <c r="Y2179" s="43"/>
      <c r="Z2179" s="43"/>
    </row>
    <row r="2180" spans="15:26" x14ac:dyDescent="0.25">
      <c r="O2180" s="43"/>
      <c r="P2180" s="43"/>
      <c r="Q2180" s="43"/>
      <c r="R2180" s="43"/>
      <c r="S2180" s="43"/>
      <c r="T2180" s="43"/>
      <c r="U2180" s="43"/>
      <c r="V2180" s="43"/>
      <c r="W2180" s="43"/>
      <c r="X2180" s="43"/>
      <c r="Y2180" s="43"/>
      <c r="Z2180" s="43"/>
    </row>
    <row r="2181" spans="15:26" x14ac:dyDescent="0.25">
      <c r="O2181" s="43"/>
      <c r="P2181" s="43"/>
      <c r="Q2181" s="43"/>
      <c r="R2181" s="43"/>
      <c r="S2181" s="43"/>
      <c r="T2181" s="43"/>
      <c r="U2181" s="43"/>
      <c r="V2181" s="43"/>
      <c r="W2181" s="43"/>
      <c r="X2181" s="43"/>
      <c r="Y2181" s="43"/>
      <c r="Z2181" s="43"/>
    </row>
    <row r="2182" spans="15:26" x14ac:dyDescent="0.25">
      <c r="O2182" s="43"/>
      <c r="P2182" s="43"/>
      <c r="Q2182" s="43"/>
      <c r="R2182" s="43"/>
      <c r="S2182" s="43"/>
      <c r="T2182" s="43"/>
      <c r="U2182" s="43"/>
      <c r="V2182" s="43"/>
      <c r="W2182" s="43"/>
      <c r="X2182" s="43"/>
      <c r="Y2182" s="43"/>
      <c r="Z2182" s="43"/>
    </row>
    <row r="2183" spans="15:26" x14ac:dyDescent="0.25">
      <c r="O2183" s="43"/>
      <c r="P2183" s="43"/>
      <c r="Q2183" s="43"/>
      <c r="R2183" s="43"/>
      <c r="S2183" s="43"/>
      <c r="T2183" s="43"/>
      <c r="U2183" s="43"/>
      <c r="V2183" s="43"/>
      <c r="W2183" s="43"/>
      <c r="X2183" s="43"/>
      <c r="Y2183" s="43"/>
      <c r="Z2183" s="43"/>
    </row>
    <row r="2184" spans="15:26" x14ac:dyDescent="0.25">
      <c r="O2184" s="43"/>
      <c r="P2184" s="43"/>
      <c r="Q2184" s="43"/>
      <c r="R2184" s="43"/>
      <c r="S2184" s="43"/>
      <c r="T2184" s="43"/>
      <c r="U2184" s="43"/>
      <c r="V2184" s="43"/>
      <c r="W2184" s="43"/>
      <c r="X2184" s="43"/>
      <c r="Y2184" s="43"/>
      <c r="Z2184" s="43"/>
    </row>
    <row r="2185" spans="15:26" x14ac:dyDescent="0.25">
      <c r="O2185" s="43"/>
      <c r="P2185" s="43"/>
      <c r="Q2185" s="43"/>
      <c r="R2185" s="43"/>
      <c r="S2185" s="43"/>
      <c r="T2185" s="43"/>
      <c r="U2185" s="43"/>
      <c r="V2185" s="43"/>
      <c r="W2185" s="43"/>
      <c r="X2185" s="43"/>
      <c r="Y2185" s="43"/>
      <c r="Z2185" s="43"/>
    </row>
    <row r="2186" spans="15:26" x14ac:dyDescent="0.25">
      <c r="O2186" s="43"/>
      <c r="P2186" s="43"/>
      <c r="Q2186" s="43"/>
      <c r="R2186" s="43"/>
      <c r="S2186" s="43"/>
      <c r="T2186" s="43"/>
      <c r="U2186" s="43"/>
      <c r="V2186" s="43"/>
      <c r="W2186" s="43"/>
      <c r="X2186" s="43"/>
      <c r="Y2186" s="43"/>
      <c r="Z2186" s="43"/>
    </row>
    <row r="2187" spans="15:26" x14ac:dyDescent="0.25">
      <c r="O2187" s="43"/>
      <c r="P2187" s="43"/>
      <c r="Q2187" s="43"/>
      <c r="R2187" s="43"/>
      <c r="S2187" s="43"/>
      <c r="T2187" s="43"/>
      <c r="U2187" s="43"/>
      <c r="V2187" s="43"/>
      <c r="W2187" s="43"/>
      <c r="X2187" s="43"/>
      <c r="Y2187" s="43"/>
      <c r="Z2187" s="43"/>
    </row>
    <row r="2188" spans="15:26" x14ac:dyDescent="0.25">
      <c r="O2188" s="43"/>
      <c r="P2188" s="43"/>
      <c r="Q2188" s="43"/>
      <c r="R2188" s="43"/>
      <c r="S2188" s="43"/>
      <c r="T2188" s="43"/>
      <c r="U2188" s="43"/>
      <c r="V2188" s="43"/>
      <c r="W2188" s="43"/>
      <c r="X2188" s="43"/>
      <c r="Y2188" s="43"/>
      <c r="Z2188" s="43"/>
    </row>
    <row r="2189" spans="15:26" x14ac:dyDescent="0.25">
      <c r="O2189" s="43"/>
      <c r="P2189" s="43"/>
      <c r="Q2189" s="43"/>
      <c r="R2189" s="43"/>
      <c r="S2189" s="43"/>
      <c r="T2189" s="43"/>
      <c r="U2189" s="43"/>
      <c r="V2189" s="43"/>
      <c r="W2189" s="43"/>
      <c r="X2189" s="43"/>
      <c r="Y2189" s="43"/>
      <c r="Z2189" s="43"/>
    </row>
    <row r="2190" spans="15:26" x14ac:dyDescent="0.25">
      <c r="O2190" s="43"/>
      <c r="P2190" s="43"/>
      <c r="Q2190" s="43"/>
      <c r="R2190" s="43"/>
      <c r="S2190" s="43"/>
      <c r="T2190" s="43"/>
      <c r="U2190" s="43"/>
      <c r="V2190" s="43"/>
      <c r="W2190" s="43"/>
      <c r="X2190" s="43"/>
      <c r="Y2190" s="43"/>
      <c r="Z2190" s="43"/>
    </row>
    <row r="2191" spans="15:26" x14ac:dyDescent="0.25">
      <c r="O2191" s="43"/>
      <c r="P2191" s="43"/>
      <c r="Q2191" s="43"/>
      <c r="R2191" s="43"/>
      <c r="S2191" s="43"/>
      <c r="T2191" s="43"/>
      <c r="U2191" s="43"/>
      <c r="V2191" s="43"/>
      <c r="W2191" s="43"/>
      <c r="X2191" s="43"/>
      <c r="Y2191" s="43"/>
      <c r="Z2191" s="43"/>
    </row>
    <row r="2192" spans="15:26" x14ac:dyDescent="0.25">
      <c r="O2192" s="43"/>
      <c r="P2192" s="43"/>
      <c r="Q2192" s="43"/>
      <c r="R2192" s="43"/>
      <c r="S2192" s="43"/>
      <c r="T2192" s="43"/>
      <c r="U2192" s="43"/>
      <c r="V2192" s="43"/>
      <c r="W2192" s="43"/>
      <c r="X2192" s="43"/>
      <c r="Y2192" s="43"/>
      <c r="Z2192" s="43"/>
    </row>
    <row r="2193" spans="15:26" x14ac:dyDescent="0.25">
      <c r="O2193" s="43"/>
      <c r="P2193" s="43"/>
      <c r="Q2193" s="43"/>
      <c r="R2193" s="43"/>
      <c r="S2193" s="43"/>
      <c r="T2193" s="43"/>
      <c r="U2193" s="43"/>
      <c r="V2193" s="43"/>
      <c r="W2193" s="43"/>
      <c r="X2193" s="43"/>
      <c r="Y2193" s="43"/>
      <c r="Z2193" s="43"/>
    </row>
    <row r="2194" spans="15:26" x14ac:dyDescent="0.25">
      <c r="O2194" s="43"/>
      <c r="P2194" s="43"/>
      <c r="Q2194" s="43"/>
      <c r="R2194" s="43"/>
      <c r="S2194" s="43"/>
      <c r="T2194" s="43"/>
      <c r="U2194" s="43"/>
      <c r="V2194" s="43"/>
      <c r="W2194" s="43"/>
      <c r="X2194" s="43"/>
      <c r="Y2194" s="43"/>
      <c r="Z2194" s="43"/>
    </row>
    <row r="2195" spans="15:26" x14ac:dyDescent="0.25">
      <c r="O2195" s="43"/>
      <c r="P2195" s="43"/>
      <c r="Q2195" s="43"/>
      <c r="R2195" s="43"/>
      <c r="S2195" s="43"/>
      <c r="T2195" s="43"/>
      <c r="U2195" s="43"/>
      <c r="V2195" s="43"/>
      <c r="W2195" s="43"/>
      <c r="X2195" s="43"/>
      <c r="Y2195" s="43"/>
      <c r="Z2195" s="43"/>
    </row>
    <row r="2196" spans="15:26" x14ac:dyDescent="0.25">
      <c r="O2196" s="43"/>
      <c r="P2196" s="43"/>
      <c r="Q2196" s="43"/>
      <c r="R2196" s="43"/>
      <c r="S2196" s="43"/>
      <c r="T2196" s="43"/>
      <c r="U2196" s="43"/>
      <c r="V2196" s="43"/>
      <c r="W2196" s="43"/>
      <c r="X2196" s="43"/>
      <c r="Y2196" s="43"/>
      <c r="Z2196" s="43"/>
    </row>
    <row r="2197" spans="15:26" x14ac:dyDescent="0.25">
      <c r="O2197" s="43"/>
      <c r="P2197" s="43"/>
      <c r="Q2197" s="43"/>
      <c r="R2197" s="43"/>
      <c r="S2197" s="43"/>
      <c r="T2197" s="43"/>
      <c r="U2197" s="43"/>
      <c r="V2197" s="43"/>
      <c r="W2197" s="43"/>
      <c r="X2197" s="43"/>
      <c r="Y2197" s="43"/>
      <c r="Z2197" s="43"/>
    </row>
    <row r="2198" spans="15:26" x14ac:dyDescent="0.25">
      <c r="O2198" s="43"/>
      <c r="P2198" s="43"/>
      <c r="Q2198" s="43"/>
      <c r="R2198" s="43"/>
      <c r="S2198" s="43"/>
      <c r="T2198" s="43"/>
      <c r="U2198" s="43"/>
      <c r="V2198" s="43"/>
      <c r="W2198" s="43"/>
      <c r="X2198" s="43"/>
      <c r="Y2198" s="43"/>
      <c r="Z2198" s="43"/>
    </row>
    <row r="2199" spans="15:26" x14ac:dyDescent="0.25">
      <c r="O2199" s="43"/>
      <c r="P2199" s="43"/>
      <c r="Q2199" s="43"/>
      <c r="R2199" s="43"/>
      <c r="S2199" s="43"/>
      <c r="T2199" s="43"/>
      <c r="U2199" s="43"/>
      <c r="V2199" s="43"/>
      <c r="W2199" s="43"/>
      <c r="X2199" s="43"/>
      <c r="Y2199" s="43"/>
      <c r="Z2199" s="43"/>
    </row>
    <row r="2200" spans="15:26" x14ac:dyDescent="0.25">
      <c r="O2200" s="43"/>
      <c r="P2200" s="43"/>
      <c r="Q2200" s="43"/>
      <c r="R2200" s="43"/>
      <c r="S2200" s="43"/>
      <c r="T2200" s="43"/>
      <c r="U2200" s="43"/>
      <c r="V2200" s="43"/>
      <c r="W2200" s="43"/>
      <c r="X2200" s="43"/>
      <c r="Y2200" s="43"/>
      <c r="Z2200" s="43"/>
    </row>
    <row r="2201" spans="15:26" x14ac:dyDescent="0.25">
      <c r="O2201" s="43"/>
      <c r="P2201" s="43"/>
      <c r="Q2201" s="43"/>
      <c r="R2201" s="43"/>
      <c r="S2201" s="43"/>
      <c r="T2201" s="43"/>
      <c r="U2201" s="43"/>
      <c r="V2201" s="43"/>
      <c r="W2201" s="43"/>
      <c r="X2201" s="43"/>
      <c r="Y2201" s="43"/>
      <c r="Z2201" s="43"/>
    </row>
    <row r="2202" spans="15:26" x14ac:dyDescent="0.25">
      <c r="O2202" s="43"/>
      <c r="P2202" s="43"/>
      <c r="Q2202" s="43"/>
      <c r="R2202" s="43"/>
      <c r="S2202" s="43"/>
      <c r="T2202" s="43"/>
      <c r="U2202" s="43"/>
      <c r="V2202" s="43"/>
      <c r="W2202" s="43"/>
      <c r="X2202" s="43"/>
      <c r="Y2202" s="43"/>
      <c r="Z2202" s="43"/>
    </row>
    <row r="2203" spans="15:26" x14ac:dyDescent="0.25">
      <c r="O2203" s="43"/>
      <c r="P2203" s="43"/>
      <c r="Q2203" s="43"/>
      <c r="R2203" s="43"/>
      <c r="S2203" s="43"/>
      <c r="T2203" s="43"/>
      <c r="U2203" s="43"/>
      <c r="V2203" s="43"/>
      <c r="W2203" s="43"/>
      <c r="X2203" s="43"/>
      <c r="Y2203" s="43"/>
      <c r="Z2203" s="43"/>
    </row>
    <row r="2204" spans="15:26" x14ac:dyDescent="0.25">
      <c r="O2204" s="43"/>
      <c r="P2204" s="43"/>
      <c r="Q2204" s="43"/>
      <c r="R2204" s="43"/>
      <c r="S2204" s="43"/>
      <c r="T2204" s="43"/>
      <c r="U2204" s="43"/>
      <c r="V2204" s="43"/>
      <c r="W2204" s="43"/>
      <c r="X2204" s="43"/>
      <c r="Y2204" s="43"/>
      <c r="Z2204" s="43"/>
    </row>
    <row r="2205" spans="15:26" x14ac:dyDescent="0.25">
      <c r="O2205" s="43"/>
      <c r="P2205" s="43"/>
      <c r="Q2205" s="43"/>
      <c r="R2205" s="43"/>
      <c r="S2205" s="43"/>
      <c r="T2205" s="43"/>
      <c r="U2205" s="43"/>
      <c r="V2205" s="43"/>
      <c r="W2205" s="43"/>
      <c r="X2205" s="43"/>
      <c r="Y2205" s="43"/>
      <c r="Z2205" s="43"/>
    </row>
    <row r="2206" spans="15:26" x14ac:dyDescent="0.25">
      <c r="O2206" s="43"/>
      <c r="P2206" s="43"/>
      <c r="Q2206" s="43"/>
      <c r="R2206" s="43"/>
      <c r="S2206" s="43"/>
      <c r="T2206" s="43"/>
      <c r="U2206" s="43"/>
      <c r="V2206" s="43"/>
      <c r="W2206" s="43"/>
      <c r="X2206" s="43"/>
      <c r="Y2206" s="43"/>
      <c r="Z2206" s="43"/>
    </row>
    <row r="2207" spans="15:26" x14ac:dyDescent="0.25">
      <c r="O2207" s="43"/>
      <c r="P2207" s="43"/>
      <c r="Q2207" s="43"/>
      <c r="R2207" s="43"/>
      <c r="S2207" s="43"/>
      <c r="T2207" s="43"/>
      <c r="U2207" s="43"/>
      <c r="V2207" s="43"/>
      <c r="W2207" s="43"/>
      <c r="X2207" s="43"/>
      <c r="Y2207" s="43"/>
      <c r="Z2207" s="43"/>
    </row>
    <row r="2208" spans="15:26" x14ac:dyDescent="0.25">
      <c r="O2208" s="43"/>
      <c r="P2208" s="43"/>
      <c r="Q2208" s="43"/>
      <c r="R2208" s="43"/>
      <c r="S2208" s="43"/>
      <c r="T2208" s="43"/>
      <c r="U2208" s="43"/>
      <c r="V2208" s="43"/>
      <c r="W2208" s="43"/>
      <c r="X2208" s="43"/>
      <c r="Y2208" s="43"/>
      <c r="Z2208" s="43"/>
    </row>
    <row r="2209" spans="15:26" x14ac:dyDescent="0.25">
      <c r="O2209" s="43"/>
      <c r="P2209" s="43"/>
      <c r="Q2209" s="43"/>
      <c r="R2209" s="43"/>
      <c r="S2209" s="43"/>
      <c r="T2209" s="43"/>
      <c r="U2209" s="43"/>
      <c r="V2209" s="43"/>
      <c r="W2209" s="43"/>
      <c r="X2209" s="43"/>
      <c r="Y2209" s="43"/>
      <c r="Z2209" s="43"/>
    </row>
    <row r="2210" spans="15:26" x14ac:dyDescent="0.25">
      <c r="O2210" s="43"/>
      <c r="P2210" s="43"/>
      <c r="Q2210" s="43"/>
      <c r="R2210" s="43"/>
      <c r="S2210" s="43"/>
      <c r="T2210" s="43"/>
      <c r="U2210" s="43"/>
      <c r="V2210" s="43"/>
      <c r="W2210" s="43"/>
      <c r="X2210" s="43"/>
      <c r="Y2210" s="43"/>
      <c r="Z2210" s="43"/>
    </row>
    <row r="2211" spans="15:26" x14ac:dyDescent="0.25">
      <c r="O2211" s="43"/>
      <c r="P2211" s="43"/>
      <c r="Q2211" s="43"/>
      <c r="R2211" s="43"/>
      <c r="S2211" s="43"/>
      <c r="T2211" s="43"/>
      <c r="U2211" s="43"/>
      <c r="V2211" s="43"/>
      <c r="W2211" s="43"/>
      <c r="X2211" s="43"/>
      <c r="Y2211" s="43"/>
      <c r="Z2211" s="43"/>
    </row>
    <row r="2212" spans="15:26" x14ac:dyDescent="0.25">
      <c r="O2212" s="43"/>
      <c r="P2212" s="43"/>
      <c r="Q2212" s="43"/>
      <c r="R2212" s="43"/>
      <c r="S2212" s="43"/>
      <c r="T2212" s="43"/>
      <c r="U2212" s="43"/>
      <c r="V2212" s="43"/>
      <c r="W2212" s="43"/>
      <c r="X2212" s="43"/>
      <c r="Y2212" s="43"/>
      <c r="Z2212" s="43"/>
    </row>
    <row r="2213" spans="15:26" x14ac:dyDescent="0.25">
      <c r="O2213" s="43"/>
      <c r="P2213" s="43"/>
      <c r="Q2213" s="43"/>
      <c r="R2213" s="43"/>
      <c r="S2213" s="43"/>
      <c r="T2213" s="43"/>
      <c r="U2213" s="43"/>
      <c r="V2213" s="43"/>
      <c r="W2213" s="43"/>
      <c r="X2213" s="43"/>
      <c r="Y2213" s="43"/>
      <c r="Z2213" s="43"/>
    </row>
    <row r="2214" spans="15:26" x14ac:dyDescent="0.25">
      <c r="O2214" s="43"/>
      <c r="P2214" s="43"/>
      <c r="Q2214" s="43"/>
      <c r="R2214" s="43"/>
      <c r="S2214" s="43"/>
      <c r="T2214" s="43"/>
      <c r="U2214" s="43"/>
      <c r="V2214" s="43"/>
      <c r="W2214" s="43"/>
      <c r="X2214" s="43"/>
      <c r="Y2214" s="43"/>
      <c r="Z2214" s="43"/>
    </row>
    <row r="2215" spans="15:26" x14ac:dyDescent="0.25">
      <c r="O2215" s="43"/>
      <c r="P2215" s="43"/>
      <c r="Q2215" s="43"/>
      <c r="R2215" s="43"/>
      <c r="S2215" s="43"/>
      <c r="T2215" s="43"/>
      <c r="U2215" s="43"/>
      <c r="V2215" s="43"/>
      <c r="W2215" s="43"/>
      <c r="X2215" s="43"/>
      <c r="Y2215" s="43"/>
      <c r="Z2215" s="43"/>
    </row>
    <row r="2216" spans="15:26" x14ac:dyDescent="0.25">
      <c r="O2216" s="43"/>
      <c r="P2216" s="43"/>
      <c r="Q2216" s="43"/>
      <c r="R2216" s="43"/>
      <c r="S2216" s="43"/>
      <c r="T2216" s="43"/>
      <c r="U2216" s="43"/>
      <c r="V2216" s="43"/>
      <c r="W2216" s="43"/>
      <c r="X2216" s="43"/>
      <c r="Y2216" s="43"/>
      <c r="Z2216" s="43"/>
    </row>
    <row r="2217" spans="15:26" x14ac:dyDescent="0.25">
      <c r="O2217" s="43"/>
      <c r="P2217" s="43"/>
      <c r="Q2217" s="43"/>
      <c r="R2217" s="43"/>
      <c r="S2217" s="43"/>
      <c r="T2217" s="43"/>
      <c r="U2217" s="43"/>
      <c r="V2217" s="43"/>
      <c r="W2217" s="43"/>
      <c r="X2217" s="43"/>
      <c r="Y2217" s="43"/>
      <c r="Z2217" s="43"/>
    </row>
    <row r="2218" spans="15:26" x14ac:dyDescent="0.25">
      <c r="O2218" s="43"/>
      <c r="P2218" s="43"/>
      <c r="Q2218" s="43"/>
      <c r="R2218" s="43"/>
      <c r="S2218" s="43"/>
      <c r="T2218" s="43"/>
      <c r="U2218" s="43"/>
      <c r="V2218" s="43"/>
      <c r="W2218" s="43"/>
      <c r="X2218" s="43"/>
      <c r="Y2218" s="43"/>
      <c r="Z2218" s="43"/>
    </row>
    <row r="2219" spans="15:26" x14ac:dyDescent="0.25">
      <c r="O2219" s="43"/>
      <c r="P2219" s="43"/>
      <c r="Q2219" s="43"/>
      <c r="R2219" s="43"/>
      <c r="S2219" s="43"/>
      <c r="T2219" s="43"/>
      <c r="U2219" s="43"/>
      <c r="V2219" s="43"/>
      <c r="W2219" s="43"/>
      <c r="X2219" s="43"/>
      <c r="Y2219" s="43"/>
      <c r="Z2219" s="43"/>
    </row>
    <row r="2220" spans="15:26" x14ac:dyDescent="0.25">
      <c r="O2220" s="43"/>
      <c r="P2220" s="43"/>
      <c r="Q2220" s="43"/>
      <c r="R2220" s="43"/>
      <c r="S2220" s="43"/>
      <c r="T2220" s="43"/>
      <c r="U2220" s="43"/>
      <c r="V2220" s="43"/>
      <c r="W2220" s="43"/>
      <c r="X2220" s="43"/>
      <c r="Y2220" s="43"/>
      <c r="Z2220" s="43"/>
    </row>
    <row r="2221" spans="15:26" x14ac:dyDescent="0.25">
      <c r="O2221" s="43"/>
      <c r="P2221" s="43"/>
      <c r="Q2221" s="43"/>
      <c r="R2221" s="43"/>
      <c r="S2221" s="43"/>
      <c r="T2221" s="43"/>
      <c r="U2221" s="43"/>
      <c r="V2221" s="43"/>
      <c r="W2221" s="43"/>
      <c r="X2221" s="43"/>
      <c r="Y2221" s="43"/>
      <c r="Z2221" s="43"/>
    </row>
    <row r="2222" spans="15:26" x14ac:dyDescent="0.25">
      <c r="O2222" s="43"/>
      <c r="P2222" s="43"/>
      <c r="Q2222" s="43"/>
      <c r="R2222" s="43"/>
      <c r="S2222" s="43"/>
      <c r="T2222" s="43"/>
      <c r="U2222" s="43"/>
      <c r="V2222" s="43"/>
      <c r="W2222" s="43"/>
      <c r="X2222" s="43"/>
      <c r="Y2222" s="43"/>
      <c r="Z2222" s="43"/>
    </row>
    <row r="2223" spans="15:26" x14ac:dyDescent="0.25">
      <c r="O2223" s="43"/>
      <c r="P2223" s="43"/>
      <c r="Q2223" s="43"/>
      <c r="R2223" s="43"/>
      <c r="S2223" s="43"/>
      <c r="T2223" s="43"/>
      <c r="U2223" s="43"/>
      <c r="V2223" s="43"/>
      <c r="W2223" s="43"/>
      <c r="X2223" s="43"/>
      <c r="Y2223" s="43"/>
      <c r="Z2223" s="43"/>
    </row>
    <row r="2224" spans="15:26" x14ac:dyDescent="0.25">
      <c r="O2224" s="43"/>
      <c r="P2224" s="43"/>
      <c r="Q2224" s="43"/>
      <c r="R2224" s="43"/>
      <c r="S2224" s="43"/>
      <c r="T2224" s="43"/>
      <c r="U2224" s="43"/>
      <c r="V2224" s="43"/>
      <c r="W2224" s="43"/>
      <c r="X2224" s="43"/>
      <c r="Y2224" s="43"/>
      <c r="Z2224" s="43"/>
    </row>
    <row r="2225" spans="15:26" x14ac:dyDescent="0.25">
      <c r="O2225" s="43"/>
      <c r="P2225" s="43"/>
      <c r="Q2225" s="43"/>
      <c r="R2225" s="43"/>
      <c r="S2225" s="43"/>
      <c r="T2225" s="43"/>
      <c r="U2225" s="43"/>
      <c r="V2225" s="43"/>
      <c r="W2225" s="43"/>
      <c r="X2225" s="43"/>
      <c r="Y2225" s="43"/>
      <c r="Z2225" s="43"/>
    </row>
    <row r="2226" spans="15:26" x14ac:dyDescent="0.25">
      <c r="O2226" s="43"/>
      <c r="P2226" s="43"/>
      <c r="Q2226" s="43"/>
      <c r="R2226" s="43"/>
      <c r="S2226" s="43"/>
      <c r="T2226" s="43"/>
      <c r="U2226" s="43"/>
      <c r="V2226" s="43"/>
      <c r="W2226" s="43"/>
      <c r="X2226" s="43"/>
      <c r="Y2226" s="43"/>
      <c r="Z2226" s="43"/>
    </row>
    <row r="2227" spans="15:26" x14ac:dyDescent="0.25">
      <c r="O2227" s="43"/>
      <c r="P2227" s="43"/>
      <c r="Q2227" s="43"/>
      <c r="R2227" s="43"/>
      <c r="S2227" s="43"/>
      <c r="T2227" s="43"/>
      <c r="U2227" s="43"/>
      <c r="V2227" s="43"/>
      <c r="W2227" s="43"/>
      <c r="X2227" s="43"/>
      <c r="Y2227" s="43"/>
      <c r="Z2227" s="43"/>
    </row>
    <row r="2228" spans="15:26" x14ac:dyDescent="0.25">
      <c r="O2228" s="43"/>
      <c r="P2228" s="43"/>
      <c r="Q2228" s="43"/>
      <c r="R2228" s="43"/>
      <c r="S2228" s="43"/>
      <c r="T2228" s="43"/>
      <c r="U2228" s="43"/>
      <c r="V2228" s="43"/>
      <c r="W2228" s="43"/>
      <c r="X2228" s="43"/>
      <c r="Y2228" s="43"/>
      <c r="Z2228" s="43"/>
    </row>
    <row r="2229" spans="15:26" x14ac:dyDescent="0.25">
      <c r="O2229" s="43"/>
      <c r="P2229" s="43"/>
      <c r="Q2229" s="43"/>
      <c r="R2229" s="43"/>
      <c r="S2229" s="43"/>
      <c r="T2229" s="43"/>
      <c r="U2229" s="43"/>
      <c r="V2229" s="43"/>
      <c r="W2229" s="43"/>
      <c r="X2229" s="43"/>
      <c r="Y2229" s="43"/>
      <c r="Z2229" s="43"/>
    </row>
    <row r="2230" spans="15:26" x14ac:dyDescent="0.25">
      <c r="O2230" s="43"/>
      <c r="P2230" s="43"/>
      <c r="Q2230" s="43"/>
      <c r="R2230" s="43"/>
      <c r="S2230" s="43"/>
      <c r="T2230" s="43"/>
      <c r="U2230" s="43"/>
      <c r="V2230" s="43"/>
      <c r="W2230" s="43"/>
      <c r="X2230" s="43"/>
      <c r="Y2230" s="43"/>
      <c r="Z2230" s="43"/>
    </row>
    <row r="2231" spans="15:26" x14ac:dyDescent="0.25">
      <c r="O2231" s="43"/>
      <c r="P2231" s="43"/>
      <c r="Q2231" s="43"/>
      <c r="R2231" s="43"/>
      <c r="S2231" s="43"/>
      <c r="T2231" s="43"/>
      <c r="U2231" s="43"/>
      <c r="V2231" s="43"/>
      <c r="W2231" s="43"/>
      <c r="X2231" s="43"/>
      <c r="Y2231" s="43"/>
      <c r="Z2231" s="43"/>
    </row>
    <row r="2232" spans="15:26" x14ac:dyDescent="0.25">
      <c r="O2232" s="43"/>
      <c r="P2232" s="43"/>
      <c r="Q2232" s="43"/>
      <c r="R2232" s="43"/>
      <c r="S2232" s="43"/>
      <c r="T2232" s="43"/>
      <c r="U2232" s="43"/>
      <c r="V2232" s="43"/>
      <c r="W2232" s="43"/>
      <c r="X2232" s="43"/>
      <c r="Y2232" s="43"/>
      <c r="Z2232" s="43"/>
    </row>
    <row r="2233" spans="15:26" x14ac:dyDescent="0.25">
      <c r="O2233" s="43"/>
      <c r="P2233" s="43"/>
      <c r="Q2233" s="43"/>
      <c r="R2233" s="43"/>
      <c r="S2233" s="43"/>
      <c r="T2233" s="43"/>
      <c r="U2233" s="43"/>
      <c r="V2233" s="43"/>
      <c r="W2233" s="43"/>
      <c r="X2233" s="43"/>
      <c r="Y2233" s="43"/>
      <c r="Z2233" s="43"/>
    </row>
    <row r="2234" spans="15:26" x14ac:dyDescent="0.25">
      <c r="O2234" s="43"/>
      <c r="P2234" s="43"/>
      <c r="Q2234" s="43"/>
      <c r="R2234" s="43"/>
      <c r="S2234" s="43"/>
      <c r="T2234" s="43"/>
      <c r="U2234" s="43"/>
      <c r="V2234" s="43"/>
      <c r="W2234" s="43"/>
      <c r="X2234" s="43"/>
      <c r="Y2234" s="43"/>
      <c r="Z2234" s="43"/>
    </row>
    <row r="2235" spans="15:26" x14ac:dyDescent="0.25">
      <c r="O2235" s="43"/>
      <c r="P2235" s="43"/>
      <c r="Q2235" s="43"/>
      <c r="R2235" s="43"/>
      <c r="S2235" s="43"/>
      <c r="T2235" s="43"/>
      <c r="U2235" s="43"/>
      <c r="V2235" s="43"/>
      <c r="W2235" s="43"/>
      <c r="X2235" s="43"/>
      <c r="Y2235" s="43"/>
      <c r="Z2235" s="43"/>
    </row>
    <row r="2236" spans="15:26" x14ac:dyDescent="0.25">
      <c r="O2236" s="43"/>
      <c r="P2236" s="43"/>
      <c r="Q2236" s="43"/>
      <c r="R2236" s="43"/>
      <c r="S2236" s="43"/>
      <c r="T2236" s="43"/>
      <c r="U2236" s="43"/>
      <c r="V2236" s="43"/>
      <c r="W2236" s="43"/>
      <c r="X2236" s="43"/>
      <c r="Y2236" s="43"/>
      <c r="Z2236" s="43"/>
    </row>
    <row r="2237" spans="15:26" x14ac:dyDescent="0.25">
      <c r="O2237" s="43"/>
      <c r="P2237" s="43"/>
      <c r="Q2237" s="43"/>
      <c r="R2237" s="43"/>
      <c r="S2237" s="43"/>
      <c r="T2237" s="43"/>
      <c r="U2237" s="43"/>
      <c r="V2237" s="43"/>
      <c r="W2237" s="43"/>
      <c r="X2237" s="43"/>
      <c r="Y2237" s="43"/>
      <c r="Z2237" s="43"/>
    </row>
    <row r="2238" spans="15:26" x14ac:dyDescent="0.25">
      <c r="O2238" s="43"/>
      <c r="P2238" s="43"/>
      <c r="Q2238" s="43"/>
      <c r="R2238" s="43"/>
      <c r="S2238" s="43"/>
      <c r="T2238" s="43"/>
      <c r="U2238" s="43"/>
      <c r="V2238" s="43"/>
      <c r="W2238" s="43"/>
      <c r="X2238" s="43"/>
      <c r="Y2238" s="43"/>
      <c r="Z2238" s="43"/>
    </row>
    <row r="2239" spans="15:26" x14ac:dyDescent="0.25">
      <c r="O2239" s="43"/>
      <c r="P2239" s="43"/>
      <c r="Q2239" s="43"/>
      <c r="R2239" s="43"/>
      <c r="S2239" s="43"/>
      <c r="T2239" s="43"/>
      <c r="U2239" s="43"/>
      <c r="V2239" s="43"/>
      <c r="W2239" s="43"/>
      <c r="X2239" s="43"/>
      <c r="Y2239" s="43"/>
      <c r="Z2239" s="43"/>
    </row>
    <row r="2240" spans="15:26" x14ac:dyDescent="0.25">
      <c r="O2240" s="43"/>
      <c r="P2240" s="43"/>
      <c r="Q2240" s="43"/>
      <c r="R2240" s="43"/>
      <c r="S2240" s="43"/>
      <c r="T2240" s="43"/>
      <c r="U2240" s="43"/>
      <c r="V2240" s="43"/>
      <c r="W2240" s="43"/>
      <c r="X2240" s="43"/>
      <c r="Y2240" s="43"/>
      <c r="Z2240" s="43"/>
    </row>
    <row r="2241" spans="15:26" x14ac:dyDescent="0.25">
      <c r="O2241" s="43"/>
      <c r="P2241" s="43"/>
      <c r="Q2241" s="43"/>
      <c r="R2241" s="43"/>
      <c r="S2241" s="43"/>
      <c r="T2241" s="43"/>
      <c r="U2241" s="43"/>
      <c r="V2241" s="43"/>
      <c r="W2241" s="43"/>
      <c r="X2241" s="43"/>
      <c r="Y2241" s="43"/>
      <c r="Z2241" s="43"/>
    </row>
    <row r="2242" spans="15:26" x14ac:dyDescent="0.25">
      <c r="O2242" s="43"/>
      <c r="P2242" s="43"/>
      <c r="Q2242" s="43"/>
      <c r="R2242" s="43"/>
      <c r="S2242" s="43"/>
      <c r="T2242" s="43"/>
      <c r="U2242" s="43"/>
      <c r="V2242" s="43"/>
      <c r="W2242" s="43"/>
      <c r="X2242" s="43"/>
      <c r="Y2242" s="43"/>
      <c r="Z2242" s="43"/>
    </row>
    <row r="2243" spans="15:26" x14ac:dyDescent="0.25">
      <c r="O2243" s="43"/>
      <c r="P2243" s="43"/>
      <c r="Q2243" s="43"/>
      <c r="R2243" s="43"/>
      <c r="S2243" s="43"/>
      <c r="T2243" s="43"/>
      <c r="U2243" s="43"/>
      <c r="V2243" s="43"/>
      <c r="W2243" s="43"/>
      <c r="X2243" s="43"/>
      <c r="Y2243" s="43"/>
      <c r="Z2243" s="43"/>
    </row>
    <row r="2244" spans="15:26" x14ac:dyDescent="0.25">
      <c r="O2244" s="43"/>
      <c r="P2244" s="43"/>
      <c r="Q2244" s="43"/>
      <c r="R2244" s="43"/>
      <c r="S2244" s="43"/>
      <c r="T2244" s="43"/>
      <c r="U2244" s="43"/>
      <c r="V2244" s="43"/>
      <c r="W2244" s="43"/>
      <c r="X2244" s="43"/>
      <c r="Y2244" s="43"/>
      <c r="Z2244" s="43"/>
    </row>
    <row r="2245" spans="15:26" x14ac:dyDescent="0.25">
      <c r="O2245" s="43"/>
      <c r="P2245" s="43"/>
      <c r="Q2245" s="43"/>
      <c r="R2245" s="43"/>
      <c r="S2245" s="43"/>
      <c r="T2245" s="43"/>
      <c r="U2245" s="43"/>
      <c r="V2245" s="43"/>
      <c r="W2245" s="43"/>
      <c r="X2245" s="43"/>
      <c r="Y2245" s="43"/>
      <c r="Z2245" s="43"/>
    </row>
    <row r="2246" spans="15:26" x14ac:dyDescent="0.25">
      <c r="O2246" s="43"/>
      <c r="P2246" s="43"/>
      <c r="Q2246" s="43"/>
      <c r="R2246" s="43"/>
      <c r="S2246" s="43"/>
      <c r="T2246" s="43"/>
      <c r="U2246" s="43"/>
      <c r="V2246" s="43"/>
      <c r="W2246" s="43"/>
      <c r="X2246" s="43"/>
      <c r="Y2246" s="43"/>
      <c r="Z2246" s="43"/>
    </row>
    <row r="2247" spans="15:26" x14ac:dyDescent="0.25">
      <c r="O2247" s="43"/>
      <c r="P2247" s="43"/>
      <c r="Q2247" s="43"/>
      <c r="R2247" s="43"/>
      <c r="S2247" s="43"/>
      <c r="T2247" s="43"/>
      <c r="U2247" s="43"/>
      <c r="V2247" s="43"/>
      <c r="W2247" s="43"/>
      <c r="X2247" s="43"/>
      <c r="Y2247" s="43"/>
      <c r="Z2247" s="43"/>
    </row>
    <row r="2248" spans="15:26" x14ac:dyDescent="0.25">
      <c r="O2248" s="43"/>
      <c r="P2248" s="43"/>
      <c r="Q2248" s="43"/>
      <c r="R2248" s="43"/>
      <c r="S2248" s="43"/>
      <c r="T2248" s="43"/>
      <c r="U2248" s="43"/>
      <c r="V2248" s="43"/>
      <c r="W2248" s="43"/>
      <c r="X2248" s="43"/>
      <c r="Y2248" s="43"/>
      <c r="Z2248" s="43"/>
    </row>
    <row r="2249" spans="15:26" x14ac:dyDescent="0.25">
      <c r="O2249" s="43"/>
      <c r="P2249" s="43"/>
      <c r="Q2249" s="43"/>
      <c r="R2249" s="43"/>
      <c r="S2249" s="43"/>
      <c r="T2249" s="43"/>
      <c r="U2249" s="43"/>
      <c r="V2249" s="43"/>
      <c r="W2249" s="43"/>
      <c r="X2249" s="43"/>
      <c r="Y2249" s="43"/>
      <c r="Z2249" s="43"/>
    </row>
    <row r="2250" spans="15:26" x14ac:dyDescent="0.25">
      <c r="O2250" s="43"/>
      <c r="P2250" s="43"/>
      <c r="Q2250" s="43"/>
      <c r="R2250" s="43"/>
      <c r="S2250" s="43"/>
      <c r="T2250" s="43"/>
      <c r="U2250" s="43"/>
      <c r="V2250" s="43"/>
      <c r="W2250" s="43"/>
      <c r="X2250" s="43"/>
      <c r="Y2250" s="43"/>
      <c r="Z2250" s="43"/>
    </row>
    <row r="2251" spans="15:26" x14ac:dyDescent="0.25">
      <c r="O2251" s="43"/>
      <c r="P2251" s="43"/>
      <c r="Q2251" s="43"/>
      <c r="R2251" s="43"/>
      <c r="S2251" s="43"/>
      <c r="T2251" s="43"/>
      <c r="U2251" s="43"/>
      <c r="V2251" s="43"/>
      <c r="W2251" s="43"/>
      <c r="X2251" s="43"/>
      <c r="Y2251" s="43"/>
      <c r="Z2251" s="43"/>
    </row>
    <row r="2252" spans="15:26" x14ac:dyDescent="0.25">
      <c r="O2252" s="43"/>
      <c r="P2252" s="43"/>
      <c r="Q2252" s="43"/>
      <c r="R2252" s="43"/>
      <c r="S2252" s="43"/>
      <c r="T2252" s="43"/>
      <c r="U2252" s="43"/>
      <c r="V2252" s="43"/>
      <c r="W2252" s="43"/>
      <c r="X2252" s="43"/>
      <c r="Y2252" s="43"/>
      <c r="Z2252" s="43"/>
    </row>
    <row r="2253" spans="15:26" x14ac:dyDescent="0.25">
      <c r="O2253" s="43"/>
      <c r="P2253" s="43"/>
      <c r="Q2253" s="43"/>
      <c r="R2253" s="43"/>
      <c r="S2253" s="43"/>
      <c r="T2253" s="43"/>
      <c r="U2253" s="43"/>
      <c r="V2253" s="43"/>
      <c r="W2253" s="43"/>
      <c r="X2253" s="43"/>
      <c r="Y2253" s="43"/>
      <c r="Z2253" s="43"/>
    </row>
    <row r="2254" spans="15:26" x14ac:dyDescent="0.25">
      <c r="O2254" s="43"/>
      <c r="P2254" s="43"/>
      <c r="Q2254" s="43"/>
      <c r="R2254" s="43"/>
      <c r="S2254" s="43"/>
      <c r="T2254" s="43"/>
      <c r="U2254" s="43"/>
      <c r="V2254" s="43"/>
      <c r="W2254" s="43"/>
      <c r="X2254" s="43"/>
      <c r="Y2254" s="43"/>
      <c r="Z2254" s="43"/>
    </row>
    <row r="2255" spans="15:26" x14ac:dyDescent="0.25">
      <c r="O2255" s="43"/>
      <c r="P2255" s="43"/>
      <c r="Q2255" s="43"/>
      <c r="R2255" s="43"/>
      <c r="S2255" s="43"/>
      <c r="T2255" s="43"/>
      <c r="U2255" s="43"/>
      <c r="V2255" s="43"/>
      <c r="W2255" s="43"/>
      <c r="X2255" s="43"/>
      <c r="Y2255" s="43"/>
      <c r="Z2255" s="43"/>
    </row>
    <row r="2256" spans="15:26" x14ac:dyDescent="0.25">
      <c r="O2256" s="43"/>
      <c r="P2256" s="43"/>
      <c r="Q2256" s="43"/>
      <c r="R2256" s="43"/>
      <c r="S2256" s="43"/>
      <c r="T2256" s="43"/>
      <c r="U2256" s="43"/>
      <c r="V2256" s="43"/>
      <c r="W2256" s="43"/>
      <c r="X2256" s="43"/>
      <c r="Y2256" s="43"/>
      <c r="Z2256" s="43"/>
    </row>
    <row r="2257" spans="15:26" x14ac:dyDescent="0.25">
      <c r="O2257" s="43"/>
      <c r="P2257" s="43"/>
      <c r="Q2257" s="43"/>
      <c r="R2257" s="43"/>
      <c r="S2257" s="43"/>
      <c r="T2257" s="43"/>
      <c r="U2257" s="43"/>
      <c r="V2257" s="43"/>
      <c r="W2257" s="43"/>
      <c r="X2257" s="43"/>
      <c r="Y2257" s="43"/>
      <c r="Z2257" s="43"/>
    </row>
    <row r="2258" spans="15:26" x14ac:dyDescent="0.25">
      <c r="O2258" s="43"/>
      <c r="P2258" s="43"/>
      <c r="Q2258" s="43"/>
      <c r="R2258" s="43"/>
      <c r="S2258" s="43"/>
      <c r="T2258" s="43"/>
      <c r="U2258" s="43"/>
      <c r="V2258" s="43"/>
      <c r="W2258" s="43"/>
      <c r="X2258" s="43"/>
      <c r="Y2258" s="43"/>
      <c r="Z2258" s="43"/>
    </row>
    <row r="2259" spans="15:26" x14ac:dyDescent="0.25">
      <c r="O2259" s="43"/>
      <c r="P2259" s="43"/>
      <c r="Q2259" s="43"/>
      <c r="R2259" s="43"/>
      <c r="S2259" s="43"/>
      <c r="T2259" s="43"/>
      <c r="U2259" s="43"/>
      <c r="V2259" s="43"/>
      <c r="W2259" s="43"/>
      <c r="X2259" s="43"/>
      <c r="Y2259" s="43"/>
      <c r="Z2259" s="43"/>
    </row>
    <row r="2260" spans="15:26" x14ac:dyDescent="0.25">
      <c r="O2260" s="43"/>
      <c r="P2260" s="43"/>
      <c r="Q2260" s="43"/>
      <c r="R2260" s="43"/>
      <c r="S2260" s="43"/>
      <c r="T2260" s="43"/>
      <c r="U2260" s="43"/>
      <c r="V2260" s="43"/>
      <c r="W2260" s="43"/>
      <c r="X2260" s="43"/>
      <c r="Y2260" s="43"/>
      <c r="Z2260" s="43"/>
    </row>
    <row r="2261" spans="15:26" x14ac:dyDescent="0.25">
      <c r="O2261" s="43"/>
      <c r="P2261" s="43"/>
      <c r="Q2261" s="43"/>
      <c r="R2261" s="43"/>
      <c r="S2261" s="43"/>
      <c r="T2261" s="43"/>
      <c r="U2261" s="43"/>
      <c r="V2261" s="43"/>
      <c r="W2261" s="43"/>
      <c r="X2261" s="43"/>
      <c r="Y2261" s="43"/>
      <c r="Z2261" s="43"/>
    </row>
    <row r="2262" spans="15:26" x14ac:dyDescent="0.25">
      <c r="O2262" s="43"/>
      <c r="P2262" s="43"/>
      <c r="Q2262" s="43"/>
      <c r="R2262" s="43"/>
      <c r="S2262" s="43"/>
      <c r="T2262" s="43"/>
      <c r="U2262" s="43"/>
      <c r="V2262" s="43"/>
      <c r="W2262" s="43"/>
      <c r="X2262" s="43"/>
      <c r="Y2262" s="43"/>
      <c r="Z2262" s="43"/>
    </row>
    <row r="2263" spans="15:26" x14ac:dyDescent="0.25">
      <c r="O2263" s="43"/>
      <c r="P2263" s="43"/>
      <c r="Q2263" s="43"/>
      <c r="R2263" s="43"/>
      <c r="S2263" s="43"/>
      <c r="T2263" s="43"/>
      <c r="U2263" s="43"/>
      <c r="V2263" s="43"/>
      <c r="W2263" s="43"/>
      <c r="X2263" s="43"/>
      <c r="Y2263" s="43"/>
      <c r="Z2263" s="43"/>
    </row>
    <row r="2264" spans="15:26" x14ac:dyDescent="0.25">
      <c r="O2264" s="43"/>
      <c r="P2264" s="43"/>
      <c r="Q2264" s="43"/>
      <c r="R2264" s="43"/>
      <c r="S2264" s="43"/>
      <c r="T2264" s="43"/>
      <c r="U2264" s="43"/>
      <c r="V2264" s="43"/>
      <c r="W2264" s="43"/>
      <c r="X2264" s="43"/>
      <c r="Y2264" s="43"/>
      <c r="Z2264" s="43"/>
    </row>
    <row r="2265" spans="15:26" x14ac:dyDescent="0.25">
      <c r="O2265" s="43"/>
      <c r="P2265" s="43"/>
      <c r="Q2265" s="43"/>
      <c r="R2265" s="43"/>
      <c r="S2265" s="43"/>
      <c r="T2265" s="43"/>
      <c r="U2265" s="43"/>
      <c r="V2265" s="43"/>
      <c r="W2265" s="43"/>
      <c r="X2265" s="43"/>
      <c r="Y2265" s="43"/>
      <c r="Z2265" s="43"/>
    </row>
    <row r="2266" spans="15:26" x14ac:dyDescent="0.25">
      <c r="O2266" s="43"/>
      <c r="P2266" s="43"/>
      <c r="Q2266" s="43"/>
      <c r="R2266" s="43"/>
      <c r="S2266" s="43"/>
      <c r="T2266" s="43"/>
      <c r="U2266" s="43"/>
      <c r="V2266" s="43"/>
      <c r="W2266" s="43"/>
      <c r="X2266" s="43"/>
      <c r="Y2266" s="43"/>
      <c r="Z2266" s="43"/>
    </row>
    <row r="2267" spans="15:26" x14ac:dyDescent="0.25">
      <c r="O2267" s="43"/>
      <c r="P2267" s="43"/>
      <c r="Q2267" s="43"/>
      <c r="R2267" s="43"/>
      <c r="S2267" s="43"/>
      <c r="T2267" s="43"/>
      <c r="U2267" s="43"/>
      <c r="V2267" s="43"/>
      <c r="W2267" s="43"/>
      <c r="X2267" s="43"/>
      <c r="Y2267" s="43"/>
      <c r="Z2267" s="43"/>
    </row>
    <row r="2268" spans="15:26" x14ac:dyDescent="0.25">
      <c r="O2268" s="43"/>
      <c r="P2268" s="43"/>
      <c r="Q2268" s="43"/>
      <c r="R2268" s="43"/>
      <c r="S2268" s="43"/>
      <c r="T2268" s="43"/>
      <c r="U2268" s="43"/>
      <c r="V2268" s="43"/>
      <c r="W2268" s="43"/>
      <c r="X2268" s="43"/>
      <c r="Y2268" s="43"/>
      <c r="Z2268" s="43"/>
    </row>
    <row r="2269" spans="15:26" x14ac:dyDescent="0.25">
      <c r="O2269" s="43"/>
      <c r="P2269" s="43"/>
      <c r="Q2269" s="43"/>
      <c r="R2269" s="43"/>
      <c r="S2269" s="43"/>
      <c r="T2269" s="43"/>
      <c r="U2269" s="43"/>
      <c r="V2269" s="43"/>
      <c r="W2269" s="43"/>
      <c r="X2269" s="43"/>
      <c r="Y2269" s="43"/>
      <c r="Z2269" s="43"/>
    </row>
    <row r="2270" spans="15:26" x14ac:dyDescent="0.25">
      <c r="O2270" s="43"/>
      <c r="P2270" s="43"/>
      <c r="Q2270" s="43"/>
      <c r="R2270" s="43"/>
      <c r="S2270" s="43"/>
      <c r="T2270" s="43"/>
      <c r="U2270" s="43"/>
      <c r="V2270" s="43"/>
      <c r="W2270" s="43"/>
      <c r="X2270" s="43"/>
      <c r="Y2270" s="43"/>
      <c r="Z2270" s="43"/>
    </row>
    <row r="2271" spans="15:26" x14ac:dyDescent="0.25">
      <c r="O2271" s="43"/>
      <c r="P2271" s="43"/>
      <c r="Q2271" s="43"/>
      <c r="R2271" s="43"/>
      <c r="S2271" s="43"/>
      <c r="T2271" s="43"/>
      <c r="U2271" s="43"/>
      <c r="V2271" s="43"/>
      <c r="W2271" s="43"/>
      <c r="X2271" s="43"/>
      <c r="Y2271" s="43"/>
      <c r="Z2271" s="43"/>
    </row>
    <row r="2272" spans="15:26" x14ac:dyDescent="0.25">
      <c r="O2272" s="43"/>
      <c r="P2272" s="43"/>
      <c r="Q2272" s="43"/>
      <c r="R2272" s="43"/>
      <c r="S2272" s="43"/>
      <c r="T2272" s="43"/>
      <c r="U2272" s="43"/>
      <c r="V2272" s="43"/>
      <c r="W2272" s="43"/>
      <c r="X2272" s="43"/>
      <c r="Y2272" s="43"/>
      <c r="Z2272" s="43"/>
    </row>
    <row r="2273" spans="15:26" x14ac:dyDescent="0.25">
      <c r="O2273" s="43"/>
      <c r="P2273" s="43"/>
      <c r="Q2273" s="43"/>
      <c r="R2273" s="43"/>
      <c r="S2273" s="43"/>
      <c r="T2273" s="43"/>
      <c r="U2273" s="43"/>
      <c r="V2273" s="43"/>
      <c r="W2273" s="43"/>
      <c r="X2273" s="43"/>
      <c r="Y2273" s="43"/>
      <c r="Z2273" s="43"/>
    </row>
    <row r="2274" spans="15:26" x14ac:dyDescent="0.25">
      <c r="O2274" s="43"/>
      <c r="P2274" s="43"/>
      <c r="Q2274" s="43"/>
      <c r="R2274" s="43"/>
      <c r="S2274" s="43"/>
      <c r="T2274" s="43"/>
      <c r="U2274" s="43"/>
      <c r="V2274" s="43"/>
      <c r="W2274" s="43"/>
      <c r="X2274" s="43"/>
      <c r="Y2274" s="43"/>
      <c r="Z2274" s="43"/>
    </row>
    <row r="2275" spans="15:26" x14ac:dyDescent="0.25">
      <c r="O2275" s="43"/>
      <c r="P2275" s="43"/>
      <c r="Q2275" s="43"/>
      <c r="R2275" s="43"/>
      <c r="S2275" s="43"/>
      <c r="T2275" s="43"/>
      <c r="U2275" s="43"/>
      <c r="V2275" s="43"/>
      <c r="W2275" s="43"/>
      <c r="X2275" s="43"/>
      <c r="Y2275" s="43"/>
      <c r="Z2275" s="43"/>
    </row>
    <row r="2276" spans="15:26" x14ac:dyDescent="0.25">
      <c r="O2276" s="43"/>
      <c r="P2276" s="43"/>
      <c r="Q2276" s="43"/>
      <c r="R2276" s="43"/>
      <c r="S2276" s="43"/>
      <c r="T2276" s="43"/>
      <c r="U2276" s="43"/>
      <c r="V2276" s="43"/>
      <c r="W2276" s="43"/>
      <c r="X2276" s="43"/>
      <c r="Y2276" s="43"/>
      <c r="Z2276" s="43"/>
    </row>
    <row r="2277" spans="15:26" x14ac:dyDescent="0.25">
      <c r="O2277" s="43"/>
      <c r="P2277" s="43"/>
      <c r="Q2277" s="43"/>
      <c r="R2277" s="43"/>
      <c r="S2277" s="43"/>
      <c r="T2277" s="43"/>
      <c r="U2277" s="43"/>
      <c r="V2277" s="43"/>
      <c r="W2277" s="43"/>
      <c r="X2277" s="43"/>
      <c r="Y2277" s="43"/>
      <c r="Z2277" s="43"/>
    </row>
    <row r="2278" spans="15:26" x14ac:dyDescent="0.25">
      <c r="O2278" s="43"/>
      <c r="P2278" s="43"/>
      <c r="Q2278" s="43"/>
      <c r="R2278" s="43"/>
      <c r="S2278" s="43"/>
      <c r="T2278" s="43"/>
      <c r="U2278" s="43"/>
      <c r="V2278" s="43"/>
      <c r="W2278" s="43"/>
      <c r="X2278" s="43"/>
      <c r="Y2278" s="43"/>
      <c r="Z2278" s="43"/>
    </row>
    <row r="2279" spans="15:26" x14ac:dyDescent="0.25">
      <c r="O2279" s="43"/>
      <c r="P2279" s="43"/>
      <c r="Q2279" s="43"/>
      <c r="R2279" s="43"/>
      <c r="S2279" s="43"/>
      <c r="T2279" s="43"/>
      <c r="U2279" s="43"/>
      <c r="V2279" s="43"/>
      <c r="W2279" s="43"/>
      <c r="X2279" s="43"/>
      <c r="Y2279" s="43"/>
      <c r="Z2279" s="43"/>
    </row>
    <row r="2280" spans="15:26" x14ac:dyDescent="0.25">
      <c r="O2280" s="43"/>
      <c r="P2280" s="43"/>
      <c r="Q2280" s="43"/>
      <c r="R2280" s="43"/>
      <c r="S2280" s="43"/>
      <c r="T2280" s="43"/>
      <c r="U2280" s="43"/>
      <c r="V2280" s="43"/>
      <c r="W2280" s="43"/>
      <c r="X2280" s="43"/>
      <c r="Y2280" s="43"/>
      <c r="Z2280" s="43"/>
    </row>
    <row r="2281" spans="15:26" x14ac:dyDescent="0.25">
      <c r="O2281" s="43"/>
      <c r="P2281" s="43"/>
      <c r="Q2281" s="43"/>
      <c r="R2281" s="43"/>
      <c r="S2281" s="43"/>
      <c r="T2281" s="43"/>
      <c r="U2281" s="43"/>
      <c r="V2281" s="43"/>
      <c r="W2281" s="43"/>
      <c r="X2281" s="43"/>
      <c r="Y2281" s="43"/>
      <c r="Z2281" s="43"/>
    </row>
    <row r="2282" spans="15:26" x14ac:dyDescent="0.25">
      <c r="O2282" s="43"/>
      <c r="P2282" s="43"/>
      <c r="Q2282" s="43"/>
      <c r="R2282" s="43"/>
      <c r="S2282" s="43"/>
      <c r="T2282" s="43"/>
      <c r="U2282" s="43"/>
      <c r="V2282" s="43"/>
      <c r="W2282" s="43"/>
      <c r="X2282" s="43"/>
      <c r="Y2282" s="43"/>
      <c r="Z2282" s="43"/>
    </row>
    <row r="2283" spans="15:26" x14ac:dyDescent="0.25">
      <c r="O2283" s="43"/>
      <c r="P2283" s="43"/>
      <c r="Q2283" s="43"/>
      <c r="R2283" s="43"/>
      <c r="S2283" s="43"/>
      <c r="T2283" s="43"/>
      <c r="U2283" s="43"/>
      <c r="V2283" s="43"/>
      <c r="W2283" s="43"/>
      <c r="X2283" s="43"/>
      <c r="Y2283" s="43"/>
      <c r="Z2283" s="43"/>
    </row>
    <row r="2284" spans="15:26" x14ac:dyDescent="0.25">
      <c r="O2284" s="43"/>
      <c r="P2284" s="43"/>
      <c r="Q2284" s="43"/>
      <c r="R2284" s="43"/>
      <c r="S2284" s="43"/>
      <c r="T2284" s="43"/>
      <c r="U2284" s="43"/>
      <c r="V2284" s="43"/>
      <c r="W2284" s="43"/>
      <c r="X2284" s="43"/>
      <c r="Y2284" s="43"/>
      <c r="Z2284" s="43"/>
    </row>
    <row r="2285" spans="15:26" x14ac:dyDescent="0.25">
      <c r="O2285" s="43"/>
      <c r="P2285" s="43"/>
      <c r="Q2285" s="43"/>
      <c r="R2285" s="43"/>
      <c r="S2285" s="43"/>
      <c r="T2285" s="43"/>
      <c r="U2285" s="43"/>
      <c r="V2285" s="43"/>
      <c r="W2285" s="43"/>
      <c r="X2285" s="43"/>
      <c r="Y2285" s="43"/>
      <c r="Z2285" s="43"/>
    </row>
    <row r="2286" spans="15:26" x14ac:dyDescent="0.25">
      <c r="O2286" s="43"/>
      <c r="P2286" s="43"/>
      <c r="Q2286" s="43"/>
      <c r="R2286" s="43"/>
      <c r="S2286" s="43"/>
      <c r="T2286" s="43"/>
      <c r="U2286" s="43"/>
      <c r="V2286" s="43"/>
      <c r="W2286" s="43"/>
      <c r="X2286" s="43"/>
      <c r="Y2286" s="43"/>
      <c r="Z2286" s="43"/>
    </row>
    <row r="2287" spans="15:26" x14ac:dyDescent="0.25">
      <c r="O2287" s="43"/>
      <c r="P2287" s="43"/>
      <c r="Q2287" s="43"/>
      <c r="R2287" s="43"/>
      <c r="S2287" s="43"/>
      <c r="T2287" s="43"/>
      <c r="U2287" s="43"/>
      <c r="V2287" s="43"/>
      <c r="W2287" s="43"/>
      <c r="X2287" s="43"/>
      <c r="Y2287" s="43"/>
      <c r="Z2287" s="43"/>
    </row>
    <row r="2288" spans="15:26" x14ac:dyDescent="0.25">
      <c r="O2288" s="43"/>
      <c r="P2288" s="43"/>
      <c r="Q2288" s="43"/>
      <c r="R2288" s="43"/>
      <c r="S2288" s="43"/>
      <c r="T2288" s="43"/>
      <c r="U2288" s="43"/>
      <c r="V2288" s="43"/>
      <c r="W2288" s="43"/>
      <c r="X2288" s="43"/>
      <c r="Y2288" s="43"/>
      <c r="Z2288" s="43"/>
    </row>
    <row r="2289" spans="15:26" x14ac:dyDescent="0.25">
      <c r="O2289" s="43"/>
      <c r="P2289" s="43"/>
      <c r="Q2289" s="43"/>
      <c r="R2289" s="43"/>
      <c r="S2289" s="43"/>
      <c r="T2289" s="43"/>
      <c r="U2289" s="43"/>
      <c r="V2289" s="43"/>
      <c r="W2289" s="43"/>
      <c r="X2289" s="43"/>
      <c r="Y2289" s="43"/>
      <c r="Z2289" s="43"/>
    </row>
    <row r="2290" spans="15:26" x14ac:dyDescent="0.25">
      <c r="O2290" s="43"/>
      <c r="P2290" s="43"/>
      <c r="Q2290" s="43"/>
      <c r="R2290" s="43"/>
      <c r="S2290" s="43"/>
      <c r="T2290" s="43"/>
      <c r="U2290" s="43"/>
      <c r="V2290" s="43"/>
      <c r="W2290" s="43"/>
      <c r="X2290" s="43"/>
      <c r="Y2290" s="43"/>
      <c r="Z2290" s="43"/>
    </row>
    <row r="2291" spans="15:26" x14ac:dyDescent="0.25">
      <c r="O2291" s="43"/>
      <c r="P2291" s="43"/>
      <c r="Q2291" s="43"/>
      <c r="R2291" s="43"/>
      <c r="S2291" s="43"/>
      <c r="T2291" s="43"/>
      <c r="U2291" s="43"/>
      <c r="V2291" s="43"/>
      <c r="W2291" s="43"/>
      <c r="X2291" s="43"/>
      <c r="Y2291" s="43"/>
      <c r="Z2291" s="43"/>
    </row>
    <row r="2292" spans="15:26" x14ac:dyDescent="0.25">
      <c r="O2292" s="43"/>
      <c r="P2292" s="43"/>
      <c r="Q2292" s="43"/>
      <c r="R2292" s="43"/>
      <c r="S2292" s="43"/>
      <c r="T2292" s="43"/>
      <c r="U2292" s="43"/>
      <c r="V2292" s="43"/>
      <c r="W2292" s="43"/>
      <c r="X2292" s="43"/>
      <c r="Y2292" s="43"/>
      <c r="Z2292" s="43"/>
    </row>
    <row r="2293" spans="15:26" x14ac:dyDescent="0.25">
      <c r="O2293" s="43"/>
      <c r="P2293" s="43"/>
      <c r="Q2293" s="43"/>
      <c r="R2293" s="43"/>
      <c r="S2293" s="43"/>
      <c r="T2293" s="43"/>
      <c r="U2293" s="43"/>
      <c r="V2293" s="43"/>
      <c r="W2293" s="43"/>
      <c r="X2293" s="43"/>
      <c r="Y2293" s="43"/>
      <c r="Z2293" s="43"/>
    </row>
    <row r="2294" spans="15:26" x14ac:dyDescent="0.25">
      <c r="O2294" s="43"/>
      <c r="P2294" s="43"/>
      <c r="Q2294" s="43"/>
      <c r="R2294" s="43"/>
      <c r="S2294" s="43"/>
      <c r="T2294" s="43"/>
      <c r="U2294" s="43"/>
      <c r="V2294" s="43"/>
      <c r="W2294" s="43"/>
      <c r="X2294" s="43"/>
      <c r="Y2294" s="43"/>
      <c r="Z2294" s="43"/>
    </row>
    <row r="2295" spans="15:26" x14ac:dyDescent="0.25">
      <c r="O2295" s="43"/>
      <c r="P2295" s="43"/>
      <c r="Q2295" s="43"/>
      <c r="R2295" s="43"/>
      <c r="S2295" s="43"/>
      <c r="T2295" s="43"/>
      <c r="U2295" s="43"/>
      <c r="V2295" s="43"/>
      <c r="W2295" s="43"/>
      <c r="X2295" s="43"/>
      <c r="Y2295" s="43"/>
      <c r="Z2295" s="43"/>
    </row>
    <row r="2296" spans="15:26" x14ac:dyDescent="0.25">
      <c r="O2296" s="43"/>
      <c r="P2296" s="43"/>
      <c r="Q2296" s="43"/>
      <c r="R2296" s="43"/>
      <c r="S2296" s="43"/>
      <c r="T2296" s="43"/>
      <c r="U2296" s="43"/>
      <c r="V2296" s="43"/>
      <c r="W2296" s="43"/>
      <c r="X2296" s="43"/>
      <c r="Y2296" s="43"/>
      <c r="Z2296" s="43"/>
    </row>
    <row r="2297" spans="15:26" x14ac:dyDescent="0.25">
      <c r="O2297" s="43"/>
      <c r="P2297" s="43"/>
      <c r="Q2297" s="43"/>
      <c r="R2297" s="43"/>
      <c r="S2297" s="43"/>
      <c r="T2297" s="43"/>
      <c r="U2297" s="43"/>
      <c r="V2297" s="43"/>
      <c r="W2297" s="43"/>
      <c r="X2297" s="43"/>
      <c r="Y2297" s="43"/>
      <c r="Z2297" s="43"/>
    </row>
    <row r="2298" spans="15:26" x14ac:dyDescent="0.25">
      <c r="O2298" s="43"/>
      <c r="P2298" s="43"/>
      <c r="Q2298" s="43"/>
      <c r="R2298" s="43"/>
      <c r="S2298" s="43"/>
      <c r="T2298" s="43"/>
      <c r="U2298" s="43"/>
      <c r="V2298" s="43"/>
      <c r="W2298" s="43"/>
      <c r="X2298" s="43"/>
      <c r="Y2298" s="43"/>
      <c r="Z2298" s="43"/>
    </row>
    <row r="2299" spans="15:26" x14ac:dyDescent="0.25">
      <c r="O2299" s="43"/>
      <c r="P2299" s="43"/>
      <c r="Q2299" s="43"/>
      <c r="R2299" s="43"/>
      <c r="S2299" s="43"/>
      <c r="T2299" s="43"/>
      <c r="U2299" s="43"/>
      <c r="V2299" s="43"/>
      <c r="W2299" s="43"/>
      <c r="X2299" s="43"/>
      <c r="Y2299" s="43"/>
      <c r="Z2299" s="43"/>
    </row>
    <row r="2300" spans="15:26" x14ac:dyDescent="0.25">
      <c r="O2300" s="43"/>
      <c r="P2300" s="43"/>
      <c r="Q2300" s="43"/>
      <c r="R2300" s="43"/>
      <c r="S2300" s="43"/>
      <c r="T2300" s="43"/>
      <c r="U2300" s="43"/>
      <c r="V2300" s="43"/>
      <c r="W2300" s="43"/>
      <c r="X2300" s="43"/>
      <c r="Y2300" s="43"/>
      <c r="Z2300" s="43"/>
    </row>
    <row r="2301" spans="15:26" x14ac:dyDescent="0.25">
      <c r="O2301" s="43"/>
      <c r="P2301" s="43"/>
      <c r="Q2301" s="43"/>
      <c r="R2301" s="43"/>
      <c r="S2301" s="43"/>
      <c r="T2301" s="43"/>
      <c r="U2301" s="43"/>
      <c r="V2301" s="43"/>
      <c r="W2301" s="43"/>
      <c r="X2301" s="43"/>
      <c r="Y2301" s="43"/>
      <c r="Z2301" s="43"/>
    </row>
    <row r="2302" spans="15:26" x14ac:dyDescent="0.25">
      <c r="O2302" s="43"/>
      <c r="P2302" s="43"/>
      <c r="Q2302" s="43"/>
      <c r="R2302" s="43"/>
      <c r="S2302" s="43"/>
      <c r="T2302" s="43"/>
      <c r="U2302" s="43"/>
      <c r="V2302" s="43"/>
      <c r="W2302" s="43"/>
      <c r="X2302" s="43"/>
      <c r="Y2302" s="43"/>
      <c r="Z2302" s="43"/>
    </row>
    <row r="2303" spans="15:26" x14ac:dyDescent="0.25">
      <c r="O2303" s="43"/>
      <c r="P2303" s="43"/>
      <c r="Q2303" s="43"/>
      <c r="R2303" s="43"/>
      <c r="S2303" s="43"/>
      <c r="T2303" s="43"/>
      <c r="U2303" s="43"/>
      <c r="V2303" s="43"/>
      <c r="W2303" s="43"/>
      <c r="X2303" s="43"/>
      <c r="Y2303" s="43"/>
      <c r="Z2303" s="43"/>
    </row>
    <row r="2304" spans="15:26" x14ac:dyDescent="0.25">
      <c r="O2304" s="43"/>
      <c r="P2304" s="43"/>
      <c r="Q2304" s="43"/>
      <c r="R2304" s="43"/>
      <c r="S2304" s="43"/>
      <c r="T2304" s="43"/>
      <c r="U2304" s="43"/>
      <c r="V2304" s="43"/>
      <c r="W2304" s="43"/>
      <c r="X2304" s="43"/>
      <c r="Y2304" s="43"/>
      <c r="Z2304" s="43"/>
    </row>
    <row r="2305" spans="15:26" x14ac:dyDescent="0.25">
      <c r="O2305" s="43"/>
      <c r="P2305" s="43"/>
      <c r="Q2305" s="43"/>
      <c r="R2305" s="43"/>
      <c r="S2305" s="43"/>
      <c r="T2305" s="43"/>
      <c r="U2305" s="43"/>
      <c r="V2305" s="43"/>
      <c r="W2305" s="43"/>
      <c r="X2305" s="43"/>
      <c r="Y2305" s="43"/>
      <c r="Z2305" s="43"/>
    </row>
    <row r="2306" spans="15:26" x14ac:dyDescent="0.25">
      <c r="O2306" s="43"/>
      <c r="P2306" s="43"/>
      <c r="Q2306" s="43"/>
      <c r="R2306" s="43"/>
      <c r="S2306" s="43"/>
      <c r="T2306" s="43"/>
      <c r="U2306" s="43"/>
      <c r="V2306" s="43"/>
      <c r="W2306" s="43"/>
      <c r="X2306" s="43"/>
      <c r="Y2306" s="43"/>
      <c r="Z2306" s="43"/>
    </row>
    <row r="2307" spans="15:26" x14ac:dyDescent="0.25">
      <c r="O2307" s="43"/>
      <c r="P2307" s="43"/>
      <c r="Q2307" s="43"/>
      <c r="R2307" s="43"/>
      <c r="S2307" s="43"/>
      <c r="T2307" s="43"/>
      <c r="U2307" s="43"/>
      <c r="V2307" s="43"/>
      <c r="W2307" s="43"/>
      <c r="X2307" s="43"/>
      <c r="Y2307" s="43"/>
      <c r="Z2307" s="43"/>
    </row>
    <row r="2308" spans="15:26" x14ac:dyDescent="0.25">
      <c r="O2308" s="43"/>
      <c r="P2308" s="43"/>
      <c r="Q2308" s="43"/>
      <c r="R2308" s="43"/>
      <c r="S2308" s="43"/>
      <c r="T2308" s="43"/>
      <c r="U2308" s="43"/>
      <c r="V2308" s="43"/>
      <c r="W2308" s="43"/>
      <c r="X2308" s="43"/>
      <c r="Y2308" s="43"/>
      <c r="Z2308" s="43"/>
    </row>
    <row r="2309" spans="15:26" x14ac:dyDescent="0.25">
      <c r="O2309" s="43"/>
      <c r="P2309" s="43"/>
      <c r="Q2309" s="43"/>
      <c r="R2309" s="43"/>
      <c r="S2309" s="43"/>
      <c r="T2309" s="43"/>
      <c r="U2309" s="43"/>
      <c r="V2309" s="43"/>
      <c r="W2309" s="43"/>
      <c r="X2309" s="43"/>
      <c r="Y2309" s="43"/>
      <c r="Z2309" s="43"/>
    </row>
    <row r="2310" spans="15:26" x14ac:dyDescent="0.25">
      <c r="O2310" s="43"/>
      <c r="P2310" s="43"/>
      <c r="Q2310" s="43"/>
      <c r="R2310" s="43"/>
      <c r="S2310" s="43"/>
      <c r="T2310" s="43"/>
      <c r="U2310" s="43"/>
      <c r="V2310" s="43"/>
      <c r="W2310" s="43"/>
      <c r="X2310" s="43"/>
      <c r="Y2310" s="43"/>
      <c r="Z2310" s="43"/>
    </row>
    <row r="2311" spans="15:26" x14ac:dyDescent="0.25">
      <c r="O2311" s="43"/>
      <c r="P2311" s="43"/>
      <c r="Q2311" s="43"/>
      <c r="R2311" s="43"/>
      <c r="S2311" s="43"/>
      <c r="T2311" s="43"/>
      <c r="U2311" s="43"/>
      <c r="V2311" s="43"/>
      <c r="W2311" s="43"/>
      <c r="X2311" s="43"/>
      <c r="Y2311" s="43"/>
      <c r="Z2311" s="43"/>
    </row>
    <row r="2312" spans="15:26" x14ac:dyDescent="0.25">
      <c r="O2312" s="43"/>
      <c r="P2312" s="43"/>
      <c r="Q2312" s="43"/>
      <c r="R2312" s="43"/>
      <c r="S2312" s="43"/>
      <c r="T2312" s="43"/>
      <c r="U2312" s="43"/>
      <c r="V2312" s="43"/>
      <c r="W2312" s="43"/>
      <c r="X2312" s="43"/>
      <c r="Y2312" s="43"/>
      <c r="Z2312" s="43"/>
    </row>
    <row r="2313" spans="15:26" x14ac:dyDescent="0.25">
      <c r="O2313" s="43"/>
      <c r="P2313" s="43"/>
      <c r="Q2313" s="43"/>
      <c r="R2313" s="43"/>
      <c r="S2313" s="43"/>
      <c r="T2313" s="43"/>
      <c r="U2313" s="43"/>
      <c r="V2313" s="43"/>
      <c r="W2313" s="43"/>
      <c r="X2313" s="43"/>
      <c r="Y2313" s="43"/>
      <c r="Z2313" s="43"/>
    </row>
    <row r="2314" spans="15:26" x14ac:dyDescent="0.25">
      <c r="O2314" s="43"/>
      <c r="P2314" s="43"/>
      <c r="Q2314" s="43"/>
      <c r="R2314" s="43"/>
      <c r="S2314" s="43"/>
      <c r="T2314" s="43"/>
      <c r="U2314" s="43"/>
      <c r="V2314" s="43"/>
      <c r="W2314" s="43"/>
      <c r="X2314" s="43"/>
      <c r="Y2314" s="43"/>
      <c r="Z2314" s="43"/>
    </row>
    <row r="2315" spans="15:26" x14ac:dyDescent="0.25">
      <c r="O2315" s="43"/>
      <c r="P2315" s="43"/>
      <c r="Q2315" s="43"/>
      <c r="R2315" s="43"/>
      <c r="S2315" s="43"/>
      <c r="T2315" s="43"/>
      <c r="U2315" s="43"/>
      <c r="V2315" s="43"/>
      <c r="W2315" s="43"/>
      <c r="X2315" s="43"/>
      <c r="Y2315" s="43"/>
      <c r="Z2315" s="43"/>
    </row>
    <row r="2316" spans="15:26" x14ac:dyDescent="0.25">
      <c r="O2316" s="43"/>
      <c r="P2316" s="43"/>
      <c r="Q2316" s="43"/>
      <c r="R2316" s="43"/>
      <c r="S2316" s="43"/>
      <c r="T2316" s="43"/>
      <c r="U2316" s="43"/>
      <c r="V2316" s="43"/>
      <c r="W2316" s="43"/>
      <c r="X2316" s="43"/>
      <c r="Y2316" s="43"/>
      <c r="Z2316" s="43"/>
    </row>
    <row r="2317" spans="15:26" x14ac:dyDescent="0.25">
      <c r="O2317" s="43"/>
      <c r="P2317" s="43"/>
      <c r="Q2317" s="43"/>
      <c r="R2317" s="43"/>
      <c r="S2317" s="43"/>
      <c r="T2317" s="43"/>
      <c r="U2317" s="43"/>
      <c r="V2317" s="43"/>
      <c r="W2317" s="43"/>
      <c r="X2317" s="43"/>
      <c r="Y2317" s="43"/>
      <c r="Z2317" s="43"/>
    </row>
    <row r="2318" spans="15:26" x14ac:dyDescent="0.25">
      <c r="O2318" s="43"/>
      <c r="P2318" s="43"/>
      <c r="Q2318" s="43"/>
      <c r="R2318" s="43"/>
      <c r="S2318" s="43"/>
      <c r="T2318" s="43"/>
      <c r="U2318" s="43"/>
      <c r="V2318" s="43"/>
      <c r="W2318" s="43"/>
      <c r="X2318" s="43"/>
      <c r="Y2318" s="43"/>
      <c r="Z2318" s="43"/>
    </row>
    <row r="2319" spans="15:26" x14ac:dyDescent="0.25">
      <c r="O2319" s="43"/>
      <c r="P2319" s="43"/>
      <c r="Q2319" s="43"/>
      <c r="R2319" s="43"/>
      <c r="S2319" s="43"/>
      <c r="T2319" s="43"/>
      <c r="U2319" s="43"/>
      <c r="V2319" s="43"/>
      <c r="W2319" s="43"/>
      <c r="X2319" s="43"/>
      <c r="Y2319" s="43"/>
      <c r="Z2319" s="43"/>
    </row>
    <row r="2320" spans="15:26" x14ac:dyDescent="0.25">
      <c r="O2320" s="43"/>
      <c r="P2320" s="43"/>
      <c r="Q2320" s="43"/>
      <c r="R2320" s="43"/>
      <c r="S2320" s="43"/>
      <c r="T2320" s="43"/>
      <c r="U2320" s="43"/>
      <c r="V2320" s="43"/>
      <c r="W2320" s="43"/>
      <c r="X2320" s="43"/>
      <c r="Y2320" s="43"/>
      <c r="Z2320" s="43"/>
    </row>
    <row r="2321" spans="15:26" x14ac:dyDescent="0.25">
      <c r="O2321" s="43"/>
      <c r="P2321" s="43"/>
      <c r="Q2321" s="43"/>
      <c r="R2321" s="43"/>
      <c r="S2321" s="43"/>
      <c r="T2321" s="43"/>
      <c r="U2321" s="43"/>
      <c r="V2321" s="43"/>
      <c r="W2321" s="43"/>
      <c r="X2321" s="43"/>
      <c r="Y2321" s="43"/>
      <c r="Z2321" s="43"/>
    </row>
    <row r="2322" spans="15:26" x14ac:dyDescent="0.25">
      <c r="O2322" s="43"/>
      <c r="P2322" s="43"/>
      <c r="Q2322" s="43"/>
      <c r="R2322" s="43"/>
      <c r="S2322" s="43"/>
      <c r="T2322" s="43"/>
      <c r="U2322" s="43"/>
      <c r="V2322" s="43"/>
      <c r="W2322" s="43"/>
      <c r="X2322" s="43"/>
      <c r="Y2322" s="43"/>
      <c r="Z2322" s="43"/>
    </row>
    <row r="2323" spans="15:26" x14ac:dyDescent="0.25">
      <c r="O2323" s="43"/>
      <c r="P2323" s="43"/>
      <c r="Q2323" s="43"/>
      <c r="R2323" s="43"/>
      <c r="S2323" s="43"/>
      <c r="T2323" s="43"/>
      <c r="U2323" s="43"/>
      <c r="V2323" s="43"/>
      <c r="W2323" s="43"/>
      <c r="X2323" s="43"/>
      <c r="Y2323" s="43"/>
      <c r="Z2323" s="43"/>
    </row>
    <row r="2324" spans="15:26" x14ac:dyDescent="0.25">
      <c r="O2324" s="43"/>
      <c r="P2324" s="43"/>
      <c r="Q2324" s="43"/>
      <c r="R2324" s="43"/>
      <c r="S2324" s="43"/>
      <c r="T2324" s="43"/>
      <c r="U2324" s="43"/>
      <c r="V2324" s="43"/>
      <c r="W2324" s="43"/>
      <c r="X2324" s="43"/>
      <c r="Y2324" s="43"/>
      <c r="Z2324" s="43"/>
    </row>
    <row r="2325" spans="15:26" x14ac:dyDescent="0.25">
      <c r="O2325" s="43"/>
      <c r="P2325" s="43"/>
      <c r="Q2325" s="43"/>
      <c r="R2325" s="43"/>
      <c r="S2325" s="43"/>
      <c r="T2325" s="43"/>
      <c r="U2325" s="43"/>
      <c r="V2325" s="43"/>
      <c r="W2325" s="43"/>
      <c r="X2325" s="43"/>
      <c r="Y2325" s="43"/>
      <c r="Z2325" s="43"/>
    </row>
    <row r="2326" spans="15:26" x14ac:dyDescent="0.25">
      <c r="O2326" s="43"/>
      <c r="P2326" s="43"/>
      <c r="Q2326" s="43"/>
      <c r="R2326" s="43"/>
      <c r="S2326" s="43"/>
      <c r="T2326" s="43"/>
      <c r="U2326" s="43"/>
      <c r="V2326" s="43"/>
      <c r="W2326" s="43"/>
      <c r="X2326" s="43"/>
      <c r="Y2326" s="43"/>
      <c r="Z2326" s="43"/>
    </row>
    <row r="2327" spans="15:26" x14ac:dyDescent="0.25">
      <c r="O2327" s="43"/>
      <c r="P2327" s="43"/>
      <c r="Q2327" s="43"/>
      <c r="R2327" s="43"/>
      <c r="S2327" s="43"/>
      <c r="T2327" s="43"/>
      <c r="U2327" s="43"/>
      <c r="V2327" s="43"/>
      <c r="W2327" s="43"/>
      <c r="X2327" s="43"/>
      <c r="Y2327" s="43"/>
      <c r="Z2327" s="43"/>
    </row>
    <row r="2328" spans="15:26" x14ac:dyDescent="0.25">
      <c r="O2328" s="43"/>
      <c r="P2328" s="43"/>
      <c r="Q2328" s="43"/>
      <c r="R2328" s="43"/>
      <c r="S2328" s="43"/>
      <c r="T2328" s="43"/>
      <c r="U2328" s="43"/>
      <c r="V2328" s="43"/>
      <c r="W2328" s="43"/>
      <c r="X2328" s="43"/>
      <c r="Y2328" s="43"/>
      <c r="Z2328" s="43"/>
    </row>
    <row r="2329" spans="15:26" x14ac:dyDescent="0.25">
      <c r="O2329" s="43"/>
      <c r="P2329" s="43"/>
      <c r="Q2329" s="43"/>
      <c r="R2329" s="43"/>
      <c r="S2329" s="43"/>
      <c r="T2329" s="43"/>
      <c r="U2329" s="43"/>
      <c r="V2329" s="43"/>
      <c r="W2329" s="43"/>
      <c r="X2329" s="43"/>
      <c r="Y2329" s="43"/>
      <c r="Z2329" s="43"/>
    </row>
    <row r="2330" spans="15:26" x14ac:dyDescent="0.25">
      <c r="O2330" s="43"/>
      <c r="P2330" s="43"/>
      <c r="Q2330" s="43"/>
      <c r="R2330" s="43"/>
      <c r="S2330" s="43"/>
      <c r="T2330" s="43"/>
      <c r="U2330" s="43"/>
      <c r="V2330" s="43"/>
      <c r="W2330" s="43"/>
      <c r="X2330" s="43"/>
      <c r="Y2330" s="43"/>
      <c r="Z2330" s="43"/>
    </row>
    <row r="2331" spans="15:26" x14ac:dyDescent="0.25">
      <c r="O2331" s="43"/>
      <c r="P2331" s="43"/>
      <c r="Q2331" s="43"/>
      <c r="R2331" s="43"/>
      <c r="S2331" s="43"/>
      <c r="T2331" s="43"/>
      <c r="U2331" s="43"/>
      <c r="V2331" s="43"/>
      <c r="W2331" s="43"/>
      <c r="X2331" s="43"/>
      <c r="Y2331" s="43"/>
      <c r="Z2331" s="43"/>
    </row>
    <row r="2332" spans="15:26" x14ac:dyDescent="0.25">
      <c r="O2332" s="43"/>
      <c r="P2332" s="43"/>
      <c r="Q2332" s="43"/>
      <c r="R2332" s="43"/>
      <c r="S2332" s="43"/>
      <c r="T2332" s="43"/>
      <c r="U2332" s="43"/>
      <c r="V2332" s="43"/>
      <c r="W2332" s="43"/>
      <c r="X2332" s="43"/>
      <c r="Y2332" s="43"/>
      <c r="Z2332" s="43"/>
    </row>
    <row r="2333" spans="15:26" x14ac:dyDescent="0.25">
      <c r="O2333" s="43"/>
      <c r="P2333" s="43"/>
      <c r="Q2333" s="43"/>
      <c r="R2333" s="43"/>
      <c r="S2333" s="43"/>
      <c r="T2333" s="43"/>
      <c r="U2333" s="43"/>
      <c r="V2333" s="43"/>
      <c r="W2333" s="43"/>
      <c r="X2333" s="43"/>
      <c r="Y2333" s="43"/>
      <c r="Z2333" s="43"/>
    </row>
    <row r="2334" spans="15:26" x14ac:dyDescent="0.25">
      <c r="O2334" s="43"/>
      <c r="P2334" s="43"/>
      <c r="Q2334" s="43"/>
      <c r="R2334" s="43"/>
      <c r="S2334" s="43"/>
      <c r="T2334" s="43"/>
      <c r="U2334" s="43"/>
      <c r="V2334" s="43"/>
      <c r="W2334" s="43"/>
      <c r="X2334" s="43"/>
      <c r="Y2334" s="43"/>
      <c r="Z2334" s="43"/>
    </row>
    <row r="2335" spans="15:26" x14ac:dyDescent="0.25">
      <c r="O2335" s="43"/>
      <c r="P2335" s="43"/>
      <c r="Q2335" s="43"/>
      <c r="R2335" s="43"/>
      <c r="S2335" s="43"/>
      <c r="T2335" s="43"/>
      <c r="U2335" s="43"/>
      <c r="V2335" s="43"/>
      <c r="W2335" s="43"/>
      <c r="X2335" s="43"/>
      <c r="Y2335" s="43"/>
      <c r="Z2335" s="43"/>
    </row>
    <row r="2336" spans="15:26" x14ac:dyDescent="0.25">
      <c r="O2336" s="43"/>
      <c r="P2336" s="43"/>
      <c r="Q2336" s="43"/>
      <c r="R2336" s="43"/>
      <c r="S2336" s="43"/>
      <c r="T2336" s="43"/>
      <c r="U2336" s="43"/>
      <c r="V2336" s="43"/>
      <c r="W2336" s="43"/>
      <c r="X2336" s="43"/>
      <c r="Y2336" s="43"/>
      <c r="Z2336" s="43"/>
    </row>
    <row r="2337" spans="15:26" x14ac:dyDescent="0.25">
      <c r="O2337" s="43"/>
      <c r="P2337" s="43"/>
      <c r="Q2337" s="43"/>
      <c r="R2337" s="43"/>
      <c r="S2337" s="43"/>
      <c r="T2337" s="43"/>
      <c r="U2337" s="43"/>
      <c r="V2337" s="43"/>
      <c r="W2337" s="43"/>
      <c r="X2337" s="43"/>
      <c r="Y2337" s="43"/>
      <c r="Z2337" s="43"/>
    </row>
    <row r="2338" spans="15:26" x14ac:dyDescent="0.25">
      <c r="O2338" s="43"/>
      <c r="P2338" s="43"/>
      <c r="Q2338" s="43"/>
      <c r="R2338" s="43"/>
      <c r="S2338" s="43"/>
      <c r="T2338" s="43"/>
      <c r="U2338" s="43"/>
      <c r="V2338" s="43"/>
      <c r="W2338" s="43"/>
      <c r="X2338" s="43"/>
      <c r="Y2338" s="43"/>
      <c r="Z2338" s="43"/>
    </row>
    <row r="2339" spans="15:26" x14ac:dyDescent="0.25">
      <c r="O2339" s="43"/>
      <c r="P2339" s="43"/>
      <c r="Q2339" s="43"/>
      <c r="R2339" s="43"/>
      <c r="S2339" s="43"/>
      <c r="T2339" s="43"/>
      <c r="U2339" s="43"/>
      <c r="V2339" s="43"/>
      <c r="W2339" s="43"/>
      <c r="X2339" s="43"/>
      <c r="Y2339" s="43"/>
      <c r="Z2339" s="43"/>
    </row>
    <row r="2340" spans="15:26" x14ac:dyDescent="0.25">
      <c r="O2340" s="43"/>
      <c r="P2340" s="43"/>
      <c r="Q2340" s="43"/>
      <c r="R2340" s="43"/>
      <c r="S2340" s="43"/>
      <c r="T2340" s="43"/>
      <c r="U2340" s="43"/>
      <c r="V2340" s="43"/>
      <c r="W2340" s="43"/>
      <c r="X2340" s="43"/>
      <c r="Y2340" s="43"/>
      <c r="Z2340" s="43"/>
    </row>
    <row r="2341" spans="15:26" x14ac:dyDescent="0.25">
      <c r="O2341" s="43"/>
      <c r="P2341" s="43"/>
      <c r="Q2341" s="43"/>
      <c r="R2341" s="43"/>
      <c r="S2341" s="43"/>
      <c r="T2341" s="43"/>
      <c r="U2341" s="43"/>
      <c r="V2341" s="43"/>
      <c r="W2341" s="43"/>
      <c r="X2341" s="43"/>
      <c r="Y2341" s="43"/>
      <c r="Z2341" s="43"/>
    </row>
    <row r="2342" spans="15:26" x14ac:dyDescent="0.25">
      <c r="O2342" s="43"/>
      <c r="P2342" s="43"/>
      <c r="Q2342" s="43"/>
      <c r="R2342" s="43"/>
      <c r="S2342" s="43"/>
      <c r="T2342" s="43"/>
      <c r="U2342" s="43"/>
      <c r="V2342" s="43"/>
      <c r="W2342" s="43"/>
      <c r="X2342" s="43"/>
      <c r="Y2342" s="43"/>
      <c r="Z2342" s="43"/>
    </row>
    <row r="2343" spans="15:26" x14ac:dyDescent="0.25">
      <c r="O2343" s="43"/>
      <c r="P2343" s="43"/>
      <c r="Q2343" s="43"/>
      <c r="R2343" s="43"/>
      <c r="S2343" s="43"/>
      <c r="T2343" s="43"/>
      <c r="U2343" s="43"/>
      <c r="V2343" s="43"/>
      <c r="W2343" s="43"/>
      <c r="X2343" s="43"/>
      <c r="Y2343" s="43"/>
      <c r="Z2343" s="43"/>
    </row>
    <row r="2344" spans="15:26" x14ac:dyDescent="0.25">
      <c r="O2344" s="43"/>
      <c r="P2344" s="43"/>
      <c r="Q2344" s="43"/>
      <c r="R2344" s="43"/>
      <c r="S2344" s="43"/>
      <c r="T2344" s="43"/>
      <c r="U2344" s="43"/>
      <c r="V2344" s="43"/>
      <c r="W2344" s="43"/>
      <c r="X2344" s="43"/>
      <c r="Y2344" s="43"/>
      <c r="Z2344" s="43"/>
    </row>
    <row r="2345" spans="15:26" x14ac:dyDescent="0.25">
      <c r="O2345" s="43"/>
      <c r="P2345" s="43"/>
      <c r="Q2345" s="43"/>
      <c r="R2345" s="43"/>
      <c r="S2345" s="43"/>
      <c r="T2345" s="43"/>
      <c r="U2345" s="43"/>
      <c r="V2345" s="43"/>
      <c r="W2345" s="43"/>
      <c r="X2345" s="43"/>
      <c r="Y2345" s="43"/>
      <c r="Z2345" s="43"/>
    </row>
    <row r="2346" spans="15:26" x14ac:dyDescent="0.25">
      <c r="O2346" s="43"/>
      <c r="P2346" s="43"/>
      <c r="Q2346" s="43"/>
      <c r="R2346" s="43"/>
      <c r="S2346" s="43"/>
      <c r="T2346" s="43"/>
      <c r="U2346" s="43"/>
      <c r="V2346" s="43"/>
      <c r="W2346" s="43"/>
      <c r="X2346" s="43"/>
      <c r="Y2346" s="43"/>
      <c r="Z2346" s="43"/>
    </row>
    <row r="2347" spans="15:26" x14ac:dyDescent="0.25">
      <c r="O2347" s="43"/>
      <c r="P2347" s="43"/>
      <c r="Q2347" s="43"/>
      <c r="R2347" s="43"/>
      <c r="S2347" s="43"/>
      <c r="T2347" s="43"/>
      <c r="U2347" s="43"/>
      <c r="V2347" s="43"/>
      <c r="W2347" s="43"/>
      <c r="X2347" s="43"/>
      <c r="Y2347" s="43"/>
      <c r="Z2347" s="43"/>
    </row>
    <row r="2348" spans="15:26" x14ac:dyDescent="0.25">
      <c r="O2348" s="43"/>
      <c r="P2348" s="43"/>
      <c r="Q2348" s="43"/>
      <c r="R2348" s="43"/>
      <c r="S2348" s="43"/>
      <c r="T2348" s="43"/>
      <c r="U2348" s="43"/>
      <c r="V2348" s="43"/>
      <c r="W2348" s="43"/>
      <c r="X2348" s="43"/>
      <c r="Y2348" s="43"/>
      <c r="Z2348" s="43"/>
    </row>
    <row r="2349" spans="15:26" x14ac:dyDescent="0.25">
      <c r="O2349" s="43"/>
      <c r="P2349" s="43"/>
      <c r="Q2349" s="43"/>
      <c r="R2349" s="43"/>
      <c r="S2349" s="43"/>
      <c r="T2349" s="43"/>
      <c r="U2349" s="43"/>
      <c r="V2349" s="43"/>
      <c r="W2349" s="43"/>
      <c r="X2349" s="43"/>
      <c r="Y2349" s="43"/>
      <c r="Z2349" s="43"/>
    </row>
    <row r="2350" spans="15:26" x14ac:dyDescent="0.25">
      <c r="O2350" s="43"/>
      <c r="P2350" s="43"/>
      <c r="Q2350" s="43"/>
      <c r="R2350" s="43"/>
      <c r="S2350" s="43"/>
      <c r="T2350" s="43"/>
      <c r="U2350" s="43"/>
      <c r="V2350" s="43"/>
      <c r="W2350" s="43"/>
      <c r="X2350" s="43"/>
      <c r="Y2350" s="43"/>
      <c r="Z2350" s="43"/>
    </row>
    <row r="2351" spans="15:26" x14ac:dyDescent="0.25">
      <c r="O2351" s="43"/>
      <c r="P2351" s="43"/>
      <c r="Q2351" s="43"/>
      <c r="R2351" s="43"/>
      <c r="S2351" s="43"/>
      <c r="T2351" s="43"/>
      <c r="U2351" s="43"/>
      <c r="V2351" s="43"/>
      <c r="W2351" s="43"/>
      <c r="X2351" s="43"/>
      <c r="Y2351" s="43"/>
      <c r="Z2351" s="43"/>
    </row>
    <row r="2352" spans="15:26" x14ac:dyDescent="0.25">
      <c r="O2352" s="43"/>
      <c r="P2352" s="43"/>
      <c r="Q2352" s="43"/>
      <c r="R2352" s="43"/>
      <c r="S2352" s="43"/>
      <c r="T2352" s="43"/>
      <c r="U2352" s="43"/>
      <c r="V2352" s="43"/>
      <c r="W2352" s="43"/>
      <c r="X2352" s="43"/>
      <c r="Y2352" s="43"/>
      <c r="Z2352" s="43"/>
    </row>
    <row r="2353" spans="15:26" x14ac:dyDescent="0.25">
      <c r="O2353" s="43"/>
      <c r="P2353" s="43"/>
      <c r="Q2353" s="43"/>
      <c r="R2353" s="43"/>
      <c r="S2353" s="43"/>
      <c r="T2353" s="43"/>
      <c r="U2353" s="43"/>
      <c r="V2353" s="43"/>
      <c r="W2353" s="43"/>
      <c r="X2353" s="43"/>
      <c r="Y2353" s="43"/>
      <c r="Z2353" s="43"/>
    </row>
    <row r="2354" spans="15:26" x14ac:dyDescent="0.25">
      <c r="O2354" s="43"/>
      <c r="P2354" s="43"/>
      <c r="Q2354" s="43"/>
      <c r="R2354" s="43"/>
      <c r="S2354" s="43"/>
      <c r="T2354" s="43"/>
      <c r="U2354" s="43"/>
      <c r="V2354" s="43"/>
      <c r="W2354" s="43"/>
      <c r="X2354" s="43"/>
      <c r="Y2354" s="43"/>
      <c r="Z2354" s="43"/>
    </row>
    <row r="2355" spans="15:26" x14ac:dyDescent="0.25">
      <c r="O2355" s="43"/>
      <c r="P2355" s="43"/>
      <c r="Q2355" s="43"/>
      <c r="R2355" s="43"/>
      <c r="S2355" s="43"/>
      <c r="T2355" s="43"/>
      <c r="U2355" s="43"/>
      <c r="V2355" s="43"/>
      <c r="W2355" s="43"/>
      <c r="X2355" s="43"/>
      <c r="Y2355" s="43"/>
      <c r="Z2355" s="43"/>
    </row>
    <row r="2356" spans="15:26" x14ac:dyDescent="0.25">
      <c r="O2356" s="43"/>
      <c r="P2356" s="43"/>
      <c r="Q2356" s="43"/>
      <c r="R2356" s="43"/>
      <c r="S2356" s="43"/>
      <c r="T2356" s="43"/>
      <c r="U2356" s="43"/>
      <c r="V2356" s="43"/>
      <c r="W2356" s="43"/>
      <c r="X2356" s="43"/>
      <c r="Y2356" s="43"/>
      <c r="Z2356" s="43"/>
    </row>
    <row r="2357" spans="15:26" x14ac:dyDescent="0.25">
      <c r="O2357" s="43"/>
      <c r="P2357" s="43"/>
      <c r="Q2357" s="43"/>
      <c r="R2357" s="43"/>
      <c r="S2357" s="43"/>
      <c r="T2357" s="43"/>
      <c r="U2357" s="43"/>
      <c r="V2357" s="43"/>
      <c r="W2357" s="43"/>
      <c r="X2357" s="43"/>
      <c r="Y2357" s="43"/>
      <c r="Z2357" s="43"/>
    </row>
    <row r="2358" spans="15:26" x14ac:dyDescent="0.25">
      <c r="O2358" s="43"/>
      <c r="P2358" s="43"/>
      <c r="Q2358" s="43"/>
      <c r="R2358" s="43"/>
      <c r="S2358" s="43"/>
      <c r="T2358" s="43"/>
      <c r="U2358" s="43"/>
      <c r="V2358" s="43"/>
      <c r="W2358" s="43"/>
      <c r="X2358" s="43"/>
      <c r="Y2358" s="43"/>
      <c r="Z2358" s="43"/>
    </row>
    <row r="2359" spans="15:26" x14ac:dyDescent="0.25">
      <c r="O2359" s="43"/>
      <c r="P2359" s="43"/>
      <c r="Q2359" s="43"/>
      <c r="R2359" s="43"/>
      <c r="S2359" s="43"/>
      <c r="T2359" s="43"/>
      <c r="U2359" s="43"/>
      <c r="V2359" s="43"/>
      <c r="W2359" s="43"/>
      <c r="X2359" s="43"/>
      <c r="Y2359" s="43"/>
      <c r="Z2359" s="43"/>
    </row>
    <row r="2360" spans="15:26" x14ac:dyDescent="0.25">
      <c r="O2360" s="43"/>
      <c r="P2360" s="43"/>
      <c r="Q2360" s="43"/>
      <c r="R2360" s="43"/>
      <c r="S2360" s="43"/>
      <c r="T2360" s="43"/>
      <c r="U2360" s="43"/>
      <c r="V2360" s="43"/>
      <c r="W2360" s="43"/>
      <c r="X2360" s="43"/>
      <c r="Y2360" s="43"/>
      <c r="Z2360" s="43"/>
    </row>
    <row r="2361" spans="15:26" x14ac:dyDescent="0.25">
      <c r="O2361" s="43"/>
      <c r="P2361" s="43"/>
      <c r="Q2361" s="43"/>
      <c r="R2361" s="43"/>
      <c r="S2361" s="43"/>
      <c r="T2361" s="43"/>
      <c r="U2361" s="43"/>
      <c r="V2361" s="43"/>
      <c r="W2361" s="43"/>
      <c r="X2361" s="43"/>
      <c r="Y2361" s="43"/>
      <c r="Z2361" s="43"/>
    </row>
    <row r="2362" spans="15:26" x14ac:dyDescent="0.25">
      <c r="O2362" s="43"/>
      <c r="P2362" s="43"/>
      <c r="Q2362" s="43"/>
      <c r="R2362" s="43"/>
      <c r="S2362" s="43"/>
      <c r="T2362" s="43"/>
      <c r="U2362" s="43"/>
      <c r="V2362" s="43"/>
      <c r="W2362" s="43"/>
      <c r="X2362" s="43"/>
      <c r="Y2362" s="43"/>
      <c r="Z2362" s="43"/>
    </row>
    <row r="2363" spans="15:26" x14ac:dyDescent="0.25">
      <c r="O2363" s="43"/>
      <c r="P2363" s="43"/>
      <c r="Q2363" s="43"/>
      <c r="R2363" s="43"/>
      <c r="S2363" s="43"/>
      <c r="T2363" s="43"/>
      <c r="U2363" s="43"/>
      <c r="V2363" s="43"/>
      <c r="W2363" s="43"/>
      <c r="X2363" s="43"/>
      <c r="Y2363" s="43"/>
      <c r="Z2363" s="43"/>
    </row>
    <row r="2364" spans="15:26" x14ac:dyDescent="0.25">
      <c r="O2364" s="43"/>
      <c r="P2364" s="43"/>
      <c r="Q2364" s="43"/>
      <c r="R2364" s="43"/>
      <c r="S2364" s="43"/>
      <c r="T2364" s="43"/>
      <c r="U2364" s="43"/>
      <c r="V2364" s="43"/>
      <c r="W2364" s="43"/>
      <c r="X2364" s="43"/>
      <c r="Y2364" s="43"/>
      <c r="Z2364" s="43"/>
    </row>
    <row r="2365" spans="15:26" x14ac:dyDescent="0.25">
      <c r="O2365" s="43"/>
      <c r="P2365" s="43"/>
      <c r="Q2365" s="43"/>
      <c r="R2365" s="43"/>
      <c r="S2365" s="43"/>
      <c r="T2365" s="43"/>
      <c r="U2365" s="43"/>
      <c r="V2365" s="43"/>
      <c r="W2365" s="43"/>
      <c r="X2365" s="43"/>
      <c r="Y2365" s="43"/>
      <c r="Z2365" s="43"/>
    </row>
    <row r="2366" spans="15:26" x14ac:dyDescent="0.25">
      <c r="O2366" s="43"/>
      <c r="P2366" s="43"/>
      <c r="Q2366" s="43"/>
      <c r="R2366" s="43"/>
      <c r="S2366" s="43"/>
      <c r="T2366" s="43"/>
      <c r="U2366" s="43"/>
      <c r="V2366" s="43"/>
      <c r="W2366" s="43"/>
      <c r="X2366" s="43"/>
      <c r="Y2366" s="43"/>
      <c r="Z2366" s="43"/>
    </row>
    <row r="2367" spans="15:26" x14ac:dyDescent="0.25">
      <c r="O2367" s="43"/>
      <c r="P2367" s="43"/>
      <c r="Q2367" s="43"/>
      <c r="R2367" s="43"/>
      <c r="S2367" s="43"/>
      <c r="T2367" s="43"/>
      <c r="U2367" s="43"/>
      <c r="V2367" s="43"/>
      <c r="W2367" s="43"/>
      <c r="X2367" s="43"/>
      <c r="Y2367" s="43"/>
      <c r="Z2367" s="43"/>
    </row>
    <row r="2368" spans="15:26" x14ac:dyDescent="0.25">
      <c r="O2368" s="43"/>
      <c r="P2368" s="43"/>
      <c r="Q2368" s="43"/>
      <c r="R2368" s="43"/>
      <c r="S2368" s="43"/>
      <c r="T2368" s="43"/>
      <c r="U2368" s="43"/>
      <c r="V2368" s="43"/>
      <c r="W2368" s="43"/>
      <c r="X2368" s="43"/>
      <c r="Y2368" s="43"/>
      <c r="Z2368" s="43"/>
    </row>
    <row r="2369" spans="15:26" x14ac:dyDescent="0.25">
      <c r="O2369" s="43"/>
      <c r="P2369" s="43"/>
      <c r="Q2369" s="43"/>
      <c r="R2369" s="43"/>
      <c r="S2369" s="43"/>
      <c r="T2369" s="43"/>
      <c r="U2369" s="43"/>
      <c r="V2369" s="43"/>
      <c r="W2369" s="43"/>
      <c r="X2369" s="43"/>
      <c r="Y2369" s="43"/>
      <c r="Z2369" s="43"/>
    </row>
    <row r="2370" spans="15:26" x14ac:dyDescent="0.25">
      <c r="O2370" s="43"/>
      <c r="P2370" s="43"/>
      <c r="Q2370" s="43"/>
      <c r="R2370" s="43"/>
      <c r="S2370" s="43"/>
      <c r="T2370" s="43"/>
      <c r="U2370" s="43"/>
      <c r="V2370" s="43"/>
      <c r="W2370" s="43"/>
      <c r="X2370" s="43"/>
      <c r="Y2370" s="43"/>
      <c r="Z2370" s="43"/>
    </row>
    <row r="2371" spans="15:26" x14ac:dyDescent="0.25">
      <c r="O2371" s="43"/>
      <c r="P2371" s="43"/>
      <c r="Q2371" s="43"/>
      <c r="R2371" s="43"/>
      <c r="S2371" s="43"/>
      <c r="T2371" s="43"/>
      <c r="U2371" s="43"/>
      <c r="V2371" s="43"/>
      <c r="W2371" s="43"/>
      <c r="X2371" s="43"/>
      <c r="Y2371" s="43"/>
      <c r="Z2371" s="43"/>
    </row>
    <row r="2372" spans="15:26" x14ac:dyDescent="0.25">
      <c r="O2372" s="43"/>
      <c r="P2372" s="43"/>
      <c r="Q2372" s="43"/>
      <c r="R2372" s="43"/>
      <c r="S2372" s="43"/>
      <c r="T2372" s="43"/>
      <c r="U2372" s="43"/>
      <c r="V2372" s="43"/>
      <c r="W2372" s="43"/>
      <c r="X2372" s="43"/>
      <c r="Y2372" s="43"/>
      <c r="Z2372" s="43"/>
    </row>
    <row r="2373" spans="15:26" x14ac:dyDescent="0.25">
      <c r="O2373" s="43"/>
      <c r="P2373" s="43"/>
      <c r="Q2373" s="43"/>
      <c r="R2373" s="43"/>
      <c r="S2373" s="43"/>
      <c r="T2373" s="43"/>
      <c r="U2373" s="43"/>
      <c r="V2373" s="43"/>
      <c r="W2373" s="43"/>
      <c r="X2373" s="43"/>
      <c r="Y2373" s="43"/>
      <c r="Z2373" s="43"/>
    </row>
    <row r="2374" spans="15:26" x14ac:dyDescent="0.25">
      <c r="O2374" s="43"/>
      <c r="P2374" s="43"/>
      <c r="Q2374" s="43"/>
      <c r="R2374" s="43"/>
      <c r="S2374" s="43"/>
      <c r="T2374" s="43"/>
      <c r="U2374" s="43"/>
      <c r="V2374" s="43"/>
      <c r="W2374" s="43"/>
      <c r="X2374" s="43"/>
      <c r="Y2374" s="43"/>
      <c r="Z2374" s="43"/>
    </row>
    <row r="2375" spans="15:26" x14ac:dyDescent="0.25">
      <c r="O2375" s="43"/>
      <c r="P2375" s="43"/>
      <c r="Q2375" s="43"/>
      <c r="R2375" s="43"/>
      <c r="S2375" s="43"/>
      <c r="T2375" s="43"/>
      <c r="U2375" s="43"/>
      <c r="V2375" s="43"/>
      <c r="W2375" s="43"/>
      <c r="X2375" s="43"/>
      <c r="Y2375" s="43"/>
      <c r="Z2375" s="43"/>
    </row>
    <row r="2376" spans="15:26" x14ac:dyDescent="0.25">
      <c r="O2376" s="43"/>
      <c r="P2376" s="43"/>
      <c r="Q2376" s="43"/>
      <c r="R2376" s="43"/>
      <c r="S2376" s="43"/>
      <c r="T2376" s="43"/>
      <c r="U2376" s="43"/>
      <c r="V2376" s="43"/>
      <c r="W2376" s="43"/>
      <c r="X2376" s="43"/>
      <c r="Y2376" s="43"/>
      <c r="Z2376" s="43"/>
    </row>
    <row r="2377" spans="15:26" x14ac:dyDescent="0.25">
      <c r="O2377" s="43"/>
      <c r="P2377" s="43"/>
      <c r="Q2377" s="43"/>
      <c r="R2377" s="43"/>
      <c r="S2377" s="43"/>
      <c r="T2377" s="43"/>
      <c r="U2377" s="43"/>
      <c r="V2377" s="43"/>
      <c r="W2377" s="43"/>
      <c r="X2377" s="43"/>
      <c r="Y2377" s="43"/>
      <c r="Z2377" s="43"/>
    </row>
    <row r="2378" spans="15:26" x14ac:dyDescent="0.25">
      <c r="O2378" s="43"/>
      <c r="P2378" s="43"/>
      <c r="Q2378" s="43"/>
      <c r="R2378" s="43"/>
      <c r="S2378" s="43"/>
      <c r="T2378" s="43"/>
      <c r="U2378" s="43"/>
      <c r="V2378" s="43"/>
      <c r="W2378" s="43"/>
      <c r="X2378" s="43"/>
      <c r="Y2378" s="43"/>
      <c r="Z2378" s="43"/>
    </row>
    <row r="2379" spans="15:26" x14ac:dyDescent="0.25">
      <c r="O2379" s="43"/>
      <c r="P2379" s="43"/>
      <c r="Q2379" s="43"/>
      <c r="R2379" s="43"/>
      <c r="S2379" s="43"/>
      <c r="T2379" s="43"/>
      <c r="U2379" s="43"/>
      <c r="V2379" s="43"/>
      <c r="W2379" s="43"/>
      <c r="X2379" s="43"/>
      <c r="Y2379" s="43"/>
      <c r="Z2379" s="43"/>
    </row>
    <row r="2380" spans="15:26" x14ac:dyDescent="0.25">
      <c r="O2380" s="43"/>
      <c r="P2380" s="43"/>
      <c r="Q2380" s="43"/>
      <c r="R2380" s="43"/>
      <c r="S2380" s="43"/>
      <c r="T2380" s="43"/>
      <c r="U2380" s="43"/>
      <c r="V2380" s="43"/>
      <c r="W2380" s="43"/>
      <c r="X2380" s="43"/>
      <c r="Y2380" s="43"/>
      <c r="Z2380" s="43"/>
    </row>
    <row r="2381" spans="15:26" x14ac:dyDescent="0.25">
      <c r="O2381" s="43"/>
      <c r="P2381" s="43"/>
      <c r="Q2381" s="43"/>
      <c r="R2381" s="43"/>
      <c r="S2381" s="43"/>
      <c r="T2381" s="43"/>
      <c r="U2381" s="43"/>
      <c r="V2381" s="43"/>
      <c r="W2381" s="43"/>
      <c r="X2381" s="43"/>
      <c r="Y2381" s="43"/>
      <c r="Z2381" s="43"/>
    </row>
    <row r="2382" spans="15:26" x14ac:dyDescent="0.25">
      <c r="O2382" s="43"/>
      <c r="P2382" s="43"/>
      <c r="Q2382" s="43"/>
      <c r="R2382" s="43"/>
      <c r="S2382" s="43"/>
      <c r="T2382" s="43"/>
      <c r="U2382" s="43"/>
      <c r="V2382" s="43"/>
      <c r="W2382" s="43"/>
      <c r="X2382" s="43"/>
      <c r="Y2382" s="43"/>
      <c r="Z2382" s="43"/>
    </row>
    <row r="2383" spans="15:26" x14ac:dyDescent="0.25">
      <c r="O2383" s="43"/>
      <c r="P2383" s="43"/>
      <c r="Q2383" s="43"/>
      <c r="R2383" s="43"/>
      <c r="S2383" s="43"/>
      <c r="T2383" s="43"/>
      <c r="U2383" s="43"/>
      <c r="V2383" s="43"/>
      <c r="W2383" s="43"/>
      <c r="X2383" s="43"/>
      <c r="Y2383" s="43"/>
      <c r="Z2383" s="43"/>
    </row>
    <row r="2384" spans="15:26" x14ac:dyDescent="0.25">
      <c r="O2384" s="43"/>
      <c r="P2384" s="43"/>
      <c r="Q2384" s="43"/>
      <c r="R2384" s="43"/>
      <c r="S2384" s="43"/>
      <c r="T2384" s="43"/>
      <c r="U2384" s="43"/>
      <c r="V2384" s="43"/>
      <c r="W2384" s="43"/>
      <c r="X2384" s="43"/>
      <c r="Y2384" s="43"/>
      <c r="Z2384" s="43"/>
    </row>
    <row r="2385" spans="15:26" x14ac:dyDescent="0.25">
      <c r="O2385" s="43"/>
      <c r="P2385" s="43"/>
      <c r="Q2385" s="43"/>
      <c r="R2385" s="43"/>
      <c r="S2385" s="43"/>
      <c r="T2385" s="43"/>
      <c r="U2385" s="43"/>
      <c r="V2385" s="43"/>
      <c r="W2385" s="43"/>
      <c r="X2385" s="43"/>
      <c r="Y2385" s="43"/>
      <c r="Z2385" s="43"/>
    </row>
    <row r="2386" spans="15:26" x14ac:dyDescent="0.25">
      <c r="O2386" s="43"/>
      <c r="P2386" s="43"/>
      <c r="Q2386" s="43"/>
      <c r="R2386" s="43"/>
      <c r="S2386" s="43"/>
      <c r="T2386" s="43"/>
      <c r="U2386" s="43"/>
      <c r="V2386" s="43"/>
      <c r="W2386" s="43"/>
      <c r="X2386" s="43"/>
      <c r="Y2386" s="43"/>
      <c r="Z2386" s="43"/>
    </row>
    <row r="2387" spans="15:26" x14ac:dyDescent="0.25">
      <c r="O2387" s="43"/>
      <c r="P2387" s="43"/>
      <c r="Q2387" s="43"/>
      <c r="R2387" s="43"/>
      <c r="S2387" s="43"/>
      <c r="T2387" s="43"/>
      <c r="U2387" s="43"/>
      <c r="V2387" s="43"/>
      <c r="W2387" s="43"/>
      <c r="X2387" s="43"/>
      <c r="Y2387" s="43"/>
      <c r="Z2387" s="43"/>
    </row>
    <row r="2388" spans="15:26" x14ac:dyDescent="0.25">
      <c r="O2388" s="43"/>
      <c r="P2388" s="43"/>
      <c r="Q2388" s="43"/>
      <c r="R2388" s="43"/>
      <c r="S2388" s="43"/>
      <c r="T2388" s="43"/>
      <c r="U2388" s="43"/>
      <c r="V2388" s="43"/>
      <c r="W2388" s="43"/>
      <c r="X2388" s="43"/>
      <c r="Y2388" s="43"/>
      <c r="Z2388" s="43"/>
    </row>
    <row r="2389" spans="15:26" x14ac:dyDescent="0.25">
      <c r="O2389" s="43"/>
      <c r="P2389" s="43"/>
      <c r="Q2389" s="43"/>
      <c r="R2389" s="43"/>
      <c r="S2389" s="43"/>
      <c r="T2389" s="43"/>
      <c r="U2389" s="43"/>
      <c r="V2389" s="43"/>
      <c r="W2389" s="43"/>
      <c r="X2389" s="43"/>
      <c r="Y2389" s="43"/>
      <c r="Z2389" s="43"/>
    </row>
    <row r="2390" spans="15:26" x14ac:dyDescent="0.25">
      <c r="O2390" s="43"/>
      <c r="P2390" s="43"/>
      <c r="Q2390" s="43"/>
      <c r="R2390" s="43"/>
      <c r="S2390" s="43"/>
      <c r="T2390" s="43"/>
      <c r="U2390" s="43"/>
      <c r="V2390" s="43"/>
      <c r="W2390" s="43"/>
      <c r="X2390" s="43"/>
      <c r="Y2390" s="43"/>
      <c r="Z2390" s="43"/>
    </row>
    <row r="2391" spans="15:26" x14ac:dyDescent="0.25">
      <c r="O2391" s="43"/>
      <c r="P2391" s="43"/>
      <c r="Q2391" s="43"/>
      <c r="R2391" s="43"/>
      <c r="S2391" s="43"/>
      <c r="T2391" s="43"/>
      <c r="U2391" s="43"/>
      <c r="V2391" s="43"/>
      <c r="W2391" s="43"/>
      <c r="X2391" s="43"/>
      <c r="Y2391" s="43"/>
      <c r="Z2391" s="43"/>
    </row>
    <row r="2392" spans="15:26" x14ac:dyDescent="0.25">
      <c r="O2392" s="43"/>
      <c r="P2392" s="43"/>
      <c r="Q2392" s="43"/>
      <c r="R2392" s="43"/>
      <c r="S2392" s="43"/>
      <c r="T2392" s="43"/>
      <c r="U2392" s="43"/>
      <c r="V2392" s="43"/>
      <c r="W2392" s="43"/>
      <c r="X2392" s="43"/>
      <c r="Y2392" s="43"/>
      <c r="Z2392" s="43"/>
    </row>
    <row r="2393" spans="15:26" x14ac:dyDescent="0.25">
      <c r="O2393" s="43"/>
      <c r="P2393" s="43"/>
      <c r="Q2393" s="43"/>
      <c r="R2393" s="43"/>
      <c r="S2393" s="43"/>
      <c r="T2393" s="43"/>
      <c r="U2393" s="43"/>
      <c r="V2393" s="43"/>
      <c r="W2393" s="43"/>
      <c r="X2393" s="43"/>
      <c r="Y2393" s="43"/>
      <c r="Z2393" s="43"/>
    </row>
    <row r="2394" spans="15:26" x14ac:dyDescent="0.25">
      <c r="O2394" s="43"/>
      <c r="P2394" s="43"/>
      <c r="Q2394" s="43"/>
      <c r="R2394" s="43"/>
      <c r="S2394" s="43"/>
      <c r="T2394" s="43"/>
      <c r="U2394" s="43"/>
      <c r="V2394" s="43"/>
      <c r="W2394" s="43"/>
      <c r="X2394" s="43"/>
      <c r="Y2394" s="43"/>
      <c r="Z2394" s="43"/>
    </row>
    <row r="2395" spans="15:26" x14ac:dyDescent="0.25">
      <c r="O2395" s="43"/>
      <c r="P2395" s="43"/>
      <c r="Q2395" s="43"/>
      <c r="R2395" s="43"/>
      <c r="S2395" s="43"/>
      <c r="T2395" s="43"/>
      <c r="U2395" s="43"/>
      <c r="V2395" s="43"/>
      <c r="W2395" s="43"/>
      <c r="X2395" s="43"/>
      <c r="Y2395" s="43"/>
      <c r="Z2395" s="43"/>
    </row>
    <row r="2396" spans="15:26" x14ac:dyDescent="0.25">
      <c r="O2396" s="43"/>
      <c r="P2396" s="43"/>
      <c r="Q2396" s="43"/>
      <c r="R2396" s="43"/>
      <c r="S2396" s="43"/>
      <c r="T2396" s="43"/>
      <c r="U2396" s="43"/>
      <c r="V2396" s="43"/>
      <c r="W2396" s="43"/>
      <c r="X2396" s="43"/>
      <c r="Y2396" s="43"/>
      <c r="Z2396" s="43"/>
    </row>
    <row r="2397" spans="15:26" x14ac:dyDescent="0.25">
      <c r="O2397" s="43"/>
      <c r="P2397" s="43"/>
      <c r="Q2397" s="43"/>
      <c r="R2397" s="43"/>
      <c r="S2397" s="43"/>
      <c r="T2397" s="43"/>
      <c r="U2397" s="43"/>
      <c r="V2397" s="43"/>
      <c r="W2397" s="43"/>
      <c r="X2397" s="43"/>
      <c r="Y2397" s="43"/>
      <c r="Z2397" s="43"/>
    </row>
    <row r="2398" spans="15:26" x14ac:dyDescent="0.25">
      <c r="O2398" s="43"/>
      <c r="P2398" s="43"/>
      <c r="Q2398" s="43"/>
      <c r="R2398" s="43"/>
      <c r="S2398" s="43"/>
      <c r="T2398" s="43"/>
      <c r="U2398" s="43"/>
      <c r="V2398" s="43"/>
      <c r="W2398" s="43"/>
      <c r="X2398" s="43"/>
      <c r="Y2398" s="43"/>
      <c r="Z2398" s="43"/>
    </row>
    <row r="2399" spans="15:26" x14ac:dyDescent="0.25">
      <c r="O2399" s="43"/>
      <c r="P2399" s="43"/>
      <c r="Q2399" s="43"/>
      <c r="R2399" s="43"/>
      <c r="S2399" s="43"/>
      <c r="T2399" s="43"/>
      <c r="U2399" s="43"/>
      <c r="V2399" s="43"/>
      <c r="W2399" s="43"/>
      <c r="X2399" s="43"/>
      <c r="Y2399" s="43"/>
      <c r="Z2399" s="43"/>
    </row>
    <row r="2400" spans="15:26" x14ac:dyDescent="0.25">
      <c r="O2400" s="43"/>
      <c r="P2400" s="43"/>
      <c r="Q2400" s="43"/>
      <c r="R2400" s="43"/>
      <c r="S2400" s="43"/>
      <c r="T2400" s="43"/>
      <c r="U2400" s="43"/>
      <c r="V2400" s="43"/>
      <c r="W2400" s="43"/>
      <c r="X2400" s="43"/>
      <c r="Y2400" s="43"/>
      <c r="Z2400" s="43"/>
    </row>
    <row r="2401" spans="15:26" x14ac:dyDescent="0.25">
      <c r="O2401" s="43"/>
      <c r="P2401" s="43"/>
      <c r="Q2401" s="43"/>
      <c r="R2401" s="43"/>
      <c r="S2401" s="43"/>
      <c r="T2401" s="43"/>
      <c r="U2401" s="43"/>
      <c r="V2401" s="43"/>
      <c r="W2401" s="43"/>
      <c r="X2401" s="43"/>
      <c r="Y2401" s="43"/>
      <c r="Z2401" s="43"/>
    </row>
    <row r="2402" spans="15:26" x14ac:dyDescent="0.25">
      <c r="O2402" s="43"/>
      <c r="P2402" s="43"/>
      <c r="Q2402" s="43"/>
      <c r="R2402" s="43"/>
      <c r="S2402" s="43"/>
      <c r="T2402" s="43"/>
      <c r="U2402" s="43"/>
      <c r="V2402" s="43"/>
      <c r="W2402" s="43"/>
      <c r="X2402" s="43"/>
      <c r="Y2402" s="43"/>
      <c r="Z2402" s="43"/>
    </row>
    <row r="2403" spans="15:26" x14ac:dyDescent="0.25">
      <c r="O2403" s="43"/>
      <c r="P2403" s="43"/>
      <c r="Q2403" s="43"/>
      <c r="R2403" s="43"/>
      <c r="S2403" s="43"/>
      <c r="T2403" s="43"/>
      <c r="U2403" s="43"/>
      <c r="V2403" s="43"/>
      <c r="W2403" s="43"/>
      <c r="X2403" s="43"/>
      <c r="Y2403" s="43"/>
      <c r="Z2403" s="43"/>
    </row>
    <row r="2404" spans="15:26" x14ac:dyDescent="0.25">
      <c r="O2404" s="43"/>
      <c r="P2404" s="43"/>
      <c r="Q2404" s="43"/>
      <c r="R2404" s="43"/>
      <c r="S2404" s="43"/>
      <c r="T2404" s="43"/>
      <c r="U2404" s="43"/>
      <c r="V2404" s="43"/>
      <c r="W2404" s="43"/>
      <c r="X2404" s="43"/>
      <c r="Y2404" s="43"/>
      <c r="Z2404" s="43"/>
    </row>
    <row r="2405" spans="15:26" x14ac:dyDescent="0.25">
      <c r="O2405" s="43"/>
      <c r="P2405" s="43"/>
      <c r="Q2405" s="43"/>
      <c r="R2405" s="43"/>
      <c r="S2405" s="43"/>
      <c r="T2405" s="43"/>
      <c r="U2405" s="43"/>
      <c r="V2405" s="43"/>
      <c r="W2405" s="43"/>
      <c r="X2405" s="43"/>
      <c r="Y2405" s="43"/>
      <c r="Z2405" s="43"/>
    </row>
    <row r="2406" spans="15:26" x14ac:dyDescent="0.25">
      <c r="O2406" s="43"/>
      <c r="P2406" s="43"/>
      <c r="Q2406" s="43"/>
      <c r="R2406" s="43"/>
      <c r="S2406" s="43"/>
      <c r="T2406" s="43"/>
      <c r="U2406" s="43"/>
      <c r="V2406" s="43"/>
      <c r="W2406" s="43"/>
      <c r="X2406" s="43"/>
      <c r="Y2406" s="43"/>
      <c r="Z2406" s="43"/>
    </row>
    <row r="2407" spans="15:26" x14ac:dyDescent="0.25">
      <c r="O2407" s="43"/>
      <c r="P2407" s="43"/>
      <c r="Q2407" s="43"/>
      <c r="R2407" s="43"/>
      <c r="S2407" s="43"/>
      <c r="T2407" s="43"/>
      <c r="U2407" s="43"/>
      <c r="V2407" s="43"/>
      <c r="W2407" s="43"/>
      <c r="X2407" s="43"/>
      <c r="Y2407" s="43"/>
      <c r="Z2407" s="43"/>
    </row>
    <row r="2408" spans="15:26" x14ac:dyDescent="0.25">
      <c r="O2408" s="43"/>
      <c r="P2408" s="43"/>
      <c r="Q2408" s="43"/>
      <c r="R2408" s="43"/>
      <c r="S2408" s="43"/>
      <c r="T2408" s="43"/>
      <c r="U2408" s="43"/>
      <c r="V2408" s="43"/>
      <c r="W2408" s="43"/>
      <c r="X2408" s="43"/>
      <c r="Y2408" s="43"/>
      <c r="Z2408" s="43"/>
    </row>
    <row r="2409" spans="15:26" x14ac:dyDescent="0.25">
      <c r="O2409" s="43"/>
      <c r="P2409" s="43"/>
      <c r="Q2409" s="43"/>
      <c r="R2409" s="43"/>
      <c r="S2409" s="43"/>
      <c r="T2409" s="43"/>
      <c r="U2409" s="43"/>
      <c r="V2409" s="43"/>
      <c r="W2409" s="43"/>
      <c r="X2409" s="43"/>
      <c r="Y2409" s="43"/>
      <c r="Z2409" s="43"/>
    </row>
    <row r="2410" spans="15:26" x14ac:dyDescent="0.25">
      <c r="O2410" s="43"/>
      <c r="P2410" s="43"/>
      <c r="Q2410" s="43"/>
      <c r="R2410" s="43"/>
      <c r="S2410" s="43"/>
      <c r="T2410" s="43"/>
      <c r="U2410" s="43"/>
      <c r="V2410" s="43"/>
      <c r="W2410" s="43"/>
      <c r="X2410" s="43"/>
      <c r="Y2410" s="43"/>
      <c r="Z2410" s="43"/>
    </row>
    <row r="2411" spans="15:26" x14ac:dyDescent="0.25">
      <c r="O2411" s="43"/>
      <c r="P2411" s="43"/>
      <c r="Q2411" s="43"/>
      <c r="R2411" s="43"/>
      <c r="S2411" s="43"/>
      <c r="T2411" s="43"/>
      <c r="U2411" s="43"/>
      <c r="V2411" s="43"/>
      <c r="W2411" s="43"/>
      <c r="X2411" s="43"/>
      <c r="Y2411" s="43"/>
      <c r="Z2411" s="43"/>
    </row>
    <row r="2412" spans="15:26" x14ac:dyDescent="0.25">
      <c r="O2412" s="43"/>
      <c r="P2412" s="43"/>
      <c r="Q2412" s="43"/>
      <c r="R2412" s="43"/>
      <c r="S2412" s="43"/>
      <c r="T2412" s="43"/>
      <c r="U2412" s="43"/>
      <c r="V2412" s="43"/>
      <c r="W2412" s="43"/>
      <c r="X2412" s="43"/>
      <c r="Y2412" s="43"/>
      <c r="Z2412" s="43"/>
    </row>
    <row r="2413" spans="15:26" x14ac:dyDescent="0.25">
      <c r="O2413" s="43"/>
      <c r="P2413" s="43"/>
      <c r="Q2413" s="43"/>
      <c r="R2413" s="43"/>
      <c r="S2413" s="43"/>
      <c r="T2413" s="43"/>
      <c r="U2413" s="43"/>
      <c r="V2413" s="43"/>
      <c r="W2413" s="43"/>
      <c r="X2413" s="43"/>
      <c r="Y2413" s="43"/>
      <c r="Z2413" s="43"/>
    </row>
    <row r="2414" spans="15:26" x14ac:dyDescent="0.25">
      <c r="O2414" s="43"/>
      <c r="P2414" s="43"/>
      <c r="Q2414" s="43"/>
      <c r="R2414" s="43"/>
      <c r="S2414" s="43"/>
      <c r="T2414" s="43"/>
      <c r="U2414" s="43"/>
      <c r="V2414" s="43"/>
      <c r="W2414" s="43"/>
      <c r="X2414" s="43"/>
      <c r="Y2414" s="43"/>
      <c r="Z2414" s="43"/>
    </row>
    <row r="2415" spans="15:26" x14ac:dyDescent="0.25">
      <c r="O2415" s="43"/>
      <c r="P2415" s="43"/>
      <c r="Q2415" s="43"/>
      <c r="R2415" s="43"/>
      <c r="S2415" s="43"/>
      <c r="T2415" s="43"/>
      <c r="U2415" s="43"/>
      <c r="V2415" s="43"/>
      <c r="W2415" s="43"/>
      <c r="X2415" s="43"/>
      <c r="Y2415" s="43"/>
      <c r="Z2415" s="43"/>
    </row>
    <row r="2416" spans="15:26" x14ac:dyDescent="0.25">
      <c r="O2416" s="43"/>
      <c r="P2416" s="43"/>
      <c r="Q2416" s="43"/>
      <c r="R2416" s="43"/>
      <c r="S2416" s="43"/>
      <c r="T2416" s="43"/>
      <c r="U2416" s="43"/>
      <c r="V2416" s="43"/>
      <c r="W2416" s="43"/>
      <c r="X2416" s="43"/>
      <c r="Y2416" s="43"/>
      <c r="Z2416" s="43"/>
    </row>
    <row r="2417" spans="15:26" x14ac:dyDescent="0.25">
      <c r="O2417" s="43"/>
      <c r="P2417" s="43"/>
      <c r="Q2417" s="43"/>
      <c r="R2417" s="43"/>
      <c r="S2417" s="43"/>
      <c r="T2417" s="43"/>
      <c r="U2417" s="43"/>
      <c r="V2417" s="43"/>
      <c r="W2417" s="43"/>
      <c r="X2417" s="43"/>
      <c r="Y2417" s="43"/>
      <c r="Z2417" s="43"/>
    </row>
    <row r="2418" spans="15:26" x14ac:dyDescent="0.25">
      <c r="O2418" s="43"/>
      <c r="P2418" s="43"/>
      <c r="Q2418" s="43"/>
      <c r="R2418" s="43"/>
      <c r="S2418" s="43"/>
      <c r="T2418" s="43"/>
      <c r="U2418" s="43"/>
      <c r="V2418" s="43"/>
      <c r="W2418" s="43"/>
      <c r="X2418" s="43"/>
      <c r="Y2418" s="43"/>
      <c r="Z2418" s="43"/>
    </row>
    <row r="2419" spans="15:26" x14ac:dyDescent="0.25">
      <c r="O2419" s="43"/>
      <c r="P2419" s="43"/>
      <c r="Q2419" s="43"/>
      <c r="R2419" s="43"/>
      <c r="S2419" s="43"/>
      <c r="T2419" s="43"/>
      <c r="U2419" s="43"/>
      <c r="V2419" s="43"/>
      <c r="W2419" s="43"/>
      <c r="X2419" s="43"/>
      <c r="Y2419" s="43"/>
      <c r="Z2419" s="43"/>
    </row>
    <row r="2420" spans="15:26" x14ac:dyDescent="0.25">
      <c r="O2420" s="43"/>
      <c r="P2420" s="43"/>
      <c r="Q2420" s="43"/>
      <c r="R2420" s="43"/>
      <c r="S2420" s="43"/>
      <c r="T2420" s="43"/>
      <c r="U2420" s="43"/>
      <c r="V2420" s="43"/>
      <c r="W2420" s="43"/>
      <c r="X2420" s="43"/>
      <c r="Y2420" s="43"/>
      <c r="Z2420" s="43"/>
    </row>
    <row r="2421" spans="15:26" x14ac:dyDescent="0.25">
      <c r="O2421" s="43"/>
      <c r="P2421" s="43"/>
      <c r="Q2421" s="43"/>
      <c r="R2421" s="43"/>
      <c r="S2421" s="43"/>
      <c r="T2421" s="43"/>
      <c r="U2421" s="43"/>
      <c r="V2421" s="43"/>
      <c r="W2421" s="43"/>
      <c r="X2421" s="43"/>
      <c r="Y2421" s="43"/>
      <c r="Z2421" s="43"/>
    </row>
    <row r="2422" spans="15:26" x14ac:dyDescent="0.25">
      <c r="O2422" s="43"/>
      <c r="P2422" s="43"/>
      <c r="Q2422" s="43"/>
      <c r="R2422" s="43"/>
      <c r="S2422" s="43"/>
      <c r="T2422" s="43"/>
      <c r="U2422" s="43"/>
      <c r="V2422" s="43"/>
      <c r="W2422" s="43"/>
      <c r="X2422" s="43"/>
      <c r="Y2422" s="43"/>
      <c r="Z2422" s="43"/>
    </row>
    <row r="2423" spans="15:26" x14ac:dyDescent="0.25">
      <c r="O2423" s="43"/>
      <c r="P2423" s="43"/>
      <c r="Q2423" s="43"/>
      <c r="R2423" s="43"/>
      <c r="S2423" s="43"/>
      <c r="T2423" s="43"/>
      <c r="U2423" s="43"/>
      <c r="V2423" s="43"/>
      <c r="W2423" s="43"/>
      <c r="X2423" s="43"/>
      <c r="Y2423" s="43"/>
      <c r="Z2423" s="43"/>
    </row>
    <row r="2424" spans="15:26" x14ac:dyDescent="0.25">
      <c r="O2424" s="43"/>
      <c r="P2424" s="43"/>
      <c r="Q2424" s="43"/>
      <c r="R2424" s="43"/>
      <c r="S2424" s="43"/>
      <c r="T2424" s="43"/>
      <c r="U2424" s="43"/>
      <c r="V2424" s="43"/>
      <c r="W2424" s="43"/>
      <c r="X2424" s="43"/>
      <c r="Y2424" s="43"/>
      <c r="Z2424" s="43"/>
    </row>
    <row r="2425" spans="15:26" x14ac:dyDescent="0.25">
      <c r="O2425" s="43"/>
      <c r="P2425" s="43"/>
      <c r="Q2425" s="43"/>
      <c r="R2425" s="43"/>
      <c r="S2425" s="43"/>
      <c r="T2425" s="43"/>
      <c r="U2425" s="43"/>
      <c r="V2425" s="43"/>
      <c r="W2425" s="43"/>
      <c r="X2425" s="43"/>
      <c r="Y2425" s="43"/>
      <c r="Z2425" s="43"/>
    </row>
    <row r="2426" spans="15:26" x14ac:dyDescent="0.25">
      <c r="O2426" s="43"/>
      <c r="P2426" s="43"/>
      <c r="Q2426" s="43"/>
      <c r="R2426" s="43"/>
      <c r="S2426" s="43"/>
      <c r="T2426" s="43"/>
      <c r="U2426" s="43"/>
      <c r="V2426" s="43"/>
      <c r="W2426" s="43"/>
      <c r="X2426" s="43"/>
      <c r="Y2426" s="43"/>
      <c r="Z2426" s="43"/>
    </row>
    <row r="2427" spans="15:26" x14ac:dyDescent="0.25">
      <c r="O2427" s="43"/>
      <c r="P2427" s="43"/>
      <c r="Q2427" s="43"/>
      <c r="R2427" s="43"/>
      <c r="S2427" s="43"/>
      <c r="T2427" s="43"/>
      <c r="U2427" s="43"/>
      <c r="V2427" s="43"/>
      <c r="W2427" s="43"/>
      <c r="X2427" s="43"/>
      <c r="Y2427" s="43"/>
      <c r="Z2427" s="43"/>
    </row>
    <row r="2428" spans="15:26" x14ac:dyDescent="0.25">
      <c r="O2428" s="43"/>
      <c r="P2428" s="43"/>
      <c r="Q2428" s="43"/>
      <c r="R2428" s="43"/>
      <c r="S2428" s="43"/>
      <c r="T2428" s="43"/>
      <c r="U2428" s="43"/>
      <c r="V2428" s="43"/>
      <c r="W2428" s="43"/>
      <c r="X2428" s="43"/>
      <c r="Y2428" s="43"/>
      <c r="Z2428" s="43"/>
    </row>
    <row r="2429" spans="15:26" x14ac:dyDescent="0.25">
      <c r="O2429" s="43"/>
      <c r="P2429" s="43"/>
      <c r="Q2429" s="43"/>
      <c r="R2429" s="43"/>
      <c r="S2429" s="43"/>
      <c r="T2429" s="43"/>
      <c r="U2429" s="43"/>
      <c r="V2429" s="43"/>
      <c r="W2429" s="43"/>
      <c r="X2429" s="43"/>
      <c r="Y2429" s="43"/>
      <c r="Z2429" s="43"/>
    </row>
    <row r="2430" spans="15:26" x14ac:dyDescent="0.25">
      <c r="O2430" s="43"/>
      <c r="P2430" s="43"/>
      <c r="Q2430" s="43"/>
      <c r="R2430" s="43"/>
      <c r="S2430" s="43"/>
      <c r="T2430" s="43"/>
      <c r="U2430" s="43"/>
      <c r="V2430" s="43"/>
      <c r="W2430" s="43"/>
      <c r="X2430" s="43"/>
      <c r="Y2430" s="43"/>
      <c r="Z2430" s="43"/>
    </row>
    <row r="2431" spans="15:26" x14ac:dyDescent="0.25">
      <c r="O2431" s="43"/>
      <c r="P2431" s="43"/>
      <c r="Q2431" s="43"/>
      <c r="R2431" s="43"/>
      <c r="S2431" s="43"/>
      <c r="T2431" s="43"/>
      <c r="U2431" s="43"/>
      <c r="V2431" s="43"/>
      <c r="W2431" s="43"/>
      <c r="X2431" s="43"/>
      <c r="Y2431" s="43"/>
      <c r="Z2431" s="43"/>
    </row>
    <row r="2432" spans="15:26" x14ac:dyDescent="0.25">
      <c r="O2432" s="43"/>
      <c r="P2432" s="43"/>
      <c r="Q2432" s="43"/>
      <c r="R2432" s="43"/>
      <c r="S2432" s="43"/>
      <c r="T2432" s="43"/>
      <c r="U2432" s="43"/>
      <c r="V2432" s="43"/>
      <c r="W2432" s="43"/>
      <c r="X2432" s="43"/>
      <c r="Y2432" s="43"/>
      <c r="Z2432" s="43"/>
    </row>
    <row r="2433" spans="15:26" x14ac:dyDescent="0.25">
      <c r="O2433" s="43"/>
      <c r="P2433" s="43"/>
      <c r="Q2433" s="43"/>
      <c r="R2433" s="43"/>
      <c r="S2433" s="43"/>
      <c r="T2433" s="43"/>
      <c r="U2433" s="43"/>
      <c r="V2433" s="43"/>
      <c r="W2433" s="43"/>
      <c r="X2433" s="43"/>
      <c r="Y2433" s="43"/>
      <c r="Z2433" s="43"/>
    </row>
    <row r="2434" spans="15:26" x14ac:dyDescent="0.25">
      <c r="O2434" s="43"/>
      <c r="P2434" s="43"/>
      <c r="Q2434" s="43"/>
      <c r="R2434" s="43"/>
      <c r="S2434" s="43"/>
      <c r="T2434" s="43"/>
      <c r="U2434" s="43"/>
      <c r="V2434" s="43"/>
      <c r="W2434" s="43"/>
      <c r="X2434" s="43"/>
      <c r="Y2434" s="43"/>
      <c r="Z2434" s="43"/>
    </row>
    <row r="2435" spans="15:26" x14ac:dyDescent="0.25">
      <c r="O2435" s="43"/>
      <c r="P2435" s="43"/>
      <c r="Q2435" s="43"/>
      <c r="R2435" s="43"/>
      <c r="S2435" s="43"/>
      <c r="T2435" s="43"/>
      <c r="U2435" s="43"/>
      <c r="V2435" s="43"/>
      <c r="W2435" s="43"/>
      <c r="X2435" s="43"/>
      <c r="Y2435" s="43"/>
      <c r="Z2435" s="43"/>
    </row>
    <row r="2436" spans="15:26" x14ac:dyDescent="0.25">
      <c r="O2436" s="43"/>
      <c r="P2436" s="43"/>
      <c r="Q2436" s="43"/>
      <c r="R2436" s="43"/>
      <c r="S2436" s="43"/>
      <c r="T2436" s="43"/>
      <c r="U2436" s="43"/>
      <c r="V2436" s="43"/>
      <c r="W2436" s="43"/>
      <c r="X2436" s="43"/>
      <c r="Y2436" s="43"/>
      <c r="Z2436" s="43"/>
    </row>
    <row r="2437" spans="15:26" x14ac:dyDescent="0.25">
      <c r="O2437" s="43"/>
      <c r="P2437" s="43"/>
      <c r="Q2437" s="43"/>
      <c r="R2437" s="43"/>
      <c r="S2437" s="43"/>
      <c r="T2437" s="43"/>
      <c r="U2437" s="43"/>
      <c r="V2437" s="43"/>
      <c r="W2437" s="43"/>
      <c r="X2437" s="43"/>
      <c r="Y2437" s="43"/>
      <c r="Z2437" s="43"/>
    </row>
    <row r="2438" spans="15:26" x14ac:dyDescent="0.25">
      <c r="O2438" s="43"/>
      <c r="P2438" s="43"/>
      <c r="Q2438" s="43"/>
      <c r="R2438" s="43"/>
      <c r="S2438" s="43"/>
      <c r="T2438" s="43"/>
      <c r="U2438" s="43"/>
      <c r="V2438" s="43"/>
      <c r="W2438" s="43"/>
      <c r="X2438" s="43"/>
      <c r="Y2438" s="43"/>
      <c r="Z2438" s="43"/>
    </row>
    <row r="2439" spans="15:26" x14ac:dyDescent="0.25">
      <c r="O2439" s="43"/>
      <c r="P2439" s="43"/>
      <c r="Q2439" s="43"/>
      <c r="R2439" s="43"/>
      <c r="S2439" s="43"/>
      <c r="T2439" s="43"/>
      <c r="U2439" s="43"/>
      <c r="V2439" s="43"/>
      <c r="W2439" s="43"/>
      <c r="X2439" s="43"/>
      <c r="Y2439" s="43"/>
      <c r="Z2439" s="43"/>
    </row>
    <row r="2440" spans="15:26" x14ac:dyDescent="0.25">
      <c r="O2440" s="43"/>
      <c r="P2440" s="43"/>
      <c r="Q2440" s="43"/>
      <c r="R2440" s="43"/>
      <c r="S2440" s="43"/>
      <c r="T2440" s="43"/>
      <c r="U2440" s="43"/>
      <c r="V2440" s="43"/>
      <c r="W2440" s="43"/>
      <c r="X2440" s="43"/>
      <c r="Y2440" s="43"/>
      <c r="Z2440" s="43"/>
    </row>
    <row r="2441" spans="15:26" x14ac:dyDescent="0.25">
      <c r="O2441" s="43"/>
      <c r="P2441" s="43"/>
      <c r="Q2441" s="43"/>
      <c r="R2441" s="43"/>
      <c r="S2441" s="43"/>
      <c r="T2441" s="43"/>
      <c r="U2441" s="43"/>
      <c r="V2441" s="43"/>
      <c r="W2441" s="43"/>
      <c r="X2441" s="43"/>
      <c r="Y2441" s="43"/>
      <c r="Z2441" s="43"/>
    </row>
    <row r="2442" spans="15:26" x14ac:dyDescent="0.25">
      <c r="O2442" s="43"/>
      <c r="P2442" s="43"/>
      <c r="Q2442" s="43"/>
      <c r="R2442" s="43"/>
      <c r="S2442" s="43"/>
      <c r="T2442" s="43"/>
      <c r="U2442" s="43"/>
      <c r="V2442" s="43"/>
      <c r="W2442" s="43"/>
      <c r="X2442" s="43"/>
      <c r="Y2442" s="43"/>
      <c r="Z2442" s="43"/>
    </row>
    <row r="2443" spans="15:26" x14ac:dyDescent="0.25">
      <c r="O2443" s="43"/>
      <c r="P2443" s="43"/>
      <c r="Q2443" s="43"/>
      <c r="R2443" s="43"/>
      <c r="S2443" s="43"/>
      <c r="T2443" s="43"/>
      <c r="U2443" s="43"/>
      <c r="V2443" s="43"/>
      <c r="W2443" s="43"/>
      <c r="X2443" s="43"/>
      <c r="Y2443" s="43"/>
      <c r="Z2443" s="43"/>
    </row>
    <row r="2444" spans="15:26" x14ac:dyDescent="0.25">
      <c r="O2444" s="43"/>
      <c r="P2444" s="43"/>
      <c r="Q2444" s="43"/>
      <c r="R2444" s="43"/>
      <c r="S2444" s="43"/>
      <c r="T2444" s="43"/>
      <c r="U2444" s="43"/>
      <c r="V2444" s="43"/>
      <c r="W2444" s="43"/>
      <c r="X2444" s="43"/>
      <c r="Y2444" s="43"/>
      <c r="Z2444" s="43"/>
    </row>
    <row r="2445" spans="15:26" x14ac:dyDescent="0.25">
      <c r="O2445" s="43"/>
      <c r="P2445" s="43"/>
      <c r="Q2445" s="43"/>
      <c r="R2445" s="43"/>
      <c r="S2445" s="43"/>
      <c r="T2445" s="43"/>
      <c r="U2445" s="43"/>
      <c r="V2445" s="43"/>
      <c r="W2445" s="43"/>
      <c r="X2445" s="43"/>
      <c r="Y2445" s="43"/>
      <c r="Z2445" s="43"/>
    </row>
    <row r="2446" spans="15:26" x14ac:dyDescent="0.25">
      <c r="O2446" s="43"/>
      <c r="P2446" s="43"/>
      <c r="Q2446" s="43"/>
      <c r="R2446" s="43"/>
      <c r="S2446" s="43"/>
      <c r="T2446" s="43"/>
      <c r="U2446" s="43"/>
      <c r="V2446" s="43"/>
      <c r="W2446" s="43"/>
      <c r="X2446" s="43"/>
      <c r="Y2446" s="43"/>
      <c r="Z2446" s="43"/>
    </row>
    <row r="2447" spans="15:26" x14ac:dyDescent="0.25">
      <c r="O2447" s="43"/>
      <c r="P2447" s="43"/>
      <c r="Q2447" s="43"/>
      <c r="R2447" s="43"/>
      <c r="S2447" s="43"/>
      <c r="T2447" s="43"/>
      <c r="U2447" s="43"/>
      <c r="V2447" s="43"/>
      <c r="W2447" s="43"/>
      <c r="X2447" s="43"/>
      <c r="Y2447" s="43"/>
      <c r="Z2447" s="43"/>
    </row>
    <row r="2448" spans="15:26" x14ac:dyDescent="0.25">
      <c r="O2448" s="43"/>
      <c r="P2448" s="43"/>
      <c r="Q2448" s="43"/>
      <c r="R2448" s="43"/>
      <c r="S2448" s="43"/>
      <c r="T2448" s="43"/>
      <c r="U2448" s="43"/>
      <c r="V2448" s="43"/>
      <c r="W2448" s="43"/>
      <c r="X2448" s="43"/>
      <c r="Y2448" s="43"/>
      <c r="Z2448" s="43"/>
    </row>
    <row r="2449" spans="15:26" x14ac:dyDescent="0.25">
      <c r="O2449" s="43"/>
      <c r="P2449" s="43"/>
      <c r="Q2449" s="43"/>
      <c r="R2449" s="43"/>
      <c r="S2449" s="43"/>
      <c r="T2449" s="43"/>
      <c r="U2449" s="43"/>
      <c r="V2449" s="43"/>
      <c r="W2449" s="43"/>
      <c r="X2449" s="43"/>
      <c r="Y2449" s="43"/>
      <c r="Z2449" s="43"/>
    </row>
    <row r="2450" spans="15:26" x14ac:dyDescent="0.25">
      <c r="O2450" s="43"/>
      <c r="P2450" s="43"/>
      <c r="Q2450" s="43"/>
      <c r="R2450" s="43"/>
      <c r="S2450" s="43"/>
      <c r="T2450" s="43"/>
      <c r="U2450" s="43"/>
      <c r="V2450" s="43"/>
      <c r="W2450" s="43"/>
      <c r="X2450" s="43"/>
      <c r="Y2450" s="43"/>
      <c r="Z2450" s="43"/>
    </row>
    <row r="2451" spans="15:26" x14ac:dyDescent="0.25">
      <c r="O2451" s="43"/>
      <c r="P2451" s="43"/>
      <c r="Q2451" s="43"/>
      <c r="R2451" s="43"/>
      <c r="S2451" s="43"/>
      <c r="T2451" s="43"/>
      <c r="U2451" s="43"/>
      <c r="V2451" s="43"/>
      <c r="W2451" s="43"/>
      <c r="X2451" s="43"/>
      <c r="Y2451" s="43"/>
      <c r="Z2451" s="43"/>
    </row>
    <row r="2452" spans="15:26" x14ac:dyDescent="0.25">
      <c r="O2452" s="43"/>
      <c r="P2452" s="43"/>
      <c r="Q2452" s="43"/>
      <c r="R2452" s="43"/>
      <c r="S2452" s="43"/>
      <c r="T2452" s="43"/>
      <c r="U2452" s="43"/>
      <c r="V2452" s="43"/>
      <c r="W2452" s="43"/>
      <c r="X2452" s="43"/>
      <c r="Y2452" s="43"/>
      <c r="Z2452" s="43"/>
    </row>
    <row r="2453" spans="15:26" x14ac:dyDescent="0.25">
      <c r="O2453" s="43"/>
      <c r="P2453" s="43"/>
      <c r="Q2453" s="43"/>
      <c r="R2453" s="43"/>
      <c r="S2453" s="43"/>
      <c r="T2453" s="43"/>
      <c r="U2453" s="43"/>
      <c r="V2453" s="43"/>
      <c r="W2453" s="43"/>
      <c r="X2453" s="43"/>
      <c r="Y2453" s="43"/>
      <c r="Z2453" s="43"/>
    </row>
    <row r="2454" spans="15:26" x14ac:dyDescent="0.25">
      <c r="O2454" s="43"/>
      <c r="P2454" s="43"/>
      <c r="Q2454" s="43"/>
      <c r="R2454" s="43"/>
      <c r="S2454" s="43"/>
      <c r="T2454" s="43"/>
      <c r="U2454" s="43"/>
      <c r="V2454" s="43"/>
      <c r="W2454" s="43"/>
      <c r="X2454" s="43"/>
      <c r="Y2454" s="43"/>
      <c r="Z2454" s="43"/>
    </row>
    <row r="2455" spans="15:26" x14ac:dyDescent="0.25">
      <c r="O2455" s="43"/>
      <c r="P2455" s="43"/>
      <c r="Q2455" s="43"/>
      <c r="R2455" s="43"/>
      <c r="S2455" s="43"/>
      <c r="T2455" s="43"/>
      <c r="U2455" s="43"/>
      <c r="V2455" s="43"/>
      <c r="W2455" s="43"/>
      <c r="X2455" s="43"/>
      <c r="Y2455" s="43"/>
      <c r="Z2455" s="43"/>
    </row>
    <row r="2456" spans="15:26" x14ac:dyDescent="0.25">
      <c r="O2456" s="43"/>
      <c r="P2456" s="43"/>
      <c r="Q2456" s="43"/>
      <c r="R2456" s="43"/>
      <c r="S2456" s="43"/>
      <c r="T2456" s="43"/>
      <c r="U2456" s="43"/>
      <c r="V2456" s="43"/>
      <c r="W2456" s="43"/>
      <c r="X2456" s="43"/>
      <c r="Y2456" s="43"/>
      <c r="Z2456" s="43"/>
    </row>
    <row r="2457" spans="15:26" x14ac:dyDescent="0.25">
      <c r="O2457" s="43"/>
      <c r="P2457" s="43"/>
      <c r="Q2457" s="43"/>
      <c r="R2457" s="43"/>
      <c r="S2457" s="43"/>
      <c r="T2457" s="43"/>
      <c r="U2457" s="43"/>
      <c r="V2457" s="43"/>
      <c r="W2457" s="43"/>
      <c r="X2457" s="43"/>
      <c r="Y2457" s="43"/>
      <c r="Z2457" s="43"/>
    </row>
    <row r="2458" spans="15:26" x14ac:dyDescent="0.25">
      <c r="O2458" s="43"/>
      <c r="P2458" s="43"/>
      <c r="Q2458" s="43"/>
      <c r="R2458" s="43"/>
      <c r="S2458" s="43"/>
      <c r="T2458" s="43"/>
      <c r="U2458" s="43"/>
      <c r="V2458" s="43"/>
      <c r="W2458" s="43"/>
      <c r="X2458" s="43"/>
      <c r="Y2458" s="43"/>
      <c r="Z2458" s="43"/>
    </row>
    <row r="2459" spans="15:26" x14ac:dyDescent="0.25">
      <c r="O2459" s="43"/>
      <c r="P2459" s="43"/>
      <c r="Q2459" s="43"/>
      <c r="R2459" s="43"/>
      <c r="S2459" s="43"/>
      <c r="T2459" s="43"/>
      <c r="U2459" s="43"/>
      <c r="V2459" s="43"/>
      <c r="W2459" s="43"/>
      <c r="X2459" s="43"/>
      <c r="Y2459" s="43"/>
      <c r="Z2459" s="43"/>
    </row>
    <row r="2460" spans="15:26" x14ac:dyDescent="0.25">
      <c r="O2460" s="43"/>
      <c r="P2460" s="43"/>
      <c r="Q2460" s="43"/>
      <c r="R2460" s="43"/>
      <c r="S2460" s="43"/>
      <c r="T2460" s="43"/>
      <c r="U2460" s="43"/>
      <c r="V2460" s="43"/>
      <c r="W2460" s="43"/>
      <c r="X2460" s="43"/>
      <c r="Y2460" s="43"/>
      <c r="Z2460" s="43"/>
    </row>
    <row r="2461" spans="15:26" x14ac:dyDescent="0.25">
      <c r="O2461" s="43"/>
      <c r="P2461" s="43"/>
      <c r="Q2461" s="43"/>
      <c r="R2461" s="43"/>
      <c r="S2461" s="43"/>
      <c r="T2461" s="43"/>
      <c r="U2461" s="43"/>
      <c r="V2461" s="43"/>
      <c r="W2461" s="43"/>
      <c r="X2461" s="43"/>
      <c r="Y2461" s="43"/>
      <c r="Z2461" s="43"/>
    </row>
    <row r="2462" spans="15:26" x14ac:dyDescent="0.25">
      <c r="O2462" s="43"/>
      <c r="P2462" s="43"/>
      <c r="Q2462" s="43"/>
      <c r="R2462" s="43"/>
      <c r="S2462" s="43"/>
      <c r="T2462" s="43"/>
      <c r="U2462" s="43"/>
      <c r="V2462" s="43"/>
      <c r="W2462" s="43"/>
      <c r="X2462" s="43"/>
      <c r="Y2462" s="43"/>
      <c r="Z2462" s="43"/>
    </row>
    <row r="2463" spans="15:26" x14ac:dyDescent="0.25">
      <c r="O2463" s="43"/>
      <c r="P2463" s="43"/>
      <c r="Q2463" s="43"/>
      <c r="R2463" s="43"/>
      <c r="S2463" s="43"/>
      <c r="T2463" s="43"/>
      <c r="U2463" s="43"/>
      <c r="V2463" s="43"/>
      <c r="W2463" s="43"/>
      <c r="X2463" s="43"/>
      <c r="Y2463" s="43"/>
      <c r="Z2463" s="43"/>
    </row>
    <row r="2464" spans="15:26" x14ac:dyDescent="0.25">
      <c r="O2464" s="43"/>
      <c r="P2464" s="43"/>
      <c r="Q2464" s="43"/>
      <c r="R2464" s="43"/>
      <c r="S2464" s="43"/>
      <c r="T2464" s="43"/>
      <c r="U2464" s="43"/>
      <c r="V2464" s="43"/>
      <c r="W2464" s="43"/>
      <c r="X2464" s="43"/>
      <c r="Y2464" s="43"/>
      <c r="Z2464" s="43"/>
    </row>
    <row r="2465" spans="15:26" x14ac:dyDescent="0.25">
      <c r="O2465" s="43"/>
      <c r="P2465" s="43"/>
      <c r="Q2465" s="43"/>
      <c r="R2465" s="43"/>
      <c r="S2465" s="43"/>
      <c r="T2465" s="43"/>
      <c r="U2465" s="43"/>
      <c r="V2465" s="43"/>
      <c r="W2465" s="43"/>
      <c r="X2465" s="43"/>
      <c r="Y2465" s="43"/>
      <c r="Z2465" s="43"/>
    </row>
    <row r="2466" spans="15:26" x14ac:dyDescent="0.25">
      <c r="O2466" s="43"/>
      <c r="P2466" s="43"/>
      <c r="Q2466" s="43"/>
      <c r="R2466" s="43"/>
      <c r="S2466" s="43"/>
      <c r="T2466" s="43"/>
      <c r="U2466" s="43"/>
      <c r="V2466" s="43"/>
      <c r="W2466" s="43"/>
      <c r="X2466" s="43"/>
      <c r="Y2466" s="43"/>
      <c r="Z2466" s="43"/>
    </row>
    <row r="2467" spans="15:26" x14ac:dyDescent="0.25">
      <c r="O2467" s="43"/>
      <c r="P2467" s="43"/>
      <c r="Q2467" s="43"/>
      <c r="R2467" s="43"/>
      <c r="S2467" s="43"/>
      <c r="T2467" s="43"/>
      <c r="U2467" s="43"/>
      <c r="V2467" s="43"/>
      <c r="W2467" s="43"/>
      <c r="X2467" s="43"/>
      <c r="Y2467" s="43"/>
      <c r="Z2467" s="43"/>
    </row>
    <row r="2468" spans="15:26" x14ac:dyDescent="0.25">
      <c r="O2468" s="43"/>
      <c r="P2468" s="43"/>
      <c r="Q2468" s="43"/>
      <c r="R2468" s="43"/>
      <c r="S2468" s="43"/>
      <c r="T2468" s="43"/>
      <c r="U2468" s="43"/>
      <c r="V2468" s="43"/>
      <c r="W2468" s="43"/>
      <c r="X2468" s="43"/>
      <c r="Y2468" s="43"/>
      <c r="Z2468" s="43"/>
    </row>
    <row r="2469" spans="15:26" x14ac:dyDescent="0.25">
      <c r="O2469" s="43"/>
      <c r="P2469" s="43"/>
      <c r="Q2469" s="43"/>
      <c r="R2469" s="43"/>
      <c r="S2469" s="43"/>
      <c r="T2469" s="43"/>
      <c r="U2469" s="43"/>
      <c r="V2469" s="43"/>
      <c r="W2469" s="43"/>
      <c r="X2469" s="43"/>
      <c r="Y2469" s="43"/>
      <c r="Z2469" s="43"/>
    </row>
    <row r="2470" spans="15:26" x14ac:dyDescent="0.25">
      <c r="O2470" s="43"/>
      <c r="P2470" s="43"/>
      <c r="Q2470" s="43"/>
      <c r="R2470" s="43"/>
      <c r="S2470" s="43"/>
      <c r="T2470" s="43"/>
      <c r="U2470" s="43"/>
      <c r="V2470" s="43"/>
      <c r="W2470" s="43"/>
      <c r="X2470" s="43"/>
      <c r="Y2470" s="43"/>
      <c r="Z2470" s="43"/>
    </row>
    <row r="2471" spans="15:26" x14ac:dyDescent="0.25">
      <c r="O2471" s="43"/>
      <c r="P2471" s="43"/>
      <c r="Q2471" s="43"/>
      <c r="R2471" s="43"/>
      <c r="S2471" s="43"/>
      <c r="T2471" s="43"/>
      <c r="U2471" s="43"/>
      <c r="V2471" s="43"/>
      <c r="W2471" s="43"/>
      <c r="X2471" s="43"/>
      <c r="Y2471" s="43"/>
      <c r="Z2471" s="43"/>
    </row>
    <row r="2472" spans="15:26" x14ac:dyDescent="0.25">
      <c r="O2472" s="43"/>
      <c r="P2472" s="43"/>
      <c r="Q2472" s="43"/>
      <c r="R2472" s="43"/>
      <c r="S2472" s="43"/>
      <c r="T2472" s="43"/>
      <c r="U2472" s="43"/>
      <c r="V2472" s="43"/>
      <c r="W2472" s="43"/>
      <c r="X2472" s="43"/>
      <c r="Y2472" s="43"/>
      <c r="Z2472" s="43"/>
    </row>
    <row r="2473" spans="15:26" x14ac:dyDescent="0.25">
      <c r="O2473" s="43"/>
      <c r="P2473" s="43"/>
      <c r="Q2473" s="43"/>
      <c r="R2473" s="43"/>
      <c r="S2473" s="43"/>
      <c r="T2473" s="43"/>
      <c r="U2473" s="43"/>
      <c r="V2473" s="43"/>
      <c r="W2473" s="43"/>
      <c r="X2473" s="43"/>
      <c r="Y2473" s="43"/>
      <c r="Z2473" s="43"/>
    </row>
    <row r="2474" spans="15:26" x14ac:dyDescent="0.25">
      <c r="O2474" s="43"/>
      <c r="P2474" s="43"/>
      <c r="Q2474" s="43"/>
      <c r="R2474" s="43"/>
      <c r="S2474" s="43"/>
      <c r="T2474" s="43"/>
      <c r="U2474" s="43"/>
      <c r="V2474" s="43"/>
      <c r="W2474" s="43"/>
      <c r="X2474" s="43"/>
      <c r="Y2474" s="43"/>
      <c r="Z2474" s="43"/>
    </row>
    <row r="2475" spans="15:26" x14ac:dyDescent="0.25">
      <c r="O2475" s="43"/>
      <c r="P2475" s="43"/>
      <c r="Q2475" s="43"/>
      <c r="R2475" s="43"/>
      <c r="S2475" s="43"/>
      <c r="T2475" s="43"/>
      <c r="U2475" s="43"/>
      <c r="V2475" s="43"/>
      <c r="W2475" s="43"/>
      <c r="X2475" s="43"/>
      <c r="Y2475" s="43"/>
      <c r="Z2475" s="43"/>
    </row>
    <row r="2476" spans="15:26" x14ac:dyDescent="0.25">
      <c r="O2476" s="43"/>
      <c r="P2476" s="43"/>
      <c r="Q2476" s="43"/>
      <c r="R2476" s="43"/>
      <c r="S2476" s="43"/>
      <c r="T2476" s="43"/>
      <c r="U2476" s="43"/>
      <c r="V2476" s="43"/>
      <c r="W2476" s="43"/>
      <c r="X2476" s="43"/>
      <c r="Y2476" s="43"/>
      <c r="Z2476" s="43"/>
    </row>
    <row r="2477" spans="15:26" x14ac:dyDescent="0.25">
      <c r="O2477" s="43"/>
      <c r="P2477" s="43"/>
      <c r="Q2477" s="43"/>
      <c r="R2477" s="43"/>
      <c r="S2477" s="43"/>
      <c r="T2477" s="43"/>
      <c r="U2477" s="43"/>
      <c r="V2477" s="43"/>
      <c r="W2477" s="43"/>
      <c r="X2477" s="43"/>
      <c r="Y2477" s="43"/>
      <c r="Z2477" s="43"/>
    </row>
    <row r="2478" spans="15:26" x14ac:dyDescent="0.25">
      <c r="O2478" s="43"/>
      <c r="P2478" s="43"/>
      <c r="Q2478" s="43"/>
      <c r="R2478" s="43"/>
      <c r="S2478" s="43"/>
      <c r="T2478" s="43"/>
      <c r="U2478" s="43"/>
      <c r="V2478" s="43"/>
      <c r="W2478" s="43"/>
      <c r="X2478" s="43"/>
      <c r="Y2478" s="43"/>
      <c r="Z2478" s="43"/>
    </row>
    <row r="2479" spans="15:26" x14ac:dyDescent="0.25">
      <c r="O2479" s="43"/>
      <c r="P2479" s="43"/>
      <c r="Q2479" s="43"/>
      <c r="R2479" s="43"/>
      <c r="S2479" s="43"/>
      <c r="T2479" s="43"/>
      <c r="U2479" s="43"/>
      <c r="V2479" s="43"/>
      <c r="W2479" s="43"/>
      <c r="X2479" s="43"/>
      <c r="Y2479" s="43"/>
      <c r="Z2479" s="43"/>
    </row>
    <row r="2480" spans="15:26" x14ac:dyDescent="0.25">
      <c r="O2480" s="43"/>
      <c r="P2480" s="43"/>
      <c r="Q2480" s="43"/>
      <c r="R2480" s="43"/>
      <c r="S2480" s="43"/>
      <c r="T2480" s="43"/>
      <c r="U2480" s="43"/>
      <c r="V2480" s="43"/>
      <c r="W2480" s="43"/>
      <c r="X2480" s="43"/>
      <c r="Y2480" s="43"/>
      <c r="Z2480" s="43"/>
    </row>
    <row r="2481" spans="15:26" x14ac:dyDescent="0.25">
      <c r="O2481" s="43"/>
      <c r="P2481" s="43"/>
      <c r="Q2481" s="43"/>
      <c r="R2481" s="43"/>
      <c r="S2481" s="43"/>
      <c r="T2481" s="43"/>
      <c r="U2481" s="43"/>
      <c r="V2481" s="43"/>
      <c r="W2481" s="43"/>
      <c r="X2481" s="43"/>
      <c r="Y2481" s="43"/>
      <c r="Z2481" s="43"/>
    </row>
    <row r="2482" spans="15:26" x14ac:dyDescent="0.25">
      <c r="O2482" s="43"/>
      <c r="P2482" s="43"/>
      <c r="Q2482" s="43"/>
      <c r="R2482" s="43"/>
      <c r="S2482" s="43"/>
      <c r="T2482" s="43"/>
      <c r="U2482" s="43"/>
      <c r="V2482" s="43"/>
      <c r="W2482" s="43"/>
      <c r="X2482" s="43"/>
      <c r="Y2482" s="43"/>
      <c r="Z2482" s="43"/>
    </row>
    <row r="2483" spans="15:26" x14ac:dyDescent="0.25">
      <c r="O2483" s="43"/>
      <c r="P2483" s="43"/>
      <c r="Q2483" s="43"/>
      <c r="R2483" s="43"/>
      <c r="S2483" s="43"/>
      <c r="T2483" s="43"/>
      <c r="U2483" s="43"/>
      <c r="V2483" s="43"/>
      <c r="W2483" s="43"/>
      <c r="X2483" s="43"/>
      <c r="Y2483" s="43"/>
      <c r="Z2483" s="43"/>
    </row>
    <row r="2484" spans="15:26" x14ac:dyDescent="0.25">
      <c r="O2484" s="43"/>
      <c r="P2484" s="43"/>
      <c r="Q2484" s="43"/>
      <c r="R2484" s="43"/>
      <c r="S2484" s="43"/>
      <c r="T2484" s="43"/>
      <c r="U2484" s="43"/>
      <c r="V2484" s="43"/>
      <c r="W2484" s="43"/>
      <c r="X2484" s="43"/>
      <c r="Y2484" s="43"/>
      <c r="Z2484" s="43"/>
    </row>
    <row r="2485" spans="15:26" x14ac:dyDescent="0.25">
      <c r="O2485" s="43"/>
      <c r="P2485" s="43"/>
      <c r="Q2485" s="43"/>
      <c r="R2485" s="43"/>
      <c r="S2485" s="43"/>
      <c r="T2485" s="43"/>
      <c r="U2485" s="43"/>
      <c r="V2485" s="43"/>
      <c r="W2485" s="43"/>
      <c r="X2485" s="43"/>
      <c r="Y2485" s="43"/>
      <c r="Z2485" s="43"/>
    </row>
    <row r="2486" spans="15:26" x14ac:dyDescent="0.25">
      <c r="O2486" s="43"/>
      <c r="P2486" s="43"/>
      <c r="Q2486" s="43"/>
      <c r="R2486" s="43"/>
      <c r="S2486" s="43"/>
      <c r="T2486" s="43"/>
      <c r="U2486" s="43"/>
      <c r="V2486" s="43"/>
      <c r="W2486" s="43"/>
      <c r="X2486" s="43"/>
      <c r="Y2486" s="43"/>
      <c r="Z2486" s="43"/>
    </row>
    <row r="2487" spans="15:26" x14ac:dyDescent="0.25">
      <c r="O2487" s="43"/>
      <c r="P2487" s="43"/>
      <c r="Q2487" s="43"/>
      <c r="R2487" s="43"/>
      <c r="S2487" s="43"/>
      <c r="T2487" s="43"/>
      <c r="U2487" s="43"/>
      <c r="V2487" s="43"/>
      <c r="W2487" s="43"/>
      <c r="X2487" s="43"/>
      <c r="Y2487" s="43"/>
      <c r="Z2487" s="43"/>
    </row>
    <row r="2488" spans="15:26" x14ac:dyDescent="0.25">
      <c r="O2488" s="43"/>
      <c r="P2488" s="43"/>
      <c r="Q2488" s="43"/>
      <c r="R2488" s="43"/>
      <c r="S2488" s="43"/>
      <c r="T2488" s="43"/>
      <c r="U2488" s="43"/>
      <c r="V2488" s="43"/>
      <c r="W2488" s="43"/>
      <c r="X2488" s="43"/>
      <c r="Y2488" s="43"/>
      <c r="Z2488" s="43"/>
    </row>
    <row r="2489" spans="15:26" x14ac:dyDescent="0.25">
      <c r="O2489" s="43"/>
      <c r="P2489" s="43"/>
      <c r="Q2489" s="43"/>
      <c r="R2489" s="43"/>
      <c r="S2489" s="43"/>
      <c r="T2489" s="43"/>
      <c r="U2489" s="43"/>
      <c r="V2489" s="43"/>
      <c r="W2489" s="43"/>
      <c r="X2489" s="43"/>
      <c r="Y2489" s="43"/>
      <c r="Z2489" s="43"/>
    </row>
    <row r="2490" spans="15:26" x14ac:dyDescent="0.25">
      <c r="O2490" s="43"/>
      <c r="P2490" s="43"/>
      <c r="Q2490" s="43"/>
      <c r="R2490" s="43"/>
      <c r="S2490" s="43"/>
      <c r="T2490" s="43"/>
      <c r="U2490" s="43"/>
      <c r="V2490" s="43"/>
      <c r="W2490" s="43"/>
      <c r="X2490" s="43"/>
      <c r="Y2490" s="43"/>
      <c r="Z2490" s="43"/>
    </row>
    <row r="2491" spans="15:26" x14ac:dyDescent="0.25">
      <c r="O2491" s="43"/>
      <c r="P2491" s="43"/>
      <c r="Q2491" s="43"/>
      <c r="R2491" s="43"/>
      <c r="S2491" s="43"/>
      <c r="T2491" s="43"/>
      <c r="U2491" s="43"/>
      <c r="V2491" s="43"/>
      <c r="W2491" s="43"/>
      <c r="X2491" s="43"/>
      <c r="Y2491" s="43"/>
      <c r="Z2491" s="43"/>
    </row>
    <row r="2492" spans="15:26" x14ac:dyDescent="0.25">
      <c r="O2492" s="43"/>
      <c r="P2492" s="43"/>
      <c r="Q2492" s="43"/>
      <c r="R2492" s="43"/>
      <c r="S2492" s="43"/>
      <c r="T2492" s="43"/>
      <c r="U2492" s="43"/>
      <c r="V2492" s="43"/>
      <c r="W2492" s="43"/>
      <c r="X2492" s="43"/>
      <c r="Y2492" s="43"/>
      <c r="Z2492" s="43"/>
    </row>
    <row r="2493" spans="15:26" x14ac:dyDescent="0.25">
      <c r="O2493" s="43"/>
      <c r="P2493" s="43"/>
      <c r="Q2493" s="43"/>
      <c r="R2493" s="43"/>
      <c r="S2493" s="43"/>
      <c r="T2493" s="43"/>
      <c r="U2493" s="43"/>
      <c r="V2493" s="43"/>
      <c r="W2493" s="43"/>
      <c r="X2493" s="43"/>
      <c r="Y2493" s="43"/>
      <c r="Z2493" s="43"/>
    </row>
    <row r="2494" spans="15:26" x14ac:dyDescent="0.25">
      <c r="O2494" s="43"/>
      <c r="P2494" s="43"/>
      <c r="Q2494" s="43"/>
      <c r="R2494" s="43"/>
      <c r="S2494" s="43"/>
      <c r="T2494" s="43"/>
      <c r="U2494" s="43"/>
      <c r="V2494" s="43"/>
      <c r="W2494" s="43"/>
      <c r="X2494" s="43"/>
      <c r="Y2494" s="43"/>
      <c r="Z2494" s="43"/>
    </row>
    <row r="2495" spans="15:26" x14ac:dyDescent="0.25">
      <c r="O2495" s="43"/>
      <c r="P2495" s="43"/>
      <c r="Q2495" s="43"/>
      <c r="R2495" s="43"/>
      <c r="S2495" s="43"/>
      <c r="T2495" s="43"/>
      <c r="U2495" s="43"/>
      <c r="V2495" s="43"/>
      <c r="W2495" s="43"/>
      <c r="X2495" s="43"/>
      <c r="Y2495" s="43"/>
      <c r="Z2495" s="43"/>
    </row>
    <row r="2496" spans="15:26" x14ac:dyDescent="0.25">
      <c r="O2496" s="43"/>
      <c r="P2496" s="43"/>
      <c r="Q2496" s="43"/>
      <c r="R2496" s="43"/>
      <c r="S2496" s="43"/>
      <c r="T2496" s="43"/>
      <c r="U2496" s="43"/>
      <c r="V2496" s="43"/>
      <c r="W2496" s="43"/>
      <c r="X2496" s="43"/>
      <c r="Y2496" s="43"/>
      <c r="Z2496" s="43"/>
    </row>
    <row r="2497" spans="15:26" x14ac:dyDescent="0.25">
      <c r="O2497" s="43"/>
      <c r="P2497" s="43"/>
      <c r="Q2497" s="43"/>
      <c r="R2497" s="43"/>
      <c r="S2497" s="43"/>
      <c r="T2497" s="43"/>
      <c r="U2497" s="43"/>
      <c r="V2497" s="43"/>
      <c r="W2497" s="43"/>
      <c r="X2497" s="43"/>
      <c r="Y2497" s="43"/>
      <c r="Z2497" s="43"/>
    </row>
    <row r="2498" spans="15:26" x14ac:dyDescent="0.25">
      <c r="O2498" s="43"/>
      <c r="P2498" s="43"/>
      <c r="Q2498" s="43"/>
      <c r="R2498" s="43"/>
      <c r="S2498" s="43"/>
      <c r="T2498" s="43"/>
      <c r="U2498" s="43"/>
      <c r="V2498" s="43"/>
      <c r="W2498" s="43"/>
      <c r="X2498" s="43"/>
      <c r="Y2498" s="43"/>
      <c r="Z2498" s="43"/>
    </row>
    <row r="2499" spans="15:26" x14ac:dyDescent="0.25">
      <c r="O2499" s="43"/>
      <c r="P2499" s="43"/>
      <c r="Q2499" s="43"/>
      <c r="R2499" s="43"/>
      <c r="S2499" s="43"/>
      <c r="T2499" s="43"/>
      <c r="U2499" s="43"/>
      <c r="V2499" s="43"/>
      <c r="W2499" s="43"/>
      <c r="X2499" s="43"/>
      <c r="Y2499" s="43"/>
      <c r="Z2499" s="43"/>
    </row>
    <row r="2500" spans="15:26" x14ac:dyDescent="0.25">
      <c r="O2500" s="43"/>
      <c r="P2500" s="43"/>
      <c r="Q2500" s="43"/>
      <c r="R2500" s="43"/>
      <c r="S2500" s="43"/>
      <c r="T2500" s="43"/>
      <c r="U2500" s="43"/>
      <c r="V2500" s="43"/>
      <c r="W2500" s="43"/>
      <c r="X2500" s="43"/>
      <c r="Y2500" s="43"/>
      <c r="Z2500" s="43"/>
    </row>
    <row r="2501" spans="15:26" x14ac:dyDescent="0.25">
      <c r="O2501" s="43"/>
      <c r="P2501" s="43"/>
      <c r="Q2501" s="43"/>
      <c r="R2501" s="43"/>
      <c r="S2501" s="43"/>
      <c r="T2501" s="43"/>
      <c r="U2501" s="43"/>
      <c r="V2501" s="43"/>
      <c r="W2501" s="43"/>
      <c r="X2501" s="43"/>
      <c r="Y2501" s="43"/>
      <c r="Z2501" s="43"/>
    </row>
    <row r="2502" spans="15:26" x14ac:dyDescent="0.25">
      <c r="O2502" s="43"/>
      <c r="P2502" s="43"/>
      <c r="Q2502" s="43"/>
      <c r="R2502" s="43"/>
      <c r="S2502" s="43"/>
      <c r="T2502" s="43"/>
      <c r="U2502" s="43"/>
      <c r="V2502" s="43"/>
      <c r="W2502" s="43"/>
      <c r="X2502" s="43"/>
      <c r="Y2502" s="43"/>
      <c r="Z2502" s="43"/>
    </row>
    <row r="2503" spans="15:26" x14ac:dyDescent="0.25">
      <c r="O2503" s="43"/>
      <c r="P2503" s="43"/>
      <c r="Q2503" s="43"/>
      <c r="R2503" s="43"/>
      <c r="S2503" s="43"/>
      <c r="T2503" s="43"/>
      <c r="U2503" s="43"/>
      <c r="V2503" s="43"/>
      <c r="W2503" s="43"/>
      <c r="X2503" s="43"/>
      <c r="Y2503" s="43"/>
      <c r="Z2503" s="43"/>
    </row>
    <row r="2504" spans="15:26" x14ac:dyDescent="0.25">
      <c r="O2504" s="43"/>
      <c r="P2504" s="43"/>
      <c r="Q2504" s="43"/>
      <c r="R2504" s="43"/>
      <c r="S2504" s="43"/>
      <c r="T2504" s="43"/>
      <c r="U2504" s="43"/>
      <c r="V2504" s="43"/>
      <c r="W2504" s="43"/>
      <c r="X2504" s="43"/>
      <c r="Y2504" s="43"/>
      <c r="Z2504" s="43"/>
    </row>
    <row r="2505" spans="15:26" x14ac:dyDescent="0.25">
      <c r="O2505" s="43"/>
      <c r="P2505" s="43"/>
      <c r="Q2505" s="43"/>
      <c r="R2505" s="43"/>
      <c r="S2505" s="43"/>
      <c r="T2505" s="43"/>
      <c r="U2505" s="43"/>
      <c r="V2505" s="43"/>
      <c r="W2505" s="43"/>
      <c r="X2505" s="43"/>
      <c r="Y2505" s="43"/>
      <c r="Z2505" s="43"/>
    </row>
    <row r="2506" spans="15:26" x14ac:dyDescent="0.25">
      <c r="O2506" s="43"/>
      <c r="P2506" s="43"/>
      <c r="Q2506" s="43"/>
      <c r="R2506" s="43"/>
      <c r="S2506" s="43"/>
      <c r="T2506" s="43"/>
      <c r="U2506" s="43"/>
      <c r="V2506" s="43"/>
      <c r="W2506" s="43"/>
      <c r="X2506" s="43"/>
      <c r="Y2506" s="43"/>
      <c r="Z2506" s="43"/>
    </row>
    <row r="2507" spans="15:26" x14ac:dyDescent="0.25">
      <c r="O2507" s="43"/>
      <c r="P2507" s="43"/>
      <c r="Q2507" s="43"/>
      <c r="R2507" s="43"/>
      <c r="S2507" s="43"/>
      <c r="T2507" s="43"/>
      <c r="U2507" s="43"/>
      <c r="V2507" s="43"/>
      <c r="W2507" s="43"/>
      <c r="X2507" s="43"/>
      <c r="Y2507" s="43"/>
      <c r="Z2507" s="43"/>
    </row>
    <row r="2508" spans="15:26" x14ac:dyDescent="0.25">
      <c r="O2508" s="43"/>
      <c r="P2508" s="43"/>
      <c r="Q2508" s="43"/>
      <c r="R2508" s="43"/>
      <c r="S2508" s="43"/>
      <c r="T2508" s="43"/>
      <c r="U2508" s="43"/>
      <c r="V2508" s="43"/>
      <c r="W2508" s="43"/>
      <c r="X2508" s="43"/>
      <c r="Y2508" s="43"/>
      <c r="Z2508" s="43"/>
    </row>
    <row r="2509" spans="15:26" x14ac:dyDescent="0.25">
      <c r="O2509" s="43"/>
      <c r="P2509" s="43"/>
      <c r="Q2509" s="43"/>
      <c r="R2509" s="43"/>
      <c r="S2509" s="43"/>
      <c r="T2509" s="43"/>
      <c r="U2509" s="43"/>
      <c r="V2509" s="43"/>
      <c r="W2509" s="43"/>
      <c r="X2509" s="43"/>
      <c r="Y2509" s="43"/>
      <c r="Z2509" s="43"/>
    </row>
    <row r="2510" spans="15:26" x14ac:dyDescent="0.25">
      <c r="O2510" s="43"/>
      <c r="P2510" s="43"/>
      <c r="Q2510" s="43"/>
      <c r="R2510" s="43"/>
      <c r="S2510" s="43"/>
      <c r="T2510" s="43"/>
      <c r="U2510" s="43"/>
      <c r="V2510" s="43"/>
      <c r="W2510" s="43"/>
      <c r="X2510" s="43"/>
      <c r="Y2510" s="43"/>
      <c r="Z2510" s="43"/>
    </row>
    <row r="2511" spans="15:26" x14ac:dyDescent="0.25">
      <c r="O2511" s="43"/>
      <c r="P2511" s="43"/>
      <c r="Q2511" s="43"/>
      <c r="R2511" s="43"/>
      <c r="S2511" s="43"/>
      <c r="T2511" s="43"/>
      <c r="U2511" s="43"/>
      <c r="V2511" s="43"/>
      <c r="W2511" s="43"/>
      <c r="X2511" s="43"/>
      <c r="Y2511" s="43"/>
      <c r="Z2511" s="43"/>
    </row>
    <row r="2512" spans="15:26" x14ac:dyDescent="0.25">
      <c r="O2512" s="43"/>
      <c r="P2512" s="43"/>
      <c r="Q2512" s="43"/>
      <c r="R2512" s="43"/>
      <c r="S2512" s="43"/>
      <c r="T2512" s="43"/>
      <c r="U2512" s="43"/>
      <c r="V2512" s="43"/>
      <c r="W2512" s="43"/>
      <c r="X2512" s="43"/>
      <c r="Y2512" s="43"/>
      <c r="Z2512" s="43"/>
    </row>
    <row r="2513" spans="15:26" x14ac:dyDescent="0.25">
      <c r="O2513" s="43"/>
      <c r="P2513" s="43"/>
      <c r="Q2513" s="43"/>
      <c r="R2513" s="43"/>
      <c r="S2513" s="43"/>
      <c r="T2513" s="43"/>
      <c r="U2513" s="43"/>
      <c r="V2513" s="43"/>
      <c r="W2513" s="43"/>
      <c r="X2513" s="43"/>
      <c r="Y2513" s="43"/>
      <c r="Z2513" s="43"/>
    </row>
    <row r="2514" spans="15:26" x14ac:dyDescent="0.25">
      <c r="O2514" s="43"/>
      <c r="P2514" s="43"/>
      <c r="Q2514" s="43"/>
      <c r="R2514" s="43"/>
      <c r="S2514" s="43"/>
      <c r="T2514" s="43"/>
      <c r="U2514" s="43"/>
      <c r="V2514" s="43"/>
      <c r="W2514" s="43"/>
      <c r="X2514" s="43"/>
      <c r="Y2514" s="43"/>
      <c r="Z2514" s="43"/>
    </row>
    <row r="2515" spans="15:26" x14ac:dyDescent="0.25">
      <c r="O2515" s="43"/>
      <c r="P2515" s="43"/>
      <c r="Q2515" s="43"/>
      <c r="R2515" s="43"/>
      <c r="S2515" s="43"/>
      <c r="T2515" s="43"/>
      <c r="U2515" s="43"/>
      <c r="V2515" s="43"/>
      <c r="W2515" s="43"/>
      <c r="X2515" s="43"/>
      <c r="Y2515" s="43"/>
      <c r="Z2515" s="43"/>
    </row>
    <row r="2516" spans="15:26" x14ac:dyDescent="0.25">
      <c r="O2516" s="43"/>
      <c r="P2516" s="43"/>
      <c r="Q2516" s="43"/>
      <c r="R2516" s="43"/>
      <c r="S2516" s="43"/>
      <c r="T2516" s="43"/>
      <c r="U2516" s="43"/>
      <c r="V2516" s="43"/>
      <c r="W2516" s="43"/>
      <c r="X2516" s="43"/>
      <c r="Y2516" s="43"/>
      <c r="Z2516" s="43"/>
    </row>
    <row r="2517" spans="15:26" x14ac:dyDescent="0.25">
      <c r="O2517" s="43"/>
      <c r="P2517" s="43"/>
      <c r="Q2517" s="43"/>
      <c r="R2517" s="43"/>
      <c r="S2517" s="43"/>
      <c r="T2517" s="43"/>
      <c r="U2517" s="43"/>
      <c r="V2517" s="43"/>
      <c r="W2517" s="43"/>
      <c r="X2517" s="43"/>
      <c r="Y2517" s="43"/>
      <c r="Z2517" s="43"/>
    </row>
    <row r="2518" spans="15:26" x14ac:dyDescent="0.25">
      <c r="O2518" s="43"/>
      <c r="P2518" s="43"/>
      <c r="Q2518" s="43"/>
      <c r="R2518" s="43"/>
      <c r="S2518" s="43"/>
      <c r="T2518" s="43"/>
      <c r="U2518" s="43"/>
      <c r="V2518" s="43"/>
      <c r="W2518" s="43"/>
      <c r="X2518" s="43"/>
      <c r="Y2518" s="43"/>
      <c r="Z2518" s="43"/>
    </row>
    <row r="2519" spans="15:26" x14ac:dyDescent="0.25">
      <c r="O2519" s="43"/>
      <c r="P2519" s="43"/>
      <c r="Q2519" s="43"/>
      <c r="R2519" s="43"/>
      <c r="S2519" s="43"/>
      <c r="T2519" s="43"/>
      <c r="U2519" s="43"/>
      <c r="V2519" s="43"/>
      <c r="W2519" s="43"/>
      <c r="X2519" s="43"/>
      <c r="Y2519" s="43"/>
      <c r="Z2519" s="43"/>
    </row>
    <row r="2520" spans="15:26" x14ac:dyDescent="0.25">
      <c r="O2520" s="43"/>
      <c r="P2520" s="43"/>
      <c r="Q2520" s="43"/>
      <c r="R2520" s="43"/>
      <c r="S2520" s="43"/>
      <c r="T2520" s="43"/>
      <c r="U2520" s="43"/>
      <c r="V2520" s="43"/>
      <c r="W2520" s="43"/>
      <c r="X2520" s="43"/>
      <c r="Y2520" s="43"/>
      <c r="Z2520" s="43"/>
    </row>
    <row r="2521" spans="15:26" x14ac:dyDescent="0.25">
      <c r="O2521" s="43"/>
      <c r="P2521" s="43"/>
      <c r="Q2521" s="43"/>
      <c r="R2521" s="43"/>
      <c r="S2521" s="43"/>
      <c r="T2521" s="43"/>
      <c r="U2521" s="43"/>
      <c r="V2521" s="43"/>
      <c r="W2521" s="43"/>
      <c r="X2521" s="43"/>
      <c r="Y2521" s="43"/>
      <c r="Z2521" s="43"/>
    </row>
    <row r="2522" spans="15:26" x14ac:dyDescent="0.25">
      <c r="O2522" s="43"/>
      <c r="P2522" s="43"/>
      <c r="Q2522" s="43"/>
      <c r="R2522" s="43"/>
      <c r="S2522" s="43"/>
      <c r="T2522" s="43"/>
      <c r="U2522" s="43"/>
      <c r="V2522" s="43"/>
      <c r="W2522" s="43"/>
      <c r="X2522" s="43"/>
      <c r="Y2522" s="43"/>
      <c r="Z2522" s="43"/>
    </row>
    <row r="2523" spans="15:26" x14ac:dyDescent="0.25">
      <c r="O2523" s="43"/>
      <c r="P2523" s="43"/>
      <c r="Q2523" s="43"/>
      <c r="R2523" s="43"/>
      <c r="S2523" s="43"/>
      <c r="T2523" s="43"/>
      <c r="U2523" s="43"/>
      <c r="V2523" s="43"/>
      <c r="W2523" s="43"/>
      <c r="X2523" s="43"/>
      <c r="Y2523" s="43"/>
      <c r="Z2523" s="43"/>
    </row>
    <row r="2524" spans="15:26" x14ac:dyDescent="0.25">
      <c r="O2524" s="43"/>
      <c r="P2524" s="43"/>
      <c r="Q2524" s="43"/>
      <c r="R2524" s="43"/>
      <c r="S2524" s="43"/>
      <c r="T2524" s="43"/>
      <c r="U2524" s="43"/>
      <c r="V2524" s="43"/>
      <c r="W2524" s="43"/>
      <c r="X2524" s="43"/>
      <c r="Y2524" s="43"/>
      <c r="Z2524" s="43"/>
    </row>
    <row r="2525" spans="15:26" x14ac:dyDescent="0.25">
      <c r="O2525" s="43"/>
      <c r="P2525" s="43"/>
      <c r="Q2525" s="43"/>
      <c r="R2525" s="43"/>
      <c r="S2525" s="43"/>
      <c r="T2525" s="43"/>
      <c r="U2525" s="43"/>
      <c r="V2525" s="43"/>
      <c r="W2525" s="43"/>
      <c r="X2525" s="43"/>
      <c r="Y2525" s="43"/>
      <c r="Z2525" s="43"/>
    </row>
    <row r="2526" spans="15:26" x14ac:dyDescent="0.25">
      <c r="O2526" s="43"/>
      <c r="P2526" s="43"/>
      <c r="Q2526" s="43"/>
      <c r="R2526" s="43"/>
      <c r="S2526" s="43"/>
      <c r="T2526" s="43"/>
      <c r="U2526" s="43"/>
      <c r="V2526" s="43"/>
      <c r="W2526" s="43"/>
      <c r="X2526" s="43"/>
      <c r="Y2526" s="43"/>
      <c r="Z2526" s="43"/>
    </row>
    <row r="2527" spans="15:26" x14ac:dyDescent="0.25">
      <c r="O2527" s="43"/>
      <c r="P2527" s="43"/>
      <c r="Q2527" s="43"/>
      <c r="R2527" s="43"/>
      <c r="S2527" s="43"/>
      <c r="T2527" s="43"/>
      <c r="U2527" s="43"/>
      <c r="V2527" s="43"/>
      <c r="W2527" s="43"/>
      <c r="X2527" s="43"/>
      <c r="Y2527" s="43"/>
      <c r="Z2527" s="43"/>
    </row>
    <row r="2528" spans="15:26" x14ac:dyDescent="0.25">
      <c r="O2528" s="43"/>
      <c r="P2528" s="43"/>
      <c r="Q2528" s="43"/>
      <c r="R2528" s="43"/>
      <c r="S2528" s="43"/>
      <c r="T2528" s="43"/>
      <c r="U2528" s="43"/>
      <c r="V2528" s="43"/>
      <c r="W2528" s="43"/>
      <c r="X2528" s="43"/>
      <c r="Y2528" s="43"/>
      <c r="Z2528" s="43"/>
    </row>
    <row r="2529" spans="15:26" x14ac:dyDescent="0.25">
      <c r="O2529" s="43"/>
      <c r="P2529" s="43"/>
      <c r="Q2529" s="43"/>
      <c r="R2529" s="43"/>
      <c r="S2529" s="43"/>
      <c r="T2529" s="43"/>
      <c r="U2529" s="43"/>
      <c r="V2529" s="43"/>
      <c r="W2529" s="43"/>
      <c r="X2529" s="43"/>
      <c r="Y2529" s="43"/>
      <c r="Z2529" s="43"/>
    </row>
    <row r="2530" spans="15:26" x14ac:dyDescent="0.25">
      <c r="O2530" s="43"/>
      <c r="P2530" s="43"/>
      <c r="Q2530" s="43"/>
      <c r="R2530" s="43"/>
      <c r="S2530" s="43"/>
      <c r="T2530" s="43"/>
      <c r="U2530" s="43"/>
      <c r="V2530" s="43"/>
      <c r="W2530" s="43"/>
      <c r="X2530" s="43"/>
      <c r="Y2530" s="43"/>
      <c r="Z2530" s="43"/>
    </row>
    <row r="2531" spans="15:26" x14ac:dyDescent="0.25">
      <c r="O2531" s="43"/>
      <c r="P2531" s="43"/>
      <c r="Q2531" s="43"/>
      <c r="R2531" s="43"/>
      <c r="S2531" s="43"/>
      <c r="T2531" s="43"/>
      <c r="U2531" s="43"/>
      <c r="V2531" s="43"/>
      <c r="W2531" s="43"/>
      <c r="X2531" s="43"/>
      <c r="Y2531" s="43"/>
      <c r="Z2531" s="43"/>
    </row>
    <row r="2532" spans="15:26" x14ac:dyDescent="0.25">
      <c r="O2532" s="43"/>
      <c r="P2532" s="43"/>
      <c r="Q2532" s="43"/>
      <c r="R2532" s="43"/>
      <c r="S2532" s="43"/>
      <c r="T2532" s="43"/>
      <c r="U2532" s="43"/>
      <c r="V2532" s="43"/>
      <c r="W2532" s="43"/>
      <c r="X2532" s="43"/>
      <c r="Y2532" s="43"/>
      <c r="Z2532" s="43"/>
    </row>
    <row r="2533" spans="15:26" x14ac:dyDescent="0.25">
      <c r="O2533" s="43"/>
      <c r="P2533" s="43"/>
      <c r="Q2533" s="43"/>
      <c r="R2533" s="43"/>
      <c r="S2533" s="43"/>
      <c r="T2533" s="43"/>
      <c r="U2533" s="43"/>
      <c r="V2533" s="43"/>
      <c r="W2533" s="43"/>
      <c r="X2533" s="43"/>
      <c r="Y2533" s="43"/>
      <c r="Z2533" s="43"/>
    </row>
    <row r="2534" spans="15:26" x14ac:dyDescent="0.25">
      <c r="O2534" s="43"/>
      <c r="P2534" s="43"/>
      <c r="Q2534" s="43"/>
      <c r="R2534" s="43"/>
      <c r="S2534" s="43"/>
      <c r="T2534" s="43"/>
      <c r="U2534" s="43"/>
      <c r="V2534" s="43"/>
      <c r="W2534" s="43"/>
      <c r="X2534" s="43"/>
      <c r="Y2534" s="43"/>
      <c r="Z2534" s="43"/>
    </row>
    <row r="2535" spans="15:26" x14ac:dyDescent="0.25">
      <c r="O2535" s="43"/>
      <c r="P2535" s="43"/>
      <c r="Q2535" s="43"/>
      <c r="R2535" s="43"/>
      <c r="S2535" s="43"/>
      <c r="T2535" s="43"/>
      <c r="U2535" s="43"/>
      <c r="V2535" s="43"/>
      <c r="W2535" s="43"/>
      <c r="X2535" s="43"/>
      <c r="Y2535" s="43"/>
      <c r="Z2535" s="43"/>
    </row>
    <row r="2536" spans="15:26" x14ac:dyDescent="0.25">
      <c r="O2536" s="43"/>
      <c r="P2536" s="43"/>
      <c r="Q2536" s="43"/>
      <c r="R2536" s="43"/>
      <c r="S2536" s="43"/>
      <c r="T2536" s="43"/>
      <c r="U2536" s="43"/>
      <c r="V2536" s="43"/>
      <c r="W2536" s="43"/>
      <c r="X2536" s="43"/>
      <c r="Y2536" s="43"/>
      <c r="Z2536" s="43"/>
    </row>
    <row r="2537" spans="15:26" x14ac:dyDescent="0.25">
      <c r="O2537" s="43"/>
      <c r="P2537" s="43"/>
      <c r="Q2537" s="43"/>
      <c r="R2537" s="43"/>
      <c r="S2537" s="43"/>
      <c r="T2537" s="43"/>
      <c r="U2537" s="43"/>
      <c r="V2537" s="43"/>
      <c r="W2537" s="43"/>
      <c r="X2537" s="43"/>
      <c r="Y2537" s="43"/>
      <c r="Z2537" s="43"/>
    </row>
    <row r="2538" spans="15:26" x14ac:dyDescent="0.25">
      <c r="O2538" s="43"/>
      <c r="P2538" s="43"/>
      <c r="Q2538" s="43"/>
      <c r="R2538" s="43"/>
      <c r="S2538" s="43"/>
      <c r="T2538" s="43"/>
      <c r="U2538" s="43"/>
      <c r="V2538" s="43"/>
      <c r="W2538" s="43"/>
      <c r="X2538" s="43"/>
      <c r="Y2538" s="43"/>
      <c r="Z2538" s="43"/>
    </row>
    <row r="2539" spans="15:26" x14ac:dyDescent="0.25">
      <c r="O2539" s="43"/>
      <c r="P2539" s="43"/>
      <c r="Q2539" s="43"/>
      <c r="R2539" s="43"/>
      <c r="S2539" s="43"/>
      <c r="T2539" s="43"/>
      <c r="U2539" s="43"/>
      <c r="V2539" s="43"/>
      <c r="W2539" s="43"/>
      <c r="X2539" s="43"/>
      <c r="Y2539" s="43"/>
      <c r="Z2539" s="43"/>
    </row>
    <row r="2540" spans="15:26" x14ac:dyDescent="0.25">
      <c r="O2540" s="43"/>
      <c r="P2540" s="43"/>
      <c r="Q2540" s="43"/>
      <c r="R2540" s="43"/>
      <c r="S2540" s="43"/>
      <c r="T2540" s="43"/>
      <c r="U2540" s="43"/>
      <c r="V2540" s="43"/>
      <c r="W2540" s="43"/>
      <c r="X2540" s="43"/>
      <c r="Y2540" s="43"/>
      <c r="Z2540" s="43"/>
    </row>
    <row r="2541" spans="15:26" x14ac:dyDescent="0.25">
      <c r="O2541" s="43"/>
      <c r="P2541" s="43"/>
      <c r="Q2541" s="43"/>
      <c r="R2541" s="43"/>
      <c r="S2541" s="43"/>
      <c r="T2541" s="43"/>
      <c r="U2541" s="43"/>
      <c r="V2541" s="43"/>
      <c r="W2541" s="43"/>
      <c r="X2541" s="43"/>
      <c r="Y2541" s="43"/>
      <c r="Z2541" s="43"/>
    </row>
    <row r="2542" spans="15:26" x14ac:dyDescent="0.25">
      <c r="O2542" s="43"/>
      <c r="P2542" s="43"/>
      <c r="Q2542" s="43"/>
      <c r="R2542" s="43"/>
      <c r="S2542" s="43"/>
      <c r="T2542" s="43"/>
      <c r="U2542" s="43"/>
      <c r="V2542" s="43"/>
      <c r="W2542" s="43"/>
      <c r="X2542" s="43"/>
      <c r="Y2542" s="43"/>
      <c r="Z2542" s="43"/>
    </row>
    <row r="2543" spans="15:26" x14ac:dyDescent="0.25">
      <c r="O2543" s="43"/>
      <c r="P2543" s="43"/>
      <c r="Q2543" s="43"/>
      <c r="R2543" s="43"/>
      <c r="S2543" s="43"/>
      <c r="T2543" s="43"/>
      <c r="U2543" s="43"/>
      <c r="V2543" s="43"/>
      <c r="W2543" s="43"/>
      <c r="X2543" s="43"/>
      <c r="Y2543" s="43"/>
      <c r="Z2543" s="43"/>
    </row>
    <row r="2544" spans="15:26" x14ac:dyDescent="0.25">
      <c r="O2544" s="43"/>
      <c r="P2544" s="43"/>
      <c r="Q2544" s="43"/>
      <c r="R2544" s="43"/>
      <c r="S2544" s="43"/>
      <c r="T2544" s="43"/>
      <c r="U2544" s="43"/>
      <c r="V2544" s="43"/>
      <c r="W2544" s="43"/>
      <c r="X2544" s="43"/>
      <c r="Y2544" s="43"/>
      <c r="Z2544" s="43"/>
    </row>
    <row r="2545" spans="15:26" x14ac:dyDescent="0.25">
      <c r="O2545" s="43"/>
      <c r="P2545" s="43"/>
      <c r="Q2545" s="43"/>
      <c r="R2545" s="43"/>
      <c r="S2545" s="43"/>
      <c r="T2545" s="43"/>
      <c r="U2545" s="43"/>
      <c r="V2545" s="43"/>
      <c r="W2545" s="43"/>
      <c r="X2545" s="43"/>
      <c r="Y2545" s="43"/>
      <c r="Z2545" s="43"/>
    </row>
    <row r="2546" spans="15:26" x14ac:dyDescent="0.25">
      <c r="O2546" s="43"/>
      <c r="P2546" s="43"/>
      <c r="Q2546" s="43"/>
      <c r="R2546" s="43"/>
      <c r="S2546" s="43"/>
      <c r="T2546" s="43"/>
      <c r="U2546" s="43"/>
      <c r="V2546" s="43"/>
      <c r="W2546" s="43"/>
      <c r="X2546" s="43"/>
      <c r="Y2546" s="43"/>
      <c r="Z2546" s="43"/>
    </row>
    <row r="2547" spans="15:26" x14ac:dyDescent="0.25">
      <c r="O2547" s="43"/>
      <c r="P2547" s="43"/>
      <c r="Q2547" s="43"/>
      <c r="R2547" s="43"/>
      <c r="S2547" s="43"/>
      <c r="T2547" s="43"/>
      <c r="U2547" s="43"/>
      <c r="V2547" s="43"/>
      <c r="W2547" s="43"/>
      <c r="X2547" s="43"/>
      <c r="Y2547" s="43"/>
      <c r="Z2547" s="43"/>
    </row>
    <row r="2548" spans="15:26" x14ac:dyDescent="0.25">
      <c r="O2548" s="43"/>
      <c r="P2548" s="43"/>
      <c r="Q2548" s="43"/>
      <c r="R2548" s="43"/>
      <c r="S2548" s="43"/>
      <c r="T2548" s="43"/>
      <c r="U2548" s="43"/>
      <c r="V2548" s="43"/>
      <c r="W2548" s="43"/>
      <c r="X2548" s="43"/>
      <c r="Y2548" s="43"/>
      <c r="Z2548" s="43"/>
    </row>
    <row r="2549" spans="15:26" x14ac:dyDescent="0.25">
      <c r="O2549" s="43"/>
      <c r="P2549" s="43"/>
      <c r="Q2549" s="43"/>
      <c r="R2549" s="43"/>
      <c r="S2549" s="43"/>
      <c r="T2549" s="43"/>
      <c r="U2549" s="43"/>
      <c r="V2549" s="43"/>
      <c r="W2549" s="43"/>
      <c r="X2549" s="43"/>
      <c r="Y2549" s="43"/>
      <c r="Z2549" s="43"/>
    </row>
    <row r="2550" spans="15:26" x14ac:dyDescent="0.25">
      <c r="O2550" s="43"/>
      <c r="P2550" s="43"/>
      <c r="Q2550" s="43"/>
      <c r="R2550" s="43"/>
      <c r="S2550" s="43"/>
      <c r="T2550" s="43"/>
      <c r="U2550" s="43"/>
      <c r="V2550" s="43"/>
      <c r="W2550" s="43"/>
      <c r="X2550" s="43"/>
      <c r="Y2550" s="43"/>
      <c r="Z2550" s="43"/>
    </row>
    <row r="2551" spans="15:26" x14ac:dyDescent="0.25">
      <c r="O2551" s="43"/>
      <c r="P2551" s="43"/>
      <c r="Q2551" s="43"/>
      <c r="R2551" s="43"/>
      <c r="S2551" s="43"/>
      <c r="T2551" s="43"/>
      <c r="U2551" s="43"/>
      <c r="V2551" s="43"/>
      <c r="W2551" s="43"/>
      <c r="X2551" s="43"/>
      <c r="Y2551" s="43"/>
      <c r="Z2551" s="43"/>
    </row>
    <row r="2552" spans="15:26" x14ac:dyDescent="0.25">
      <c r="O2552" s="43"/>
      <c r="P2552" s="43"/>
      <c r="Q2552" s="43"/>
      <c r="R2552" s="43"/>
      <c r="S2552" s="43"/>
      <c r="T2552" s="43"/>
      <c r="U2552" s="43"/>
      <c r="V2552" s="43"/>
      <c r="W2552" s="43"/>
      <c r="X2552" s="43"/>
      <c r="Y2552" s="43"/>
      <c r="Z2552" s="43"/>
    </row>
    <row r="2553" spans="15:26" x14ac:dyDescent="0.25">
      <c r="O2553" s="43"/>
      <c r="P2553" s="43"/>
      <c r="Q2553" s="43"/>
      <c r="R2553" s="43"/>
      <c r="S2553" s="43"/>
      <c r="T2553" s="43"/>
      <c r="U2553" s="43"/>
      <c r="V2553" s="43"/>
      <c r="W2553" s="43"/>
      <c r="X2553" s="43"/>
      <c r="Y2553" s="43"/>
      <c r="Z2553" s="43"/>
    </row>
    <row r="2554" spans="15:26" x14ac:dyDescent="0.25">
      <c r="O2554" s="43"/>
      <c r="P2554" s="43"/>
      <c r="Q2554" s="43"/>
      <c r="R2554" s="43"/>
      <c r="S2554" s="43"/>
      <c r="T2554" s="43"/>
      <c r="U2554" s="43"/>
      <c r="V2554" s="43"/>
      <c r="W2554" s="43"/>
      <c r="X2554" s="43"/>
      <c r="Y2554" s="43"/>
      <c r="Z2554" s="43"/>
    </row>
    <row r="2555" spans="15:26" x14ac:dyDescent="0.25">
      <c r="O2555" s="43"/>
      <c r="P2555" s="43"/>
      <c r="Q2555" s="43"/>
      <c r="R2555" s="43"/>
      <c r="S2555" s="43"/>
      <c r="T2555" s="43"/>
      <c r="U2555" s="43"/>
      <c r="V2555" s="43"/>
      <c r="W2555" s="43"/>
      <c r="X2555" s="43"/>
      <c r="Y2555" s="43"/>
      <c r="Z2555" s="43"/>
    </row>
    <row r="2556" spans="15:26" x14ac:dyDescent="0.25">
      <c r="O2556" s="43"/>
      <c r="P2556" s="43"/>
      <c r="Q2556" s="43"/>
      <c r="R2556" s="43"/>
      <c r="S2556" s="43"/>
      <c r="T2556" s="43"/>
      <c r="U2556" s="43"/>
      <c r="V2556" s="43"/>
      <c r="W2556" s="43"/>
      <c r="X2556" s="43"/>
      <c r="Y2556" s="43"/>
      <c r="Z2556" s="43"/>
    </row>
    <row r="2557" spans="15:26" x14ac:dyDescent="0.25">
      <c r="O2557" s="43"/>
      <c r="P2557" s="43"/>
      <c r="Q2557" s="43"/>
      <c r="R2557" s="43"/>
      <c r="S2557" s="43"/>
      <c r="T2557" s="43"/>
      <c r="U2557" s="43"/>
      <c r="V2557" s="43"/>
      <c r="W2557" s="43"/>
      <c r="X2557" s="43"/>
      <c r="Y2557" s="43"/>
      <c r="Z2557" s="43"/>
    </row>
    <row r="2558" spans="15:26" x14ac:dyDescent="0.25">
      <c r="O2558" s="43"/>
      <c r="P2558" s="43"/>
      <c r="Q2558" s="43"/>
      <c r="R2558" s="43"/>
      <c r="S2558" s="43"/>
      <c r="T2558" s="43"/>
      <c r="U2558" s="43"/>
      <c r="V2558" s="43"/>
      <c r="W2558" s="43"/>
      <c r="X2558" s="43"/>
      <c r="Y2558" s="43"/>
      <c r="Z2558" s="43"/>
    </row>
    <row r="2559" spans="15:26" x14ac:dyDescent="0.25">
      <c r="O2559" s="43"/>
      <c r="P2559" s="43"/>
      <c r="Q2559" s="43"/>
      <c r="R2559" s="43"/>
      <c r="S2559" s="43"/>
      <c r="T2559" s="43"/>
      <c r="U2559" s="43"/>
      <c r="V2559" s="43"/>
      <c r="W2559" s="43"/>
      <c r="X2559" s="43"/>
      <c r="Y2559" s="43"/>
      <c r="Z2559" s="43"/>
    </row>
    <row r="2560" spans="15:26" x14ac:dyDescent="0.25">
      <c r="O2560" s="43"/>
      <c r="P2560" s="43"/>
      <c r="Q2560" s="43"/>
      <c r="R2560" s="43"/>
      <c r="S2560" s="43"/>
      <c r="T2560" s="43"/>
      <c r="U2560" s="43"/>
      <c r="V2560" s="43"/>
      <c r="W2560" s="43"/>
      <c r="X2560" s="43"/>
      <c r="Y2560" s="43"/>
      <c r="Z2560" s="43"/>
    </row>
    <row r="2561" spans="15:26" x14ac:dyDescent="0.25">
      <c r="O2561" s="43"/>
      <c r="P2561" s="43"/>
      <c r="Q2561" s="43"/>
      <c r="R2561" s="43"/>
      <c r="S2561" s="43"/>
      <c r="T2561" s="43"/>
      <c r="U2561" s="43"/>
      <c r="V2561" s="43"/>
      <c r="W2561" s="43"/>
      <c r="X2561" s="43"/>
      <c r="Y2561" s="43"/>
      <c r="Z2561" s="43"/>
    </row>
    <row r="2562" spans="15:26" x14ac:dyDescent="0.25">
      <c r="O2562" s="43"/>
      <c r="P2562" s="43"/>
      <c r="Q2562" s="43"/>
      <c r="R2562" s="43"/>
      <c r="S2562" s="43"/>
      <c r="T2562" s="43"/>
      <c r="U2562" s="43"/>
      <c r="V2562" s="43"/>
      <c r="W2562" s="43"/>
      <c r="X2562" s="43"/>
      <c r="Y2562" s="43"/>
      <c r="Z2562" s="43"/>
    </row>
    <row r="2563" spans="15:26" x14ac:dyDescent="0.25">
      <c r="O2563" s="43"/>
      <c r="P2563" s="43"/>
      <c r="Q2563" s="43"/>
      <c r="R2563" s="43"/>
      <c r="S2563" s="43"/>
      <c r="T2563" s="43"/>
      <c r="U2563" s="43"/>
      <c r="V2563" s="43"/>
      <c r="W2563" s="43"/>
      <c r="X2563" s="43"/>
      <c r="Y2563" s="43"/>
      <c r="Z2563" s="43"/>
    </row>
    <row r="2564" spans="15:26" x14ac:dyDescent="0.25">
      <c r="O2564" s="43"/>
      <c r="P2564" s="43"/>
      <c r="Q2564" s="43"/>
      <c r="R2564" s="43"/>
      <c r="S2564" s="43"/>
      <c r="T2564" s="43"/>
      <c r="U2564" s="43"/>
      <c r="V2564" s="43"/>
      <c r="W2564" s="43"/>
      <c r="X2564" s="43"/>
      <c r="Y2564" s="43"/>
      <c r="Z2564" s="43"/>
    </row>
    <row r="2565" spans="15:26" x14ac:dyDescent="0.25">
      <c r="O2565" s="43"/>
      <c r="P2565" s="43"/>
      <c r="Q2565" s="43"/>
      <c r="R2565" s="43"/>
      <c r="S2565" s="43"/>
      <c r="T2565" s="43"/>
      <c r="U2565" s="43"/>
      <c r="V2565" s="43"/>
      <c r="W2565" s="43"/>
      <c r="X2565" s="43"/>
      <c r="Y2565" s="43"/>
      <c r="Z2565" s="43"/>
    </row>
    <row r="2566" spans="15:26" x14ac:dyDescent="0.25">
      <c r="O2566" s="43"/>
      <c r="P2566" s="43"/>
      <c r="Q2566" s="43"/>
      <c r="R2566" s="43"/>
      <c r="S2566" s="43"/>
      <c r="T2566" s="43"/>
      <c r="U2566" s="43"/>
      <c r="V2566" s="43"/>
      <c r="W2566" s="43"/>
      <c r="X2566" s="43"/>
      <c r="Y2566" s="43"/>
      <c r="Z2566" s="43"/>
    </row>
    <row r="2567" spans="15:26" x14ac:dyDescent="0.25">
      <c r="O2567" s="43"/>
      <c r="P2567" s="43"/>
      <c r="Q2567" s="43"/>
      <c r="R2567" s="43"/>
      <c r="S2567" s="43"/>
      <c r="T2567" s="43"/>
      <c r="U2567" s="43"/>
      <c r="V2567" s="43"/>
      <c r="W2567" s="43"/>
      <c r="X2567" s="43"/>
      <c r="Y2567" s="43"/>
      <c r="Z2567" s="43"/>
    </row>
    <row r="2568" spans="15:26" x14ac:dyDescent="0.25">
      <c r="O2568" s="43"/>
      <c r="P2568" s="43"/>
      <c r="Q2568" s="43"/>
      <c r="R2568" s="43"/>
      <c r="S2568" s="43"/>
      <c r="T2568" s="43"/>
      <c r="U2568" s="43"/>
      <c r="V2568" s="43"/>
      <c r="W2568" s="43"/>
      <c r="X2568" s="43"/>
      <c r="Y2568" s="43"/>
      <c r="Z2568" s="43"/>
    </row>
    <row r="2569" spans="15:26" x14ac:dyDescent="0.25">
      <c r="O2569" s="43"/>
      <c r="P2569" s="43"/>
      <c r="Q2569" s="43"/>
      <c r="R2569" s="43"/>
      <c r="S2569" s="43"/>
      <c r="T2569" s="43"/>
      <c r="U2569" s="43"/>
      <c r="V2569" s="43"/>
      <c r="W2569" s="43"/>
      <c r="X2569" s="43"/>
      <c r="Y2569" s="43"/>
      <c r="Z2569" s="43"/>
    </row>
    <row r="2570" spans="15:26" x14ac:dyDescent="0.25">
      <c r="O2570" s="43"/>
      <c r="P2570" s="43"/>
      <c r="Q2570" s="43"/>
      <c r="R2570" s="43"/>
      <c r="S2570" s="43"/>
      <c r="T2570" s="43"/>
      <c r="U2570" s="43"/>
      <c r="V2570" s="43"/>
      <c r="W2570" s="43"/>
      <c r="X2570" s="43"/>
      <c r="Y2570" s="43"/>
      <c r="Z2570" s="43"/>
    </row>
    <row r="2571" spans="15:26" x14ac:dyDescent="0.25">
      <c r="O2571" s="43"/>
      <c r="P2571" s="43"/>
      <c r="Q2571" s="43"/>
      <c r="R2571" s="43"/>
      <c r="S2571" s="43"/>
      <c r="T2571" s="43"/>
      <c r="U2571" s="43"/>
      <c r="V2571" s="43"/>
      <c r="W2571" s="43"/>
      <c r="X2571" s="43"/>
      <c r="Y2571" s="43"/>
      <c r="Z2571" s="43"/>
    </row>
    <row r="2572" spans="15:26" x14ac:dyDescent="0.25">
      <c r="O2572" s="43"/>
      <c r="P2572" s="43"/>
      <c r="Q2572" s="43"/>
      <c r="R2572" s="43"/>
      <c r="S2572" s="43"/>
      <c r="T2572" s="43"/>
      <c r="U2572" s="43"/>
      <c r="V2572" s="43"/>
      <c r="W2572" s="43"/>
      <c r="X2572" s="43"/>
      <c r="Y2572" s="43"/>
      <c r="Z2572" s="43"/>
    </row>
    <row r="2573" spans="15:26" x14ac:dyDescent="0.25">
      <c r="O2573" s="43"/>
      <c r="P2573" s="43"/>
      <c r="Q2573" s="43"/>
      <c r="R2573" s="43"/>
      <c r="S2573" s="43"/>
      <c r="T2573" s="43"/>
      <c r="U2573" s="43"/>
      <c r="V2573" s="43"/>
      <c r="W2573" s="43"/>
      <c r="X2573" s="43"/>
      <c r="Y2573" s="43"/>
      <c r="Z2573" s="43"/>
    </row>
    <row r="2574" spans="15:26" x14ac:dyDescent="0.25">
      <c r="O2574" s="43"/>
      <c r="P2574" s="43"/>
      <c r="Q2574" s="43"/>
      <c r="R2574" s="43"/>
      <c r="S2574" s="43"/>
      <c r="T2574" s="43"/>
      <c r="U2574" s="43"/>
      <c r="V2574" s="43"/>
      <c r="W2574" s="43"/>
      <c r="X2574" s="43"/>
      <c r="Y2574" s="43"/>
      <c r="Z2574" s="43"/>
    </row>
    <row r="2575" spans="15:26" x14ac:dyDescent="0.25">
      <c r="O2575" s="43"/>
      <c r="P2575" s="43"/>
      <c r="Q2575" s="43"/>
      <c r="R2575" s="43"/>
      <c r="S2575" s="43"/>
      <c r="T2575" s="43"/>
      <c r="U2575" s="43"/>
      <c r="V2575" s="43"/>
      <c r="W2575" s="43"/>
      <c r="X2575" s="43"/>
      <c r="Y2575" s="43"/>
      <c r="Z2575" s="43"/>
    </row>
    <row r="2576" spans="15:26" x14ac:dyDescent="0.25">
      <c r="O2576" s="43"/>
      <c r="P2576" s="43"/>
      <c r="Q2576" s="43"/>
      <c r="R2576" s="43"/>
      <c r="S2576" s="43"/>
      <c r="T2576" s="43"/>
      <c r="U2576" s="43"/>
      <c r="V2576" s="43"/>
      <c r="W2576" s="43"/>
      <c r="X2576" s="43"/>
      <c r="Y2576" s="43"/>
      <c r="Z2576" s="43"/>
    </row>
    <row r="2577" spans="15:26" x14ac:dyDescent="0.25">
      <c r="O2577" s="43"/>
      <c r="P2577" s="43"/>
      <c r="Q2577" s="43"/>
      <c r="R2577" s="43"/>
      <c r="S2577" s="43"/>
      <c r="T2577" s="43"/>
      <c r="U2577" s="43"/>
      <c r="V2577" s="43"/>
      <c r="W2577" s="43"/>
      <c r="X2577" s="43"/>
      <c r="Y2577" s="43"/>
      <c r="Z2577" s="43"/>
    </row>
    <row r="2578" spans="15:26" x14ac:dyDescent="0.25">
      <c r="O2578" s="43"/>
      <c r="P2578" s="43"/>
      <c r="Q2578" s="43"/>
      <c r="R2578" s="43"/>
      <c r="S2578" s="43"/>
      <c r="T2578" s="43"/>
      <c r="U2578" s="43"/>
      <c r="V2578" s="43"/>
      <c r="W2578" s="43"/>
      <c r="X2578" s="43"/>
      <c r="Y2578" s="43"/>
      <c r="Z2578" s="43"/>
    </row>
    <row r="2579" spans="15:26" x14ac:dyDescent="0.25">
      <c r="O2579" s="43"/>
      <c r="P2579" s="43"/>
      <c r="Q2579" s="43"/>
      <c r="R2579" s="43"/>
      <c r="S2579" s="43"/>
      <c r="T2579" s="43"/>
      <c r="U2579" s="43"/>
      <c r="V2579" s="43"/>
      <c r="W2579" s="43"/>
      <c r="X2579" s="43"/>
      <c r="Y2579" s="43"/>
      <c r="Z2579" s="43"/>
    </row>
    <row r="2580" spans="15:26" x14ac:dyDescent="0.25">
      <c r="O2580" s="43"/>
      <c r="P2580" s="43"/>
      <c r="Q2580" s="43"/>
      <c r="R2580" s="43"/>
      <c r="S2580" s="43"/>
      <c r="T2580" s="43"/>
      <c r="U2580" s="43"/>
      <c r="V2580" s="43"/>
      <c r="W2580" s="43"/>
      <c r="X2580" s="43"/>
      <c r="Y2580" s="43"/>
      <c r="Z2580" s="43"/>
    </row>
    <row r="2581" spans="15:26" x14ac:dyDescent="0.25">
      <c r="O2581" s="43"/>
      <c r="P2581" s="43"/>
      <c r="Q2581" s="43"/>
      <c r="R2581" s="43"/>
      <c r="S2581" s="43"/>
      <c r="T2581" s="43"/>
      <c r="U2581" s="43"/>
      <c r="V2581" s="43"/>
      <c r="W2581" s="43"/>
      <c r="X2581" s="43"/>
      <c r="Y2581" s="43"/>
      <c r="Z2581" s="43"/>
    </row>
    <row r="2582" spans="15:26" x14ac:dyDescent="0.25">
      <c r="O2582" s="43"/>
      <c r="P2582" s="43"/>
      <c r="Q2582" s="43"/>
      <c r="R2582" s="43"/>
      <c r="S2582" s="43"/>
      <c r="T2582" s="43"/>
      <c r="U2582" s="43"/>
      <c r="V2582" s="43"/>
      <c r="W2582" s="43"/>
      <c r="X2582" s="43"/>
      <c r="Y2582" s="43"/>
      <c r="Z2582" s="43"/>
    </row>
    <row r="2583" spans="15:26" x14ac:dyDescent="0.25">
      <c r="O2583" s="43"/>
      <c r="P2583" s="43"/>
      <c r="Q2583" s="43"/>
      <c r="R2583" s="43"/>
      <c r="S2583" s="43"/>
      <c r="T2583" s="43"/>
      <c r="U2583" s="43"/>
      <c r="V2583" s="43"/>
      <c r="W2583" s="43"/>
      <c r="X2583" s="43"/>
      <c r="Y2583" s="43"/>
      <c r="Z2583" s="43"/>
    </row>
    <row r="2584" spans="15:26" x14ac:dyDescent="0.25">
      <c r="O2584" s="43"/>
      <c r="P2584" s="43"/>
      <c r="Q2584" s="43"/>
      <c r="R2584" s="43"/>
      <c r="S2584" s="43"/>
      <c r="T2584" s="43"/>
      <c r="U2584" s="43"/>
      <c r="V2584" s="43"/>
      <c r="W2584" s="43"/>
      <c r="X2584" s="43"/>
      <c r="Y2584" s="43"/>
      <c r="Z2584" s="43"/>
    </row>
    <row r="2585" spans="15:26" x14ac:dyDescent="0.25">
      <c r="O2585" s="43"/>
      <c r="P2585" s="43"/>
      <c r="Q2585" s="43"/>
      <c r="R2585" s="43"/>
      <c r="S2585" s="43"/>
      <c r="T2585" s="43"/>
      <c r="U2585" s="43"/>
      <c r="V2585" s="43"/>
      <c r="W2585" s="43"/>
      <c r="X2585" s="43"/>
      <c r="Y2585" s="43"/>
      <c r="Z2585" s="43"/>
    </row>
    <row r="2586" spans="15:26" x14ac:dyDescent="0.25">
      <c r="O2586" s="43"/>
      <c r="P2586" s="43"/>
      <c r="Q2586" s="43"/>
      <c r="R2586" s="43"/>
      <c r="S2586" s="43"/>
      <c r="T2586" s="43"/>
      <c r="U2586" s="43"/>
      <c r="V2586" s="43"/>
      <c r="W2586" s="43"/>
      <c r="X2586" s="43"/>
      <c r="Y2586" s="43"/>
      <c r="Z2586" s="43"/>
    </row>
    <row r="2587" spans="15:26" x14ac:dyDescent="0.25">
      <c r="O2587" s="43"/>
      <c r="P2587" s="43"/>
      <c r="Q2587" s="43"/>
      <c r="R2587" s="43"/>
      <c r="S2587" s="43"/>
      <c r="T2587" s="43"/>
      <c r="U2587" s="43"/>
      <c r="V2587" s="43"/>
      <c r="W2587" s="43"/>
      <c r="X2587" s="43"/>
      <c r="Y2587" s="43"/>
      <c r="Z2587" s="43"/>
    </row>
    <row r="2588" spans="15:26" x14ac:dyDescent="0.25">
      <c r="O2588" s="43"/>
      <c r="P2588" s="43"/>
      <c r="Q2588" s="43"/>
      <c r="R2588" s="43"/>
      <c r="S2588" s="43"/>
      <c r="T2588" s="43"/>
      <c r="U2588" s="43"/>
      <c r="V2588" s="43"/>
      <c r="W2588" s="43"/>
      <c r="X2588" s="43"/>
      <c r="Y2588" s="43"/>
      <c r="Z2588" s="43"/>
    </row>
    <row r="2589" spans="15:26" x14ac:dyDescent="0.25">
      <c r="O2589" s="43"/>
      <c r="P2589" s="43"/>
      <c r="Q2589" s="43"/>
      <c r="R2589" s="43"/>
      <c r="S2589" s="43"/>
      <c r="T2589" s="43"/>
      <c r="U2589" s="43"/>
      <c r="V2589" s="43"/>
      <c r="W2589" s="43"/>
      <c r="X2589" s="43"/>
      <c r="Y2589" s="43"/>
      <c r="Z2589" s="43"/>
    </row>
    <row r="2590" spans="15:26" x14ac:dyDescent="0.25">
      <c r="O2590" s="43"/>
      <c r="P2590" s="43"/>
      <c r="Q2590" s="43"/>
      <c r="R2590" s="43"/>
      <c r="S2590" s="43"/>
      <c r="T2590" s="43"/>
      <c r="U2590" s="43"/>
      <c r="V2590" s="43"/>
      <c r="W2590" s="43"/>
      <c r="X2590" s="43"/>
      <c r="Y2590" s="43"/>
      <c r="Z2590" s="43"/>
    </row>
    <row r="2591" spans="15:26" x14ac:dyDescent="0.25">
      <c r="O2591" s="43"/>
      <c r="P2591" s="43"/>
      <c r="Q2591" s="43"/>
      <c r="R2591" s="43"/>
      <c r="S2591" s="43"/>
      <c r="T2591" s="43"/>
      <c r="U2591" s="43"/>
      <c r="V2591" s="43"/>
      <c r="W2591" s="43"/>
      <c r="X2591" s="43"/>
      <c r="Y2591" s="43"/>
      <c r="Z2591" s="43"/>
    </row>
    <row r="2592" spans="15:26" x14ac:dyDescent="0.25">
      <c r="O2592" s="43"/>
      <c r="P2592" s="43"/>
      <c r="Q2592" s="43"/>
      <c r="R2592" s="43"/>
      <c r="S2592" s="43"/>
      <c r="T2592" s="43"/>
      <c r="U2592" s="43"/>
      <c r="V2592" s="43"/>
      <c r="W2592" s="43"/>
      <c r="X2592" s="43"/>
      <c r="Y2592" s="43"/>
      <c r="Z2592" s="43"/>
    </row>
    <row r="2593" spans="15:26" x14ac:dyDescent="0.25">
      <c r="O2593" s="43"/>
      <c r="P2593" s="43"/>
      <c r="Q2593" s="43"/>
      <c r="R2593" s="43"/>
      <c r="S2593" s="43"/>
      <c r="T2593" s="43"/>
      <c r="U2593" s="43"/>
      <c r="V2593" s="43"/>
      <c r="W2593" s="43"/>
      <c r="X2593" s="43"/>
      <c r="Y2593" s="43"/>
      <c r="Z2593" s="43"/>
    </row>
    <row r="2594" spans="15:26" x14ac:dyDescent="0.25">
      <c r="O2594" s="43"/>
      <c r="P2594" s="43"/>
      <c r="Q2594" s="43"/>
      <c r="R2594" s="43"/>
      <c r="S2594" s="43"/>
      <c r="T2594" s="43"/>
      <c r="U2594" s="43"/>
      <c r="V2594" s="43"/>
      <c r="W2594" s="43"/>
      <c r="X2594" s="43"/>
      <c r="Y2594" s="43"/>
      <c r="Z2594" s="43"/>
    </row>
    <row r="2595" spans="15:26" x14ac:dyDescent="0.25">
      <c r="O2595" s="43"/>
      <c r="P2595" s="43"/>
      <c r="Q2595" s="43"/>
      <c r="R2595" s="43"/>
      <c r="S2595" s="43"/>
      <c r="T2595" s="43"/>
      <c r="U2595" s="43"/>
      <c r="V2595" s="43"/>
      <c r="W2595" s="43"/>
      <c r="X2595" s="43"/>
      <c r="Y2595" s="43"/>
      <c r="Z2595" s="43"/>
    </row>
    <row r="2596" spans="15:26" x14ac:dyDescent="0.25">
      <c r="O2596" s="43"/>
      <c r="P2596" s="43"/>
      <c r="Q2596" s="43"/>
      <c r="R2596" s="43"/>
      <c r="S2596" s="43"/>
      <c r="T2596" s="43"/>
      <c r="U2596" s="43"/>
      <c r="V2596" s="43"/>
      <c r="W2596" s="43"/>
      <c r="X2596" s="43"/>
      <c r="Y2596" s="43"/>
      <c r="Z2596" s="43"/>
    </row>
    <row r="2597" spans="15:26" x14ac:dyDescent="0.25">
      <c r="O2597" s="43"/>
      <c r="P2597" s="43"/>
      <c r="Q2597" s="43"/>
      <c r="R2597" s="43"/>
      <c r="S2597" s="43"/>
      <c r="T2597" s="43"/>
      <c r="U2597" s="43"/>
      <c r="V2597" s="43"/>
      <c r="W2597" s="43"/>
      <c r="X2597" s="43"/>
      <c r="Y2597" s="43"/>
      <c r="Z2597" s="43"/>
    </row>
    <row r="2598" spans="15:26" x14ac:dyDescent="0.25">
      <c r="O2598" s="43"/>
      <c r="P2598" s="43"/>
      <c r="Q2598" s="43"/>
      <c r="R2598" s="43"/>
      <c r="S2598" s="43"/>
      <c r="T2598" s="43"/>
      <c r="U2598" s="43"/>
      <c r="V2598" s="43"/>
      <c r="W2598" s="43"/>
      <c r="X2598" s="43"/>
      <c r="Y2598" s="43"/>
      <c r="Z2598" s="43"/>
    </row>
    <row r="2599" spans="15:26" x14ac:dyDescent="0.25">
      <c r="O2599" s="43"/>
      <c r="P2599" s="43"/>
      <c r="Q2599" s="43"/>
      <c r="R2599" s="43"/>
      <c r="S2599" s="43"/>
      <c r="T2599" s="43"/>
      <c r="U2599" s="43"/>
      <c r="V2599" s="43"/>
      <c r="W2599" s="43"/>
      <c r="X2599" s="43"/>
      <c r="Y2599" s="43"/>
      <c r="Z2599" s="43"/>
    </row>
    <row r="2600" spans="15:26" x14ac:dyDescent="0.25">
      <c r="O2600" s="43"/>
      <c r="P2600" s="43"/>
      <c r="Q2600" s="43"/>
      <c r="R2600" s="43"/>
      <c r="S2600" s="43"/>
      <c r="T2600" s="43"/>
      <c r="U2600" s="43"/>
      <c r="V2600" s="43"/>
      <c r="W2600" s="43"/>
      <c r="X2600" s="43"/>
      <c r="Y2600" s="43"/>
      <c r="Z2600" s="43"/>
    </row>
    <row r="2601" spans="15:26" x14ac:dyDescent="0.25">
      <c r="O2601" s="43"/>
      <c r="P2601" s="43"/>
      <c r="Q2601" s="43"/>
      <c r="R2601" s="43"/>
      <c r="S2601" s="43"/>
      <c r="T2601" s="43"/>
      <c r="U2601" s="43"/>
      <c r="V2601" s="43"/>
      <c r="W2601" s="43"/>
      <c r="X2601" s="43"/>
      <c r="Y2601" s="43"/>
      <c r="Z2601" s="43"/>
    </row>
    <row r="2602" spans="15:26" x14ac:dyDescent="0.25">
      <c r="O2602" s="43"/>
      <c r="P2602" s="43"/>
      <c r="Q2602" s="43"/>
      <c r="R2602" s="43"/>
      <c r="S2602" s="43"/>
      <c r="T2602" s="43"/>
      <c r="U2602" s="43"/>
      <c r="V2602" s="43"/>
      <c r="W2602" s="43"/>
      <c r="X2602" s="43"/>
      <c r="Y2602" s="43"/>
      <c r="Z2602" s="43"/>
    </row>
    <row r="2603" spans="15:26" x14ac:dyDescent="0.25">
      <c r="O2603" s="43"/>
      <c r="P2603" s="43"/>
      <c r="Q2603" s="43"/>
      <c r="R2603" s="43"/>
      <c r="S2603" s="43"/>
      <c r="T2603" s="43"/>
      <c r="U2603" s="43"/>
      <c r="V2603" s="43"/>
      <c r="W2603" s="43"/>
      <c r="X2603" s="43"/>
      <c r="Y2603" s="43"/>
      <c r="Z2603" s="43"/>
    </row>
    <row r="2604" spans="15:26" x14ac:dyDescent="0.25">
      <c r="O2604" s="43"/>
      <c r="P2604" s="43"/>
      <c r="Q2604" s="43"/>
      <c r="R2604" s="43"/>
      <c r="S2604" s="43"/>
      <c r="T2604" s="43"/>
      <c r="U2604" s="43"/>
      <c r="V2604" s="43"/>
      <c r="W2604" s="43"/>
      <c r="X2604" s="43"/>
      <c r="Y2604" s="43"/>
      <c r="Z2604" s="43"/>
    </row>
    <row r="2605" spans="15:26" x14ac:dyDescent="0.25">
      <c r="O2605" s="43"/>
      <c r="P2605" s="43"/>
      <c r="Q2605" s="43"/>
      <c r="R2605" s="43"/>
      <c r="S2605" s="43"/>
      <c r="T2605" s="43"/>
      <c r="U2605" s="43"/>
      <c r="V2605" s="43"/>
      <c r="W2605" s="43"/>
      <c r="X2605" s="43"/>
      <c r="Y2605" s="43"/>
      <c r="Z2605" s="43"/>
    </row>
    <row r="2606" spans="15:26" x14ac:dyDescent="0.25">
      <c r="O2606" s="43"/>
      <c r="P2606" s="43"/>
      <c r="Q2606" s="43"/>
      <c r="R2606" s="43"/>
      <c r="S2606" s="43"/>
      <c r="T2606" s="43"/>
      <c r="U2606" s="43"/>
      <c r="V2606" s="43"/>
      <c r="W2606" s="43"/>
      <c r="X2606" s="43"/>
      <c r="Y2606" s="43"/>
      <c r="Z2606" s="43"/>
    </row>
    <row r="2607" spans="15:26" x14ac:dyDescent="0.25">
      <c r="O2607" s="43"/>
      <c r="P2607" s="43"/>
      <c r="Q2607" s="43"/>
      <c r="R2607" s="43"/>
      <c r="S2607" s="43"/>
      <c r="T2607" s="43"/>
      <c r="U2607" s="43"/>
      <c r="V2607" s="43"/>
      <c r="W2607" s="43"/>
      <c r="X2607" s="43"/>
      <c r="Y2607" s="43"/>
      <c r="Z2607" s="43"/>
    </row>
    <row r="2608" spans="15:26" x14ac:dyDescent="0.25">
      <c r="O2608" s="43"/>
      <c r="P2608" s="43"/>
      <c r="Q2608" s="43"/>
      <c r="R2608" s="43"/>
      <c r="S2608" s="43"/>
      <c r="T2608" s="43"/>
      <c r="U2608" s="43"/>
      <c r="V2608" s="43"/>
      <c r="W2608" s="43"/>
      <c r="X2608" s="43"/>
      <c r="Y2608" s="43"/>
      <c r="Z2608" s="43"/>
    </row>
    <row r="2609" spans="15:26" x14ac:dyDescent="0.25">
      <c r="O2609" s="43"/>
      <c r="P2609" s="43"/>
      <c r="Q2609" s="43"/>
      <c r="R2609" s="43"/>
      <c r="S2609" s="43"/>
      <c r="T2609" s="43"/>
      <c r="U2609" s="43"/>
      <c r="V2609" s="43"/>
      <c r="W2609" s="43"/>
      <c r="X2609" s="43"/>
      <c r="Y2609" s="43"/>
      <c r="Z2609" s="43"/>
    </row>
    <row r="2610" spans="15:26" x14ac:dyDescent="0.25">
      <c r="O2610" s="43"/>
      <c r="P2610" s="43"/>
      <c r="Q2610" s="43"/>
      <c r="R2610" s="43"/>
      <c r="S2610" s="43"/>
      <c r="T2610" s="43"/>
      <c r="U2610" s="43"/>
      <c r="V2610" s="43"/>
      <c r="W2610" s="43"/>
      <c r="X2610" s="43"/>
      <c r="Y2610" s="43"/>
      <c r="Z2610" s="43"/>
    </row>
    <row r="2611" spans="15:26" x14ac:dyDescent="0.25">
      <c r="O2611" s="43"/>
      <c r="P2611" s="43"/>
      <c r="Q2611" s="43"/>
      <c r="R2611" s="43"/>
      <c r="S2611" s="43"/>
      <c r="T2611" s="43"/>
      <c r="U2611" s="43"/>
      <c r="V2611" s="43"/>
      <c r="W2611" s="43"/>
      <c r="X2611" s="43"/>
      <c r="Y2611" s="43"/>
      <c r="Z2611" s="43"/>
    </row>
    <row r="2612" spans="15:26" x14ac:dyDescent="0.25">
      <c r="O2612" s="43"/>
      <c r="P2612" s="43"/>
      <c r="Q2612" s="43"/>
      <c r="R2612" s="43"/>
      <c r="S2612" s="43"/>
      <c r="T2612" s="43"/>
      <c r="U2612" s="43"/>
      <c r="V2612" s="43"/>
      <c r="W2612" s="43"/>
      <c r="X2612" s="43"/>
      <c r="Y2612" s="43"/>
      <c r="Z2612" s="43"/>
    </row>
    <row r="2613" spans="15:26" x14ac:dyDescent="0.25">
      <c r="O2613" s="43"/>
      <c r="P2613" s="43"/>
      <c r="Q2613" s="43"/>
      <c r="R2613" s="43"/>
      <c r="S2613" s="43"/>
      <c r="T2613" s="43"/>
      <c r="U2613" s="43"/>
      <c r="V2613" s="43"/>
      <c r="W2613" s="43"/>
      <c r="X2613" s="43"/>
      <c r="Y2613" s="43"/>
      <c r="Z2613" s="43"/>
    </row>
    <row r="2614" spans="15:26" x14ac:dyDescent="0.25">
      <c r="O2614" s="43"/>
      <c r="P2614" s="43"/>
      <c r="Q2614" s="43"/>
      <c r="R2614" s="43"/>
      <c r="S2614" s="43"/>
      <c r="T2614" s="43"/>
      <c r="U2614" s="43"/>
      <c r="V2614" s="43"/>
      <c r="W2614" s="43"/>
      <c r="X2614" s="43"/>
      <c r="Y2614" s="43"/>
      <c r="Z2614" s="43"/>
    </row>
    <row r="2615" spans="15:26" x14ac:dyDescent="0.25">
      <c r="O2615" s="43"/>
      <c r="P2615" s="43"/>
      <c r="Q2615" s="43"/>
      <c r="R2615" s="43"/>
      <c r="S2615" s="43"/>
      <c r="T2615" s="43"/>
      <c r="U2615" s="43"/>
      <c r="V2615" s="43"/>
      <c r="W2615" s="43"/>
      <c r="X2615" s="43"/>
      <c r="Y2615" s="43"/>
      <c r="Z2615" s="43"/>
    </row>
    <row r="2616" spans="15:26" x14ac:dyDescent="0.25">
      <c r="O2616" s="43"/>
      <c r="P2616" s="43"/>
      <c r="Q2616" s="43"/>
      <c r="R2616" s="43"/>
      <c r="S2616" s="43"/>
      <c r="T2616" s="43"/>
      <c r="U2616" s="43"/>
      <c r="V2616" s="43"/>
      <c r="W2616" s="43"/>
      <c r="X2616" s="43"/>
      <c r="Y2616" s="43"/>
      <c r="Z2616" s="43"/>
    </row>
    <row r="2617" spans="15:26" x14ac:dyDescent="0.25">
      <c r="O2617" s="43"/>
      <c r="P2617" s="43"/>
      <c r="Q2617" s="43"/>
      <c r="R2617" s="43"/>
      <c r="S2617" s="43"/>
      <c r="T2617" s="43"/>
      <c r="U2617" s="43"/>
      <c r="V2617" s="43"/>
      <c r="W2617" s="43"/>
      <c r="X2617" s="43"/>
      <c r="Y2617" s="43"/>
      <c r="Z2617" s="43"/>
    </row>
    <row r="2618" spans="15:26" x14ac:dyDescent="0.25">
      <c r="O2618" s="43"/>
      <c r="P2618" s="43"/>
      <c r="Q2618" s="43"/>
      <c r="R2618" s="43"/>
      <c r="S2618" s="43"/>
      <c r="T2618" s="43"/>
      <c r="U2618" s="43"/>
      <c r="V2618" s="43"/>
      <c r="W2618" s="43"/>
      <c r="X2618" s="43"/>
      <c r="Y2618" s="43"/>
      <c r="Z2618" s="43"/>
    </row>
    <row r="2619" spans="15:26" x14ac:dyDescent="0.25">
      <c r="O2619" s="43"/>
      <c r="P2619" s="43"/>
      <c r="Q2619" s="43"/>
      <c r="R2619" s="43"/>
      <c r="S2619" s="43"/>
      <c r="T2619" s="43"/>
      <c r="U2619" s="43"/>
      <c r="V2619" s="43"/>
      <c r="W2619" s="43"/>
      <c r="X2619" s="43"/>
      <c r="Y2619" s="43"/>
      <c r="Z2619" s="43"/>
    </row>
    <row r="2620" spans="15:26" x14ac:dyDescent="0.25">
      <c r="O2620" s="43"/>
      <c r="P2620" s="43"/>
      <c r="Q2620" s="43"/>
      <c r="R2620" s="43"/>
      <c r="S2620" s="43"/>
      <c r="T2620" s="43"/>
      <c r="U2620" s="43"/>
      <c r="V2620" s="43"/>
      <c r="W2620" s="43"/>
      <c r="X2620" s="43"/>
      <c r="Y2620" s="43"/>
      <c r="Z2620" s="43"/>
    </row>
    <row r="2621" spans="15:26" x14ac:dyDescent="0.25">
      <c r="O2621" s="43"/>
      <c r="P2621" s="43"/>
      <c r="Q2621" s="43"/>
      <c r="R2621" s="43"/>
      <c r="S2621" s="43"/>
      <c r="T2621" s="43"/>
      <c r="U2621" s="43"/>
      <c r="V2621" s="43"/>
      <c r="W2621" s="43"/>
      <c r="X2621" s="43"/>
      <c r="Y2621" s="43"/>
      <c r="Z2621" s="43"/>
    </row>
    <row r="2622" spans="15:26" x14ac:dyDescent="0.25">
      <c r="O2622" s="43"/>
      <c r="P2622" s="43"/>
      <c r="Q2622" s="43"/>
      <c r="R2622" s="43"/>
      <c r="S2622" s="43"/>
      <c r="T2622" s="43"/>
      <c r="U2622" s="43"/>
      <c r="V2622" s="43"/>
      <c r="W2622" s="43"/>
      <c r="X2622" s="43"/>
      <c r="Y2622" s="43"/>
      <c r="Z2622" s="43"/>
    </row>
    <row r="2623" spans="15:26" x14ac:dyDescent="0.25">
      <c r="O2623" s="43"/>
      <c r="P2623" s="43"/>
      <c r="Q2623" s="43"/>
      <c r="R2623" s="43"/>
      <c r="S2623" s="43"/>
      <c r="T2623" s="43"/>
      <c r="U2623" s="43"/>
      <c r="V2623" s="43"/>
      <c r="W2623" s="43"/>
      <c r="X2623" s="43"/>
      <c r="Y2623" s="43"/>
      <c r="Z2623" s="43"/>
    </row>
    <row r="2624" spans="15:26" x14ac:dyDescent="0.25">
      <c r="O2624" s="43"/>
      <c r="P2624" s="43"/>
      <c r="Q2624" s="43"/>
      <c r="R2624" s="43"/>
      <c r="S2624" s="43"/>
      <c r="T2624" s="43"/>
      <c r="U2624" s="43"/>
      <c r="V2624" s="43"/>
      <c r="W2624" s="43"/>
      <c r="X2624" s="43"/>
      <c r="Y2624" s="43"/>
      <c r="Z2624" s="43"/>
    </row>
    <row r="2625" spans="15:26" x14ac:dyDescent="0.25">
      <c r="O2625" s="43"/>
      <c r="P2625" s="43"/>
      <c r="Q2625" s="43"/>
      <c r="R2625" s="43"/>
      <c r="S2625" s="43"/>
      <c r="T2625" s="43"/>
      <c r="U2625" s="43"/>
      <c r="V2625" s="43"/>
      <c r="W2625" s="43"/>
      <c r="X2625" s="43"/>
      <c r="Y2625" s="43"/>
      <c r="Z2625" s="43"/>
    </row>
    <row r="2626" spans="15:26" x14ac:dyDescent="0.25">
      <c r="O2626" s="43"/>
      <c r="P2626" s="43"/>
      <c r="Q2626" s="43"/>
      <c r="R2626" s="43"/>
      <c r="S2626" s="43"/>
      <c r="T2626" s="43"/>
      <c r="U2626" s="43"/>
      <c r="V2626" s="43"/>
      <c r="W2626" s="43"/>
      <c r="X2626" s="43"/>
      <c r="Y2626" s="43"/>
      <c r="Z2626" s="43"/>
    </row>
    <row r="2627" spans="15:26" x14ac:dyDescent="0.25">
      <c r="O2627" s="43"/>
      <c r="P2627" s="43"/>
      <c r="Q2627" s="43"/>
      <c r="R2627" s="43"/>
      <c r="S2627" s="43"/>
      <c r="T2627" s="43"/>
      <c r="U2627" s="43"/>
      <c r="V2627" s="43"/>
      <c r="W2627" s="43"/>
      <c r="X2627" s="43"/>
      <c r="Y2627" s="43"/>
      <c r="Z2627" s="43"/>
    </row>
    <row r="2628" spans="15:26" x14ac:dyDescent="0.25">
      <c r="O2628" s="43"/>
      <c r="P2628" s="43"/>
      <c r="Q2628" s="43"/>
      <c r="R2628" s="43"/>
      <c r="S2628" s="43"/>
      <c r="T2628" s="43"/>
      <c r="U2628" s="43"/>
      <c r="V2628" s="43"/>
      <c r="W2628" s="43"/>
      <c r="X2628" s="43"/>
      <c r="Y2628" s="43"/>
      <c r="Z2628" s="43"/>
    </row>
    <row r="2629" spans="15:26" x14ac:dyDescent="0.25">
      <c r="O2629" s="43"/>
      <c r="P2629" s="43"/>
      <c r="Q2629" s="43"/>
      <c r="R2629" s="43"/>
      <c r="S2629" s="43"/>
      <c r="T2629" s="43"/>
      <c r="U2629" s="43"/>
      <c r="V2629" s="43"/>
      <c r="W2629" s="43"/>
      <c r="X2629" s="43"/>
      <c r="Y2629" s="43"/>
      <c r="Z2629" s="43"/>
    </row>
    <row r="2630" spans="15:26" x14ac:dyDescent="0.25">
      <c r="O2630" s="43"/>
      <c r="P2630" s="43"/>
      <c r="Q2630" s="43"/>
      <c r="R2630" s="43"/>
      <c r="S2630" s="43"/>
      <c r="T2630" s="43"/>
      <c r="U2630" s="43"/>
      <c r="V2630" s="43"/>
      <c r="W2630" s="43"/>
      <c r="X2630" s="43"/>
      <c r="Y2630" s="43"/>
      <c r="Z2630" s="43"/>
    </row>
    <row r="2631" spans="15:26" x14ac:dyDescent="0.25">
      <c r="O2631" s="43"/>
      <c r="P2631" s="43"/>
      <c r="Q2631" s="43"/>
      <c r="R2631" s="43"/>
      <c r="S2631" s="43"/>
      <c r="T2631" s="43"/>
      <c r="U2631" s="43"/>
      <c r="V2631" s="43"/>
      <c r="W2631" s="43"/>
      <c r="X2631" s="43"/>
      <c r="Y2631" s="43"/>
      <c r="Z2631" s="43"/>
    </row>
    <row r="2632" spans="15:26" x14ac:dyDescent="0.25">
      <c r="O2632" s="43"/>
      <c r="P2632" s="43"/>
      <c r="Q2632" s="43"/>
      <c r="R2632" s="43"/>
      <c r="S2632" s="43"/>
      <c r="T2632" s="43"/>
      <c r="U2632" s="43"/>
      <c r="V2632" s="43"/>
      <c r="W2632" s="43"/>
      <c r="X2632" s="43"/>
      <c r="Y2632" s="43"/>
      <c r="Z2632" s="43"/>
    </row>
    <row r="2633" spans="15:26" x14ac:dyDescent="0.25">
      <c r="O2633" s="43"/>
      <c r="P2633" s="43"/>
      <c r="Q2633" s="43"/>
      <c r="R2633" s="43"/>
      <c r="S2633" s="43"/>
      <c r="T2633" s="43"/>
      <c r="U2633" s="43"/>
      <c r="V2633" s="43"/>
      <c r="W2633" s="43"/>
      <c r="X2633" s="43"/>
      <c r="Y2633" s="43"/>
      <c r="Z2633" s="43"/>
    </row>
    <row r="2634" spans="15:26" x14ac:dyDescent="0.25">
      <c r="O2634" s="43"/>
      <c r="P2634" s="43"/>
      <c r="Q2634" s="43"/>
      <c r="R2634" s="43"/>
      <c r="S2634" s="43"/>
      <c r="T2634" s="43"/>
      <c r="U2634" s="43"/>
      <c r="V2634" s="43"/>
      <c r="W2634" s="43"/>
      <c r="X2634" s="43"/>
      <c r="Y2634" s="43"/>
      <c r="Z2634" s="43"/>
    </row>
    <row r="2635" spans="15:26" x14ac:dyDescent="0.25">
      <c r="O2635" s="43"/>
      <c r="P2635" s="43"/>
      <c r="Q2635" s="43"/>
      <c r="R2635" s="43"/>
      <c r="S2635" s="43"/>
      <c r="T2635" s="43"/>
      <c r="U2635" s="43"/>
      <c r="V2635" s="43"/>
      <c r="W2635" s="43"/>
      <c r="X2635" s="43"/>
      <c r="Y2635" s="43"/>
      <c r="Z2635" s="43"/>
    </row>
    <row r="2636" spans="15:26" x14ac:dyDescent="0.25">
      <c r="O2636" s="43"/>
      <c r="P2636" s="43"/>
      <c r="Q2636" s="43"/>
      <c r="R2636" s="43"/>
      <c r="S2636" s="43"/>
      <c r="T2636" s="43"/>
      <c r="U2636" s="43"/>
      <c r="V2636" s="43"/>
      <c r="W2636" s="43"/>
      <c r="X2636" s="43"/>
      <c r="Y2636" s="43"/>
      <c r="Z2636" s="43"/>
    </row>
    <row r="2637" spans="15:26" x14ac:dyDescent="0.25">
      <c r="O2637" s="43"/>
      <c r="P2637" s="43"/>
      <c r="Q2637" s="43"/>
      <c r="R2637" s="43"/>
      <c r="S2637" s="43"/>
      <c r="T2637" s="43"/>
      <c r="U2637" s="43"/>
      <c r="V2637" s="43"/>
      <c r="W2637" s="43"/>
      <c r="X2637" s="43"/>
      <c r="Y2637" s="43"/>
      <c r="Z2637" s="43"/>
    </row>
    <row r="2638" spans="15:26" x14ac:dyDescent="0.25">
      <c r="O2638" s="43"/>
      <c r="P2638" s="43"/>
      <c r="Q2638" s="43"/>
      <c r="R2638" s="43"/>
      <c r="S2638" s="43"/>
      <c r="T2638" s="43"/>
      <c r="U2638" s="43"/>
      <c r="V2638" s="43"/>
      <c r="W2638" s="43"/>
      <c r="X2638" s="43"/>
      <c r="Y2638" s="43"/>
      <c r="Z2638" s="43"/>
    </row>
    <row r="2639" spans="15:26" x14ac:dyDescent="0.25">
      <c r="O2639" s="43"/>
      <c r="P2639" s="43"/>
      <c r="Q2639" s="43"/>
      <c r="R2639" s="43"/>
      <c r="S2639" s="43"/>
      <c r="T2639" s="43"/>
      <c r="U2639" s="43"/>
      <c r="V2639" s="43"/>
      <c r="W2639" s="43"/>
      <c r="X2639" s="43"/>
      <c r="Y2639" s="43"/>
      <c r="Z2639" s="43"/>
    </row>
    <row r="2640" spans="15:26" x14ac:dyDescent="0.25">
      <c r="O2640" s="43"/>
      <c r="P2640" s="43"/>
      <c r="Q2640" s="43"/>
      <c r="R2640" s="43"/>
      <c r="S2640" s="43"/>
      <c r="T2640" s="43"/>
      <c r="U2640" s="43"/>
      <c r="V2640" s="43"/>
      <c r="W2640" s="43"/>
      <c r="X2640" s="43"/>
      <c r="Y2640" s="43"/>
      <c r="Z2640" s="43"/>
    </row>
    <row r="2641" spans="15:26" x14ac:dyDescent="0.25">
      <c r="O2641" s="43"/>
      <c r="P2641" s="43"/>
      <c r="Q2641" s="43"/>
      <c r="R2641" s="43"/>
      <c r="S2641" s="43"/>
      <c r="T2641" s="43"/>
      <c r="U2641" s="43"/>
      <c r="V2641" s="43"/>
      <c r="W2641" s="43"/>
      <c r="X2641" s="43"/>
      <c r="Y2641" s="43"/>
      <c r="Z2641" s="43"/>
    </row>
    <row r="2642" spans="15:26" x14ac:dyDescent="0.25">
      <c r="O2642" s="43"/>
      <c r="P2642" s="43"/>
      <c r="Q2642" s="43"/>
      <c r="R2642" s="43"/>
      <c r="S2642" s="43"/>
      <c r="T2642" s="43"/>
      <c r="U2642" s="43"/>
      <c r="V2642" s="43"/>
      <c r="W2642" s="43"/>
      <c r="X2642" s="43"/>
      <c r="Y2642" s="43"/>
      <c r="Z2642" s="43"/>
    </row>
    <row r="2643" spans="15:26" x14ac:dyDescent="0.25">
      <c r="O2643" s="43"/>
      <c r="P2643" s="43"/>
      <c r="Q2643" s="43"/>
      <c r="R2643" s="43"/>
      <c r="S2643" s="43"/>
      <c r="T2643" s="43"/>
      <c r="U2643" s="43"/>
      <c r="V2643" s="43"/>
      <c r="W2643" s="43"/>
      <c r="X2643" s="43"/>
      <c r="Y2643" s="43"/>
      <c r="Z2643" s="43"/>
    </row>
    <row r="2644" spans="15:26" x14ac:dyDescent="0.25">
      <c r="O2644" s="43"/>
      <c r="P2644" s="43"/>
      <c r="Q2644" s="43"/>
      <c r="R2644" s="43"/>
      <c r="S2644" s="43"/>
      <c r="T2644" s="43"/>
      <c r="U2644" s="43"/>
      <c r="V2644" s="43"/>
      <c r="W2644" s="43"/>
      <c r="X2644" s="43"/>
      <c r="Y2644" s="43"/>
      <c r="Z2644" s="43"/>
    </row>
    <row r="2645" spans="15:26" x14ac:dyDescent="0.25">
      <c r="O2645" s="43"/>
      <c r="P2645" s="43"/>
      <c r="Q2645" s="43"/>
      <c r="R2645" s="43"/>
      <c r="S2645" s="43"/>
      <c r="T2645" s="43"/>
      <c r="U2645" s="43"/>
      <c r="V2645" s="43"/>
      <c r="W2645" s="43"/>
      <c r="X2645" s="43"/>
      <c r="Y2645" s="43"/>
      <c r="Z2645" s="43"/>
    </row>
    <row r="2646" spans="15:26" x14ac:dyDescent="0.25">
      <c r="O2646" s="43"/>
      <c r="P2646" s="43"/>
      <c r="Q2646" s="43"/>
      <c r="R2646" s="43"/>
      <c r="S2646" s="43"/>
      <c r="T2646" s="43"/>
      <c r="U2646" s="43"/>
      <c r="V2646" s="43"/>
      <c r="W2646" s="43"/>
      <c r="X2646" s="43"/>
      <c r="Y2646" s="43"/>
      <c r="Z2646" s="43"/>
    </row>
    <row r="2647" spans="15:26" x14ac:dyDescent="0.25">
      <c r="O2647" s="43"/>
      <c r="P2647" s="43"/>
      <c r="Q2647" s="43"/>
      <c r="R2647" s="43"/>
      <c r="S2647" s="43"/>
      <c r="T2647" s="43"/>
      <c r="U2647" s="43"/>
      <c r="V2647" s="43"/>
      <c r="W2647" s="43"/>
      <c r="X2647" s="43"/>
      <c r="Y2647" s="43"/>
      <c r="Z2647" s="43"/>
    </row>
    <row r="2648" spans="15:26" x14ac:dyDescent="0.25">
      <c r="O2648" s="43"/>
      <c r="P2648" s="43"/>
      <c r="Q2648" s="43"/>
      <c r="R2648" s="43"/>
      <c r="S2648" s="43"/>
      <c r="T2648" s="43"/>
      <c r="U2648" s="43"/>
      <c r="V2648" s="43"/>
      <c r="W2648" s="43"/>
      <c r="X2648" s="43"/>
      <c r="Y2648" s="43"/>
      <c r="Z2648" s="43"/>
    </row>
    <row r="2649" spans="15:26" x14ac:dyDescent="0.25">
      <c r="O2649" s="43"/>
      <c r="P2649" s="43"/>
      <c r="Q2649" s="43"/>
      <c r="R2649" s="43"/>
      <c r="S2649" s="43"/>
      <c r="T2649" s="43"/>
      <c r="U2649" s="43"/>
      <c r="V2649" s="43"/>
      <c r="W2649" s="43"/>
      <c r="X2649" s="43"/>
      <c r="Y2649" s="43"/>
      <c r="Z2649" s="43"/>
    </row>
    <row r="2650" spans="15:26" x14ac:dyDescent="0.25">
      <c r="O2650" s="43"/>
      <c r="P2650" s="43"/>
      <c r="Q2650" s="43"/>
      <c r="R2650" s="43"/>
      <c r="S2650" s="43"/>
      <c r="T2650" s="43"/>
      <c r="U2650" s="43"/>
      <c r="V2650" s="43"/>
      <c r="W2650" s="43"/>
      <c r="X2650" s="43"/>
      <c r="Y2650" s="43"/>
      <c r="Z2650" s="43"/>
    </row>
    <row r="2651" spans="15:26" x14ac:dyDescent="0.25">
      <c r="O2651" s="43"/>
      <c r="P2651" s="43"/>
      <c r="Q2651" s="43"/>
      <c r="R2651" s="43"/>
      <c r="S2651" s="43"/>
      <c r="T2651" s="43"/>
      <c r="U2651" s="43"/>
      <c r="V2651" s="43"/>
      <c r="W2651" s="43"/>
      <c r="X2651" s="43"/>
      <c r="Y2651" s="43"/>
      <c r="Z2651" s="43"/>
    </row>
    <row r="2652" spans="15:26" x14ac:dyDescent="0.25">
      <c r="O2652" s="43"/>
      <c r="P2652" s="43"/>
      <c r="Q2652" s="43"/>
      <c r="R2652" s="43"/>
      <c r="S2652" s="43"/>
      <c r="T2652" s="43"/>
      <c r="U2652" s="43"/>
      <c r="V2652" s="43"/>
      <c r="W2652" s="43"/>
      <c r="X2652" s="43"/>
      <c r="Y2652" s="43"/>
      <c r="Z2652" s="43"/>
    </row>
    <row r="2653" spans="15:26" x14ac:dyDescent="0.25">
      <c r="O2653" s="43"/>
      <c r="P2653" s="43"/>
      <c r="Q2653" s="43"/>
      <c r="R2653" s="43"/>
      <c r="S2653" s="43"/>
      <c r="T2653" s="43"/>
      <c r="U2653" s="43"/>
      <c r="V2653" s="43"/>
      <c r="W2653" s="43"/>
      <c r="X2653" s="43"/>
      <c r="Y2653" s="43"/>
      <c r="Z2653" s="43"/>
    </row>
    <row r="2654" spans="15:26" x14ac:dyDescent="0.25">
      <c r="O2654" s="43"/>
      <c r="P2654" s="43"/>
      <c r="Q2654" s="43"/>
      <c r="R2654" s="43"/>
      <c r="S2654" s="43"/>
      <c r="T2654" s="43"/>
      <c r="U2654" s="43"/>
      <c r="V2654" s="43"/>
      <c r="W2654" s="43"/>
      <c r="X2654" s="43"/>
      <c r="Y2654" s="43"/>
      <c r="Z2654" s="43"/>
    </row>
    <row r="2655" spans="15:26" x14ac:dyDescent="0.25">
      <c r="O2655" s="43"/>
      <c r="P2655" s="43"/>
      <c r="Q2655" s="43"/>
      <c r="R2655" s="43"/>
      <c r="S2655" s="43"/>
      <c r="T2655" s="43"/>
      <c r="U2655" s="43"/>
      <c r="V2655" s="43"/>
      <c r="W2655" s="43"/>
      <c r="X2655" s="43"/>
      <c r="Y2655" s="43"/>
      <c r="Z2655" s="43"/>
    </row>
    <row r="2656" spans="15:26" x14ac:dyDescent="0.25">
      <c r="O2656" s="43"/>
      <c r="P2656" s="43"/>
      <c r="Q2656" s="43"/>
      <c r="R2656" s="43"/>
      <c r="S2656" s="43"/>
      <c r="T2656" s="43"/>
      <c r="U2656" s="43"/>
      <c r="V2656" s="43"/>
      <c r="W2656" s="43"/>
      <c r="X2656" s="43"/>
      <c r="Y2656" s="43"/>
      <c r="Z2656" s="43"/>
    </row>
    <row r="2657" spans="15:26" x14ac:dyDescent="0.25">
      <c r="O2657" s="43"/>
      <c r="P2657" s="43"/>
      <c r="Q2657" s="43"/>
      <c r="R2657" s="43"/>
      <c r="S2657" s="43"/>
      <c r="T2657" s="43"/>
      <c r="U2657" s="43"/>
      <c r="V2657" s="43"/>
      <c r="W2657" s="43"/>
      <c r="X2657" s="43"/>
      <c r="Y2657" s="43"/>
      <c r="Z2657" s="43"/>
    </row>
    <row r="2658" spans="15:26" x14ac:dyDescent="0.25">
      <c r="O2658" s="43"/>
      <c r="P2658" s="43"/>
      <c r="Q2658" s="43"/>
      <c r="R2658" s="43"/>
      <c r="S2658" s="43"/>
      <c r="T2658" s="43"/>
      <c r="U2658" s="43"/>
      <c r="V2658" s="43"/>
      <c r="W2658" s="43"/>
      <c r="X2658" s="43"/>
      <c r="Y2658" s="43"/>
      <c r="Z2658" s="43"/>
    </row>
    <row r="2659" spans="15:26" x14ac:dyDescent="0.25">
      <c r="O2659" s="43"/>
      <c r="P2659" s="43"/>
      <c r="Q2659" s="43"/>
      <c r="R2659" s="43"/>
      <c r="S2659" s="43"/>
      <c r="T2659" s="43"/>
      <c r="U2659" s="43"/>
      <c r="V2659" s="43"/>
      <c r="W2659" s="43"/>
      <c r="X2659" s="43"/>
      <c r="Y2659" s="43"/>
      <c r="Z2659" s="43"/>
    </row>
    <row r="2660" spans="15:26" x14ac:dyDescent="0.25">
      <c r="O2660" s="43"/>
      <c r="P2660" s="43"/>
      <c r="Q2660" s="43"/>
      <c r="R2660" s="43"/>
      <c r="S2660" s="43"/>
      <c r="T2660" s="43"/>
      <c r="U2660" s="43"/>
      <c r="V2660" s="43"/>
      <c r="W2660" s="43"/>
      <c r="X2660" s="43"/>
      <c r="Y2660" s="43"/>
      <c r="Z2660" s="43"/>
    </row>
    <row r="2661" spans="15:26" x14ac:dyDescent="0.25">
      <c r="O2661" s="43"/>
      <c r="P2661" s="43"/>
      <c r="Q2661" s="43"/>
      <c r="R2661" s="43"/>
      <c r="S2661" s="43"/>
      <c r="T2661" s="43"/>
      <c r="U2661" s="43"/>
      <c r="V2661" s="43"/>
      <c r="W2661" s="43"/>
      <c r="X2661" s="43"/>
      <c r="Y2661" s="43"/>
      <c r="Z2661" s="43"/>
    </row>
    <row r="2662" spans="15:26" x14ac:dyDescent="0.25">
      <c r="O2662" s="43"/>
      <c r="P2662" s="43"/>
      <c r="Q2662" s="43"/>
      <c r="R2662" s="43"/>
      <c r="S2662" s="43"/>
      <c r="T2662" s="43"/>
      <c r="U2662" s="43"/>
      <c r="V2662" s="43"/>
      <c r="W2662" s="43"/>
      <c r="X2662" s="43"/>
      <c r="Y2662" s="43"/>
      <c r="Z2662" s="43"/>
    </row>
    <row r="2663" spans="15:26" x14ac:dyDescent="0.25">
      <c r="O2663" s="43"/>
      <c r="P2663" s="43"/>
      <c r="Q2663" s="43"/>
      <c r="R2663" s="43"/>
      <c r="S2663" s="43"/>
      <c r="T2663" s="43"/>
      <c r="U2663" s="43"/>
      <c r="V2663" s="43"/>
      <c r="W2663" s="43"/>
      <c r="X2663" s="43"/>
      <c r="Y2663" s="43"/>
      <c r="Z2663" s="43"/>
    </row>
    <row r="2664" spans="15:26" x14ac:dyDescent="0.25">
      <c r="O2664" s="43"/>
      <c r="P2664" s="43"/>
      <c r="Q2664" s="43"/>
      <c r="R2664" s="43"/>
      <c r="S2664" s="43"/>
      <c r="T2664" s="43"/>
      <c r="U2664" s="43"/>
      <c r="V2664" s="43"/>
      <c r="W2664" s="43"/>
      <c r="X2664" s="43"/>
      <c r="Y2664" s="43"/>
      <c r="Z2664" s="43"/>
    </row>
    <row r="2665" spans="15:26" x14ac:dyDescent="0.25">
      <c r="O2665" s="43"/>
      <c r="P2665" s="43"/>
      <c r="Q2665" s="43"/>
      <c r="R2665" s="43"/>
      <c r="S2665" s="43"/>
      <c r="T2665" s="43"/>
      <c r="U2665" s="43"/>
      <c r="V2665" s="43"/>
      <c r="W2665" s="43"/>
      <c r="X2665" s="43"/>
      <c r="Y2665" s="43"/>
      <c r="Z2665" s="43"/>
    </row>
    <row r="2666" spans="15:26" x14ac:dyDescent="0.25">
      <c r="O2666" s="43"/>
      <c r="P2666" s="43"/>
      <c r="Q2666" s="43"/>
      <c r="R2666" s="43"/>
      <c r="S2666" s="43"/>
      <c r="T2666" s="43"/>
      <c r="U2666" s="43"/>
      <c r="V2666" s="43"/>
      <c r="W2666" s="43"/>
      <c r="X2666" s="43"/>
      <c r="Y2666" s="43"/>
      <c r="Z2666" s="43"/>
    </row>
    <row r="2667" spans="15:26" x14ac:dyDescent="0.25">
      <c r="O2667" s="43"/>
      <c r="P2667" s="43"/>
      <c r="Q2667" s="43"/>
      <c r="R2667" s="43"/>
      <c r="S2667" s="43"/>
      <c r="T2667" s="43"/>
      <c r="U2667" s="43"/>
      <c r="V2667" s="43"/>
      <c r="W2667" s="43"/>
      <c r="X2667" s="43"/>
      <c r="Y2667" s="43"/>
      <c r="Z2667" s="43"/>
    </row>
    <row r="2668" spans="15:26" x14ac:dyDescent="0.25">
      <c r="O2668" s="43"/>
      <c r="P2668" s="43"/>
      <c r="Q2668" s="43"/>
      <c r="R2668" s="43"/>
      <c r="S2668" s="43"/>
      <c r="T2668" s="43"/>
      <c r="U2668" s="43"/>
      <c r="V2668" s="43"/>
      <c r="W2668" s="43"/>
      <c r="X2668" s="43"/>
      <c r="Y2668" s="43"/>
      <c r="Z2668" s="43"/>
    </row>
    <row r="2669" spans="15:26" x14ac:dyDescent="0.25">
      <c r="O2669" s="43"/>
      <c r="P2669" s="43"/>
      <c r="Q2669" s="43"/>
      <c r="R2669" s="43"/>
      <c r="S2669" s="43"/>
      <c r="T2669" s="43"/>
      <c r="U2669" s="43"/>
      <c r="V2669" s="43"/>
      <c r="W2669" s="43"/>
      <c r="X2669" s="43"/>
      <c r="Y2669" s="43"/>
      <c r="Z2669" s="43"/>
    </row>
    <row r="2670" spans="15:26" x14ac:dyDescent="0.25">
      <c r="O2670" s="43"/>
      <c r="P2670" s="43"/>
      <c r="Q2670" s="43"/>
      <c r="R2670" s="43"/>
      <c r="S2670" s="43"/>
      <c r="T2670" s="43"/>
      <c r="U2670" s="43"/>
      <c r="V2670" s="43"/>
      <c r="W2670" s="43"/>
      <c r="X2670" s="43"/>
      <c r="Y2670" s="43"/>
      <c r="Z2670" s="43"/>
    </row>
    <row r="2671" spans="15:26" x14ac:dyDescent="0.25">
      <c r="O2671" s="43"/>
      <c r="P2671" s="43"/>
      <c r="Q2671" s="43"/>
      <c r="R2671" s="43"/>
      <c r="S2671" s="43"/>
      <c r="T2671" s="43"/>
      <c r="U2671" s="43"/>
      <c r="V2671" s="43"/>
      <c r="W2671" s="43"/>
      <c r="X2671" s="43"/>
      <c r="Y2671" s="43"/>
      <c r="Z2671" s="43"/>
    </row>
    <row r="2672" spans="15:26" x14ac:dyDescent="0.25">
      <c r="O2672" s="43"/>
      <c r="P2672" s="43"/>
      <c r="Q2672" s="43"/>
      <c r="R2672" s="43"/>
      <c r="S2672" s="43"/>
      <c r="T2672" s="43"/>
      <c r="U2672" s="43"/>
      <c r="V2672" s="43"/>
      <c r="W2672" s="43"/>
      <c r="X2672" s="43"/>
      <c r="Y2672" s="43"/>
      <c r="Z2672" s="43"/>
    </row>
    <row r="2673" spans="15:26" x14ac:dyDescent="0.25">
      <c r="O2673" s="43"/>
      <c r="P2673" s="43"/>
      <c r="Q2673" s="43"/>
      <c r="R2673" s="43"/>
      <c r="S2673" s="43"/>
      <c r="T2673" s="43"/>
      <c r="U2673" s="43"/>
      <c r="V2673" s="43"/>
      <c r="W2673" s="43"/>
      <c r="X2673" s="43"/>
      <c r="Y2673" s="43"/>
      <c r="Z2673" s="43"/>
    </row>
    <row r="2674" spans="15:26" x14ac:dyDescent="0.25">
      <c r="O2674" s="43"/>
      <c r="P2674" s="43"/>
      <c r="Q2674" s="43"/>
      <c r="R2674" s="43"/>
      <c r="S2674" s="43"/>
      <c r="T2674" s="43"/>
      <c r="U2674" s="43"/>
      <c r="V2674" s="43"/>
      <c r="W2674" s="43"/>
      <c r="X2674" s="43"/>
      <c r="Y2674" s="43"/>
      <c r="Z2674" s="43"/>
    </row>
    <row r="2675" spans="15:26" x14ac:dyDescent="0.25">
      <c r="O2675" s="43"/>
      <c r="P2675" s="43"/>
      <c r="Q2675" s="43"/>
      <c r="R2675" s="43"/>
      <c r="S2675" s="43"/>
      <c r="T2675" s="43"/>
      <c r="U2675" s="43"/>
      <c r="V2675" s="43"/>
      <c r="W2675" s="43"/>
      <c r="X2675" s="43"/>
      <c r="Y2675" s="43"/>
      <c r="Z2675" s="43"/>
    </row>
    <row r="2676" spans="15:26" x14ac:dyDescent="0.25">
      <c r="O2676" s="43"/>
      <c r="P2676" s="43"/>
      <c r="Q2676" s="43"/>
      <c r="R2676" s="43"/>
      <c r="S2676" s="43"/>
      <c r="T2676" s="43"/>
      <c r="U2676" s="43"/>
      <c r="V2676" s="43"/>
      <c r="W2676" s="43"/>
      <c r="X2676" s="43"/>
      <c r="Y2676" s="43"/>
      <c r="Z2676" s="43"/>
    </row>
    <row r="2677" spans="15:26" x14ac:dyDescent="0.25">
      <c r="O2677" s="43"/>
      <c r="P2677" s="43"/>
      <c r="Q2677" s="43"/>
      <c r="R2677" s="43"/>
      <c r="S2677" s="43"/>
      <c r="T2677" s="43"/>
      <c r="U2677" s="43"/>
      <c r="V2677" s="43"/>
      <c r="W2677" s="43"/>
      <c r="X2677" s="43"/>
      <c r="Y2677" s="43"/>
      <c r="Z2677" s="43"/>
    </row>
    <row r="2678" spans="15:26" x14ac:dyDescent="0.25">
      <c r="O2678" s="43"/>
      <c r="P2678" s="43"/>
      <c r="Q2678" s="43"/>
      <c r="R2678" s="43"/>
      <c r="S2678" s="43"/>
      <c r="T2678" s="43"/>
      <c r="U2678" s="43"/>
      <c r="V2678" s="43"/>
      <c r="W2678" s="43"/>
      <c r="X2678" s="43"/>
      <c r="Y2678" s="43"/>
      <c r="Z2678" s="43"/>
    </row>
    <row r="2679" spans="15:26" x14ac:dyDescent="0.25">
      <c r="O2679" s="43"/>
      <c r="P2679" s="43"/>
      <c r="Q2679" s="43"/>
      <c r="R2679" s="43"/>
      <c r="S2679" s="43"/>
      <c r="T2679" s="43"/>
      <c r="U2679" s="43"/>
      <c r="V2679" s="43"/>
      <c r="W2679" s="43"/>
      <c r="X2679" s="43"/>
      <c r="Y2679" s="43"/>
      <c r="Z2679" s="43"/>
    </row>
    <row r="2680" spans="15:26" x14ac:dyDescent="0.25">
      <c r="O2680" s="43"/>
      <c r="P2680" s="43"/>
      <c r="Q2680" s="43"/>
      <c r="R2680" s="43"/>
      <c r="S2680" s="43"/>
      <c r="T2680" s="43"/>
      <c r="U2680" s="43"/>
      <c r="V2680" s="43"/>
      <c r="W2680" s="43"/>
      <c r="X2680" s="43"/>
      <c r="Y2680" s="43"/>
      <c r="Z2680" s="43"/>
    </row>
    <row r="2681" spans="15:26" x14ac:dyDescent="0.25">
      <c r="O2681" s="43"/>
      <c r="P2681" s="43"/>
      <c r="Q2681" s="43"/>
      <c r="R2681" s="43"/>
      <c r="S2681" s="43"/>
      <c r="T2681" s="43"/>
      <c r="U2681" s="43"/>
      <c r="V2681" s="43"/>
      <c r="W2681" s="43"/>
      <c r="X2681" s="43"/>
      <c r="Y2681" s="43"/>
      <c r="Z2681" s="43"/>
    </row>
    <row r="2682" spans="15:26" x14ac:dyDescent="0.25">
      <c r="O2682" s="43"/>
      <c r="P2682" s="43"/>
      <c r="Q2682" s="43"/>
      <c r="R2682" s="43"/>
      <c r="S2682" s="43"/>
      <c r="T2682" s="43"/>
      <c r="U2682" s="43"/>
      <c r="V2682" s="43"/>
      <c r="W2682" s="43"/>
      <c r="X2682" s="43"/>
      <c r="Y2682" s="43"/>
      <c r="Z2682" s="43"/>
    </row>
    <row r="2683" spans="15:26" x14ac:dyDescent="0.25">
      <c r="O2683" s="43"/>
      <c r="P2683" s="43"/>
      <c r="Q2683" s="43"/>
      <c r="R2683" s="43"/>
      <c r="S2683" s="43"/>
      <c r="T2683" s="43"/>
      <c r="U2683" s="43"/>
      <c r="V2683" s="43"/>
      <c r="W2683" s="43"/>
      <c r="X2683" s="43"/>
      <c r="Y2683" s="43"/>
      <c r="Z2683" s="43"/>
    </row>
    <row r="2684" spans="15:26" x14ac:dyDescent="0.25">
      <c r="O2684" s="43"/>
      <c r="P2684" s="43"/>
      <c r="Q2684" s="43"/>
      <c r="R2684" s="43"/>
      <c r="S2684" s="43"/>
      <c r="T2684" s="43"/>
      <c r="U2684" s="43"/>
      <c r="V2684" s="43"/>
      <c r="W2684" s="43"/>
      <c r="X2684" s="43"/>
      <c r="Y2684" s="43"/>
      <c r="Z2684" s="43"/>
    </row>
    <row r="2685" spans="15:26" x14ac:dyDescent="0.25">
      <c r="O2685" s="43"/>
      <c r="P2685" s="43"/>
      <c r="Q2685" s="43"/>
      <c r="R2685" s="43"/>
      <c r="S2685" s="43"/>
      <c r="T2685" s="43"/>
      <c r="U2685" s="43"/>
      <c r="V2685" s="43"/>
      <c r="W2685" s="43"/>
      <c r="X2685" s="43"/>
      <c r="Y2685" s="43"/>
      <c r="Z2685" s="43"/>
    </row>
    <row r="2686" spans="15:26" x14ac:dyDescent="0.25">
      <c r="O2686" s="43"/>
      <c r="P2686" s="43"/>
      <c r="Q2686" s="43"/>
      <c r="R2686" s="43"/>
      <c r="S2686" s="43"/>
      <c r="T2686" s="43"/>
      <c r="U2686" s="43"/>
      <c r="V2686" s="43"/>
      <c r="W2686" s="43"/>
      <c r="X2686" s="43"/>
      <c r="Y2686" s="43"/>
      <c r="Z2686" s="43"/>
    </row>
    <row r="2687" spans="15:26" x14ac:dyDescent="0.25">
      <c r="O2687" s="43"/>
      <c r="P2687" s="43"/>
      <c r="Q2687" s="43"/>
      <c r="R2687" s="43"/>
      <c r="S2687" s="43"/>
      <c r="T2687" s="43"/>
      <c r="U2687" s="43"/>
      <c r="V2687" s="43"/>
      <c r="W2687" s="43"/>
      <c r="X2687" s="43"/>
      <c r="Y2687" s="43"/>
      <c r="Z2687" s="43"/>
    </row>
    <row r="2688" spans="15:26" x14ac:dyDescent="0.25">
      <c r="O2688" s="43"/>
      <c r="P2688" s="43"/>
      <c r="Q2688" s="43"/>
      <c r="R2688" s="43"/>
      <c r="S2688" s="43"/>
      <c r="T2688" s="43"/>
      <c r="U2688" s="43"/>
      <c r="V2688" s="43"/>
      <c r="W2688" s="43"/>
      <c r="X2688" s="43"/>
      <c r="Y2688" s="43"/>
      <c r="Z2688" s="43"/>
    </row>
    <row r="2689" spans="15:26" x14ac:dyDescent="0.25">
      <c r="O2689" s="43"/>
      <c r="P2689" s="43"/>
      <c r="Q2689" s="43"/>
      <c r="R2689" s="43"/>
      <c r="S2689" s="43"/>
      <c r="T2689" s="43"/>
      <c r="U2689" s="43"/>
      <c r="V2689" s="43"/>
      <c r="W2689" s="43"/>
      <c r="X2689" s="43"/>
      <c r="Y2689" s="43"/>
      <c r="Z2689" s="43"/>
    </row>
    <row r="2690" spans="15:26" x14ac:dyDescent="0.25">
      <c r="O2690" s="43"/>
      <c r="P2690" s="43"/>
      <c r="Q2690" s="43"/>
      <c r="R2690" s="43"/>
      <c r="S2690" s="43"/>
      <c r="T2690" s="43"/>
      <c r="U2690" s="43"/>
      <c r="V2690" s="43"/>
      <c r="W2690" s="43"/>
      <c r="X2690" s="43"/>
      <c r="Y2690" s="43"/>
      <c r="Z2690" s="43"/>
    </row>
    <row r="2691" spans="15:26" x14ac:dyDescent="0.25">
      <c r="O2691" s="43"/>
      <c r="P2691" s="43"/>
      <c r="Q2691" s="43"/>
      <c r="R2691" s="43"/>
      <c r="S2691" s="43"/>
      <c r="T2691" s="43"/>
      <c r="U2691" s="43"/>
      <c r="V2691" s="43"/>
      <c r="W2691" s="43"/>
      <c r="X2691" s="43"/>
      <c r="Y2691" s="43"/>
      <c r="Z2691" s="43"/>
    </row>
    <row r="2692" spans="15:26" x14ac:dyDescent="0.25">
      <c r="O2692" s="43"/>
      <c r="P2692" s="43"/>
      <c r="Q2692" s="43"/>
      <c r="R2692" s="43"/>
      <c r="S2692" s="43"/>
      <c r="T2692" s="43"/>
      <c r="U2692" s="43"/>
      <c r="V2692" s="43"/>
      <c r="W2692" s="43"/>
      <c r="X2692" s="43"/>
      <c r="Y2692" s="43"/>
      <c r="Z2692" s="43"/>
    </row>
    <row r="2693" spans="15:26" x14ac:dyDescent="0.25">
      <c r="O2693" s="43"/>
      <c r="P2693" s="43"/>
      <c r="Q2693" s="43"/>
      <c r="R2693" s="43"/>
      <c r="S2693" s="43"/>
      <c r="T2693" s="43"/>
      <c r="U2693" s="43"/>
      <c r="V2693" s="43"/>
      <c r="W2693" s="43"/>
      <c r="X2693" s="43"/>
      <c r="Y2693" s="43"/>
      <c r="Z2693" s="43"/>
    </row>
    <row r="2694" spans="15:26" x14ac:dyDescent="0.25">
      <c r="O2694" s="43"/>
      <c r="P2694" s="43"/>
      <c r="Q2694" s="43"/>
      <c r="R2694" s="43"/>
      <c r="S2694" s="43"/>
      <c r="T2694" s="43"/>
      <c r="U2694" s="43"/>
      <c r="V2694" s="43"/>
      <c r="W2694" s="43"/>
      <c r="X2694" s="43"/>
      <c r="Y2694" s="43"/>
      <c r="Z2694" s="43"/>
    </row>
    <row r="2695" spans="15:26" x14ac:dyDescent="0.25">
      <c r="O2695" s="43"/>
      <c r="P2695" s="43"/>
      <c r="Q2695" s="43"/>
      <c r="R2695" s="43"/>
      <c r="S2695" s="43"/>
      <c r="T2695" s="43"/>
      <c r="U2695" s="43"/>
      <c r="V2695" s="43"/>
      <c r="W2695" s="43"/>
      <c r="X2695" s="43"/>
      <c r="Y2695" s="43"/>
      <c r="Z2695" s="43"/>
    </row>
    <row r="2696" spans="15:26" x14ac:dyDescent="0.25">
      <c r="O2696" s="43"/>
      <c r="P2696" s="43"/>
      <c r="Q2696" s="43"/>
      <c r="R2696" s="43"/>
      <c r="S2696" s="43"/>
      <c r="T2696" s="43"/>
      <c r="U2696" s="43"/>
      <c r="V2696" s="43"/>
      <c r="W2696" s="43"/>
      <c r="X2696" s="43"/>
      <c r="Y2696" s="43"/>
      <c r="Z2696" s="43"/>
    </row>
    <row r="2697" spans="15:26" x14ac:dyDescent="0.25">
      <c r="O2697" s="43"/>
      <c r="P2697" s="43"/>
      <c r="Q2697" s="43"/>
      <c r="R2697" s="43"/>
      <c r="S2697" s="43"/>
      <c r="T2697" s="43"/>
      <c r="U2697" s="43"/>
      <c r="V2697" s="43"/>
      <c r="W2697" s="43"/>
      <c r="X2697" s="43"/>
      <c r="Y2697" s="43"/>
      <c r="Z2697" s="43"/>
    </row>
    <row r="2698" spans="15:26" x14ac:dyDescent="0.25">
      <c r="O2698" s="43"/>
      <c r="P2698" s="43"/>
      <c r="Q2698" s="43"/>
      <c r="R2698" s="43"/>
      <c r="S2698" s="43"/>
      <c r="T2698" s="43"/>
      <c r="U2698" s="43"/>
      <c r="V2698" s="43"/>
      <c r="W2698" s="43"/>
      <c r="X2698" s="43"/>
      <c r="Y2698" s="43"/>
      <c r="Z2698" s="43"/>
    </row>
    <row r="2699" spans="15:26" x14ac:dyDescent="0.25">
      <c r="O2699" s="43"/>
      <c r="P2699" s="43"/>
      <c r="Q2699" s="43"/>
      <c r="R2699" s="43"/>
      <c r="S2699" s="43"/>
      <c r="T2699" s="43"/>
      <c r="U2699" s="43"/>
      <c r="V2699" s="43"/>
      <c r="W2699" s="43"/>
      <c r="X2699" s="43"/>
      <c r="Y2699" s="43"/>
      <c r="Z2699" s="43"/>
    </row>
    <row r="2700" spans="15:26" x14ac:dyDescent="0.25">
      <c r="O2700" s="43"/>
      <c r="P2700" s="43"/>
      <c r="Q2700" s="43"/>
      <c r="R2700" s="43"/>
      <c r="S2700" s="43"/>
      <c r="T2700" s="43"/>
      <c r="U2700" s="43"/>
      <c r="V2700" s="43"/>
      <c r="W2700" s="43"/>
      <c r="X2700" s="43"/>
      <c r="Y2700" s="43"/>
      <c r="Z2700" s="43"/>
    </row>
    <row r="2701" spans="15:26" x14ac:dyDescent="0.25">
      <c r="O2701" s="43"/>
      <c r="P2701" s="43"/>
      <c r="Q2701" s="43"/>
      <c r="R2701" s="43"/>
      <c r="S2701" s="43"/>
      <c r="T2701" s="43"/>
      <c r="U2701" s="43"/>
      <c r="V2701" s="43"/>
      <c r="W2701" s="43"/>
      <c r="X2701" s="43"/>
      <c r="Y2701" s="43"/>
      <c r="Z2701" s="43"/>
    </row>
    <row r="2702" spans="15:26" x14ac:dyDescent="0.25">
      <c r="O2702" s="43"/>
      <c r="P2702" s="43"/>
      <c r="Q2702" s="43"/>
      <c r="R2702" s="43"/>
      <c r="S2702" s="43"/>
      <c r="T2702" s="43"/>
      <c r="U2702" s="43"/>
      <c r="V2702" s="43"/>
      <c r="W2702" s="43"/>
      <c r="X2702" s="43"/>
      <c r="Y2702" s="43"/>
      <c r="Z2702" s="43"/>
    </row>
    <row r="2703" spans="15:26" x14ac:dyDescent="0.25">
      <c r="O2703" s="43"/>
      <c r="P2703" s="43"/>
      <c r="Q2703" s="43"/>
      <c r="R2703" s="43"/>
      <c r="S2703" s="43"/>
      <c r="T2703" s="43"/>
      <c r="U2703" s="43"/>
      <c r="V2703" s="43"/>
      <c r="W2703" s="43"/>
      <c r="X2703" s="43"/>
      <c r="Y2703" s="43"/>
      <c r="Z2703" s="43"/>
    </row>
    <row r="2704" spans="15:26" x14ac:dyDescent="0.25">
      <c r="O2704" s="43"/>
      <c r="P2704" s="43"/>
      <c r="Q2704" s="43"/>
      <c r="R2704" s="43"/>
      <c r="S2704" s="43"/>
      <c r="T2704" s="43"/>
      <c r="U2704" s="43"/>
      <c r="V2704" s="43"/>
      <c r="W2704" s="43"/>
      <c r="X2704" s="43"/>
      <c r="Y2704" s="43"/>
      <c r="Z2704" s="43"/>
    </row>
    <row r="2705" spans="15:26" x14ac:dyDescent="0.25">
      <c r="O2705" s="43"/>
      <c r="P2705" s="43"/>
      <c r="Q2705" s="43"/>
      <c r="R2705" s="43"/>
      <c r="S2705" s="43"/>
      <c r="T2705" s="43"/>
      <c r="U2705" s="43"/>
      <c r="V2705" s="43"/>
      <c r="W2705" s="43"/>
      <c r="X2705" s="43"/>
      <c r="Y2705" s="43"/>
      <c r="Z2705" s="43"/>
    </row>
    <row r="2706" spans="15:26" x14ac:dyDescent="0.25">
      <c r="O2706" s="43"/>
      <c r="P2706" s="43"/>
      <c r="Q2706" s="43"/>
      <c r="R2706" s="43"/>
      <c r="S2706" s="43"/>
      <c r="T2706" s="43"/>
      <c r="U2706" s="43"/>
      <c r="V2706" s="43"/>
      <c r="W2706" s="43"/>
      <c r="X2706" s="43"/>
      <c r="Y2706" s="43"/>
      <c r="Z2706" s="43"/>
    </row>
    <row r="2707" spans="15:26" x14ac:dyDescent="0.25">
      <c r="O2707" s="43"/>
      <c r="P2707" s="43"/>
      <c r="Q2707" s="43"/>
      <c r="R2707" s="43"/>
      <c r="S2707" s="43"/>
      <c r="T2707" s="43"/>
      <c r="U2707" s="43"/>
      <c r="V2707" s="43"/>
      <c r="W2707" s="43"/>
      <c r="X2707" s="43"/>
      <c r="Y2707" s="43"/>
      <c r="Z2707" s="43"/>
    </row>
    <row r="2708" spans="15:26" x14ac:dyDescent="0.25">
      <c r="O2708" s="43"/>
      <c r="P2708" s="43"/>
      <c r="Q2708" s="43"/>
      <c r="R2708" s="43"/>
      <c r="S2708" s="43"/>
      <c r="T2708" s="43"/>
      <c r="U2708" s="43"/>
      <c r="V2708" s="43"/>
      <c r="W2708" s="43"/>
      <c r="X2708" s="43"/>
      <c r="Y2708" s="43"/>
      <c r="Z2708" s="43"/>
    </row>
    <row r="2709" spans="15:26" x14ac:dyDescent="0.25">
      <c r="O2709" s="43"/>
      <c r="P2709" s="43"/>
      <c r="Q2709" s="43"/>
      <c r="R2709" s="43"/>
      <c r="S2709" s="43"/>
      <c r="T2709" s="43"/>
      <c r="U2709" s="43"/>
      <c r="V2709" s="43"/>
      <c r="W2709" s="43"/>
      <c r="X2709" s="43"/>
      <c r="Y2709" s="43"/>
      <c r="Z2709" s="43"/>
    </row>
    <row r="2710" spans="15:26" x14ac:dyDescent="0.25">
      <c r="O2710" s="43"/>
      <c r="P2710" s="43"/>
      <c r="Q2710" s="43"/>
      <c r="R2710" s="43"/>
      <c r="S2710" s="43"/>
      <c r="T2710" s="43"/>
      <c r="U2710" s="43"/>
      <c r="V2710" s="43"/>
      <c r="W2710" s="43"/>
      <c r="X2710" s="43"/>
      <c r="Y2710" s="43"/>
      <c r="Z2710" s="43"/>
    </row>
    <row r="2711" spans="15:26" x14ac:dyDescent="0.25">
      <c r="O2711" s="43"/>
      <c r="P2711" s="43"/>
      <c r="Q2711" s="43"/>
      <c r="R2711" s="43"/>
      <c r="S2711" s="43"/>
      <c r="T2711" s="43"/>
      <c r="U2711" s="43"/>
      <c r="V2711" s="43"/>
      <c r="W2711" s="43"/>
      <c r="X2711" s="43"/>
      <c r="Y2711" s="43"/>
      <c r="Z2711" s="43"/>
    </row>
    <row r="2712" spans="15:26" x14ac:dyDescent="0.25">
      <c r="O2712" s="43"/>
      <c r="P2712" s="43"/>
      <c r="Q2712" s="43"/>
      <c r="R2712" s="43"/>
      <c r="S2712" s="43"/>
      <c r="T2712" s="43"/>
      <c r="U2712" s="43"/>
      <c r="V2712" s="43"/>
      <c r="W2712" s="43"/>
      <c r="X2712" s="43"/>
      <c r="Y2712" s="43"/>
      <c r="Z2712" s="43"/>
    </row>
    <row r="2713" spans="15:26" x14ac:dyDescent="0.25">
      <c r="O2713" s="43"/>
      <c r="P2713" s="43"/>
      <c r="Q2713" s="43"/>
      <c r="R2713" s="43"/>
      <c r="S2713" s="43"/>
      <c r="T2713" s="43"/>
      <c r="U2713" s="43"/>
      <c r="V2713" s="43"/>
      <c r="W2713" s="43"/>
      <c r="X2713" s="43"/>
      <c r="Y2713" s="43"/>
      <c r="Z2713" s="43"/>
    </row>
    <row r="2714" spans="15:26" x14ac:dyDescent="0.25">
      <c r="O2714" s="43"/>
      <c r="P2714" s="43"/>
      <c r="Q2714" s="43"/>
      <c r="R2714" s="43"/>
      <c r="S2714" s="43"/>
      <c r="T2714" s="43"/>
      <c r="U2714" s="43"/>
      <c r="V2714" s="43"/>
      <c r="W2714" s="43"/>
      <c r="X2714" s="43"/>
      <c r="Y2714" s="43"/>
      <c r="Z2714" s="43"/>
    </row>
    <row r="2715" spans="15:26" x14ac:dyDescent="0.25">
      <c r="O2715" s="43"/>
      <c r="P2715" s="43"/>
      <c r="Q2715" s="43"/>
      <c r="R2715" s="43"/>
      <c r="S2715" s="43"/>
      <c r="T2715" s="43"/>
      <c r="U2715" s="43"/>
      <c r="V2715" s="43"/>
      <c r="W2715" s="43"/>
      <c r="X2715" s="43"/>
      <c r="Y2715" s="43"/>
      <c r="Z2715" s="43"/>
    </row>
    <row r="2716" spans="15:26" x14ac:dyDescent="0.25">
      <c r="O2716" s="43"/>
      <c r="P2716" s="43"/>
      <c r="Q2716" s="43"/>
      <c r="R2716" s="43"/>
      <c r="S2716" s="43"/>
      <c r="T2716" s="43"/>
      <c r="U2716" s="43"/>
      <c r="V2716" s="43"/>
      <c r="W2716" s="43"/>
      <c r="X2716" s="43"/>
      <c r="Y2716" s="43"/>
      <c r="Z2716" s="43"/>
    </row>
    <row r="2717" spans="15:26" x14ac:dyDescent="0.25">
      <c r="O2717" s="43"/>
      <c r="P2717" s="43"/>
      <c r="Q2717" s="43"/>
      <c r="R2717" s="43"/>
      <c r="S2717" s="43"/>
      <c r="T2717" s="43"/>
      <c r="U2717" s="43"/>
      <c r="V2717" s="43"/>
      <c r="W2717" s="43"/>
      <c r="X2717" s="43"/>
      <c r="Y2717" s="43"/>
      <c r="Z2717" s="43"/>
    </row>
    <row r="2718" spans="15:26" x14ac:dyDescent="0.25">
      <c r="O2718" s="43"/>
      <c r="P2718" s="43"/>
      <c r="Q2718" s="43"/>
      <c r="R2718" s="43"/>
      <c r="S2718" s="43"/>
      <c r="T2718" s="43"/>
      <c r="U2718" s="43"/>
      <c r="V2718" s="43"/>
      <c r="W2718" s="43"/>
      <c r="X2718" s="43"/>
      <c r="Y2718" s="43"/>
      <c r="Z2718" s="43"/>
    </row>
    <row r="2719" spans="15:26" x14ac:dyDescent="0.25">
      <c r="O2719" s="43"/>
      <c r="P2719" s="43"/>
      <c r="Q2719" s="43"/>
      <c r="R2719" s="43"/>
      <c r="S2719" s="43"/>
      <c r="T2719" s="43"/>
      <c r="U2719" s="43"/>
      <c r="V2719" s="43"/>
      <c r="W2719" s="43"/>
      <c r="X2719" s="43"/>
      <c r="Y2719" s="43"/>
      <c r="Z2719" s="43"/>
    </row>
    <row r="2720" spans="15:26" x14ac:dyDescent="0.25">
      <c r="O2720" s="43"/>
      <c r="P2720" s="43"/>
      <c r="Q2720" s="43"/>
      <c r="R2720" s="43"/>
      <c r="S2720" s="43"/>
      <c r="T2720" s="43"/>
      <c r="U2720" s="43"/>
      <c r="V2720" s="43"/>
      <c r="W2720" s="43"/>
      <c r="X2720" s="43"/>
      <c r="Y2720" s="43"/>
      <c r="Z2720" s="43"/>
    </row>
    <row r="2721" spans="15:26" x14ac:dyDescent="0.25">
      <c r="O2721" s="43"/>
      <c r="P2721" s="43"/>
      <c r="Q2721" s="43"/>
      <c r="R2721" s="43"/>
      <c r="S2721" s="43"/>
      <c r="T2721" s="43"/>
      <c r="U2721" s="43"/>
      <c r="V2721" s="43"/>
      <c r="W2721" s="43"/>
      <c r="X2721" s="43"/>
      <c r="Y2721" s="43"/>
      <c r="Z2721" s="43"/>
    </row>
    <row r="2722" spans="15:26" x14ac:dyDescent="0.25">
      <c r="O2722" s="43"/>
      <c r="P2722" s="43"/>
      <c r="Q2722" s="43"/>
      <c r="R2722" s="43"/>
      <c r="S2722" s="43"/>
      <c r="T2722" s="43"/>
      <c r="U2722" s="43"/>
      <c r="V2722" s="43"/>
      <c r="W2722" s="43"/>
      <c r="X2722" s="43"/>
      <c r="Y2722" s="43"/>
      <c r="Z2722" s="43"/>
    </row>
    <row r="2723" spans="15:26" x14ac:dyDescent="0.25">
      <c r="O2723" s="43"/>
      <c r="P2723" s="43"/>
      <c r="Q2723" s="43"/>
      <c r="R2723" s="43"/>
      <c r="S2723" s="43"/>
      <c r="T2723" s="43"/>
      <c r="U2723" s="43"/>
      <c r="V2723" s="43"/>
      <c r="W2723" s="43"/>
      <c r="X2723" s="43"/>
      <c r="Y2723" s="43"/>
      <c r="Z2723" s="43"/>
    </row>
    <row r="2724" spans="15:26" x14ac:dyDescent="0.25">
      <c r="O2724" s="43"/>
      <c r="P2724" s="43"/>
      <c r="Q2724" s="43"/>
      <c r="R2724" s="43"/>
      <c r="S2724" s="43"/>
      <c r="T2724" s="43"/>
      <c r="U2724" s="43"/>
      <c r="V2724" s="43"/>
      <c r="W2724" s="43"/>
      <c r="X2724" s="43"/>
      <c r="Y2724" s="43"/>
      <c r="Z2724" s="43"/>
    </row>
    <row r="2725" spans="15:26" x14ac:dyDescent="0.25">
      <c r="O2725" s="43"/>
      <c r="P2725" s="43"/>
      <c r="Q2725" s="43"/>
      <c r="R2725" s="43"/>
      <c r="S2725" s="43"/>
      <c r="T2725" s="43"/>
      <c r="U2725" s="43"/>
      <c r="V2725" s="43"/>
      <c r="W2725" s="43"/>
      <c r="X2725" s="43"/>
      <c r="Y2725" s="43"/>
      <c r="Z2725" s="43"/>
    </row>
    <row r="2726" spans="15:26" x14ac:dyDescent="0.25">
      <c r="O2726" s="43"/>
      <c r="P2726" s="43"/>
      <c r="Q2726" s="43"/>
      <c r="R2726" s="43"/>
      <c r="S2726" s="43"/>
      <c r="T2726" s="43"/>
      <c r="U2726" s="43"/>
      <c r="V2726" s="43"/>
      <c r="W2726" s="43"/>
      <c r="X2726" s="43"/>
      <c r="Y2726" s="43"/>
      <c r="Z2726" s="43"/>
    </row>
    <row r="2727" spans="15:26" x14ac:dyDescent="0.25">
      <c r="O2727" s="43"/>
      <c r="P2727" s="43"/>
      <c r="Q2727" s="43"/>
      <c r="R2727" s="43"/>
      <c r="S2727" s="43"/>
      <c r="T2727" s="43"/>
      <c r="U2727" s="43"/>
      <c r="V2727" s="43"/>
      <c r="W2727" s="43"/>
      <c r="X2727" s="43"/>
      <c r="Y2727" s="43"/>
      <c r="Z2727" s="43"/>
    </row>
    <row r="2728" spans="15:26" x14ac:dyDescent="0.25">
      <c r="O2728" s="43"/>
      <c r="P2728" s="43"/>
      <c r="Q2728" s="43"/>
      <c r="R2728" s="43"/>
      <c r="S2728" s="43"/>
      <c r="T2728" s="43"/>
      <c r="U2728" s="43"/>
      <c r="V2728" s="43"/>
      <c r="W2728" s="43"/>
      <c r="X2728" s="43"/>
      <c r="Y2728" s="43"/>
      <c r="Z2728" s="43"/>
    </row>
    <row r="2729" spans="15:26" x14ac:dyDescent="0.25">
      <c r="O2729" s="43"/>
      <c r="P2729" s="43"/>
      <c r="Q2729" s="43"/>
      <c r="R2729" s="43"/>
      <c r="S2729" s="43"/>
      <c r="T2729" s="43"/>
      <c r="U2729" s="43"/>
      <c r="V2729" s="43"/>
      <c r="W2729" s="43"/>
      <c r="X2729" s="43"/>
      <c r="Y2729" s="43"/>
      <c r="Z2729" s="43"/>
    </row>
    <row r="2730" spans="15:26" x14ac:dyDescent="0.25">
      <c r="O2730" s="43"/>
      <c r="P2730" s="43"/>
      <c r="Q2730" s="43"/>
      <c r="R2730" s="43"/>
      <c r="S2730" s="43"/>
      <c r="T2730" s="43"/>
      <c r="U2730" s="43"/>
      <c r="V2730" s="43"/>
      <c r="W2730" s="43"/>
      <c r="X2730" s="43"/>
      <c r="Y2730" s="43"/>
      <c r="Z2730" s="43"/>
    </row>
    <row r="2731" spans="15:26" x14ac:dyDescent="0.25">
      <c r="O2731" s="43"/>
      <c r="P2731" s="43"/>
      <c r="Q2731" s="43"/>
      <c r="R2731" s="43"/>
      <c r="S2731" s="43"/>
      <c r="T2731" s="43"/>
      <c r="U2731" s="43"/>
      <c r="V2731" s="43"/>
      <c r="W2731" s="43"/>
      <c r="X2731" s="43"/>
      <c r="Y2731" s="43"/>
      <c r="Z2731" s="43"/>
    </row>
    <row r="2732" spans="15:26" x14ac:dyDescent="0.25">
      <c r="O2732" s="43"/>
      <c r="P2732" s="43"/>
      <c r="Q2732" s="43"/>
      <c r="R2732" s="43"/>
      <c r="S2732" s="43"/>
      <c r="T2732" s="43"/>
      <c r="U2732" s="43"/>
      <c r="V2732" s="43"/>
      <c r="W2732" s="43"/>
      <c r="X2732" s="43"/>
      <c r="Y2732" s="43"/>
      <c r="Z2732" s="43"/>
    </row>
    <row r="2733" spans="15:26" x14ac:dyDescent="0.25">
      <c r="O2733" s="43"/>
      <c r="P2733" s="43"/>
      <c r="Q2733" s="43"/>
      <c r="R2733" s="43"/>
      <c r="S2733" s="43"/>
      <c r="T2733" s="43"/>
      <c r="U2733" s="43"/>
      <c r="V2733" s="43"/>
      <c r="W2733" s="43"/>
      <c r="X2733" s="43"/>
      <c r="Y2733" s="43"/>
      <c r="Z2733" s="43"/>
    </row>
    <row r="2734" spans="15:26" x14ac:dyDescent="0.25">
      <c r="O2734" s="43"/>
      <c r="P2734" s="43"/>
      <c r="Q2734" s="43"/>
      <c r="R2734" s="43"/>
      <c r="S2734" s="43"/>
      <c r="T2734" s="43"/>
      <c r="U2734" s="43"/>
      <c r="V2734" s="43"/>
      <c r="W2734" s="43"/>
      <c r="X2734" s="43"/>
      <c r="Y2734" s="43"/>
      <c r="Z2734" s="43"/>
    </row>
    <row r="2735" spans="15:26" x14ac:dyDescent="0.25">
      <c r="O2735" s="43"/>
      <c r="P2735" s="43"/>
      <c r="Q2735" s="43"/>
      <c r="R2735" s="43"/>
      <c r="S2735" s="43"/>
      <c r="T2735" s="43"/>
      <c r="U2735" s="43"/>
      <c r="V2735" s="43"/>
      <c r="W2735" s="43"/>
      <c r="X2735" s="43"/>
      <c r="Y2735" s="43"/>
      <c r="Z2735" s="43"/>
    </row>
    <row r="2736" spans="15:26" x14ac:dyDescent="0.25">
      <c r="O2736" s="43"/>
      <c r="P2736" s="43"/>
      <c r="Q2736" s="43"/>
      <c r="R2736" s="43"/>
      <c r="S2736" s="43"/>
      <c r="T2736" s="43"/>
      <c r="U2736" s="43"/>
      <c r="V2736" s="43"/>
      <c r="W2736" s="43"/>
      <c r="X2736" s="43"/>
      <c r="Y2736" s="43"/>
      <c r="Z2736" s="43"/>
    </row>
    <row r="2737" spans="15:26" x14ac:dyDescent="0.25">
      <c r="O2737" s="43"/>
      <c r="P2737" s="43"/>
      <c r="Q2737" s="43"/>
      <c r="R2737" s="43"/>
      <c r="S2737" s="43"/>
      <c r="T2737" s="43"/>
      <c r="U2737" s="43"/>
      <c r="V2737" s="43"/>
      <c r="W2737" s="43"/>
      <c r="X2737" s="43"/>
      <c r="Y2737" s="43"/>
      <c r="Z2737" s="43"/>
    </row>
    <row r="2738" spans="15:26" x14ac:dyDescent="0.25">
      <c r="O2738" s="43"/>
      <c r="P2738" s="43"/>
      <c r="Q2738" s="43"/>
      <c r="R2738" s="43"/>
      <c r="S2738" s="43"/>
      <c r="T2738" s="43"/>
      <c r="U2738" s="43"/>
      <c r="V2738" s="43"/>
      <c r="W2738" s="43"/>
      <c r="X2738" s="43"/>
      <c r="Y2738" s="43"/>
      <c r="Z2738" s="43"/>
    </row>
    <row r="2739" spans="15:26" x14ac:dyDescent="0.25">
      <c r="O2739" s="43"/>
      <c r="P2739" s="43"/>
      <c r="Q2739" s="43"/>
      <c r="R2739" s="43"/>
      <c r="S2739" s="43"/>
      <c r="T2739" s="43"/>
      <c r="U2739" s="43"/>
      <c r="V2739" s="43"/>
      <c r="W2739" s="43"/>
      <c r="X2739" s="43"/>
      <c r="Y2739" s="43"/>
      <c r="Z2739" s="43"/>
    </row>
    <row r="2740" spans="15:26" x14ac:dyDescent="0.25">
      <c r="O2740" s="43"/>
      <c r="P2740" s="43"/>
      <c r="Q2740" s="43"/>
      <c r="R2740" s="43"/>
      <c r="S2740" s="43"/>
      <c r="T2740" s="43"/>
      <c r="U2740" s="43"/>
      <c r="V2740" s="43"/>
      <c r="W2740" s="43"/>
      <c r="X2740" s="43"/>
      <c r="Y2740" s="43"/>
      <c r="Z2740" s="43"/>
    </row>
    <row r="2741" spans="15:26" x14ac:dyDescent="0.25">
      <c r="O2741" s="43"/>
      <c r="P2741" s="43"/>
      <c r="Q2741" s="43"/>
      <c r="R2741" s="43"/>
      <c r="S2741" s="43"/>
      <c r="T2741" s="43"/>
      <c r="U2741" s="43"/>
      <c r="V2741" s="43"/>
      <c r="W2741" s="43"/>
      <c r="X2741" s="43"/>
      <c r="Y2741" s="43"/>
      <c r="Z2741" s="43"/>
    </row>
    <row r="2742" spans="15:26" x14ac:dyDescent="0.25">
      <c r="O2742" s="43"/>
      <c r="P2742" s="43"/>
      <c r="Q2742" s="43"/>
      <c r="R2742" s="43"/>
      <c r="S2742" s="43"/>
      <c r="T2742" s="43"/>
      <c r="U2742" s="43"/>
      <c r="V2742" s="43"/>
      <c r="W2742" s="43"/>
      <c r="X2742" s="43"/>
      <c r="Y2742" s="43"/>
      <c r="Z2742" s="43"/>
    </row>
    <row r="2743" spans="15:26" x14ac:dyDescent="0.25">
      <c r="O2743" s="43"/>
      <c r="P2743" s="43"/>
      <c r="Q2743" s="43"/>
      <c r="R2743" s="43"/>
      <c r="S2743" s="43"/>
      <c r="T2743" s="43"/>
      <c r="U2743" s="43"/>
      <c r="V2743" s="43"/>
      <c r="W2743" s="43"/>
      <c r="X2743" s="43"/>
      <c r="Y2743" s="43"/>
      <c r="Z2743" s="43"/>
    </row>
    <row r="2744" spans="15:26" x14ac:dyDescent="0.25">
      <c r="O2744" s="43"/>
      <c r="P2744" s="43"/>
      <c r="Q2744" s="43"/>
      <c r="R2744" s="43"/>
      <c r="S2744" s="43"/>
      <c r="T2744" s="43"/>
      <c r="U2744" s="43"/>
      <c r="V2744" s="43"/>
      <c r="W2744" s="43"/>
      <c r="X2744" s="43"/>
      <c r="Y2744" s="43"/>
      <c r="Z2744" s="43"/>
    </row>
    <row r="2745" spans="15:26" x14ac:dyDescent="0.25">
      <c r="O2745" s="43"/>
      <c r="P2745" s="43"/>
      <c r="Q2745" s="43"/>
      <c r="R2745" s="43"/>
      <c r="S2745" s="43"/>
      <c r="T2745" s="43"/>
      <c r="U2745" s="43"/>
      <c r="V2745" s="43"/>
      <c r="W2745" s="43"/>
      <c r="X2745" s="43"/>
      <c r="Y2745" s="43"/>
      <c r="Z2745" s="43"/>
    </row>
    <row r="2746" spans="15:26" x14ac:dyDescent="0.25">
      <c r="O2746" s="43"/>
      <c r="P2746" s="43"/>
      <c r="Q2746" s="43"/>
      <c r="R2746" s="43"/>
      <c r="S2746" s="43"/>
      <c r="T2746" s="43"/>
      <c r="U2746" s="43"/>
      <c r="V2746" s="43"/>
      <c r="W2746" s="43"/>
      <c r="X2746" s="43"/>
      <c r="Y2746" s="43"/>
      <c r="Z2746" s="43"/>
    </row>
    <row r="2747" spans="15:26" x14ac:dyDescent="0.25">
      <c r="O2747" s="43"/>
      <c r="P2747" s="43"/>
      <c r="Q2747" s="43"/>
      <c r="R2747" s="43"/>
      <c r="S2747" s="43"/>
      <c r="T2747" s="43"/>
      <c r="U2747" s="43"/>
      <c r="V2747" s="43"/>
      <c r="W2747" s="43"/>
      <c r="X2747" s="43"/>
      <c r="Y2747" s="43"/>
      <c r="Z2747" s="43"/>
    </row>
    <row r="2748" spans="15:26" x14ac:dyDescent="0.25">
      <c r="O2748" s="43"/>
      <c r="P2748" s="43"/>
      <c r="Q2748" s="43"/>
      <c r="R2748" s="43"/>
      <c r="S2748" s="43"/>
      <c r="T2748" s="43"/>
      <c r="U2748" s="43"/>
      <c r="V2748" s="43"/>
      <c r="W2748" s="43"/>
      <c r="X2748" s="43"/>
      <c r="Y2748" s="43"/>
      <c r="Z2748" s="43"/>
    </row>
    <row r="2749" spans="15:26" x14ac:dyDescent="0.25">
      <c r="O2749" s="43"/>
      <c r="P2749" s="43"/>
      <c r="Q2749" s="43"/>
      <c r="R2749" s="43"/>
      <c r="S2749" s="43"/>
      <c r="T2749" s="43"/>
      <c r="U2749" s="43"/>
      <c r="V2749" s="43"/>
      <c r="W2749" s="43"/>
      <c r="X2749" s="43"/>
      <c r="Y2749" s="43"/>
      <c r="Z2749" s="43"/>
    </row>
    <row r="2750" spans="15:26" x14ac:dyDescent="0.25">
      <c r="O2750" s="43"/>
      <c r="P2750" s="43"/>
      <c r="Q2750" s="43"/>
      <c r="R2750" s="43"/>
      <c r="S2750" s="43"/>
      <c r="T2750" s="43"/>
      <c r="U2750" s="43"/>
      <c r="V2750" s="43"/>
      <c r="W2750" s="43"/>
      <c r="X2750" s="43"/>
      <c r="Y2750" s="43"/>
      <c r="Z2750" s="43"/>
    </row>
    <row r="2751" spans="15:26" x14ac:dyDescent="0.25">
      <c r="O2751" s="43"/>
      <c r="P2751" s="43"/>
      <c r="Q2751" s="43"/>
      <c r="R2751" s="43"/>
      <c r="S2751" s="43"/>
      <c r="T2751" s="43"/>
      <c r="U2751" s="43"/>
      <c r="V2751" s="43"/>
      <c r="W2751" s="43"/>
      <c r="X2751" s="43"/>
      <c r="Y2751" s="43"/>
      <c r="Z2751" s="43"/>
    </row>
    <row r="2752" spans="15:26" x14ac:dyDescent="0.25">
      <c r="O2752" s="43"/>
      <c r="P2752" s="43"/>
      <c r="Q2752" s="43"/>
      <c r="R2752" s="43"/>
      <c r="S2752" s="43"/>
      <c r="T2752" s="43"/>
      <c r="U2752" s="43"/>
      <c r="V2752" s="43"/>
      <c r="W2752" s="43"/>
      <c r="X2752" s="43"/>
      <c r="Y2752" s="43"/>
      <c r="Z2752" s="43"/>
    </row>
    <row r="2753" spans="15:26" x14ac:dyDescent="0.25">
      <c r="O2753" s="43"/>
      <c r="P2753" s="43"/>
      <c r="Q2753" s="43"/>
      <c r="R2753" s="43"/>
      <c r="S2753" s="43"/>
      <c r="T2753" s="43"/>
      <c r="U2753" s="43"/>
      <c r="V2753" s="43"/>
      <c r="W2753" s="43"/>
      <c r="X2753" s="43"/>
      <c r="Y2753" s="43"/>
      <c r="Z2753" s="43"/>
    </row>
    <row r="2754" spans="15:26" x14ac:dyDescent="0.25">
      <c r="O2754" s="43"/>
      <c r="P2754" s="43"/>
      <c r="Q2754" s="43"/>
      <c r="R2754" s="43"/>
      <c r="S2754" s="43"/>
      <c r="T2754" s="43"/>
      <c r="U2754" s="43"/>
      <c r="V2754" s="43"/>
      <c r="W2754" s="43"/>
      <c r="X2754" s="43"/>
      <c r="Y2754" s="43"/>
      <c r="Z2754" s="43"/>
    </row>
    <row r="2755" spans="15:26" x14ac:dyDescent="0.25">
      <c r="O2755" s="43"/>
      <c r="P2755" s="43"/>
      <c r="Q2755" s="43"/>
      <c r="R2755" s="43"/>
      <c r="S2755" s="43"/>
      <c r="T2755" s="43"/>
      <c r="U2755" s="43"/>
      <c r="V2755" s="43"/>
      <c r="W2755" s="43"/>
      <c r="X2755" s="43"/>
      <c r="Y2755" s="43"/>
      <c r="Z2755" s="43"/>
    </row>
    <row r="2756" spans="15:26" x14ac:dyDescent="0.25">
      <c r="O2756" s="43"/>
      <c r="P2756" s="43"/>
      <c r="Q2756" s="43"/>
      <c r="R2756" s="43"/>
      <c r="S2756" s="43"/>
      <c r="T2756" s="43"/>
      <c r="U2756" s="43"/>
      <c r="V2756" s="43"/>
      <c r="W2756" s="43"/>
      <c r="X2756" s="43"/>
      <c r="Y2756" s="43"/>
      <c r="Z2756" s="43"/>
    </row>
    <row r="2757" spans="15:26" x14ac:dyDescent="0.25">
      <c r="O2757" s="43"/>
      <c r="P2757" s="43"/>
      <c r="Q2757" s="43"/>
      <c r="R2757" s="43"/>
      <c r="S2757" s="43"/>
      <c r="T2757" s="43"/>
      <c r="U2757" s="43"/>
      <c r="V2757" s="43"/>
      <c r="W2757" s="43"/>
      <c r="X2757" s="43"/>
      <c r="Y2757" s="43"/>
      <c r="Z2757" s="43"/>
    </row>
    <row r="2758" spans="15:26" x14ac:dyDescent="0.25">
      <c r="O2758" s="43"/>
      <c r="P2758" s="43"/>
      <c r="Q2758" s="43"/>
      <c r="R2758" s="43"/>
      <c r="S2758" s="43"/>
      <c r="T2758" s="43"/>
      <c r="U2758" s="43"/>
      <c r="V2758" s="43"/>
      <c r="W2758" s="43"/>
      <c r="X2758" s="43"/>
      <c r="Y2758" s="43"/>
      <c r="Z2758" s="43"/>
    </row>
    <row r="2759" spans="15:26" x14ac:dyDescent="0.25">
      <c r="O2759" s="43"/>
      <c r="P2759" s="43"/>
      <c r="Q2759" s="43"/>
      <c r="R2759" s="43"/>
      <c r="S2759" s="43"/>
      <c r="T2759" s="43"/>
      <c r="U2759" s="43"/>
      <c r="V2759" s="43"/>
      <c r="W2759" s="43"/>
      <c r="X2759" s="43"/>
      <c r="Y2759" s="43"/>
      <c r="Z2759" s="43"/>
    </row>
    <row r="2760" spans="15:26" x14ac:dyDescent="0.25">
      <c r="O2760" s="43"/>
      <c r="P2760" s="43"/>
      <c r="Q2760" s="43"/>
      <c r="R2760" s="43"/>
      <c r="S2760" s="43"/>
      <c r="T2760" s="43"/>
      <c r="U2760" s="43"/>
      <c r="V2760" s="43"/>
      <c r="W2760" s="43"/>
      <c r="X2760" s="43"/>
      <c r="Y2760" s="43"/>
      <c r="Z2760" s="43"/>
    </row>
    <row r="2761" spans="15:26" x14ac:dyDescent="0.25">
      <c r="O2761" s="43"/>
      <c r="P2761" s="43"/>
      <c r="Q2761" s="43"/>
      <c r="R2761" s="43"/>
      <c r="S2761" s="43"/>
      <c r="T2761" s="43"/>
      <c r="U2761" s="43"/>
      <c r="V2761" s="43"/>
      <c r="W2761" s="43"/>
      <c r="X2761" s="43"/>
      <c r="Y2761" s="43"/>
      <c r="Z2761" s="43"/>
    </row>
    <row r="2762" spans="15:26" x14ac:dyDescent="0.25">
      <c r="O2762" s="43"/>
      <c r="P2762" s="43"/>
      <c r="Q2762" s="43"/>
      <c r="R2762" s="43"/>
      <c r="S2762" s="43"/>
      <c r="T2762" s="43"/>
      <c r="U2762" s="43"/>
      <c r="V2762" s="43"/>
      <c r="W2762" s="43"/>
      <c r="X2762" s="43"/>
      <c r="Y2762" s="43"/>
      <c r="Z2762" s="43"/>
    </row>
    <row r="2763" spans="15:26" x14ac:dyDescent="0.25">
      <c r="O2763" s="43"/>
      <c r="P2763" s="43"/>
      <c r="Q2763" s="43"/>
      <c r="R2763" s="43"/>
      <c r="S2763" s="43"/>
      <c r="T2763" s="43"/>
      <c r="U2763" s="43"/>
      <c r="V2763" s="43"/>
      <c r="W2763" s="43"/>
      <c r="X2763" s="43"/>
      <c r="Y2763" s="43"/>
      <c r="Z2763" s="43"/>
    </row>
    <row r="2764" spans="15:26" x14ac:dyDescent="0.25">
      <c r="O2764" s="43"/>
      <c r="P2764" s="43"/>
      <c r="Q2764" s="43"/>
      <c r="R2764" s="43"/>
      <c r="S2764" s="43"/>
      <c r="T2764" s="43"/>
      <c r="U2764" s="43"/>
      <c r="V2764" s="43"/>
      <c r="W2764" s="43"/>
      <c r="X2764" s="43"/>
      <c r="Y2764" s="43"/>
      <c r="Z2764" s="43"/>
    </row>
    <row r="2765" spans="15:26" x14ac:dyDescent="0.25">
      <c r="O2765" s="43"/>
      <c r="P2765" s="43"/>
      <c r="Q2765" s="43"/>
      <c r="R2765" s="43"/>
      <c r="S2765" s="43"/>
      <c r="T2765" s="43"/>
      <c r="U2765" s="43"/>
      <c r="V2765" s="43"/>
      <c r="W2765" s="43"/>
      <c r="X2765" s="43"/>
      <c r="Y2765" s="43"/>
      <c r="Z2765" s="43"/>
    </row>
    <row r="2766" spans="15:26" x14ac:dyDescent="0.25">
      <c r="O2766" s="43"/>
      <c r="P2766" s="43"/>
      <c r="Q2766" s="43"/>
      <c r="R2766" s="43"/>
      <c r="S2766" s="43"/>
      <c r="T2766" s="43"/>
      <c r="U2766" s="43"/>
      <c r="V2766" s="43"/>
      <c r="W2766" s="43"/>
      <c r="X2766" s="43"/>
      <c r="Y2766" s="43"/>
      <c r="Z2766" s="43"/>
    </row>
    <row r="2767" spans="15:26" x14ac:dyDescent="0.25">
      <c r="O2767" s="43"/>
      <c r="P2767" s="43"/>
      <c r="Q2767" s="43"/>
      <c r="R2767" s="43"/>
      <c r="S2767" s="43"/>
      <c r="T2767" s="43"/>
      <c r="U2767" s="43"/>
      <c r="V2767" s="43"/>
      <c r="W2767" s="43"/>
      <c r="X2767" s="43"/>
      <c r="Y2767" s="43"/>
      <c r="Z2767" s="43"/>
    </row>
    <row r="2768" spans="15:26" x14ac:dyDescent="0.25">
      <c r="O2768" s="43"/>
      <c r="P2768" s="43"/>
      <c r="Q2768" s="43"/>
      <c r="R2768" s="43"/>
      <c r="S2768" s="43"/>
      <c r="T2768" s="43"/>
      <c r="U2768" s="43"/>
      <c r="V2768" s="43"/>
      <c r="W2768" s="43"/>
      <c r="X2768" s="43"/>
      <c r="Y2768" s="43"/>
      <c r="Z2768" s="43"/>
    </row>
    <row r="2769" spans="15:26" x14ac:dyDescent="0.25">
      <c r="O2769" s="43"/>
      <c r="P2769" s="43"/>
      <c r="Q2769" s="43"/>
      <c r="R2769" s="43"/>
      <c r="S2769" s="43"/>
      <c r="T2769" s="43"/>
      <c r="U2769" s="43"/>
      <c r="V2769" s="43"/>
      <c r="W2769" s="43"/>
      <c r="X2769" s="43"/>
      <c r="Y2769" s="43"/>
      <c r="Z2769" s="43"/>
    </row>
    <row r="2770" spans="15:26" x14ac:dyDescent="0.25">
      <c r="O2770" s="43"/>
      <c r="P2770" s="43"/>
      <c r="Q2770" s="43"/>
      <c r="R2770" s="43"/>
      <c r="S2770" s="43"/>
      <c r="T2770" s="43"/>
      <c r="U2770" s="43"/>
      <c r="V2770" s="43"/>
      <c r="W2770" s="43"/>
      <c r="X2770" s="43"/>
      <c r="Y2770" s="43"/>
      <c r="Z2770" s="43"/>
    </row>
    <row r="2771" spans="15:26" x14ac:dyDescent="0.25">
      <c r="O2771" s="43"/>
      <c r="P2771" s="43"/>
      <c r="Q2771" s="43"/>
      <c r="R2771" s="43"/>
      <c r="S2771" s="43"/>
      <c r="T2771" s="43"/>
      <c r="U2771" s="43"/>
      <c r="V2771" s="43"/>
      <c r="W2771" s="43"/>
      <c r="X2771" s="43"/>
      <c r="Y2771" s="43"/>
      <c r="Z2771" s="43"/>
    </row>
    <row r="2772" spans="15:26" x14ac:dyDescent="0.25">
      <c r="O2772" s="43"/>
      <c r="P2772" s="43"/>
      <c r="Q2772" s="43"/>
      <c r="R2772" s="43"/>
      <c r="S2772" s="43"/>
      <c r="T2772" s="43"/>
      <c r="U2772" s="43"/>
      <c r="V2772" s="43"/>
      <c r="W2772" s="43"/>
      <c r="X2772" s="43"/>
      <c r="Y2772" s="43"/>
      <c r="Z2772" s="43"/>
    </row>
    <row r="2773" spans="15:26" x14ac:dyDescent="0.25">
      <c r="O2773" s="43"/>
      <c r="P2773" s="43"/>
      <c r="Q2773" s="43"/>
      <c r="R2773" s="43"/>
      <c r="S2773" s="43"/>
      <c r="T2773" s="43"/>
      <c r="U2773" s="43"/>
      <c r="V2773" s="43"/>
      <c r="W2773" s="43"/>
      <c r="X2773" s="43"/>
      <c r="Y2773" s="43"/>
      <c r="Z2773" s="43"/>
    </row>
    <row r="2774" spans="15:26" x14ac:dyDescent="0.25">
      <c r="O2774" s="43"/>
      <c r="P2774" s="43"/>
      <c r="Q2774" s="43"/>
      <c r="R2774" s="43"/>
      <c r="S2774" s="43"/>
      <c r="T2774" s="43"/>
      <c r="U2774" s="43"/>
      <c r="V2774" s="43"/>
      <c r="W2774" s="43"/>
      <c r="X2774" s="43"/>
      <c r="Y2774" s="43"/>
      <c r="Z2774" s="43"/>
    </row>
    <row r="2775" spans="15:26" x14ac:dyDescent="0.25">
      <c r="O2775" s="43"/>
      <c r="P2775" s="43"/>
      <c r="Q2775" s="43"/>
      <c r="R2775" s="43"/>
      <c r="S2775" s="43"/>
      <c r="T2775" s="43"/>
      <c r="U2775" s="43"/>
      <c r="V2775" s="43"/>
      <c r="W2775" s="43"/>
      <c r="X2775" s="43"/>
      <c r="Y2775" s="43"/>
      <c r="Z2775" s="43"/>
    </row>
    <row r="2776" spans="15:26" x14ac:dyDescent="0.25">
      <c r="O2776" s="43"/>
      <c r="P2776" s="43"/>
      <c r="Q2776" s="43"/>
      <c r="R2776" s="43"/>
      <c r="S2776" s="43"/>
      <c r="T2776" s="43"/>
      <c r="U2776" s="43"/>
      <c r="V2776" s="43"/>
      <c r="W2776" s="43"/>
      <c r="X2776" s="43"/>
      <c r="Y2776" s="43"/>
      <c r="Z2776" s="43"/>
    </row>
    <row r="2777" spans="15:26" x14ac:dyDescent="0.25">
      <c r="O2777" s="43"/>
      <c r="P2777" s="43"/>
      <c r="Q2777" s="43"/>
      <c r="R2777" s="43"/>
      <c r="S2777" s="43"/>
      <c r="T2777" s="43"/>
      <c r="U2777" s="43"/>
      <c r="V2777" s="43"/>
      <c r="W2777" s="43"/>
      <c r="X2777" s="43"/>
      <c r="Y2777" s="43"/>
      <c r="Z2777" s="43"/>
    </row>
    <row r="2778" spans="15:26" x14ac:dyDescent="0.25">
      <c r="O2778" s="43"/>
      <c r="P2778" s="43"/>
      <c r="Q2778" s="43"/>
      <c r="R2778" s="43"/>
      <c r="S2778" s="43"/>
      <c r="T2778" s="43"/>
      <c r="U2778" s="43"/>
      <c r="V2778" s="43"/>
      <c r="W2778" s="43"/>
      <c r="X2778" s="43"/>
      <c r="Y2778" s="43"/>
      <c r="Z2778" s="43"/>
    </row>
    <row r="2779" spans="15:26" x14ac:dyDescent="0.25">
      <c r="O2779" s="43"/>
      <c r="P2779" s="43"/>
      <c r="Q2779" s="43"/>
      <c r="R2779" s="43"/>
      <c r="S2779" s="43"/>
      <c r="T2779" s="43"/>
      <c r="U2779" s="43"/>
      <c r="V2779" s="43"/>
      <c r="W2779" s="43"/>
      <c r="X2779" s="43"/>
      <c r="Y2779" s="43"/>
      <c r="Z2779" s="43"/>
    </row>
    <row r="2780" spans="15:26" x14ac:dyDescent="0.25">
      <c r="O2780" s="43"/>
      <c r="P2780" s="43"/>
      <c r="Q2780" s="43"/>
      <c r="R2780" s="43"/>
      <c r="S2780" s="43"/>
      <c r="T2780" s="43"/>
      <c r="U2780" s="43"/>
      <c r="V2780" s="43"/>
      <c r="W2780" s="43"/>
      <c r="X2780" s="43"/>
      <c r="Y2780" s="43"/>
      <c r="Z2780" s="43"/>
    </row>
    <row r="2781" spans="15:26" x14ac:dyDescent="0.25">
      <c r="O2781" s="43"/>
      <c r="P2781" s="43"/>
      <c r="Q2781" s="43"/>
      <c r="R2781" s="43"/>
      <c r="S2781" s="43"/>
      <c r="T2781" s="43"/>
      <c r="U2781" s="43"/>
      <c r="V2781" s="43"/>
      <c r="W2781" s="43"/>
      <c r="X2781" s="43"/>
      <c r="Y2781" s="43"/>
      <c r="Z2781" s="43"/>
    </row>
    <row r="2782" spans="15:26" x14ac:dyDescent="0.25">
      <c r="O2782" s="43"/>
      <c r="P2782" s="43"/>
      <c r="Q2782" s="43"/>
      <c r="R2782" s="43"/>
      <c r="S2782" s="43"/>
      <c r="T2782" s="43"/>
      <c r="U2782" s="43"/>
      <c r="V2782" s="43"/>
      <c r="W2782" s="43"/>
      <c r="X2782" s="43"/>
      <c r="Y2782" s="43"/>
      <c r="Z2782" s="43"/>
    </row>
    <row r="2783" spans="15:26" x14ac:dyDescent="0.25">
      <c r="O2783" s="43"/>
      <c r="P2783" s="43"/>
      <c r="Q2783" s="43"/>
      <c r="R2783" s="43"/>
      <c r="S2783" s="43"/>
      <c r="T2783" s="43"/>
      <c r="U2783" s="43"/>
      <c r="V2783" s="43"/>
      <c r="W2783" s="43"/>
      <c r="X2783" s="43"/>
      <c r="Y2783" s="43"/>
      <c r="Z2783" s="43"/>
    </row>
    <row r="2784" spans="15:26" x14ac:dyDescent="0.25">
      <c r="O2784" s="43"/>
      <c r="P2784" s="43"/>
      <c r="Q2784" s="43"/>
      <c r="R2784" s="43"/>
      <c r="S2784" s="43"/>
      <c r="T2784" s="43"/>
      <c r="U2784" s="43"/>
      <c r="V2784" s="43"/>
      <c r="W2784" s="43"/>
      <c r="X2784" s="43"/>
      <c r="Y2784" s="43"/>
      <c r="Z2784" s="43"/>
    </row>
    <row r="2785" spans="15:26" x14ac:dyDescent="0.25">
      <c r="O2785" s="43"/>
      <c r="P2785" s="43"/>
      <c r="Q2785" s="43"/>
      <c r="R2785" s="43"/>
      <c r="S2785" s="43"/>
      <c r="T2785" s="43"/>
      <c r="U2785" s="43"/>
      <c r="V2785" s="43"/>
      <c r="W2785" s="43"/>
      <c r="X2785" s="43"/>
      <c r="Y2785" s="43"/>
      <c r="Z2785" s="43"/>
    </row>
    <row r="2786" spans="15:26" x14ac:dyDescent="0.25">
      <c r="O2786" s="43"/>
      <c r="P2786" s="43"/>
      <c r="Q2786" s="43"/>
      <c r="R2786" s="43"/>
      <c r="S2786" s="43"/>
      <c r="T2786" s="43"/>
      <c r="U2786" s="43"/>
      <c r="V2786" s="43"/>
      <c r="W2786" s="43"/>
      <c r="X2786" s="43"/>
      <c r="Y2786" s="43"/>
      <c r="Z2786" s="43"/>
    </row>
    <row r="2787" spans="15:26" x14ac:dyDescent="0.25">
      <c r="O2787" s="43"/>
      <c r="P2787" s="43"/>
      <c r="Q2787" s="43"/>
      <c r="R2787" s="43"/>
      <c r="S2787" s="43"/>
      <c r="T2787" s="43"/>
      <c r="U2787" s="43"/>
      <c r="V2787" s="43"/>
      <c r="W2787" s="43"/>
      <c r="X2787" s="43"/>
      <c r="Y2787" s="43"/>
      <c r="Z2787" s="43"/>
    </row>
    <row r="2788" spans="15:26" x14ac:dyDescent="0.25">
      <c r="O2788" s="43"/>
      <c r="P2788" s="43"/>
      <c r="Q2788" s="43"/>
      <c r="R2788" s="43"/>
      <c r="S2788" s="43"/>
      <c r="T2788" s="43"/>
      <c r="U2788" s="43"/>
      <c r="V2788" s="43"/>
      <c r="W2788" s="43"/>
      <c r="X2788" s="43"/>
      <c r="Y2788" s="43"/>
      <c r="Z2788" s="43"/>
    </row>
    <row r="2789" spans="15:26" x14ac:dyDescent="0.25">
      <c r="O2789" s="43"/>
      <c r="P2789" s="43"/>
      <c r="Q2789" s="43"/>
      <c r="R2789" s="43"/>
      <c r="S2789" s="43"/>
      <c r="T2789" s="43"/>
      <c r="U2789" s="43"/>
      <c r="V2789" s="43"/>
      <c r="W2789" s="43"/>
      <c r="X2789" s="43"/>
      <c r="Y2789" s="43"/>
      <c r="Z2789" s="43"/>
    </row>
    <row r="2790" spans="15:26" x14ac:dyDescent="0.25">
      <c r="O2790" s="43"/>
      <c r="P2790" s="43"/>
      <c r="Q2790" s="43"/>
      <c r="R2790" s="43"/>
      <c r="S2790" s="43"/>
      <c r="T2790" s="43"/>
      <c r="U2790" s="43"/>
      <c r="V2790" s="43"/>
      <c r="W2790" s="43"/>
      <c r="X2790" s="43"/>
      <c r="Y2790" s="43"/>
      <c r="Z2790" s="43"/>
    </row>
    <row r="2791" spans="15:26" x14ac:dyDescent="0.25">
      <c r="O2791" s="43"/>
      <c r="P2791" s="43"/>
      <c r="Q2791" s="43"/>
      <c r="R2791" s="43"/>
      <c r="S2791" s="43"/>
      <c r="T2791" s="43"/>
      <c r="U2791" s="43"/>
      <c r="V2791" s="43"/>
      <c r="W2791" s="43"/>
      <c r="X2791" s="43"/>
      <c r="Y2791" s="43"/>
      <c r="Z2791" s="43"/>
    </row>
    <row r="2792" spans="15:26" x14ac:dyDescent="0.25">
      <c r="O2792" s="43"/>
      <c r="P2792" s="43"/>
      <c r="Q2792" s="43"/>
      <c r="R2792" s="43"/>
      <c r="S2792" s="43"/>
      <c r="T2792" s="43"/>
      <c r="U2792" s="43"/>
      <c r="V2792" s="43"/>
      <c r="W2792" s="43"/>
      <c r="X2792" s="43"/>
      <c r="Y2792" s="43"/>
      <c r="Z2792" s="43"/>
    </row>
    <row r="2793" spans="15:26" x14ac:dyDescent="0.25">
      <c r="O2793" s="43"/>
      <c r="P2793" s="43"/>
      <c r="Q2793" s="43"/>
      <c r="R2793" s="43"/>
      <c r="S2793" s="43"/>
      <c r="T2793" s="43"/>
      <c r="U2793" s="43"/>
      <c r="V2793" s="43"/>
      <c r="W2793" s="43"/>
      <c r="X2793" s="43"/>
      <c r="Y2793" s="43"/>
      <c r="Z2793" s="43"/>
    </row>
    <row r="2794" spans="15:26" x14ac:dyDescent="0.25">
      <c r="O2794" s="43"/>
      <c r="P2794" s="43"/>
      <c r="Q2794" s="43"/>
      <c r="R2794" s="43"/>
      <c r="S2794" s="43"/>
      <c r="T2794" s="43"/>
      <c r="U2794" s="43"/>
      <c r="V2794" s="43"/>
      <c r="W2794" s="43"/>
      <c r="X2794" s="43"/>
      <c r="Y2794" s="43"/>
      <c r="Z2794" s="43"/>
    </row>
    <row r="2795" spans="15:26" x14ac:dyDescent="0.25">
      <c r="O2795" s="43"/>
      <c r="P2795" s="43"/>
      <c r="Q2795" s="43"/>
      <c r="R2795" s="43"/>
      <c r="S2795" s="43"/>
      <c r="T2795" s="43"/>
      <c r="U2795" s="43"/>
      <c r="V2795" s="43"/>
      <c r="W2795" s="43"/>
      <c r="X2795" s="43"/>
      <c r="Y2795" s="43"/>
      <c r="Z2795" s="43"/>
    </row>
    <row r="2796" spans="15:26" x14ac:dyDescent="0.25">
      <c r="O2796" s="43"/>
      <c r="P2796" s="43"/>
      <c r="Q2796" s="43"/>
      <c r="R2796" s="43"/>
      <c r="S2796" s="43"/>
      <c r="T2796" s="43"/>
      <c r="U2796" s="43"/>
      <c r="V2796" s="43"/>
      <c r="W2796" s="43"/>
      <c r="X2796" s="43"/>
      <c r="Y2796" s="43"/>
      <c r="Z2796" s="43"/>
    </row>
    <row r="2797" spans="15:26" x14ac:dyDescent="0.25">
      <c r="O2797" s="43"/>
      <c r="P2797" s="43"/>
      <c r="Q2797" s="43"/>
      <c r="R2797" s="43"/>
      <c r="S2797" s="43"/>
      <c r="T2797" s="43"/>
      <c r="U2797" s="43"/>
      <c r="V2797" s="43"/>
      <c r="W2797" s="43"/>
      <c r="X2797" s="43"/>
      <c r="Y2797" s="43"/>
      <c r="Z2797" s="43"/>
    </row>
    <row r="2798" spans="15:26" x14ac:dyDescent="0.25">
      <c r="O2798" s="43"/>
      <c r="P2798" s="43"/>
      <c r="Q2798" s="43"/>
      <c r="R2798" s="43"/>
      <c r="S2798" s="43"/>
      <c r="T2798" s="43"/>
      <c r="U2798" s="43"/>
      <c r="V2798" s="43"/>
      <c r="W2798" s="43"/>
      <c r="X2798" s="43"/>
      <c r="Y2798" s="43"/>
      <c r="Z2798" s="43"/>
    </row>
    <row r="2799" spans="15:26" x14ac:dyDescent="0.25">
      <c r="O2799" s="43"/>
      <c r="P2799" s="43"/>
      <c r="Q2799" s="43"/>
      <c r="R2799" s="43"/>
      <c r="S2799" s="43"/>
      <c r="T2799" s="43"/>
      <c r="U2799" s="43"/>
      <c r="V2799" s="43"/>
      <c r="W2799" s="43"/>
      <c r="X2799" s="43"/>
      <c r="Y2799" s="43"/>
      <c r="Z2799" s="43"/>
    </row>
    <row r="2800" spans="15:26" x14ac:dyDescent="0.25">
      <c r="O2800" s="43"/>
      <c r="P2800" s="43"/>
      <c r="Q2800" s="43"/>
      <c r="R2800" s="43"/>
      <c r="S2800" s="43"/>
      <c r="T2800" s="43"/>
      <c r="U2800" s="43"/>
      <c r="V2800" s="43"/>
      <c r="W2800" s="43"/>
      <c r="X2800" s="43"/>
      <c r="Y2800" s="43"/>
      <c r="Z2800" s="43"/>
    </row>
    <row r="2801" spans="15:26" x14ac:dyDescent="0.25">
      <c r="O2801" s="43"/>
      <c r="P2801" s="43"/>
      <c r="Q2801" s="43"/>
      <c r="R2801" s="43"/>
      <c r="S2801" s="43"/>
      <c r="T2801" s="43"/>
      <c r="U2801" s="43"/>
      <c r="V2801" s="43"/>
      <c r="W2801" s="43"/>
      <c r="X2801" s="43"/>
      <c r="Y2801" s="43"/>
      <c r="Z2801" s="43"/>
    </row>
    <row r="2802" spans="15:26" x14ac:dyDescent="0.25">
      <c r="O2802" s="43"/>
      <c r="P2802" s="43"/>
      <c r="Q2802" s="43"/>
      <c r="R2802" s="43"/>
      <c r="S2802" s="43"/>
      <c r="T2802" s="43"/>
      <c r="U2802" s="43"/>
      <c r="V2802" s="43"/>
      <c r="W2802" s="43"/>
      <c r="X2802" s="43"/>
      <c r="Y2802" s="43"/>
      <c r="Z2802" s="43"/>
    </row>
    <row r="2803" spans="15:26" x14ac:dyDescent="0.25">
      <c r="O2803" s="43"/>
      <c r="P2803" s="43"/>
      <c r="Q2803" s="43"/>
      <c r="R2803" s="43"/>
      <c r="S2803" s="43"/>
      <c r="T2803" s="43"/>
      <c r="U2803" s="43"/>
      <c r="V2803" s="43"/>
      <c r="W2803" s="43"/>
      <c r="X2803" s="43"/>
      <c r="Y2803" s="43"/>
      <c r="Z2803" s="43"/>
    </row>
    <row r="2804" spans="15:26" x14ac:dyDescent="0.25">
      <c r="O2804" s="43"/>
      <c r="P2804" s="43"/>
      <c r="Q2804" s="43"/>
      <c r="R2804" s="43"/>
      <c r="S2804" s="43"/>
      <c r="T2804" s="43"/>
      <c r="U2804" s="43"/>
      <c r="V2804" s="43"/>
      <c r="W2804" s="43"/>
      <c r="X2804" s="43"/>
      <c r="Y2804" s="43"/>
      <c r="Z2804" s="43"/>
    </row>
    <row r="2805" spans="15:26" x14ac:dyDescent="0.25">
      <c r="O2805" s="43"/>
      <c r="P2805" s="43"/>
      <c r="Q2805" s="43"/>
      <c r="R2805" s="43"/>
      <c r="S2805" s="43"/>
      <c r="T2805" s="43"/>
      <c r="U2805" s="43"/>
      <c r="V2805" s="43"/>
      <c r="W2805" s="43"/>
      <c r="X2805" s="43"/>
      <c r="Y2805" s="43"/>
      <c r="Z2805" s="43"/>
    </row>
    <row r="2806" spans="15:26" x14ac:dyDescent="0.25">
      <c r="O2806" s="43"/>
      <c r="P2806" s="43"/>
      <c r="Q2806" s="43"/>
      <c r="R2806" s="43"/>
      <c r="S2806" s="43"/>
      <c r="T2806" s="43"/>
      <c r="U2806" s="43"/>
      <c r="V2806" s="43"/>
      <c r="W2806" s="43"/>
      <c r="X2806" s="43"/>
      <c r="Y2806" s="43"/>
      <c r="Z2806" s="43"/>
    </row>
    <row r="2807" spans="15:26" x14ac:dyDescent="0.25">
      <c r="O2807" s="43"/>
      <c r="P2807" s="43"/>
      <c r="Q2807" s="43"/>
      <c r="R2807" s="43"/>
      <c r="S2807" s="43"/>
      <c r="T2807" s="43"/>
      <c r="U2807" s="43"/>
      <c r="V2807" s="43"/>
      <c r="W2807" s="43"/>
      <c r="X2807" s="43"/>
      <c r="Y2807" s="43"/>
      <c r="Z2807" s="43"/>
    </row>
    <row r="2808" spans="15:26" x14ac:dyDescent="0.25">
      <c r="O2808" s="43"/>
      <c r="P2808" s="43"/>
      <c r="Q2808" s="43"/>
      <c r="R2808" s="43"/>
      <c r="S2808" s="43"/>
      <c r="T2808" s="43"/>
      <c r="U2808" s="43"/>
      <c r="V2808" s="43"/>
      <c r="W2808" s="43"/>
      <c r="X2808" s="43"/>
      <c r="Y2808" s="43"/>
      <c r="Z2808" s="43"/>
    </row>
    <row r="2809" spans="15:26" x14ac:dyDescent="0.25">
      <c r="O2809" s="43"/>
      <c r="P2809" s="43"/>
      <c r="Q2809" s="43"/>
      <c r="R2809" s="43"/>
      <c r="S2809" s="43"/>
      <c r="T2809" s="43"/>
      <c r="U2809" s="43"/>
      <c r="V2809" s="43"/>
      <c r="W2809" s="43"/>
      <c r="X2809" s="43"/>
      <c r="Y2809" s="43"/>
      <c r="Z2809" s="43"/>
    </row>
    <row r="2810" spans="15:26" x14ac:dyDescent="0.25">
      <c r="O2810" s="43"/>
      <c r="P2810" s="43"/>
      <c r="Q2810" s="43"/>
      <c r="R2810" s="43"/>
      <c r="S2810" s="43"/>
      <c r="T2810" s="43"/>
      <c r="U2810" s="43"/>
      <c r="V2810" s="43"/>
      <c r="W2810" s="43"/>
      <c r="X2810" s="43"/>
      <c r="Y2810" s="43"/>
      <c r="Z2810" s="43"/>
    </row>
    <row r="2811" spans="15:26" x14ac:dyDescent="0.25">
      <c r="O2811" s="43"/>
      <c r="P2811" s="43"/>
      <c r="Q2811" s="43"/>
      <c r="R2811" s="43"/>
      <c r="S2811" s="43"/>
      <c r="T2811" s="43"/>
      <c r="U2811" s="43"/>
      <c r="V2811" s="43"/>
      <c r="W2811" s="43"/>
      <c r="X2811" s="43"/>
      <c r="Y2811" s="43"/>
      <c r="Z2811" s="43"/>
    </row>
    <row r="2812" spans="15:26" x14ac:dyDescent="0.25">
      <c r="O2812" s="43"/>
      <c r="P2812" s="43"/>
      <c r="Q2812" s="43"/>
      <c r="R2812" s="43"/>
      <c r="S2812" s="43"/>
      <c r="T2812" s="43"/>
      <c r="U2812" s="43"/>
      <c r="V2812" s="43"/>
      <c r="W2812" s="43"/>
      <c r="X2812" s="43"/>
      <c r="Y2812" s="43"/>
      <c r="Z2812" s="43"/>
    </row>
    <row r="2813" spans="15:26" x14ac:dyDescent="0.25">
      <c r="O2813" s="43"/>
      <c r="P2813" s="43"/>
      <c r="Q2813" s="43"/>
      <c r="R2813" s="43"/>
      <c r="S2813" s="43"/>
      <c r="T2813" s="43"/>
      <c r="U2813" s="43"/>
      <c r="V2813" s="43"/>
      <c r="W2813" s="43"/>
      <c r="X2813" s="43"/>
      <c r="Y2813" s="43"/>
      <c r="Z2813" s="43"/>
    </row>
    <row r="2814" spans="15:26" x14ac:dyDescent="0.25">
      <c r="O2814" s="43"/>
      <c r="P2814" s="43"/>
      <c r="Q2814" s="43"/>
      <c r="R2814" s="43"/>
      <c r="S2814" s="43"/>
      <c r="T2814" s="43"/>
      <c r="U2814" s="43"/>
      <c r="V2814" s="43"/>
      <c r="W2814" s="43"/>
      <c r="X2814" s="43"/>
      <c r="Y2814" s="43"/>
      <c r="Z2814" s="43"/>
    </row>
    <row r="2815" spans="15:26" x14ac:dyDescent="0.25">
      <c r="O2815" s="43"/>
      <c r="P2815" s="43"/>
      <c r="Q2815" s="43"/>
      <c r="R2815" s="43"/>
      <c r="S2815" s="43"/>
      <c r="T2815" s="43"/>
      <c r="U2815" s="43"/>
      <c r="V2815" s="43"/>
      <c r="W2815" s="43"/>
      <c r="X2815" s="43"/>
      <c r="Y2815" s="43"/>
      <c r="Z2815" s="43"/>
    </row>
    <row r="2816" spans="15:26" x14ac:dyDescent="0.25">
      <c r="O2816" s="43"/>
      <c r="P2816" s="43"/>
      <c r="Q2816" s="43"/>
      <c r="R2816" s="43"/>
      <c r="S2816" s="43"/>
      <c r="T2816" s="43"/>
      <c r="U2816" s="43"/>
      <c r="V2816" s="43"/>
      <c r="W2816" s="43"/>
      <c r="X2816" s="43"/>
      <c r="Y2816" s="43"/>
      <c r="Z2816" s="43"/>
    </row>
    <row r="2817" spans="15:26" x14ac:dyDescent="0.25">
      <c r="O2817" s="43"/>
      <c r="P2817" s="43"/>
      <c r="Q2817" s="43"/>
      <c r="R2817" s="43"/>
      <c r="S2817" s="43"/>
      <c r="T2817" s="43"/>
      <c r="U2817" s="43"/>
      <c r="V2817" s="43"/>
      <c r="W2817" s="43"/>
      <c r="X2817" s="43"/>
      <c r="Y2817" s="43"/>
      <c r="Z2817" s="43"/>
    </row>
    <row r="2818" spans="15:26" x14ac:dyDescent="0.25">
      <c r="O2818" s="43"/>
      <c r="P2818" s="43"/>
      <c r="Q2818" s="43"/>
      <c r="R2818" s="43"/>
      <c r="S2818" s="43"/>
      <c r="T2818" s="43"/>
      <c r="U2818" s="43"/>
      <c r="V2818" s="43"/>
      <c r="W2818" s="43"/>
      <c r="X2818" s="43"/>
      <c r="Y2818" s="43"/>
      <c r="Z2818" s="43"/>
    </row>
    <row r="2819" spans="15:26" x14ac:dyDescent="0.25">
      <c r="O2819" s="43"/>
      <c r="P2819" s="43"/>
      <c r="Q2819" s="43"/>
      <c r="R2819" s="43"/>
      <c r="S2819" s="43"/>
      <c r="T2819" s="43"/>
      <c r="U2819" s="43"/>
      <c r="V2819" s="43"/>
      <c r="W2819" s="43"/>
      <c r="X2819" s="43"/>
      <c r="Y2819" s="43"/>
      <c r="Z2819" s="43"/>
    </row>
    <row r="2820" spans="15:26" x14ac:dyDescent="0.25">
      <c r="O2820" s="43"/>
      <c r="P2820" s="43"/>
      <c r="Q2820" s="43"/>
      <c r="R2820" s="43"/>
      <c r="S2820" s="43"/>
      <c r="T2820" s="43"/>
      <c r="U2820" s="43"/>
      <c r="V2820" s="43"/>
      <c r="W2820" s="43"/>
      <c r="X2820" s="43"/>
      <c r="Y2820" s="43"/>
      <c r="Z2820" s="43"/>
    </row>
    <row r="2821" spans="15:26" x14ac:dyDescent="0.25">
      <c r="O2821" s="43"/>
      <c r="P2821" s="43"/>
      <c r="Q2821" s="43"/>
      <c r="R2821" s="43"/>
      <c r="S2821" s="43"/>
      <c r="T2821" s="43"/>
      <c r="U2821" s="43"/>
      <c r="V2821" s="43"/>
      <c r="W2821" s="43"/>
      <c r="X2821" s="43"/>
      <c r="Y2821" s="43"/>
      <c r="Z2821" s="43"/>
    </row>
    <row r="2822" spans="15:26" x14ac:dyDescent="0.25">
      <c r="O2822" s="43"/>
      <c r="P2822" s="43"/>
      <c r="Q2822" s="43"/>
      <c r="R2822" s="43"/>
      <c r="S2822" s="43"/>
      <c r="T2822" s="43"/>
      <c r="U2822" s="43"/>
      <c r="V2822" s="43"/>
      <c r="W2822" s="43"/>
      <c r="X2822" s="43"/>
      <c r="Y2822" s="43"/>
      <c r="Z2822" s="43"/>
    </row>
    <row r="2823" spans="15:26" x14ac:dyDescent="0.25">
      <c r="O2823" s="43"/>
      <c r="P2823" s="43"/>
      <c r="Q2823" s="43"/>
      <c r="R2823" s="43"/>
      <c r="S2823" s="43"/>
      <c r="T2823" s="43"/>
      <c r="U2823" s="43"/>
      <c r="V2823" s="43"/>
      <c r="W2823" s="43"/>
      <c r="X2823" s="43"/>
      <c r="Y2823" s="43"/>
      <c r="Z2823" s="43"/>
    </row>
    <row r="2824" spans="15:26" x14ac:dyDescent="0.25">
      <c r="O2824" s="43"/>
      <c r="P2824" s="43"/>
      <c r="Q2824" s="43"/>
      <c r="R2824" s="43"/>
      <c r="S2824" s="43"/>
      <c r="T2824" s="43"/>
      <c r="U2824" s="43"/>
      <c r="V2824" s="43"/>
      <c r="W2824" s="43"/>
      <c r="X2824" s="43"/>
      <c r="Y2824" s="43"/>
      <c r="Z2824" s="43"/>
    </row>
    <row r="2825" spans="15:26" x14ac:dyDescent="0.25">
      <c r="O2825" s="43"/>
      <c r="P2825" s="43"/>
      <c r="Q2825" s="43"/>
      <c r="R2825" s="43"/>
      <c r="S2825" s="43"/>
      <c r="T2825" s="43"/>
      <c r="U2825" s="43"/>
      <c r="V2825" s="43"/>
      <c r="W2825" s="43"/>
      <c r="X2825" s="43"/>
      <c r="Y2825" s="43"/>
      <c r="Z2825" s="43"/>
    </row>
    <row r="2826" spans="15:26" x14ac:dyDescent="0.25">
      <c r="O2826" s="43"/>
      <c r="P2826" s="43"/>
      <c r="Q2826" s="43"/>
      <c r="R2826" s="43"/>
      <c r="S2826" s="43"/>
      <c r="T2826" s="43"/>
      <c r="U2826" s="43"/>
      <c r="V2826" s="43"/>
      <c r="W2826" s="43"/>
      <c r="X2826" s="43"/>
      <c r="Y2826" s="43"/>
      <c r="Z2826" s="43"/>
    </row>
    <row r="2827" spans="15:26" x14ac:dyDescent="0.25">
      <c r="O2827" s="43"/>
      <c r="P2827" s="43"/>
      <c r="Q2827" s="43"/>
      <c r="R2827" s="43"/>
      <c r="S2827" s="43"/>
      <c r="T2827" s="43"/>
      <c r="U2827" s="43"/>
      <c r="V2827" s="43"/>
      <c r="W2827" s="43"/>
      <c r="X2827" s="43"/>
      <c r="Y2827" s="43"/>
      <c r="Z2827" s="43"/>
    </row>
    <row r="2828" spans="15:26" x14ac:dyDescent="0.25">
      <c r="O2828" s="43"/>
      <c r="P2828" s="43"/>
      <c r="Q2828" s="43"/>
      <c r="R2828" s="43"/>
      <c r="S2828" s="43"/>
      <c r="T2828" s="43"/>
      <c r="U2828" s="43"/>
      <c r="V2828" s="43"/>
      <c r="W2828" s="43"/>
      <c r="X2828" s="43"/>
      <c r="Y2828" s="43"/>
      <c r="Z2828" s="43"/>
    </row>
    <row r="2829" spans="15:26" x14ac:dyDescent="0.25">
      <c r="O2829" s="43"/>
      <c r="P2829" s="43"/>
      <c r="Q2829" s="43"/>
      <c r="R2829" s="43"/>
      <c r="S2829" s="43"/>
      <c r="T2829" s="43"/>
      <c r="U2829" s="43"/>
      <c r="V2829" s="43"/>
      <c r="W2829" s="43"/>
      <c r="X2829" s="43"/>
      <c r="Y2829" s="43"/>
      <c r="Z2829" s="43"/>
    </row>
    <row r="2830" spans="15:26" x14ac:dyDescent="0.25">
      <c r="O2830" s="43"/>
      <c r="P2830" s="43"/>
      <c r="Q2830" s="43"/>
      <c r="R2830" s="43"/>
      <c r="S2830" s="43"/>
      <c r="T2830" s="43"/>
      <c r="U2830" s="43"/>
      <c r="V2830" s="43"/>
      <c r="W2830" s="43"/>
      <c r="X2830" s="43"/>
      <c r="Y2830" s="43"/>
      <c r="Z2830" s="43"/>
    </row>
    <row r="2831" spans="15:26" x14ac:dyDescent="0.25">
      <c r="O2831" s="43"/>
      <c r="P2831" s="43"/>
      <c r="Q2831" s="43"/>
      <c r="R2831" s="43"/>
      <c r="S2831" s="43"/>
      <c r="T2831" s="43"/>
      <c r="U2831" s="43"/>
      <c r="V2831" s="43"/>
      <c r="W2831" s="43"/>
      <c r="X2831" s="43"/>
      <c r="Y2831" s="43"/>
      <c r="Z2831" s="43"/>
    </row>
    <row r="2832" spans="15:26" x14ac:dyDescent="0.25">
      <c r="O2832" s="43"/>
      <c r="P2832" s="43"/>
      <c r="Q2832" s="43"/>
      <c r="R2832" s="43"/>
      <c r="S2832" s="43"/>
      <c r="T2832" s="43"/>
      <c r="U2832" s="43"/>
      <c r="V2832" s="43"/>
      <c r="W2832" s="43"/>
      <c r="X2832" s="43"/>
      <c r="Y2832" s="43"/>
      <c r="Z2832" s="43"/>
    </row>
    <row r="2833" spans="15:26" x14ac:dyDescent="0.25">
      <c r="O2833" s="43"/>
      <c r="P2833" s="43"/>
      <c r="Q2833" s="43"/>
      <c r="R2833" s="43"/>
      <c r="S2833" s="43"/>
      <c r="T2833" s="43"/>
      <c r="U2833" s="43"/>
      <c r="V2833" s="43"/>
      <c r="W2833" s="43"/>
      <c r="X2833" s="43"/>
      <c r="Y2833" s="43"/>
      <c r="Z2833" s="43"/>
    </row>
    <row r="2834" spans="15:26" x14ac:dyDescent="0.25">
      <c r="O2834" s="43"/>
      <c r="P2834" s="43"/>
      <c r="Q2834" s="43"/>
      <c r="R2834" s="43"/>
      <c r="S2834" s="43"/>
      <c r="T2834" s="43"/>
      <c r="U2834" s="43"/>
      <c r="V2834" s="43"/>
      <c r="W2834" s="43"/>
      <c r="X2834" s="43"/>
      <c r="Y2834" s="43"/>
      <c r="Z2834" s="43"/>
    </row>
    <row r="2835" spans="15:26" x14ac:dyDescent="0.25">
      <c r="O2835" s="43"/>
      <c r="P2835" s="43"/>
      <c r="Q2835" s="43"/>
      <c r="R2835" s="43"/>
      <c r="S2835" s="43"/>
      <c r="T2835" s="43"/>
      <c r="U2835" s="43"/>
      <c r="V2835" s="43"/>
      <c r="W2835" s="43"/>
      <c r="X2835" s="43"/>
      <c r="Y2835" s="43"/>
      <c r="Z2835" s="43"/>
    </row>
    <row r="2836" spans="15:26" x14ac:dyDescent="0.25">
      <c r="O2836" s="43"/>
      <c r="P2836" s="43"/>
      <c r="Q2836" s="43"/>
      <c r="R2836" s="43"/>
      <c r="S2836" s="43"/>
      <c r="T2836" s="43"/>
      <c r="U2836" s="43"/>
      <c r="V2836" s="43"/>
      <c r="W2836" s="43"/>
      <c r="X2836" s="43"/>
      <c r="Y2836" s="43"/>
      <c r="Z2836" s="43"/>
    </row>
    <row r="2837" spans="15:26" x14ac:dyDescent="0.25">
      <c r="O2837" s="43"/>
      <c r="P2837" s="43"/>
      <c r="Q2837" s="43"/>
      <c r="R2837" s="43"/>
      <c r="S2837" s="43"/>
      <c r="T2837" s="43"/>
      <c r="U2837" s="43"/>
      <c r="V2837" s="43"/>
      <c r="W2837" s="43"/>
      <c r="X2837" s="43"/>
      <c r="Y2837" s="43"/>
      <c r="Z2837" s="43"/>
    </row>
    <row r="2838" spans="15:26" x14ac:dyDescent="0.25">
      <c r="O2838" s="43"/>
      <c r="P2838" s="43"/>
      <c r="Q2838" s="43"/>
      <c r="R2838" s="43"/>
      <c r="S2838" s="43"/>
      <c r="T2838" s="43"/>
      <c r="U2838" s="43"/>
      <c r="V2838" s="43"/>
      <c r="W2838" s="43"/>
      <c r="X2838" s="43"/>
      <c r="Y2838" s="43"/>
      <c r="Z2838" s="43"/>
    </row>
    <row r="2839" spans="15:26" x14ac:dyDescent="0.25">
      <c r="O2839" s="43"/>
      <c r="P2839" s="43"/>
      <c r="Q2839" s="43"/>
      <c r="R2839" s="43"/>
      <c r="S2839" s="43"/>
      <c r="T2839" s="43"/>
      <c r="U2839" s="43"/>
      <c r="V2839" s="43"/>
      <c r="W2839" s="43"/>
      <c r="X2839" s="43"/>
      <c r="Y2839" s="43"/>
      <c r="Z2839" s="43"/>
    </row>
    <row r="2840" spans="15:26" x14ac:dyDescent="0.25">
      <c r="O2840" s="43"/>
      <c r="P2840" s="43"/>
      <c r="Q2840" s="43"/>
      <c r="R2840" s="43"/>
      <c r="S2840" s="43"/>
      <c r="T2840" s="43"/>
      <c r="U2840" s="43"/>
      <c r="V2840" s="43"/>
      <c r="W2840" s="43"/>
      <c r="X2840" s="43"/>
      <c r="Y2840" s="43"/>
      <c r="Z2840" s="43"/>
    </row>
    <row r="2841" spans="15:26" x14ac:dyDescent="0.25">
      <c r="O2841" s="43"/>
      <c r="P2841" s="43"/>
      <c r="Q2841" s="43"/>
      <c r="R2841" s="43"/>
      <c r="S2841" s="43"/>
      <c r="T2841" s="43"/>
      <c r="U2841" s="43"/>
      <c r="V2841" s="43"/>
      <c r="W2841" s="43"/>
      <c r="X2841" s="43"/>
      <c r="Y2841" s="43"/>
      <c r="Z2841" s="43"/>
    </row>
    <row r="2842" spans="15:26" x14ac:dyDescent="0.25">
      <c r="O2842" s="43"/>
      <c r="P2842" s="43"/>
      <c r="Q2842" s="43"/>
      <c r="R2842" s="43"/>
      <c r="S2842" s="43"/>
      <c r="T2842" s="43"/>
      <c r="U2842" s="43"/>
      <c r="V2842" s="43"/>
      <c r="W2842" s="43"/>
      <c r="X2842" s="43"/>
      <c r="Y2842" s="43"/>
      <c r="Z2842" s="43"/>
    </row>
    <row r="2843" spans="15:26" x14ac:dyDescent="0.25">
      <c r="O2843" s="43"/>
      <c r="P2843" s="43"/>
      <c r="Q2843" s="43"/>
      <c r="R2843" s="43"/>
      <c r="S2843" s="43"/>
      <c r="T2843" s="43"/>
      <c r="U2843" s="43"/>
      <c r="V2843" s="43"/>
      <c r="W2843" s="43"/>
      <c r="X2843" s="43"/>
      <c r="Y2843" s="43"/>
      <c r="Z2843" s="43"/>
    </row>
    <row r="2844" spans="15:26" x14ac:dyDescent="0.25">
      <c r="O2844" s="43"/>
      <c r="P2844" s="43"/>
      <c r="Q2844" s="43"/>
      <c r="R2844" s="43"/>
      <c r="S2844" s="43"/>
      <c r="T2844" s="43"/>
      <c r="U2844" s="43"/>
      <c r="V2844" s="43"/>
      <c r="W2844" s="43"/>
      <c r="X2844" s="43"/>
      <c r="Y2844" s="43"/>
      <c r="Z2844" s="43"/>
    </row>
    <row r="2845" spans="15:26" x14ac:dyDescent="0.25">
      <c r="O2845" s="43"/>
      <c r="P2845" s="43"/>
      <c r="Q2845" s="43"/>
      <c r="R2845" s="43"/>
      <c r="S2845" s="43"/>
      <c r="T2845" s="43"/>
      <c r="U2845" s="43"/>
      <c r="V2845" s="43"/>
      <c r="W2845" s="43"/>
      <c r="X2845" s="43"/>
      <c r="Y2845" s="43"/>
      <c r="Z2845" s="43"/>
    </row>
    <row r="2846" spans="15:26" x14ac:dyDescent="0.25">
      <c r="O2846" s="43"/>
      <c r="P2846" s="43"/>
      <c r="Q2846" s="43"/>
      <c r="R2846" s="43"/>
      <c r="S2846" s="43"/>
      <c r="T2846" s="43"/>
      <c r="U2846" s="43"/>
      <c r="V2846" s="43"/>
      <c r="W2846" s="43"/>
      <c r="X2846" s="43"/>
      <c r="Y2846" s="43"/>
      <c r="Z2846" s="43"/>
    </row>
    <row r="2847" spans="15:26" x14ac:dyDescent="0.25">
      <c r="O2847" s="43"/>
      <c r="P2847" s="43"/>
      <c r="Q2847" s="43"/>
      <c r="R2847" s="43"/>
      <c r="S2847" s="43"/>
      <c r="T2847" s="43"/>
      <c r="U2847" s="43"/>
      <c r="V2847" s="43"/>
      <c r="W2847" s="43"/>
      <c r="X2847" s="43"/>
      <c r="Y2847" s="43"/>
      <c r="Z2847" s="43"/>
    </row>
    <row r="2848" spans="15:26" x14ac:dyDescent="0.25">
      <c r="O2848" s="43"/>
      <c r="P2848" s="43"/>
      <c r="Q2848" s="43"/>
      <c r="R2848" s="43"/>
      <c r="S2848" s="43"/>
      <c r="T2848" s="43"/>
      <c r="U2848" s="43"/>
      <c r="V2848" s="43"/>
      <c r="W2848" s="43"/>
      <c r="X2848" s="43"/>
      <c r="Y2848" s="43"/>
      <c r="Z2848" s="43"/>
    </row>
    <row r="2849" spans="15:26" x14ac:dyDescent="0.25">
      <c r="O2849" s="43"/>
      <c r="P2849" s="43"/>
      <c r="Q2849" s="43"/>
      <c r="R2849" s="43"/>
      <c r="S2849" s="43"/>
      <c r="T2849" s="43"/>
      <c r="U2849" s="43"/>
      <c r="V2849" s="43"/>
      <c r="W2849" s="43"/>
      <c r="X2849" s="43"/>
      <c r="Y2849" s="43"/>
      <c r="Z2849" s="43"/>
    </row>
    <row r="2850" spans="15:26" x14ac:dyDescent="0.25">
      <c r="O2850" s="43"/>
      <c r="P2850" s="43"/>
      <c r="Q2850" s="43"/>
      <c r="R2850" s="43"/>
      <c r="S2850" s="43"/>
      <c r="T2850" s="43"/>
      <c r="U2850" s="43"/>
      <c r="V2850" s="43"/>
      <c r="W2850" s="43"/>
      <c r="X2850" s="43"/>
      <c r="Y2850" s="43"/>
      <c r="Z2850" s="43"/>
    </row>
    <row r="2851" spans="15:26" x14ac:dyDescent="0.25">
      <c r="O2851" s="43"/>
      <c r="P2851" s="43"/>
      <c r="Q2851" s="43"/>
      <c r="R2851" s="43"/>
      <c r="S2851" s="43"/>
      <c r="T2851" s="43"/>
      <c r="U2851" s="43"/>
      <c r="V2851" s="43"/>
      <c r="W2851" s="43"/>
      <c r="X2851" s="43"/>
      <c r="Y2851" s="43"/>
      <c r="Z2851" s="43"/>
    </row>
    <row r="2852" spans="15:26" x14ac:dyDescent="0.25">
      <c r="O2852" s="43"/>
      <c r="P2852" s="43"/>
      <c r="Q2852" s="43"/>
      <c r="R2852" s="43"/>
      <c r="S2852" s="43"/>
      <c r="T2852" s="43"/>
      <c r="U2852" s="43"/>
      <c r="V2852" s="43"/>
      <c r="W2852" s="43"/>
      <c r="X2852" s="43"/>
      <c r="Y2852" s="43"/>
      <c r="Z2852" s="43"/>
    </row>
    <row r="2853" spans="15:26" x14ac:dyDescent="0.25">
      <c r="O2853" s="43"/>
      <c r="P2853" s="43"/>
      <c r="Q2853" s="43"/>
      <c r="R2853" s="43"/>
      <c r="S2853" s="43"/>
      <c r="T2853" s="43"/>
      <c r="U2853" s="43"/>
      <c r="V2853" s="43"/>
      <c r="W2853" s="43"/>
      <c r="X2853" s="43"/>
      <c r="Y2853" s="43"/>
      <c r="Z2853" s="43"/>
    </row>
    <row r="2854" spans="15:26" x14ac:dyDescent="0.25">
      <c r="O2854" s="43"/>
      <c r="P2854" s="43"/>
      <c r="Q2854" s="43"/>
      <c r="R2854" s="43"/>
      <c r="S2854" s="43"/>
      <c r="T2854" s="43"/>
      <c r="U2854" s="43"/>
      <c r="V2854" s="43"/>
      <c r="W2854" s="43"/>
      <c r="X2854" s="43"/>
      <c r="Y2854" s="43"/>
      <c r="Z2854" s="43"/>
    </row>
    <row r="2855" spans="15:26" x14ac:dyDescent="0.25">
      <c r="O2855" s="43"/>
      <c r="P2855" s="43"/>
      <c r="Q2855" s="43"/>
      <c r="R2855" s="43"/>
      <c r="S2855" s="43"/>
      <c r="T2855" s="43"/>
      <c r="U2855" s="43"/>
      <c r="V2855" s="43"/>
      <c r="W2855" s="43"/>
      <c r="X2855" s="43"/>
      <c r="Y2855" s="43"/>
      <c r="Z2855" s="43"/>
    </row>
    <row r="2856" spans="15:26" x14ac:dyDescent="0.25">
      <c r="O2856" s="43"/>
      <c r="P2856" s="43"/>
      <c r="Q2856" s="43"/>
      <c r="R2856" s="43"/>
      <c r="S2856" s="43"/>
      <c r="T2856" s="43"/>
      <c r="U2856" s="43"/>
      <c r="V2856" s="43"/>
      <c r="W2856" s="43"/>
      <c r="X2856" s="43"/>
      <c r="Y2856" s="43"/>
      <c r="Z2856" s="43"/>
    </row>
    <row r="2857" spans="15:26" x14ac:dyDescent="0.25">
      <c r="O2857" s="43"/>
      <c r="P2857" s="43"/>
      <c r="Q2857" s="43"/>
      <c r="R2857" s="43"/>
      <c r="S2857" s="43"/>
      <c r="T2857" s="43"/>
      <c r="U2857" s="43"/>
      <c r="V2857" s="43"/>
      <c r="W2857" s="43"/>
      <c r="X2857" s="43"/>
      <c r="Y2857" s="43"/>
      <c r="Z2857" s="43"/>
    </row>
    <row r="2858" spans="15:26" x14ac:dyDescent="0.25">
      <c r="O2858" s="43"/>
      <c r="P2858" s="43"/>
      <c r="Q2858" s="43"/>
      <c r="R2858" s="43"/>
      <c r="S2858" s="43"/>
      <c r="T2858" s="43"/>
      <c r="U2858" s="43"/>
      <c r="V2858" s="43"/>
      <c r="W2858" s="43"/>
      <c r="X2858" s="43"/>
      <c r="Y2858" s="43"/>
      <c r="Z2858" s="43"/>
    </row>
    <row r="2859" spans="15:26" x14ac:dyDescent="0.25">
      <c r="O2859" s="43"/>
      <c r="P2859" s="43"/>
      <c r="Q2859" s="43"/>
      <c r="R2859" s="43"/>
      <c r="S2859" s="43"/>
      <c r="T2859" s="43"/>
      <c r="U2859" s="43"/>
      <c r="V2859" s="43"/>
      <c r="W2859" s="43"/>
      <c r="X2859" s="43"/>
      <c r="Y2859" s="43"/>
      <c r="Z2859" s="43"/>
    </row>
    <row r="2860" spans="15:26" x14ac:dyDescent="0.25">
      <c r="O2860" s="43"/>
      <c r="P2860" s="43"/>
      <c r="Q2860" s="43"/>
      <c r="R2860" s="43"/>
      <c r="S2860" s="43"/>
      <c r="T2860" s="43"/>
      <c r="U2860" s="43"/>
      <c r="V2860" s="43"/>
      <c r="W2860" s="43"/>
      <c r="X2860" s="43"/>
      <c r="Y2860" s="43"/>
      <c r="Z2860" s="43"/>
    </row>
    <row r="2861" spans="15:26" x14ac:dyDescent="0.25">
      <c r="O2861" s="43"/>
      <c r="P2861" s="43"/>
      <c r="Q2861" s="43"/>
      <c r="R2861" s="43"/>
      <c r="S2861" s="43"/>
      <c r="T2861" s="43"/>
      <c r="U2861" s="43"/>
      <c r="V2861" s="43"/>
      <c r="W2861" s="43"/>
      <c r="X2861" s="43"/>
      <c r="Y2861" s="43"/>
      <c r="Z2861" s="43"/>
    </row>
    <row r="2862" spans="15:26" x14ac:dyDescent="0.25">
      <c r="O2862" s="43"/>
      <c r="P2862" s="43"/>
      <c r="Q2862" s="43"/>
      <c r="R2862" s="43"/>
      <c r="S2862" s="43"/>
      <c r="T2862" s="43"/>
      <c r="U2862" s="43"/>
      <c r="V2862" s="43"/>
      <c r="W2862" s="43"/>
      <c r="X2862" s="43"/>
      <c r="Y2862" s="43"/>
      <c r="Z2862" s="43"/>
    </row>
    <row r="2863" spans="15:26" x14ac:dyDescent="0.25">
      <c r="O2863" s="43"/>
      <c r="P2863" s="43"/>
      <c r="Q2863" s="43"/>
      <c r="R2863" s="43"/>
      <c r="S2863" s="43"/>
      <c r="T2863" s="43"/>
      <c r="U2863" s="43"/>
      <c r="V2863" s="43"/>
      <c r="W2863" s="43"/>
      <c r="X2863" s="43"/>
      <c r="Y2863" s="43"/>
      <c r="Z2863" s="43"/>
    </row>
    <row r="2864" spans="15:26" x14ac:dyDescent="0.25">
      <c r="O2864" s="43"/>
      <c r="P2864" s="43"/>
      <c r="Q2864" s="43"/>
      <c r="R2864" s="43"/>
      <c r="S2864" s="43"/>
      <c r="T2864" s="43"/>
      <c r="U2864" s="43"/>
      <c r="V2864" s="43"/>
      <c r="W2864" s="43"/>
      <c r="X2864" s="43"/>
      <c r="Y2864" s="43"/>
      <c r="Z2864" s="43"/>
    </row>
    <row r="2865" spans="15:26" x14ac:dyDescent="0.25">
      <c r="O2865" s="43"/>
      <c r="P2865" s="43"/>
      <c r="Q2865" s="43"/>
      <c r="R2865" s="43"/>
      <c r="S2865" s="43"/>
      <c r="T2865" s="43"/>
      <c r="U2865" s="43"/>
      <c r="V2865" s="43"/>
      <c r="W2865" s="43"/>
      <c r="X2865" s="43"/>
      <c r="Y2865" s="43"/>
      <c r="Z2865" s="43"/>
    </row>
    <row r="2866" spans="15:26" x14ac:dyDescent="0.25">
      <c r="O2866" s="43"/>
      <c r="P2866" s="43"/>
      <c r="Q2866" s="43"/>
      <c r="R2866" s="43"/>
      <c r="S2866" s="43"/>
      <c r="T2866" s="43"/>
      <c r="U2866" s="43"/>
      <c r="V2866" s="43"/>
      <c r="W2866" s="43"/>
      <c r="X2866" s="43"/>
      <c r="Y2866" s="43"/>
      <c r="Z2866" s="43"/>
    </row>
    <row r="2867" spans="15:26" x14ac:dyDescent="0.25">
      <c r="O2867" s="43"/>
      <c r="P2867" s="43"/>
      <c r="Q2867" s="43"/>
      <c r="R2867" s="43"/>
      <c r="S2867" s="43"/>
      <c r="T2867" s="43"/>
      <c r="U2867" s="43"/>
      <c r="V2867" s="43"/>
      <c r="W2867" s="43"/>
      <c r="X2867" s="43"/>
      <c r="Y2867" s="43"/>
      <c r="Z2867" s="43"/>
    </row>
    <row r="2868" spans="15:26" x14ac:dyDescent="0.25">
      <c r="O2868" s="43"/>
      <c r="P2868" s="43"/>
      <c r="Q2868" s="43"/>
      <c r="R2868" s="43"/>
      <c r="S2868" s="43"/>
      <c r="T2868" s="43"/>
      <c r="U2868" s="43"/>
      <c r="V2868" s="43"/>
      <c r="W2868" s="43"/>
      <c r="X2868" s="43"/>
      <c r="Y2868" s="43"/>
      <c r="Z2868" s="43"/>
    </row>
    <row r="2869" spans="15:26" x14ac:dyDescent="0.25">
      <c r="O2869" s="43"/>
      <c r="P2869" s="43"/>
      <c r="Q2869" s="43"/>
      <c r="R2869" s="43"/>
      <c r="S2869" s="43"/>
      <c r="T2869" s="43"/>
      <c r="U2869" s="43"/>
      <c r="V2869" s="43"/>
      <c r="W2869" s="43"/>
      <c r="X2869" s="43"/>
      <c r="Y2869" s="43"/>
      <c r="Z2869" s="43"/>
    </row>
    <row r="2870" spans="15:26" x14ac:dyDescent="0.25">
      <c r="O2870" s="43"/>
      <c r="P2870" s="43"/>
      <c r="Q2870" s="43"/>
      <c r="R2870" s="43"/>
      <c r="S2870" s="43"/>
      <c r="T2870" s="43"/>
      <c r="U2870" s="43"/>
      <c r="V2870" s="43"/>
      <c r="W2870" s="43"/>
      <c r="X2870" s="43"/>
      <c r="Y2870" s="43"/>
      <c r="Z2870" s="43"/>
    </row>
    <row r="2871" spans="15:26" x14ac:dyDescent="0.25">
      <c r="O2871" s="43"/>
      <c r="P2871" s="43"/>
      <c r="Q2871" s="43"/>
      <c r="R2871" s="43"/>
      <c r="S2871" s="43"/>
      <c r="T2871" s="43"/>
      <c r="U2871" s="43"/>
      <c r="V2871" s="43"/>
      <c r="W2871" s="43"/>
      <c r="X2871" s="43"/>
      <c r="Y2871" s="43"/>
      <c r="Z2871" s="43"/>
    </row>
    <row r="2872" spans="15:26" x14ac:dyDescent="0.25">
      <c r="O2872" s="43"/>
      <c r="P2872" s="43"/>
      <c r="Q2872" s="43"/>
      <c r="R2872" s="43"/>
      <c r="S2872" s="43"/>
      <c r="T2872" s="43"/>
      <c r="U2872" s="43"/>
      <c r="V2872" s="43"/>
      <c r="W2872" s="43"/>
      <c r="X2872" s="43"/>
      <c r="Y2872" s="43"/>
      <c r="Z2872" s="43"/>
    </row>
    <row r="2873" spans="15:26" x14ac:dyDescent="0.25">
      <c r="O2873" s="43"/>
      <c r="P2873" s="43"/>
      <c r="Q2873" s="43"/>
      <c r="R2873" s="43"/>
      <c r="S2873" s="43"/>
      <c r="T2873" s="43"/>
      <c r="U2873" s="43"/>
      <c r="V2873" s="43"/>
      <c r="W2873" s="43"/>
      <c r="X2873" s="43"/>
      <c r="Y2873" s="43"/>
      <c r="Z2873" s="43"/>
    </row>
    <row r="2874" spans="15:26" x14ac:dyDescent="0.25">
      <c r="O2874" s="43"/>
      <c r="P2874" s="43"/>
      <c r="Q2874" s="43"/>
      <c r="R2874" s="43"/>
      <c r="S2874" s="43"/>
      <c r="T2874" s="43"/>
      <c r="U2874" s="43"/>
      <c r="V2874" s="43"/>
      <c r="W2874" s="43"/>
      <c r="X2874" s="43"/>
      <c r="Y2874" s="43"/>
      <c r="Z2874" s="43"/>
    </row>
    <row r="2875" spans="15:26" x14ac:dyDescent="0.25">
      <c r="O2875" s="43"/>
      <c r="P2875" s="43"/>
      <c r="Q2875" s="43"/>
      <c r="R2875" s="43"/>
      <c r="S2875" s="43"/>
      <c r="T2875" s="43"/>
      <c r="U2875" s="43"/>
      <c r="V2875" s="43"/>
      <c r="W2875" s="43"/>
      <c r="X2875" s="43"/>
      <c r="Y2875" s="43"/>
      <c r="Z2875" s="43"/>
    </row>
    <row r="2876" spans="15:26" x14ac:dyDescent="0.25">
      <c r="O2876" s="43"/>
      <c r="P2876" s="43"/>
      <c r="Q2876" s="43"/>
      <c r="R2876" s="43"/>
      <c r="S2876" s="43"/>
      <c r="T2876" s="43"/>
      <c r="U2876" s="43"/>
      <c r="V2876" s="43"/>
      <c r="W2876" s="43"/>
      <c r="X2876" s="43"/>
      <c r="Y2876" s="43"/>
      <c r="Z2876" s="43"/>
    </row>
    <row r="2877" spans="15:26" x14ac:dyDescent="0.25">
      <c r="O2877" s="43"/>
      <c r="P2877" s="43"/>
      <c r="Q2877" s="43"/>
      <c r="R2877" s="43"/>
      <c r="S2877" s="43"/>
      <c r="T2877" s="43"/>
      <c r="U2877" s="43"/>
      <c r="V2877" s="43"/>
      <c r="W2877" s="43"/>
      <c r="X2877" s="43"/>
      <c r="Y2877" s="43"/>
      <c r="Z2877" s="43"/>
    </row>
    <row r="2878" spans="15:26" x14ac:dyDescent="0.25">
      <c r="O2878" s="43"/>
      <c r="P2878" s="43"/>
      <c r="Q2878" s="43"/>
      <c r="R2878" s="43"/>
      <c r="S2878" s="43"/>
      <c r="T2878" s="43"/>
      <c r="U2878" s="43"/>
      <c r="V2878" s="43"/>
      <c r="W2878" s="43"/>
      <c r="X2878" s="43"/>
      <c r="Y2878" s="43"/>
      <c r="Z2878" s="43"/>
    </row>
    <row r="2879" spans="15:26" x14ac:dyDescent="0.25">
      <c r="O2879" s="43"/>
      <c r="P2879" s="43"/>
      <c r="Q2879" s="43"/>
      <c r="R2879" s="43"/>
      <c r="S2879" s="43"/>
      <c r="T2879" s="43"/>
      <c r="U2879" s="43"/>
      <c r="V2879" s="43"/>
      <c r="W2879" s="43"/>
      <c r="X2879" s="43"/>
      <c r="Y2879" s="43"/>
      <c r="Z2879" s="43"/>
    </row>
    <row r="2880" spans="15:26" x14ac:dyDescent="0.25">
      <c r="O2880" s="43"/>
      <c r="P2880" s="43"/>
      <c r="Q2880" s="43"/>
      <c r="R2880" s="43"/>
      <c r="S2880" s="43"/>
      <c r="T2880" s="43"/>
      <c r="U2880" s="43"/>
      <c r="V2880" s="43"/>
      <c r="W2880" s="43"/>
      <c r="X2880" s="43"/>
      <c r="Y2880" s="43"/>
      <c r="Z2880" s="43"/>
    </row>
    <row r="2881" spans="15:26" x14ac:dyDescent="0.25">
      <c r="O2881" s="43"/>
      <c r="P2881" s="43"/>
      <c r="Q2881" s="43"/>
      <c r="R2881" s="43"/>
      <c r="S2881" s="43"/>
      <c r="T2881" s="43"/>
      <c r="U2881" s="43"/>
      <c r="V2881" s="43"/>
      <c r="W2881" s="43"/>
      <c r="X2881" s="43"/>
      <c r="Y2881" s="43"/>
      <c r="Z2881" s="43"/>
    </row>
    <row r="2882" spans="15:26" x14ac:dyDescent="0.25">
      <c r="O2882" s="43"/>
      <c r="P2882" s="43"/>
      <c r="Q2882" s="43"/>
      <c r="R2882" s="43"/>
      <c r="S2882" s="43"/>
      <c r="T2882" s="43"/>
      <c r="U2882" s="43"/>
      <c r="V2882" s="43"/>
      <c r="W2882" s="43"/>
      <c r="X2882" s="43"/>
      <c r="Y2882" s="43"/>
      <c r="Z2882" s="43"/>
    </row>
    <row r="2883" spans="15:26" x14ac:dyDescent="0.25">
      <c r="O2883" s="43"/>
      <c r="P2883" s="43"/>
      <c r="Q2883" s="43"/>
      <c r="R2883" s="43"/>
      <c r="S2883" s="43"/>
      <c r="T2883" s="43"/>
      <c r="U2883" s="43"/>
      <c r="V2883" s="43"/>
      <c r="W2883" s="43"/>
      <c r="X2883" s="43"/>
      <c r="Y2883" s="43"/>
      <c r="Z2883" s="43"/>
    </row>
    <row r="2884" spans="15:26" x14ac:dyDescent="0.25">
      <c r="O2884" s="43"/>
      <c r="P2884" s="43"/>
      <c r="Q2884" s="43"/>
      <c r="R2884" s="43"/>
      <c r="S2884" s="43"/>
      <c r="T2884" s="43"/>
      <c r="U2884" s="43"/>
      <c r="V2884" s="43"/>
      <c r="W2884" s="43"/>
      <c r="X2884" s="43"/>
      <c r="Y2884" s="43"/>
      <c r="Z2884" s="43"/>
    </row>
    <row r="2885" spans="15:26" x14ac:dyDescent="0.25">
      <c r="O2885" s="43"/>
      <c r="P2885" s="43"/>
      <c r="Q2885" s="43"/>
      <c r="R2885" s="43"/>
      <c r="S2885" s="43"/>
      <c r="T2885" s="43"/>
      <c r="U2885" s="43"/>
      <c r="V2885" s="43"/>
      <c r="W2885" s="43"/>
      <c r="X2885" s="43"/>
      <c r="Y2885" s="43"/>
      <c r="Z2885" s="43"/>
    </row>
    <row r="2886" spans="15:26" x14ac:dyDescent="0.25">
      <c r="O2886" s="43"/>
      <c r="P2886" s="43"/>
      <c r="Q2886" s="43"/>
      <c r="R2886" s="43"/>
      <c r="S2886" s="43"/>
      <c r="T2886" s="43"/>
      <c r="U2886" s="43"/>
      <c r="V2886" s="43"/>
      <c r="W2886" s="43"/>
      <c r="X2886" s="43"/>
      <c r="Y2886" s="43"/>
      <c r="Z2886" s="43"/>
    </row>
    <row r="2887" spans="15:26" x14ac:dyDescent="0.25">
      <c r="O2887" s="43"/>
      <c r="P2887" s="43"/>
      <c r="Q2887" s="43"/>
      <c r="R2887" s="43"/>
      <c r="S2887" s="43"/>
      <c r="T2887" s="43"/>
      <c r="U2887" s="43"/>
      <c r="V2887" s="43"/>
      <c r="W2887" s="43"/>
      <c r="X2887" s="43"/>
      <c r="Y2887" s="43"/>
      <c r="Z2887" s="43"/>
    </row>
    <row r="2888" spans="15:26" x14ac:dyDescent="0.25">
      <c r="O2888" s="43"/>
      <c r="P2888" s="43"/>
      <c r="Q2888" s="43"/>
      <c r="R2888" s="43"/>
      <c r="S2888" s="43"/>
      <c r="T2888" s="43"/>
      <c r="U2888" s="43"/>
      <c r="V2888" s="43"/>
      <c r="W2888" s="43"/>
      <c r="X2888" s="43"/>
      <c r="Y2888" s="43"/>
      <c r="Z2888" s="43"/>
    </row>
    <row r="2889" spans="15:26" x14ac:dyDescent="0.25">
      <c r="O2889" s="43"/>
      <c r="P2889" s="43"/>
      <c r="Q2889" s="43"/>
      <c r="R2889" s="43"/>
      <c r="S2889" s="43"/>
      <c r="T2889" s="43"/>
      <c r="U2889" s="43"/>
      <c r="V2889" s="43"/>
      <c r="W2889" s="43"/>
      <c r="X2889" s="43"/>
      <c r="Y2889" s="43"/>
      <c r="Z2889" s="43"/>
    </row>
    <row r="2890" spans="15:26" x14ac:dyDescent="0.25">
      <c r="O2890" s="43"/>
      <c r="P2890" s="43"/>
      <c r="Q2890" s="43"/>
      <c r="R2890" s="43"/>
      <c r="S2890" s="43"/>
      <c r="T2890" s="43"/>
      <c r="U2890" s="43"/>
      <c r="V2890" s="43"/>
      <c r="W2890" s="43"/>
      <c r="X2890" s="43"/>
      <c r="Y2890" s="43"/>
      <c r="Z2890" s="43"/>
    </row>
    <row r="2891" spans="15:26" x14ac:dyDescent="0.25">
      <c r="O2891" s="43"/>
      <c r="P2891" s="43"/>
      <c r="Q2891" s="43"/>
      <c r="R2891" s="43"/>
      <c r="S2891" s="43"/>
      <c r="T2891" s="43"/>
      <c r="U2891" s="43"/>
      <c r="V2891" s="43"/>
      <c r="W2891" s="43"/>
      <c r="X2891" s="43"/>
      <c r="Y2891" s="43"/>
      <c r="Z2891" s="43"/>
    </row>
    <row r="2892" spans="15:26" x14ac:dyDescent="0.25">
      <c r="O2892" s="43"/>
      <c r="P2892" s="43"/>
      <c r="Q2892" s="43"/>
      <c r="R2892" s="43"/>
      <c r="S2892" s="43"/>
      <c r="T2892" s="43"/>
      <c r="U2892" s="43"/>
      <c r="V2892" s="43"/>
      <c r="W2892" s="43"/>
      <c r="X2892" s="43"/>
      <c r="Y2892" s="43"/>
      <c r="Z2892" s="43"/>
    </row>
    <row r="2893" spans="15:26" x14ac:dyDescent="0.25">
      <c r="O2893" s="43"/>
      <c r="P2893" s="43"/>
      <c r="Q2893" s="43"/>
      <c r="R2893" s="43"/>
      <c r="S2893" s="43"/>
      <c r="T2893" s="43"/>
      <c r="U2893" s="43"/>
      <c r="V2893" s="43"/>
      <c r="W2893" s="43"/>
      <c r="X2893" s="43"/>
      <c r="Y2893" s="43"/>
      <c r="Z2893" s="43"/>
    </row>
    <row r="2894" spans="15:26" x14ac:dyDescent="0.25">
      <c r="O2894" s="43"/>
      <c r="P2894" s="43"/>
      <c r="Q2894" s="43"/>
      <c r="R2894" s="43"/>
      <c r="S2894" s="43"/>
      <c r="T2894" s="43"/>
      <c r="U2894" s="43"/>
      <c r="V2894" s="43"/>
      <c r="W2894" s="43"/>
      <c r="X2894" s="43"/>
      <c r="Y2894" s="43"/>
      <c r="Z2894" s="43"/>
    </row>
    <row r="2895" spans="15:26" x14ac:dyDescent="0.25">
      <c r="O2895" s="43"/>
      <c r="P2895" s="43"/>
      <c r="Q2895" s="43"/>
      <c r="R2895" s="43"/>
      <c r="S2895" s="43"/>
      <c r="T2895" s="43"/>
      <c r="U2895" s="43"/>
      <c r="V2895" s="43"/>
      <c r="W2895" s="43"/>
      <c r="X2895" s="43"/>
      <c r="Y2895" s="43"/>
      <c r="Z2895" s="43"/>
    </row>
    <row r="2896" spans="15:26" x14ac:dyDescent="0.25">
      <c r="O2896" s="43"/>
      <c r="P2896" s="43"/>
      <c r="Q2896" s="43"/>
      <c r="R2896" s="43"/>
      <c r="S2896" s="43"/>
      <c r="T2896" s="43"/>
      <c r="U2896" s="43"/>
      <c r="V2896" s="43"/>
      <c r="W2896" s="43"/>
      <c r="X2896" s="43"/>
      <c r="Y2896" s="43"/>
      <c r="Z2896" s="43"/>
    </row>
    <row r="2897" spans="15:26" x14ac:dyDescent="0.25">
      <c r="O2897" s="43"/>
      <c r="P2897" s="43"/>
      <c r="Q2897" s="43"/>
      <c r="R2897" s="43"/>
      <c r="S2897" s="43"/>
      <c r="T2897" s="43"/>
      <c r="U2897" s="43"/>
      <c r="V2897" s="43"/>
      <c r="W2897" s="43"/>
      <c r="X2897" s="43"/>
      <c r="Y2897" s="43"/>
      <c r="Z2897" s="43"/>
    </row>
    <row r="2898" spans="15:26" x14ac:dyDescent="0.25">
      <c r="O2898" s="43"/>
      <c r="P2898" s="43"/>
      <c r="Q2898" s="43"/>
      <c r="R2898" s="43"/>
      <c r="S2898" s="43"/>
      <c r="T2898" s="43"/>
      <c r="U2898" s="43"/>
      <c r="V2898" s="43"/>
      <c r="W2898" s="43"/>
      <c r="X2898" s="43"/>
      <c r="Y2898" s="43"/>
      <c r="Z2898" s="43"/>
    </row>
    <row r="2899" spans="15:26" x14ac:dyDescent="0.25">
      <c r="O2899" s="43"/>
      <c r="P2899" s="43"/>
      <c r="Q2899" s="43"/>
      <c r="R2899" s="43"/>
      <c r="S2899" s="43"/>
      <c r="T2899" s="43"/>
      <c r="U2899" s="43"/>
      <c r="V2899" s="43"/>
      <c r="W2899" s="43"/>
      <c r="X2899" s="43"/>
      <c r="Y2899" s="43"/>
      <c r="Z2899" s="43"/>
    </row>
    <row r="2900" spans="15:26" x14ac:dyDescent="0.25">
      <c r="O2900" s="43"/>
      <c r="P2900" s="43"/>
      <c r="Q2900" s="43"/>
      <c r="R2900" s="43"/>
      <c r="S2900" s="43"/>
      <c r="T2900" s="43"/>
      <c r="U2900" s="43"/>
      <c r="V2900" s="43"/>
      <c r="W2900" s="43"/>
      <c r="X2900" s="43"/>
      <c r="Y2900" s="43"/>
      <c r="Z2900" s="43"/>
    </row>
    <row r="2901" spans="15:26" x14ac:dyDescent="0.25">
      <c r="O2901" s="43"/>
      <c r="P2901" s="43"/>
      <c r="Q2901" s="43"/>
      <c r="R2901" s="43"/>
      <c r="S2901" s="43"/>
      <c r="T2901" s="43"/>
      <c r="U2901" s="43"/>
      <c r="V2901" s="43"/>
      <c r="W2901" s="43"/>
      <c r="X2901" s="43"/>
      <c r="Y2901" s="43"/>
      <c r="Z2901" s="43"/>
    </row>
    <row r="2902" spans="15:26" x14ac:dyDescent="0.25">
      <c r="O2902" s="43"/>
      <c r="P2902" s="43"/>
      <c r="Q2902" s="43"/>
      <c r="R2902" s="43"/>
      <c r="S2902" s="43"/>
      <c r="T2902" s="43"/>
      <c r="U2902" s="43"/>
      <c r="V2902" s="43"/>
      <c r="W2902" s="43"/>
      <c r="X2902" s="43"/>
      <c r="Y2902" s="43"/>
      <c r="Z2902" s="43"/>
    </row>
    <row r="2903" spans="15:26" x14ac:dyDescent="0.25">
      <c r="O2903" s="43"/>
      <c r="P2903" s="43"/>
      <c r="Q2903" s="43"/>
      <c r="R2903" s="43"/>
      <c r="S2903" s="43"/>
      <c r="T2903" s="43"/>
      <c r="U2903" s="43"/>
      <c r="V2903" s="43"/>
      <c r="W2903" s="43"/>
      <c r="X2903" s="43"/>
      <c r="Y2903" s="43"/>
      <c r="Z2903" s="43"/>
    </row>
    <row r="2904" spans="15:26" x14ac:dyDescent="0.25">
      <c r="O2904" s="43"/>
      <c r="P2904" s="43"/>
      <c r="Q2904" s="43"/>
      <c r="R2904" s="43"/>
      <c r="S2904" s="43"/>
      <c r="T2904" s="43"/>
      <c r="U2904" s="43"/>
      <c r="V2904" s="43"/>
      <c r="W2904" s="43"/>
      <c r="X2904" s="43"/>
      <c r="Y2904" s="43"/>
      <c r="Z2904" s="43"/>
    </row>
    <row r="2905" spans="15:26" x14ac:dyDescent="0.25">
      <c r="O2905" s="43"/>
      <c r="P2905" s="43"/>
      <c r="Q2905" s="43"/>
      <c r="R2905" s="43"/>
      <c r="S2905" s="43"/>
      <c r="T2905" s="43"/>
      <c r="U2905" s="43"/>
      <c r="V2905" s="43"/>
      <c r="W2905" s="43"/>
      <c r="X2905" s="43"/>
      <c r="Y2905" s="43"/>
      <c r="Z2905" s="43"/>
    </row>
    <row r="2906" spans="15:26" x14ac:dyDescent="0.25">
      <c r="O2906" s="43"/>
      <c r="P2906" s="43"/>
      <c r="Q2906" s="43"/>
      <c r="R2906" s="43"/>
      <c r="S2906" s="43"/>
      <c r="T2906" s="43"/>
      <c r="U2906" s="43"/>
      <c r="V2906" s="43"/>
      <c r="W2906" s="43"/>
      <c r="X2906" s="43"/>
      <c r="Y2906" s="43"/>
      <c r="Z2906" s="43"/>
    </row>
    <row r="2907" spans="15:26" x14ac:dyDescent="0.25">
      <c r="O2907" s="43"/>
      <c r="P2907" s="43"/>
      <c r="Q2907" s="43"/>
      <c r="R2907" s="43"/>
      <c r="S2907" s="43"/>
      <c r="T2907" s="43"/>
      <c r="U2907" s="43"/>
      <c r="V2907" s="43"/>
      <c r="W2907" s="43"/>
      <c r="X2907" s="43"/>
      <c r="Y2907" s="43"/>
      <c r="Z2907" s="43"/>
    </row>
    <row r="2908" spans="15:26" x14ac:dyDescent="0.25">
      <c r="O2908" s="43"/>
      <c r="P2908" s="43"/>
      <c r="Q2908" s="43"/>
      <c r="R2908" s="43"/>
      <c r="S2908" s="43"/>
      <c r="T2908" s="43"/>
      <c r="U2908" s="43"/>
      <c r="V2908" s="43"/>
      <c r="W2908" s="43"/>
      <c r="X2908" s="43"/>
      <c r="Y2908" s="43"/>
      <c r="Z2908" s="43"/>
    </row>
    <row r="2909" spans="15:26" x14ac:dyDescent="0.25">
      <c r="O2909" s="43"/>
      <c r="P2909" s="43"/>
      <c r="Q2909" s="43"/>
      <c r="R2909" s="43"/>
      <c r="S2909" s="43"/>
      <c r="T2909" s="43"/>
      <c r="U2909" s="43"/>
      <c r="V2909" s="43"/>
      <c r="W2909" s="43"/>
      <c r="X2909" s="43"/>
      <c r="Y2909" s="43"/>
      <c r="Z2909" s="43"/>
    </row>
    <row r="2910" spans="15:26" x14ac:dyDescent="0.25">
      <c r="O2910" s="43"/>
      <c r="P2910" s="43"/>
      <c r="Q2910" s="43"/>
      <c r="R2910" s="43"/>
      <c r="S2910" s="43"/>
      <c r="T2910" s="43"/>
      <c r="U2910" s="43"/>
      <c r="V2910" s="43"/>
      <c r="W2910" s="43"/>
      <c r="X2910" s="43"/>
      <c r="Y2910" s="43"/>
      <c r="Z2910" s="43"/>
    </row>
    <row r="2911" spans="15:26" x14ac:dyDescent="0.25">
      <c r="O2911" s="43"/>
      <c r="P2911" s="43"/>
      <c r="Q2911" s="43"/>
      <c r="R2911" s="43"/>
      <c r="S2911" s="43"/>
      <c r="T2911" s="43"/>
      <c r="U2911" s="43"/>
      <c r="V2911" s="43"/>
      <c r="W2911" s="43"/>
      <c r="X2911" s="43"/>
      <c r="Y2911" s="43"/>
      <c r="Z2911" s="43"/>
    </row>
    <row r="2912" spans="15:26" x14ac:dyDescent="0.25">
      <c r="O2912" s="43"/>
      <c r="P2912" s="43"/>
      <c r="Q2912" s="43"/>
      <c r="R2912" s="43"/>
      <c r="S2912" s="43"/>
      <c r="T2912" s="43"/>
      <c r="U2912" s="43"/>
      <c r="V2912" s="43"/>
      <c r="W2912" s="43"/>
      <c r="X2912" s="43"/>
      <c r="Y2912" s="43"/>
      <c r="Z2912" s="43"/>
    </row>
    <row r="2913" spans="15:26" x14ac:dyDescent="0.25">
      <c r="O2913" s="43"/>
      <c r="P2913" s="43"/>
      <c r="Q2913" s="43"/>
      <c r="R2913" s="43"/>
      <c r="S2913" s="43"/>
      <c r="T2913" s="43"/>
      <c r="U2913" s="43"/>
      <c r="V2913" s="43"/>
      <c r="W2913" s="43"/>
      <c r="X2913" s="43"/>
      <c r="Y2913" s="43"/>
      <c r="Z2913" s="43"/>
    </row>
    <row r="2914" spans="15:26" x14ac:dyDescent="0.25">
      <c r="O2914" s="43"/>
      <c r="P2914" s="43"/>
      <c r="Q2914" s="43"/>
      <c r="R2914" s="43"/>
      <c r="S2914" s="43"/>
      <c r="T2914" s="43"/>
      <c r="U2914" s="43"/>
      <c r="V2914" s="43"/>
      <c r="W2914" s="43"/>
      <c r="X2914" s="43"/>
      <c r="Y2914" s="43"/>
      <c r="Z2914" s="43"/>
    </row>
    <row r="2915" spans="15:26" x14ac:dyDescent="0.25">
      <c r="O2915" s="43"/>
      <c r="P2915" s="43"/>
      <c r="Q2915" s="43"/>
      <c r="R2915" s="43"/>
      <c r="S2915" s="43"/>
      <c r="T2915" s="43"/>
      <c r="U2915" s="43"/>
      <c r="V2915" s="43"/>
      <c r="W2915" s="43"/>
      <c r="X2915" s="43"/>
      <c r="Y2915" s="43"/>
      <c r="Z2915" s="43"/>
    </row>
    <row r="2916" spans="15:26" x14ac:dyDescent="0.25">
      <c r="O2916" s="43"/>
      <c r="P2916" s="43"/>
      <c r="Q2916" s="43"/>
      <c r="R2916" s="43"/>
      <c r="S2916" s="43"/>
      <c r="T2916" s="43"/>
      <c r="U2916" s="43"/>
      <c r="V2916" s="43"/>
      <c r="W2916" s="43"/>
      <c r="X2916" s="43"/>
      <c r="Y2916" s="43"/>
      <c r="Z2916" s="43"/>
    </row>
    <row r="2917" spans="15:26" x14ac:dyDescent="0.25">
      <c r="O2917" s="43"/>
      <c r="P2917" s="43"/>
      <c r="Q2917" s="43"/>
      <c r="R2917" s="43"/>
      <c r="S2917" s="43"/>
      <c r="T2917" s="43"/>
      <c r="U2917" s="43"/>
      <c r="V2917" s="43"/>
      <c r="W2917" s="43"/>
      <c r="X2917" s="43"/>
      <c r="Y2917" s="43"/>
      <c r="Z2917" s="43"/>
    </row>
    <row r="2918" spans="15:26" x14ac:dyDescent="0.25">
      <c r="O2918" s="43"/>
      <c r="P2918" s="43"/>
      <c r="Q2918" s="43"/>
      <c r="R2918" s="43"/>
      <c r="S2918" s="43"/>
      <c r="T2918" s="43"/>
      <c r="U2918" s="43"/>
      <c r="V2918" s="43"/>
      <c r="W2918" s="43"/>
      <c r="X2918" s="43"/>
      <c r="Y2918" s="43"/>
      <c r="Z2918" s="43"/>
    </row>
    <row r="2919" spans="15:26" x14ac:dyDescent="0.25">
      <c r="O2919" s="43"/>
      <c r="P2919" s="43"/>
      <c r="Q2919" s="43"/>
      <c r="R2919" s="43"/>
      <c r="S2919" s="43"/>
      <c r="T2919" s="43"/>
      <c r="U2919" s="43"/>
      <c r="V2919" s="43"/>
      <c r="W2919" s="43"/>
      <c r="X2919" s="43"/>
      <c r="Y2919" s="43"/>
      <c r="Z2919" s="43"/>
    </row>
    <row r="2920" spans="15:26" x14ac:dyDescent="0.25">
      <c r="O2920" s="43"/>
      <c r="P2920" s="43"/>
      <c r="Q2920" s="43"/>
      <c r="R2920" s="43"/>
      <c r="S2920" s="43"/>
      <c r="T2920" s="43"/>
      <c r="U2920" s="43"/>
      <c r="V2920" s="43"/>
      <c r="W2920" s="43"/>
      <c r="X2920" s="43"/>
      <c r="Y2920" s="43"/>
      <c r="Z2920" s="43"/>
    </row>
    <row r="2921" spans="15:26" x14ac:dyDescent="0.25">
      <c r="O2921" s="43"/>
      <c r="P2921" s="43"/>
      <c r="Q2921" s="43"/>
      <c r="R2921" s="43"/>
      <c r="S2921" s="43"/>
      <c r="T2921" s="43"/>
      <c r="U2921" s="43"/>
      <c r="V2921" s="43"/>
      <c r="W2921" s="43"/>
      <c r="X2921" s="43"/>
      <c r="Y2921" s="43"/>
      <c r="Z2921" s="43"/>
    </row>
    <row r="2922" spans="15:26" x14ac:dyDescent="0.25">
      <c r="O2922" s="43"/>
      <c r="P2922" s="43"/>
      <c r="Q2922" s="43"/>
      <c r="R2922" s="43"/>
      <c r="S2922" s="43"/>
      <c r="T2922" s="43"/>
      <c r="U2922" s="43"/>
      <c r="V2922" s="43"/>
      <c r="W2922" s="43"/>
      <c r="X2922" s="43"/>
      <c r="Y2922" s="43"/>
      <c r="Z2922" s="43"/>
    </row>
    <row r="2923" spans="15:26" x14ac:dyDescent="0.25">
      <c r="O2923" s="43"/>
      <c r="P2923" s="43"/>
      <c r="Q2923" s="43"/>
      <c r="R2923" s="43"/>
      <c r="S2923" s="43"/>
      <c r="T2923" s="43"/>
      <c r="U2923" s="43"/>
      <c r="V2923" s="43"/>
      <c r="W2923" s="43"/>
      <c r="X2923" s="43"/>
      <c r="Y2923" s="43"/>
      <c r="Z2923" s="43"/>
    </row>
    <row r="2924" spans="15:26" x14ac:dyDescent="0.25">
      <c r="O2924" s="43"/>
      <c r="P2924" s="43"/>
      <c r="Q2924" s="43"/>
      <c r="R2924" s="43"/>
      <c r="S2924" s="43"/>
      <c r="T2924" s="43"/>
      <c r="U2924" s="43"/>
      <c r="V2924" s="43"/>
      <c r="W2924" s="43"/>
      <c r="X2924" s="43"/>
      <c r="Y2924" s="43"/>
      <c r="Z2924" s="43"/>
    </row>
    <row r="2925" spans="15:26" x14ac:dyDescent="0.25">
      <c r="O2925" s="43"/>
      <c r="P2925" s="43"/>
      <c r="Q2925" s="43"/>
      <c r="R2925" s="43"/>
      <c r="S2925" s="43"/>
      <c r="T2925" s="43"/>
      <c r="U2925" s="43"/>
      <c r="V2925" s="43"/>
      <c r="W2925" s="43"/>
      <c r="X2925" s="43"/>
      <c r="Y2925" s="43"/>
      <c r="Z2925" s="43"/>
    </row>
    <row r="2926" spans="15:26" x14ac:dyDescent="0.25">
      <c r="O2926" s="43"/>
      <c r="P2926" s="43"/>
      <c r="Q2926" s="43"/>
      <c r="R2926" s="43"/>
      <c r="S2926" s="43"/>
      <c r="T2926" s="43"/>
      <c r="U2926" s="43"/>
      <c r="V2926" s="43"/>
      <c r="W2926" s="43"/>
      <c r="X2926" s="43"/>
      <c r="Y2926" s="43"/>
      <c r="Z2926" s="43"/>
    </row>
    <row r="2927" spans="15:26" x14ac:dyDescent="0.25">
      <c r="O2927" s="43"/>
      <c r="P2927" s="43"/>
      <c r="Q2927" s="43"/>
      <c r="R2927" s="43"/>
      <c r="S2927" s="43"/>
      <c r="T2927" s="43"/>
      <c r="U2927" s="43"/>
      <c r="V2927" s="43"/>
      <c r="W2927" s="43"/>
      <c r="X2927" s="43"/>
      <c r="Y2927" s="43"/>
      <c r="Z2927" s="43"/>
    </row>
    <row r="2928" spans="15:26" x14ac:dyDescent="0.25">
      <c r="O2928" s="43"/>
      <c r="P2928" s="43"/>
      <c r="Q2928" s="43"/>
      <c r="R2928" s="43"/>
      <c r="S2928" s="43"/>
      <c r="T2928" s="43"/>
      <c r="U2928" s="43"/>
      <c r="V2928" s="43"/>
      <c r="W2928" s="43"/>
      <c r="X2928" s="43"/>
      <c r="Y2928" s="43"/>
      <c r="Z2928" s="43"/>
    </row>
    <row r="2929" spans="15:26" x14ac:dyDescent="0.25">
      <c r="O2929" s="43"/>
      <c r="P2929" s="43"/>
      <c r="Q2929" s="43"/>
      <c r="R2929" s="43"/>
      <c r="S2929" s="43"/>
      <c r="T2929" s="43"/>
      <c r="U2929" s="43"/>
      <c r="V2929" s="43"/>
      <c r="W2929" s="43"/>
      <c r="X2929" s="43"/>
      <c r="Y2929" s="43"/>
      <c r="Z2929" s="43"/>
    </row>
    <row r="2930" spans="15:26" x14ac:dyDescent="0.25">
      <c r="O2930" s="43"/>
      <c r="P2930" s="43"/>
      <c r="Q2930" s="43"/>
      <c r="R2930" s="43"/>
      <c r="S2930" s="43"/>
      <c r="T2930" s="43"/>
      <c r="U2930" s="43"/>
      <c r="V2930" s="43"/>
      <c r="W2930" s="43"/>
      <c r="X2930" s="43"/>
      <c r="Y2930" s="43"/>
      <c r="Z2930" s="43"/>
    </row>
    <row r="2931" spans="15:26" x14ac:dyDescent="0.25">
      <c r="O2931" s="43"/>
      <c r="P2931" s="43"/>
      <c r="Q2931" s="43"/>
      <c r="R2931" s="43"/>
      <c r="S2931" s="43"/>
      <c r="T2931" s="43"/>
      <c r="U2931" s="43"/>
      <c r="V2931" s="43"/>
      <c r="W2931" s="43"/>
      <c r="X2931" s="43"/>
      <c r="Y2931" s="43"/>
      <c r="Z2931" s="43"/>
    </row>
    <row r="2932" spans="15:26" x14ac:dyDescent="0.25">
      <c r="O2932" s="43"/>
      <c r="P2932" s="43"/>
      <c r="Q2932" s="43"/>
      <c r="R2932" s="43"/>
      <c r="S2932" s="43"/>
      <c r="T2932" s="43"/>
      <c r="U2932" s="43"/>
      <c r="V2932" s="43"/>
      <c r="W2932" s="43"/>
      <c r="X2932" s="43"/>
      <c r="Y2932" s="43"/>
      <c r="Z2932" s="43"/>
    </row>
    <row r="2933" spans="15:26" x14ac:dyDescent="0.25">
      <c r="O2933" s="43"/>
      <c r="P2933" s="43"/>
      <c r="Q2933" s="43"/>
      <c r="R2933" s="43"/>
      <c r="S2933" s="43"/>
      <c r="T2933" s="43"/>
      <c r="U2933" s="43"/>
      <c r="V2933" s="43"/>
      <c r="W2933" s="43"/>
      <c r="X2933" s="43"/>
      <c r="Y2933" s="43"/>
      <c r="Z2933" s="43"/>
    </row>
    <row r="2934" spans="15:26" x14ac:dyDescent="0.25">
      <c r="O2934" s="43"/>
      <c r="P2934" s="43"/>
      <c r="Q2934" s="43"/>
      <c r="R2934" s="43"/>
      <c r="S2934" s="43"/>
      <c r="T2934" s="43"/>
      <c r="U2934" s="43"/>
      <c r="V2934" s="43"/>
      <c r="W2934" s="43"/>
      <c r="X2934" s="43"/>
      <c r="Y2934" s="43"/>
      <c r="Z2934" s="43"/>
    </row>
    <row r="2935" spans="15:26" x14ac:dyDescent="0.25">
      <c r="O2935" s="43"/>
      <c r="P2935" s="43"/>
      <c r="Q2935" s="43"/>
      <c r="R2935" s="43"/>
      <c r="S2935" s="43"/>
      <c r="T2935" s="43"/>
      <c r="U2935" s="43"/>
      <c r="V2935" s="43"/>
      <c r="W2935" s="43"/>
      <c r="X2935" s="43"/>
      <c r="Y2935" s="43"/>
      <c r="Z2935" s="43"/>
    </row>
    <row r="2936" spans="15:26" x14ac:dyDescent="0.25">
      <c r="O2936" s="43"/>
      <c r="P2936" s="43"/>
      <c r="Q2936" s="43"/>
      <c r="R2936" s="43"/>
      <c r="S2936" s="43"/>
      <c r="T2936" s="43"/>
      <c r="U2936" s="43"/>
      <c r="V2936" s="43"/>
      <c r="W2936" s="43"/>
      <c r="X2936" s="43"/>
      <c r="Y2936" s="43"/>
      <c r="Z2936" s="43"/>
    </row>
    <row r="2937" spans="15:26" x14ac:dyDescent="0.25">
      <c r="O2937" s="43"/>
      <c r="P2937" s="43"/>
      <c r="Q2937" s="43"/>
      <c r="R2937" s="43"/>
      <c r="S2937" s="43"/>
      <c r="T2937" s="43"/>
      <c r="U2937" s="43"/>
      <c r="V2937" s="43"/>
      <c r="W2937" s="43"/>
      <c r="X2937" s="43"/>
      <c r="Y2937" s="43"/>
      <c r="Z2937" s="43"/>
    </row>
    <row r="2938" spans="15:26" x14ac:dyDescent="0.25">
      <c r="O2938" s="43"/>
      <c r="P2938" s="43"/>
      <c r="Q2938" s="43"/>
      <c r="R2938" s="43"/>
      <c r="S2938" s="43"/>
      <c r="T2938" s="43"/>
      <c r="U2938" s="43"/>
      <c r="V2938" s="43"/>
      <c r="W2938" s="43"/>
      <c r="X2938" s="43"/>
      <c r="Y2938" s="43"/>
      <c r="Z2938" s="43"/>
    </row>
    <row r="2939" spans="15:26" x14ac:dyDescent="0.25">
      <c r="O2939" s="43"/>
      <c r="P2939" s="43"/>
      <c r="Q2939" s="43"/>
      <c r="R2939" s="43"/>
      <c r="S2939" s="43"/>
      <c r="T2939" s="43"/>
      <c r="U2939" s="43"/>
      <c r="V2939" s="43"/>
      <c r="W2939" s="43"/>
      <c r="X2939" s="43"/>
      <c r="Y2939" s="43"/>
      <c r="Z2939" s="43"/>
    </row>
    <row r="2940" spans="15:26" x14ac:dyDescent="0.25">
      <c r="O2940" s="43"/>
      <c r="P2940" s="43"/>
      <c r="Q2940" s="43"/>
      <c r="R2940" s="43"/>
      <c r="S2940" s="43"/>
      <c r="T2940" s="43"/>
      <c r="U2940" s="43"/>
      <c r="V2940" s="43"/>
      <c r="W2940" s="43"/>
      <c r="X2940" s="43"/>
      <c r="Y2940" s="43"/>
      <c r="Z2940" s="43"/>
    </row>
    <row r="2941" spans="15:26" x14ac:dyDescent="0.25">
      <c r="O2941" s="43"/>
      <c r="P2941" s="43"/>
      <c r="Q2941" s="43"/>
      <c r="R2941" s="43"/>
      <c r="S2941" s="43"/>
      <c r="T2941" s="43"/>
      <c r="U2941" s="43"/>
      <c r="V2941" s="43"/>
      <c r="W2941" s="43"/>
      <c r="X2941" s="43"/>
      <c r="Y2941" s="43"/>
      <c r="Z2941" s="43"/>
    </row>
    <row r="2942" spans="15:26" x14ac:dyDescent="0.25">
      <c r="O2942" s="43"/>
      <c r="P2942" s="43"/>
      <c r="Q2942" s="43"/>
      <c r="R2942" s="43"/>
      <c r="S2942" s="43"/>
      <c r="T2942" s="43"/>
      <c r="U2942" s="43"/>
      <c r="V2942" s="43"/>
      <c r="W2942" s="43"/>
      <c r="X2942" s="43"/>
      <c r="Y2942" s="43"/>
      <c r="Z2942" s="43"/>
    </row>
    <row r="2943" spans="15:26" x14ac:dyDescent="0.25">
      <c r="O2943" s="43"/>
      <c r="P2943" s="43"/>
      <c r="Q2943" s="43"/>
      <c r="R2943" s="43"/>
      <c r="S2943" s="43"/>
      <c r="T2943" s="43"/>
      <c r="U2943" s="43"/>
      <c r="V2943" s="43"/>
      <c r="W2943" s="43"/>
      <c r="X2943" s="43"/>
      <c r="Y2943" s="43"/>
      <c r="Z2943" s="43"/>
    </row>
    <row r="2944" spans="15:26" x14ac:dyDescent="0.25">
      <c r="O2944" s="43"/>
      <c r="P2944" s="43"/>
      <c r="Q2944" s="43"/>
      <c r="R2944" s="43"/>
      <c r="S2944" s="43"/>
      <c r="T2944" s="43"/>
      <c r="U2944" s="43"/>
      <c r="V2944" s="43"/>
      <c r="W2944" s="43"/>
      <c r="X2944" s="43"/>
      <c r="Y2944" s="43"/>
      <c r="Z2944" s="43"/>
    </row>
    <row r="2945" spans="15:26" x14ac:dyDescent="0.25">
      <c r="O2945" s="43"/>
      <c r="P2945" s="43"/>
      <c r="Q2945" s="43"/>
      <c r="R2945" s="43"/>
      <c r="S2945" s="43"/>
      <c r="T2945" s="43"/>
      <c r="U2945" s="43"/>
      <c r="V2945" s="43"/>
      <c r="W2945" s="43"/>
      <c r="X2945" s="43"/>
      <c r="Y2945" s="43"/>
      <c r="Z2945" s="43"/>
    </row>
    <row r="2946" spans="15:26" x14ac:dyDescent="0.25">
      <c r="O2946" s="43"/>
      <c r="P2946" s="43"/>
      <c r="Q2946" s="43"/>
      <c r="R2946" s="43"/>
      <c r="S2946" s="43"/>
      <c r="T2946" s="43"/>
      <c r="U2946" s="43"/>
      <c r="V2946" s="43"/>
      <c r="W2946" s="43"/>
      <c r="X2946" s="43"/>
      <c r="Y2946" s="43"/>
      <c r="Z2946" s="43"/>
    </row>
    <row r="2947" spans="15:26" x14ac:dyDescent="0.25">
      <c r="O2947" s="43"/>
      <c r="P2947" s="43"/>
      <c r="Q2947" s="43"/>
      <c r="R2947" s="43"/>
      <c r="S2947" s="43"/>
      <c r="T2947" s="43"/>
      <c r="U2947" s="43"/>
      <c r="V2947" s="43"/>
      <c r="W2947" s="43"/>
      <c r="X2947" s="43"/>
      <c r="Y2947" s="43"/>
      <c r="Z2947" s="43"/>
    </row>
    <row r="2948" spans="15:26" x14ac:dyDescent="0.25">
      <c r="O2948" s="43"/>
      <c r="P2948" s="43"/>
      <c r="Q2948" s="43"/>
      <c r="R2948" s="43"/>
      <c r="S2948" s="43"/>
      <c r="T2948" s="43"/>
      <c r="U2948" s="43"/>
      <c r="V2948" s="43"/>
      <c r="W2948" s="43"/>
      <c r="X2948" s="43"/>
      <c r="Y2948" s="43"/>
      <c r="Z2948" s="43"/>
    </row>
    <row r="2949" spans="15:26" x14ac:dyDescent="0.25">
      <c r="O2949" s="43"/>
      <c r="P2949" s="43"/>
      <c r="Q2949" s="43"/>
      <c r="R2949" s="43"/>
      <c r="S2949" s="43"/>
      <c r="T2949" s="43"/>
      <c r="U2949" s="43"/>
      <c r="V2949" s="43"/>
      <c r="W2949" s="43"/>
      <c r="X2949" s="43"/>
      <c r="Y2949" s="43"/>
      <c r="Z2949" s="43"/>
    </row>
    <row r="2950" spans="15:26" x14ac:dyDescent="0.25">
      <c r="O2950" s="43"/>
      <c r="P2950" s="43"/>
      <c r="Q2950" s="43"/>
      <c r="R2950" s="43"/>
      <c r="S2950" s="43"/>
      <c r="T2950" s="43"/>
      <c r="U2950" s="43"/>
      <c r="V2950" s="43"/>
      <c r="W2950" s="43"/>
      <c r="X2950" s="43"/>
      <c r="Y2950" s="43"/>
      <c r="Z2950" s="43"/>
    </row>
    <row r="2951" spans="15:26" x14ac:dyDescent="0.25">
      <c r="O2951" s="43"/>
      <c r="P2951" s="43"/>
      <c r="Q2951" s="43"/>
      <c r="R2951" s="43"/>
      <c r="S2951" s="43"/>
      <c r="T2951" s="43"/>
      <c r="U2951" s="43"/>
      <c r="V2951" s="43"/>
      <c r="W2951" s="43"/>
      <c r="X2951" s="43"/>
      <c r="Y2951" s="43"/>
      <c r="Z2951" s="43"/>
    </row>
    <row r="2952" spans="15:26" x14ac:dyDescent="0.25">
      <c r="O2952" s="43"/>
      <c r="P2952" s="43"/>
      <c r="Q2952" s="43"/>
      <c r="R2952" s="43"/>
      <c r="S2952" s="43"/>
      <c r="T2952" s="43"/>
      <c r="U2952" s="43"/>
      <c r="V2952" s="43"/>
      <c r="W2952" s="43"/>
      <c r="X2952" s="43"/>
      <c r="Y2952" s="43"/>
      <c r="Z2952" s="43"/>
    </row>
    <row r="2953" spans="15:26" x14ac:dyDescent="0.25">
      <c r="O2953" s="43"/>
      <c r="P2953" s="43"/>
      <c r="Q2953" s="43"/>
      <c r="R2953" s="43"/>
      <c r="S2953" s="43"/>
      <c r="T2953" s="43"/>
      <c r="U2953" s="43"/>
      <c r="V2953" s="43"/>
      <c r="W2953" s="43"/>
      <c r="X2953" s="43"/>
      <c r="Y2953" s="43"/>
      <c r="Z2953" s="43"/>
    </row>
    <row r="2954" spans="15:26" x14ac:dyDescent="0.25">
      <c r="O2954" s="43"/>
      <c r="P2954" s="43"/>
      <c r="Q2954" s="43"/>
      <c r="R2954" s="43"/>
      <c r="S2954" s="43"/>
      <c r="T2954" s="43"/>
      <c r="U2954" s="43"/>
      <c r="V2954" s="43"/>
      <c r="W2954" s="43"/>
      <c r="X2954" s="43"/>
      <c r="Y2954" s="43"/>
      <c r="Z2954" s="43"/>
    </row>
    <row r="2955" spans="15:26" x14ac:dyDescent="0.25">
      <c r="O2955" s="43"/>
      <c r="P2955" s="43"/>
      <c r="Q2955" s="43"/>
      <c r="R2955" s="43"/>
      <c r="S2955" s="43"/>
      <c r="T2955" s="43"/>
      <c r="U2955" s="43"/>
      <c r="V2955" s="43"/>
      <c r="W2955" s="43"/>
      <c r="X2955" s="43"/>
      <c r="Y2955" s="43"/>
      <c r="Z2955" s="43"/>
    </row>
    <row r="2956" spans="15:26" x14ac:dyDescent="0.25">
      <c r="O2956" s="43"/>
      <c r="P2956" s="43"/>
      <c r="Q2956" s="43"/>
      <c r="R2956" s="43"/>
      <c r="S2956" s="43"/>
      <c r="T2956" s="43"/>
      <c r="U2956" s="43"/>
      <c r="V2956" s="43"/>
      <c r="W2956" s="43"/>
      <c r="X2956" s="43"/>
      <c r="Y2956" s="43"/>
      <c r="Z2956" s="43"/>
    </row>
    <row r="2957" spans="15:26" x14ac:dyDescent="0.25">
      <c r="O2957" s="43"/>
      <c r="P2957" s="43"/>
      <c r="Q2957" s="43"/>
      <c r="R2957" s="43"/>
      <c r="S2957" s="43"/>
      <c r="T2957" s="43"/>
      <c r="U2957" s="43"/>
      <c r="V2957" s="43"/>
      <c r="W2957" s="43"/>
      <c r="X2957" s="43"/>
      <c r="Y2957" s="43"/>
      <c r="Z2957" s="43"/>
    </row>
    <row r="2958" spans="15:26" x14ac:dyDescent="0.25">
      <c r="O2958" s="43"/>
      <c r="P2958" s="43"/>
      <c r="Q2958" s="43"/>
      <c r="R2958" s="43"/>
      <c r="S2958" s="43"/>
      <c r="T2958" s="43"/>
      <c r="U2958" s="43"/>
      <c r="V2958" s="43"/>
      <c r="W2958" s="43"/>
      <c r="X2958" s="43"/>
      <c r="Y2958" s="43"/>
      <c r="Z2958" s="43"/>
    </row>
    <row r="2959" spans="15:26" x14ac:dyDescent="0.25">
      <c r="O2959" s="43"/>
      <c r="P2959" s="43"/>
      <c r="Q2959" s="43"/>
      <c r="R2959" s="43"/>
      <c r="S2959" s="43"/>
      <c r="T2959" s="43"/>
      <c r="U2959" s="43"/>
      <c r="V2959" s="43"/>
      <c r="W2959" s="43"/>
      <c r="X2959" s="43"/>
      <c r="Y2959" s="43"/>
      <c r="Z2959" s="43"/>
    </row>
    <row r="2960" spans="15:26" x14ac:dyDescent="0.25">
      <c r="O2960" s="43"/>
      <c r="P2960" s="43"/>
      <c r="Q2960" s="43"/>
      <c r="R2960" s="43"/>
      <c r="S2960" s="43"/>
      <c r="T2960" s="43"/>
      <c r="U2960" s="43"/>
      <c r="V2960" s="43"/>
      <c r="W2960" s="43"/>
      <c r="X2960" s="43"/>
      <c r="Y2960" s="43"/>
      <c r="Z2960" s="43"/>
    </row>
    <row r="2961" spans="15:26" x14ac:dyDescent="0.25">
      <c r="O2961" s="43"/>
      <c r="P2961" s="43"/>
      <c r="Q2961" s="43"/>
      <c r="R2961" s="43"/>
      <c r="S2961" s="43"/>
      <c r="T2961" s="43"/>
      <c r="U2961" s="43"/>
      <c r="V2961" s="43"/>
      <c r="W2961" s="43"/>
      <c r="X2961" s="43"/>
      <c r="Y2961" s="43"/>
      <c r="Z2961" s="43"/>
    </row>
    <row r="2962" spans="15:26" x14ac:dyDescent="0.25">
      <c r="O2962" s="43"/>
      <c r="P2962" s="43"/>
      <c r="Q2962" s="43"/>
      <c r="R2962" s="43"/>
      <c r="S2962" s="43"/>
      <c r="T2962" s="43"/>
      <c r="U2962" s="43"/>
      <c r="V2962" s="43"/>
      <c r="W2962" s="43"/>
      <c r="X2962" s="43"/>
      <c r="Y2962" s="43"/>
      <c r="Z2962" s="43"/>
    </row>
    <row r="2963" spans="15:26" x14ac:dyDescent="0.25">
      <c r="O2963" s="43"/>
      <c r="P2963" s="43"/>
      <c r="Q2963" s="43"/>
      <c r="R2963" s="43"/>
      <c r="S2963" s="43"/>
      <c r="T2963" s="43"/>
      <c r="U2963" s="43"/>
      <c r="V2963" s="43"/>
      <c r="W2963" s="43"/>
      <c r="X2963" s="43"/>
      <c r="Y2963" s="43"/>
      <c r="Z2963" s="43"/>
    </row>
    <row r="2964" spans="15:26" x14ac:dyDescent="0.25">
      <c r="O2964" s="43"/>
      <c r="P2964" s="43"/>
      <c r="Q2964" s="43"/>
      <c r="R2964" s="43"/>
      <c r="S2964" s="43"/>
      <c r="T2964" s="43"/>
      <c r="U2964" s="43"/>
      <c r="V2964" s="43"/>
      <c r="W2964" s="43"/>
      <c r="X2964" s="43"/>
      <c r="Y2964" s="43"/>
      <c r="Z2964" s="43"/>
    </row>
    <row r="2965" spans="15:26" x14ac:dyDescent="0.25">
      <c r="O2965" s="43"/>
      <c r="P2965" s="43"/>
      <c r="Q2965" s="43"/>
      <c r="R2965" s="43"/>
      <c r="S2965" s="43"/>
      <c r="T2965" s="43"/>
      <c r="U2965" s="43"/>
      <c r="V2965" s="43"/>
      <c r="W2965" s="43"/>
      <c r="X2965" s="43"/>
      <c r="Y2965" s="43"/>
      <c r="Z2965" s="43"/>
    </row>
    <row r="2966" spans="15:26" x14ac:dyDescent="0.25">
      <c r="O2966" s="43"/>
      <c r="P2966" s="43"/>
      <c r="Q2966" s="43"/>
      <c r="R2966" s="43"/>
      <c r="S2966" s="43"/>
      <c r="T2966" s="43"/>
      <c r="U2966" s="43"/>
      <c r="V2966" s="43"/>
      <c r="W2966" s="43"/>
      <c r="X2966" s="43"/>
      <c r="Y2966" s="43"/>
      <c r="Z2966" s="43"/>
    </row>
    <row r="2967" spans="15:26" x14ac:dyDescent="0.25">
      <c r="O2967" s="43"/>
      <c r="P2967" s="43"/>
      <c r="Q2967" s="43"/>
      <c r="R2967" s="43"/>
      <c r="S2967" s="43"/>
      <c r="T2967" s="43"/>
      <c r="U2967" s="43"/>
      <c r="V2967" s="43"/>
      <c r="W2967" s="43"/>
      <c r="X2967" s="43"/>
      <c r="Y2967" s="43"/>
      <c r="Z2967" s="43"/>
    </row>
    <row r="2968" spans="15:26" x14ac:dyDescent="0.25">
      <c r="O2968" s="43"/>
      <c r="P2968" s="43"/>
      <c r="Q2968" s="43"/>
      <c r="R2968" s="43"/>
      <c r="S2968" s="43"/>
      <c r="T2968" s="43"/>
      <c r="U2968" s="43"/>
      <c r="V2968" s="43"/>
      <c r="W2968" s="43"/>
      <c r="X2968" s="43"/>
      <c r="Y2968" s="43"/>
      <c r="Z2968" s="43"/>
    </row>
    <row r="2969" spans="15:26" x14ac:dyDescent="0.25">
      <c r="O2969" s="43"/>
      <c r="P2969" s="43"/>
      <c r="Q2969" s="43"/>
      <c r="R2969" s="43"/>
      <c r="S2969" s="43"/>
      <c r="T2969" s="43"/>
      <c r="U2969" s="43"/>
      <c r="V2969" s="43"/>
      <c r="W2969" s="43"/>
      <c r="X2969" s="43"/>
      <c r="Y2969" s="43"/>
      <c r="Z2969" s="43"/>
    </row>
    <row r="2970" spans="15:26" x14ac:dyDescent="0.25">
      <c r="O2970" s="43"/>
      <c r="P2970" s="43"/>
      <c r="Q2970" s="43"/>
      <c r="R2970" s="43"/>
      <c r="S2970" s="43"/>
      <c r="T2970" s="43"/>
      <c r="U2970" s="43"/>
      <c r="V2970" s="43"/>
      <c r="W2970" s="43"/>
      <c r="X2970" s="43"/>
      <c r="Y2970" s="43"/>
      <c r="Z2970" s="43"/>
    </row>
    <row r="2971" spans="15:26" x14ac:dyDescent="0.25">
      <c r="O2971" s="43"/>
      <c r="P2971" s="43"/>
      <c r="Q2971" s="43"/>
      <c r="R2971" s="43"/>
      <c r="S2971" s="43"/>
      <c r="T2971" s="43"/>
      <c r="U2971" s="43"/>
      <c r="V2971" s="43"/>
      <c r="W2971" s="43"/>
      <c r="X2971" s="43"/>
      <c r="Y2971" s="43"/>
      <c r="Z2971" s="43"/>
    </row>
    <row r="2972" spans="15:26" x14ac:dyDescent="0.25">
      <c r="O2972" s="43"/>
      <c r="P2972" s="43"/>
      <c r="Q2972" s="43"/>
      <c r="R2972" s="43"/>
      <c r="S2972" s="43"/>
      <c r="T2972" s="43"/>
      <c r="U2972" s="43"/>
      <c r="V2972" s="43"/>
      <c r="W2972" s="43"/>
      <c r="X2972" s="43"/>
      <c r="Y2972" s="43"/>
      <c r="Z2972" s="43"/>
    </row>
    <row r="2973" spans="15:26" x14ac:dyDescent="0.25">
      <c r="O2973" s="43"/>
      <c r="P2973" s="43"/>
      <c r="Q2973" s="43"/>
      <c r="R2973" s="43"/>
      <c r="S2973" s="43"/>
      <c r="T2973" s="43"/>
      <c r="U2973" s="43"/>
      <c r="V2973" s="43"/>
      <c r="W2973" s="43"/>
      <c r="X2973" s="43"/>
      <c r="Y2973" s="43"/>
      <c r="Z2973" s="43"/>
    </row>
    <row r="2974" spans="15:26" x14ac:dyDescent="0.25">
      <c r="O2974" s="43"/>
      <c r="P2974" s="43"/>
      <c r="Q2974" s="43"/>
      <c r="R2974" s="43"/>
      <c r="S2974" s="43"/>
      <c r="T2974" s="43"/>
      <c r="U2974" s="43"/>
      <c r="V2974" s="43"/>
      <c r="W2974" s="43"/>
      <c r="X2974" s="43"/>
      <c r="Y2974" s="43"/>
      <c r="Z2974" s="43"/>
    </row>
    <row r="2975" spans="15:26" x14ac:dyDescent="0.25">
      <c r="O2975" s="43"/>
      <c r="P2975" s="43"/>
      <c r="Q2975" s="43"/>
      <c r="R2975" s="43"/>
      <c r="S2975" s="43"/>
      <c r="T2975" s="43"/>
      <c r="U2975" s="43"/>
      <c r="V2975" s="43"/>
      <c r="W2975" s="43"/>
      <c r="X2975" s="43"/>
      <c r="Y2975" s="43"/>
      <c r="Z2975" s="43"/>
    </row>
    <row r="2976" spans="15:26" x14ac:dyDescent="0.25">
      <c r="O2976" s="43"/>
      <c r="P2976" s="43"/>
      <c r="Q2976" s="43"/>
      <c r="R2976" s="43"/>
      <c r="S2976" s="43"/>
      <c r="T2976" s="43"/>
      <c r="U2976" s="43"/>
      <c r="V2976" s="43"/>
      <c r="W2976" s="43"/>
      <c r="X2976" s="43"/>
      <c r="Y2976" s="43"/>
      <c r="Z2976" s="43"/>
    </row>
    <row r="2977" spans="15:26" x14ac:dyDescent="0.25">
      <c r="O2977" s="43"/>
      <c r="P2977" s="43"/>
      <c r="Q2977" s="43"/>
      <c r="R2977" s="43"/>
      <c r="S2977" s="43"/>
      <c r="T2977" s="43"/>
      <c r="U2977" s="43"/>
      <c r="V2977" s="43"/>
      <c r="W2977" s="43"/>
      <c r="X2977" s="43"/>
      <c r="Y2977" s="43"/>
      <c r="Z2977" s="43"/>
    </row>
    <row r="2978" spans="15:26" x14ac:dyDescent="0.25">
      <c r="O2978" s="43"/>
      <c r="P2978" s="43"/>
      <c r="Q2978" s="43"/>
      <c r="R2978" s="43"/>
      <c r="S2978" s="43"/>
      <c r="T2978" s="43"/>
      <c r="U2978" s="43"/>
      <c r="V2978" s="43"/>
      <c r="W2978" s="43"/>
      <c r="X2978" s="43"/>
      <c r="Y2978" s="43"/>
      <c r="Z2978" s="43"/>
    </row>
    <row r="2979" spans="15:26" x14ac:dyDescent="0.25">
      <c r="O2979" s="43"/>
      <c r="P2979" s="43"/>
      <c r="Q2979" s="43"/>
      <c r="R2979" s="43"/>
      <c r="S2979" s="43"/>
      <c r="T2979" s="43"/>
      <c r="U2979" s="43"/>
      <c r="V2979" s="43"/>
      <c r="W2979" s="43"/>
      <c r="X2979" s="43"/>
      <c r="Y2979" s="43"/>
      <c r="Z2979" s="43"/>
    </row>
    <row r="2980" spans="15:26" x14ac:dyDescent="0.25">
      <c r="O2980" s="43"/>
      <c r="P2980" s="43"/>
      <c r="Q2980" s="43"/>
      <c r="R2980" s="43"/>
      <c r="S2980" s="43"/>
      <c r="T2980" s="43"/>
      <c r="U2980" s="43"/>
      <c r="V2980" s="43"/>
      <c r="W2980" s="43"/>
      <c r="X2980" s="43"/>
      <c r="Y2980" s="43"/>
      <c r="Z2980" s="43"/>
    </row>
    <row r="2981" spans="15:26" x14ac:dyDescent="0.25">
      <c r="O2981" s="43"/>
      <c r="P2981" s="43"/>
      <c r="Q2981" s="43"/>
      <c r="R2981" s="43"/>
      <c r="S2981" s="43"/>
      <c r="T2981" s="43"/>
      <c r="U2981" s="43"/>
      <c r="V2981" s="43"/>
      <c r="W2981" s="43"/>
      <c r="X2981" s="43"/>
      <c r="Y2981" s="43"/>
      <c r="Z2981" s="43"/>
    </row>
    <row r="2982" spans="15:26" x14ac:dyDescent="0.25">
      <c r="O2982" s="43"/>
      <c r="P2982" s="43"/>
      <c r="Q2982" s="43"/>
      <c r="R2982" s="43"/>
      <c r="S2982" s="43"/>
      <c r="T2982" s="43"/>
      <c r="U2982" s="43"/>
      <c r="V2982" s="43"/>
      <c r="W2982" s="43"/>
      <c r="X2982" s="43"/>
      <c r="Y2982" s="43"/>
      <c r="Z2982" s="43"/>
    </row>
    <row r="2983" spans="15:26" x14ac:dyDescent="0.25">
      <c r="O2983" s="43"/>
      <c r="P2983" s="43"/>
      <c r="Q2983" s="43"/>
      <c r="R2983" s="43"/>
      <c r="S2983" s="43"/>
      <c r="T2983" s="43"/>
      <c r="U2983" s="43"/>
      <c r="V2983" s="43"/>
      <c r="W2983" s="43"/>
      <c r="X2983" s="43"/>
      <c r="Y2983" s="43"/>
      <c r="Z2983" s="43"/>
    </row>
    <row r="2984" spans="15:26" x14ac:dyDescent="0.25">
      <c r="O2984" s="43"/>
      <c r="P2984" s="43"/>
      <c r="Q2984" s="43"/>
      <c r="R2984" s="43"/>
      <c r="S2984" s="43"/>
      <c r="T2984" s="43"/>
      <c r="U2984" s="43"/>
      <c r="V2984" s="43"/>
      <c r="W2984" s="43"/>
      <c r="X2984" s="43"/>
      <c r="Y2984" s="43"/>
      <c r="Z2984" s="43"/>
    </row>
    <row r="2985" spans="15:26" x14ac:dyDescent="0.25">
      <c r="O2985" s="43"/>
      <c r="P2985" s="43"/>
      <c r="Q2985" s="43"/>
      <c r="R2985" s="43"/>
      <c r="S2985" s="43"/>
      <c r="T2985" s="43"/>
      <c r="U2985" s="43"/>
      <c r="V2985" s="43"/>
      <c r="W2985" s="43"/>
      <c r="X2985" s="43"/>
      <c r="Y2985" s="43"/>
      <c r="Z2985" s="43"/>
    </row>
    <row r="2986" spans="15:26" x14ac:dyDescent="0.25">
      <c r="O2986" s="43"/>
      <c r="P2986" s="43"/>
      <c r="Q2986" s="43"/>
      <c r="R2986" s="43"/>
      <c r="S2986" s="43"/>
      <c r="T2986" s="43"/>
      <c r="U2986" s="43"/>
      <c r="V2986" s="43"/>
      <c r="W2986" s="43"/>
      <c r="X2986" s="43"/>
      <c r="Y2986" s="43"/>
      <c r="Z2986" s="43"/>
    </row>
    <row r="2987" spans="15:26" x14ac:dyDescent="0.25">
      <c r="O2987" s="43"/>
      <c r="P2987" s="43"/>
      <c r="Q2987" s="43"/>
      <c r="R2987" s="43"/>
      <c r="S2987" s="43"/>
      <c r="T2987" s="43"/>
      <c r="U2987" s="43"/>
      <c r="V2987" s="43"/>
      <c r="W2987" s="43"/>
      <c r="X2987" s="43"/>
      <c r="Y2987" s="43"/>
      <c r="Z2987" s="43"/>
    </row>
    <row r="2988" spans="15:26" x14ac:dyDescent="0.25">
      <c r="O2988" s="43"/>
      <c r="P2988" s="43"/>
      <c r="Q2988" s="43"/>
      <c r="R2988" s="43"/>
      <c r="S2988" s="43"/>
      <c r="T2988" s="43"/>
      <c r="U2988" s="43"/>
      <c r="V2988" s="43"/>
      <c r="W2988" s="43"/>
      <c r="X2988" s="43"/>
      <c r="Y2988" s="43"/>
      <c r="Z2988" s="43"/>
    </row>
    <row r="2989" spans="15:26" x14ac:dyDescent="0.25">
      <c r="O2989" s="43"/>
      <c r="P2989" s="43"/>
      <c r="Q2989" s="43"/>
      <c r="R2989" s="43"/>
      <c r="S2989" s="43"/>
      <c r="T2989" s="43"/>
      <c r="U2989" s="43"/>
      <c r="V2989" s="43"/>
      <c r="W2989" s="43"/>
      <c r="X2989" s="43"/>
      <c r="Y2989" s="43"/>
      <c r="Z2989" s="43"/>
    </row>
    <row r="2990" spans="15:26" x14ac:dyDescent="0.25">
      <c r="O2990" s="43"/>
      <c r="P2990" s="43"/>
      <c r="Q2990" s="43"/>
      <c r="R2990" s="43"/>
      <c r="S2990" s="43"/>
      <c r="T2990" s="43"/>
      <c r="U2990" s="43"/>
      <c r="V2990" s="43"/>
      <c r="W2990" s="43"/>
      <c r="X2990" s="43"/>
      <c r="Y2990" s="43"/>
      <c r="Z2990" s="43"/>
    </row>
    <row r="2991" spans="15:26" x14ac:dyDescent="0.25">
      <c r="O2991" s="43"/>
      <c r="P2991" s="43"/>
      <c r="Q2991" s="43"/>
      <c r="R2991" s="43"/>
      <c r="S2991" s="43"/>
      <c r="T2991" s="43"/>
      <c r="U2991" s="43"/>
      <c r="V2991" s="43"/>
      <c r="W2991" s="43"/>
      <c r="X2991" s="43"/>
      <c r="Y2991" s="43"/>
      <c r="Z2991" s="43"/>
    </row>
    <row r="2992" spans="15:26" x14ac:dyDescent="0.25">
      <c r="O2992" s="43"/>
      <c r="P2992" s="43"/>
      <c r="Q2992" s="43"/>
      <c r="R2992" s="43"/>
      <c r="S2992" s="43"/>
      <c r="T2992" s="43"/>
      <c r="U2992" s="43"/>
      <c r="V2992" s="43"/>
      <c r="W2992" s="43"/>
      <c r="X2992" s="43"/>
      <c r="Y2992" s="43"/>
      <c r="Z2992" s="43"/>
    </row>
    <row r="2993" spans="15:26" x14ac:dyDescent="0.25">
      <c r="O2993" s="43"/>
      <c r="P2993" s="43"/>
      <c r="Q2993" s="43"/>
      <c r="R2993" s="43"/>
      <c r="S2993" s="43"/>
      <c r="T2993" s="43"/>
      <c r="U2993" s="43"/>
      <c r="V2993" s="43"/>
      <c r="W2993" s="43"/>
      <c r="X2993" s="43"/>
      <c r="Y2993" s="43"/>
      <c r="Z2993" s="43"/>
    </row>
    <row r="2994" spans="15:26" x14ac:dyDescent="0.25">
      <c r="O2994" s="43"/>
      <c r="P2994" s="43"/>
      <c r="Q2994" s="43"/>
      <c r="R2994" s="43"/>
      <c r="S2994" s="43"/>
      <c r="T2994" s="43"/>
      <c r="U2994" s="43"/>
      <c r="V2994" s="43"/>
      <c r="W2994" s="43"/>
      <c r="X2994" s="43"/>
      <c r="Y2994" s="43"/>
      <c r="Z2994" s="43"/>
    </row>
    <row r="2995" spans="15:26" x14ac:dyDescent="0.25">
      <c r="O2995" s="43"/>
      <c r="P2995" s="43"/>
      <c r="Q2995" s="43"/>
      <c r="R2995" s="43"/>
      <c r="S2995" s="43"/>
      <c r="T2995" s="43"/>
      <c r="U2995" s="43"/>
      <c r="V2995" s="43"/>
      <c r="W2995" s="43"/>
      <c r="X2995" s="43"/>
      <c r="Y2995" s="43"/>
      <c r="Z2995" s="43"/>
    </row>
    <row r="2996" spans="15:26" x14ac:dyDescent="0.25">
      <c r="O2996" s="43"/>
      <c r="P2996" s="43"/>
      <c r="Q2996" s="43"/>
      <c r="R2996" s="43"/>
      <c r="S2996" s="43"/>
      <c r="T2996" s="43"/>
      <c r="U2996" s="43"/>
      <c r="V2996" s="43"/>
      <c r="W2996" s="43"/>
      <c r="X2996" s="43"/>
      <c r="Y2996" s="43"/>
      <c r="Z2996" s="43"/>
    </row>
    <row r="2997" spans="15:26" x14ac:dyDescent="0.25">
      <c r="O2997" s="43"/>
      <c r="P2997" s="43"/>
      <c r="Q2997" s="43"/>
      <c r="R2997" s="43"/>
      <c r="S2997" s="43"/>
      <c r="T2997" s="43"/>
      <c r="U2997" s="43"/>
      <c r="V2997" s="43"/>
      <c r="W2997" s="43"/>
      <c r="X2997" s="43"/>
      <c r="Y2997" s="43"/>
      <c r="Z2997" s="43"/>
    </row>
    <row r="2998" spans="15:26" x14ac:dyDescent="0.25">
      <c r="O2998" s="43"/>
      <c r="P2998" s="43"/>
      <c r="Q2998" s="43"/>
      <c r="R2998" s="43"/>
      <c r="S2998" s="43"/>
      <c r="T2998" s="43"/>
      <c r="U2998" s="43"/>
      <c r="V2998" s="43"/>
      <c r="W2998" s="43"/>
      <c r="X2998" s="43"/>
      <c r="Y2998" s="43"/>
      <c r="Z2998" s="43"/>
    </row>
    <row r="2999" spans="15:26" x14ac:dyDescent="0.25">
      <c r="O2999" s="43"/>
      <c r="P2999" s="43"/>
      <c r="Q2999" s="43"/>
      <c r="R2999" s="43"/>
      <c r="S2999" s="43"/>
      <c r="T2999" s="43"/>
      <c r="U2999" s="43"/>
      <c r="V2999" s="43"/>
      <c r="W2999" s="43"/>
      <c r="X2999" s="43"/>
      <c r="Y2999" s="43"/>
      <c r="Z2999" s="43"/>
    </row>
    <row r="3000" spans="15:26" x14ac:dyDescent="0.25">
      <c r="O3000" s="43"/>
      <c r="P3000" s="43"/>
      <c r="Q3000" s="43"/>
      <c r="R3000" s="43"/>
      <c r="S3000" s="43"/>
      <c r="T3000" s="43"/>
      <c r="U3000" s="43"/>
      <c r="V3000" s="43"/>
      <c r="W3000" s="43"/>
      <c r="X3000" s="43"/>
      <c r="Y3000" s="43"/>
      <c r="Z3000" s="43"/>
    </row>
    <row r="3001" spans="15:26" x14ac:dyDescent="0.25">
      <c r="O3001" s="43"/>
      <c r="P3001" s="43"/>
      <c r="Q3001" s="43"/>
      <c r="R3001" s="43"/>
      <c r="S3001" s="43"/>
      <c r="T3001" s="43"/>
      <c r="U3001" s="43"/>
      <c r="V3001" s="43"/>
      <c r="W3001" s="43"/>
      <c r="X3001" s="43"/>
      <c r="Y3001" s="43"/>
      <c r="Z3001" s="43"/>
    </row>
    <row r="3002" spans="15:26" x14ac:dyDescent="0.25">
      <c r="O3002" s="43"/>
      <c r="P3002" s="43"/>
      <c r="Q3002" s="43"/>
      <c r="R3002" s="43"/>
      <c r="S3002" s="43"/>
      <c r="T3002" s="43"/>
      <c r="U3002" s="43"/>
      <c r="V3002" s="43"/>
      <c r="W3002" s="43"/>
      <c r="X3002" s="43"/>
      <c r="Y3002" s="43"/>
      <c r="Z3002" s="43"/>
    </row>
    <row r="3003" spans="15:26" x14ac:dyDescent="0.25">
      <c r="O3003" s="43"/>
      <c r="P3003" s="43"/>
      <c r="Q3003" s="43"/>
      <c r="R3003" s="43"/>
      <c r="S3003" s="43"/>
      <c r="T3003" s="43"/>
      <c r="U3003" s="43"/>
      <c r="V3003" s="43"/>
      <c r="W3003" s="43"/>
      <c r="X3003" s="43"/>
      <c r="Y3003" s="43"/>
      <c r="Z3003" s="43"/>
    </row>
    <row r="3004" spans="15:26" x14ac:dyDescent="0.25">
      <c r="O3004" s="43"/>
      <c r="P3004" s="43"/>
      <c r="Q3004" s="43"/>
      <c r="R3004" s="43"/>
      <c r="S3004" s="43"/>
      <c r="T3004" s="43"/>
      <c r="U3004" s="43"/>
      <c r="V3004" s="43"/>
      <c r="W3004" s="43"/>
      <c r="X3004" s="43"/>
      <c r="Y3004" s="43"/>
      <c r="Z3004" s="43"/>
    </row>
    <row r="3005" spans="15:26" x14ac:dyDescent="0.25">
      <c r="O3005" s="43"/>
      <c r="P3005" s="43"/>
      <c r="Q3005" s="43"/>
      <c r="R3005" s="43"/>
      <c r="S3005" s="43"/>
      <c r="T3005" s="43"/>
      <c r="U3005" s="43"/>
      <c r="V3005" s="43"/>
      <c r="W3005" s="43"/>
      <c r="X3005" s="43"/>
      <c r="Y3005" s="43"/>
      <c r="Z3005" s="43"/>
    </row>
    <row r="3006" spans="15:26" x14ac:dyDescent="0.25">
      <c r="O3006" s="43"/>
      <c r="P3006" s="43"/>
      <c r="Q3006" s="43"/>
      <c r="R3006" s="43"/>
      <c r="S3006" s="43"/>
      <c r="T3006" s="43"/>
      <c r="U3006" s="43"/>
      <c r="V3006" s="43"/>
      <c r="W3006" s="43"/>
      <c r="X3006" s="43"/>
      <c r="Y3006" s="43"/>
      <c r="Z3006" s="43"/>
    </row>
    <row r="3007" spans="15:26" x14ac:dyDescent="0.25">
      <c r="O3007" s="43"/>
      <c r="P3007" s="43"/>
      <c r="Q3007" s="43"/>
      <c r="R3007" s="43"/>
      <c r="S3007" s="43"/>
      <c r="T3007" s="43"/>
      <c r="U3007" s="43"/>
      <c r="V3007" s="43"/>
      <c r="W3007" s="43"/>
      <c r="X3007" s="43"/>
      <c r="Y3007" s="43"/>
      <c r="Z3007" s="43"/>
    </row>
    <row r="3008" spans="15:26" x14ac:dyDescent="0.25">
      <c r="O3008" s="43"/>
      <c r="P3008" s="43"/>
      <c r="Q3008" s="43"/>
      <c r="R3008" s="43"/>
      <c r="S3008" s="43"/>
      <c r="T3008" s="43"/>
      <c r="U3008" s="43"/>
      <c r="V3008" s="43"/>
      <c r="W3008" s="43"/>
      <c r="X3008" s="43"/>
      <c r="Y3008" s="43"/>
      <c r="Z3008" s="43"/>
    </row>
    <row r="3009" spans="15:26" x14ac:dyDescent="0.25">
      <c r="O3009" s="43"/>
      <c r="P3009" s="43"/>
      <c r="Q3009" s="43"/>
      <c r="R3009" s="43"/>
      <c r="S3009" s="43"/>
      <c r="T3009" s="43"/>
      <c r="U3009" s="43"/>
      <c r="V3009" s="43"/>
      <c r="W3009" s="43"/>
      <c r="X3009" s="43"/>
      <c r="Y3009" s="43"/>
      <c r="Z3009" s="43"/>
    </row>
    <row r="3010" spans="15:26" x14ac:dyDescent="0.25">
      <c r="O3010" s="43"/>
      <c r="P3010" s="43"/>
      <c r="Q3010" s="43"/>
      <c r="R3010" s="43"/>
      <c r="S3010" s="43"/>
      <c r="T3010" s="43"/>
      <c r="U3010" s="43"/>
      <c r="V3010" s="43"/>
      <c r="W3010" s="43"/>
      <c r="X3010" s="43"/>
      <c r="Y3010" s="43"/>
      <c r="Z3010" s="43"/>
    </row>
    <row r="3011" spans="15:26" x14ac:dyDescent="0.25">
      <c r="O3011" s="43"/>
      <c r="P3011" s="43"/>
      <c r="Q3011" s="43"/>
      <c r="R3011" s="43"/>
      <c r="S3011" s="43"/>
      <c r="T3011" s="43"/>
      <c r="U3011" s="43"/>
      <c r="V3011" s="43"/>
      <c r="W3011" s="43"/>
      <c r="X3011" s="43"/>
      <c r="Y3011" s="43"/>
      <c r="Z3011" s="43"/>
    </row>
    <row r="3012" spans="15:26" x14ac:dyDescent="0.25">
      <c r="O3012" s="43"/>
      <c r="P3012" s="43"/>
      <c r="Q3012" s="43"/>
      <c r="R3012" s="43"/>
      <c r="S3012" s="43"/>
      <c r="T3012" s="43"/>
      <c r="U3012" s="43"/>
      <c r="V3012" s="43"/>
      <c r="W3012" s="43"/>
      <c r="X3012" s="43"/>
      <c r="Y3012" s="43"/>
      <c r="Z3012" s="43"/>
    </row>
    <row r="3013" spans="15:26" x14ac:dyDescent="0.25">
      <c r="O3013" s="43"/>
      <c r="P3013" s="43"/>
      <c r="Q3013" s="43"/>
      <c r="R3013" s="43"/>
      <c r="S3013" s="43"/>
      <c r="T3013" s="43"/>
      <c r="U3013" s="43"/>
      <c r="V3013" s="43"/>
      <c r="W3013" s="43"/>
      <c r="X3013" s="43"/>
      <c r="Y3013" s="43"/>
      <c r="Z3013" s="43"/>
    </row>
    <row r="3014" spans="15:26" x14ac:dyDescent="0.25">
      <c r="O3014" s="43"/>
      <c r="P3014" s="43"/>
      <c r="Q3014" s="43"/>
      <c r="R3014" s="43"/>
      <c r="S3014" s="43"/>
      <c r="T3014" s="43"/>
      <c r="U3014" s="43"/>
      <c r="V3014" s="43"/>
      <c r="W3014" s="43"/>
      <c r="X3014" s="43"/>
      <c r="Y3014" s="43"/>
      <c r="Z3014" s="43"/>
    </row>
    <row r="3015" spans="15:26" x14ac:dyDescent="0.25">
      <c r="O3015" s="43"/>
      <c r="P3015" s="43"/>
      <c r="Q3015" s="43"/>
      <c r="R3015" s="43"/>
      <c r="S3015" s="43"/>
      <c r="T3015" s="43"/>
      <c r="U3015" s="43"/>
      <c r="V3015" s="43"/>
      <c r="W3015" s="43"/>
      <c r="X3015" s="43"/>
      <c r="Y3015" s="43"/>
      <c r="Z3015" s="43"/>
    </row>
    <row r="3016" spans="15:26" x14ac:dyDescent="0.25">
      <c r="O3016" s="43"/>
      <c r="P3016" s="43"/>
      <c r="Q3016" s="43"/>
      <c r="R3016" s="43"/>
      <c r="S3016" s="43"/>
      <c r="T3016" s="43"/>
      <c r="U3016" s="43"/>
      <c r="V3016" s="43"/>
      <c r="W3016" s="43"/>
      <c r="X3016" s="43"/>
      <c r="Y3016" s="43"/>
      <c r="Z3016" s="43"/>
    </row>
    <row r="3017" spans="15:26" x14ac:dyDescent="0.25">
      <c r="O3017" s="43"/>
      <c r="P3017" s="43"/>
      <c r="Q3017" s="43"/>
      <c r="R3017" s="43"/>
      <c r="S3017" s="43"/>
      <c r="T3017" s="43"/>
      <c r="U3017" s="43"/>
      <c r="V3017" s="43"/>
      <c r="W3017" s="43"/>
      <c r="X3017" s="43"/>
      <c r="Y3017" s="43"/>
      <c r="Z3017" s="43"/>
    </row>
    <row r="3018" spans="15:26" x14ac:dyDescent="0.25">
      <c r="O3018" s="43"/>
      <c r="P3018" s="43"/>
      <c r="Q3018" s="43"/>
      <c r="R3018" s="43"/>
      <c r="S3018" s="43"/>
      <c r="T3018" s="43"/>
      <c r="U3018" s="43"/>
      <c r="V3018" s="43"/>
      <c r="W3018" s="43"/>
      <c r="X3018" s="43"/>
      <c r="Y3018" s="43"/>
      <c r="Z3018" s="43"/>
    </row>
    <row r="3019" spans="15:26" x14ac:dyDescent="0.25">
      <c r="O3019" s="43"/>
      <c r="P3019" s="43"/>
      <c r="Q3019" s="43"/>
      <c r="R3019" s="43"/>
      <c r="S3019" s="43"/>
      <c r="T3019" s="43"/>
      <c r="U3019" s="43"/>
      <c r="V3019" s="43"/>
      <c r="W3019" s="43"/>
      <c r="X3019" s="43"/>
      <c r="Y3019" s="43"/>
      <c r="Z3019" s="43"/>
    </row>
    <row r="3020" spans="15:26" x14ac:dyDescent="0.25">
      <c r="O3020" s="43"/>
      <c r="P3020" s="43"/>
      <c r="Q3020" s="43"/>
      <c r="R3020" s="43"/>
      <c r="S3020" s="43"/>
      <c r="T3020" s="43"/>
      <c r="U3020" s="43"/>
      <c r="V3020" s="43"/>
      <c r="W3020" s="43"/>
      <c r="X3020" s="43"/>
      <c r="Y3020" s="43"/>
      <c r="Z3020" s="43"/>
    </row>
    <row r="3021" spans="15:26" x14ac:dyDescent="0.25">
      <c r="O3021" s="43"/>
      <c r="P3021" s="43"/>
      <c r="Q3021" s="43"/>
      <c r="R3021" s="43"/>
      <c r="S3021" s="43"/>
      <c r="T3021" s="43"/>
      <c r="U3021" s="43"/>
      <c r="V3021" s="43"/>
      <c r="W3021" s="43"/>
      <c r="X3021" s="43"/>
      <c r="Y3021" s="43"/>
      <c r="Z3021" s="43"/>
    </row>
    <row r="3022" spans="15:26" x14ac:dyDescent="0.25">
      <c r="O3022" s="43"/>
      <c r="P3022" s="43"/>
      <c r="Q3022" s="43"/>
      <c r="R3022" s="43"/>
      <c r="S3022" s="43"/>
      <c r="T3022" s="43"/>
      <c r="U3022" s="43"/>
      <c r="V3022" s="43"/>
      <c r="W3022" s="43"/>
      <c r="X3022" s="43"/>
      <c r="Y3022" s="43"/>
      <c r="Z3022" s="43"/>
    </row>
    <row r="3023" spans="15:26" x14ac:dyDescent="0.25">
      <c r="O3023" s="43"/>
      <c r="P3023" s="43"/>
      <c r="Q3023" s="43"/>
      <c r="R3023" s="43"/>
      <c r="S3023" s="43"/>
      <c r="T3023" s="43"/>
      <c r="U3023" s="43"/>
      <c r="V3023" s="43"/>
      <c r="W3023" s="43"/>
      <c r="X3023" s="43"/>
      <c r="Y3023" s="43"/>
      <c r="Z3023" s="43"/>
    </row>
    <row r="3024" spans="15:26" x14ac:dyDescent="0.25">
      <c r="O3024" s="43"/>
      <c r="P3024" s="43"/>
      <c r="Q3024" s="43"/>
      <c r="R3024" s="43"/>
      <c r="S3024" s="43"/>
      <c r="T3024" s="43"/>
      <c r="U3024" s="43"/>
      <c r="V3024" s="43"/>
      <c r="W3024" s="43"/>
      <c r="X3024" s="43"/>
      <c r="Y3024" s="43"/>
      <c r="Z3024" s="43"/>
    </row>
    <row r="3025" spans="15:26" x14ac:dyDescent="0.25">
      <c r="O3025" s="43"/>
      <c r="P3025" s="43"/>
      <c r="Q3025" s="43"/>
      <c r="R3025" s="43"/>
      <c r="S3025" s="43"/>
      <c r="T3025" s="43"/>
      <c r="U3025" s="43"/>
      <c r="V3025" s="43"/>
      <c r="W3025" s="43"/>
      <c r="X3025" s="43"/>
      <c r="Y3025" s="43"/>
      <c r="Z3025" s="43"/>
    </row>
    <row r="3026" spans="15:26" x14ac:dyDescent="0.25">
      <c r="O3026" s="43"/>
      <c r="P3026" s="43"/>
      <c r="Q3026" s="43"/>
      <c r="R3026" s="43"/>
      <c r="S3026" s="43"/>
      <c r="T3026" s="43"/>
      <c r="U3026" s="43"/>
      <c r="V3026" s="43"/>
      <c r="W3026" s="43"/>
      <c r="X3026" s="43"/>
      <c r="Y3026" s="43"/>
      <c r="Z3026" s="43"/>
    </row>
    <row r="3027" spans="15:26" x14ac:dyDescent="0.25">
      <c r="O3027" s="43"/>
      <c r="P3027" s="43"/>
      <c r="Q3027" s="43"/>
      <c r="R3027" s="43"/>
      <c r="S3027" s="43"/>
      <c r="T3027" s="43"/>
      <c r="U3027" s="43"/>
      <c r="V3027" s="43"/>
      <c r="W3027" s="43"/>
      <c r="X3027" s="43"/>
      <c r="Y3027" s="43"/>
      <c r="Z3027" s="43"/>
    </row>
    <row r="3028" spans="15:26" x14ac:dyDescent="0.25">
      <c r="O3028" s="43"/>
      <c r="P3028" s="43"/>
      <c r="Q3028" s="43"/>
      <c r="R3028" s="43"/>
      <c r="S3028" s="43"/>
      <c r="T3028" s="43"/>
      <c r="U3028" s="43"/>
      <c r="V3028" s="43"/>
      <c r="W3028" s="43"/>
      <c r="X3028" s="43"/>
      <c r="Y3028" s="43"/>
      <c r="Z3028" s="43"/>
    </row>
    <row r="3029" spans="15:26" x14ac:dyDescent="0.25">
      <c r="O3029" s="43"/>
      <c r="P3029" s="43"/>
      <c r="Q3029" s="43"/>
      <c r="R3029" s="43"/>
      <c r="S3029" s="43"/>
      <c r="T3029" s="43"/>
      <c r="U3029" s="43"/>
      <c r="V3029" s="43"/>
      <c r="W3029" s="43"/>
      <c r="X3029" s="43"/>
      <c r="Y3029" s="43"/>
      <c r="Z3029" s="43"/>
    </row>
    <row r="3030" spans="15:26" x14ac:dyDescent="0.25">
      <c r="O3030" s="43"/>
      <c r="P3030" s="43"/>
      <c r="Q3030" s="43"/>
      <c r="R3030" s="43"/>
      <c r="S3030" s="43"/>
      <c r="T3030" s="43"/>
      <c r="U3030" s="43"/>
      <c r="V3030" s="43"/>
      <c r="W3030" s="43"/>
      <c r="X3030" s="43"/>
      <c r="Y3030" s="43"/>
      <c r="Z3030" s="43"/>
    </row>
    <row r="3031" spans="15:26" x14ac:dyDescent="0.25">
      <c r="O3031" s="43"/>
      <c r="P3031" s="43"/>
      <c r="Q3031" s="43"/>
      <c r="R3031" s="43"/>
      <c r="S3031" s="43"/>
      <c r="T3031" s="43"/>
      <c r="U3031" s="43"/>
      <c r="V3031" s="43"/>
      <c r="W3031" s="43"/>
      <c r="X3031" s="43"/>
      <c r="Y3031" s="43"/>
      <c r="Z3031" s="43"/>
    </row>
    <row r="3032" spans="15:26" x14ac:dyDescent="0.25">
      <c r="O3032" s="43"/>
      <c r="P3032" s="43"/>
      <c r="Q3032" s="43"/>
      <c r="R3032" s="43"/>
      <c r="S3032" s="43"/>
      <c r="T3032" s="43"/>
      <c r="U3032" s="43"/>
      <c r="V3032" s="43"/>
      <c r="W3032" s="43"/>
      <c r="X3032" s="43"/>
      <c r="Y3032" s="43"/>
      <c r="Z3032" s="43"/>
    </row>
    <row r="3033" spans="15:26" x14ac:dyDescent="0.25">
      <c r="O3033" s="43"/>
      <c r="P3033" s="43"/>
      <c r="Q3033" s="43"/>
      <c r="R3033" s="43"/>
      <c r="S3033" s="43"/>
      <c r="T3033" s="43"/>
      <c r="U3033" s="43"/>
      <c r="V3033" s="43"/>
      <c r="W3033" s="43"/>
      <c r="X3033" s="43"/>
      <c r="Y3033" s="43"/>
      <c r="Z3033" s="43"/>
    </row>
    <row r="3034" spans="15:26" x14ac:dyDescent="0.25">
      <c r="O3034" s="43"/>
      <c r="P3034" s="43"/>
      <c r="Q3034" s="43"/>
      <c r="R3034" s="43"/>
      <c r="S3034" s="43"/>
      <c r="T3034" s="43"/>
      <c r="U3034" s="43"/>
      <c r="V3034" s="43"/>
      <c r="W3034" s="43"/>
      <c r="X3034" s="43"/>
      <c r="Y3034" s="43"/>
      <c r="Z3034" s="43"/>
    </row>
    <row r="3035" spans="15:26" x14ac:dyDescent="0.25">
      <c r="O3035" s="43"/>
      <c r="P3035" s="43"/>
      <c r="Q3035" s="43"/>
      <c r="R3035" s="43"/>
      <c r="S3035" s="43"/>
      <c r="T3035" s="43"/>
      <c r="U3035" s="43"/>
      <c r="V3035" s="43"/>
      <c r="W3035" s="43"/>
      <c r="X3035" s="43"/>
      <c r="Y3035" s="43"/>
      <c r="Z3035" s="43"/>
    </row>
    <row r="3036" spans="15:26" x14ac:dyDescent="0.25">
      <c r="O3036" s="43"/>
      <c r="P3036" s="43"/>
      <c r="Q3036" s="43"/>
      <c r="R3036" s="43"/>
      <c r="S3036" s="43"/>
      <c r="T3036" s="43"/>
      <c r="U3036" s="43"/>
      <c r="V3036" s="43"/>
      <c r="W3036" s="43"/>
      <c r="X3036" s="43"/>
      <c r="Y3036" s="43"/>
      <c r="Z3036" s="43"/>
    </row>
    <row r="3037" spans="15:26" x14ac:dyDescent="0.25">
      <c r="O3037" s="43"/>
      <c r="P3037" s="43"/>
      <c r="Q3037" s="43"/>
      <c r="R3037" s="43"/>
      <c r="S3037" s="43"/>
      <c r="T3037" s="43"/>
      <c r="U3037" s="43"/>
      <c r="V3037" s="43"/>
      <c r="W3037" s="43"/>
      <c r="X3037" s="43"/>
      <c r="Y3037" s="43"/>
      <c r="Z3037" s="43"/>
    </row>
    <row r="3038" spans="15:26" x14ac:dyDescent="0.25">
      <c r="O3038" s="43"/>
      <c r="P3038" s="43"/>
      <c r="Q3038" s="43"/>
      <c r="R3038" s="43"/>
      <c r="S3038" s="43"/>
      <c r="T3038" s="43"/>
      <c r="U3038" s="43"/>
      <c r="V3038" s="43"/>
      <c r="W3038" s="43"/>
      <c r="X3038" s="43"/>
      <c r="Y3038" s="43"/>
      <c r="Z3038" s="43"/>
    </row>
    <row r="3039" spans="15:26" x14ac:dyDescent="0.25">
      <c r="O3039" s="43"/>
      <c r="P3039" s="43"/>
      <c r="Q3039" s="43"/>
      <c r="R3039" s="43"/>
      <c r="S3039" s="43"/>
      <c r="T3039" s="43"/>
      <c r="U3039" s="43"/>
      <c r="V3039" s="43"/>
      <c r="W3039" s="43"/>
      <c r="X3039" s="43"/>
      <c r="Y3039" s="43"/>
      <c r="Z3039" s="43"/>
    </row>
    <row r="3040" spans="15:26" x14ac:dyDescent="0.25">
      <c r="O3040" s="43"/>
      <c r="P3040" s="43"/>
      <c r="Q3040" s="43"/>
      <c r="R3040" s="43"/>
      <c r="S3040" s="43"/>
      <c r="T3040" s="43"/>
      <c r="U3040" s="43"/>
      <c r="V3040" s="43"/>
      <c r="W3040" s="43"/>
      <c r="X3040" s="43"/>
      <c r="Y3040" s="43"/>
      <c r="Z3040" s="43"/>
    </row>
    <row r="3041" spans="15:26" x14ac:dyDescent="0.25">
      <c r="O3041" s="43"/>
      <c r="P3041" s="43"/>
      <c r="Q3041" s="43"/>
      <c r="R3041" s="43"/>
      <c r="S3041" s="43"/>
      <c r="T3041" s="43"/>
      <c r="U3041" s="43"/>
      <c r="V3041" s="43"/>
      <c r="W3041" s="43"/>
      <c r="X3041" s="43"/>
      <c r="Y3041" s="43"/>
      <c r="Z3041" s="43"/>
    </row>
    <row r="3042" spans="15:26" x14ac:dyDescent="0.25">
      <c r="O3042" s="43"/>
      <c r="P3042" s="43"/>
      <c r="Q3042" s="43"/>
      <c r="R3042" s="43"/>
      <c r="S3042" s="43"/>
      <c r="T3042" s="43"/>
      <c r="U3042" s="43"/>
      <c r="V3042" s="43"/>
      <c r="W3042" s="43"/>
      <c r="X3042" s="43"/>
      <c r="Y3042" s="43"/>
      <c r="Z3042" s="43"/>
    </row>
    <row r="3043" spans="15:26" x14ac:dyDescent="0.25">
      <c r="O3043" s="43"/>
      <c r="P3043" s="43"/>
      <c r="Q3043" s="43"/>
      <c r="R3043" s="43"/>
      <c r="S3043" s="43"/>
      <c r="T3043" s="43"/>
      <c r="U3043" s="43"/>
      <c r="V3043" s="43"/>
      <c r="W3043" s="43"/>
      <c r="X3043" s="43"/>
      <c r="Y3043" s="43"/>
      <c r="Z3043" s="43"/>
    </row>
    <row r="3044" spans="15:26" x14ac:dyDescent="0.25">
      <c r="O3044" s="43"/>
      <c r="P3044" s="43"/>
      <c r="Q3044" s="43"/>
      <c r="R3044" s="43"/>
      <c r="S3044" s="43"/>
      <c r="T3044" s="43"/>
      <c r="U3044" s="43"/>
      <c r="V3044" s="43"/>
      <c r="W3044" s="43"/>
      <c r="X3044" s="43"/>
      <c r="Y3044" s="43"/>
      <c r="Z3044" s="43"/>
    </row>
    <row r="3045" spans="15:26" x14ac:dyDescent="0.25">
      <c r="O3045" s="43"/>
      <c r="P3045" s="43"/>
      <c r="Q3045" s="43"/>
      <c r="R3045" s="43"/>
      <c r="S3045" s="43"/>
      <c r="T3045" s="43"/>
      <c r="U3045" s="43"/>
      <c r="V3045" s="43"/>
      <c r="W3045" s="43"/>
      <c r="X3045" s="43"/>
      <c r="Y3045" s="43"/>
      <c r="Z3045" s="43"/>
    </row>
    <row r="3046" spans="15:26" x14ac:dyDescent="0.25">
      <c r="O3046" s="43"/>
      <c r="P3046" s="43"/>
      <c r="Q3046" s="43"/>
      <c r="R3046" s="43"/>
      <c r="S3046" s="43"/>
      <c r="T3046" s="43"/>
      <c r="U3046" s="43"/>
      <c r="V3046" s="43"/>
      <c r="W3046" s="43"/>
      <c r="X3046" s="43"/>
      <c r="Y3046" s="43"/>
      <c r="Z3046" s="43"/>
    </row>
    <row r="3047" spans="15:26" x14ac:dyDescent="0.25">
      <c r="O3047" s="43"/>
      <c r="P3047" s="43"/>
      <c r="Q3047" s="43"/>
      <c r="R3047" s="43"/>
      <c r="S3047" s="43"/>
      <c r="T3047" s="43"/>
      <c r="U3047" s="43"/>
      <c r="V3047" s="43"/>
      <c r="W3047" s="43"/>
      <c r="X3047" s="43"/>
      <c r="Y3047" s="43"/>
      <c r="Z3047" s="43"/>
    </row>
    <row r="3048" spans="15:26" x14ac:dyDescent="0.25">
      <c r="O3048" s="43"/>
      <c r="P3048" s="43"/>
      <c r="Q3048" s="43"/>
      <c r="R3048" s="43"/>
      <c r="S3048" s="43"/>
      <c r="T3048" s="43"/>
      <c r="U3048" s="43"/>
      <c r="V3048" s="43"/>
      <c r="W3048" s="43"/>
      <c r="X3048" s="43"/>
      <c r="Y3048" s="43"/>
      <c r="Z3048" s="43"/>
    </row>
    <row r="3049" spans="15:26" x14ac:dyDescent="0.25">
      <c r="O3049" s="43"/>
      <c r="P3049" s="43"/>
      <c r="Q3049" s="43"/>
      <c r="R3049" s="43"/>
      <c r="S3049" s="43"/>
      <c r="T3049" s="43"/>
      <c r="U3049" s="43"/>
      <c r="V3049" s="43"/>
      <c r="W3049" s="43"/>
      <c r="X3049" s="43"/>
      <c r="Y3049" s="43"/>
      <c r="Z3049" s="43"/>
    </row>
    <row r="3050" spans="15:26" x14ac:dyDescent="0.25">
      <c r="O3050" s="43"/>
      <c r="P3050" s="43"/>
      <c r="Q3050" s="43"/>
      <c r="R3050" s="43"/>
      <c r="S3050" s="43"/>
      <c r="T3050" s="43"/>
      <c r="U3050" s="43"/>
      <c r="V3050" s="43"/>
      <c r="W3050" s="43"/>
      <c r="X3050" s="43"/>
      <c r="Y3050" s="43"/>
      <c r="Z3050" s="43"/>
    </row>
    <row r="3051" spans="15:26" x14ac:dyDescent="0.25">
      <c r="O3051" s="43"/>
      <c r="P3051" s="43"/>
      <c r="Q3051" s="43"/>
      <c r="R3051" s="43"/>
      <c r="S3051" s="43"/>
      <c r="T3051" s="43"/>
      <c r="U3051" s="43"/>
      <c r="V3051" s="43"/>
      <c r="W3051" s="43"/>
      <c r="X3051" s="43"/>
      <c r="Y3051" s="43"/>
      <c r="Z3051" s="43"/>
    </row>
    <row r="3052" spans="15:26" x14ac:dyDescent="0.25">
      <c r="O3052" s="43"/>
      <c r="P3052" s="43"/>
      <c r="Q3052" s="43"/>
      <c r="R3052" s="43"/>
      <c r="S3052" s="43"/>
      <c r="T3052" s="43"/>
      <c r="U3052" s="43"/>
      <c r="V3052" s="43"/>
      <c r="W3052" s="43"/>
      <c r="X3052" s="43"/>
      <c r="Y3052" s="43"/>
      <c r="Z3052" s="43"/>
    </row>
    <row r="3053" spans="15:26" x14ac:dyDescent="0.25">
      <c r="O3053" s="43"/>
      <c r="P3053" s="43"/>
      <c r="Q3053" s="43"/>
      <c r="R3053" s="43"/>
      <c r="S3053" s="43"/>
      <c r="T3053" s="43"/>
      <c r="U3053" s="43"/>
      <c r="V3053" s="43"/>
      <c r="W3053" s="43"/>
      <c r="X3053" s="43"/>
      <c r="Y3053" s="43"/>
      <c r="Z3053" s="43"/>
    </row>
    <row r="3054" spans="15:26" x14ac:dyDescent="0.25">
      <c r="O3054" s="43"/>
      <c r="P3054" s="43"/>
      <c r="Q3054" s="43"/>
      <c r="R3054" s="43"/>
      <c r="S3054" s="43"/>
      <c r="T3054" s="43"/>
      <c r="U3054" s="43"/>
      <c r="V3054" s="43"/>
      <c r="W3054" s="43"/>
      <c r="X3054" s="43"/>
      <c r="Y3054" s="43"/>
      <c r="Z3054" s="43"/>
    </row>
    <row r="3055" spans="15:26" x14ac:dyDescent="0.25">
      <c r="O3055" s="43"/>
      <c r="P3055" s="43"/>
      <c r="Q3055" s="43"/>
      <c r="R3055" s="43"/>
      <c r="S3055" s="43"/>
      <c r="T3055" s="43"/>
      <c r="U3055" s="43"/>
      <c r="V3055" s="43"/>
      <c r="W3055" s="43"/>
      <c r="X3055" s="43"/>
      <c r="Y3055" s="43"/>
      <c r="Z3055" s="43"/>
    </row>
    <row r="3056" spans="15:26" x14ac:dyDescent="0.25">
      <c r="O3056" s="43"/>
      <c r="P3056" s="43"/>
      <c r="Q3056" s="43"/>
      <c r="R3056" s="43"/>
      <c r="S3056" s="43"/>
      <c r="T3056" s="43"/>
      <c r="U3056" s="43"/>
      <c r="V3056" s="43"/>
      <c r="W3056" s="43"/>
      <c r="X3056" s="43"/>
      <c r="Y3056" s="43"/>
      <c r="Z3056" s="43"/>
    </row>
    <row r="3057" spans="15:26" x14ac:dyDescent="0.25">
      <c r="O3057" s="43"/>
      <c r="P3057" s="43"/>
      <c r="Q3057" s="43"/>
      <c r="R3057" s="43"/>
      <c r="S3057" s="43"/>
      <c r="T3057" s="43"/>
      <c r="U3057" s="43"/>
      <c r="V3057" s="43"/>
      <c r="W3057" s="43"/>
      <c r="X3057" s="43"/>
      <c r="Y3057" s="43"/>
      <c r="Z3057" s="43"/>
    </row>
    <row r="3058" spans="15:26" x14ac:dyDescent="0.25">
      <c r="O3058" s="43"/>
      <c r="P3058" s="43"/>
      <c r="Q3058" s="43"/>
      <c r="R3058" s="43"/>
      <c r="S3058" s="43"/>
      <c r="T3058" s="43"/>
      <c r="U3058" s="43"/>
      <c r="V3058" s="43"/>
      <c r="W3058" s="43"/>
      <c r="X3058" s="43"/>
      <c r="Y3058" s="43"/>
      <c r="Z3058" s="43"/>
    </row>
    <row r="3059" spans="15:26" x14ac:dyDescent="0.25">
      <c r="O3059" s="43"/>
      <c r="P3059" s="43"/>
      <c r="Q3059" s="43"/>
      <c r="R3059" s="43"/>
      <c r="S3059" s="43"/>
      <c r="T3059" s="43"/>
      <c r="U3059" s="43"/>
      <c r="V3059" s="43"/>
      <c r="W3059" s="43"/>
      <c r="X3059" s="43"/>
      <c r="Y3059" s="43"/>
      <c r="Z3059" s="43"/>
    </row>
    <row r="3060" spans="15:26" x14ac:dyDescent="0.25">
      <c r="O3060" s="43"/>
      <c r="P3060" s="43"/>
      <c r="Q3060" s="43"/>
      <c r="R3060" s="43"/>
      <c r="S3060" s="43"/>
      <c r="T3060" s="43"/>
      <c r="U3060" s="43"/>
      <c r="V3060" s="43"/>
      <c r="W3060" s="43"/>
      <c r="X3060" s="43"/>
      <c r="Y3060" s="43"/>
      <c r="Z3060" s="43"/>
    </row>
    <row r="3061" spans="15:26" x14ac:dyDescent="0.25">
      <c r="O3061" s="43"/>
      <c r="P3061" s="43"/>
      <c r="Q3061" s="43"/>
      <c r="R3061" s="43"/>
      <c r="S3061" s="43"/>
      <c r="T3061" s="43"/>
      <c r="U3061" s="43"/>
      <c r="V3061" s="43"/>
      <c r="W3061" s="43"/>
      <c r="X3061" s="43"/>
      <c r="Y3061" s="43"/>
      <c r="Z3061" s="43"/>
    </row>
    <row r="3062" spans="15:26" x14ac:dyDescent="0.25">
      <c r="O3062" s="43"/>
      <c r="P3062" s="43"/>
      <c r="Q3062" s="43"/>
      <c r="R3062" s="43"/>
      <c r="S3062" s="43"/>
      <c r="T3062" s="43"/>
      <c r="U3062" s="43"/>
      <c r="V3062" s="43"/>
      <c r="W3062" s="43"/>
      <c r="X3062" s="43"/>
      <c r="Y3062" s="43"/>
      <c r="Z3062" s="43"/>
    </row>
    <row r="3063" spans="15:26" x14ac:dyDescent="0.25">
      <c r="O3063" s="43"/>
      <c r="P3063" s="43"/>
      <c r="Q3063" s="43"/>
      <c r="R3063" s="43"/>
      <c r="S3063" s="43"/>
      <c r="T3063" s="43"/>
      <c r="U3063" s="43"/>
      <c r="V3063" s="43"/>
      <c r="W3063" s="43"/>
      <c r="X3063" s="43"/>
      <c r="Y3063" s="43"/>
      <c r="Z3063" s="43"/>
    </row>
    <row r="3064" spans="15:26" x14ac:dyDescent="0.25">
      <c r="O3064" s="43"/>
      <c r="P3064" s="43"/>
      <c r="Q3064" s="43"/>
      <c r="R3064" s="43"/>
      <c r="S3064" s="43"/>
      <c r="T3064" s="43"/>
      <c r="U3064" s="43"/>
      <c r="V3064" s="43"/>
      <c r="W3064" s="43"/>
      <c r="X3064" s="43"/>
      <c r="Y3064" s="43"/>
      <c r="Z3064" s="43"/>
    </row>
    <row r="3065" spans="15:26" x14ac:dyDescent="0.25">
      <c r="O3065" s="43"/>
      <c r="P3065" s="43"/>
      <c r="Q3065" s="43"/>
      <c r="R3065" s="43"/>
      <c r="S3065" s="43"/>
      <c r="T3065" s="43"/>
      <c r="U3065" s="43"/>
      <c r="V3065" s="43"/>
      <c r="W3065" s="43"/>
      <c r="X3065" s="43"/>
      <c r="Y3065" s="43"/>
      <c r="Z3065" s="43"/>
    </row>
    <row r="3066" spans="15:26" x14ac:dyDescent="0.25">
      <c r="O3066" s="43"/>
      <c r="P3066" s="43"/>
      <c r="Q3066" s="43"/>
      <c r="R3066" s="43"/>
      <c r="S3066" s="43"/>
      <c r="T3066" s="43"/>
      <c r="U3066" s="43"/>
      <c r="V3066" s="43"/>
      <c r="W3066" s="43"/>
      <c r="X3066" s="43"/>
      <c r="Y3066" s="43"/>
      <c r="Z3066" s="43"/>
    </row>
    <row r="3067" spans="15:26" x14ac:dyDescent="0.25">
      <c r="O3067" s="43"/>
      <c r="P3067" s="43"/>
      <c r="Q3067" s="43"/>
      <c r="R3067" s="43"/>
      <c r="S3067" s="43"/>
      <c r="T3067" s="43"/>
      <c r="U3067" s="43"/>
      <c r="V3067" s="43"/>
      <c r="W3067" s="43"/>
      <c r="X3067" s="43"/>
      <c r="Y3067" s="43"/>
      <c r="Z3067" s="43"/>
    </row>
    <row r="3068" spans="15:26" x14ac:dyDescent="0.25">
      <c r="O3068" s="43"/>
      <c r="P3068" s="43"/>
      <c r="Q3068" s="43"/>
      <c r="R3068" s="43"/>
      <c r="S3068" s="43"/>
      <c r="T3068" s="43"/>
      <c r="U3068" s="43"/>
      <c r="V3068" s="43"/>
      <c r="W3068" s="43"/>
      <c r="X3068" s="43"/>
      <c r="Y3068" s="43"/>
      <c r="Z3068" s="43"/>
    </row>
    <row r="3069" spans="15:26" x14ac:dyDescent="0.25">
      <c r="O3069" s="43"/>
      <c r="P3069" s="43"/>
      <c r="Q3069" s="43"/>
      <c r="R3069" s="43"/>
      <c r="S3069" s="43"/>
      <c r="T3069" s="43"/>
      <c r="U3069" s="43"/>
      <c r="V3069" s="43"/>
      <c r="W3069" s="43"/>
      <c r="X3069" s="43"/>
      <c r="Y3069" s="43"/>
      <c r="Z3069" s="43"/>
    </row>
    <row r="3070" spans="15:26" x14ac:dyDescent="0.25">
      <c r="O3070" s="43"/>
      <c r="P3070" s="43"/>
      <c r="Q3070" s="43"/>
      <c r="R3070" s="43"/>
      <c r="S3070" s="43"/>
      <c r="T3070" s="43"/>
      <c r="U3070" s="43"/>
      <c r="V3070" s="43"/>
      <c r="W3070" s="43"/>
      <c r="X3070" s="43"/>
      <c r="Y3070" s="43"/>
      <c r="Z3070" s="43"/>
    </row>
    <row r="3071" spans="15:26" x14ac:dyDescent="0.25">
      <c r="O3071" s="43"/>
      <c r="P3071" s="43"/>
      <c r="Q3071" s="43"/>
      <c r="R3071" s="43"/>
      <c r="S3071" s="43"/>
      <c r="T3071" s="43"/>
      <c r="U3071" s="43"/>
      <c r="V3071" s="43"/>
      <c r="W3071" s="43"/>
      <c r="X3071" s="43"/>
      <c r="Y3071" s="43"/>
      <c r="Z3071" s="43"/>
    </row>
    <row r="3072" spans="15:26" x14ac:dyDescent="0.25">
      <c r="O3072" s="43"/>
      <c r="P3072" s="43"/>
      <c r="Q3072" s="43"/>
      <c r="R3072" s="43"/>
      <c r="S3072" s="43"/>
      <c r="T3072" s="43"/>
      <c r="U3072" s="43"/>
      <c r="V3072" s="43"/>
      <c r="W3072" s="43"/>
      <c r="X3072" s="43"/>
      <c r="Y3072" s="43"/>
      <c r="Z3072" s="43"/>
    </row>
    <row r="3073" spans="15:26" x14ac:dyDescent="0.25">
      <c r="O3073" s="43"/>
      <c r="P3073" s="43"/>
      <c r="Q3073" s="43"/>
      <c r="R3073" s="43"/>
      <c r="S3073" s="43"/>
      <c r="T3073" s="43"/>
      <c r="U3073" s="43"/>
      <c r="V3073" s="43"/>
      <c r="W3073" s="43"/>
      <c r="X3073" s="43"/>
      <c r="Y3073" s="43"/>
      <c r="Z3073" s="43"/>
    </row>
    <row r="3074" spans="15:26" x14ac:dyDescent="0.25">
      <c r="O3074" s="43"/>
      <c r="P3074" s="43"/>
      <c r="Q3074" s="43"/>
      <c r="R3074" s="43"/>
      <c r="S3074" s="43"/>
      <c r="T3074" s="43"/>
      <c r="U3074" s="43"/>
      <c r="V3074" s="43"/>
      <c r="W3074" s="43"/>
      <c r="X3074" s="43"/>
      <c r="Y3074" s="43"/>
      <c r="Z3074" s="43"/>
    </row>
    <row r="3075" spans="15:26" x14ac:dyDescent="0.25">
      <c r="O3075" s="43"/>
      <c r="P3075" s="43"/>
      <c r="Q3075" s="43"/>
      <c r="R3075" s="43"/>
      <c r="S3075" s="43"/>
      <c r="T3075" s="43"/>
      <c r="U3075" s="43"/>
      <c r="V3075" s="43"/>
      <c r="W3075" s="43"/>
      <c r="X3075" s="43"/>
      <c r="Y3075" s="43"/>
      <c r="Z3075" s="43"/>
    </row>
    <row r="3076" spans="15:26" x14ac:dyDescent="0.25">
      <c r="O3076" s="43"/>
      <c r="P3076" s="43"/>
      <c r="Q3076" s="43"/>
      <c r="R3076" s="43"/>
      <c r="S3076" s="43"/>
      <c r="T3076" s="43"/>
      <c r="U3076" s="43"/>
      <c r="V3076" s="43"/>
      <c r="W3076" s="43"/>
      <c r="X3076" s="43"/>
      <c r="Y3076" s="43"/>
      <c r="Z3076" s="43"/>
    </row>
    <row r="3077" spans="15:26" x14ac:dyDescent="0.25">
      <c r="O3077" s="43"/>
      <c r="P3077" s="43"/>
      <c r="Q3077" s="43"/>
      <c r="R3077" s="43"/>
      <c r="S3077" s="43"/>
      <c r="T3077" s="43"/>
      <c r="U3077" s="43"/>
      <c r="V3077" s="43"/>
      <c r="W3077" s="43"/>
      <c r="X3077" s="43"/>
      <c r="Y3077" s="43"/>
      <c r="Z3077" s="43"/>
    </row>
    <row r="3078" spans="15:26" x14ac:dyDescent="0.25">
      <c r="O3078" s="43"/>
      <c r="P3078" s="43"/>
      <c r="Q3078" s="43"/>
      <c r="R3078" s="43"/>
      <c r="S3078" s="43"/>
      <c r="T3078" s="43"/>
      <c r="U3078" s="43"/>
      <c r="V3078" s="43"/>
      <c r="W3078" s="43"/>
      <c r="X3078" s="43"/>
      <c r="Y3078" s="43"/>
      <c r="Z3078" s="43"/>
    </row>
    <row r="3079" spans="15:26" x14ac:dyDescent="0.25">
      <c r="O3079" s="43"/>
      <c r="P3079" s="43"/>
      <c r="Q3079" s="43"/>
      <c r="R3079" s="43"/>
      <c r="S3079" s="43"/>
      <c r="T3079" s="43"/>
      <c r="U3079" s="43"/>
      <c r="V3079" s="43"/>
      <c r="W3079" s="43"/>
      <c r="X3079" s="43"/>
      <c r="Y3079" s="43"/>
      <c r="Z3079" s="43"/>
    </row>
    <row r="3080" spans="15:26" x14ac:dyDescent="0.25">
      <c r="O3080" s="43"/>
      <c r="P3080" s="43"/>
      <c r="Q3080" s="43"/>
      <c r="R3080" s="43"/>
      <c r="S3080" s="43"/>
      <c r="T3080" s="43"/>
      <c r="U3080" s="43"/>
      <c r="V3080" s="43"/>
      <c r="W3080" s="43"/>
      <c r="X3080" s="43"/>
      <c r="Y3080" s="43"/>
      <c r="Z3080" s="43"/>
    </row>
    <row r="3081" spans="15:26" x14ac:dyDescent="0.25">
      <c r="O3081" s="43"/>
      <c r="P3081" s="43"/>
      <c r="Q3081" s="43"/>
      <c r="R3081" s="43"/>
      <c r="S3081" s="43"/>
      <c r="T3081" s="43"/>
      <c r="U3081" s="43"/>
      <c r="V3081" s="43"/>
      <c r="W3081" s="43"/>
      <c r="X3081" s="43"/>
      <c r="Y3081" s="43"/>
      <c r="Z3081" s="43"/>
    </row>
    <row r="3082" spans="15:26" x14ac:dyDescent="0.25">
      <c r="O3082" s="43"/>
      <c r="P3082" s="43"/>
      <c r="Q3082" s="43"/>
      <c r="R3082" s="43"/>
      <c r="S3082" s="43"/>
      <c r="T3082" s="43"/>
      <c r="U3082" s="43"/>
      <c r="V3082" s="43"/>
      <c r="W3082" s="43"/>
      <c r="X3082" s="43"/>
      <c r="Y3082" s="43"/>
      <c r="Z3082" s="43"/>
    </row>
    <row r="3083" spans="15:26" x14ac:dyDescent="0.25">
      <c r="O3083" s="43"/>
      <c r="P3083" s="43"/>
      <c r="Q3083" s="43"/>
      <c r="R3083" s="43"/>
      <c r="S3083" s="43"/>
      <c r="T3083" s="43"/>
      <c r="U3083" s="43"/>
      <c r="V3083" s="43"/>
      <c r="W3083" s="43"/>
      <c r="X3083" s="43"/>
      <c r="Y3083" s="43"/>
      <c r="Z3083" s="43"/>
    </row>
    <row r="3084" spans="15:26" x14ac:dyDescent="0.25">
      <c r="O3084" s="43"/>
      <c r="P3084" s="43"/>
      <c r="Q3084" s="43"/>
      <c r="R3084" s="43"/>
      <c r="S3084" s="43"/>
      <c r="T3084" s="43"/>
      <c r="U3084" s="43"/>
      <c r="V3084" s="43"/>
      <c r="W3084" s="43"/>
      <c r="X3084" s="43"/>
      <c r="Y3084" s="43"/>
      <c r="Z3084" s="43"/>
    </row>
    <row r="3085" spans="15:26" x14ac:dyDescent="0.25">
      <c r="O3085" s="43"/>
      <c r="P3085" s="43"/>
      <c r="Q3085" s="43"/>
      <c r="R3085" s="43"/>
      <c r="S3085" s="43"/>
      <c r="T3085" s="43"/>
      <c r="U3085" s="43"/>
      <c r="V3085" s="43"/>
      <c r="W3085" s="43"/>
      <c r="X3085" s="43"/>
      <c r="Y3085" s="43"/>
      <c r="Z3085" s="43"/>
    </row>
    <row r="3086" spans="15:26" x14ac:dyDescent="0.25">
      <c r="O3086" s="43"/>
      <c r="P3086" s="43"/>
      <c r="Q3086" s="43"/>
      <c r="R3086" s="43"/>
      <c r="S3086" s="43"/>
      <c r="T3086" s="43"/>
      <c r="U3086" s="43"/>
      <c r="V3086" s="43"/>
      <c r="W3086" s="43"/>
      <c r="X3086" s="43"/>
      <c r="Y3086" s="43"/>
      <c r="Z3086" s="43"/>
    </row>
    <row r="3087" spans="15:26" x14ac:dyDescent="0.25">
      <c r="O3087" s="43"/>
      <c r="P3087" s="43"/>
      <c r="Q3087" s="43"/>
      <c r="R3087" s="43"/>
      <c r="S3087" s="43"/>
      <c r="T3087" s="43"/>
      <c r="U3087" s="43"/>
      <c r="V3087" s="43"/>
      <c r="W3087" s="43"/>
      <c r="X3087" s="43"/>
      <c r="Y3087" s="43"/>
      <c r="Z3087" s="43"/>
    </row>
    <row r="3088" spans="15:26" x14ac:dyDescent="0.25">
      <c r="O3088" s="43"/>
      <c r="P3088" s="43"/>
      <c r="Q3088" s="43"/>
      <c r="R3088" s="43"/>
      <c r="S3088" s="43"/>
      <c r="T3088" s="43"/>
      <c r="U3088" s="43"/>
      <c r="V3088" s="43"/>
      <c r="W3088" s="43"/>
      <c r="X3088" s="43"/>
      <c r="Y3088" s="43"/>
      <c r="Z3088" s="43"/>
    </row>
    <row r="3089" spans="15:26" x14ac:dyDescent="0.25">
      <c r="O3089" s="43"/>
      <c r="P3089" s="43"/>
      <c r="Q3089" s="43"/>
      <c r="R3089" s="43"/>
      <c r="S3089" s="43"/>
      <c r="T3089" s="43"/>
      <c r="U3089" s="43"/>
      <c r="V3089" s="43"/>
      <c r="W3089" s="43"/>
      <c r="X3089" s="43"/>
      <c r="Y3089" s="43"/>
      <c r="Z3089" s="43"/>
    </row>
    <row r="3090" spans="15:26" x14ac:dyDescent="0.25">
      <c r="O3090" s="43"/>
      <c r="P3090" s="43"/>
      <c r="Q3090" s="43"/>
      <c r="R3090" s="43"/>
      <c r="S3090" s="43"/>
      <c r="T3090" s="43"/>
      <c r="U3090" s="43"/>
      <c r="V3090" s="43"/>
      <c r="W3090" s="43"/>
      <c r="X3090" s="43"/>
      <c r="Y3090" s="43"/>
      <c r="Z3090" s="43"/>
    </row>
    <row r="3091" spans="15:26" x14ac:dyDescent="0.25">
      <c r="O3091" s="43"/>
      <c r="P3091" s="43"/>
      <c r="Q3091" s="43"/>
      <c r="R3091" s="43"/>
      <c r="S3091" s="43"/>
      <c r="T3091" s="43"/>
      <c r="U3091" s="43"/>
      <c r="V3091" s="43"/>
      <c r="W3091" s="43"/>
      <c r="X3091" s="43"/>
      <c r="Y3091" s="43"/>
      <c r="Z3091" s="43"/>
    </row>
    <row r="3092" spans="15:26" x14ac:dyDescent="0.25">
      <c r="O3092" s="43"/>
      <c r="P3092" s="43"/>
      <c r="Q3092" s="43"/>
      <c r="R3092" s="43"/>
      <c r="S3092" s="43"/>
      <c r="T3092" s="43"/>
      <c r="U3092" s="43"/>
      <c r="V3092" s="43"/>
      <c r="W3092" s="43"/>
      <c r="X3092" s="43"/>
      <c r="Y3092" s="43"/>
      <c r="Z3092" s="43"/>
    </row>
    <row r="3093" spans="15:26" x14ac:dyDescent="0.25">
      <c r="O3093" s="43"/>
      <c r="P3093" s="43"/>
      <c r="Q3093" s="43"/>
      <c r="R3093" s="43"/>
      <c r="S3093" s="43"/>
      <c r="T3093" s="43"/>
      <c r="U3093" s="43"/>
      <c r="V3093" s="43"/>
      <c r="W3093" s="43"/>
      <c r="X3093" s="43"/>
      <c r="Y3093" s="43"/>
      <c r="Z3093" s="43"/>
    </row>
    <row r="3094" spans="15:26" x14ac:dyDescent="0.25">
      <c r="O3094" s="43"/>
      <c r="P3094" s="43"/>
      <c r="Q3094" s="43"/>
      <c r="R3094" s="43"/>
      <c r="S3094" s="43"/>
      <c r="T3094" s="43"/>
      <c r="U3094" s="43"/>
      <c r="V3094" s="43"/>
      <c r="W3094" s="43"/>
      <c r="X3094" s="43"/>
      <c r="Y3094" s="43"/>
      <c r="Z3094" s="43"/>
    </row>
    <row r="3095" spans="15:26" x14ac:dyDescent="0.25">
      <c r="O3095" s="43"/>
      <c r="P3095" s="43"/>
      <c r="Q3095" s="43"/>
      <c r="R3095" s="43"/>
      <c r="S3095" s="43"/>
      <c r="T3095" s="43"/>
      <c r="U3095" s="43"/>
      <c r="V3095" s="43"/>
      <c r="W3095" s="43"/>
      <c r="X3095" s="43"/>
      <c r="Y3095" s="43"/>
      <c r="Z3095" s="43"/>
    </row>
    <row r="3096" spans="15:26" x14ac:dyDescent="0.25">
      <c r="O3096" s="43"/>
      <c r="P3096" s="43"/>
      <c r="Q3096" s="43"/>
      <c r="R3096" s="43"/>
      <c r="S3096" s="43"/>
      <c r="T3096" s="43"/>
      <c r="U3096" s="43"/>
      <c r="V3096" s="43"/>
      <c r="W3096" s="43"/>
      <c r="X3096" s="43"/>
      <c r="Y3096" s="43"/>
      <c r="Z3096" s="43"/>
    </row>
    <row r="3097" spans="15:26" x14ac:dyDescent="0.25">
      <c r="O3097" s="43"/>
      <c r="P3097" s="43"/>
      <c r="Q3097" s="43"/>
      <c r="R3097" s="43"/>
      <c r="S3097" s="43"/>
      <c r="T3097" s="43"/>
      <c r="U3097" s="43"/>
      <c r="V3097" s="43"/>
      <c r="W3097" s="43"/>
      <c r="X3097" s="43"/>
      <c r="Y3097" s="43"/>
      <c r="Z3097" s="43"/>
    </row>
    <row r="3098" spans="15:26" x14ac:dyDescent="0.25">
      <c r="O3098" s="43"/>
      <c r="P3098" s="43"/>
      <c r="Q3098" s="43"/>
      <c r="R3098" s="43"/>
      <c r="S3098" s="43"/>
      <c r="T3098" s="43"/>
      <c r="U3098" s="43"/>
      <c r="V3098" s="43"/>
      <c r="W3098" s="43"/>
      <c r="X3098" s="43"/>
      <c r="Y3098" s="43"/>
      <c r="Z3098" s="43"/>
    </row>
    <row r="3099" spans="15:26" x14ac:dyDescent="0.25">
      <c r="O3099" s="43"/>
      <c r="P3099" s="43"/>
      <c r="Q3099" s="43"/>
      <c r="R3099" s="43"/>
      <c r="S3099" s="43"/>
      <c r="T3099" s="43"/>
      <c r="U3099" s="43"/>
      <c r="V3099" s="43"/>
      <c r="W3099" s="43"/>
      <c r="X3099" s="43"/>
      <c r="Y3099" s="43"/>
      <c r="Z3099" s="43"/>
    </row>
    <row r="3100" spans="15:26" x14ac:dyDescent="0.25">
      <c r="O3100" s="43"/>
      <c r="P3100" s="43"/>
      <c r="Q3100" s="43"/>
      <c r="R3100" s="43"/>
      <c r="S3100" s="43"/>
      <c r="T3100" s="43"/>
      <c r="U3100" s="43"/>
      <c r="V3100" s="43"/>
      <c r="W3100" s="43"/>
      <c r="X3100" s="43"/>
      <c r="Y3100" s="43"/>
      <c r="Z3100" s="43"/>
    </row>
    <row r="3101" spans="15:26" x14ac:dyDescent="0.25">
      <c r="O3101" s="43"/>
      <c r="P3101" s="43"/>
      <c r="Q3101" s="43"/>
      <c r="R3101" s="43"/>
      <c r="S3101" s="43"/>
      <c r="T3101" s="43"/>
      <c r="U3101" s="43"/>
      <c r="V3101" s="43"/>
      <c r="W3101" s="43"/>
      <c r="X3101" s="43"/>
      <c r="Y3101" s="43"/>
      <c r="Z3101" s="43"/>
    </row>
    <row r="3102" spans="15:26" x14ac:dyDescent="0.25">
      <c r="O3102" s="43"/>
      <c r="P3102" s="43"/>
      <c r="Q3102" s="43"/>
      <c r="R3102" s="43"/>
      <c r="S3102" s="43"/>
      <c r="T3102" s="43"/>
      <c r="U3102" s="43"/>
      <c r="V3102" s="43"/>
      <c r="W3102" s="43"/>
      <c r="X3102" s="43"/>
      <c r="Y3102" s="43"/>
      <c r="Z3102" s="43"/>
    </row>
    <row r="3103" spans="15:26" x14ac:dyDescent="0.25">
      <c r="O3103" s="43"/>
      <c r="P3103" s="43"/>
      <c r="Q3103" s="43"/>
      <c r="R3103" s="43"/>
      <c r="S3103" s="43"/>
      <c r="T3103" s="43"/>
      <c r="U3103" s="43"/>
      <c r="V3103" s="43"/>
      <c r="W3103" s="43"/>
      <c r="X3103" s="43"/>
      <c r="Y3103" s="43"/>
      <c r="Z3103" s="43"/>
    </row>
    <row r="3104" spans="15:26" x14ac:dyDescent="0.25">
      <c r="O3104" s="43"/>
      <c r="P3104" s="43"/>
      <c r="Q3104" s="43"/>
      <c r="R3104" s="43"/>
      <c r="S3104" s="43"/>
      <c r="T3104" s="43"/>
      <c r="U3104" s="43"/>
      <c r="V3104" s="43"/>
      <c r="W3104" s="43"/>
      <c r="X3104" s="43"/>
      <c r="Y3104" s="43"/>
      <c r="Z3104" s="43"/>
    </row>
    <row r="3105" spans="15:26" x14ac:dyDescent="0.25">
      <c r="O3105" s="43"/>
      <c r="P3105" s="43"/>
      <c r="Q3105" s="43"/>
      <c r="R3105" s="43"/>
      <c r="S3105" s="43"/>
      <c r="T3105" s="43"/>
      <c r="U3105" s="43"/>
      <c r="V3105" s="43"/>
      <c r="W3105" s="43"/>
      <c r="X3105" s="43"/>
      <c r="Y3105" s="43"/>
      <c r="Z3105" s="43"/>
    </row>
    <row r="3106" spans="15:26" x14ac:dyDescent="0.25">
      <c r="O3106" s="43"/>
      <c r="P3106" s="43"/>
      <c r="Q3106" s="43"/>
      <c r="R3106" s="43"/>
      <c r="S3106" s="43"/>
      <c r="T3106" s="43"/>
      <c r="U3106" s="43"/>
      <c r="V3106" s="43"/>
      <c r="W3106" s="43"/>
      <c r="X3106" s="43"/>
      <c r="Y3106" s="43"/>
      <c r="Z3106" s="43"/>
    </row>
    <row r="3107" spans="15:26" x14ac:dyDescent="0.25">
      <c r="O3107" s="43"/>
      <c r="P3107" s="43"/>
      <c r="Q3107" s="43"/>
      <c r="R3107" s="43"/>
      <c r="S3107" s="43"/>
      <c r="T3107" s="43"/>
      <c r="U3107" s="43"/>
      <c r="V3107" s="43"/>
      <c r="W3107" s="43"/>
      <c r="X3107" s="43"/>
      <c r="Y3107" s="43"/>
      <c r="Z3107" s="43"/>
    </row>
    <row r="3108" spans="15:26" x14ac:dyDescent="0.25">
      <c r="O3108" s="43"/>
      <c r="P3108" s="43"/>
      <c r="Q3108" s="43"/>
      <c r="R3108" s="43"/>
      <c r="S3108" s="43"/>
      <c r="T3108" s="43"/>
      <c r="U3108" s="43"/>
      <c r="V3108" s="43"/>
      <c r="W3108" s="43"/>
      <c r="X3108" s="43"/>
      <c r="Y3108" s="43"/>
      <c r="Z3108" s="43"/>
    </row>
    <row r="3109" spans="15:26" x14ac:dyDescent="0.25">
      <c r="O3109" s="43"/>
      <c r="P3109" s="43"/>
      <c r="Q3109" s="43"/>
      <c r="R3109" s="43"/>
      <c r="S3109" s="43"/>
      <c r="T3109" s="43"/>
      <c r="U3109" s="43"/>
      <c r="V3109" s="43"/>
      <c r="W3109" s="43"/>
      <c r="X3109" s="43"/>
      <c r="Y3109" s="43"/>
      <c r="Z3109" s="43"/>
    </row>
    <row r="3110" spans="15:26" x14ac:dyDescent="0.25">
      <c r="O3110" s="43"/>
      <c r="P3110" s="43"/>
      <c r="Q3110" s="43"/>
      <c r="R3110" s="43"/>
      <c r="S3110" s="43"/>
      <c r="T3110" s="43"/>
      <c r="U3110" s="43"/>
      <c r="V3110" s="43"/>
      <c r="W3110" s="43"/>
      <c r="X3110" s="43"/>
      <c r="Y3110" s="43"/>
      <c r="Z3110" s="43"/>
    </row>
    <row r="3111" spans="15:26" x14ac:dyDescent="0.25">
      <c r="O3111" s="43"/>
      <c r="P3111" s="43"/>
      <c r="Q3111" s="43"/>
      <c r="R3111" s="43"/>
      <c r="S3111" s="43"/>
      <c r="T3111" s="43"/>
      <c r="U3111" s="43"/>
      <c r="V3111" s="43"/>
      <c r="W3111" s="43"/>
      <c r="X3111" s="43"/>
      <c r="Y3111" s="43"/>
      <c r="Z3111" s="43"/>
    </row>
    <row r="3112" spans="15:26" x14ac:dyDescent="0.25">
      <c r="O3112" s="43"/>
      <c r="P3112" s="43"/>
      <c r="Q3112" s="43"/>
      <c r="R3112" s="43"/>
      <c r="S3112" s="43"/>
      <c r="T3112" s="43"/>
      <c r="U3112" s="43"/>
      <c r="V3112" s="43"/>
      <c r="W3112" s="43"/>
      <c r="X3112" s="43"/>
      <c r="Y3112" s="43"/>
      <c r="Z3112" s="43"/>
    </row>
    <row r="3113" spans="15:26" x14ac:dyDescent="0.25">
      <c r="O3113" s="43"/>
      <c r="P3113" s="43"/>
      <c r="Q3113" s="43"/>
      <c r="R3113" s="43"/>
      <c r="S3113" s="43"/>
      <c r="T3113" s="43"/>
      <c r="U3113" s="43"/>
      <c r="V3113" s="43"/>
      <c r="W3113" s="43"/>
      <c r="X3113" s="43"/>
      <c r="Y3113" s="43"/>
      <c r="Z3113" s="43"/>
    </row>
    <row r="3114" spans="15:26" x14ac:dyDescent="0.25">
      <c r="O3114" s="43"/>
      <c r="P3114" s="43"/>
      <c r="Q3114" s="43"/>
      <c r="R3114" s="43"/>
      <c r="S3114" s="43"/>
      <c r="T3114" s="43"/>
      <c r="U3114" s="43"/>
      <c r="V3114" s="43"/>
      <c r="W3114" s="43"/>
      <c r="X3114" s="43"/>
      <c r="Y3114" s="43"/>
      <c r="Z3114" s="43"/>
    </row>
    <row r="3115" spans="15:26" x14ac:dyDescent="0.25">
      <c r="O3115" s="43"/>
      <c r="P3115" s="43"/>
      <c r="Q3115" s="43"/>
      <c r="R3115" s="43"/>
      <c r="S3115" s="43"/>
      <c r="T3115" s="43"/>
      <c r="U3115" s="43"/>
      <c r="V3115" s="43"/>
      <c r="W3115" s="43"/>
      <c r="X3115" s="43"/>
      <c r="Y3115" s="43"/>
      <c r="Z3115" s="43"/>
    </row>
    <row r="3116" spans="15:26" x14ac:dyDescent="0.25">
      <c r="O3116" s="43"/>
      <c r="P3116" s="43"/>
      <c r="Q3116" s="43"/>
      <c r="R3116" s="43"/>
      <c r="S3116" s="43"/>
      <c r="T3116" s="43"/>
      <c r="U3116" s="43"/>
      <c r="V3116" s="43"/>
      <c r="W3116" s="43"/>
      <c r="X3116" s="43"/>
      <c r="Y3116" s="43"/>
      <c r="Z3116" s="43"/>
    </row>
    <row r="3117" spans="15:26" x14ac:dyDescent="0.25">
      <c r="O3117" s="43"/>
      <c r="P3117" s="43"/>
      <c r="Q3117" s="43"/>
      <c r="R3117" s="43"/>
      <c r="S3117" s="43"/>
      <c r="T3117" s="43"/>
      <c r="U3117" s="43"/>
      <c r="V3117" s="43"/>
      <c r="W3117" s="43"/>
      <c r="X3117" s="43"/>
      <c r="Y3117" s="43"/>
      <c r="Z3117" s="43"/>
    </row>
    <row r="3118" spans="15:26" x14ac:dyDescent="0.25">
      <c r="O3118" s="43"/>
      <c r="P3118" s="43"/>
      <c r="Q3118" s="43"/>
      <c r="R3118" s="43"/>
      <c r="S3118" s="43"/>
      <c r="T3118" s="43"/>
      <c r="U3118" s="43"/>
      <c r="V3118" s="43"/>
      <c r="W3118" s="43"/>
      <c r="X3118" s="43"/>
      <c r="Y3118" s="43"/>
      <c r="Z3118" s="43"/>
    </row>
    <row r="3119" spans="15:26" x14ac:dyDescent="0.25">
      <c r="O3119" s="43"/>
      <c r="P3119" s="43"/>
      <c r="Q3119" s="43"/>
      <c r="R3119" s="43"/>
      <c r="S3119" s="43"/>
      <c r="T3119" s="43"/>
      <c r="U3119" s="43"/>
      <c r="V3119" s="43"/>
      <c r="W3119" s="43"/>
      <c r="X3119" s="43"/>
      <c r="Y3119" s="43"/>
      <c r="Z3119" s="43"/>
    </row>
    <row r="3120" spans="15:26" x14ac:dyDescent="0.25">
      <c r="O3120" s="43"/>
      <c r="P3120" s="43"/>
      <c r="Q3120" s="43"/>
      <c r="R3120" s="43"/>
      <c r="S3120" s="43"/>
      <c r="T3120" s="43"/>
      <c r="U3120" s="43"/>
      <c r="V3120" s="43"/>
      <c r="W3120" s="43"/>
      <c r="X3120" s="43"/>
      <c r="Y3120" s="43"/>
      <c r="Z3120" s="43"/>
    </row>
    <row r="3121" spans="15:26" x14ac:dyDescent="0.25">
      <c r="O3121" s="43"/>
      <c r="P3121" s="43"/>
      <c r="Q3121" s="43"/>
      <c r="R3121" s="43"/>
      <c r="S3121" s="43"/>
      <c r="T3121" s="43"/>
      <c r="U3121" s="43"/>
      <c r="V3121" s="43"/>
      <c r="W3121" s="43"/>
      <c r="X3121" s="43"/>
      <c r="Y3121" s="43"/>
      <c r="Z3121" s="43"/>
    </row>
    <row r="3122" spans="15:26" x14ac:dyDescent="0.25">
      <c r="O3122" s="43"/>
      <c r="P3122" s="43"/>
      <c r="Q3122" s="43"/>
      <c r="R3122" s="43"/>
      <c r="S3122" s="43"/>
      <c r="T3122" s="43"/>
      <c r="U3122" s="43"/>
      <c r="V3122" s="43"/>
      <c r="W3122" s="43"/>
      <c r="X3122" s="43"/>
      <c r="Y3122" s="43"/>
      <c r="Z3122" s="43"/>
    </row>
    <row r="3123" spans="15:26" x14ac:dyDescent="0.25">
      <c r="O3123" s="43"/>
      <c r="P3123" s="43"/>
      <c r="Q3123" s="43"/>
      <c r="R3123" s="43"/>
      <c r="S3123" s="43"/>
      <c r="T3123" s="43"/>
      <c r="U3123" s="43"/>
      <c r="V3123" s="43"/>
      <c r="W3123" s="43"/>
      <c r="X3123" s="43"/>
      <c r="Y3123" s="43"/>
      <c r="Z3123" s="43"/>
    </row>
    <row r="3124" spans="15:26" x14ac:dyDescent="0.25">
      <c r="O3124" s="43"/>
      <c r="P3124" s="43"/>
      <c r="Q3124" s="43"/>
      <c r="R3124" s="43"/>
      <c r="S3124" s="43"/>
      <c r="T3124" s="43"/>
      <c r="U3124" s="43"/>
      <c r="V3124" s="43"/>
      <c r="W3124" s="43"/>
      <c r="X3124" s="43"/>
      <c r="Y3124" s="43"/>
      <c r="Z3124" s="43"/>
    </row>
    <row r="3125" spans="15:26" x14ac:dyDescent="0.25">
      <c r="O3125" s="43"/>
      <c r="P3125" s="43"/>
      <c r="Q3125" s="43"/>
      <c r="R3125" s="43"/>
      <c r="S3125" s="43"/>
      <c r="T3125" s="43"/>
      <c r="U3125" s="43"/>
      <c r="V3125" s="43"/>
      <c r="W3125" s="43"/>
      <c r="X3125" s="43"/>
      <c r="Y3125" s="43"/>
      <c r="Z3125" s="43"/>
    </row>
    <row r="3126" spans="15:26" x14ac:dyDescent="0.25">
      <c r="O3126" s="43"/>
      <c r="P3126" s="43"/>
      <c r="Q3126" s="43"/>
      <c r="R3126" s="43"/>
      <c r="S3126" s="43"/>
      <c r="T3126" s="43"/>
      <c r="U3126" s="43"/>
      <c r="V3126" s="43"/>
      <c r="W3126" s="43"/>
      <c r="X3126" s="43"/>
      <c r="Y3126" s="43"/>
      <c r="Z3126" s="43"/>
    </row>
    <row r="3127" spans="15:26" x14ac:dyDescent="0.25">
      <c r="O3127" s="43"/>
      <c r="P3127" s="43"/>
      <c r="Q3127" s="43"/>
      <c r="R3127" s="43"/>
      <c r="S3127" s="43"/>
      <c r="T3127" s="43"/>
      <c r="U3127" s="43"/>
      <c r="V3127" s="43"/>
      <c r="W3127" s="43"/>
      <c r="X3127" s="43"/>
      <c r="Y3127" s="43"/>
      <c r="Z3127" s="43"/>
    </row>
    <row r="3128" spans="15:26" x14ac:dyDescent="0.25">
      <c r="O3128" s="43"/>
      <c r="P3128" s="43"/>
      <c r="Q3128" s="43"/>
      <c r="R3128" s="43"/>
      <c r="S3128" s="43"/>
      <c r="T3128" s="43"/>
      <c r="U3128" s="43"/>
      <c r="V3128" s="43"/>
      <c r="W3128" s="43"/>
      <c r="X3128" s="43"/>
      <c r="Y3128" s="43"/>
      <c r="Z3128" s="43"/>
    </row>
    <row r="3129" spans="15:26" x14ac:dyDescent="0.25">
      <c r="O3129" s="43"/>
      <c r="P3129" s="43"/>
      <c r="Q3129" s="43"/>
      <c r="R3129" s="43"/>
      <c r="S3129" s="43"/>
      <c r="T3129" s="43"/>
      <c r="U3129" s="43"/>
      <c r="V3129" s="43"/>
      <c r="W3129" s="43"/>
      <c r="X3129" s="43"/>
      <c r="Y3129" s="43"/>
      <c r="Z3129" s="43"/>
    </row>
    <row r="3130" spans="15:26" x14ac:dyDescent="0.25">
      <c r="O3130" s="43"/>
      <c r="P3130" s="43"/>
      <c r="Q3130" s="43"/>
      <c r="R3130" s="43"/>
      <c r="S3130" s="43"/>
      <c r="T3130" s="43"/>
      <c r="U3130" s="43"/>
      <c r="V3130" s="43"/>
      <c r="W3130" s="43"/>
      <c r="X3130" s="43"/>
      <c r="Y3130" s="43"/>
      <c r="Z3130" s="43"/>
    </row>
    <row r="3131" spans="15:26" x14ac:dyDescent="0.25">
      <c r="O3131" s="43"/>
      <c r="P3131" s="43"/>
      <c r="Q3131" s="43"/>
      <c r="R3131" s="43"/>
      <c r="S3131" s="43"/>
      <c r="T3131" s="43"/>
      <c r="U3131" s="43"/>
      <c r="V3131" s="43"/>
      <c r="W3131" s="43"/>
      <c r="X3131" s="43"/>
      <c r="Y3131" s="43"/>
      <c r="Z3131" s="43"/>
    </row>
    <row r="3132" spans="15:26" x14ac:dyDescent="0.25">
      <c r="O3132" s="43"/>
      <c r="P3132" s="43"/>
      <c r="Q3132" s="43"/>
      <c r="R3132" s="43"/>
      <c r="S3132" s="43"/>
      <c r="T3132" s="43"/>
      <c r="U3132" s="43"/>
      <c r="V3132" s="43"/>
      <c r="W3132" s="43"/>
      <c r="X3132" s="43"/>
      <c r="Y3132" s="43"/>
      <c r="Z3132" s="43"/>
    </row>
    <row r="3133" spans="15:26" x14ac:dyDescent="0.25">
      <c r="O3133" s="43"/>
      <c r="P3133" s="43"/>
      <c r="Q3133" s="43"/>
      <c r="R3133" s="43"/>
      <c r="S3133" s="43"/>
      <c r="T3133" s="43"/>
      <c r="U3133" s="43"/>
      <c r="V3133" s="43"/>
      <c r="W3133" s="43"/>
      <c r="X3133" s="43"/>
      <c r="Y3133" s="43"/>
      <c r="Z3133" s="43"/>
    </row>
    <row r="3134" spans="15:26" x14ac:dyDescent="0.25">
      <c r="O3134" s="43"/>
      <c r="P3134" s="43"/>
      <c r="Q3134" s="43"/>
      <c r="R3134" s="43"/>
      <c r="S3134" s="43"/>
      <c r="T3134" s="43"/>
      <c r="U3134" s="43"/>
      <c r="V3134" s="43"/>
      <c r="W3134" s="43"/>
      <c r="X3134" s="43"/>
      <c r="Y3134" s="43"/>
      <c r="Z3134" s="43"/>
    </row>
    <row r="3135" spans="15:26" x14ac:dyDescent="0.25">
      <c r="O3135" s="43"/>
      <c r="P3135" s="43"/>
      <c r="Q3135" s="43"/>
      <c r="R3135" s="43"/>
      <c r="S3135" s="43"/>
      <c r="T3135" s="43"/>
      <c r="U3135" s="43"/>
      <c r="V3135" s="43"/>
      <c r="W3135" s="43"/>
      <c r="X3135" s="43"/>
      <c r="Y3135" s="43"/>
      <c r="Z3135" s="43"/>
    </row>
    <row r="3136" spans="15:26" x14ac:dyDescent="0.25">
      <c r="O3136" s="43"/>
      <c r="P3136" s="43"/>
      <c r="Q3136" s="43"/>
      <c r="R3136" s="43"/>
      <c r="S3136" s="43"/>
      <c r="T3136" s="43"/>
      <c r="U3136" s="43"/>
      <c r="V3136" s="43"/>
      <c r="W3136" s="43"/>
      <c r="X3136" s="43"/>
      <c r="Y3136" s="43"/>
      <c r="Z3136" s="43"/>
    </row>
    <row r="3137" spans="15:26" x14ac:dyDescent="0.25">
      <c r="O3137" s="43"/>
      <c r="P3137" s="43"/>
      <c r="Q3137" s="43"/>
      <c r="R3137" s="43"/>
      <c r="S3137" s="43"/>
      <c r="T3137" s="43"/>
      <c r="U3137" s="43"/>
      <c r="V3137" s="43"/>
      <c r="W3137" s="43"/>
      <c r="X3137" s="43"/>
      <c r="Y3137" s="43"/>
      <c r="Z3137" s="43"/>
    </row>
    <row r="3138" spans="15:26" x14ac:dyDescent="0.25">
      <c r="O3138" s="43"/>
      <c r="P3138" s="43"/>
      <c r="Q3138" s="43"/>
      <c r="R3138" s="43"/>
      <c r="S3138" s="43"/>
      <c r="T3138" s="43"/>
      <c r="U3138" s="43"/>
      <c r="V3138" s="43"/>
      <c r="W3138" s="43"/>
      <c r="X3138" s="43"/>
      <c r="Y3138" s="43"/>
      <c r="Z3138" s="43"/>
    </row>
    <row r="3139" spans="15:26" x14ac:dyDescent="0.25">
      <c r="O3139" s="43"/>
      <c r="P3139" s="43"/>
      <c r="Q3139" s="43"/>
      <c r="R3139" s="43"/>
      <c r="S3139" s="43"/>
      <c r="T3139" s="43"/>
      <c r="U3139" s="43"/>
      <c r="V3139" s="43"/>
      <c r="W3139" s="43"/>
      <c r="X3139" s="43"/>
      <c r="Y3139" s="43"/>
      <c r="Z3139" s="43"/>
    </row>
    <row r="3140" spans="15:26" x14ac:dyDescent="0.25">
      <c r="O3140" s="43"/>
      <c r="P3140" s="43"/>
      <c r="Q3140" s="43"/>
      <c r="R3140" s="43"/>
      <c r="S3140" s="43"/>
      <c r="T3140" s="43"/>
      <c r="U3140" s="43"/>
      <c r="V3140" s="43"/>
      <c r="W3140" s="43"/>
      <c r="X3140" s="43"/>
      <c r="Y3140" s="43"/>
      <c r="Z3140" s="43"/>
    </row>
    <row r="3141" spans="15:26" x14ac:dyDescent="0.25">
      <c r="O3141" s="43"/>
      <c r="P3141" s="43"/>
      <c r="Q3141" s="43"/>
      <c r="R3141" s="43"/>
      <c r="S3141" s="43"/>
      <c r="T3141" s="43"/>
      <c r="U3141" s="43"/>
      <c r="V3141" s="43"/>
      <c r="W3141" s="43"/>
      <c r="X3141" s="43"/>
      <c r="Y3141" s="43"/>
      <c r="Z3141" s="43"/>
    </row>
    <row r="3142" spans="15:26" x14ac:dyDescent="0.25">
      <c r="O3142" s="43"/>
      <c r="P3142" s="43"/>
      <c r="Q3142" s="43"/>
      <c r="R3142" s="43"/>
      <c r="S3142" s="43"/>
      <c r="T3142" s="43"/>
      <c r="U3142" s="43"/>
      <c r="V3142" s="43"/>
      <c r="W3142" s="43"/>
      <c r="X3142" s="43"/>
      <c r="Y3142" s="43"/>
      <c r="Z3142" s="43"/>
    </row>
    <row r="3143" spans="15:26" x14ac:dyDescent="0.25">
      <c r="O3143" s="43"/>
      <c r="P3143" s="43"/>
      <c r="Q3143" s="43"/>
      <c r="R3143" s="43"/>
      <c r="S3143" s="43"/>
      <c r="T3143" s="43"/>
      <c r="U3143" s="43"/>
      <c r="V3143" s="43"/>
      <c r="W3143" s="43"/>
      <c r="X3143" s="43"/>
      <c r="Y3143" s="43"/>
      <c r="Z3143" s="43"/>
    </row>
    <row r="3144" spans="15:26" x14ac:dyDescent="0.25">
      <c r="O3144" s="43"/>
      <c r="P3144" s="43"/>
      <c r="Q3144" s="43"/>
      <c r="R3144" s="43"/>
      <c r="S3144" s="43"/>
      <c r="T3144" s="43"/>
      <c r="U3144" s="43"/>
      <c r="V3144" s="43"/>
      <c r="W3144" s="43"/>
      <c r="X3144" s="43"/>
      <c r="Y3144" s="43"/>
      <c r="Z3144" s="43"/>
    </row>
    <row r="3145" spans="15:26" x14ac:dyDescent="0.25">
      <c r="O3145" s="43"/>
      <c r="P3145" s="43"/>
      <c r="Q3145" s="43"/>
      <c r="R3145" s="43"/>
      <c r="S3145" s="43"/>
      <c r="T3145" s="43"/>
      <c r="U3145" s="43"/>
      <c r="V3145" s="43"/>
      <c r="W3145" s="43"/>
      <c r="X3145" s="43"/>
      <c r="Y3145" s="43"/>
      <c r="Z3145" s="43"/>
    </row>
    <row r="3146" spans="15:26" x14ac:dyDescent="0.25">
      <c r="O3146" s="43"/>
      <c r="P3146" s="43"/>
      <c r="Q3146" s="43"/>
      <c r="R3146" s="43"/>
      <c r="S3146" s="43"/>
      <c r="T3146" s="43"/>
      <c r="U3146" s="43"/>
      <c r="V3146" s="43"/>
      <c r="W3146" s="43"/>
      <c r="X3146" s="43"/>
      <c r="Y3146" s="43"/>
      <c r="Z3146" s="43"/>
    </row>
    <row r="3147" spans="15:26" x14ac:dyDescent="0.25">
      <c r="O3147" s="43"/>
      <c r="P3147" s="43"/>
      <c r="Q3147" s="43"/>
      <c r="R3147" s="43"/>
      <c r="S3147" s="43"/>
      <c r="T3147" s="43"/>
      <c r="U3147" s="43"/>
      <c r="V3147" s="43"/>
      <c r="W3147" s="43"/>
      <c r="X3147" s="43"/>
      <c r="Y3147" s="43"/>
      <c r="Z3147" s="43"/>
    </row>
    <row r="3148" spans="15:26" x14ac:dyDescent="0.25">
      <c r="O3148" s="43"/>
      <c r="P3148" s="43"/>
      <c r="Q3148" s="43"/>
      <c r="R3148" s="43"/>
      <c r="S3148" s="43"/>
      <c r="T3148" s="43"/>
      <c r="U3148" s="43"/>
      <c r="V3148" s="43"/>
      <c r="W3148" s="43"/>
      <c r="X3148" s="43"/>
      <c r="Y3148" s="43"/>
      <c r="Z3148" s="43"/>
    </row>
    <row r="3149" spans="15:26" x14ac:dyDescent="0.25">
      <c r="O3149" s="43"/>
      <c r="P3149" s="43"/>
      <c r="Q3149" s="43"/>
      <c r="R3149" s="43"/>
      <c r="S3149" s="43"/>
      <c r="T3149" s="43"/>
      <c r="U3149" s="43"/>
      <c r="V3149" s="43"/>
      <c r="W3149" s="43"/>
      <c r="X3149" s="43"/>
      <c r="Y3149" s="43"/>
      <c r="Z3149" s="43"/>
    </row>
    <row r="3150" spans="15:26" x14ac:dyDescent="0.25">
      <c r="O3150" s="43"/>
      <c r="P3150" s="43"/>
      <c r="Q3150" s="43"/>
      <c r="R3150" s="43"/>
      <c r="S3150" s="43"/>
      <c r="T3150" s="43"/>
      <c r="U3150" s="43"/>
      <c r="V3150" s="43"/>
      <c r="W3150" s="43"/>
      <c r="X3150" s="43"/>
      <c r="Y3150" s="43"/>
      <c r="Z3150" s="43"/>
    </row>
    <row r="3151" spans="15:26" x14ac:dyDescent="0.25">
      <c r="O3151" s="43"/>
      <c r="P3151" s="43"/>
      <c r="Q3151" s="43"/>
      <c r="R3151" s="43"/>
      <c r="S3151" s="43"/>
      <c r="T3151" s="43"/>
      <c r="U3151" s="43"/>
      <c r="V3151" s="43"/>
      <c r="W3151" s="43"/>
      <c r="X3151" s="43"/>
      <c r="Y3151" s="43"/>
      <c r="Z3151" s="43"/>
    </row>
    <row r="3152" spans="15:26" x14ac:dyDescent="0.25">
      <c r="O3152" s="43"/>
      <c r="P3152" s="43"/>
      <c r="Q3152" s="43"/>
      <c r="R3152" s="43"/>
      <c r="S3152" s="43"/>
      <c r="T3152" s="43"/>
      <c r="U3152" s="43"/>
      <c r="V3152" s="43"/>
      <c r="W3152" s="43"/>
      <c r="X3152" s="43"/>
      <c r="Y3152" s="43"/>
      <c r="Z3152" s="43"/>
    </row>
    <row r="3153" spans="15:26" x14ac:dyDescent="0.25">
      <c r="O3153" s="43"/>
      <c r="P3153" s="43"/>
      <c r="Q3153" s="43"/>
      <c r="R3153" s="43"/>
      <c r="S3153" s="43"/>
      <c r="T3153" s="43"/>
      <c r="U3153" s="43"/>
      <c r="V3153" s="43"/>
      <c r="W3153" s="43"/>
      <c r="X3153" s="43"/>
      <c r="Y3153" s="43"/>
      <c r="Z3153" s="43"/>
    </row>
    <row r="3154" spans="15:26" x14ac:dyDescent="0.25">
      <c r="O3154" s="43"/>
      <c r="P3154" s="43"/>
      <c r="Q3154" s="43"/>
      <c r="R3154" s="43"/>
      <c r="S3154" s="43"/>
      <c r="T3154" s="43"/>
      <c r="U3154" s="43"/>
      <c r="V3154" s="43"/>
      <c r="W3154" s="43"/>
      <c r="X3154" s="43"/>
      <c r="Y3154" s="43"/>
      <c r="Z3154" s="43"/>
    </row>
    <row r="3155" spans="15:26" x14ac:dyDescent="0.25">
      <c r="O3155" s="43"/>
      <c r="P3155" s="43"/>
      <c r="Q3155" s="43"/>
      <c r="R3155" s="43"/>
      <c r="S3155" s="43"/>
      <c r="T3155" s="43"/>
      <c r="U3155" s="43"/>
      <c r="V3155" s="43"/>
      <c r="W3155" s="43"/>
      <c r="X3155" s="43"/>
      <c r="Y3155" s="43"/>
      <c r="Z3155" s="43"/>
    </row>
    <row r="3156" spans="15:26" x14ac:dyDescent="0.25">
      <c r="O3156" s="43"/>
      <c r="P3156" s="43"/>
      <c r="Q3156" s="43"/>
      <c r="R3156" s="43"/>
      <c r="S3156" s="43"/>
      <c r="T3156" s="43"/>
      <c r="U3156" s="43"/>
      <c r="V3156" s="43"/>
      <c r="W3156" s="43"/>
      <c r="X3156" s="43"/>
      <c r="Y3156" s="43"/>
      <c r="Z3156" s="43"/>
    </row>
    <row r="3157" spans="15:26" x14ac:dyDescent="0.25">
      <c r="O3157" s="43"/>
      <c r="P3157" s="43"/>
      <c r="Q3157" s="43"/>
      <c r="R3157" s="43"/>
      <c r="S3157" s="43"/>
      <c r="T3157" s="43"/>
      <c r="U3157" s="43"/>
      <c r="V3157" s="43"/>
      <c r="W3157" s="43"/>
      <c r="X3157" s="43"/>
      <c r="Y3157" s="43"/>
      <c r="Z3157" s="43"/>
    </row>
    <row r="3158" spans="15:26" x14ac:dyDescent="0.25">
      <c r="O3158" s="43"/>
      <c r="P3158" s="43"/>
      <c r="Q3158" s="43"/>
      <c r="R3158" s="43"/>
      <c r="S3158" s="43"/>
      <c r="T3158" s="43"/>
      <c r="U3158" s="43"/>
      <c r="V3158" s="43"/>
      <c r="W3158" s="43"/>
      <c r="X3158" s="43"/>
      <c r="Y3158" s="43"/>
      <c r="Z3158" s="43"/>
    </row>
    <row r="3159" spans="15:26" x14ac:dyDescent="0.25">
      <c r="O3159" s="43"/>
      <c r="P3159" s="43"/>
      <c r="Q3159" s="43"/>
      <c r="R3159" s="43"/>
      <c r="S3159" s="43"/>
      <c r="T3159" s="43"/>
      <c r="U3159" s="43"/>
      <c r="V3159" s="43"/>
      <c r="W3159" s="43"/>
      <c r="X3159" s="43"/>
      <c r="Y3159" s="43"/>
      <c r="Z3159" s="43"/>
    </row>
    <row r="3160" spans="15:26" x14ac:dyDescent="0.25">
      <c r="O3160" s="43"/>
      <c r="P3160" s="43"/>
      <c r="Q3160" s="43"/>
      <c r="R3160" s="43"/>
      <c r="S3160" s="43"/>
      <c r="T3160" s="43"/>
      <c r="U3160" s="43"/>
      <c r="V3160" s="43"/>
      <c r="W3160" s="43"/>
      <c r="X3160" s="43"/>
      <c r="Y3160" s="43"/>
      <c r="Z3160" s="43"/>
    </row>
    <row r="3161" spans="15:26" x14ac:dyDescent="0.25">
      <c r="O3161" s="43"/>
      <c r="P3161" s="43"/>
      <c r="Q3161" s="43"/>
      <c r="R3161" s="43"/>
      <c r="S3161" s="43"/>
      <c r="T3161" s="43"/>
      <c r="U3161" s="43"/>
      <c r="V3161" s="43"/>
      <c r="W3161" s="43"/>
      <c r="X3161" s="43"/>
      <c r="Y3161" s="43"/>
      <c r="Z3161" s="43"/>
    </row>
    <row r="3162" spans="15:26" x14ac:dyDescent="0.25">
      <c r="O3162" s="43"/>
      <c r="P3162" s="43"/>
      <c r="Q3162" s="43"/>
      <c r="R3162" s="43"/>
      <c r="S3162" s="43"/>
      <c r="T3162" s="43"/>
      <c r="U3162" s="43"/>
      <c r="V3162" s="43"/>
      <c r="W3162" s="43"/>
      <c r="X3162" s="43"/>
      <c r="Y3162" s="43"/>
      <c r="Z3162" s="43"/>
    </row>
    <row r="3163" spans="15:26" x14ac:dyDescent="0.25">
      <c r="O3163" s="43"/>
      <c r="P3163" s="43"/>
      <c r="Q3163" s="43"/>
      <c r="R3163" s="43"/>
      <c r="S3163" s="43"/>
      <c r="T3163" s="43"/>
      <c r="U3163" s="43"/>
      <c r="V3163" s="43"/>
      <c r="W3163" s="43"/>
      <c r="X3163" s="43"/>
      <c r="Y3163" s="43"/>
      <c r="Z3163" s="43"/>
    </row>
    <row r="3164" spans="15:26" x14ac:dyDescent="0.25">
      <c r="O3164" s="43"/>
      <c r="P3164" s="43"/>
      <c r="Q3164" s="43"/>
      <c r="R3164" s="43"/>
      <c r="S3164" s="43"/>
      <c r="T3164" s="43"/>
      <c r="U3164" s="43"/>
      <c r="V3164" s="43"/>
      <c r="W3164" s="43"/>
      <c r="X3164" s="43"/>
      <c r="Y3164" s="43"/>
      <c r="Z3164" s="43"/>
    </row>
    <row r="3165" spans="15:26" x14ac:dyDescent="0.25">
      <c r="O3165" s="43"/>
      <c r="P3165" s="43"/>
      <c r="Q3165" s="43"/>
      <c r="R3165" s="43"/>
      <c r="S3165" s="43"/>
      <c r="T3165" s="43"/>
      <c r="U3165" s="43"/>
      <c r="V3165" s="43"/>
      <c r="W3165" s="43"/>
      <c r="X3165" s="43"/>
      <c r="Y3165" s="43"/>
      <c r="Z3165" s="43"/>
    </row>
    <row r="3166" spans="15:26" x14ac:dyDescent="0.25">
      <c r="O3166" s="43"/>
      <c r="P3166" s="43"/>
      <c r="Q3166" s="43"/>
      <c r="R3166" s="43"/>
      <c r="S3166" s="43"/>
      <c r="T3166" s="43"/>
      <c r="U3166" s="43"/>
      <c r="V3166" s="43"/>
      <c r="W3166" s="43"/>
      <c r="X3166" s="43"/>
      <c r="Y3166" s="43"/>
      <c r="Z3166" s="43"/>
    </row>
    <row r="3167" spans="15:26" x14ac:dyDescent="0.25">
      <c r="O3167" s="43"/>
      <c r="P3167" s="43"/>
      <c r="Q3167" s="43"/>
      <c r="R3167" s="43"/>
      <c r="S3167" s="43"/>
      <c r="T3167" s="43"/>
      <c r="U3167" s="43"/>
      <c r="V3167" s="43"/>
      <c r="W3167" s="43"/>
      <c r="X3167" s="43"/>
      <c r="Y3167" s="43"/>
      <c r="Z3167" s="43"/>
    </row>
    <row r="3168" spans="15:26" x14ac:dyDescent="0.25">
      <c r="O3168" s="43"/>
      <c r="P3168" s="43"/>
      <c r="Q3168" s="43"/>
      <c r="R3168" s="43"/>
      <c r="S3168" s="43"/>
      <c r="T3168" s="43"/>
      <c r="U3168" s="43"/>
      <c r="V3168" s="43"/>
      <c r="W3168" s="43"/>
      <c r="X3168" s="43"/>
      <c r="Y3168" s="43"/>
      <c r="Z3168" s="43"/>
    </row>
    <row r="3169" spans="15:26" x14ac:dyDescent="0.25">
      <c r="O3169" s="43"/>
      <c r="P3169" s="43"/>
      <c r="Q3169" s="43"/>
      <c r="R3169" s="43"/>
      <c r="S3169" s="43"/>
      <c r="T3169" s="43"/>
      <c r="U3169" s="43"/>
      <c r="V3169" s="43"/>
      <c r="W3169" s="43"/>
      <c r="X3169" s="43"/>
      <c r="Y3169" s="43"/>
      <c r="Z3169" s="43"/>
    </row>
    <row r="3170" spans="15:26" x14ac:dyDescent="0.25">
      <c r="O3170" s="43"/>
      <c r="P3170" s="43"/>
      <c r="Q3170" s="43"/>
      <c r="R3170" s="43"/>
      <c r="S3170" s="43"/>
      <c r="T3170" s="43"/>
      <c r="U3170" s="43"/>
      <c r="V3170" s="43"/>
      <c r="W3170" s="43"/>
      <c r="X3170" s="43"/>
      <c r="Y3170" s="43"/>
      <c r="Z3170" s="43"/>
    </row>
    <row r="3171" spans="15:26" x14ac:dyDescent="0.25">
      <c r="O3171" s="43"/>
      <c r="P3171" s="43"/>
      <c r="Q3171" s="43"/>
      <c r="R3171" s="43"/>
      <c r="S3171" s="43"/>
      <c r="T3171" s="43"/>
      <c r="U3171" s="43"/>
      <c r="V3171" s="43"/>
      <c r="W3171" s="43"/>
      <c r="X3171" s="43"/>
      <c r="Y3171" s="43"/>
      <c r="Z3171" s="43"/>
    </row>
    <row r="3172" spans="15:26" x14ac:dyDescent="0.25">
      <c r="O3172" s="43"/>
      <c r="P3172" s="43"/>
      <c r="Q3172" s="43"/>
      <c r="R3172" s="43"/>
      <c r="S3172" s="43"/>
      <c r="T3172" s="43"/>
      <c r="U3172" s="43"/>
      <c r="V3172" s="43"/>
      <c r="W3172" s="43"/>
      <c r="X3172" s="43"/>
      <c r="Y3172" s="43"/>
      <c r="Z3172" s="43"/>
    </row>
    <row r="3173" spans="15:26" x14ac:dyDescent="0.25">
      <c r="O3173" s="43"/>
      <c r="P3173" s="43"/>
      <c r="Q3173" s="43"/>
      <c r="R3173" s="43"/>
      <c r="S3173" s="43"/>
      <c r="T3173" s="43"/>
      <c r="U3173" s="43"/>
      <c r="V3173" s="43"/>
      <c r="W3173" s="43"/>
      <c r="X3173" s="43"/>
      <c r="Y3173" s="43"/>
      <c r="Z3173" s="43"/>
    </row>
    <row r="3174" spans="15:26" x14ac:dyDescent="0.25">
      <c r="O3174" s="43"/>
      <c r="P3174" s="43"/>
      <c r="Q3174" s="43"/>
      <c r="R3174" s="43"/>
      <c r="S3174" s="43"/>
      <c r="T3174" s="43"/>
      <c r="U3174" s="43"/>
      <c r="V3174" s="43"/>
      <c r="W3174" s="43"/>
      <c r="X3174" s="43"/>
      <c r="Y3174" s="43"/>
      <c r="Z3174" s="43"/>
    </row>
    <row r="3175" spans="15:26" x14ac:dyDescent="0.25">
      <c r="O3175" s="43"/>
      <c r="P3175" s="43"/>
      <c r="Q3175" s="43"/>
      <c r="R3175" s="43"/>
      <c r="S3175" s="43"/>
      <c r="T3175" s="43"/>
      <c r="U3175" s="43"/>
      <c r="V3175" s="43"/>
      <c r="W3175" s="43"/>
      <c r="X3175" s="43"/>
      <c r="Y3175" s="43"/>
      <c r="Z3175" s="43"/>
    </row>
    <row r="3176" spans="15:26" x14ac:dyDescent="0.25">
      <c r="O3176" s="43"/>
      <c r="P3176" s="43"/>
      <c r="Q3176" s="43"/>
      <c r="R3176" s="43"/>
      <c r="S3176" s="43"/>
      <c r="T3176" s="43"/>
      <c r="U3176" s="43"/>
      <c r="V3176" s="43"/>
      <c r="W3176" s="43"/>
      <c r="X3176" s="43"/>
      <c r="Y3176" s="43"/>
      <c r="Z3176" s="43"/>
    </row>
    <row r="3177" spans="15:26" x14ac:dyDescent="0.25">
      <c r="O3177" s="43"/>
      <c r="P3177" s="43"/>
      <c r="Q3177" s="43"/>
      <c r="R3177" s="43"/>
      <c r="S3177" s="43"/>
      <c r="T3177" s="43"/>
      <c r="U3177" s="43"/>
      <c r="V3177" s="43"/>
      <c r="W3177" s="43"/>
      <c r="X3177" s="43"/>
      <c r="Y3177" s="43"/>
      <c r="Z3177" s="43"/>
    </row>
    <row r="3178" spans="15:26" x14ac:dyDescent="0.25">
      <c r="O3178" s="43"/>
      <c r="P3178" s="43"/>
      <c r="Q3178" s="43"/>
      <c r="R3178" s="43"/>
      <c r="S3178" s="43"/>
      <c r="T3178" s="43"/>
      <c r="U3178" s="43"/>
      <c r="V3178" s="43"/>
      <c r="W3178" s="43"/>
      <c r="X3178" s="43"/>
      <c r="Y3178" s="43"/>
      <c r="Z3178" s="43"/>
    </row>
    <row r="3179" spans="15:26" x14ac:dyDescent="0.25">
      <c r="O3179" s="43"/>
      <c r="P3179" s="43"/>
      <c r="Q3179" s="43"/>
      <c r="R3179" s="43"/>
      <c r="S3179" s="43"/>
      <c r="T3179" s="43"/>
      <c r="U3179" s="43"/>
      <c r="V3179" s="43"/>
      <c r="W3179" s="43"/>
      <c r="X3179" s="43"/>
      <c r="Y3179" s="43"/>
      <c r="Z3179" s="43"/>
    </row>
    <row r="3180" spans="15:26" x14ac:dyDescent="0.25">
      <c r="O3180" s="43"/>
      <c r="P3180" s="43"/>
      <c r="Q3180" s="43"/>
      <c r="R3180" s="43"/>
      <c r="S3180" s="43"/>
      <c r="T3180" s="43"/>
      <c r="U3180" s="43"/>
      <c r="V3180" s="43"/>
      <c r="W3180" s="43"/>
      <c r="X3180" s="43"/>
      <c r="Y3180" s="43"/>
      <c r="Z3180" s="43"/>
    </row>
    <row r="3181" spans="15:26" x14ac:dyDescent="0.25">
      <c r="O3181" s="43"/>
      <c r="P3181" s="43"/>
      <c r="Q3181" s="43"/>
      <c r="R3181" s="43"/>
      <c r="S3181" s="43"/>
      <c r="T3181" s="43"/>
      <c r="U3181" s="43"/>
      <c r="V3181" s="43"/>
      <c r="W3181" s="43"/>
      <c r="X3181" s="43"/>
      <c r="Y3181" s="43"/>
      <c r="Z3181" s="43"/>
    </row>
    <row r="3182" spans="15:26" x14ac:dyDescent="0.25">
      <c r="O3182" s="43"/>
      <c r="P3182" s="43"/>
      <c r="Q3182" s="43"/>
      <c r="R3182" s="43"/>
      <c r="S3182" s="43"/>
      <c r="T3182" s="43"/>
      <c r="U3182" s="43"/>
      <c r="V3182" s="43"/>
      <c r="W3182" s="43"/>
      <c r="X3182" s="43"/>
      <c r="Y3182" s="43"/>
      <c r="Z3182" s="43"/>
    </row>
    <row r="3183" spans="15:26" x14ac:dyDescent="0.25">
      <c r="O3183" s="43"/>
      <c r="P3183" s="43"/>
      <c r="Q3183" s="43"/>
      <c r="R3183" s="43"/>
      <c r="S3183" s="43"/>
      <c r="T3183" s="43"/>
      <c r="U3183" s="43"/>
      <c r="V3183" s="43"/>
      <c r="W3183" s="43"/>
      <c r="X3183" s="43"/>
      <c r="Y3183" s="43"/>
      <c r="Z3183" s="43"/>
    </row>
    <row r="3184" spans="15:26" x14ac:dyDescent="0.25">
      <c r="O3184" s="43"/>
      <c r="P3184" s="43"/>
      <c r="Q3184" s="43"/>
      <c r="R3184" s="43"/>
      <c r="S3184" s="43"/>
      <c r="T3184" s="43"/>
      <c r="U3184" s="43"/>
      <c r="V3184" s="43"/>
      <c r="W3184" s="43"/>
      <c r="X3184" s="43"/>
      <c r="Y3184" s="43"/>
      <c r="Z3184" s="43"/>
    </row>
    <row r="3185" spans="15:26" x14ac:dyDescent="0.25">
      <c r="O3185" s="43"/>
      <c r="P3185" s="43"/>
      <c r="Q3185" s="43"/>
      <c r="R3185" s="43"/>
      <c r="S3185" s="43"/>
      <c r="T3185" s="43"/>
      <c r="U3185" s="43"/>
      <c r="V3185" s="43"/>
      <c r="W3185" s="43"/>
      <c r="X3185" s="43"/>
      <c r="Y3185" s="43"/>
      <c r="Z3185" s="43"/>
    </row>
    <row r="3186" spans="15:26" x14ac:dyDescent="0.25">
      <c r="O3186" s="43"/>
      <c r="P3186" s="43"/>
      <c r="Q3186" s="43"/>
      <c r="R3186" s="43"/>
      <c r="S3186" s="43"/>
      <c r="T3186" s="43"/>
      <c r="U3186" s="43"/>
      <c r="V3186" s="43"/>
      <c r="W3186" s="43"/>
      <c r="X3186" s="43"/>
      <c r="Y3186" s="43"/>
      <c r="Z3186" s="43"/>
    </row>
    <row r="3187" spans="15:26" x14ac:dyDescent="0.25">
      <c r="O3187" s="43"/>
      <c r="P3187" s="43"/>
      <c r="Q3187" s="43"/>
      <c r="R3187" s="43"/>
      <c r="S3187" s="43"/>
      <c r="T3187" s="43"/>
      <c r="U3187" s="43"/>
      <c r="V3187" s="43"/>
      <c r="W3187" s="43"/>
      <c r="X3187" s="43"/>
      <c r="Y3187" s="43"/>
      <c r="Z3187" s="43"/>
    </row>
    <row r="3188" spans="15:26" x14ac:dyDescent="0.25">
      <c r="O3188" s="43"/>
      <c r="P3188" s="43"/>
      <c r="Q3188" s="43"/>
      <c r="R3188" s="43"/>
      <c r="S3188" s="43"/>
      <c r="T3188" s="43"/>
      <c r="U3188" s="43"/>
      <c r="V3188" s="43"/>
      <c r="W3188" s="43"/>
      <c r="X3188" s="43"/>
      <c r="Y3188" s="43"/>
      <c r="Z3188" s="43"/>
    </row>
    <row r="3189" spans="15:26" x14ac:dyDescent="0.25">
      <c r="O3189" s="43"/>
      <c r="P3189" s="43"/>
      <c r="Q3189" s="43"/>
      <c r="R3189" s="43"/>
      <c r="S3189" s="43"/>
      <c r="T3189" s="43"/>
      <c r="U3189" s="43"/>
      <c r="V3189" s="43"/>
      <c r="W3189" s="43"/>
      <c r="X3189" s="43"/>
      <c r="Y3189" s="43"/>
      <c r="Z3189" s="43"/>
    </row>
    <row r="3190" spans="15:26" x14ac:dyDescent="0.25">
      <c r="O3190" s="43"/>
      <c r="P3190" s="43"/>
      <c r="Q3190" s="43"/>
      <c r="R3190" s="43"/>
      <c r="S3190" s="43"/>
      <c r="T3190" s="43"/>
      <c r="U3190" s="43"/>
      <c r="V3190" s="43"/>
      <c r="W3190" s="43"/>
      <c r="X3190" s="43"/>
      <c r="Y3190" s="43"/>
      <c r="Z3190" s="43"/>
    </row>
    <row r="3191" spans="15:26" x14ac:dyDescent="0.25">
      <c r="O3191" s="43"/>
      <c r="P3191" s="43"/>
      <c r="Q3191" s="43"/>
      <c r="R3191" s="43"/>
      <c r="S3191" s="43"/>
      <c r="T3191" s="43"/>
      <c r="U3191" s="43"/>
      <c r="V3191" s="43"/>
      <c r="W3191" s="43"/>
      <c r="X3191" s="43"/>
      <c r="Y3191" s="43"/>
      <c r="Z3191" s="43"/>
    </row>
    <row r="3192" spans="15:26" x14ac:dyDescent="0.25">
      <c r="O3192" s="43"/>
      <c r="P3192" s="43"/>
      <c r="Q3192" s="43"/>
      <c r="R3192" s="43"/>
      <c r="S3192" s="43"/>
      <c r="T3192" s="43"/>
      <c r="U3192" s="43"/>
      <c r="V3192" s="43"/>
      <c r="W3192" s="43"/>
      <c r="X3192" s="43"/>
      <c r="Y3192" s="43"/>
      <c r="Z3192" s="43"/>
    </row>
    <row r="3193" spans="15:26" x14ac:dyDescent="0.25">
      <c r="O3193" s="43"/>
      <c r="P3193" s="43"/>
      <c r="Q3193" s="43"/>
      <c r="R3193" s="43"/>
      <c r="S3193" s="43"/>
      <c r="T3193" s="43"/>
      <c r="U3193" s="43"/>
      <c r="V3193" s="43"/>
      <c r="W3193" s="43"/>
      <c r="X3193" s="43"/>
      <c r="Y3193" s="43"/>
      <c r="Z3193" s="43"/>
    </row>
    <row r="3194" spans="15:26" x14ac:dyDescent="0.25">
      <c r="O3194" s="43"/>
      <c r="P3194" s="43"/>
      <c r="Q3194" s="43"/>
      <c r="R3194" s="43"/>
      <c r="S3194" s="43"/>
      <c r="T3194" s="43"/>
      <c r="U3194" s="43"/>
      <c r="V3194" s="43"/>
      <c r="W3194" s="43"/>
      <c r="X3194" s="43"/>
      <c r="Y3194" s="43"/>
      <c r="Z3194" s="43"/>
    </row>
    <row r="3195" spans="15:26" x14ac:dyDescent="0.25">
      <c r="O3195" s="43"/>
      <c r="P3195" s="43"/>
      <c r="Q3195" s="43"/>
      <c r="R3195" s="43"/>
      <c r="S3195" s="43"/>
      <c r="T3195" s="43"/>
      <c r="U3195" s="43"/>
      <c r="V3195" s="43"/>
      <c r="W3195" s="43"/>
      <c r="X3195" s="43"/>
      <c r="Y3195" s="43"/>
      <c r="Z3195" s="43"/>
    </row>
    <row r="3196" spans="15:26" x14ac:dyDescent="0.25">
      <c r="O3196" s="43"/>
      <c r="P3196" s="43"/>
      <c r="Q3196" s="43"/>
      <c r="R3196" s="43"/>
      <c r="S3196" s="43"/>
      <c r="T3196" s="43"/>
      <c r="U3196" s="43"/>
      <c r="V3196" s="43"/>
      <c r="W3196" s="43"/>
      <c r="X3196" s="43"/>
      <c r="Y3196" s="43"/>
      <c r="Z3196" s="43"/>
    </row>
    <row r="3197" spans="15:26" x14ac:dyDescent="0.25">
      <c r="O3197" s="43"/>
      <c r="P3197" s="43"/>
      <c r="Q3197" s="43"/>
      <c r="R3197" s="43"/>
      <c r="S3197" s="43"/>
      <c r="T3197" s="43"/>
      <c r="U3197" s="43"/>
      <c r="V3197" s="43"/>
      <c r="W3197" s="43"/>
      <c r="X3197" s="43"/>
      <c r="Y3197" s="43"/>
      <c r="Z3197" s="43"/>
    </row>
    <row r="3198" spans="15:26" x14ac:dyDescent="0.25">
      <c r="O3198" s="43"/>
      <c r="P3198" s="43"/>
      <c r="Q3198" s="43"/>
      <c r="R3198" s="43"/>
      <c r="S3198" s="43"/>
      <c r="T3198" s="43"/>
      <c r="U3198" s="43"/>
      <c r="V3198" s="43"/>
      <c r="W3198" s="43"/>
      <c r="X3198" s="43"/>
      <c r="Y3198" s="43"/>
      <c r="Z3198" s="43"/>
    </row>
    <row r="3199" spans="15:26" x14ac:dyDescent="0.25">
      <c r="O3199" s="43"/>
      <c r="P3199" s="43"/>
      <c r="Q3199" s="43"/>
      <c r="R3199" s="43"/>
      <c r="S3199" s="43"/>
      <c r="T3199" s="43"/>
      <c r="U3199" s="43"/>
      <c r="V3199" s="43"/>
      <c r="W3199" s="43"/>
      <c r="X3199" s="43"/>
      <c r="Y3199" s="43"/>
      <c r="Z3199" s="43"/>
    </row>
    <row r="3200" spans="15:26" x14ac:dyDescent="0.25">
      <c r="O3200" s="43"/>
      <c r="P3200" s="43"/>
      <c r="Q3200" s="43"/>
      <c r="R3200" s="43"/>
      <c r="S3200" s="43"/>
      <c r="T3200" s="43"/>
      <c r="U3200" s="43"/>
      <c r="V3200" s="43"/>
      <c r="W3200" s="43"/>
      <c r="X3200" s="43"/>
      <c r="Y3200" s="43"/>
      <c r="Z3200" s="43"/>
    </row>
    <row r="3201" spans="15:26" x14ac:dyDescent="0.25">
      <c r="O3201" s="43"/>
      <c r="P3201" s="43"/>
      <c r="Q3201" s="43"/>
      <c r="R3201" s="43"/>
      <c r="S3201" s="43"/>
      <c r="T3201" s="43"/>
      <c r="U3201" s="43"/>
      <c r="V3201" s="43"/>
      <c r="W3201" s="43"/>
      <c r="X3201" s="43"/>
      <c r="Y3201" s="43"/>
      <c r="Z3201" s="43"/>
    </row>
    <row r="3202" spans="15:26" x14ac:dyDescent="0.25">
      <c r="O3202" s="43"/>
      <c r="P3202" s="43"/>
      <c r="Q3202" s="43"/>
      <c r="R3202" s="43"/>
      <c r="S3202" s="43"/>
      <c r="T3202" s="43"/>
      <c r="U3202" s="43"/>
      <c r="V3202" s="43"/>
      <c r="W3202" s="43"/>
      <c r="X3202" s="43"/>
      <c r="Y3202" s="43"/>
      <c r="Z3202" s="43"/>
    </row>
    <row r="3203" spans="15:26" x14ac:dyDescent="0.25">
      <c r="O3203" s="43"/>
      <c r="P3203" s="43"/>
      <c r="Q3203" s="43"/>
      <c r="R3203" s="43"/>
      <c r="S3203" s="43"/>
      <c r="T3203" s="43"/>
      <c r="U3203" s="43"/>
      <c r="V3203" s="43"/>
      <c r="W3203" s="43"/>
      <c r="X3203" s="43"/>
      <c r="Y3203" s="43"/>
      <c r="Z3203" s="43"/>
    </row>
    <row r="3204" spans="15:26" x14ac:dyDescent="0.25">
      <c r="O3204" s="43"/>
      <c r="P3204" s="43"/>
      <c r="Q3204" s="43"/>
      <c r="R3204" s="43"/>
      <c r="S3204" s="43"/>
      <c r="T3204" s="43"/>
      <c r="U3204" s="43"/>
      <c r="V3204" s="43"/>
      <c r="W3204" s="43"/>
      <c r="X3204" s="43"/>
      <c r="Y3204" s="43"/>
      <c r="Z3204" s="43"/>
    </row>
    <row r="3205" spans="15:26" x14ac:dyDescent="0.25">
      <c r="O3205" s="43"/>
      <c r="P3205" s="43"/>
      <c r="Q3205" s="43"/>
      <c r="R3205" s="43"/>
      <c r="S3205" s="43"/>
      <c r="T3205" s="43"/>
      <c r="U3205" s="43"/>
      <c r="V3205" s="43"/>
      <c r="W3205" s="43"/>
      <c r="X3205" s="43"/>
      <c r="Y3205" s="43"/>
      <c r="Z3205" s="43"/>
    </row>
    <row r="3206" spans="15:26" x14ac:dyDescent="0.25">
      <c r="O3206" s="43"/>
      <c r="P3206" s="43"/>
      <c r="Q3206" s="43"/>
      <c r="R3206" s="43"/>
      <c r="S3206" s="43"/>
      <c r="T3206" s="43"/>
      <c r="U3206" s="43"/>
      <c r="V3206" s="43"/>
      <c r="W3206" s="43"/>
      <c r="X3206" s="43"/>
      <c r="Y3206" s="43"/>
      <c r="Z3206" s="43"/>
    </row>
    <row r="3207" spans="15:26" x14ac:dyDescent="0.25">
      <c r="O3207" s="43"/>
      <c r="P3207" s="43"/>
      <c r="Q3207" s="43"/>
      <c r="R3207" s="43"/>
      <c r="S3207" s="43"/>
      <c r="T3207" s="43"/>
      <c r="U3207" s="43"/>
      <c r="V3207" s="43"/>
      <c r="W3207" s="43"/>
      <c r="X3207" s="43"/>
      <c r="Y3207" s="43"/>
      <c r="Z3207" s="43"/>
    </row>
    <row r="3208" spans="15:26" x14ac:dyDescent="0.25">
      <c r="O3208" s="43"/>
      <c r="P3208" s="43"/>
      <c r="Q3208" s="43"/>
      <c r="R3208" s="43"/>
      <c r="S3208" s="43"/>
      <c r="T3208" s="43"/>
      <c r="U3208" s="43"/>
      <c r="V3208" s="43"/>
      <c r="W3208" s="43"/>
      <c r="X3208" s="43"/>
      <c r="Y3208" s="43"/>
      <c r="Z3208" s="43"/>
    </row>
    <row r="3209" spans="15:26" x14ac:dyDescent="0.25">
      <c r="O3209" s="43"/>
      <c r="P3209" s="43"/>
      <c r="Q3209" s="43"/>
      <c r="R3209" s="43"/>
      <c r="S3209" s="43"/>
      <c r="T3209" s="43"/>
      <c r="U3209" s="43"/>
      <c r="V3209" s="43"/>
      <c r="W3209" s="43"/>
      <c r="X3209" s="43"/>
      <c r="Y3209" s="43"/>
      <c r="Z3209" s="43"/>
    </row>
    <row r="3210" spans="15:26" x14ac:dyDescent="0.25">
      <c r="O3210" s="43"/>
      <c r="P3210" s="43"/>
      <c r="Q3210" s="43"/>
      <c r="R3210" s="43"/>
      <c r="S3210" s="43"/>
      <c r="T3210" s="43"/>
      <c r="U3210" s="43"/>
      <c r="V3210" s="43"/>
      <c r="W3210" s="43"/>
      <c r="X3210" s="43"/>
      <c r="Y3210" s="43"/>
      <c r="Z3210" s="43"/>
    </row>
    <row r="3211" spans="15:26" x14ac:dyDescent="0.25">
      <c r="O3211" s="43"/>
      <c r="P3211" s="43"/>
      <c r="Q3211" s="43"/>
      <c r="R3211" s="43"/>
      <c r="S3211" s="43"/>
      <c r="T3211" s="43"/>
      <c r="U3211" s="43"/>
      <c r="V3211" s="43"/>
      <c r="W3211" s="43"/>
      <c r="X3211" s="43"/>
      <c r="Y3211" s="43"/>
      <c r="Z3211" s="43"/>
    </row>
    <row r="3212" spans="15:26" x14ac:dyDescent="0.25">
      <c r="O3212" s="43"/>
      <c r="P3212" s="43"/>
      <c r="Q3212" s="43"/>
      <c r="R3212" s="43"/>
      <c r="S3212" s="43"/>
      <c r="T3212" s="43"/>
      <c r="U3212" s="43"/>
      <c r="V3212" s="43"/>
      <c r="W3212" s="43"/>
      <c r="X3212" s="43"/>
      <c r="Y3212" s="43"/>
      <c r="Z3212" s="43"/>
    </row>
    <row r="3213" spans="15:26" x14ac:dyDescent="0.25">
      <c r="O3213" s="43"/>
      <c r="P3213" s="43"/>
      <c r="Q3213" s="43"/>
      <c r="R3213" s="43"/>
      <c r="S3213" s="43"/>
      <c r="T3213" s="43"/>
      <c r="U3213" s="43"/>
      <c r="V3213" s="43"/>
      <c r="W3213" s="43"/>
      <c r="X3213" s="43"/>
      <c r="Y3213" s="43"/>
      <c r="Z3213" s="43"/>
    </row>
    <row r="3214" spans="15:26" x14ac:dyDescent="0.25">
      <c r="O3214" s="43"/>
      <c r="P3214" s="43"/>
      <c r="Q3214" s="43"/>
      <c r="R3214" s="43"/>
      <c r="S3214" s="43"/>
      <c r="T3214" s="43"/>
      <c r="U3214" s="43"/>
      <c r="V3214" s="43"/>
      <c r="W3214" s="43"/>
      <c r="X3214" s="43"/>
      <c r="Y3214" s="43"/>
      <c r="Z3214" s="43"/>
    </row>
    <row r="3215" spans="15:26" x14ac:dyDescent="0.25">
      <c r="O3215" s="43"/>
      <c r="P3215" s="43"/>
      <c r="Q3215" s="43"/>
      <c r="R3215" s="43"/>
      <c r="S3215" s="43"/>
      <c r="T3215" s="43"/>
      <c r="U3215" s="43"/>
      <c r="V3215" s="43"/>
      <c r="W3215" s="43"/>
      <c r="X3215" s="43"/>
      <c r="Y3215" s="43"/>
      <c r="Z3215" s="43"/>
    </row>
    <row r="3216" spans="15:26" x14ac:dyDescent="0.25">
      <c r="O3216" s="43"/>
      <c r="P3216" s="43"/>
      <c r="Q3216" s="43"/>
      <c r="R3216" s="43"/>
      <c r="S3216" s="43"/>
      <c r="T3216" s="43"/>
      <c r="U3216" s="43"/>
      <c r="V3216" s="43"/>
      <c r="W3216" s="43"/>
      <c r="X3216" s="43"/>
      <c r="Y3216" s="43"/>
      <c r="Z3216" s="43"/>
    </row>
    <row r="3217" spans="15:26" x14ac:dyDescent="0.25">
      <c r="O3217" s="43"/>
      <c r="P3217" s="43"/>
      <c r="Q3217" s="43"/>
      <c r="R3217" s="43"/>
      <c r="S3217" s="43"/>
      <c r="T3217" s="43"/>
      <c r="U3217" s="43"/>
      <c r="V3217" s="43"/>
      <c r="W3217" s="43"/>
      <c r="X3217" s="43"/>
      <c r="Y3217" s="43"/>
      <c r="Z3217" s="43"/>
    </row>
    <row r="3218" spans="15:26" x14ac:dyDescent="0.25">
      <c r="O3218" s="43"/>
      <c r="P3218" s="43"/>
      <c r="Q3218" s="43"/>
      <c r="R3218" s="43"/>
      <c r="S3218" s="43"/>
      <c r="T3218" s="43"/>
      <c r="U3218" s="43"/>
      <c r="V3218" s="43"/>
      <c r="W3218" s="43"/>
      <c r="X3218" s="43"/>
      <c r="Y3218" s="43"/>
      <c r="Z3218" s="43"/>
    </row>
    <row r="3219" spans="15:26" x14ac:dyDescent="0.25">
      <c r="O3219" s="43"/>
      <c r="P3219" s="43"/>
      <c r="Q3219" s="43"/>
      <c r="R3219" s="43"/>
      <c r="S3219" s="43"/>
      <c r="T3219" s="43"/>
      <c r="U3219" s="43"/>
      <c r="V3219" s="43"/>
      <c r="W3219" s="43"/>
      <c r="X3219" s="43"/>
      <c r="Y3219" s="43"/>
      <c r="Z3219" s="43"/>
    </row>
    <row r="3220" spans="15:26" x14ac:dyDescent="0.25">
      <c r="O3220" s="43"/>
      <c r="P3220" s="43"/>
      <c r="Q3220" s="43"/>
      <c r="R3220" s="43"/>
      <c r="S3220" s="43"/>
      <c r="T3220" s="43"/>
      <c r="U3220" s="43"/>
      <c r="V3220" s="43"/>
      <c r="W3220" s="43"/>
      <c r="X3220" s="43"/>
      <c r="Y3220" s="43"/>
      <c r="Z3220" s="43"/>
    </row>
    <row r="3221" spans="15:26" x14ac:dyDescent="0.25">
      <c r="O3221" s="43"/>
      <c r="P3221" s="43"/>
      <c r="Q3221" s="43"/>
      <c r="R3221" s="43"/>
      <c r="S3221" s="43"/>
      <c r="T3221" s="43"/>
      <c r="U3221" s="43"/>
      <c r="V3221" s="43"/>
      <c r="W3221" s="43"/>
      <c r="X3221" s="43"/>
      <c r="Y3221" s="43"/>
      <c r="Z3221" s="43"/>
    </row>
    <row r="3222" spans="15:26" x14ac:dyDescent="0.25">
      <c r="O3222" s="43"/>
      <c r="P3222" s="43"/>
      <c r="Q3222" s="43"/>
      <c r="R3222" s="43"/>
      <c r="S3222" s="43"/>
      <c r="T3222" s="43"/>
      <c r="U3222" s="43"/>
      <c r="V3222" s="43"/>
      <c r="W3222" s="43"/>
      <c r="X3222" s="43"/>
      <c r="Y3222" s="43"/>
      <c r="Z3222" s="43"/>
    </row>
    <row r="3223" spans="15:26" x14ac:dyDescent="0.25">
      <c r="O3223" s="43"/>
      <c r="P3223" s="43"/>
      <c r="Q3223" s="43"/>
      <c r="R3223" s="43"/>
      <c r="S3223" s="43"/>
      <c r="T3223" s="43"/>
      <c r="U3223" s="43"/>
      <c r="V3223" s="43"/>
      <c r="W3223" s="43"/>
      <c r="X3223" s="43"/>
      <c r="Y3223" s="43"/>
      <c r="Z3223" s="43"/>
    </row>
    <row r="3224" spans="15:26" x14ac:dyDescent="0.25">
      <c r="O3224" s="43"/>
      <c r="P3224" s="43"/>
      <c r="Q3224" s="43"/>
      <c r="R3224" s="43"/>
      <c r="S3224" s="43"/>
      <c r="T3224" s="43"/>
      <c r="U3224" s="43"/>
      <c r="V3224" s="43"/>
      <c r="W3224" s="43"/>
      <c r="X3224" s="43"/>
      <c r="Y3224" s="43"/>
      <c r="Z3224" s="43"/>
    </row>
    <row r="3225" spans="15:26" x14ac:dyDescent="0.25">
      <c r="O3225" s="43"/>
      <c r="P3225" s="43"/>
      <c r="Q3225" s="43"/>
      <c r="R3225" s="43"/>
      <c r="S3225" s="43"/>
      <c r="T3225" s="43"/>
      <c r="U3225" s="43"/>
      <c r="V3225" s="43"/>
      <c r="W3225" s="43"/>
      <c r="X3225" s="43"/>
      <c r="Y3225" s="43"/>
      <c r="Z3225" s="43"/>
    </row>
    <row r="3226" spans="15:26" x14ac:dyDescent="0.25">
      <c r="O3226" s="43"/>
      <c r="P3226" s="43"/>
      <c r="Q3226" s="43"/>
      <c r="R3226" s="43"/>
      <c r="S3226" s="43"/>
      <c r="T3226" s="43"/>
      <c r="U3226" s="43"/>
      <c r="V3226" s="43"/>
      <c r="W3226" s="43"/>
      <c r="X3226" s="43"/>
      <c r="Y3226" s="43"/>
      <c r="Z3226" s="43"/>
    </row>
    <row r="3227" spans="15:26" x14ac:dyDescent="0.25">
      <c r="O3227" s="43"/>
      <c r="P3227" s="43"/>
      <c r="Q3227" s="43"/>
      <c r="R3227" s="43"/>
      <c r="S3227" s="43"/>
      <c r="T3227" s="43"/>
      <c r="U3227" s="43"/>
      <c r="V3227" s="43"/>
      <c r="W3227" s="43"/>
      <c r="X3227" s="43"/>
      <c r="Y3227" s="43"/>
      <c r="Z3227" s="43"/>
    </row>
    <row r="3228" spans="15:26" x14ac:dyDescent="0.25">
      <c r="O3228" s="43"/>
      <c r="P3228" s="43"/>
      <c r="Q3228" s="43"/>
      <c r="R3228" s="43"/>
      <c r="S3228" s="43"/>
      <c r="T3228" s="43"/>
      <c r="U3228" s="43"/>
      <c r="V3228" s="43"/>
      <c r="W3228" s="43"/>
      <c r="X3228" s="43"/>
      <c r="Y3228" s="43"/>
      <c r="Z3228" s="43"/>
    </row>
    <row r="3229" spans="15:26" x14ac:dyDescent="0.25">
      <c r="O3229" s="43"/>
      <c r="P3229" s="43"/>
      <c r="Q3229" s="43"/>
      <c r="R3229" s="43"/>
      <c r="S3229" s="43"/>
      <c r="T3229" s="43"/>
      <c r="U3229" s="43"/>
      <c r="V3229" s="43"/>
      <c r="W3229" s="43"/>
      <c r="X3229" s="43"/>
      <c r="Y3229" s="43"/>
      <c r="Z3229" s="43"/>
    </row>
    <row r="3230" spans="15:26" x14ac:dyDescent="0.25">
      <c r="O3230" s="43"/>
      <c r="P3230" s="43"/>
      <c r="Q3230" s="43"/>
      <c r="R3230" s="43"/>
      <c r="S3230" s="43"/>
      <c r="T3230" s="43"/>
      <c r="U3230" s="43"/>
      <c r="V3230" s="43"/>
      <c r="W3230" s="43"/>
      <c r="X3230" s="43"/>
      <c r="Y3230" s="43"/>
      <c r="Z3230" s="43"/>
    </row>
    <row r="3231" spans="15:26" x14ac:dyDescent="0.25">
      <c r="O3231" s="43"/>
      <c r="P3231" s="43"/>
      <c r="Q3231" s="43"/>
      <c r="R3231" s="43"/>
      <c r="S3231" s="43"/>
      <c r="T3231" s="43"/>
      <c r="U3231" s="43"/>
      <c r="V3231" s="43"/>
      <c r="W3231" s="43"/>
      <c r="X3231" s="43"/>
      <c r="Y3231" s="43"/>
      <c r="Z3231" s="43"/>
    </row>
    <row r="3232" spans="15:26" x14ac:dyDescent="0.25">
      <c r="O3232" s="43"/>
      <c r="P3232" s="43"/>
      <c r="Q3232" s="43"/>
      <c r="R3232" s="43"/>
      <c r="S3232" s="43"/>
      <c r="T3232" s="43"/>
      <c r="U3232" s="43"/>
      <c r="V3232" s="43"/>
      <c r="W3232" s="43"/>
      <c r="X3232" s="43"/>
      <c r="Y3232" s="43"/>
      <c r="Z3232" s="43"/>
    </row>
    <row r="3233" spans="15:26" x14ac:dyDescent="0.25">
      <c r="O3233" s="43"/>
      <c r="P3233" s="43"/>
      <c r="Q3233" s="43"/>
      <c r="R3233" s="43"/>
      <c r="S3233" s="43"/>
      <c r="T3233" s="43"/>
      <c r="U3233" s="43"/>
      <c r="V3233" s="43"/>
      <c r="W3233" s="43"/>
      <c r="X3233" s="43"/>
      <c r="Y3233" s="43"/>
      <c r="Z3233" s="43"/>
    </row>
    <row r="3234" spans="15:26" x14ac:dyDescent="0.25">
      <c r="O3234" s="43"/>
      <c r="P3234" s="43"/>
      <c r="Q3234" s="43"/>
      <c r="R3234" s="43"/>
      <c r="S3234" s="43"/>
      <c r="T3234" s="43"/>
      <c r="U3234" s="43"/>
      <c r="V3234" s="43"/>
      <c r="W3234" s="43"/>
      <c r="X3234" s="43"/>
      <c r="Y3234" s="43"/>
      <c r="Z3234" s="43"/>
    </row>
    <row r="3235" spans="15:26" x14ac:dyDescent="0.25">
      <c r="O3235" s="43"/>
      <c r="P3235" s="43"/>
      <c r="Q3235" s="43"/>
      <c r="R3235" s="43"/>
      <c r="S3235" s="43"/>
      <c r="T3235" s="43"/>
      <c r="U3235" s="43"/>
      <c r="V3235" s="43"/>
      <c r="W3235" s="43"/>
      <c r="X3235" s="43"/>
      <c r="Y3235" s="43"/>
      <c r="Z3235" s="43"/>
    </row>
    <row r="3236" spans="15:26" x14ac:dyDescent="0.25">
      <c r="O3236" s="43"/>
      <c r="P3236" s="43"/>
      <c r="Q3236" s="43"/>
      <c r="R3236" s="43"/>
      <c r="S3236" s="43"/>
      <c r="T3236" s="43"/>
      <c r="U3236" s="43"/>
      <c r="V3236" s="43"/>
      <c r="W3236" s="43"/>
      <c r="X3236" s="43"/>
      <c r="Y3236" s="43"/>
      <c r="Z3236" s="43"/>
    </row>
    <row r="3237" spans="15:26" x14ac:dyDescent="0.25">
      <c r="O3237" s="43"/>
      <c r="P3237" s="43"/>
      <c r="Q3237" s="43"/>
      <c r="R3237" s="43"/>
      <c r="S3237" s="43"/>
      <c r="T3237" s="43"/>
      <c r="U3237" s="43"/>
      <c r="V3237" s="43"/>
      <c r="W3237" s="43"/>
      <c r="X3237" s="43"/>
      <c r="Y3237" s="43"/>
      <c r="Z3237" s="43"/>
    </row>
    <row r="3238" spans="15:26" x14ac:dyDescent="0.25">
      <c r="O3238" s="43"/>
      <c r="P3238" s="43"/>
      <c r="Q3238" s="43"/>
      <c r="R3238" s="43"/>
      <c r="S3238" s="43"/>
      <c r="T3238" s="43"/>
      <c r="U3238" s="43"/>
      <c r="V3238" s="43"/>
      <c r="W3238" s="43"/>
      <c r="X3238" s="43"/>
      <c r="Y3238" s="43"/>
      <c r="Z3238" s="43"/>
    </row>
    <row r="3239" spans="15:26" x14ac:dyDescent="0.25">
      <c r="O3239" s="43"/>
      <c r="P3239" s="43"/>
      <c r="Q3239" s="43"/>
      <c r="R3239" s="43"/>
      <c r="S3239" s="43"/>
      <c r="T3239" s="43"/>
      <c r="U3239" s="43"/>
      <c r="V3239" s="43"/>
      <c r="W3239" s="43"/>
      <c r="X3239" s="43"/>
      <c r="Y3239" s="43"/>
      <c r="Z3239" s="43"/>
    </row>
    <row r="3240" spans="15:26" x14ac:dyDescent="0.25">
      <c r="O3240" s="43"/>
      <c r="P3240" s="43"/>
      <c r="Q3240" s="43"/>
      <c r="R3240" s="43"/>
      <c r="S3240" s="43"/>
      <c r="T3240" s="43"/>
      <c r="U3240" s="43"/>
      <c r="V3240" s="43"/>
      <c r="W3240" s="43"/>
      <c r="X3240" s="43"/>
      <c r="Y3240" s="43"/>
      <c r="Z3240" s="43"/>
    </row>
    <row r="3241" spans="15:26" x14ac:dyDescent="0.25">
      <c r="O3241" s="43"/>
      <c r="P3241" s="43"/>
      <c r="Q3241" s="43"/>
      <c r="R3241" s="43"/>
      <c r="S3241" s="43"/>
      <c r="T3241" s="43"/>
      <c r="U3241" s="43"/>
      <c r="V3241" s="43"/>
      <c r="W3241" s="43"/>
      <c r="X3241" s="43"/>
      <c r="Y3241" s="43"/>
      <c r="Z3241" s="43"/>
    </row>
    <row r="3242" spans="15:26" x14ac:dyDescent="0.25">
      <c r="O3242" s="43"/>
      <c r="P3242" s="43"/>
      <c r="Q3242" s="43"/>
      <c r="R3242" s="43"/>
      <c r="S3242" s="43"/>
      <c r="T3242" s="43"/>
      <c r="U3242" s="43"/>
      <c r="V3242" s="43"/>
      <c r="W3242" s="43"/>
      <c r="X3242" s="43"/>
      <c r="Y3242" s="43"/>
      <c r="Z3242" s="43"/>
    </row>
    <row r="3243" spans="15:26" x14ac:dyDescent="0.25">
      <c r="O3243" s="43"/>
      <c r="P3243" s="43"/>
      <c r="Q3243" s="43"/>
      <c r="R3243" s="43"/>
      <c r="S3243" s="43"/>
      <c r="T3243" s="43"/>
      <c r="U3243" s="43"/>
      <c r="V3243" s="43"/>
      <c r="W3243" s="43"/>
      <c r="X3243" s="43"/>
      <c r="Y3243" s="43"/>
      <c r="Z3243" s="43"/>
    </row>
    <row r="3244" spans="15:26" x14ac:dyDescent="0.25">
      <c r="O3244" s="43"/>
      <c r="P3244" s="43"/>
      <c r="Q3244" s="43"/>
      <c r="R3244" s="43"/>
      <c r="S3244" s="43"/>
      <c r="T3244" s="43"/>
      <c r="U3244" s="43"/>
      <c r="V3244" s="43"/>
      <c r="W3244" s="43"/>
      <c r="X3244" s="43"/>
      <c r="Y3244" s="43"/>
      <c r="Z3244" s="43"/>
    </row>
    <row r="3245" spans="15:26" x14ac:dyDescent="0.25">
      <c r="O3245" s="43"/>
      <c r="P3245" s="43"/>
      <c r="Q3245" s="43"/>
      <c r="R3245" s="43"/>
      <c r="S3245" s="43"/>
      <c r="T3245" s="43"/>
      <c r="U3245" s="43"/>
      <c r="V3245" s="43"/>
      <c r="W3245" s="43"/>
      <c r="X3245" s="43"/>
      <c r="Y3245" s="43"/>
      <c r="Z3245" s="43"/>
    </row>
    <row r="3246" spans="15:26" x14ac:dyDescent="0.25">
      <c r="O3246" s="43"/>
      <c r="P3246" s="43"/>
      <c r="Q3246" s="43"/>
      <c r="R3246" s="43"/>
      <c r="S3246" s="43"/>
      <c r="T3246" s="43"/>
      <c r="U3246" s="43"/>
      <c r="V3246" s="43"/>
      <c r="W3246" s="43"/>
      <c r="X3246" s="43"/>
      <c r="Y3246" s="43"/>
      <c r="Z3246" s="43"/>
    </row>
    <row r="3247" spans="15:26" x14ac:dyDescent="0.25">
      <c r="O3247" s="43"/>
      <c r="P3247" s="43"/>
      <c r="Q3247" s="43"/>
      <c r="R3247" s="43"/>
      <c r="S3247" s="43"/>
      <c r="T3247" s="43"/>
      <c r="U3247" s="43"/>
      <c r="V3247" s="43"/>
      <c r="W3247" s="43"/>
      <c r="X3247" s="43"/>
      <c r="Y3247" s="43"/>
      <c r="Z3247" s="43"/>
    </row>
    <row r="3248" spans="15:26" x14ac:dyDescent="0.25">
      <c r="O3248" s="43"/>
      <c r="P3248" s="43"/>
      <c r="Q3248" s="43"/>
      <c r="R3248" s="43"/>
      <c r="S3248" s="43"/>
      <c r="T3248" s="43"/>
      <c r="U3248" s="43"/>
      <c r="V3248" s="43"/>
      <c r="W3248" s="43"/>
      <c r="X3248" s="43"/>
      <c r="Y3248" s="43"/>
      <c r="Z3248" s="43"/>
    </row>
    <row r="3249" spans="15:26" x14ac:dyDescent="0.25">
      <c r="O3249" s="43"/>
      <c r="P3249" s="43"/>
      <c r="Q3249" s="43"/>
      <c r="R3249" s="43"/>
      <c r="S3249" s="43"/>
      <c r="T3249" s="43"/>
      <c r="U3249" s="43"/>
      <c r="V3249" s="43"/>
      <c r="W3249" s="43"/>
      <c r="X3249" s="43"/>
      <c r="Y3249" s="43"/>
      <c r="Z3249" s="43"/>
    </row>
    <row r="3250" spans="15:26" x14ac:dyDescent="0.25">
      <c r="O3250" s="43"/>
      <c r="P3250" s="43"/>
      <c r="Q3250" s="43"/>
      <c r="R3250" s="43"/>
      <c r="S3250" s="43"/>
      <c r="T3250" s="43"/>
      <c r="U3250" s="43"/>
      <c r="V3250" s="43"/>
      <c r="W3250" s="43"/>
      <c r="X3250" s="43"/>
      <c r="Y3250" s="43"/>
      <c r="Z3250" s="43"/>
    </row>
    <row r="3251" spans="15:26" x14ac:dyDescent="0.25">
      <c r="O3251" s="43"/>
      <c r="P3251" s="43"/>
      <c r="Q3251" s="43"/>
      <c r="R3251" s="43"/>
      <c r="S3251" s="43"/>
      <c r="T3251" s="43"/>
      <c r="U3251" s="43"/>
      <c r="V3251" s="43"/>
      <c r="W3251" s="43"/>
      <c r="X3251" s="43"/>
      <c r="Y3251" s="43"/>
      <c r="Z3251" s="43"/>
    </row>
    <row r="3252" spans="15:26" x14ac:dyDescent="0.25">
      <c r="O3252" s="43"/>
      <c r="P3252" s="43"/>
      <c r="Q3252" s="43"/>
      <c r="R3252" s="43"/>
      <c r="S3252" s="43"/>
      <c r="T3252" s="43"/>
      <c r="U3252" s="43"/>
      <c r="V3252" s="43"/>
      <c r="W3252" s="43"/>
      <c r="X3252" s="43"/>
      <c r="Y3252" s="43"/>
      <c r="Z3252" s="43"/>
    </row>
    <row r="3253" spans="15:26" x14ac:dyDescent="0.25">
      <c r="O3253" s="43"/>
      <c r="P3253" s="43"/>
      <c r="Q3253" s="43"/>
      <c r="R3253" s="43"/>
      <c r="S3253" s="43"/>
      <c r="T3253" s="43"/>
      <c r="U3253" s="43"/>
      <c r="V3253" s="43"/>
      <c r="W3253" s="43"/>
      <c r="X3253" s="43"/>
      <c r="Y3253" s="43"/>
      <c r="Z3253" s="43"/>
    </row>
    <row r="3254" spans="15:26" x14ac:dyDescent="0.25">
      <c r="O3254" s="43"/>
      <c r="P3254" s="43"/>
      <c r="Q3254" s="43"/>
      <c r="R3254" s="43"/>
      <c r="S3254" s="43"/>
      <c r="T3254" s="43"/>
      <c r="U3254" s="43"/>
      <c r="V3254" s="43"/>
      <c r="W3254" s="43"/>
      <c r="X3254" s="43"/>
      <c r="Y3254" s="43"/>
      <c r="Z3254" s="43"/>
    </row>
    <row r="3255" spans="15:26" x14ac:dyDescent="0.25">
      <c r="O3255" s="43"/>
      <c r="P3255" s="43"/>
      <c r="Q3255" s="43"/>
      <c r="R3255" s="43"/>
      <c r="S3255" s="43"/>
      <c r="T3255" s="43"/>
      <c r="U3255" s="43"/>
      <c r="V3255" s="43"/>
      <c r="W3255" s="43"/>
      <c r="X3255" s="43"/>
      <c r="Y3255" s="43"/>
      <c r="Z3255" s="43"/>
    </row>
    <row r="3256" spans="15:26" x14ac:dyDescent="0.25">
      <c r="O3256" s="43"/>
      <c r="P3256" s="43"/>
      <c r="Q3256" s="43"/>
      <c r="R3256" s="43"/>
      <c r="S3256" s="43"/>
      <c r="T3256" s="43"/>
      <c r="U3256" s="43"/>
      <c r="V3256" s="43"/>
      <c r="W3256" s="43"/>
      <c r="X3256" s="43"/>
      <c r="Y3256" s="43"/>
      <c r="Z3256" s="43"/>
    </row>
    <row r="3257" spans="15:26" x14ac:dyDescent="0.25">
      <c r="O3257" s="43"/>
      <c r="P3257" s="43"/>
      <c r="Q3257" s="43"/>
      <c r="R3257" s="43"/>
      <c r="S3257" s="43"/>
      <c r="T3257" s="43"/>
      <c r="U3257" s="43"/>
      <c r="V3257" s="43"/>
      <c r="W3257" s="43"/>
      <c r="X3257" s="43"/>
      <c r="Y3257" s="43"/>
      <c r="Z3257" s="43"/>
    </row>
    <row r="3258" spans="15:26" x14ac:dyDescent="0.25">
      <c r="O3258" s="43"/>
      <c r="P3258" s="43"/>
      <c r="Q3258" s="43"/>
      <c r="R3258" s="43"/>
      <c r="S3258" s="43"/>
      <c r="T3258" s="43"/>
      <c r="U3258" s="43"/>
      <c r="V3258" s="43"/>
      <c r="W3258" s="43"/>
      <c r="X3258" s="43"/>
      <c r="Y3258" s="43"/>
      <c r="Z3258" s="43"/>
    </row>
    <row r="3259" spans="15:26" x14ac:dyDescent="0.25">
      <c r="O3259" s="43"/>
      <c r="P3259" s="43"/>
      <c r="Q3259" s="43"/>
      <c r="R3259" s="43"/>
      <c r="S3259" s="43"/>
      <c r="T3259" s="43"/>
      <c r="U3259" s="43"/>
      <c r="V3259" s="43"/>
      <c r="W3259" s="43"/>
      <c r="X3259" s="43"/>
      <c r="Y3259" s="43"/>
      <c r="Z3259" s="43"/>
    </row>
    <row r="3260" spans="15:26" x14ac:dyDescent="0.25">
      <c r="O3260" s="43"/>
      <c r="P3260" s="43"/>
      <c r="Q3260" s="43"/>
      <c r="R3260" s="43"/>
      <c r="S3260" s="43"/>
      <c r="T3260" s="43"/>
      <c r="U3260" s="43"/>
      <c r="V3260" s="43"/>
      <c r="W3260" s="43"/>
      <c r="X3260" s="43"/>
      <c r="Y3260" s="43"/>
      <c r="Z3260" s="43"/>
    </row>
    <row r="3261" spans="15:26" x14ac:dyDescent="0.25">
      <c r="O3261" s="43"/>
      <c r="P3261" s="43"/>
      <c r="Q3261" s="43"/>
      <c r="R3261" s="43"/>
      <c r="S3261" s="43"/>
      <c r="T3261" s="43"/>
      <c r="U3261" s="43"/>
      <c r="V3261" s="43"/>
      <c r="W3261" s="43"/>
      <c r="X3261" s="43"/>
      <c r="Y3261" s="43"/>
      <c r="Z3261" s="43"/>
    </row>
    <row r="3262" spans="15:26" x14ac:dyDescent="0.25">
      <c r="O3262" s="43"/>
      <c r="P3262" s="43"/>
      <c r="Q3262" s="43"/>
      <c r="R3262" s="43"/>
      <c r="S3262" s="43"/>
      <c r="T3262" s="43"/>
      <c r="U3262" s="43"/>
      <c r="V3262" s="43"/>
      <c r="W3262" s="43"/>
      <c r="X3262" s="43"/>
      <c r="Y3262" s="43"/>
      <c r="Z3262" s="43"/>
    </row>
    <row r="3263" spans="15:26" x14ac:dyDescent="0.25">
      <c r="O3263" s="43"/>
      <c r="P3263" s="43"/>
      <c r="Q3263" s="43"/>
      <c r="R3263" s="43"/>
      <c r="S3263" s="43"/>
      <c r="T3263" s="43"/>
      <c r="U3263" s="43"/>
      <c r="V3263" s="43"/>
      <c r="W3263" s="43"/>
      <c r="X3263" s="43"/>
      <c r="Y3263" s="43"/>
      <c r="Z3263" s="43"/>
    </row>
    <row r="3264" spans="15:26" x14ac:dyDescent="0.25">
      <c r="O3264" s="43"/>
      <c r="P3264" s="43"/>
      <c r="Q3264" s="43"/>
      <c r="R3264" s="43"/>
      <c r="S3264" s="43"/>
      <c r="T3264" s="43"/>
      <c r="U3264" s="43"/>
      <c r="V3264" s="43"/>
      <c r="W3264" s="43"/>
      <c r="X3264" s="43"/>
      <c r="Y3264" s="43"/>
      <c r="Z3264" s="43"/>
    </row>
    <row r="3265" spans="15:26" x14ac:dyDescent="0.25">
      <c r="O3265" s="43"/>
      <c r="P3265" s="43"/>
      <c r="Q3265" s="43"/>
      <c r="R3265" s="43"/>
      <c r="S3265" s="43"/>
      <c r="T3265" s="43"/>
      <c r="U3265" s="43"/>
      <c r="V3265" s="43"/>
      <c r="W3265" s="43"/>
      <c r="X3265" s="43"/>
      <c r="Y3265" s="43"/>
      <c r="Z3265" s="43"/>
    </row>
    <row r="3266" spans="15:26" x14ac:dyDescent="0.25">
      <c r="O3266" s="43"/>
      <c r="P3266" s="43"/>
      <c r="Q3266" s="43"/>
      <c r="R3266" s="43"/>
      <c r="S3266" s="43"/>
      <c r="T3266" s="43"/>
      <c r="U3266" s="43"/>
      <c r="V3266" s="43"/>
      <c r="W3266" s="43"/>
      <c r="X3266" s="43"/>
      <c r="Y3266" s="43"/>
      <c r="Z3266" s="43"/>
    </row>
    <row r="3267" spans="15:26" x14ac:dyDescent="0.25">
      <c r="O3267" s="43"/>
      <c r="P3267" s="43"/>
      <c r="Q3267" s="43"/>
      <c r="R3267" s="43"/>
      <c r="S3267" s="43"/>
      <c r="T3267" s="43"/>
      <c r="U3267" s="43"/>
      <c r="V3267" s="43"/>
      <c r="W3267" s="43"/>
      <c r="X3267" s="43"/>
      <c r="Y3267" s="43"/>
      <c r="Z3267" s="43"/>
    </row>
    <row r="3268" spans="15:26" x14ac:dyDescent="0.25">
      <c r="O3268" s="43"/>
      <c r="P3268" s="43"/>
      <c r="Q3268" s="43"/>
      <c r="R3268" s="43"/>
      <c r="S3268" s="43"/>
      <c r="T3268" s="43"/>
      <c r="U3268" s="43"/>
      <c r="V3268" s="43"/>
      <c r="W3268" s="43"/>
      <c r="X3268" s="43"/>
      <c r="Y3268" s="43"/>
      <c r="Z3268" s="43"/>
    </row>
    <row r="3269" spans="15:26" x14ac:dyDescent="0.25">
      <c r="O3269" s="43"/>
      <c r="P3269" s="43"/>
      <c r="Q3269" s="43"/>
      <c r="R3269" s="43"/>
      <c r="S3269" s="43"/>
      <c r="T3269" s="43"/>
      <c r="U3269" s="43"/>
      <c r="V3269" s="43"/>
      <c r="W3269" s="43"/>
      <c r="X3269" s="43"/>
      <c r="Y3269" s="43"/>
      <c r="Z3269" s="43"/>
    </row>
    <row r="3270" spans="15:26" x14ac:dyDescent="0.25">
      <c r="O3270" s="43"/>
      <c r="P3270" s="43"/>
      <c r="Q3270" s="43"/>
      <c r="R3270" s="43"/>
      <c r="S3270" s="43"/>
      <c r="T3270" s="43"/>
      <c r="U3270" s="43"/>
      <c r="V3270" s="43"/>
      <c r="W3270" s="43"/>
      <c r="X3270" s="43"/>
      <c r="Y3270" s="43"/>
      <c r="Z3270" s="43"/>
    </row>
    <row r="3271" spans="15:26" x14ac:dyDescent="0.25">
      <c r="O3271" s="43"/>
      <c r="P3271" s="43"/>
      <c r="Q3271" s="43"/>
      <c r="R3271" s="43"/>
      <c r="S3271" s="43"/>
      <c r="T3271" s="43"/>
      <c r="U3271" s="43"/>
      <c r="V3271" s="43"/>
      <c r="W3271" s="43"/>
      <c r="X3271" s="43"/>
      <c r="Y3271" s="43"/>
      <c r="Z3271" s="43"/>
    </row>
    <row r="3272" spans="15:26" x14ac:dyDescent="0.25">
      <c r="O3272" s="43"/>
      <c r="P3272" s="43"/>
      <c r="Q3272" s="43"/>
      <c r="R3272" s="43"/>
      <c r="S3272" s="43"/>
      <c r="T3272" s="43"/>
      <c r="U3272" s="43"/>
      <c r="V3272" s="43"/>
      <c r="W3272" s="43"/>
      <c r="X3272" s="43"/>
      <c r="Y3272" s="43"/>
      <c r="Z3272" s="43"/>
    </row>
    <row r="3273" spans="15:26" x14ac:dyDescent="0.25">
      <c r="O3273" s="43"/>
      <c r="P3273" s="43"/>
      <c r="Q3273" s="43"/>
      <c r="R3273" s="43"/>
      <c r="S3273" s="43"/>
      <c r="T3273" s="43"/>
      <c r="U3273" s="43"/>
      <c r="V3273" s="43"/>
      <c r="W3273" s="43"/>
      <c r="X3273" s="43"/>
      <c r="Y3273" s="43"/>
      <c r="Z3273" s="43"/>
    </row>
    <row r="3274" spans="15:26" x14ac:dyDescent="0.25">
      <c r="O3274" s="43"/>
      <c r="P3274" s="43"/>
      <c r="Q3274" s="43"/>
      <c r="R3274" s="43"/>
      <c r="S3274" s="43"/>
      <c r="T3274" s="43"/>
      <c r="U3274" s="43"/>
      <c r="V3274" s="43"/>
      <c r="W3274" s="43"/>
      <c r="X3274" s="43"/>
      <c r="Y3274" s="43"/>
      <c r="Z3274" s="43"/>
    </row>
    <row r="3275" spans="15:26" x14ac:dyDescent="0.25">
      <c r="O3275" s="43"/>
      <c r="P3275" s="43"/>
      <c r="Q3275" s="43"/>
      <c r="R3275" s="43"/>
      <c r="S3275" s="43"/>
      <c r="T3275" s="43"/>
      <c r="U3275" s="43"/>
      <c r="V3275" s="43"/>
      <c r="W3275" s="43"/>
      <c r="X3275" s="43"/>
      <c r="Y3275" s="43"/>
      <c r="Z3275" s="43"/>
    </row>
    <row r="3276" spans="15:26" x14ac:dyDescent="0.25">
      <c r="O3276" s="43"/>
      <c r="P3276" s="43"/>
      <c r="Q3276" s="43"/>
      <c r="R3276" s="43"/>
      <c r="S3276" s="43"/>
      <c r="T3276" s="43"/>
      <c r="U3276" s="43"/>
      <c r="V3276" s="43"/>
      <c r="W3276" s="43"/>
      <c r="X3276" s="43"/>
      <c r="Y3276" s="43"/>
      <c r="Z3276" s="43"/>
    </row>
    <row r="3277" spans="15:26" x14ac:dyDescent="0.25">
      <c r="O3277" s="43"/>
      <c r="P3277" s="43"/>
      <c r="Q3277" s="43"/>
      <c r="R3277" s="43"/>
      <c r="S3277" s="43"/>
      <c r="T3277" s="43"/>
      <c r="U3277" s="43"/>
      <c r="V3277" s="43"/>
      <c r="W3277" s="43"/>
      <c r="X3277" s="43"/>
      <c r="Y3277" s="43"/>
      <c r="Z3277" s="43"/>
    </row>
    <row r="3278" spans="15:26" x14ac:dyDescent="0.25">
      <c r="O3278" s="43"/>
      <c r="P3278" s="43"/>
      <c r="Q3278" s="43"/>
      <c r="R3278" s="43"/>
      <c r="S3278" s="43"/>
      <c r="T3278" s="43"/>
      <c r="U3278" s="43"/>
      <c r="V3278" s="43"/>
      <c r="W3278" s="43"/>
      <c r="X3278" s="43"/>
      <c r="Y3278" s="43"/>
      <c r="Z3278" s="43"/>
    </row>
    <row r="3279" spans="15:26" x14ac:dyDescent="0.25">
      <c r="O3279" s="43"/>
      <c r="P3279" s="43"/>
      <c r="Q3279" s="43"/>
      <c r="R3279" s="43"/>
      <c r="S3279" s="43"/>
      <c r="T3279" s="43"/>
      <c r="U3279" s="43"/>
      <c r="V3279" s="43"/>
      <c r="W3279" s="43"/>
      <c r="X3279" s="43"/>
      <c r="Y3279" s="43"/>
      <c r="Z3279" s="43"/>
    </row>
    <row r="3280" spans="15:26" x14ac:dyDescent="0.25">
      <c r="O3280" s="43"/>
      <c r="P3280" s="43"/>
      <c r="Q3280" s="43"/>
      <c r="R3280" s="43"/>
      <c r="S3280" s="43"/>
      <c r="T3280" s="43"/>
      <c r="U3280" s="43"/>
      <c r="V3280" s="43"/>
      <c r="W3280" s="43"/>
      <c r="X3280" s="43"/>
      <c r="Y3280" s="43"/>
      <c r="Z3280" s="43"/>
    </row>
    <row r="3281" spans="15:26" x14ac:dyDescent="0.25">
      <c r="O3281" s="43"/>
      <c r="P3281" s="43"/>
      <c r="Q3281" s="43"/>
      <c r="R3281" s="43"/>
      <c r="S3281" s="43"/>
      <c r="T3281" s="43"/>
      <c r="U3281" s="43"/>
      <c r="V3281" s="43"/>
      <c r="W3281" s="43"/>
      <c r="X3281" s="43"/>
      <c r="Y3281" s="43"/>
      <c r="Z3281" s="43"/>
    </row>
    <row r="3282" spans="15:26" x14ac:dyDescent="0.25">
      <c r="O3282" s="43"/>
      <c r="P3282" s="43"/>
      <c r="Q3282" s="43"/>
      <c r="R3282" s="43"/>
      <c r="S3282" s="43"/>
      <c r="T3282" s="43"/>
      <c r="U3282" s="43"/>
      <c r="V3282" s="43"/>
      <c r="W3282" s="43"/>
      <c r="X3282" s="43"/>
      <c r="Y3282" s="43"/>
      <c r="Z3282" s="43"/>
    </row>
    <row r="3283" spans="15:26" x14ac:dyDescent="0.25">
      <c r="O3283" s="43"/>
      <c r="P3283" s="43"/>
      <c r="Q3283" s="43"/>
      <c r="R3283" s="43"/>
      <c r="S3283" s="43"/>
      <c r="T3283" s="43"/>
      <c r="U3283" s="43"/>
      <c r="V3283" s="43"/>
      <c r="W3283" s="43"/>
      <c r="X3283" s="43"/>
      <c r="Y3283" s="43"/>
      <c r="Z3283" s="43"/>
    </row>
    <row r="3284" spans="15:26" x14ac:dyDescent="0.25">
      <c r="O3284" s="43"/>
      <c r="P3284" s="43"/>
      <c r="Q3284" s="43"/>
      <c r="R3284" s="43"/>
      <c r="S3284" s="43"/>
      <c r="T3284" s="43"/>
      <c r="U3284" s="43"/>
      <c r="V3284" s="43"/>
      <c r="W3284" s="43"/>
      <c r="X3284" s="43"/>
      <c r="Y3284" s="43"/>
      <c r="Z3284" s="43"/>
    </row>
    <row r="3285" spans="15:26" x14ac:dyDescent="0.25">
      <c r="O3285" s="43"/>
      <c r="P3285" s="43"/>
      <c r="Q3285" s="43"/>
      <c r="R3285" s="43"/>
      <c r="S3285" s="43"/>
      <c r="T3285" s="43"/>
      <c r="U3285" s="43"/>
      <c r="V3285" s="43"/>
      <c r="W3285" s="43"/>
      <c r="X3285" s="43"/>
      <c r="Y3285" s="43"/>
      <c r="Z3285" s="43"/>
    </row>
    <row r="3286" spans="15:26" x14ac:dyDescent="0.25">
      <c r="O3286" s="43"/>
      <c r="P3286" s="43"/>
      <c r="Q3286" s="43"/>
      <c r="R3286" s="43"/>
      <c r="S3286" s="43"/>
      <c r="T3286" s="43"/>
      <c r="U3286" s="43"/>
      <c r="V3286" s="43"/>
      <c r="W3286" s="43"/>
      <c r="X3286" s="43"/>
      <c r="Y3286" s="43"/>
      <c r="Z3286" s="43"/>
    </row>
    <row r="3287" spans="15:26" x14ac:dyDescent="0.25">
      <c r="O3287" s="43"/>
      <c r="P3287" s="43"/>
      <c r="Q3287" s="43"/>
      <c r="R3287" s="43"/>
      <c r="S3287" s="43"/>
      <c r="T3287" s="43"/>
      <c r="U3287" s="43"/>
      <c r="V3287" s="43"/>
      <c r="W3287" s="43"/>
      <c r="X3287" s="43"/>
      <c r="Y3287" s="43"/>
      <c r="Z3287" s="43"/>
    </row>
    <row r="3288" spans="15:26" x14ac:dyDescent="0.25">
      <c r="O3288" s="43"/>
      <c r="P3288" s="43"/>
      <c r="Q3288" s="43"/>
      <c r="R3288" s="43"/>
      <c r="S3288" s="43"/>
      <c r="T3288" s="43"/>
      <c r="U3288" s="43"/>
      <c r="V3288" s="43"/>
      <c r="W3288" s="43"/>
      <c r="X3288" s="43"/>
      <c r="Y3288" s="43"/>
      <c r="Z3288" s="43"/>
    </row>
    <row r="3289" spans="15:26" x14ac:dyDescent="0.25">
      <c r="O3289" s="43"/>
      <c r="P3289" s="43"/>
      <c r="Q3289" s="43"/>
      <c r="R3289" s="43"/>
      <c r="S3289" s="43"/>
      <c r="T3289" s="43"/>
      <c r="U3289" s="43"/>
      <c r="V3289" s="43"/>
      <c r="W3289" s="43"/>
      <c r="X3289" s="43"/>
      <c r="Y3289" s="43"/>
      <c r="Z3289" s="43"/>
    </row>
    <row r="3290" spans="15:26" x14ac:dyDescent="0.25">
      <c r="O3290" s="43"/>
      <c r="P3290" s="43"/>
      <c r="Q3290" s="43"/>
      <c r="R3290" s="43"/>
      <c r="S3290" s="43"/>
      <c r="T3290" s="43"/>
      <c r="U3290" s="43"/>
      <c r="V3290" s="43"/>
      <c r="W3290" s="43"/>
      <c r="X3290" s="43"/>
      <c r="Y3290" s="43"/>
      <c r="Z3290" s="43"/>
    </row>
    <row r="3291" spans="15:26" x14ac:dyDescent="0.25">
      <c r="O3291" s="43"/>
      <c r="P3291" s="43"/>
      <c r="Q3291" s="43"/>
      <c r="R3291" s="43"/>
      <c r="S3291" s="43"/>
      <c r="T3291" s="43"/>
      <c r="U3291" s="43"/>
      <c r="V3291" s="43"/>
      <c r="W3291" s="43"/>
      <c r="X3291" s="43"/>
      <c r="Y3291" s="43"/>
      <c r="Z3291" s="43"/>
    </row>
    <row r="3292" spans="15:26" x14ac:dyDescent="0.25">
      <c r="O3292" s="43"/>
      <c r="P3292" s="43"/>
      <c r="Q3292" s="43"/>
      <c r="R3292" s="43"/>
      <c r="S3292" s="43"/>
      <c r="T3292" s="43"/>
      <c r="U3292" s="43"/>
      <c r="V3292" s="43"/>
      <c r="W3292" s="43"/>
      <c r="X3292" s="43"/>
      <c r="Y3292" s="43"/>
      <c r="Z3292" s="43"/>
    </row>
    <row r="3293" spans="15:26" x14ac:dyDescent="0.25">
      <c r="O3293" s="43"/>
      <c r="P3293" s="43"/>
      <c r="Q3293" s="43"/>
      <c r="R3293" s="43"/>
      <c r="S3293" s="43"/>
      <c r="T3293" s="43"/>
      <c r="U3293" s="43"/>
      <c r="V3293" s="43"/>
      <c r="W3293" s="43"/>
      <c r="X3293" s="43"/>
      <c r="Y3293" s="43"/>
      <c r="Z3293" s="43"/>
    </row>
    <row r="3294" spans="15:26" x14ac:dyDescent="0.25">
      <c r="O3294" s="43"/>
      <c r="P3294" s="43"/>
      <c r="Q3294" s="43"/>
      <c r="R3294" s="43"/>
      <c r="S3294" s="43"/>
      <c r="T3294" s="43"/>
      <c r="U3294" s="43"/>
      <c r="V3294" s="43"/>
      <c r="W3294" s="43"/>
      <c r="X3294" s="43"/>
      <c r="Y3294" s="43"/>
      <c r="Z3294" s="43"/>
    </row>
    <row r="3295" spans="15:26" x14ac:dyDescent="0.25">
      <c r="O3295" s="43"/>
      <c r="P3295" s="43"/>
      <c r="Q3295" s="43"/>
      <c r="R3295" s="43"/>
      <c r="S3295" s="43"/>
      <c r="T3295" s="43"/>
      <c r="U3295" s="43"/>
      <c r="V3295" s="43"/>
      <c r="W3295" s="43"/>
      <c r="X3295" s="43"/>
      <c r="Y3295" s="43"/>
      <c r="Z3295" s="43"/>
    </row>
    <row r="3296" spans="15:26" x14ac:dyDescent="0.25">
      <c r="O3296" s="43"/>
      <c r="P3296" s="43"/>
      <c r="Q3296" s="43"/>
      <c r="R3296" s="43"/>
      <c r="S3296" s="43"/>
      <c r="T3296" s="43"/>
      <c r="U3296" s="43"/>
      <c r="V3296" s="43"/>
      <c r="W3296" s="43"/>
      <c r="X3296" s="43"/>
      <c r="Y3296" s="43"/>
      <c r="Z3296" s="43"/>
    </row>
    <row r="3297" spans="15:26" x14ac:dyDescent="0.25">
      <c r="O3297" s="43"/>
      <c r="P3297" s="43"/>
      <c r="Q3297" s="43"/>
      <c r="R3297" s="43"/>
      <c r="S3297" s="43"/>
      <c r="T3297" s="43"/>
      <c r="U3297" s="43"/>
      <c r="V3297" s="43"/>
      <c r="W3297" s="43"/>
      <c r="X3297" s="43"/>
      <c r="Y3297" s="43"/>
      <c r="Z3297" s="43"/>
    </row>
    <row r="3298" spans="15:26" x14ac:dyDescent="0.25">
      <c r="O3298" s="43"/>
      <c r="P3298" s="43"/>
      <c r="Q3298" s="43"/>
      <c r="R3298" s="43"/>
      <c r="S3298" s="43"/>
      <c r="T3298" s="43"/>
      <c r="U3298" s="43"/>
      <c r="V3298" s="43"/>
      <c r="W3298" s="43"/>
      <c r="X3298" s="43"/>
      <c r="Y3298" s="43"/>
      <c r="Z3298" s="43"/>
    </row>
    <row r="3299" spans="15:26" x14ac:dyDescent="0.25">
      <c r="O3299" s="43"/>
      <c r="P3299" s="43"/>
      <c r="Q3299" s="43"/>
      <c r="R3299" s="43"/>
      <c r="S3299" s="43"/>
      <c r="T3299" s="43"/>
      <c r="U3299" s="43"/>
      <c r="V3299" s="43"/>
      <c r="W3299" s="43"/>
      <c r="X3299" s="43"/>
      <c r="Y3299" s="43"/>
      <c r="Z3299" s="43"/>
    </row>
    <row r="3300" spans="15:26" x14ac:dyDescent="0.25">
      <c r="O3300" s="43"/>
      <c r="P3300" s="43"/>
      <c r="Q3300" s="43"/>
      <c r="R3300" s="43"/>
      <c r="S3300" s="43"/>
      <c r="T3300" s="43"/>
      <c r="U3300" s="43"/>
      <c r="V3300" s="43"/>
      <c r="W3300" s="43"/>
      <c r="X3300" s="43"/>
      <c r="Y3300" s="43"/>
      <c r="Z3300" s="43"/>
    </row>
    <row r="3301" spans="15:26" x14ac:dyDescent="0.25">
      <c r="O3301" s="43"/>
      <c r="P3301" s="43"/>
      <c r="Q3301" s="43"/>
      <c r="R3301" s="43"/>
      <c r="S3301" s="43"/>
      <c r="T3301" s="43"/>
      <c r="U3301" s="43"/>
      <c r="V3301" s="43"/>
      <c r="W3301" s="43"/>
      <c r="X3301" s="43"/>
      <c r="Y3301" s="43"/>
      <c r="Z3301" s="43"/>
    </row>
    <row r="3302" spans="15:26" x14ac:dyDescent="0.25">
      <c r="O3302" s="43"/>
      <c r="P3302" s="43"/>
      <c r="Q3302" s="43"/>
      <c r="R3302" s="43"/>
      <c r="S3302" s="43"/>
      <c r="T3302" s="43"/>
      <c r="U3302" s="43"/>
      <c r="V3302" s="43"/>
      <c r="W3302" s="43"/>
      <c r="X3302" s="43"/>
      <c r="Y3302" s="43"/>
      <c r="Z3302" s="43"/>
    </row>
    <row r="3303" spans="15:26" x14ac:dyDescent="0.25">
      <c r="O3303" s="43"/>
      <c r="P3303" s="43"/>
      <c r="Q3303" s="43"/>
      <c r="R3303" s="43"/>
      <c r="S3303" s="43"/>
      <c r="T3303" s="43"/>
      <c r="U3303" s="43"/>
      <c r="V3303" s="43"/>
      <c r="W3303" s="43"/>
      <c r="X3303" s="43"/>
      <c r="Y3303" s="43"/>
      <c r="Z3303" s="43"/>
    </row>
    <row r="3304" spans="15:26" x14ac:dyDescent="0.25">
      <c r="O3304" s="43"/>
      <c r="P3304" s="43"/>
      <c r="Q3304" s="43"/>
      <c r="R3304" s="43"/>
      <c r="S3304" s="43"/>
      <c r="T3304" s="43"/>
      <c r="U3304" s="43"/>
      <c r="V3304" s="43"/>
      <c r="W3304" s="43"/>
      <c r="X3304" s="43"/>
      <c r="Y3304" s="43"/>
      <c r="Z3304" s="43"/>
    </row>
    <row r="3305" spans="15:26" x14ac:dyDescent="0.25">
      <c r="O3305" s="43"/>
      <c r="P3305" s="43"/>
      <c r="Q3305" s="43"/>
      <c r="R3305" s="43"/>
      <c r="S3305" s="43"/>
      <c r="T3305" s="43"/>
      <c r="U3305" s="43"/>
      <c r="V3305" s="43"/>
      <c r="W3305" s="43"/>
      <c r="X3305" s="43"/>
      <c r="Y3305" s="43"/>
      <c r="Z3305" s="43"/>
    </row>
    <row r="3306" spans="15:26" x14ac:dyDescent="0.25">
      <c r="O3306" s="43"/>
      <c r="P3306" s="43"/>
      <c r="Q3306" s="43"/>
      <c r="R3306" s="43"/>
      <c r="S3306" s="43"/>
      <c r="T3306" s="43"/>
      <c r="U3306" s="43"/>
      <c r="V3306" s="43"/>
      <c r="W3306" s="43"/>
      <c r="X3306" s="43"/>
      <c r="Y3306" s="43"/>
      <c r="Z3306" s="43"/>
    </row>
    <row r="3307" spans="15:26" x14ac:dyDescent="0.25">
      <c r="O3307" s="43"/>
      <c r="P3307" s="43"/>
      <c r="Q3307" s="43"/>
      <c r="R3307" s="43"/>
      <c r="S3307" s="43"/>
      <c r="T3307" s="43"/>
      <c r="U3307" s="43"/>
      <c r="V3307" s="43"/>
      <c r="W3307" s="43"/>
      <c r="X3307" s="43"/>
      <c r="Y3307" s="43"/>
      <c r="Z3307" s="43"/>
    </row>
    <row r="3308" spans="15:26" x14ac:dyDescent="0.25">
      <c r="O3308" s="43"/>
      <c r="P3308" s="43"/>
      <c r="Q3308" s="43"/>
      <c r="R3308" s="43"/>
      <c r="S3308" s="43"/>
      <c r="T3308" s="43"/>
      <c r="U3308" s="43"/>
      <c r="V3308" s="43"/>
      <c r="W3308" s="43"/>
      <c r="X3308" s="43"/>
      <c r="Y3308" s="43"/>
      <c r="Z3308" s="43"/>
    </row>
    <row r="3309" spans="15:26" x14ac:dyDescent="0.25">
      <c r="O3309" s="43"/>
      <c r="P3309" s="43"/>
      <c r="Q3309" s="43"/>
      <c r="R3309" s="43"/>
      <c r="S3309" s="43"/>
      <c r="T3309" s="43"/>
      <c r="U3309" s="43"/>
      <c r="V3309" s="43"/>
      <c r="W3309" s="43"/>
      <c r="X3309" s="43"/>
      <c r="Y3309" s="43"/>
      <c r="Z3309" s="43"/>
    </row>
    <row r="3310" spans="15:26" x14ac:dyDescent="0.25">
      <c r="O3310" s="43"/>
      <c r="P3310" s="43"/>
      <c r="Q3310" s="43"/>
      <c r="R3310" s="43"/>
      <c r="S3310" s="43"/>
      <c r="T3310" s="43"/>
      <c r="U3310" s="43"/>
      <c r="V3310" s="43"/>
      <c r="W3310" s="43"/>
      <c r="X3310" s="43"/>
      <c r="Y3310" s="43"/>
      <c r="Z3310" s="43"/>
    </row>
    <row r="3311" spans="15:26" x14ac:dyDescent="0.25">
      <c r="O3311" s="43"/>
      <c r="P3311" s="43"/>
      <c r="Q3311" s="43"/>
      <c r="R3311" s="43"/>
      <c r="S3311" s="43"/>
      <c r="T3311" s="43"/>
      <c r="U3311" s="43"/>
      <c r="V3311" s="43"/>
      <c r="W3311" s="43"/>
      <c r="X3311" s="43"/>
      <c r="Y3311" s="43"/>
      <c r="Z3311" s="43"/>
    </row>
    <row r="3312" spans="15:26" x14ac:dyDescent="0.25">
      <c r="O3312" s="43"/>
      <c r="P3312" s="43"/>
      <c r="Q3312" s="43"/>
      <c r="R3312" s="43"/>
      <c r="S3312" s="43"/>
      <c r="T3312" s="43"/>
      <c r="U3312" s="43"/>
      <c r="V3312" s="43"/>
      <c r="W3312" s="43"/>
      <c r="X3312" s="43"/>
      <c r="Y3312" s="43"/>
      <c r="Z3312" s="43"/>
    </row>
    <row r="3313" spans="15:26" x14ac:dyDescent="0.25">
      <c r="O3313" s="43"/>
      <c r="P3313" s="43"/>
      <c r="Q3313" s="43"/>
      <c r="R3313" s="43"/>
      <c r="S3313" s="43"/>
      <c r="T3313" s="43"/>
      <c r="U3313" s="43"/>
      <c r="V3313" s="43"/>
      <c r="W3313" s="43"/>
      <c r="X3313" s="43"/>
      <c r="Y3313" s="43"/>
      <c r="Z3313" s="43"/>
    </row>
    <row r="3314" spans="15:26" x14ac:dyDescent="0.25">
      <c r="O3314" s="43"/>
      <c r="P3314" s="43"/>
      <c r="Q3314" s="43"/>
      <c r="R3314" s="43"/>
      <c r="S3314" s="43"/>
      <c r="T3314" s="43"/>
      <c r="U3314" s="43"/>
      <c r="V3314" s="43"/>
      <c r="W3314" s="43"/>
      <c r="X3314" s="43"/>
      <c r="Y3314" s="43"/>
      <c r="Z3314" s="43"/>
    </row>
    <row r="3315" spans="15:26" x14ac:dyDescent="0.25">
      <c r="O3315" s="43"/>
      <c r="P3315" s="43"/>
      <c r="Q3315" s="43"/>
      <c r="R3315" s="43"/>
      <c r="S3315" s="43"/>
      <c r="T3315" s="43"/>
      <c r="U3315" s="43"/>
      <c r="V3315" s="43"/>
      <c r="W3315" s="43"/>
      <c r="X3315" s="43"/>
      <c r="Y3315" s="43"/>
      <c r="Z3315" s="43"/>
    </row>
    <row r="3316" spans="15:26" x14ac:dyDescent="0.25">
      <c r="O3316" s="43"/>
      <c r="P3316" s="43"/>
      <c r="Q3316" s="43"/>
      <c r="R3316" s="43"/>
      <c r="S3316" s="43"/>
      <c r="T3316" s="43"/>
      <c r="U3316" s="43"/>
      <c r="V3316" s="43"/>
      <c r="W3316" s="43"/>
      <c r="X3316" s="43"/>
      <c r="Y3316" s="43"/>
      <c r="Z3316" s="43"/>
    </row>
    <row r="3317" spans="15:26" x14ac:dyDescent="0.25">
      <c r="O3317" s="43"/>
      <c r="P3317" s="43"/>
      <c r="Q3317" s="43"/>
      <c r="R3317" s="43"/>
      <c r="S3317" s="43"/>
      <c r="T3317" s="43"/>
      <c r="U3317" s="43"/>
      <c r="V3317" s="43"/>
      <c r="W3317" s="43"/>
      <c r="X3317" s="43"/>
      <c r="Y3317" s="43"/>
      <c r="Z3317" s="43"/>
    </row>
    <row r="3318" spans="15:26" x14ac:dyDescent="0.25">
      <c r="O3318" s="43"/>
      <c r="P3318" s="43"/>
      <c r="Q3318" s="43"/>
      <c r="R3318" s="43"/>
      <c r="S3318" s="43"/>
      <c r="T3318" s="43"/>
      <c r="U3318" s="43"/>
      <c r="V3318" s="43"/>
      <c r="W3318" s="43"/>
      <c r="X3318" s="43"/>
      <c r="Y3318" s="43"/>
      <c r="Z3318" s="43"/>
    </row>
    <row r="3319" spans="15:26" x14ac:dyDescent="0.25">
      <c r="O3319" s="43"/>
      <c r="P3319" s="43"/>
      <c r="Q3319" s="43"/>
      <c r="R3319" s="43"/>
      <c r="S3319" s="43"/>
      <c r="T3319" s="43"/>
      <c r="U3319" s="43"/>
      <c r="V3319" s="43"/>
      <c r="W3319" s="43"/>
      <c r="X3319" s="43"/>
      <c r="Y3319" s="43"/>
      <c r="Z3319" s="43"/>
    </row>
    <row r="3320" spans="15:26" x14ac:dyDescent="0.25">
      <c r="O3320" s="43"/>
      <c r="P3320" s="43"/>
      <c r="Q3320" s="43"/>
      <c r="R3320" s="43"/>
      <c r="S3320" s="43"/>
      <c r="T3320" s="43"/>
      <c r="U3320" s="43"/>
      <c r="V3320" s="43"/>
      <c r="W3320" s="43"/>
      <c r="X3320" s="43"/>
      <c r="Y3320" s="43"/>
      <c r="Z3320" s="43"/>
    </row>
    <row r="3321" spans="15:26" x14ac:dyDescent="0.25">
      <c r="O3321" s="43"/>
      <c r="P3321" s="43"/>
      <c r="Q3321" s="43"/>
      <c r="R3321" s="43"/>
      <c r="S3321" s="43"/>
      <c r="T3321" s="43"/>
      <c r="U3321" s="43"/>
      <c r="V3321" s="43"/>
      <c r="W3321" s="43"/>
      <c r="X3321" s="43"/>
      <c r="Y3321" s="43"/>
      <c r="Z3321" s="43"/>
    </row>
    <row r="3322" spans="15:26" x14ac:dyDescent="0.25">
      <c r="O3322" s="43"/>
      <c r="P3322" s="43"/>
      <c r="Q3322" s="43"/>
      <c r="R3322" s="43"/>
      <c r="S3322" s="43"/>
      <c r="T3322" s="43"/>
      <c r="U3322" s="43"/>
      <c r="V3322" s="43"/>
      <c r="W3322" s="43"/>
      <c r="X3322" s="43"/>
      <c r="Y3322" s="43"/>
      <c r="Z3322" s="43"/>
    </row>
    <row r="3323" spans="15:26" x14ac:dyDescent="0.25">
      <c r="O3323" s="43"/>
      <c r="P3323" s="43"/>
      <c r="Q3323" s="43"/>
      <c r="R3323" s="43"/>
      <c r="S3323" s="43"/>
      <c r="T3323" s="43"/>
      <c r="U3323" s="43"/>
      <c r="V3323" s="43"/>
      <c r="W3323" s="43"/>
      <c r="X3323" s="43"/>
      <c r="Y3323" s="43"/>
      <c r="Z3323" s="43"/>
    </row>
    <row r="3324" spans="15:26" x14ac:dyDescent="0.25">
      <c r="O3324" s="43"/>
      <c r="P3324" s="43"/>
      <c r="Q3324" s="43"/>
      <c r="R3324" s="43"/>
      <c r="S3324" s="43"/>
      <c r="T3324" s="43"/>
      <c r="U3324" s="43"/>
      <c r="V3324" s="43"/>
      <c r="W3324" s="43"/>
      <c r="X3324" s="43"/>
      <c r="Y3324" s="43"/>
      <c r="Z3324" s="43"/>
    </row>
    <row r="3325" spans="15:26" x14ac:dyDescent="0.25">
      <c r="O3325" s="43"/>
      <c r="P3325" s="43"/>
      <c r="Q3325" s="43"/>
      <c r="R3325" s="43"/>
      <c r="S3325" s="43"/>
      <c r="T3325" s="43"/>
      <c r="U3325" s="43"/>
      <c r="V3325" s="43"/>
      <c r="W3325" s="43"/>
      <c r="X3325" s="43"/>
      <c r="Y3325" s="43"/>
      <c r="Z3325" s="43"/>
    </row>
    <row r="3326" spans="15:26" x14ac:dyDescent="0.25">
      <c r="O3326" s="43"/>
      <c r="P3326" s="43"/>
      <c r="Q3326" s="43"/>
      <c r="R3326" s="43"/>
      <c r="S3326" s="43"/>
      <c r="T3326" s="43"/>
      <c r="U3326" s="43"/>
      <c r="V3326" s="43"/>
      <c r="W3326" s="43"/>
      <c r="X3326" s="43"/>
      <c r="Y3326" s="43"/>
      <c r="Z3326" s="43"/>
    </row>
    <row r="3327" spans="15:26" x14ac:dyDescent="0.25">
      <c r="O3327" s="43"/>
      <c r="P3327" s="43"/>
      <c r="Q3327" s="43"/>
      <c r="R3327" s="43"/>
      <c r="S3327" s="43"/>
      <c r="T3327" s="43"/>
      <c r="U3327" s="43"/>
      <c r="V3327" s="43"/>
      <c r="W3327" s="43"/>
      <c r="X3327" s="43"/>
      <c r="Y3327" s="43"/>
      <c r="Z3327" s="43"/>
    </row>
    <row r="3328" spans="15:26" x14ac:dyDescent="0.25">
      <c r="O3328" s="43"/>
      <c r="P3328" s="43"/>
      <c r="Q3328" s="43"/>
      <c r="R3328" s="43"/>
      <c r="S3328" s="43"/>
      <c r="T3328" s="43"/>
      <c r="U3328" s="43"/>
      <c r="V3328" s="43"/>
      <c r="W3328" s="43"/>
      <c r="X3328" s="43"/>
      <c r="Y3328" s="43"/>
      <c r="Z3328" s="43"/>
    </row>
    <row r="3329" spans="15:26" x14ac:dyDescent="0.25">
      <c r="O3329" s="43"/>
      <c r="P3329" s="43"/>
      <c r="Q3329" s="43"/>
      <c r="R3329" s="43"/>
      <c r="S3329" s="43"/>
      <c r="T3329" s="43"/>
      <c r="U3329" s="43"/>
      <c r="V3329" s="43"/>
      <c r="W3329" s="43"/>
      <c r="X3329" s="43"/>
      <c r="Y3329" s="43"/>
      <c r="Z3329" s="43"/>
    </row>
    <row r="3330" spans="15:26" x14ac:dyDescent="0.25">
      <c r="O3330" s="43"/>
      <c r="P3330" s="43"/>
      <c r="Q3330" s="43"/>
      <c r="R3330" s="43"/>
      <c r="S3330" s="43"/>
      <c r="T3330" s="43"/>
      <c r="U3330" s="43"/>
      <c r="V3330" s="43"/>
      <c r="W3330" s="43"/>
      <c r="X3330" s="43"/>
      <c r="Y3330" s="43"/>
      <c r="Z3330" s="43"/>
    </row>
    <row r="3331" spans="15:26" x14ac:dyDescent="0.25">
      <c r="O3331" s="43"/>
      <c r="P3331" s="43"/>
      <c r="Q3331" s="43"/>
      <c r="R3331" s="43"/>
      <c r="S3331" s="43"/>
      <c r="T3331" s="43"/>
      <c r="U3331" s="43"/>
      <c r="V3331" s="43"/>
      <c r="W3331" s="43"/>
      <c r="X3331" s="43"/>
      <c r="Y3331" s="43"/>
      <c r="Z3331" s="43"/>
    </row>
    <row r="3332" spans="15:26" x14ac:dyDescent="0.25">
      <c r="O3332" s="43"/>
      <c r="P3332" s="43"/>
      <c r="Q3332" s="43"/>
      <c r="R3332" s="43"/>
      <c r="S3332" s="43"/>
      <c r="T3332" s="43"/>
      <c r="U3332" s="43"/>
      <c r="V3332" s="43"/>
      <c r="W3332" s="43"/>
      <c r="X3332" s="43"/>
      <c r="Y3332" s="43"/>
      <c r="Z3332" s="43"/>
    </row>
    <row r="3333" spans="15:26" x14ac:dyDescent="0.25">
      <c r="O3333" s="43"/>
      <c r="P3333" s="43"/>
      <c r="Q3333" s="43"/>
      <c r="R3333" s="43"/>
      <c r="S3333" s="43"/>
      <c r="T3333" s="43"/>
      <c r="U3333" s="43"/>
      <c r="V3333" s="43"/>
      <c r="W3333" s="43"/>
      <c r="X3333" s="43"/>
      <c r="Y3333" s="43"/>
      <c r="Z3333" s="43"/>
    </row>
    <row r="3334" spans="15:26" x14ac:dyDescent="0.25">
      <c r="O3334" s="43"/>
      <c r="P3334" s="43"/>
      <c r="Q3334" s="43"/>
      <c r="R3334" s="43"/>
      <c r="S3334" s="43"/>
      <c r="T3334" s="43"/>
      <c r="U3334" s="43"/>
      <c r="V3334" s="43"/>
      <c r="W3334" s="43"/>
      <c r="X3334" s="43"/>
      <c r="Y3334" s="43"/>
      <c r="Z3334" s="43"/>
    </row>
    <row r="3335" spans="15:26" x14ac:dyDescent="0.25">
      <c r="O3335" s="43"/>
      <c r="P3335" s="43"/>
      <c r="Q3335" s="43"/>
      <c r="R3335" s="43"/>
      <c r="S3335" s="43"/>
      <c r="T3335" s="43"/>
      <c r="U3335" s="43"/>
      <c r="V3335" s="43"/>
      <c r="W3335" s="43"/>
      <c r="X3335" s="43"/>
      <c r="Y3335" s="43"/>
      <c r="Z3335" s="43"/>
    </row>
    <row r="3336" spans="15:26" x14ac:dyDescent="0.25">
      <c r="O3336" s="43"/>
      <c r="P3336" s="43"/>
      <c r="Q3336" s="43"/>
      <c r="R3336" s="43"/>
      <c r="S3336" s="43"/>
      <c r="T3336" s="43"/>
      <c r="U3336" s="43"/>
      <c r="V3336" s="43"/>
      <c r="W3336" s="43"/>
      <c r="X3336" s="43"/>
      <c r="Y3336" s="43"/>
      <c r="Z3336" s="43"/>
    </row>
    <row r="3337" spans="15:26" x14ac:dyDescent="0.25">
      <c r="O3337" s="43"/>
      <c r="P3337" s="43"/>
      <c r="Q3337" s="43"/>
      <c r="R3337" s="43"/>
      <c r="S3337" s="43"/>
      <c r="T3337" s="43"/>
      <c r="U3337" s="43"/>
      <c r="V3337" s="43"/>
      <c r="W3337" s="43"/>
      <c r="X3337" s="43"/>
      <c r="Y3337" s="43"/>
      <c r="Z3337" s="43"/>
    </row>
    <row r="3338" spans="15:26" x14ac:dyDescent="0.25">
      <c r="O3338" s="43"/>
      <c r="P3338" s="43"/>
      <c r="Q3338" s="43"/>
      <c r="R3338" s="43"/>
      <c r="S3338" s="43"/>
      <c r="T3338" s="43"/>
      <c r="U3338" s="43"/>
      <c r="V3338" s="43"/>
      <c r="W3338" s="43"/>
      <c r="X3338" s="43"/>
      <c r="Y3338" s="43"/>
      <c r="Z3338" s="43"/>
    </row>
    <row r="3339" spans="15:26" x14ac:dyDescent="0.25">
      <c r="O3339" s="43"/>
      <c r="P3339" s="43"/>
      <c r="Q3339" s="43"/>
      <c r="R3339" s="43"/>
      <c r="S3339" s="43"/>
      <c r="T3339" s="43"/>
      <c r="U3339" s="43"/>
      <c r="V3339" s="43"/>
      <c r="W3339" s="43"/>
      <c r="X3339" s="43"/>
      <c r="Y3339" s="43"/>
      <c r="Z3339" s="43"/>
    </row>
    <row r="3340" spans="15:26" x14ac:dyDescent="0.25">
      <c r="O3340" s="43"/>
      <c r="P3340" s="43"/>
      <c r="Q3340" s="43"/>
      <c r="R3340" s="43"/>
      <c r="S3340" s="43"/>
      <c r="T3340" s="43"/>
      <c r="U3340" s="43"/>
      <c r="V3340" s="43"/>
      <c r="W3340" s="43"/>
      <c r="X3340" s="43"/>
      <c r="Y3340" s="43"/>
      <c r="Z3340" s="43"/>
    </row>
    <row r="3341" spans="15:26" x14ac:dyDescent="0.25">
      <c r="O3341" s="43"/>
      <c r="P3341" s="43"/>
      <c r="Q3341" s="43"/>
      <c r="R3341" s="43"/>
      <c r="S3341" s="43"/>
      <c r="T3341" s="43"/>
      <c r="U3341" s="43"/>
      <c r="V3341" s="43"/>
      <c r="W3341" s="43"/>
      <c r="X3341" s="43"/>
      <c r="Y3341" s="43"/>
      <c r="Z3341" s="43"/>
    </row>
    <row r="3342" spans="15:26" x14ac:dyDescent="0.25">
      <c r="O3342" s="43"/>
      <c r="P3342" s="43"/>
      <c r="Q3342" s="43"/>
      <c r="R3342" s="43"/>
      <c r="S3342" s="43"/>
      <c r="T3342" s="43"/>
      <c r="U3342" s="43"/>
      <c r="V3342" s="43"/>
      <c r="W3342" s="43"/>
      <c r="X3342" s="43"/>
      <c r="Y3342" s="43"/>
      <c r="Z3342" s="43"/>
    </row>
    <row r="3343" spans="15:26" x14ac:dyDescent="0.25">
      <c r="O3343" s="43"/>
      <c r="P3343" s="43"/>
      <c r="Q3343" s="43"/>
      <c r="R3343" s="43"/>
      <c r="S3343" s="43"/>
      <c r="T3343" s="43"/>
      <c r="U3343" s="43"/>
      <c r="V3343" s="43"/>
      <c r="W3343" s="43"/>
      <c r="X3343" s="43"/>
      <c r="Y3343" s="43"/>
      <c r="Z3343" s="43"/>
    </row>
    <row r="3344" spans="15:26" x14ac:dyDescent="0.25">
      <c r="O3344" s="43"/>
      <c r="P3344" s="43"/>
      <c r="Q3344" s="43"/>
      <c r="R3344" s="43"/>
      <c r="S3344" s="43"/>
      <c r="T3344" s="43"/>
      <c r="U3344" s="43"/>
      <c r="V3344" s="43"/>
      <c r="W3344" s="43"/>
      <c r="X3344" s="43"/>
      <c r="Y3344" s="43"/>
      <c r="Z3344" s="43"/>
    </row>
    <row r="3345" spans="15:26" x14ac:dyDescent="0.25">
      <c r="O3345" s="43"/>
      <c r="P3345" s="43"/>
      <c r="Q3345" s="43"/>
      <c r="R3345" s="43"/>
      <c r="S3345" s="43"/>
      <c r="T3345" s="43"/>
      <c r="U3345" s="43"/>
      <c r="V3345" s="43"/>
      <c r="W3345" s="43"/>
      <c r="X3345" s="43"/>
      <c r="Y3345" s="43"/>
      <c r="Z3345" s="43"/>
    </row>
    <row r="3346" spans="15:26" x14ac:dyDescent="0.25">
      <c r="O3346" s="43"/>
      <c r="P3346" s="43"/>
      <c r="Q3346" s="43"/>
      <c r="R3346" s="43"/>
      <c r="S3346" s="43"/>
      <c r="T3346" s="43"/>
      <c r="U3346" s="43"/>
      <c r="V3346" s="43"/>
      <c r="W3346" s="43"/>
      <c r="X3346" s="43"/>
      <c r="Y3346" s="43"/>
      <c r="Z3346" s="43"/>
    </row>
    <row r="3347" spans="15:26" x14ac:dyDescent="0.25">
      <c r="O3347" s="43"/>
      <c r="P3347" s="43"/>
      <c r="Q3347" s="43"/>
      <c r="R3347" s="43"/>
      <c r="S3347" s="43"/>
      <c r="T3347" s="43"/>
      <c r="U3347" s="43"/>
      <c r="V3347" s="43"/>
      <c r="W3347" s="43"/>
      <c r="X3347" s="43"/>
      <c r="Y3347" s="43"/>
      <c r="Z3347" s="43"/>
    </row>
    <row r="3348" spans="15:26" x14ac:dyDescent="0.25">
      <c r="O3348" s="43"/>
      <c r="P3348" s="43"/>
      <c r="Q3348" s="43"/>
      <c r="R3348" s="43"/>
      <c r="S3348" s="43"/>
      <c r="T3348" s="43"/>
      <c r="U3348" s="43"/>
      <c r="V3348" s="43"/>
      <c r="W3348" s="43"/>
      <c r="X3348" s="43"/>
      <c r="Y3348" s="43"/>
      <c r="Z3348" s="43"/>
    </row>
    <row r="3349" spans="15:26" x14ac:dyDescent="0.25">
      <c r="O3349" s="43"/>
      <c r="P3349" s="43"/>
      <c r="Q3349" s="43"/>
      <c r="R3349" s="43"/>
      <c r="S3349" s="43"/>
      <c r="T3349" s="43"/>
      <c r="U3349" s="43"/>
      <c r="V3349" s="43"/>
      <c r="W3349" s="43"/>
      <c r="X3349" s="43"/>
      <c r="Y3349" s="43"/>
      <c r="Z3349" s="43"/>
    </row>
    <row r="3350" spans="15:26" x14ac:dyDescent="0.25">
      <c r="O3350" s="43"/>
      <c r="P3350" s="43"/>
      <c r="Q3350" s="43"/>
      <c r="R3350" s="43"/>
      <c r="S3350" s="43"/>
      <c r="T3350" s="43"/>
      <c r="U3350" s="43"/>
      <c r="V3350" s="43"/>
      <c r="W3350" s="43"/>
      <c r="X3350" s="43"/>
      <c r="Y3350" s="43"/>
      <c r="Z3350" s="43"/>
    </row>
    <row r="3351" spans="15:26" x14ac:dyDescent="0.25">
      <c r="O3351" s="43"/>
      <c r="P3351" s="43"/>
      <c r="Q3351" s="43"/>
      <c r="R3351" s="43"/>
      <c r="S3351" s="43"/>
      <c r="T3351" s="43"/>
      <c r="U3351" s="43"/>
      <c r="V3351" s="43"/>
      <c r="W3351" s="43"/>
      <c r="X3351" s="43"/>
      <c r="Y3351" s="43"/>
      <c r="Z3351" s="43"/>
    </row>
    <row r="3352" spans="15:26" x14ac:dyDescent="0.25">
      <c r="O3352" s="43"/>
      <c r="P3352" s="43"/>
      <c r="Q3352" s="43"/>
      <c r="R3352" s="43"/>
      <c r="S3352" s="43"/>
      <c r="T3352" s="43"/>
      <c r="U3352" s="43"/>
      <c r="V3352" s="43"/>
      <c r="W3352" s="43"/>
      <c r="X3352" s="43"/>
      <c r="Y3352" s="43"/>
      <c r="Z3352" s="43"/>
    </row>
    <row r="3353" spans="15:26" x14ac:dyDescent="0.25">
      <c r="O3353" s="43"/>
      <c r="P3353" s="43"/>
      <c r="Q3353" s="43"/>
      <c r="R3353" s="43"/>
      <c r="S3353" s="43"/>
      <c r="T3353" s="43"/>
      <c r="U3353" s="43"/>
      <c r="V3353" s="43"/>
      <c r="W3353" s="43"/>
      <c r="X3353" s="43"/>
      <c r="Y3353" s="43"/>
      <c r="Z3353" s="43"/>
    </row>
    <row r="3354" spans="15:26" x14ac:dyDescent="0.25">
      <c r="O3354" s="43"/>
      <c r="P3354" s="43"/>
      <c r="Q3354" s="43"/>
      <c r="R3354" s="43"/>
      <c r="S3354" s="43"/>
      <c r="T3354" s="43"/>
      <c r="U3354" s="43"/>
      <c r="V3354" s="43"/>
      <c r="W3354" s="43"/>
      <c r="X3354" s="43"/>
      <c r="Y3354" s="43"/>
      <c r="Z3354" s="43"/>
    </row>
    <row r="3355" spans="15:26" x14ac:dyDescent="0.25">
      <c r="O3355" s="43"/>
      <c r="P3355" s="43"/>
      <c r="Q3355" s="43"/>
      <c r="R3355" s="43"/>
      <c r="S3355" s="43"/>
      <c r="T3355" s="43"/>
      <c r="U3355" s="43"/>
      <c r="V3355" s="43"/>
      <c r="W3355" s="43"/>
      <c r="X3355" s="43"/>
      <c r="Y3355" s="43"/>
      <c r="Z3355" s="43"/>
    </row>
    <row r="3356" spans="15:26" x14ac:dyDescent="0.25">
      <c r="O3356" s="43"/>
      <c r="P3356" s="43"/>
      <c r="Q3356" s="43"/>
      <c r="R3356" s="43"/>
      <c r="S3356" s="43"/>
      <c r="T3356" s="43"/>
      <c r="U3356" s="43"/>
      <c r="V3356" s="43"/>
      <c r="W3356" s="43"/>
      <c r="X3356" s="43"/>
      <c r="Y3356" s="43"/>
      <c r="Z3356" s="43"/>
    </row>
    <row r="3357" spans="15:26" x14ac:dyDescent="0.25">
      <c r="O3357" s="43"/>
      <c r="P3357" s="43"/>
      <c r="Q3357" s="43"/>
      <c r="R3357" s="43"/>
      <c r="S3357" s="43"/>
      <c r="T3357" s="43"/>
      <c r="U3357" s="43"/>
      <c r="V3357" s="43"/>
      <c r="W3357" s="43"/>
      <c r="X3357" s="43"/>
      <c r="Y3357" s="43"/>
      <c r="Z3357" s="43"/>
    </row>
    <row r="3358" spans="15:26" x14ac:dyDescent="0.25">
      <c r="O3358" s="43"/>
      <c r="P3358" s="43"/>
      <c r="Q3358" s="43"/>
      <c r="R3358" s="43"/>
      <c r="S3358" s="43"/>
      <c r="T3358" s="43"/>
      <c r="U3358" s="43"/>
      <c r="V3358" s="43"/>
      <c r="W3358" s="43"/>
      <c r="X3358" s="43"/>
      <c r="Y3358" s="43"/>
      <c r="Z3358" s="43"/>
    </row>
    <row r="3359" spans="15:26" x14ac:dyDescent="0.25">
      <c r="O3359" s="43"/>
      <c r="P3359" s="43"/>
      <c r="Q3359" s="43"/>
      <c r="R3359" s="43"/>
      <c r="S3359" s="43"/>
      <c r="T3359" s="43"/>
      <c r="U3359" s="43"/>
      <c r="V3359" s="43"/>
      <c r="W3359" s="43"/>
      <c r="X3359" s="43"/>
      <c r="Y3359" s="43"/>
      <c r="Z3359" s="43"/>
    </row>
    <row r="3360" spans="15:26" x14ac:dyDescent="0.25">
      <c r="O3360" s="43"/>
      <c r="P3360" s="43"/>
      <c r="Q3360" s="43"/>
      <c r="R3360" s="43"/>
      <c r="S3360" s="43"/>
      <c r="T3360" s="43"/>
      <c r="U3360" s="43"/>
      <c r="V3360" s="43"/>
      <c r="W3360" s="43"/>
      <c r="X3360" s="43"/>
      <c r="Y3360" s="43"/>
      <c r="Z3360" s="43"/>
    </row>
    <row r="3361" spans="15:26" x14ac:dyDescent="0.25">
      <c r="O3361" s="43"/>
      <c r="P3361" s="43"/>
      <c r="Q3361" s="43"/>
      <c r="R3361" s="43"/>
      <c r="S3361" s="43"/>
      <c r="T3361" s="43"/>
      <c r="U3361" s="43"/>
      <c r="V3361" s="43"/>
      <c r="W3361" s="43"/>
      <c r="X3361" s="43"/>
      <c r="Y3361" s="43"/>
      <c r="Z3361" s="43"/>
    </row>
    <row r="3362" spans="15:26" x14ac:dyDescent="0.25">
      <c r="O3362" s="43"/>
      <c r="P3362" s="43"/>
      <c r="Q3362" s="43"/>
      <c r="R3362" s="43"/>
      <c r="S3362" s="43"/>
      <c r="T3362" s="43"/>
      <c r="U3362" s="43"/>
      <c r="V3362" s="43"/>
      <c r="W3362" s="43"/>
      <c r="X3362" s="43"/>
      <c r="Y3362" s="43"/>
      <c r="Z3362" s="43"/>
    </row>
    <row r="3363" spans="15:26" x14ac:dyDescent="0.25">
      <c r="O3363" s="43"/>
      <c r="P3363" s="43"/>
      <c r="Q3363" s="43"/>
      <c r="R3363" s="43"/>
      <c r="S3363" s="43"/>
      <c r="T3363" s="43"/>
      <c r="U3363" s="43"/>
      <c r="V3363" s="43"/>
      <c r="W3363" s="43"/>
      <c r="X3363" s="43"/>
      <c r="Y3363" s="43"/>
      <c r="Z3363" s="43"/>
    </row>
    <row r="3364" spans="15:26" x14ac:dyDescent="0.25">
      <c r="O3364" s="43"/>
      <c r="P3364" s="43"/>
      <c r="Q3364" s="43"/>
      <c r="R3364" s="43"/>
      <c r="S3364" s="43"/>
      <c r="T3364" s="43"/>
      <c r="U3364" s="43"/>
      <c r="V3364" s="43"/>
      <c r="W3364" s="43"/>
      <c r="X3364" s="43"/>
      <c r="Y3364" s="43"/>
      <c r="Z3364" s="43"/>
    </row>
    <row r="3365" spans="15:26" x14ac:dyDescent="0.25">
      <c r="O3365" s="43"/>
      <c r="P3365" s="43"/>
      <c r="Q3365" s="43"/>
      <c r="R3365" s="43"/>
      <c r="S3365" s="43"/>
      <c r="T3365" s="43"/>
      <c r="U3365" s="43"/>
      <c r="V3365" s="43"/>
      <c r="W3365" s="43"/>
      <c r="X3365" s="43"/>
      <c r="Y3365" s="43"/>
      <c r="Z3365" s="43"/>
    </row>
    <row r="3366" spans="15:26" x14ac:dyDescent="0.25">
      <c r="O3366" s="43"/>
      <c r="P3366" s="43"/>
      <c r="Q3366" s="43"/>
      <c r="R3366" s="43"/>
      <c r="S3366" s="43"/>
      <c r="T3366" s="43"/>
      <c r="U3366" s="43"/>
      <c r="V3366" s="43"/>
      <c r="W3366" s="43"/>
      <c r="X3366" s="43"/>
      <c r="Y3366" s="43"/>
      <c r="Z3366" s="43"/>
    </row>
    <row r="3367" spans="15:26" x14ac:dyDescent="0.25">
      <c r="O3367" s="43"/>
      <c r="P3367" s="43"/>
      <c r="Q3367" s="43"/>
      <c r="R3367" s="43"/>
      <c r="S3367" s="43"/>
      <c r="T3367" s="43"/>
      <c r="U3367" s="43"/>
      <c r="V3367" s="43"/>
      <c r="W3367" s="43"/>
      <c r="X3367" s="43"/>
      <c r="Y3367" s="43"/>
      <c r="Z3367" s="43"/>
    </row>
    <row r="3368" spans="15:26" x14ac:dyDescent="0.25">
      <c r="O3368" s="43"/>
      <c r="P3368" s="43"/>
      <c r="Q3368" s="43"/>
      <c r="R3368" s="43"/>
      <c r="S3368" s="43"/>
      <c r="T3368" s="43"/>
      <c r="U3368" s="43"/>
      <c r="V3368" s="43"/>
      <c r="W3368" s="43"/>
      <c r="X3368" s="43"/>
      <c r="Y3368" s="43"/>
      <c r="Z3368" s="43"/>
    </row>
    <row r="3369" spans="15:26" x14ac:dyDescent="0.25">
      <c r="O3369" s="43"/>
      <c r="P3369" s="43"/>
      <c r="Q3369" s="43"/>
      <c r="R3369" s="43"/>
      <c r="S3369" s="43"/>
      <c r="T3369" s="43"/>
      <c r="U3369" s="43"/>
      <c r="V3369" s="43"/>
      <c r="W3369" s="43"/>
      <c r="X3369" s="43"/>
      <c r="Y3369" s="43"/>
      <c r="Z3369" s="43"/>
    </row>
    <row r="3370" spans="15:26" x14ac:dyDescent="0.25">
      <c r="O3370" s="43"/>
      <c r="P3370" s="43"/>
      <c r="Q3370" s="43"/>
      <c r="R3370" s="43"/>
      <c r="S3370" s="43"/>
      <c r="T3370" s="43"/>
      <c r="U3370" s="43"/>
      <c r="V3370" s="43"/>
      <c r="W3370" s="43"/>
      <c r="X3370" s="43"/>
      <c r="Y3370" s="43"/>
      <c r="Z3370" s="43"/>
    </row>
    <row r="3371" spans="15:26" x14ac:dyDescent="0.25">
      <c r="O3371" s="43"/>
      <c r="P3371" s="43"/>
      <c r="Q3371" s="43"/>
      <c r="R3371" s="43"/>
      <c r="S3371" s="43"/>
      <c r="T3371" s="43"/>
      <c r="U3371" s="43"/>
      <c r="V3371" s="43"/>
      <c r="W3371" s="43"/>
      <c r="X3371" s="43"/>
      <c r="Y3371" s="43"/>
      <c r="Z3371" s="43"/>
    </row>
    <row r="3372" spans="15:26" x14ac:dyDescent="0.25">
      <c r="O3372" s="43"/>
      <c r="P3372" s="43"/>
      <c r="Q3372" s="43"/>
      <c r="R3372" s="43"/>
      <c r="S3372" s="43"/>
      <c r="T3372" s="43"/>
      <c r="U3372" s="43"/>
      <c r="V3372" s="43"/>
      <c r="W3372" s="43"/>
      <c r="X3372" s="43"/>
      <c r="Y3372" s="43"/>
      <c r="Z3372" s="43"/>
    </row>
    <row r="3373" spans="15:26" x14ac:dyDescent="0.25">
      <c r="O3373" s="43"/>
      <c r="P3373" s="43"/>
      <c r="Q3373" s="43"/>
      <c r="R3373" s="43"/>
      <c r="S3373" s="43"/>
      <c r="T3373" s="43"/>
      <c r="U3373" s="43"/>
      <c r="V3373" s="43"/>
      <c r="W3373" s="43"/>
      <c r="X3373" s="43"/>
      <c r="Y3373" s="43"/>
      <c r="Z3373" s="43"/>
    </row>
    <row r="3374" spans="15:26" x14ac:dyDescent="0.25">
      <c r="O3374" s="43"/>
      <c r="P3374" s="43"/>
      <c r="Q3374" s="43"/>
      <c r="R3374" s="43"/>
      <c r="S3374" s="43"/>
      <c r="T3374" s="43"/>
      <c r="U3374" s="43"/>
      <c r="V3374" s="43"/>
      <c r="W3374" s="43"/>
      <c r="X3374" s="43"/>
      <c r="Y3374" s="43"/>
      <c r="Z3374" s="43"/>
    </row>
    <row r="3375" spans="15:26" x14ac:dyDescent="0.25">
      <c r="O3375" s="43"/>
      <c r="P3375" s="43"/>
      <c r="Q3375" s="43"/>
      <c r="R3375" s="43"/>
      <c r="S3375" s="43"/>
      <c r="T3375" s="43"/>
      <c r="U3375" s="43"/>
      <c r="V3375" s="43"/>
      <c r="W3375" s="43"/>
      <c r="X3375" s="43"/>
      <c r="Y3375" s="43"/>
      <c r="Z3375" s="43"/>
    </row>
    <row r="3376" spans="15:26" x14ac:dyDescent="0.25">
      <c r="O3376" s="43"/>
      <c r="P3376" s="43"/>
      <c r="Q3376" s="43"/>
      <c r="R3376" s="43"/>
      <c r="S3376" s="43"/>
      <c r="T3376" s="43"/>
      <c r="U3376" s="43"/>
      <c r="V3376" s="43"/>
      <c r="W3376" s="43"/>
      <c r="X3376" s="43"/>
      <c r="Y3376" s="43"/>
      <c r="Z3376" s="43"/>
    </row>
    <row r="3377" spans="15:26" x14ac:dyDescent="0.25">
      <c r="O3377" s="43"/>
      <c r="P3377" s="43"/>
      <c r="Q3377" s="43"/>
      <c r="R3377" s="43"/>
      <c r="S3377" s="43"/>
      <c r="T3377" s="43"/>
      <c r="U3377" s="43"/>
      <c r="V3377" s="43"/>
      <c r="W3377" s="43"/>
      <c r="X3377" s="43"/>
      <c r="Y3377" s="43"/>
      <c r="Z3377" s="43"/>
    </row>
    <row r="3378" spans="15:26" x14ac:dyDescent="0.25">
      <c r="O3378" s="43"/>
      <c r="P3378" s="43"/>
      <c r="Q3378" s="43"/>
      <c r="R3378" s="43"/>
      <c r="S3378" s="43"/>
      <c r="T3378" s="43"/>
      <c r="U3378" s="43"/>
      <c r="V3378" s="43"/>
      <c r="W3378" s="43"/>
      <c r="X3378" s="43"/>
      <c r="Y3378" s="43"/>
      <c r="Z3378" s="43"/>
    </row>
    <row r="3379" spans="15:26" x14ac:dyDescent="0.25">
      <c r="O3379" s="43"/>
      <c r="P3379" s="43"/>
      <c r="Q3379" s="43"/>
      <c r="R3379" s="43"/>
      <c r="S3379" s="43"/>
      <c r="T3379" s="43"/>
      <c r="U3379" s="43"/>
      <c r="V3379" s="43"/>
      <c r="W3379" s="43"/>
      <c r="X3379" s="43"/>
      <c r="Y3379" s="43"/>
      <c r="Z3379" s="43"/>
    </row>
    <row r="3380" spans="15:26" x14ac:dyDescent="0.25">
      <c r="O3380" s="43"/>
      <c r="P3380" s="43"/>
      <c r="Q3380" s="43"/>
      <c r="R3380" s="43"/>
      <c r="S3380" s="43"/>
      <c r="T3380" s="43"/>
      <c r="U3380" s="43"/>
      <c r="V3380" s="43"/>
      <c r="W3380" s="43"/>
      <c r="X3380" s="43"/>
      <c r="Y3380" s="43"/>
      <c r="Z3380" s="43"/>
    </row>
    <row r="3381" spans="15:26" x14ac:dyDescent="0.25">
      <c r="O3381" s="43"/>
      <c r="P3381" s="43"/>
      <c r="Q3381" s="43"/>
      <c r="R3381" s="43"/>
      <c r="S3381" s="43"/>
      <c r="T3381" s="43"/>
      <c r="U3381" s="43"/>
      <c r="V3381" s="43"/>
      <c r="W3381" s="43"/>
      <c r="X3381" s="43"/>
      <c r="Y3381" s="43"/>
      <c r="Z3381" s="43"/>
    </row>
    <row r="3382" spans="15:26" x14ac:dyDescent="0.25">
      <c r="O3382" s="43"/>
      <c r="P3382" s="43"/>
      <c r="Q3382" s="43"/>
      <c r="R3382" s="43"/>
      <c r="S3382" s="43"/>
      <c r="T3382" s="43"/>
      <c r="U3382" s="43"/>
      <c r="V3382" s="43"/>
      <c r="W3382" s="43"/>
      <c r="X3382" s="43"/>
      <c r="Y3382" s="43"/>
      <c r="Z3382" s="43"/>
    </row>
    <row r="3383" spans="15:26" x14ac:dyDescent="0.25">
      <c r="O3383" s="43"/>
      <c r="P3383" s="43"/>
      <c r="Q3383" s="43"/>
      <c r="R3383" s="43"/>
      <c r="S3383" s="43"/>
      <c r="T3383" s="43"/>
      <c r="U3383" s="43"/>
      <c r="V3383" s="43"/>
      <c r="W3383" s="43"/>
      <c r="X3383" s="43"/>
      <c r="Y3383" s="43"/>
      <c r="Z3383" s="43"/>
    </row>
    <row r="3384" spans="15:26" x14ac:dyDescent="0.25">
      <c r="O3384" s="43"/>
      <c r="P3384" s="43"/>
      <c r="Q3384" s="43"/>
      <c r="R3384" s="43"/>
      <c r="S3384" s="43"/>
      <c r="T3384" s="43"/>
      <c r="U3384" s="43"/>
      <c r="V3384" s="43"/>
      <c r="W3384" s="43"/>
      <c r="X3384" s="43"/>
      <c r="Y3384" s="43"/>
      <c r="Z3384" s="43"/>
    </row>
    <row r="3385" spans="15:26" x14ac:dyDescent="0.25">
      <c r="O3385" s="43"/>
      <c r="P3385" s="43"/>
      <c r="Q3385" s="43"/>
      <c r="R3385" s="43"/>
      <c r="S3385" s="43"/>
      <c r="T3385" s="43"/>
      <c r="U3385" s="43"/>
      <c r="V3385" s="43"/>
      <c r="W3385" s="43"/>
      <c r="X3385" s="43"/>
      <c r="Y3385" s="43"/>
      <c r="Z3385" s="43"/>
    </row>
    <row r="3386" spans="15:26" x14ac:dyDescent="0.25">
      <c r="O3386" s="43"/>
      <c r="P3386" s="43"/>
      <c r="Q3386" s="43"/>
      <c r="R3386" s="43"/>
      <c r="S3386" s="43"/>
      <c r="T3386" s="43"/>
      <c r="U3386" s="43"/>
      <c r="V3386" s="43"/>
      <c r="W3386" s="43"/>
      <c r="X3386" s="43"/>
      <c r="Y3386" s="43"/>
      <c r="Z3386" s="43"/>
    </row>
    <row r="3387" spans="15:26" x14ac:dyDescent="0.25">
      <c r="O3387" s="43"/>
      <c r="P3387" s="43"/>
      <c r="Q3387" s="43"/>
      <c r="R3387" s="43"/>
      <c r="S3387" s="43"/>
      <c r="T3387" s="43"/>
      <c r="U3387" s="43"/>
      <c r="V3387" s="43"/>
      <c r="W3387" s="43"/>
      <c r="X3387" s="43"/>
      <c r="Y3387" s="43"/>
      <c r="Z3387" s="43"/>
    </row>
    <row r="3388" spans="15:26" x14ac:dyDescent="0.25">
      <c r="O3388" s="43"/>
      <c r="P3388" s="43"/>
      <c r="Q3388" s="43"/>
      <c r="R3388" s="43"/>
      <c r="S3388" s="43"/>
      <c r="T3388" s="43"/>
      <c r="U3388" s="43"/>
      <c r="V3388" s="43"/>
      <c r="W3388" s="43"/>
      <c r="X3388" s="43"/>
      <c r="Y3388" s="43"/>
      <c r="Z3388" s="43"/>
    </row>
    <row r="3389" spans="15:26" x14ac:dyDescent="0.25">
      <c r="O3389" s="43"/>
      <c r="P3389" s="43"/>
      <c r="Q3389" s="43"/>
      <c r="R3389" s="43"/>
      <c r="S3389" s="43"/>
      <c r="T3389" s="43"/>
      <c r="U3389" s="43"/>
      <c r="V3389" s="43"/>
      <c r="W3389" s="43"/>
      <c r="X3389" s="43"/>
      <c r="Y3389" s="43"/>
      <c r="Z3389" s="43"/>
    </row>
    <row r="3390" spans="15:26" x14ac:dyDescent="0.25">
      <c r="O3390" s="43"/>
      <c r="P3390" s="43"/>
      <c r="Q3390" s="43"/>
      <c r="R3390" s="43"/>
      <c r="S3390" s="43"/>
      <c r="T3390" s="43"/>
      <c r="U3390" s="43"/>
      <c r="V3390" s="43"/>
      <c r="W3390" s="43"/>
      <c r="X3390" s="43"/>
      <c r="Y3390" s="43"/>
      <c r="Z3390" s="43"/>
    </row>
    <row r="3391" spans="15:26" x14ac:dyDescent="0.25">
      <c r="O3391" s="43"/>
      <c r="P3391" s="43"/>
      <c r="Q3391" s="43"/>
      <c r="R3391" s="43"/>
      <c r="S3391" s="43"/>
      <c r="T3391" s="43"/>
      <c r="U3391" s="43"/>
      <c r="V3391" s="43"/>
      <c r="W3391" s="43"/>
      <c r="X3391" s="43"/>
      <c r="Y3391" s="43"/>
      <c r="Z3391" s="43"/>
    </row>
    <row r="3392" spans="15:26" x14ac:dyDescent="0.25">
      <c r="O3392" s="43"/>
      <c r="P3392" s="43"/>
      <c r="Q3392" s="43"/>
      <c r="R3392" s="43"/>
      <c r="S3392" s="43"/>
      <c r="T3392" s="43"/>
      <c r="U3392" s="43"/>
      <c r="V3392" s="43"/>
      <c r="W3392" s="43"/>
      <c r="X3392" s="43"/>
      <c r="Y3392" s="43"/>
      <c r="Z3392" s="43"/>
    </row>
    <row r="3393" spans="15:26" x14ac:dyDescent="0.25">
      <c r="O3393" s="43"/>
      <c r="P3393" s="43"/>
      <c r="Q3393" s="43"/>
      <c r="R3393" s="43"/>
      <c r="S3393" s="43"/>
      <c r="T3393" s="43"/>
      <c r="U3393" s="43"/>
      <c r="V3393" s="43"/>
      <c r="W3393" s="43"/>
      <c r="X3393" s="43"/>
      <c r="Y3393" s="43"/>
      <c r="Z3393" s="43"/>
    </row>
    <row r="3394" spans="15:26" x14ac:dyDescent="0.25">
      <c r="O3394" s="43"/>
      <c r="P3394" s="43"/>
      <c r="Q3394" s="43"/>
      <c r="R3394" s="43"/>
      <c r="S3394" s="43"/>
      <c r="T3394" s="43"/>
      <c r="U3394" s="43"/>
      <c r="V3394" s="43"/>
      <c r="W3394" s="43"/>
      <c r="X3394" s="43"/>
      <c r="Y3394" s="43"/>
      <c r="Z3394" s="43"/>
    </row>
    <row r="3395" spans="15:26" x14ac:dyDescent="0.25">
      <c r="O3395" s="43"/>
      <c r="P3395" s="43"/>
      <c r="Q3395" s="43"/>
      <c r="R3395" s="43"/>
      <c r="S3395" s="43"/>
      <c r="T3395" s="43"/>
      <c r="U3395" s="43"/>
      <c r="V3395" s="43"/>
      <c r="W3395" s="43"/>
      <c r="X3395" s="43"/>
      <c r="Y3395" s="43"/>
      <c r="Z3395" s="43"/>
    </row>
    <row r="3396" spans="15:26" x14ac:dyDescent="0.25">
      <c r="O3396" s="43"/>
      <c r="P3396" s="43"/>
      <c r="Q3396" s="43"/>
      <c r="R3396" s="43"/>
      <c r="S3396" s="43"/>
      <c r="T3396" s="43"/>
      <c r="U3396" s="43"/>
      <c r="V3396" s="43"/>
      <c r="W3396" s="43"/>
      <c r="X3396" s="43"/>
      <c r="Y3396" s="43"/>
      <c r="Z3396" s="43"/>
    </row>
    <row r="3397" spans="15:26" x14ac:dyDescent="0.25">
      <c r="O3397" s="43"/>
      <c r="P3397" s="43"/>
      <c r="Q3397" s="43"/>
      <c r="R3397" s="43"/>
      <c r="S3397" s="43"/>
      <c r="T3397" s="43"/>
      <c r="U3397" s="43"/>
      <c r="V3397" s="43"/>
      <c r="W3397" s="43"/>
      <c r="X3397" s="43"/>
      <c r="Y3397" s="43"/>
      <c r="Z3397" s="43"/>
    </row>
    <row r="3398" spans="15:26" x14ac:dyDescent="0.25">
      <c r="O3398" s="43"/>
      <c r="P3398" s="43"/>
      <c r="Q3398" s="43"/>
      <c r="R3398" s="43"/>
      <c r="S3398" s="43"/>
      <c r="T3398" s="43"/>
      <c r="U3398" s="43"/>
      <c r="V3398" s="43"/>
      <c r="W3398" s="43"/>
      <c r="X3398" s="43"/>
      <c r="Y3398" s="43"/>
      <c r="Z3398" s="43"/>
    </row>
    <row r="3399" spans="15:26" x14ac:dyDescent="0.25">
      <c r="O3399" s="43"/>
      <c r="P3399" s="43"/>
      <c r="Q3399" s="43"/>
      <c r="R3399" s="43"/>
      <c r="S3399" s="43"/>
      <c r="T3399" s="43"/>
      <c r="U3399" s="43"/>
      <c r="V3399" s="43"/>
      <c r="W3399" s="43"/>
      <c r="X3399" s="43"/>
      <c r="Y3399" s="43"/>
      <c r="Z3399" s="43"/>
    </row>
    <row r="3400" spans="15:26" x14ac:dyDescent="0.25">
      <c r="O3400" s="43"/>
      <c r="P3400" s="43"/>
      <c r="Q3400" s="43"/>
      <c r="R3400" s="43"/>
      <c r="S3400" s="43"/>
      <c r="T3400" s="43"/>
      <c r="U3400" s="43"/>
      <c r="V3400" s="43"/>
      <c r="W3400" s="43"/>
      <c r="X3400" s="43"/>
      <c r="Y3400" s="43"/>
      <c r="Z3400" s="43"/>
    </row>
    <row r="3401" spans="15:26" x14ac:dyDescent="0.25">
      <c r="O3401" s="43"/>
      <c r="P3401" s="43"/>
      <c r="Q3401" s="43"/>
      <c r="R3401" s="43"/>
      <c r="S3401" s="43"/>
      <c r="T3401" s="43"/>
      <c r="U3401" s="43"/>
      <c r="V3401" s="43"/>
      <c r="W3401" s="43"/>
      <c r="X3401" s="43"/>
      <c r="Y3401" s="43"/>
      <c r="Z3401" s="43"/>
    </row>
    <row r="3402" spans="15:26" x14ac:dyDescent="0.25">
      <c r="O3402" s="43"/>
      <c r="P3402" s="43"/>
      <c r="Q3402" s="43"/>
      <c r="R3402" s="43"/>
      <c r="S3402" s="43"/>
      <c r="T3402" s="43"/>
      <c r="U3402" s="43"/>
      <c r="V3402" s="43"/>
      <c r="W3402" s="43"/>
      <c r="X3402" s="43"/>
      <c r="Y3402" s="43"/>
      <c r="Z3402" s="43"/>
    </row>
    <row r="3403" spans="15:26" x14ac:dyDescent="0.25">
      <c r="O3403" s="43"/>
      <c r="P3403" s="43"/>
      <c r="Q3403" s="43"/>
      <c r="R3403" s="43"/>
      <c r="S3403" s="43"/>
      <c r="T3403" s="43"/>
      <c r="U3403" s="43"/>
      <c r="V3403" s="43"/>
      <c r="W3403" s="43"/>
      <c r="X3403" s="43"/>
      <c r="Y3403" s="43"/>
      <c r="Z3403" s="43"/>
    </row>
    <row r="3404" spans="15:26" x14ac:dyDescent="0.25">
      <c r="O3404" s="43"/>
      <c r="P3404" s="43"/>
      <c r="Q3404" s="43"/>
      <c r="R3404" s="43"/>
      <c r="S3404" s="43"/>
      <c r="T3404" s="43"/>
      <c r="U3404" s="43"/>
      <c r="V3404" s="43"/>
      <c r="W3404" s="43"/>
      <c r="X3404" s="43"/>
      <c r="Y3404" s="43"/>
      <c r="Z3404" s="43"/>
    </row>
    <row r="3405" spans="15:26" x14ac:dyDescent="0.25">
      <c r="O3405" s="43"/>
      <c r="P3405" s="43"/>
      <c r="Q3405" s="43"/>
      <c r="R3405" s="43"/>
      <c r="S3405" s="43"/>
      <c r="T3405" s="43"/>
      <c r="U3405" s="43"/>
      <c r="V3405" s="43"/>
      <c r="W3405" s="43"/>
      <c r="X3405" s="43"/>
      <c r="Y3405" s="43"/>
      <c r="Z3405" s="43"/>
    </row>
    <row r="3406" spans="15:26" x14ac:dyDescent="0.25">
      <c r="O3406" s="43"/>
      <c r="P3406" s="43"/>
      <c r="Q3406" s="43"/>
      <c r="R3406" s="43"/>
      <c r="S3406" s="43"/>
      <c r="T3406" s="43"/>
      <c r="U3406" s="43"/>
      <c r="V3406" s="43"/>
      <c r="W3406" s="43"/>
      <c r="X3406" s="43"/>
      <c r="Y3406" s="43"/>
      <c r="Z3406" s="43"/>
    </row>
    <row r="3407" spans="15:26" x14ac:dyDescent="0.25">
      <c r="O3407" s="43"/>
      <c r="P3407" s="43"/>
      <c r="Q3407" s="43"/>
      <c r="R3407" s="43"/>
      <c r="S3407" s="43"/>
      <c r="T3407" s="43"/>
      <c r="U3407" s="43"/>
      <c r="V3407" s="43"/>
      <c r="W3407" s="43"/>
      <c r="X3407" s="43"/>
      <c r="Y3407" s="43"/>
      <c r="Z3407" s="43"/>
    </row>
    <row r="3408" spans="15:26" x14ac:dyDescent="0.25">
      <c r="O3408" s="43"/>
      <c r="P3408" s="43"/>
      <c r="Q3408" s="43"/>
      <c r="R3408" s="43"/>
      <c r="S3408" s="43"/>
      <c r="T3408" s="43"/>
      <c r="U3408" s="43"/>
      <c r="V3408" s="43"/>
      <c r="W3408" s="43"/>
      <c r="X3408" s="43"/>
      <c r="Y3408" s="43"/>
      <c r="Z3408" s="43"/>
    </row>
    <row r="3409" spans="15:26" x14ac:dyDescent="0.25">
      <c r="O3409" s="43"/>
      <c r="P3409" s="43"/>
      <c r="Q3409" s="43"/>
      <c r="R3409" s="43"/>
      <c r="S3409" s="43"/>
      <c r="T3409" s="43"/>
      <c r="U3409" s="43"/>
      <c r="V3409" s="43"/>
      <c r="W3409" s="43"/>
      <c r="X3409" s="43"/>
      <c r="Y3409" s="43"/>
      <c r="Z3409" s="43"/>
    </row>
    <row r="3410" spans="15:26" x14ac:dyDescent="0.25">
      <c r="O3410" s="43"/>
      <c r="P3410" s="43"/>
      <c r="Q3410" s="43"/>
      <c r="R3410" s="43"/>
      <c r="S3410" s="43"/>
      <c r="T3410" s="43"/>
      <c r="U3410" s="43"/>
      <c r="V3410" s="43"/>
      <c r="W3410" s="43"/>
      <c r="X3410" s="43"/>
      <c r="Y3410" s="43"/>
      <c r="Z3410" s="43"/>
    </row>
    <row r="3411" spans="15:26" x14ac:dyDescent="0.25">
      <c r="O3411" s="43"/>
      <c r="P3411" s="43"/>
      <c r="Q3411" s="43"/>
      <c r="R3411" s="43"/>
      <c r="S3411" s="43"/>
      <c r="T3411" s="43"/>
      <c r="U3411" s="43"/>
      <c r="V3411" s="43"/>
      <c r="W3411" s="43"/>
      <c r="X3411" s="43"/>
      <c r="Y3411" s="43"/>
      <c r="Z3411" s="43"/>
    </row>
    <row r="3412" spans="15:26" x14ac:dyDescent="0.25">
      <c r="O3412" s="43"/>
      <c r="P3412" s="43"/>
      <c r="Q3412" s="43"/>
      <c r="R3412" s="43"/>
      <c r="S3412" s="43"/>
      <c r="T3412" s="43"/>
      <c r="U3412" s="43"/>
      <c r="V3412" s="43"/>
      <c r="W3412" s="43"/>
      <c r="X3412" s="43"/>
      <c r="Y3412" s="43"/>
      <c r="Z3412" s="43"/>
    </row>
    <row r="3413" spans="15:26" x14ac:dyDescent="0.25">
      <c r="O3413" s="43"/>
      <c r="P3413" s="43"/>
      <c r="Q3413" s="43"/>
      <c r="R3413" s="43"/>
      <c r="S3413" s="43"/>
      <c r="T3413" s="43"/>
      <c r="U3413" s="43"/>
      <c r="V3413" s="43"/>
      <c r="W3413" s="43"/>
      <c r="X3413" s="43"/>
      <c r="Y3413" s="43"/>
      <c r="Z3413" s="43"/>
    </row>
    <row r="3414" spans="15:26" x14ac:dyDescent="0.25">
      <c r="O3414" s="43"/>
      <c r="P3414" s="43"/>
      <c r="Q3414" s="43"/>
      <c r="R3414" s="43"/>
      <c r="S3414" s="43"/>
      <c r="T3414" s="43"/>
      <c r="U3414" s="43"/>
      <c r="V3414" s="43"/>
      <c r="W3414" s="43"/>
      <c r="X3414" s="43"/>
      <c r="Y3414" s="43"/>
      <c r="Z3414" s="43"/>
    </row>
    <row r="3415" spans="15:26" x14ac:dyDescent="0.25">
      <c r="O3415" s="43"/>
      <c r="P3415" s="43"/>
      <c r="Q3415" s="43"/>
      <c r="R3415" s="43"/>
      <c r="S3415" s="43"/>
      <c r="T3415" s="43"/>
      <c r="U3415" s="43"/>
      <c r="V3415" s="43"/>
      <c r="W3415" s="43"/>
      <c r="X3415" s="43"/>
      <c r="Y3415" s="43"/>
      <c r="Z3415" s="43"/>
    </row>
    <row r="3416" spans="15:26" x14ac:dyDescent="0.25">
      <c r="O3416" s="43"/>
      <c r="P3416" s="43"/>
      <c r="Q3416" s="43"/>
      <c r="R3416" s="43"/>
      <c r="S3416" s="43"/>
      <c r="T3416" s="43"/>
      <c r="U3416" s="43"/>
      <c r="V3416" s="43"/>
      <c r="W3416" s="43"/>
      <c r="X3416" s="43"/>
      <c r="Y3416" s="43"/>
      <c r="Z3416" s="43"/>
    </row>
    <row r="3417" spans="15:26" x14ac:dyDescent="0.25">
      <c r="O3417" s="43"/>
      <c r="P3417" s="43"/>
      <c r="Q3417" s="43"/>
      <c r="R3417" s="43"/>
      <c r="S3417" s="43"/>
      <c r="T3417" s="43"/>
      <c r="U3417" s="43"/>
      <c r="V3417" s="43"/>
      <c r="W3417" s="43"/>
      <c r="X3417" s="43"/>
      <c r="Y3417" s="43"/>
      <c r="Z3417" s="43"/>
    </row>
    <row r="3418" spans="15:26" x14ac:dyDescent="0.25">
      <c r="O3418" s="43"/>
      <c r="P3418" s="43"/>
      <c r="Q3418" s="43"/>
      <c r="R3418" s="43"/>
      <c r="S3418" s="43"/>
      <c r="T3418" s="43"/>
      <c r="U3418" s="43"/>
      <c r="V3418" s="43"/>
      <c r="W3418" s="43"/>
      <c r="X3418" s="43"/>
      <c r="Y3418" s="43"/>
      <c r="Z3418" s="43"/>
    </row>
    <row r="3419" spans="15:26" x14ac:dyDescent="0.25">
      <c r="O3419" s="43"/>
      <c r="P3419" s="43"/>
      <c r="Q3419" s="43"/>
      <c r="R3419" s="43"/>
      <c r="S3419" s="43"/>
      <c r="T3419" s="43"/>
      <c r="U3419" s="43"/>
      <c r="V3419" s="43"/>
      <c r="W3419" s="43"/>
      <c r="X3419" s="43"/>
      <c r="Y3419" s="43"/>
      <c r="Z3419" s="43"/>
    </row>
    <row r="3420" spans="15:26" x14ac:dyDescent="0.25">
      <c r="O3420" s="43"/>
      <c r="P3420" s="43"/>
      <c r="Q3420" s="43"/>
      <c r="R3420" s="43"/>
      <c r="S3420" s="43"/>
      <c r="T3420" s="43"/>
      <c r="U3420" s="43"/>
      <c r="V3420" s="43"/>
      <c r="W3420" s="43"/>
      <c r="X3420" s="43"/>
      <c r="Y3420" s="43"/>
      <c r="Z3420" s="43"/>
    </row>
    <row r="3421" spans="15:26" x14ac:dyDescent="0.25">
      <c r="O3421" s="43"/>
      <c r="P3421" s="43"/>
      <c r="Q3421" s="43"/>
      <c r="R3421" s="43"/>
      <c r="S3421" s="43"/>
      <c r="T3421" s="43"/>
      <c r="U3421" s="43"/>
      <c r="V3421" s="43"/>
      <c r="W3421" s="43"/>
      <c r="X3421" s="43"/>
      <c r="Y3421" s="43"/>
      <c r="Z3421" s="43"/>
    </row>
    <row r="3422" spans="15:26" x14ac:dyDescent="0.25">
      <c r="O3422" s="43"/>
      <c r="P3422" s="43"/>
      <c r="Q3422" s="43"/>
      <c r="R3422" s="43"/>
      <c r="S3422" s="43"/>
      <c r="T3422" s="43"/>
      <c r="U3422" s="43"/>
      <c r="V3422" s="43"/>
      <c r="W3422" s="43"/>
      <c r="X3422" s="43"/>
      <c r="Y3422" s="43"/>
      <c r="Z3422" s="43"/>
    </row>
    <row r="3423" spans="15:26" x14ac:dyDescent="0.25">
      <c r="O3423" s="43"/>
      <c r="P3423" s="43"/>
      <c r="Q3423" s="43"/>
      <c r="R3423" s="43"/>
      <c r="S3423" s="43"/>
      <c r="T3423" s="43"/>
      <c r="U3423" s="43"/>
      <c r="V3423" s="43"/>
      <c r="W3423" s="43"/>
      <c r="X3423" s="43"/>
      <c r="Y3423" s="43"/>
      <c r="Z3423" s="43"/>
    </row>
    <row r="3424" spans="15:26" x14ac:dyDescent="0.25">
      <c r="O3424" s="43"/>
      <c r="P3424" s="43"/>
      <c r="Q3424" s="43"/>
      <c r="R3424" s="43"/>
      <c r="S3424" s="43"/>
      <c r="T3424" s="43"/>
      <c r="U3424" s="43"/>
      <c r="V3424" s="43"/>
      <c r="W3424" s="43"/>
      <c r="X3424" s="43"/>
      <c r="Y3424" s="43"/>
      <c r="Z3424" s="43"/>
    </row>
    <row r="3425" spans="15:26" x14ac:dyDescent="0.25">
      <c r="O3425" s="43"/>
      <c r="P3425" s="43"/>
      <c r="Q3425" s="43"/>
      <c r="R3425" s="43"/>
      <c r="S3425" s="43"/>
      <c r="T3425" s="43"/>
      <c r="U3425" s="43"/>
      <c r="V3425" s="43"/>
      <c r="W3425" s="43"/>
      <c r="X3425" s="43"/>
      <c r="Y3425" s="43"/>
      <c r="Z3425" s="43"/>
    </row>
    <row r="3426" spans="15:26" x14ac:dyDescent="0.25">
      <c r="O3426" s="43"/>
      <c r="P3426" s="43"/>
      <c r="Q3426" s="43"/>
      <c r="R3426" s="43"/>
      <c r="S3426" s="43"/>
      <c r="T3426" s="43"/>
      <c r="U3426" s="43"/>
      <c r="V3426" s="43"/>
      <c r="W3426" s="43"/>
      <c r="X3426" s="43"/>
      <c r="Y3426" s="43"/>
      <c r="Z3426" s="43"/>
    </row>
    <row r="3427" spans="15:26" x14ac:dyDescent="0.25">
      <c r="O3427" s="43"/>
      <c r="P3427" s="43"/>
      <c r="Q3427" s="43"/>
      <c r="R3427" s="43"/>
      <c r="S3427" s="43"/>
      <c r="T3427" s="43"/>
      <c r="U3427" s="43"/>
      <c r="V3427" s="43"/>
      <c r="W3427" s="43"/>
      <c r="X3427" s="43"/>
      <c r="Y3427" s="43"/>
      <c r="Z3427" s="43"/>
    </row>
    <row r="3428" spans="15:26" x14ac:dyDescent="0.25">
      <c r="O3428" s="43"/>
      <c r="P3428" s="43"/>
      <c r="Q3428" s="43"/>
      <c r="R3428" s="43"/>
      <c r="S3428" s="43"/>
      <c r="T3428" s="43"/>
      <c r="U3428" s="43"/>
      <c r="V3428" s="43"/>
      <c r="W3428" s="43"/>
      <c r="X3428" s="43"/>
      <c r="Y3428" s="43"/>
      <c r="Z3428" s="43"/>
    </row>
    <row r="3429" spans="15:26" x14ac:dyDescent="0.25">
      <c r="O3429" s="43"/>
      <c r="P3429" s="43"/>
      <c r="Q3429" s="43"/>
      <c r="R3429" s="43"/>
      <c r="S3429" s="43"/>
      <c r="T3429" s="43"/>
      <c r="U3429" s="43"/>
      <c r="V3429" s="43"/>
      <c r="W3429" s="43"/>
      <c r="X3429" s="43"/>
      <c r="Y3429" s="43"/>
      <c r="Z3429" s="43"/>
    </row>
    <row r="3430" spans="15:26" x14ac:dyDescent="0.25">
      <c r="O3430" s="43"/>
      <c r="P3430" s="43"/>
      <c r="Q3430" s="43"/>
      <c r="R3430" s="43"/>
      <c r="S3430" s="43"/>
      <c r="T3430" s="43"/>
      <c r="U3430" s="43"/>
      <c r="V3430" s="43"/>
      <c r="W3430" s="43"/>
      <c r="X3430" s="43"/>
      <c r="Y3430" s="43"/>
      <c r="Z3430" s="43"/>
    </row>
    <row r="3431" spans="15:26" x14ac:dyDescent="0.25">
      <c r="O3431" s="43"/>
      <c r="P3431" s="43"/>
      <c r="Q3431" s="43"/>
      <c r="R3431" s="43"/>
      <c r="S3431" s="43"/>
      <c r="T3431" s="43"/>
      <c r="U3431" s="43"/>
      <c r="V3431" s="43"/>
      <c r="W3431" s="43"/>
      <c r="X3431" s="43"/>
      <c r="Y3431" s="43"/>
      <c r="Z3431" s="43"/>
    </row>
    <row r="3432" spans="15:26" x14ac:dyDescent="0.25">
      <c r="O3432" s="43"/>
      <c r="P3432" s="43"/>
      <c r="Q3432" s="43"/>
      <c r="R3432" s="43"/>
      <c r="S3432" s="43"/>
      <c r="T3432" s="43"/>
      <c r="U3432" s="43"/>
      <c r="V3432" s="43"/>
      <c r="W3432" s="43"/>
      <c r="X3432" s="43"/>
      <c r="Y3432" s="43"/>
      <c r="Z3432" s="43"/>
    </row>
    <row r="3433" spans="15:26" x14ac:dyDescent="0.25">
      <c r="O3433" s="43"/>
      <c r="P3433" s="43"/>
      <c r="Q3433" s="43"/>
      <c r="R3433" s="43"/>
      <c r="S3433" s="43"/>
      <c r="T3433" s="43"/>
      <c r="U3433" s="43"/>
      <c r="V3433" s="43"/>
      <c r="W3433" s="43"/>
      <c r="X3433" s="43"/>
      <c r="Y3433" s="43"/>
      <c r="Z3433" s="43"/>
    </row>
    <row r="3434" spans="15:26" x14ac:dyDescent="0.25">
      <c r="O3434" s="43"/>
      <c r="P3434" s="43"/>
      <c r="Q3434" s="43"/>
      <c r="R3434" s="43"/>
      <c r="S3434" s="43"/>
      <c r="T3434" s="43"/>
      <c r="U3434" s="43"/>
      <c r="V3434" s="43"/>
      <c r="W3434" s="43"/>
      <c r="X3434" s="43"/>
      <c r="Y3434" s="43"/>
      <c r="Z3434" s="43"/>
    </row>
    <row r="3435" spans="15:26" x14ac:dyDescent="0.25">
      <c r="O3435" s="43"/>
      <c r="P3435" s="43"/>
      <c r="Q3435" s="43"/>
      <c r="R3435" s="43"/>
      <c r="S3435" s="43"/>
      <c r="T3435" s="43"/>
      <c r="U3435" s="43"/>
      <c r="V3435" s="43"/>
      <c r="W3435" s="43"/>
      <c r="X3435" s="43"/>
      <c r="Y3435" s="43"/>
      <c r="Z3435" s="43"/>
    </row>
    <row r="3436" spans="15:26" x14ac:dyDescent="0.25">
      <c r="O3436" s="43"/>
      <c r="P3436" s="43"/>
      <c r="Q3436" s="43"/>
      <c r="R3436" s="43"/>
      <c r="S3436" s="43"/>
      <c r="T3436" s="43"/>
      <c r="U3436" s="43"/>
      <c r="V3436" s="43"/>
      <c r="W3436" s="43"/>
      <c r="X3436" s="43"/>
      <c r="Y3436" s="43"/>
      <c r="Z3436" s="43"/>
    </row>
    <row r="3437" spans="15:26" x14ac:dyDescent="0.25">
      <c r="O3437" s="43"/>
      <c r="P3437" s="43"/>
      <c r="Q3437" s="43"/>
      <c r="R3437" s="43"/>
      <c r="S3437" s="43"/>
      <c r="T3437" s="43"/>
      <c r="U3437" s="43"/>
      <c r="V3437" s="43"/>
      <c r="W3437" s="43"/>
      <c r="X3437" s="43"/>
      <c r="Y3437" s="43"/>
      <c r="Z3437" s="43"/>
    </row>
    <row r="3438" spans="15:26" x14ac:dyDescent="0.25">
      <c r="O3438" s="43"/>
      <c r="P3438" s="43"/>
      <c r="Q3438" s="43"/>
      <c r="R3438" s="43"/>
      <c r="S3438" s="43"/>
      <c r="T3438" s="43"/>
      <c r="U3438" s="43"/>
      <c r="V3438" s="43"/>
      <c r="W3438" s="43"/>
      <c r="X3438" s="43"/>
      <c r="Y3438" s="43"/>
      <c r="Z3438" s="43"/>
    </row>
    <row r="3439" spans="15:26" x14ac:dyDescent="0.25">
      <c r="O3439" s="43"/>
      <c r="P3439" s="43"/>
      <c r="Q3439" s="43"/>
      <c r="R3439" s="43"/>
      <c r="S3439" s="43"/>
      <c r="T3439" s="43"/>
      <c r="U3439" s="43"/>
      <c r="V3439" s="43"/>
      <c r="W3439" s="43"/>
      <c r="X3439" s="43"/>
      <c r="Y3439" s="43"/>
      <c r="Z3439" s="43"/>
    </row>
    <row r="3440" spans="15:26" x14ac:dyDescent="0.25">
      <c r="O3440" s="43"/>
      <c r="P3440" s="43"/>
      <c r="Q3440" s="43"/>
      <c r="R3440" s="43"/>
      <c r="S3440" s="43"/>
      <c r="T3440" s="43"/>
      <c r="U3440" s="43"/>
      <c r="V3440" s="43"/>
      <c r="W3440" s="43"/>
      <c r="X3440" s="43"/>
      <c r="Y3440" s="43"/>
      <c r="Z3440" s="43"/>
    </row>
    <row r="3441" spans="15:26" x14ac:dyDescent="0.25">
      <c r="O3441" s="43"/>
      <c r="P3441" s="43"/>
      <c r="Q3441" s="43"/>
      <c r="R3441" s="43"/>
      <c r="S3441" s="43"/>
      <c r="T3441" s="43"/>
      <c r="U3441" s="43"/>
      <c r="V3441" s="43"/>
      <c r="W3441" s="43"/>
      <c r="X3441" s="43"/>
      <c r="Y3441" s="43"/>
      <c r="Z3441" s="43"/>
    </row>
    <row r="3442" spans="15:26" x14ac:dyDescent="0.25">
      <c r="O3442" s="43"/>
      <c r="P3442" s="43"/>
      <c r="Q3442" s="43"/>
      <c r="R3442" s="43"/>
      <c r="S3442" s="43"/>
      <c r="T3442" s="43"/>
      <c r="U3442" s="43"/>
      <c r="V3442" s="43"/>
      <c r="W3442" s="43"/>
      <c r="X3442" s="43"/>
      <c r="Y3442" s="43"/>
      <c r="Z3442" s="43"/>
    </row>
    <row r="3443" spans="15:26" x14ac:dyDescent="0.25">
      <c r="O3443" s="43"/>
      <c r="P3443" s="43"/>
      <c r="Q3443" s="43"/>
      <c r="R3443" s="43"/>
      <c r="S3443" s="43"/>
      <c r="T3443" s="43"/>
      <c r="U3443" s="43"/>
      <c r="V3443" s="43"/>
      <c r="W3443" s="43"/>
      <c r="X3443" s="43"/>
      <c r="Y3443" s="43"/>
      <c r="Z3443" s="43"/>
    </row>
    <row r="3444" spans="15:26" x14ac:dyDescent="0.25">
      <c r="O3444" s="43"/>
      <c r="P3444" s="43"/>
      <c r="Q3444" s="43"/>
      <c r="R3444" s="43"/>
      <c r="S3444" s="43"/>
      <c r="T3444" s="43"/>
      <c r="U3444" s="43"/>
      <c r="V3444" s="43"/>
      <c r="W3444" s="43"/>
      <c r="X3444" s="43"/>
      <c r="Y3444" s="43"/>
      <c r="Z3444" s="43"/>
    </row>
    <row r="3445" spans="15:26" x14ac:dyDescent="0.25">
      <c r="O3445" s="43"/>
      <c r="P3445" s="43"/>
      <c r="Q3445" s="43"/>
      <c r="R3445" s="43"/>
      <c r="S3445" s="43"/>
      <c r="T3445" s="43"/>
      <c r="U3445" s="43"/>
      <c r="V3445" s="43"/>
      <c r="W3445" s="43"/>
      <c r="X3445" s="43"/>
      <c r="Y3445" s="43"/>
      <c r="Z3445" s="43"/>
    </row>
    <row r="3446" spans="15:26" x14ac:dyDescent="0.25">
      <c r="O3446" s="43"/>
      <c r="P3446" s="43"/>
      <c r="Q3446" s="43"/>
      <c r="R3446" s="43"/>
      <c r="S3446" s="43"/>
      <c r="T3446" s="43"/>
      <c r="U3446" s="43"/>
      <c r="V3446" s="43"/>
      <c r="W3446" s="43"/>
      <c r="X3446" s="43"/>
      <c r="Y3446" s="43"/>
      <c r="Z3446" s="43"/>
    </row>
    <row r="3447" spans="15:26" x14ac:dyDescent="0.25">
      <c r="O3447" s="43"/>
      <c r="P3447" s="43"/>
      <c r="Q3447" s="43"/>
      <c r="R3447" s="43"/>
      <c r="S3447" s="43"/>
      <c r="T3447" s="43"/>
      <c r="U3447" s="43"/>
      <c r="V3447" s="43"/>
      <c r="W3447" s="43"/>
      <c r="X3447" s="43"/>
      <c r="Y3447" s="43"/>
      <c r="Z3447" s="43"/>
    </row>
    <row r="3448" spans="15:26" x14ac:dyDescent="0.25">
      <c r="O3448" s="43"/>
      <c r="P3448" s="43"/>
      <c r="Q3448" s="43"/>
      <c r="R3448" s="43"/>
      <c r="S3448" s="43"/>
      <c r="T3448" s="43"/>
      <c r="U3448" s="43"/>
      <c r="V3448" s="43"/>
      <c r="W3448" s="43"/>
      <c r="X3448" s="43"/>
      <c r="Y3448" s="43"/>
      <c r="Z3448" s="43"/>
    </row>
    <row r="3449" spans="15:26" x14ac:dyDescent="0.25">
      <c r="O3449" s="43"/>
      <c r="P3449" s="43"/>
      <c r="Q3449" s="43"/>
      <c r="R3449" s="43"/>
      <c r="S3449" s="43"/>
      <c r="T3449" s="43"/>
      <c r="U3449" s="43"/>
      <c r="V3449" s="43"/>
      <c r="W3449" s="43"/>
      <c r="X3449" s="43"/>
      <c r="Y3449" s="43"/>
      <c r="Z3449" s="43"/>
    </row>
    <row r="3450" spans="15:26" x14ac:dyDescent="0.25">
      <c r="O3450" s="43"/>
      <c r="P3450" s="43"/>
      <c r="Q3450" s="43"/>
      <c r="R3450" s="43"/>
      <c r="S3450" s="43"/>
      <c r="T3450" s="43"/>
      <c r="U3450" s="43"/>
      <c r="V3450" s="43"/>
      <c r="W3450" s="43"/>
      <c r="X3450" s="43"/>
      <c r="Y3450" s="43"/>
      <c r="Z3450" s="43"/>
    </row>
    <row r="3451" spans="15:26" x14ac:dyDescent="0.25">
      <c r="O3451" s="43"/>
      <c r="P3451" s="43"/>
      <c r="Q3451" s="43"/>
      <c r="R3451" s="43"/>
      <c r="S3451" s="43"/>
      <c r="T3451" s="43"/>
      <c r="U3451" s="43"/>
      <c r="V3451" s="43"/>
      <c r="W3451" s="43"/>
      <c r="X3451" s="43"/>
      <c r="Y3451" s="43"/>
      <c r="Z3451" s="43"/>
    </row>
    <row r="3452" spans="15:26" x14ac:dyDescent="0.25">
      <c r="O3452" s="43"/>
      <c r="P3452" s="43"/>
      <c r="Q3452" s="43"/>
      <c r="R3452" s="43"/>
      <c r="S3452" s="43"/>
      <c r="T3452" s="43"/>
      <c r="U3452" s="43"/>
      <c r="V3452" s="43"/>
      <c r="W3452" s="43"/>
      <c r="X3452" s="43"/>
      <c r="Y3452" s="43"/>
      <c r="Z3452" s="43"/>
    </row>
    <row r="3453" spans="15:26" x14ac:dyDescent="0.25">
      <c r="O3453" s="43"/>
      <c r="P3453" s="43"/>
      <c r="Q3453" s="43"/>
      <c r="R3453" s="43"/>
      <c r="S3453" s="43"/>
      <c r="T3453" s="43"/>
      <c r="U3453" s="43"/>
      <c r="V3453" s="43"/>
      <c r="W3453" s="43"/>
      <c r="X3453" s="43"/>
      <c r="Y3453" s="43"/>
      <c r="Z3453" s="43"/>
    </row>
    <row r="3454" spans="15:26" x14ac:dyDescent="0.25">
      <c r="O3454" s="43"/>
      <c r="P3454" s="43"/>
      <c r="Q3454" s="43"/>
      <c r="R3454" s="43"/>
      <c r="S3454" s="43"/>
      <c r="T3454" s="43"/>
      <c r="U3454" s="43"/>
      <c r="V3454" s="43"/>
      <c r="W3454" s="43"/>
      <c r="X3454" s="43"/>
      <c r="Y3454" s="43"/>
      <c r="Z3454" s="43"/>
    </row>
    <row r="3455" spans="15:26" x14ac:dyDescent="0.25">
      <c r="O3455" s="43"/>
      <c r="P3455" s="43"/>
      <c r="Q3455" s="43"/>
      <c r="R3455" s="43"/>
      <c r="S3455" s="43"/>
      <c r="T3455" s="43"/>
      <c r="U3455" s="43"/>
      <c r="V3455" s="43"/>
      <c r="W3455" s="43"/>
      <c r="X3455" s="43"/>
      <c r="Y3455" s="43"/>
      <c r="Z3455" s="43"/>
    </row>
    <row r="3456" spans="15:26" x14ac:dyDescent="0.25">
      <c r="O3456" s="43"/>
      <c r="P3456" s="43"/>
      <c r="Q3456" s="43"/>
      <c r="R3456" s="43"/>
      <c r="S3456" s="43"/>
      <c r="T3456" s="43"/>
      <c r="U3456" s="43"/>
      <c r="V3456" s="43"/>
      <c r="W3456" s="43"/>
      <c r="X3456" s="43"/>
      <c r="Y3456" s="43"/>
      <c r="Z3456" s="43"/>
    </row>
    <row r="3457" spans="15:26" x14ac:dyDescent="0.25">
      <c r="O3457" s="43"/>
      <c r="P3457" s="43"/>
      <c r="Q3457" s="43"/>
      <c r="R3457" s="43"/>
      <c r="S3457" s="43"/>
      <c r="T3457" s="43"/>
      <c r="U3457" s="43"/>
      <c r="V3457" s="43"/>
      <c r="W3457" s="43"/>
      <c r="X3457" s="43"/>
      <c r="Y3457" s="43"/>
      <c r="Z3457" s="43"/>
    </row>
    <row r="3458" spans="15:26" x14ac:dyDescent="0.25">
      <c r="O3458" s="43"/>
      <c r="P3458" s="43"/>
      <c r="Q3458" s="43"/>
      <c r="R3458" s="43"/>
      <c r="S3458" s="43"/>
      <c r="T3458" s="43"/>
      <c r="U3458" s="43"/>
      <c r="V3458" s="43"/>
      <c r="W3458" s="43"/>
      <c r="X3458" s="43"/>
      <c r="Y3458" s="43"/>
      <c r="Z3458" s="43"/>
    </row>
    <row r="3459" spans="15:26" x14ac:dyDescent="0.25">
      <c r="O3459" s="43"/>
      <c r="P3459" s="43"/>
      <c r="Q3459" s="43"/>
      <c r="R3459" s="43"/>
      <c r="S3459" s="43"/>
      <c r="T3459" s="43"/>
      <c r="U3459" s="43"/>
      <c r="V3459" s="43"/>
      <c r="W3459" s="43"/>
      <c r="X3459" s="43"/>
      <c r="Y3459" s="43"/>
      <c r="Z3459" s="43"/>
    </row>
    <row r="3460" spans="15:26" x14ac:dyDescent="0.25">
      <c r="O3460" s="43"/>
      <c r="P3460" s="43"/>
      <c r="Q3460" s="43"/>
      <c r="R3460" s="43"/>
      <c r="S3460" s="43"/>
      <c r="T3460" s="43"/>
      <c r="U3460" s="43"/>
      <c r="V3460" s="43"/>
      <c r="W3460" s="43"/>
      <c r="X3460" s="43"/>
      <c r="Y3460" s="43"/>
      <c r="Z3460" s="43"/>
    </row>
    <row r="3461" spans="15:26" x14ac:dyDescent="0.25">
      <c r="O3461" s="43"/>
      <c r="P3461" s="43"/>
      <c r="Q3461" s="43"/>
      <c r="R3461" s="43"/>
      <c r="S3461" s="43"/>
      <c r="T3461" s="43"/>
      <c r="U3461" s="43"/>
      <c r="V3461" s="43"/>
      <c r="W3461" s="43"/>
      <c r="X3461" s="43"/>
      <c r="Y3461" s="43"/>
      <c r="Z3461" s="43"/>
    </row>
    <row r="3462" spans="15:26" x14ac:dyDescent="0.25">
      <c r="O3462" s="43"/>
      <c r="P3462" s="43"/>
      <c r="Q3462" s="43"/>
      <c r="R3462" s="43"/>
      <c r="S3462" s="43"/>
      <c r="T3462" s="43"/>
      <c r="U3462" s="43"/>
      <c r="V3462" s="43"/>
      <c r="W3462" s="43"/>
      <c r="X3462" s="43"/>
      <c r="Y3462" s="43"/>
      <c r="Z3462" s="43"/>
    </row>
    <row r="3463" spans="15:26" x14ac:dyDescent="0.25">
      <c r="O3463" s="43"/>
      <c r="P3463" s="43"/>
      <c r="Q3463" s="43"/>
      <c r="R3463" s="43"/>
      <c r="S3463" s="43"/>
      <c r="T3463" s="43"/>
      <c r="U3463" s="43"/>
      <c r="V3463" s="43"/>
      <c r="W3463" s="43"/>
      <c r="X3463" s="43"/>
      <c r="Y3463" s="43"/>
      <c r="Z3463" s="43"/>
    </row>
    <row r="3464" spans="15:26" x14ac:dyDescent="0.25">
      <c r="O3464" s="43"/>
      <c r="P3464" s="43"/>
      <c r="Q3464" s="43"/>
      <c r="R3464" s="43"/>
      <c r="S3464" s="43"/>
      <c r="T3464" s="43"/>
      <c r="U3464" s="43"/>
      <c r="V3464" s="43"/>
      <c r="W3464" s="43"/>
      <c r="X3464" s="43"/>
      <c r="Y3464" s="43"/>
      <c r="Z3464" s="43"/>
    </row>
    <row r="3465" spans="15:26" x14ac:dyDescent="0.25">
      <c r="O3465" s="43"/>
      <c r="P3465" s="43"/>
      <c r="Q3465" s="43"/>
      <c r="R3465" s="43"/>
      <c r="S3465" s="43"/>
      <c r="T3465" s="43"/>
      <c r="U3465" s="43"/>
      <c r="V3465" s="43"/>
      <c r="W3465" s="43"/>
      <c r="X3465" s="43"/>
      <c r="Y3465" s="43"/>
      <c r="Z3465" s="43"/>
    </row>
    <row r="3466" spans="15:26" x14ac:dyDescent="0.25">
      <c r="O3466" s="43"/>
      <c r="P3466" s="43"/>
      <c r="Q3466" s="43"/>
      <c r="R3466" s="43"/>
      <c r="S3466" s="43"/>
      <c r="T3466" s="43"/>
      <c r="U3466" s="43"/>
      <c r="V3466" s="43"/>
      <c r="W3466" s="43"/>
      <c r="X3466" s="43"/>
      <c r="Y3466" s="43"/>
      <c r="Z3466" s="43"/>
    </row>
    <row r="3467" spans="15:26" x14ac:dyDescent="0.25">
      <c r="O3467" s="43"/>
      <c r="P3467" s="43"/>
      <c r="Q3467" s="43"/>
      <c r="R3467" s="43"/>
      <c r="S3467" s="43"/>
      <c r="T3467" s="43"/>
      <c r="U3467" s="43"/>
      <c r="V3467" s="43"/>
      <c r="W3467" s="43"/>
      <c r="X3467" s="43"/>
      <c r="Y3467" s="43"/>
      <c r="Z3467" s="43"/>
    </row>
    <row r="3468" spans="15:26" x14ac:dyDescent="0.25">
      <c r="O3468" s="43"/>
      <c r="P3468" s="43"/>
      <c r="Q3468" s="43"/>
      <c r="R3468" s="43"/>
      <c r="S3468" s="43"/>
      <c r="T3468" s="43"/>
      <c r="U3468" s="43"/>
      <c r="V3468" s="43"/>
      <c r="W3468" s="43"/>
      <c r="X3468" s="43"/>
      <c r="Y3468" s="43"/>
      <c r="Z3468" s="43"/>
    </row>
    <row r="3469" spans="15:26" x14ac:dyDescent="0.25">
      <c r="O3469" s="43"/>
      <c r="P3469" s="43"/>
      <c r="Q3469" s="43"/>
      <c r="R3469" s="43"/>
      <c r="S3469" s="43"/>
      <c r="T3469" s="43"/>
      <c r="U3469" s="43"/>
      <c r="V3469" s="43"/>
      <c r="W3469" s="43"/>
      <c r="X3469" s="43"/>
      <c r="Y3469" s="43"/>
      <c r="Z3469" s="43"/>
    </row>
    <row r="3470" spans="15:26" x14ac:dyDescent="0.25">
      <c r="O3470" s="43"/>
      <c r="P3470" s="43"/>
      <c r="Q3470" s="43"/>
      <c r="R3470" s="43"/>
      <c r="S3470" s="43"/>
      <c r="T3470" s="43"/>
      <c r="U3470" s="43"/>
      <c r="V3470" s="43"/>
      <c r="W3470" s="43"/>
      <c r="X3470" s="43"/>
      <c r="Y3470" s="43"/>
      <c r="Z3470" s="43"/>
    </row>
    <row r="3471" spans="15:26" x14ac:dyDescent="0.25">
      <c r="O3471" s="43"/>
      <c r="P3471" s="43"/>
      <c r="Q3471" s="43"/>
      <c r="R3471" s="43"/>
      <c r="S3471" s="43"/>
      <c r="T3471" s="43"/>
      <c r="U3471" s="43"/>
      <c r="V3471" s="43"/>
      <c r="W3471" s="43"/>
      <c r="X3471" s="43"/>
      <c r="Y3471" s="43"/>
      <c r="Z3471" s="43"/>
    </row>
    <row r="3472" spans="15:26" x14ac:dyDescent="0.25">
      <c r="O3472" s="43"/>
      <c r="P3472" s="43"/>
      <c r="Q3472" s="43"/>
      <c r="R3472" s="43"/>
      <c r="S3472" s="43"/>
      <c r="T3472" s="43"/>
      <c r="U3472" s="43"/>
      <c r="V3472" s="43"/>
      <c r="W3472" s="43"/>
      <c r="X3472" s="43"/>
      <c r="Y3472" s="43"/>
      <c r="Z3472" s="43"/>
    </row>
    <row r="3473" spans="15:26" x14ac:dyDescent="0.25">
      <c r="O3473" s="43"/>
      <c r="P3473" s="43"/>
      <c r="Q3473" s="43"/>
      <c r="R3473" s="43"/>
      <c r="S3473" s="43"/>
      <c r="T3473" s="43"/>
      <c r="U3473" s="43"/>
      <c r="V3473" s="43"/>
      <c r="W3473" s="43"/>
      <c r="X3473" s="43"/>
      <c r="Y3473" s="43"/>
      <c r="Z3473" s="43"/>
    </row>
    <row r="3474" spans="15:26" x14ac:dyDescent="0.25">
      <c r="O3474" s="43"/>
      <c r="P3474" s="43"/>
      <c r="Q3474" s="43"/>
      <c r="R3474" s="43"/>
      <c r="S3474" s="43"/>
      <c r="T3474" s="43"/>
      <c r="U3474" s="43"/>
      <c r="V3474" s="43"/>
      <c r="W3474" s="43"/>
      <c r="X3474" s="43"/>
      <c r="Y3474" s="43"/>
      <c r="Z3474" s="43"/>
    </row>
    <row r="3475" spans="15:26" x14ac:dyDescent="0.25">
      <c r="O3475" s="43"/>
      <c r="P3475" s="43"/>
      <c r="Q3475" s="43"/>
      <c r="R3475" s="43"/>
      <c r="S3475" s="43"/>
      <c r="T3475" s="43"/>
      <c r="U3475" s="43"/>
      <c r="V3475" s="43"/>
      <c r="W3475" s="43"/>
      <c r="X3475" s="43"/>
      <c r="Y3475" s="43"/>
      <c r="Z3475" s="43"/>
    </row>
    <row r="3476" spans="15:26" x14ac:dyDescent="0.25">
      <c r="O3476" s="43"/>
      <c r="P3476" s="43"/>
      <c r="Q3476" s="43"/>
      <c r="R3476" s="43"/>
      <c r="S3476" s="43"/>
      <c r="T3476" s="43"/>
      <c r="U3476" s="43"/>
      <c r="V3476" s="43"/>
      <c r="W3476" s="43"/>
      <c r="X3476" s="43"/>
      <c r="Y3476" s="43"/>
      <c r="Z3476" s="43"/>
    </row>
    <row r="3477" spans="15:26" x14ac:dyDescent="0.25">
      <c r="O3477" s="43"/>
      <c r="P3477" s="43"/>
      <c r="Q3477" s="43"/>
      <c r="R3477" s="43"/>
      <c r="S3477" s="43"/>
      <c r="T3477" s="43"/>
      <c r="U3477" s="43"/>
      <c r="V3477" s="43"/>
      <c r="W3477" s="43"/>
      <c r="X3477" s="43"/>
      <c r="Y3477" s="43"/>
      <c r="Z3477" s="43"/>
    </row>
    <row r="3478" spans="15:26" x14ac:dyDescent="0.25">
      <c r="O3478" s="43"/>
      <c r="P3478" s="43"/>
      <c r="Q3478" s="43"/>
      <c r="R3478" s="43"/>
      <c r="S3478" s="43"/>
      <c r="T3478" s="43"/>
      <c r="U3478" s="43"/>
      <c r="V3478" s="43"/>
      <c r="W3478" s="43"/>
      <c r="X3478" s="43"/>
      <c r="Y3478" s="43"/>
      <c r="Z3478" s="43"/>
    </row>
    <row r="3479" spans="15:26" x14ac:dyDescent="0.25">
      <c r="O3479" s="43"/>
      <c r="P3479" s="43"/>
      <c r="Q3479" s="43"/>
      <c r="R3479" s="43"/>
      <c r="S3479" s="43"/>
      <c r="T3479" s="43"/>
      <c r="U3479" s="43"/>
      <c r="V3479" s="43"/>
      <c r="W3479" s="43"/>
      <c r="X3479" s="43"/>
      <c r="Y3479" s="43"/>
      <c r="Z3479" s="43"/>
    </row>
    <row r="3480" spans="15:26" x14ac:dyDescent="0.25">
      <c r="O3480" s="43"/>
      <c r="P3480" s="43"/>
      <c r="Q3480" s="43"/>
      <c r="R3480" s="43"/>
      <c r="S3480" s="43"/>
      <c r="T3480" s="43"/>
      <c r="U3480" s="43"/>
      <c r="V3480" s="43"/>
      <c r="W3480" s="43"/>
      <c r="X3480" s="43"/>
      <c r="Y3480" s="43"/>
      <c r="Z3480" s="43"/>
    </row>
    <row r="3481" spans="15:26" x14ac:dyDescent="0.25">
      <c r="O3481" s="43"/>
      <c r="P3481" s="43"/>
      <c r="Q3481" s="43"/>
      <c r="R3481" s="43"/>
      <c r="S3481" s="43"/>
      <c r="T3481" s="43"/>
      <c r="U3481" s="43"/>
      <c r="V3481" s="43"/>
      <c r="W3481" s="43"/>
      <c r="X3481" s="43"/>
      <c r="Y3481" s="43"/>
      <c r="Z3481" s="43"/>
    </row>
    <row r="3482" spans="15:26" x14ac:dyDescent="0.25">
      <c r="O3482" s="43"/>
      <c r="P3482" s="43"/>
      <c r="Q3482" s="43"/>
      <c r="R3482" s="43"/>
      <c r="S3482" s="43"/>
      <c r="T3482" s="43"/>
      <c r="U3482" s="43"/>
      <c r="V3482" s="43"/>
      <c r="W3482" s="43"/>
      <c r="X3482" s="43"/>
      <c r="Y3482" s="43"/>
      <c r="Z3482" s="43"/>
    </row>
    <row r="3483" spans="15:26" x14ac:dyDescent="0.25">
      <c r="O3483" s="43"/>
      <c r="P3483" s="43"/>
      <c r="Q3483" s="43"/>
      <c r="R3483" s="43"/>
      <c r="S3483" s="43"/>
      <c r="T3483" s="43"/>
      <c r="U3483" s="43"/>
      <c r="V3483" s="43"/>
      <c r="W3483" s="43"/>
      <c r="X3483" s="43"/>
      <c r="Y3483" s="43"/>
      <c r="Z3483" s="43"/>
    </row>
    <row r="3484" spans="15:26" x14ac:dyDescent="0.25">
      <c r="O3484" s="43"/>
      <c r="P3484" s="43"/>
      <c r="Q3484" s="43"/>
      <c r="R3484" s="43"/>
      <c r="S3484" s="43"/>
      <c r="T3484" s="43"/>
      <c r="U3484" s="43"/>
      <c r="V3484" s="43"/>
      <c r="W3484" s="43"/>
      <c r="X3484" s="43"/>
      <c r="Y3484" s="43"/>
      <c r="Z3484" s="43"/>
    </row>
    <row r="3485" spans="15:26" x14ac:dyDescent="0.25">
      <c r="O3485" s="43"/>
      <c r="P3485" s="43"/>
      <c r="Q3485" s="43"/>
      <c r="R3485" s="43"/>
      <c r="S3485" s="43"/>
      <c r="T3485" s="43"/>
      <c r="U3485" s="43"/>
      <c r="V3485" s="43"/>
      <c r="W3485" s="43"/>
      <c r="X3485" s="43"/>
      <c r="Y3485" s="43"/>
      <c r="Z3485" s="43"/>
    </row>
    <row r="3486" spans="15:26" x14ac:dyDescent="0.25">
      <c r="O3486" s="43"/>
      <c r="P3486" s="43"/>
      <c r="Q3486" s="43"/>
      <c r="R3486" s="43"/>
      <c r="S3486" s="43"/>
      <c r="T3486" s="43"/>
      <c r="U3486" s="43"/>
      <c r="V3486" s="43"/>
      <c r="W3486" s="43"/>
      <c r="X3486" s="43"/>
      <c r="Y3486" s="43"/>
      <c r="Z3486" s="43"/>
    </row>
    <row r="3487" spans="15:26" x14ac:dyDescent="0.25">
      <c r="O3487" s="43"/>
      <c r="P3487" s="43"/>
      <c r="Q3487" s="43"/>
      <c r="R3487" s="43"/>
      <c r="S3487" s="43"/>
      <c r="T3487" s="43"/>
      <c r="U3487" s="43"/>
      <c r="V3487" s="43"/>
      <c r="W3487" s="43"/>
      <c r="X3487" s="43"/>
      <c r="Y3487" s="43"/>
      <c r="Z3487" s="43"/>
    </row>
    <row r="3488" spans="15:26" x14ac:dyDescent="0.25">
      <c r="O3488" s="43"/>
      <c r="P3488" s="43"/>
      <c r="Q3488" s="43"/>
      <c r="R3488" s="43"/>
      <c r="S3488" s="43"/>
      <c r="T3488" s="43"/>
      <c r="U3488" s="43"/>
      <c r="V3488" s="43"/>
      <c r="W3488" s="43"/>
      <c r="X3488" s="43"/>
      <c r="Y3488" s="43"/>
      <c r="Z3488" s="43"/>
    </row>
    <row r="3489" spans="15:26" x14ac:dyDescent="0.25">
      <c r="O3489" s="43"/>
      <c r="P3489" s="43"/>
      <c r="Q3489" s="43"/>
      <c r="R3489" s="43"/>
      <c r="S3489" s="43"/>
      <c r="T3489" s="43"/>
      <c r="U3489" s="43"/>
      <c r="V3489" s="43"/>
      <c r="W3489" s="43"/>
      <c r="X3489" s="43"/>
      <c r="Y3489" s="43"/>
      <c r="Z3489" s="43"/>
    </row>
    <row r="3490" spans="15:26" x14ac:dyDescent="0.25">
      <c r="O3490" s="43"/>
      <c r="P3490" s="43"/>
      <c r="Q3490" s="43"/>
      <c r="R3490" s="43"/>
      <c r="S3490" s="43"/>
      <c r="T3490" s="43"/>
      <c r="U3490" s="43"/>
      <c r="V3490" s="43"/>
      <c r="W3490" s="43"/>
      <c r="X3490" s="43"/>
      <c r="Y3490" s="43"/>
      <c r="Z3490" s="43"/>
    </row>
    <row r="3491" spans="15:26" x14ac:dyDescent="0.25">
      <c r="O3491" s="43"/>
      <c r="P3491" s="43"/>
      <c r="Q3491" s="43"/>
      <c r="R3491" s="43"/>
      <c r="S3491" s="43"/>
      <c r="T3491" s="43"/>
      <c r="U3491" s="43"/>
      <c r="V3491" s="43"/>
      <c r="W3491" s="43"/>
      <c r="X3491" s="43"/>
      <c r="Y3491" s="43"/>
      <c r="Z3491" s="43"/>
    </row>
    <row r="3492" spans="15:26" x14ac:dyDescent="0.25">
      <c r="O3492" s="43"/>
      <c r="P3492" s="43"/>
      <c r="Q3492" s="43"/>
      <c r="R3492" s="43"/>
      <c r="S3492" s="43"/>
      <c r="T3492" s="43"/>
      <c r="U3492" s="43"/>
      <c r="V3492" s="43"/>
      <c r="W3492" s="43"/>
      <c r="X3492" s="43"/>
      <c r="Y3492" s="43"/>
      <c r="Z3492" s="43"/>
    </row>
    <row r="3493" spans="15:26" x14ac:dyDescent="0.25">
      <c r="O3493" s="43"/>
      <c r="P3493" s="43"/>
      <c r="Q3493" s="43"/>
      <c r="R3493" s="43"/>
      <c r="S3493" s="43"/>
      <c r="T3493" s="43"/>
      <c r="U3493" s="43"/>
      <c r="V3493" s="43"/>
      <c r="W3493" s="43"/>
      <c r="X3493" s="43"/>
      <c r="Y3493" s="43"/>
      <c r="Z3493" s="43"/>
    </row>
    <row r="3494" spans="15:26" x14ac:dyDescent="0.25">
      <c r="O3494" s="43"/>
      <c r="P3494" s="43"/>
      <c r="Q3494" s="43"/>
      <c r="R3494" s="43"/>
      <c r="S3494" s="43"/>
      <c r="T3494" s="43"/>
      <c r="U3494" s="43"/>
      <c r="V3494" s="43"/>
      <c r="W3494" s="43"/>
      <c r="X3494" s="43"/>
      <c r="Y3494" s="43"/>
      <c r="Z3494" s="43"/>
    </row>
    <row r="3495" spans="15:26" x14ac:dyDescent="0.25">
      <c r="O3495" s="43"/>
      <c r="P3495" s="43"/>
      <c r="Q3495" s="43"/>
      <c r="R3495" s="43"/>
      <c r="S3495" s="43"/>
      <c r="T3495" s="43"/>
      <c r="U3495" s="43"/>
      <c r="V3495" s="43"/>
      <c r="W3495" s="43"/>
      <c r="X3495" s="43"/>
      <c r="Y3495" s="43"/>
      <c r="Z3495" s="43"/>
    </row>
    <row r="3496" spans="15:26" x14ac:dyDescent="0.25">
      <c r="O3496" s="43"/>
      <c r="P3496" s="43"/>
      <c r="Q3496" s="43"/>
      <c r="R3496" s="43"/>
      <c r="S3496" s="43"/>
      <c r="T3496" s="43"/>
      <c r="U3496" s="43"/>
      <c r="V3496" s="43"/>
      <c r="W3496" s="43"/>
      <c r="X3496" s="43"/>
      <c r="Y3496" s="43"/>
      <c r="Z3496" s="43"/>
    </row>
    <row r="3497" spans="15:26" x14ac:dyDescent="0.25">
      <c r="O3497" s="43"/>
      <c r="P3497" s="43"/>
      <c r="Q3497" s="43"/>
      <c r="R3497" s="43"/>
      <c r="S3497" s="43"/>
      <c r="T3497" s="43"/>
      <c r="U3497" s="43"/>
      <c r="V3497" s="43"/>
      <c r="W3497" s="43"/>
      <c r="X3497" s="43"/>
      <c r="Y3497" s="43"/>
      <c r="Z3497" s="43"/>
    </row>
    <row r="3498" spans="15:26" x14ac:dyDescent="0.25">
      <c r="O3498" s="43"/>
      <c r="P3498" s="43"/>
      <c r="Q3498" s="43"/>
      <c r="R3498" s="43"/>
      <c r="S3498" s="43"/>
      <c r="T3498" s="43"/>
      <c r="U3498" s="43"/>
      <c r="V3498" s="43"/>
      <c r="W3498" s="43"/>
      <c r="X3498" s="43"/>
      <c r="Y3498" s="43"/>
      <c r="Z3498" s="43"/>
    </row>
    <row r="3499" spans="15:26" x14ac:dyDescent="0.25">
      <c r="O3499" s="43"/>
      <c r="P3499" s="43"/>
      <c r="Q3499" s="43"/>
      <c r="R3499" s="43"/>
      <c r="S3499" s="43"/>
      <c r="T3499" s="43"/>
      <c r="U3499" s="43"/>
      <c r="V3499" s="43"/>
      <c r="W3499" s="43"/>
      <c r="X3499" s="43"/>
      <c r="Y3499" s="43"/>
      <c r="Z3499" s="43"/>
    </row>
    <row r="3500" spans="15:26" x14ac:dyDescent="0.25">
      <c r="O3500" s="43"/>
      <c r="P3500" s="43"/>
      <c r="Q3500" s="43"/>
      <c r="R3500" s="43"/>
      <c r="S3500" s="43"/>
      <c r="T3500" s="43"/>
      <c r="U3500" s="43"/>
      <c r="V3500" s="43"/>
      <c r="W3500" s="43"/>
      <c r="X3500" s="43"/>
      <c r="Y3500" s="43"/>
      <c r="Z3500" s="43"/>
    </row>
    <row r="3501" spans="15:26" x14ac:dyDescent="0.25">
      <c r="O3501" s="43"/>
      <c r="P3501" s="43"/>
      <c r="Q3501" s="43"/>
      <c r="R3501" s="43"/>
      <c r="S3501" s="43"/>
      <c r="T3501" s="43"/>
      <c r="U3501" s="43"/>
      <c r="V3501" s="43"/>
      <c r="W3501" s="43"/>
      <c r="X3501" s="43"/>
      <c r="Y3501" s="43"/>
      <c r="Z3501" s="43"/>
    </row>
    <row r="3502" spans="15:26" x14ac:dyDescent="0.25">
      <c r="O3502" s="43"/>
      <c r="P3502" s="43"/>
      <c r="Q3502" s="43"/>
      <c r="R3502" s="43"/>
      <c r="S3502" s="43"/>
      <c r="T3502" s="43"/>
      <c r="U3502" s="43"/>
      <c r="V3502" s="43"/>
      <c r="W3502" s="43"/>
      <c r="X3502" s="43"/>
      <c r="Y3502" s="43"/>
      <c r="Z3502" s="43"/>
    </row>
    <row r="3503" spans="15:26" x14ac:dyDescent="0.25">
      <c r="O3503" s="43"/>
      <c r="P3503" s="43"/>
      <c r="Q3503" s="43"/>
      <c r="R3503" s="43"/>
      <c r="S3503" s="43"/>
      <c r="T3503" s="43"/>
      <c r="U3503" s="43"/>
      <c r="V3503" s="43"/>
      <c r="W3503" s="43"/>
      <c r="X3503" s="43"/>
      <c r="Y3503" s="43"/>
      <c r="Z3503" s="43"/>
    </row>
    <row r="3504" spans="15:26" x14ac:dyDescent="0.25">
      <c r="O3504" s="43"/>
      <c r="P3504" s="43"/>
      <c r="Q3504" s="43"/>
      <c r="R3504" s="43"/>
      <c r="S3504" s="43"/>
      <c r="T3504" s="43"/>
      <c r="U3504" s="43"/>
      <c r="V3504" s="43"/>
      <c r="W3504" s="43"/>
      <c r="X3504" s="43"/>
      <c r="Y3504" s="43"/>
      <c r="Z3504" s="43"/>
    </row>
    <row r="3505" spans="15:26" x14ac:dyDescent="0.25">
      <c r="O3505" s="43"/>
      <c r="P3505" s="43"/>
      <c r="Q3505" s="43"/>
      <c r="R3505" s="43"/>
      <c r="S3505" s="43"/>
      <c r="T3505" s="43"/>
      <c r="U3505" s="43"/>
      <c r="V3505" s="43"/>
      <c r="W3505" s="43"/>
      <c r="X3505" s="43"/>
      <c r="Y3505" s="43"/>
      <c r="Z3505" s="43"/>
    </row>
    <row r="3506" spans="15:26" x14ac:dyDescent="0.25">
      <c r="O3506" s="43"/>
      <c r="P3506" s="43"/>
      <c r="Q3506" s="43"/>
      <c r="R3506" s="43"/>
      <c r="S3506" s="43"/>
      <c r="T3506" s="43"/>
      <c r="U3506" s="43"/>
      <c r="V3506" s="43"/>
      <c r="W3506" s="43"/>
      <c r="X3506" s="43"/>
      <c r="Y3506" s="43"/>
      <c r="Z3506" s="43"/>
    </row>
    <row r="3507" spans="15:26" x14ac:dyDescent="0.25">
      <c r="O3507" s="43"/>
      <c r="P3507" s="43"/>
      <c r="Q3507" s="43"/>
      <c r="R3507" s="43"/>
      <c r="S3507" s="43"/>
      <c r="T3507" s="43"/>
      <c r="U3507" s="43"/>
      <c r="V3507" s="43"/>
      <c r="W3507" s="43"/>
      <c r="X3507" s="43"/>
      <c r="Y3507" s="43"/>
      <c r="Z3507" s="43"/>
    </row>
    <row r="3508" spans="15:26" x14ac:dyDescent="0.25">
      <c r="O3508" s="43"/>
      <c r="P3508" s="43"/>
      <c r="Q3508" s="43"/>
      <c r="R3508" s="43"/>
      <c r="S3508" s="43"/>
      <c r="T3508" s="43"/>
      <c r="U3508" s="43"/>
      <c r="V3508" s="43"/>
      <c r="W3508" s="43"/>
      <c r="X3508" s="43"/>
      <c r="Y3508" s="43"/>
      <c r="Z3508" s="43"/>
    </row>
    <row r="3509" spans="15:26" x14ac:dyDescent="0.25">
      <c r="O3509" s="43"/>
      <c r="P3509" s="43"/>
      <c r="Q3509" s="43"/>
      <c r="R3509" s="43"/>
      <c r="S3509" s="43"/>
      <c r="T3509" s="43"/>
      <c r="U3509" s="43"/>
      <c r="V3509" s="43"/>
      <c r="W3509" s="43"/>
      <c r="X3509" s="43"/>
      <c r="Y3509" s="43"/>
      <c r="Z3509" s="43"/>
    </row>
    <row r="3510" spans="15:26" x14ac:dyDescent="0.25">
      <c r="O3510" s="43"/>
      <c r="P3510" s="43"/>
      <c r="Q3510" s="43"/>
      <c r="R3510" s="43"/>
      <c r="S3510" s="43"/>
      <c r="T3510" s="43"/>
      <c r="U3510" s="43"/>
      <c r="V3510" s="43"/>
      <c r="W3510" s="43"/>
      <c r="X3510" s="43"/>
      <c r="Y3510" s="43"/>
      <c r="Z3510" s="43"/>
    </row>
    <row r="3511" spans="15:26" x14ac:dyDescent="0.25">
      <c r="O3511" s="43"/>
      <c r="P3511" s="43"/>
      <c r="Q3511" s="43"/>
      <c r="R3511" s="43"/>
      <c r="S3511" s="43"/>
      <c r="T3511" s="43"/>
      <c r="U3511" s="43"/>
      <c r="V3511" s="43"/>
      <c r="W3511" s="43"/>
      <c r="X3511" s="43"/>
      <c r="Y3511" s="43"/>
      <c r="Z3511" s="43"/>
    </row>
    <row r="3512" spans="15:26" x14ac:dyDescent="0.25">
      <c r="O3512" s="43"/>
      <c r="P3512" s="43"/>
      <c r="Q3512" s="43"/>
      <c r="R3512" s="43"/>
      <c r="S3512" s="43"/>
      <c r="T3512" s="43"/>
      <c r="U3512" s="43"/>
      <c r="V3512" s="43"/>
      <c r="W3512" s="43"/>
      <c r="X3512" s="43"/>
      <c r="Y3512" s="43"/>
      <c r="Z3512" s="43"/>
    </row>
    <row r="3513" spans="15:26" x14ac:dyDescent="0.25">
      <c r="O3513" s="43"/>
      <c r="P3513" s="43"/>
      <c r="Q3513" s="43"/>
      <c r="R3513" s="43"/>
      <c r="S3513" s="43"/>
      <c r="T3513" s="43"/>
      <c r="U3513" s="43"/>
      <c r="V3513" s="43"/>
      <c r="W3513" s="43"/>
      <c r="X3513" s="43"/>
      <c r="Y3513" s="43"/>
      <c r="Z3513" s="43"/>
    </row>
    <row r="3514" spans="15:26" x14ac:dyDescent="0.25">
      <c r="O3514" s="43"/>
      <c r="P3514" s="43"/>
      <c r="Q3514" s="43"/>
      <c r="R3514" s="43"/>
      <c r="S3514" s="43"/>
      <c r="T3514" s="43"/>
      <c r="U3514" s="43"/>
      <c r="V3514" s="43"/>
      <c r="W3514" s="43"/>
      <c r="X3514" s="43"/>
      <c r="Y3514" s="43"/>
      <c r="Z3514" s="43"/>
    </row>
    <row r="3515" spans="15:26" x14ac:dyDescent="0.25">
      <c r="O3515" s="43"/>
      <c r="P3515" s="43"/>
      <c r="Q3515" s="43"/>
      <c r="R3515" s="43"/>
      <c r="S3515" s="43"/>
      <c r="T3515" s="43"/>
      <c r="U3515" s="43"/>
      <c r="V3515" s="43"/>
      <c r="W3515" s="43"/>
      <c r="X3515" s="43"/>
      <c r="Y3515" s="43"/>
      <c r="Z3515" s="43"/>
    </row>
    <row r="3516" spans="15:26" x14ac:dyDescent="0.25">
      <c r="O3516" s="43"/>
      <c r="P3516" s="43"/>
      <c r="Q3516" s="43"/>
      <c r="R3516" s="43"/>
      <c r="S3516" s="43"/>
      <c r="T3516" s="43"/>
      <c r="U3516" s="43"/>
      <c r="V3516" s="43"/>
      <c r="W3516" s="43"/>
      <c r="X3516" s="43"/>
      <c r="Y3516" s="43"/>
      <c r="Z3516" s="43"/>
    </row>
    <row r="3517" spans="15:26" x14ac:dyDescent="0.25">
      <c r="O3517" s="43"/>
      <c r="P3517" s="43"/>
      <c r="Q3517" s="43"/>
      <c r="R3517" s="43"/>
      <c r="S3517" s="43"/>
      <c r="T3517" s="43"/>
      <c r="U3517" s="43"/>
      <c r="V3517" s="43"/>
      <c r="W3517" s="43"/>
      <c r="X3517" s="43"/>
      <c r="Y3517" s="43"/>
      <c r="Z3517" s="43"/>
    </row>
    <row r="3518" spans="15:26" x14ac:dyDescent="0.25">
      <c r="O3518" s="43"/>
      <c r="P3518" s="43"/>
      <c r="Q3518" s="43"/>
      <c r="R3518" s="43"/>
      <c r="S3518" s="43"/>
      <c r="T3518" s="43"/>
      <c r="U3518" s="43"/>
      <c r="V3518" s="43"/>
      <c r="W3518" s="43"/>
      <c r="X3518" s="43"/>
      <c r="Y3518" s="43"/>
      <c r="Z3518" s="43"/>
    </row>
    <row r="3519" spans="15:26" x14ac:dyDescent="0.25">
      <c r="O3519" s="43"/>
      <c r="P3519" s="43"/>
      <c r="Q3519" s="43"/>
      <c r="R3519" s="43"/>
      <c r="S3519" s="43"/>
      <c r="T3519" s="43"/>
      <c r="U3519" s="43"/>
      <c r="V3519" s="43"/>
      <c r="W3519" s="43"/>
      <c r="X3519" s="43"/>
      <c r="Y3519" s="43"/>
      <c r="Z3519" s="43"/>
    </row>
    <row r="3520" spans="15:26" x14ac:dyDescent="0.25">
      <c r="O3520" s="43"/>
      <c r="P3520" s="43"/>
      <c r="Q3520" s="43"/>
      <c r="R3520" s="43"/>
      <c r="S3520" s="43"/>
      <c r="T3520" s="43"/>
      <c r="U3520" s="43"/>
      <c r="V3520" s="43"/>
      <c r="W3520" s="43"/>
      <c r="X3520" s="43"/>
      <c r="Y3520" s="43"/>
      <c r="Z3520" s="43"/>
    </row>
    <row r="3521" spans="15:26" x14ac:dyDescent="0.25">
      <c r="O3521" s="43"/>
      <c r="P3521" s="43"/>
      <c r="Q3521" s="43"/>
      <c r="R3521" s="43"/>
      <c r="S3521" s="43"/>
      <c r="T3521" s="43"/>
      <c r="U3521" s="43"/>
      <c r="V3521" s="43"/>
      <c r="W3521" s="43"/>
      <c r="X3521" s="43"/>
      <c r="Y3521" s="43"/>
      <c r="Z3521" s="43"/>
    </row>
    <row r="3522" spans="15:26" x14ac:dyDescent="0.25">
      <c r="O3522" s="43"/>
      <c r="P3522" s="43"/>
      <c r="Q3522" s="43"/>
      <c r="R3522" s="43"/>
      <c r="S3522" s="43"/>
      <c r="T3522" s="43"/>
      <c r="U3522" s="43"/>
      <c r="V3522" s="43"/>
      <c r="W3522" s="43"/>
      <c r="X3522" s="43"/>
      <c r="Y3522" s="43"/>
      <c r="Z3522" s="43"/>
    </row>
    <row r="3523" spans="15:26" x14ac:dyDescent="0.25">
      <c r="O3523" s="43"/>
      <c r="P3523" s="43"/>
      <c r="Q3523" s="43"/>
      <c r="R3523" s="43"/>
      <c r="S3523" s="43"/>
      <c r="T3523" s="43"/>
      <c r="U3523" s="43"/>
      <c r="V3523" s="43"/>
      <c r="W3523" s="43"/>
      <c r="X3523" s="43"/>
      <c r="Y3523" s="43"/>
      <c r="Z3523" s="43"/>
    </row>
    <row r="3524" spans="15:26" x14ac:dyDescent="0.25">
      <c r="O3524" s="43"/>
      <c r="P3524" s="43"/>
      <c r="Q3524" s="43"/>
      <c r="R3524" s="43"/>
      <c r="S3524" s="43"/>
      <c r="T3524" s="43"/>
      <c r="U3524" s="43"/>
      <c r="V3524" s="43"/>
      <c r="W3524" s="43"/>
      <c r="X3524" s="43"/>
      <c r="Y3524" s="43"/>
      <c r="Z3524" s="43"/>
    </row>
    <row r="3525" spans="15:26" x14ac:dyDescent="0.25">
      <c r="O3525" s="43"/>
      <c r="P3525" s="43"/>
      <c r="Q3525" s="43"/>
      <c r="R3525" s="43"/>
      <c r="S3525" s="43"/>
      <c r="T3525" s="43"/>
      <c r="U3525" s="43"/>
      <c r="V3525" s="43"/>
      <c r="W3525" s="43"/>
      <c r="X3525" s="43"/>
      <c r="Y3525" s="43"/>
      <c r="Z3525" s="43"/>
    </row>
    <row r="3526" spans="15:26" x14ac:dyDescent="0.25">
      <c r="O3526" s="43"/>
      <c r="P3526" s="43"/>
      <c r="Q3526" s="43"/>
      <c r="R3526" s="43"/>
      <c r="S3526" s="43"/>
      <c r="T3526" s="43"/>
      <c r="U3526" s="43"/>
      <c r="V3526" s="43"/>
      <c r="W3526" s="43"/>
      <c r="X3526" s="43"/>
      <c r="Y3526" s="43"/>
      <c r="Z3526" s="43"/>
    </row>
    <row r="3527" spans="15:26" x14ac:dyDescent="0.25">
      <c r="O3527" s="43"/>
      <c r="P3527" s="43"/>
      <c r="Q3527" s="43"/>
      <c r="R3527" s="43"/>
      <c r="S3527" s="43"/>
      <c r="T3527" s="43"/>
      <c r="U3527" s="43"/>
      <c r="V3527" s="43"/>
      <c r="W3527" s="43"/>
      <c r="X3527" s="43"/>
      <c r="Y3527" s="43"/>
      <c r="Z3527" s="43"/>
    </row>
    <row r="3528" spans="15:26" x14ac:dyDescent="0.25">
      <c r="O3528" s="43"/>
      <c r="P3528" s="43"/>
      <c r="Q3528" s="43"/>
      <c r="R3528" s="43"/>
      <c r="S3528" s="43"/>
      <c r="T3528" s="43"/>
      <c r="U3528" s="43"/>
      <c r="V3528" s="43"/>
      <c r="W3528" s="43"/>
      <c r="X3528" s="43"/>
      <c r="Y3528" s="43"/>
      <c r="Z3528" s="43"/>
    </row>
    <row r="3529" spans="15:26" x14ac:dyDescent="0.25">
      <c r="O3529" s="43"/>
      <c r="P3529" s="43"/>
      <c r="Q3529" s="43"/>
      <c r="R3529" s="43"/>
      <c r="S3529" s="43"/>
      <c r="T3529" s="43"/>
      <c r="U3529" s="43"/>
      <c r="V3529" s="43"/>
      <c r="W3529" s="43"/>
      <c r="X3529" s="43"/>
      <c r="Y3529" s="43"/>
      <c r="Z3529" s="43"/>
    </row>
    <row r="3530" spans="15:26" x14ac:dyDescent="0.25">
      <c r="O3530" s="43"/>
      <c r="P3530" s="43"/>
      <c r="Q3530" s="43"/>
      <c r="R3530" s="43"/>
      <c r="S3530" s="43"/>
      <c r="T3530" s="43"/>
      <c r="U3530" s="43"/>
      <c r="V3530" s="43"/>
      <c r="W3530" s="43"/>
      <c r="X3530" s="43"/>
      <c r="Y3530" s="43"/>
      <c r="Z3530" s="43"/>
    </row>
    <row r="3531" spans="15:26" x14ac:dyDescent="0.25">
      <c r="O3531" s="43"/>
      <c r="P3531" s="43"/>
      <c r="Q3531" s="43"/>
      <c r="R3531" s="43"/>
      <c r="S3531" s="43"/>
      <c r="T3531" s="43"/>
      <c r="U3531" s="43"/>
      <c r="V3531" s="43"/>
      <c r="W3531" s="43"/>
      <c r="X3531" s="43"/>
      <c r="Y3531" s="43"/>
      <c r="Z3531" s="43"/>
    </row>
    <row r="3532" spans="15:26" x14ac:dyDescent="0.25">
      <c r="O3532" s="43"/>
      <c r="P3532" s="43"/>
      <c r="Q3532" s="43"/>
      <c r="R3532" s="43"/>
      <c r="S3532" s="43"/>
      <c r="T3532" s="43"/>
      <c r="U3532" s="43"/>
      <c r="V3532" s="43"/>
      <c r="W3532" s="43"/>
      <c r="X3532" s="43"/>
      <c r="Y3532" s="43"/>
      <c r="Z3532" s="43"/>
    </row>
    <row r="3533" spans="15:26" x14ac:dyDescent="0.25">
      <c r="O3533" s="43"/>
      <c r="P3533" s="43"/>
      <c r="Q3533" s="43"/>
      <c r="R3533" s="43"/>
      <c r="S3533" s="43"/>
      <c r="T3533" s="43"/>
      <c r="U3533" s="43"/>
      <c r="V3533" s="43"/>
      <c r="W3533" s="43"/>
      <c r="X3533" s="43"/>
      <c r="Y3533" s="43"/>
      <c r="Z3533" s="43"/>
    </row>
    <row r="3534" spans="15:26" x14ac:dyDescent="0.25">
      <c r="O3534" s="43"/>
      <c r="P3534" s="43"/>
      <c r="Q3534" s="43"/>
      <c r="R3534" s="43"/>
      <c r="S3534" s="43"/>
      <c r="T3534" s="43"/>
      <c r="U3534" s="43"/>
      <c r="V3534" s="43"/>
      <c r="W3534" s="43"/>
      <c r="X3534" s="43"/>
      <c r="Y3534" s="43"/>
      <c r="Z3534" s="43"/>
    </row>
    <row r="3535" spans="15:26" x14ac:dyDescent="0.25">
      <c r="O3535" s="43"/>
      <c r="P3535" s="43"/>
      <c r="Q3535" s="43"/>
      <c r="R3535" s="43"/>
      <c r="S3535" s="43"/>
      <c r="T3535" s="43"/>
      <c r="U3535" s="43"/>
      <c r="V3535" s="43"/>
      <c r="W3535" s="43"/>
      <c r="X3535" s="43"/>
      <c r="Y3535" s="43"/>
      <c r="Z3535" s="43"/>
    </row>
    <row r="3536" spans="15:26" x14ac:dyDescent="0.25">
      <c r="O3536" s="43"/>
      <c r="P3536" s="43"/>
      <c r="Q3536" s="43"/>
      <c r="R3536" s="43"/>
      <c r="S3536" s="43"/>
      <c r="T3536" s="43"/>
      <c r="U3536" s="43"/>
      <c r="V3536" s="43"/>
      <c r="W3536" s="43"/>
      <c r="X3536" s="43"/>
      <c r="Y3536" s="43"/>
      <c r="Z3536" s="43"/>
    </row>
    <row r="3537" spans="15:26" x14ac:dyDescent="0.25">
      <c r="O3537" s="43"/>
      <c r="P3537" s="43"/>
      <c r="Q3537" s="43"/>
      <c r="R3537" s="43"/>
      <c r="S3537" s="43"/>
      <c r="T3537" s="43"/>
      <c r="U3537" s="43"/>
      <c r="V3537" s="43"/>
      <c r="W3537" s="43"/>
      <c r="X3537" s="43"/>
      <c r="Y3537" s="43"/>
      <c r="Z3537" s="43"/>
    </row>
    <row r="3538" spans="15:26" x14ac:dyDescent="0.25">
      <c r="O3538" s="43"/>
      <c r="P3538" s="43"/>
      <c r="Q3538" s="43"/>
      <c r="R3538" s="43"/>
      <c r="S3538" s="43"/>
      <c r="T3538" s="43"/>
      <c r="U3538" s="43"/>
      <c r="V3538" s="43"/>
      <c r="W3538" s="43"/>
      <c r="X3538" s="43"/>
      <c r="Y3538" s="43"/>
      <c r="Z3538" s="43"/>
    </row>
    <row r="3539" spans="15:26" x14ac:dyDescent="0.25">
      <c r="O3539" s="43"/>
      <c r="P3539" s="43"/>
      <c r="Q3539" s="43"/>
      <c r="R3539" s="43"/>
      <c r="S3539" s="43"/>
      <c r="T3539" s="43"/>
      <c r="U3539" s="43"/>
      <c r="V3539" s="43"/>
      <c r="W3539" s="43"/>
      <c r="X3539" s="43"/>
      <c r="Y3539" s="43"/>
      <c r="Z3539" s="43"/>
    </row>
    <row r="3540" spans="15:26" x14ac:dyDescent="0.25">
      <c r="O3540" s="43"/>
      <c r="P3540" s="43"/>
      <c r="Q3540" s="43"/>
      <c r="R3540" s="43"/>
      <c r="S3540" s="43"/>
      <c r="T3540" s="43"/>
      <c r="U3540" s="43"/>
      <c r="V3540" s="43"/>
      <c r="W3540" s="43"/>
      <c r="X3540" s="43"/>
      <c r="Y3540" s="43"/>
      <c r="Z3540" s="43"/>
    </row>
    <row r="3541" spans="15:26" x14ac:dyDescent="0.25">
      <c r="O3541" s="43"/>
      <c r="P3541" s="43"/>
      <c r="Q3541" s="43"/>
      <c r="R3541" s="43"/>
      <c r="S3541" s="43"/>
      <c r="T3541" s="43"/>
      <c r="U3541" s="43"/>
      <c r="V3541" s="43"/>
      <c r="W3541" s="43"/>
      <c r="X3541" s="43"/>
      <c r="Y3541" s="43"/>
      <c r="Z3541" s="43"/>
    </row>
    <row r="3542" spans="15:26" x14ac:dyDescent="0.25">
      <c r="O3542" s="43"/>
      <c r="P3542" s="43"/>
      <c r="Q3542" s="43"/>
      <c r="R3542" s="43"/>
      <c r="S3542" s="43"/>
      <c r="T3542" s="43"/>
      <c r="U3542" s="43"/>
      <c r="V3542" s="43"/>
      <c r="W3542" s="43"/>
      <c r="X3542" s="43"/>
      <c r="Y3542" s="43"/>
      <c r="Z3542" s="43"/>
    </row>
    <row r="3543" spans="15:26" x14ac:dyDescent="0.25">
      <c r="O3543" s="43"/>
      <c r="P3543" s="43"/>
      <c r="Q3543" s="43"/>
      <c r="R3543" s="43"/>
      <c r="S3543" s="43"/>
      <c r="T3543" s="43"/>
      <c r="U3543" s="43"/>
      <c r="V3543" s="43"/>
      <c r="W3543" s="43"/>
      <c r="X3543" s="43"/>
      <c r="Y3543" s="43"/>
      <c r="Z3543" s="43"/>
    </row>
    <row r="3544" spans="15:26" x14ac:dyDescent="0.25">
      <c r="O3544" s="43"/>
      <c r="P3544" s="43"/>
      <c r="Q3544" s="43"/>
      <c r="R3544" s="43"/>
      <c r="S3544" s="43"/>
      <c r="T3544" s="43"/>
      <c r="U3544" s="43"/>
      <c r="V3544" s="43"/>
      <c r="W3544" s="43"/>
      <c r="X3544" s="43"/>
      <c r="Y3544" s="43"/>
      <c r="Z3544" s="43"/>
    </row>
    <row r="3545" spans="15:26" x14ac:dyDescent="0.25">
      <c r="O3545" s="43"/>
      <c r="P3545" s="43"/>
      <c r="Q3545" s="43"/>
      <c r="R3545" s="43"/>
      <c r="S3545" s="43"/>
      <c r="T3545" s="43"/>
      <c r="U3545" s="43"/>
      <c r="V3545" s="43"/>
      <c r="W3545" s="43"/>
      <c r="X3545" s="43"/>
      <c r="Y3545" s="43"/>
      <c r="Z3545" s="43"/>
    </row>
    <row r="3546" spans="15:26" x14ac:dyDescent="0.25">
      <c r="O3546" s="43"/>
      <c r="P3546" s="43"/>
      <c r="Q3546" s="43"/>
      <c r="R3546" s="43"/>
      <c r="S3546" s="43"/>
      <c r="T3546" s="43"/>
      <c r="U3546" s="43"/>
      <c r="V3546" s="43"/>
      <c r="W3546" s="43"/>
      <c r="X3546" s="43"/>
      <c r="Y3546" s="43"/>
      <c r="Z3546" s="43"/>
    </row>
    <row r="3547" spans="15:26" x14ac:dyDescent="0.25">
      <c r="O3547" s="43"/>
      <c r="P3547" s="43"/>
      <c r="Q3547" s="43"/>
      <c r="R3547" s="43"/>
      <c r="S3547" s="43"/>
      <c r="T3547" s="43"/>
      <c r="U3547" s="43"/>
      <c r="V3547" s="43"/>
      <c r="W3547" s="43"/>
      <c r="X3547" s="43"/>
      <c r="Y3547" s="43"/>
      <c r="Z3547" s="43"/>
    </row>
    <row r="3548" spans="15:26" x14ac:dyDescent="0.25">
      <c r="O3548" s="43"/>
      <c r="P3548" s="43"/>
      <c r="Q3548" s="43"/>
      <c r="R3548" s="43"/>
      <c r="S3548" s="43"/>
      <c r="T3548" s="43"/>
      <c r="U3548" s="43"/>
      <c r="V3548" s="43"/>
      <c r="W3548" s="43"/>
      <c r="X3548" s="43"/>
      <c r="Y3548" s="43"/>
      <c r="Z3548" s="43"/>
    </row>
    <row r="3549" spans="15:26" x14ac:dyDescent="0.25">
      <c r="O3549" s="43"/>
      <c r="P3549" s="43"/>
      <c r="Q3549" s="43"/>
      <c r="R3549" s="43"/>
      <c r="S3549" s="43"/>
      <c r="T3549" s="43"/>
      <c r="U3549" s="43"/>
      <c r="V3549" s="43"/>
      <c r="W3549" s="43"/>
      <c r="X3549" s="43"/>
      <c r="Y3549" s="43"/>
      <c r="Z3549" s="43"/>
    </row>
    <row r="3550" spans="15:26" x14ac:dyDescent="0.25">
      <c r="O3550" s="43"/>
      <c r="P3550" s="43"/>
      <c r="Q3550" s="43"/>
      <c r="R3550" s="43"/>
      <c r="S3550" s="43"/>
      <c r="T3550" s="43"/>
      <c r="U3550" s="43"/>
      <c r="V3550" s="43"/>
      <c r="W3550" s="43"/>
      <c r="X3550" s="43"/>
      <c r="Y3550" s="43"/>
      <c r="Z3550" s="43"/>
    </row>
    <row r="3551" spans="15:26" x14ac:dyDescent="0.25">
      <c r="O3551" s="43"/>
      <c r="P3551" s="43"/>
      <c r="Q3551" s="43"/>
      <c r="R3551" s="43"/>
      <c r="S3551" s="43"/>
      <c r="T3551" s="43"/>
      <c r="U3551" s="43"/>
      <c r="V3551" s="43"/>
      <c r="W3551" s="43"/>
      <c r="X3551" s="43"/>
      <c r="Y3551" s="43"/>
      <c r="Z3551" s="43"/>
    </row>
    <row r="3552" spans="15:26" x14ac:dyDescent="0.25">
      <c r="O3552" s="43"/>
      <c r="P3552" s="43"/>
      <c r="Q3552" s="43"/>
      <c r="R3552" s="43"/>
      <c r="S3552" s="43"/>
      <c r="T3552" s="43"/>
      <c r="U3552" s="43"/>
      <c r="V3552" s="43"/>
      <c r="W3552" s="43"/>
      <c r="X3552" s="43"/>
      <c r="Y3552" s="43"/>
      <c r="Z3552" s="43"/>
    </row>
    <row r="3553" spans="15:26" x14ac:dyDescent="0.25">
      <c r="O3553" s="43"/>
      <c r="P3553" s="43"/>
      <c r="Q3553" s="43"/>
      <c r="R3553" s="43"/>
      <c r="S3553" s="43"/>
      <c r="T3553" s="43"/>
      <c r="U3553" s="43"/>
      <c r="V3553" s="43"/>
      <c r="W3553" s="43"/>
      <c r="X3553" s="43"/>
      <c r="Y3553" s="43"/>
      <c r="Z3553" s="43"/>
    </row>
    <row r="3554" spans="15:26" x14ac:dyDescent="0.25">
      <c r="O3554" s="43"/>
      <c r="P3554" s="43"/>
      <c r="Q3554" s="43"/>
      <c r="R3554" s="43"/>
      <c r="S3554" s="43"/>
      <c r="T3554" s="43"/>
      <c r="U3554" s="43"/>
      <c r="V3554" s="43"/>
      <c r="W3554" s="43"/>
      <c r="X3554" s="43"/>
      <c r="Y3554" s="43"/>
      <c r="Z3554" s="43"/>
    </row>
    <row r="3555" spans="15:26" x14ac:dyDescent="0.25">
      <c r="O3555" s="43"/>
      <c r="P3555" s="43"/>
      <c r="Q3555" s="43"/>
      <c r="R3555" s="43"/>
      <c r="S3555" s="43"/>
      <c r="T3555" s="43"/>
      <c r="U3555" s="43"/>
      <c r="V3555" s="43"/>
      <c r="W3555" s="43"/>
      <c r="X3555" s="43"/>
      <c r="Y3555" s="43"/>
      <c r="Z3555" s="43"/>
    </row>
    <row r="3556" spans="15:26" x14ac:dyDescent="0.25">
      <c r="O3556" s="43"/>
      <c r="P3556" s="43"/>
      <c r="Q3556" s="43"/>
      <c r="R3556" s="43"/>
      <c r="S3556" s="43"/>
      <c r="T3556" s="43"/>
      <c r="U3556" s="43"/>
      <c r="V3556" s="43"/>
      <c r="W3556" s="43"/>
      <c r="X3556" s="43"/>
      <c r="Y3556" s="43"/>
      <c r="Z3556" s="43"/>
    </row>
    <row r="3557" spans="15:26" x14ac:dyDescent="0.25">
      <c r="O3557" s="43"/>
      <c r="P3557" s="43"/>
      <c r="Q3557" s="43"/>
      <c r="R3557" s="43"/>
      <c r="S3557" s="43"/>
      <c r="T3557" s="43"/>
      <c r="U3557" s="43"/>
      <c r="V3557" s="43"/>
      <c r="W3557" s="43"/>
      <c r="X3557" s="43"/>
      <c r="Y3557" s="43"/>
      <c r="Z3557" s="43"/>
    </row>
    <row r="3558" spans="15:26" x14ac:dyDescent="0.25">
      <c r="O3558" s="43"/>
      <c r="P3558" s="43"/>
      <c r="Q3558" s="43"/>
      <c r="R3558" s="43"/>
      <c r="S3558" s="43"/>
      <c r="T3558" s="43"/>
      <c r="U3558" s="43"/>
      <c r="V3558" s="43"/>
      <c r="W3558" s="43"/>
      <c r="X3558" s="43"/>
      <c r="Y3558" s="43"/>
      <c r="Z3558" s="43"/>
    </row>
    <row r="3559" spans="15:26" x14ac:dyDescent="0.25">
      <c r="O3559" s="43"/>
      <c r="P3559" s="43"/>
      <c r="Q3559" s="43"/>
      <c r="R3559" s="43"/>
      <c r="S3559" s="43"/>
      <c r="T3559" s="43"/>
      <c r="U3559" s="43"/>
      <c r="V3559" s="43"/>
      <c r="W3559" s="43"/>
      <c r="X3559" s="43"/>
      <c r="Y3559" s="43"/>
      <c r="Z3559" s="43"/>
    </row>
    <row r="3560" spans="15:26" x14ac:dyDescent="0.25">
      <c r="O3560" s="43"/>
      <c r="P3560" s="43"/>
      <c r="Q3560" s="43"/>
      <c r="R3560" s="43"/>
      <c r="S3560" s="43"/>
      <c r="T3560" s="43"/>
      <c r="U3560" s="43"/>
      <c r="V3560" s="43"/>
      <c r="W3560" s="43"/>
      <c r="X3560" s="43"/>
      <c r="Y3560" s="43"/>
      <c r="Z3560" s="43"/>
    </row>
    <row r="3561" spans="15:26" x14ac:dyDescent="0.25">
      <c r="O3561" s="43"/>
      <c r="P3561" s="43"/>
      <c r="Q3561" s="43"/>
      <c r="R3561" s="43"/>
      <c r="S3561" s="43"/>
      <c r="T3561" s="43"/>
      <c r="U3561" s="43"/>
      <c r="V3561" s="43"/>
      <c r="W3561" s="43"/>
      <c r="X3561" s="43"/>
      <c r="Y3561" s="43"/>
      <c r="Z3561" s="43"/>
    </row>
    <row r="3562" spans="15:26" x14ac:dyDescent="0.25">
      <c r="O3562" s="43"/>
      <c r="P3562" s="43"/>
      <c r="Q3562" s="43"/>
      <c r="R3562" s="43"/>
      <c r="S3562" s="43"/>
      <c r="T3562" s="43"/>
      <c r="U3562" s="43"/>
      <c r="V3562" s="43"/>
      <c r="W3562" s="43"/>
      <c r="X3562" s="43"/>
      <c r="Y3562" s="43"/>
      <c r="Z3562" s="43"/>
    </row>
    <row r="3563" spans="15:26" x14ac:dyDescent="0.25">
      <c r="O3563" s="43"/>
      <c r="P3563" s="43"/>
      <c r="Q3563" s="43"/>
      <c r="R3563" s="43"/>
      <c r="S3563" s="43"/>
      <c r="T3563" s="43"/>
      <c r="U3563" s="43"/>
      <c r="V3563" s="43"/>
      <c r="W3563" s="43"/>
      <c r="X3563" s="43"/>
      <c r="Y3563" s="43"/>
      <c r="Z3563" s="43"/>
    </row>
    <row r="3564" spans="15:26" x14ac:dyDescent="0.25">
      <c r="O3564" s="43"/>
      <c r="P3564" s="43"/>
      <c r="Q3564" s="43"/>
      <c r="R3564" s="43"/>
      <c r="S3564" s="43"/>
      <c r="T3564" s="43"/>
      <c r="U3564" s="43"/>
      <c r="V3564" s="43"/>
      <c r="W3564" s="43"/>
      <c r="X3564" s="43"/>
      <c r="Y3564" s="43"/>
      <c r="Z3564" s="43"/>
    </row>
    <row r="3565" spans="15:26" x14ac:dyDescent="0.25">
      <c r="O3565" s="43"/>
      <c r="P3565" s="43"/>
      <c r="Q3565" s="43"/>
      <c r="R3565" s="43"/>
      <c r="S3565" s="43"/>
      <c r="T3565" s="43"/>
      <c r="U3565" s="43"/>
      <c r="V3565" s="43"/>
      <c r="W3565" s="43"/>
      <c r="X3565" s="43"/>
      <c r="Y3565" s="43"/>
      <c r="Z3565" s="43"/>
    </row>
    <row r="3566" spans="15:26" x14ac:dyDescent="0.25">
      <c r="O3566" s="43"/>
      <c r="P3566" s="43"/>
      <c r="Q3566" s="43"/>
      <c r="R3566" s="43"/>
      <c r="S3566" s="43"/>
      <c r="T3566" s="43"/>
      <c r="U3566" s="43"/>
      <c r="V3566" s="43"/>
      <c r="W3566" s="43"/>
      <c r="X3566" s="43"/>
      <c r="Y3566" s="43"/>
      <c r="Z3566" s="43"/>
    </row>
    <row r="3567" spans="15:26" x14ac:dyDescent="0.25">
      <c r="O3567" s="43"/>
      <c r="P3567" s="43"/>
      <c r="Q3567" s="43"/>
      <c r="R3567" s="43"/>
      <c r="S3567" s="43"/>
      <c r="T3567" s="43"/>
      <c r="U3567" s="43"/>
      <c r="V3567" s="43"/>
      <c r="W3567" s="43"/>
      <c r="X3567" s="43"/>
      <c r="Y3567" s="43"/>
      <c r="Z3567" s="43"/>
    </row>
    <row r="3568" spans="15:26" x14ac:dyDescent="0.25">
      <c r="O3568" s="43"/>
      <c r="P3568" s="43"/>
      <c r="Q3568" s="43"/>
      <c r="R3568" s="43"/>
      <c r="S3568" s="43"/>
      <c r="T3568" s="43"/>
      <c r="U3568" s="43"/>
      <c r="V3568" s="43"/>
      <c r="W3568" s="43"/>
      <c r="X3568" s="43"/>
      <c r="Y3568" s="43"/>
      <c r="Z3568" s="43"/>
    </row>
    <row r="3569" spans="15:26" x14ac:dyDescent="0.25">
      <c r="O3569" s="43"/>
      <c r="P3569" s="43"/>
      <c r="Q3569" s="43"/>
      <c r="R3569" s="43"/>
      <c r="S3569" s="43"/>
      <c r="T3569" s="43"/>
      <c r="U3569" s="43"/>
      <c r="V3569" s="43"/>
      <c r="W3569" s="43"/>
      <c r="X3569" s="43"/>
      <c r="Y3569" s="43"/>
      <c r="Z3569" s="43"/>
    </row>
    <row r="3570" spans="15:26" x14ac:dyDescent="0.25">
      <c r="O3570" s="43"/>
      <c r="P3570" s="43"/>
      <c r="Q3570" s="43"/>
      <c r="R3570" s="43"/>
      <c r="S3570" s="43"/>
      <c r="T3570" s="43"/>
      <c r="U3570" s="43"/>
      <c r="V3570" s="43"/>
      <c r="W3570" s="43"/>
      <c r="X3570" s="43"/>
      <c r="Y3570" s="43"/>
      <c r="Z3570" s="43"/>
    </row>
    <row r="3571" spans="15:26" x14ac:dyDescent="0.25">
      <c r="O3571" s="43"/>
      <c r="P3571" s="43"/>
      <c r="Q3571" s="43"/>
      <c r="R3571" s="43"/>
      <c r="S3571" s="43"/>
      <c r="T3571" s="43"/>
      <c r="U3571" s="43"/>
      <c r="V3571" s="43"/>
      <c r="W3571" s="43"/>
      <c r="X3571" s="43"/>
      <c r="Y3571" s="43"/>
      <c r="Z3571" s="43"/>
    </row>
    <row r="3572" spans="15:26" x14ac:dyDescent="0.25">
      <c r="O3572" s="43"/>
      <c r="P3572" s="43"/>
      <c r="Q3572" s="43"/>
      <c r="R3572" s="43"/>
      <c r="S3572" s="43"/>
      <c r="T3572" s="43"/>
      <c r="U3572" s="43"/>
      <c r="V3572" s="43"/>
      <c r="W3572" s="43"/>
      <c r="X3572" s="43"/>
      <c r="Y3572" s="43"/>
      <c r="Z3572" s="43"/>
    </row>
    <row r="3573" spans="15:26" x14ac:dyDescent="0.25">
      <c r="O3573" s="43"/>
      <c r="P3573" s="43"/>
      <c r="Q3573" s="43"/>
      <c r="R3573" s="43"/>
      <c r="S3573" s="43"/>
      <c r="T3573" s="43"/>
      <c r="U3573" s="43"/>
      <c r="V3573" s="43"/>
      <c r="W3573" s="43"/>
      <c r="X3573" s="43"/>
      <c r="Y3573" s="43"/>
      <c r="Z3573" s="43"/>
    </row>
    <row r="3574" spans="15:26" x14ac:dyDescent="0.25">
      <c r="O3574" s="43"/>
      <c r="P3574" s="43"/>
      <c r="Q3574" s="43"/>
      <c r="R3574" s="43"/>
      <c r="S3574" s="43"/>
      <c r="T3574" s="43"/>
      <c r="U3574" s="43"/>
      <c r="V3574" s="43"/>
      <c r="W3574" s="43"/>
      <c r="X3574" s="43"/>
      <c r="Y3574" s="43"/>
      <c r="Z3574" s="43"/>
    </row>
    <row r="3575" spans="15:26" x14ac:dyDescent="0.25">
      <c r="O3575" s="43"/>
      <c r="P3575" s="43"/>
      <c r="Q3575" s="43"/>
      <c r="R3575" s="43"/>
      <c r="S3575" s="43"/>
      <c r="T3575" s="43"/>
      <c r="U3575" s="43"/>
      <c r="V3575" s="43"/>
      <c r="W3575" s="43"/>
      <c r="X3575" s="43"/>
      <c r="Y3575" s="43"/>
      <c r="Z3575" s="43"/>
    </row>
    <row r="3576" spans="15:26" x14ac:dyDescent="0.25">
      <c r="O3576" s="43"/>
      <c r="P3576" s="43"/>
      <c r="Q3576" s="43"/>
      <c r="R3576" s="43"/>
      <c r="S3576" s="43"/>
      <c r="T3576" s="43"/>
      <c r="U3576" s="43"/>
      <c r="V3576" s="43"/>
      <c r="W3576" s="43"/>
      <c r="X3576" s="43"/>
      <c r="Y3576" s="43"/>
      <c r="Z3576" s="43"/>
    </row>
    <row r="3577" spans="15:26" x14ac:dyDescent="0.25">
      <c r="O3577" s="43"/>
      <c r="P3577" s="43"/>
      <c r="Q3577" s="43"/>
      <c r="R3577" s="43"/>
      <c r="S3577" s="43"/>
      <c r="T3577" s="43"/>
      <c r="U3577" s="43"/>
      <c r="V3577" s="43"/>
      <c r="W3577" s="43"/>
      <c r="X3577" s="43"/>
      <c r="Y3577" s="43"/>
      <c r="Z3577" s="43"/>
    </row>
    <row r="3578" spans="15:26" x14ac:dyDescent="0.25">
      <c r="O3578" s="43"/>
      <c r="P3578" s="43"/>
      <c r="Q3578" s="43"/>
      <c r="R3578" s="43"/>
      <c r="S3578" s="43"/>
      <c r="T3578" s="43"/>
      <c r="U3578" s="43"/>
      <c r="V3578" s="43"/>
      <c r="W3578" s="43"/>
      <c r="X3578" s="43"/>
      <c r="Y3578" s="43"/>
      <c r="Z3578" s="43"/>
    </row>
    <row r="3579" spans="15:26" x14ac:dyDescent="0.25">
      <c r="O3579" s="43"/>
      <c r="P3579" s="43"/>
      <c r="Q3579" s="43"/>
      <c r="R3579" s="43"/>
      <c r="S3579" s="43"/>
      <c r="T3579" s="43"/>
      <c r="U3579" s="43"/>
      <c r="V3579" s="43"/>
      <c r="W3579" s="43"/>
      <c r="X3579" s="43"/>
      <c r="Y3579" s="43"/>
      <c r="Z3579" s="43"/>
    </row>
    <row r="3580" spans="15:26" x14ac:dyDescent="0.25">
      <c r="O3580" s="43"/>
      <c r="P3580" s="43"/>
      <c r="Q3580" s="43"/>
      <c r="R3580" s="43"/>
      <c r="S3580" s="43"/>
      <c r="T3580" s="43"/>
      <c r="U3580" s="43"/>
      <c r="V3580" s="43"/>
      <c r="W3580" s="43"/>
      <c r="X3580" s="43"/>
      <c r="Y3580" s="43"/>
      <c r="Z3580" s="43"/>
    </row>
    <row r="3581" spans="15:26" x14ac:dyDescent="0.25">
      <c r="O3581" s="43"/>
      <c r="P3581" s="43"/>
      <c r="Q3581" s="43"/>
      <c r="R3581" s="43"/>
      <c r="S3581" s="43"/>
      <c r="T3581" s="43"/>
      <c r="U3581" s="43"/>
      <c r="V3581" s="43"/>
      <c r="W3581" s="43"/>
      <c r="X3581" s="43"/>
      <c r="Y3581" s="43"/>
      <c r="Z3581" s="43"/>
    </row>
    <row r="3582" spans="15:26" x14ac:dyDescent="0.25">
      <c r="O3582" s="43"/>
      <c r="P3582" s="43"/>
      <c r="Q3582" s="43"/>
      <c r="R3582" s="43"/>
      <c r="S3582" s="43"/>
      <c r="T3582" s="43"/>
      <c r="U3582" s="43"/>
      <c r="V3582" s="43"/>
      <c r="W3582" s="43"/>
      <c r="X3582" s="43"/>
      <c r="Y3582" s="43"/>
      <c r="Z3582" s="43"/>
    </row>
    <row r="3583" spans="15:26" x14ac:dyDescent="0.25">
      <c r="O3583" s="43"/>
      <c r="P3583" s="43"/>
      <c r="Q3583" s="43"/>
      <c r="R3583" s="43"/>
      <c r="S3583" s="43"/>
      <c r="T3583" s="43"/>
      <c r="U3583" s="43"/>
      <c r="V3583" s="43"/>
      <c r="W3583" s="43"/>
      <c r="X3583" s="43"/>
      <c r="Y3583" s="43"/>
      <c r="Z3583" s="43"/>
    </row>
    <row r="3584" spans="15:26" x14ac:dyDescent="0.25">
      <c r="O3584" s="43"/>
      <c r="P3584" s="43"/>
      <c r="Q3584" s="43"/>
      <c r="R3584" s="43"/>
      <c r="S3584" s="43"/>
      <c r="T3584" s="43"/>
      <c r="U3584" s="43"/>
      <c r="V3584" s="43"/>
      <c r="W3584" s="43"/>
      <c r="X3584" s="43"/>
      <c r="Y3584" s="43"/>
      <c r="Z3584" s="43"/>
    </row>
    <row r="3585" spans="15:26" x14ac:dyDescent="0.25">
      <c r="O3585" s="43"/>
      <c r="P3585" s="43"/>
      <c r="Q3585" s="43"/>
      <c r="R3585" s="43"/>
      <c r="S3585" s="43"/>
      <c r="T3585" s="43"/>
      <c r="U3585" s="43"/>
      <c r="V3585" s="43"/>
      <c r="W3585" s="43"/>
      <c r="X3585" s="43"/>
      <c r="Y3585" s="43"/>
      <c r="Z3585" s="43"/>
    </row>
    <row r="3586" spans="15:26" x14ac:dyDescent="0.25">
      <c r="O3586" s="43"/>
      <c r="P3586" s="43"/>
      <c r="Q3586" s="43"/>
      <c r="R3586" s="43"/>
      <c r="S3586" s="43"/>
      <c r="T3586" s="43"/>
      <c r="U3586" s="43"/>
      <c r="V3586" s="43"/>
      <c r="W3586" s="43"/>
      <c r="X3586" s="43"/>
      <c r="Y3586" s="43"/>
      <c r="Z3586" s="43"/>
    </row>
    <row r="3587" spans="15:26" x14ac:dyDescent="0.25">
      <c r="O3587" s="43"/>
      <c r="P3587" s="43"/>
      <c r="Q3587" s="43"/>
      <c r="R3587" s="43"/>
      <c r="S3587" s="43"/>
      <c r="T3587" s="43"/>
      <c r="U3587" s="43"/>
      <c r="V3587" s="43"/>
      <c r="W3587" s="43"/>
      <c r="X3587" s="43"/>
      <c r="Y3587" s="43"/>
      <c r="Z3587" s="43"/>
    </row>
    <row r="3588" spans="15:26" x14ac:dyDescent="0.25">
      <c r="O3588" s="43"/>
      <c r="P3588" s="43"/>
      <c r="Q3588" s="43"/>
      <c r="R3588" s="43"/>
      <c r="S3588" s="43"/>
      <c r="T3588" s="43"/>
      <c r="U3588" s="43"/>
      <c r="V3588" s="43"/>
      <c r="W3588" s="43"/>
      <c r="X3588" s="43"/>
      <c r="Y3588" s="43"/>
      <c r="Z3588" s="43"/>
    </row>
    <row r="3589" spans="15:26" x14ac:dyDescent="0.25">
      <c r="O3589" s="43"/>
      <c r="P3589" s="43"/>
      <c r="Q3589" s="43"/>
      <c r="R3589" s="43"/>
      <c r="S3589" s="43"/>
      <c r="T3589" s="43"/>
      <c r="U3589" s="43"/>
      <c r="V3589" s="43"/>
      <c r="W3589" s="43"/>
      <c r="X3589" s="43"/>
      <c r="Y3589" s="43"/>
      <c r="Z3589" s="43"/>
    </row>
    <row r="3590" spans="15:26" x14ac:dyDescent="0.25">
      <c r="O3590" s="43"/>
      <c r="P3590" s="43"/>
      <c r="Q3590" s="43"/>
      <c r="R3590" s="43"/>
      <c r="S3590" s="43"/>
      <c r="T3590" s="43"/>
      <c r="U3590" s="43"/>
      <c r="V3590" s="43"/>
      <c r="W3590" s="43"/>
      <c r="X3590" s="43"/>
      <c r="Y3590" s="43"/>
      <c r="Z3590" s="43"/>
    </row>
    <row r="3591" spans="15:26" x14ac:dyDescent="0.25">
      <c r="O3591" s="43"/>
      <c r="P3591" s="43"/>
      <c r="Q3591" s="43"/>
      <c r="R3591" s="43"/>
      <c r="S3591" s="43"/>
      <c r="T3591" s="43"/>
      <c r="U3591" s="43"/>
      <c r="V3591" s="43"/>
      <c r="W3591" s="43"/>
      <c r="X3591" s="43"/>
      <c r="Y3591" s="43"/>
      <c r="Z3591" s="43"/>
    </row>
    <row r="3592" spans="15:26" x14ac:dyDescent="0.25">
      <c r="O3592" s="43"/>
      <c r="P3592" s="43"/>
      <c r="Q3592" s="43"/>
      <c r="R3592" s="43"/>
      <c r="S3592" s="43"/>
      <c r="T3592" s="43"/>
      <c r="U3592" s="43"/>
      <c r="V3592" s="43"/>
      <c r="W3592" s="43"/>
      <c r="X3592" s="43"/>
      <c r="Y3592" s="43"/>
      <c r="Z3592" s="43"/>
    </row>
    <row r="3593" spans="15:26" x14ac:dyDescent="0.25">
      <c r="O3593" s="43"/>
      <c r="P3593" s="43"/>
      <c r="Q3593" s="43"/>
      <c r="R3593" s="43"/>
      <c r="S3593" s="43"/>
      <c r="T3593" s="43"/>
      <c r="U3593" s="43"/>
      <c r="V3593" s="43"/>
      <c r="W3593" s="43"/>
      <c r="X3593" s="43"/>
      <c r="Y3593" s="43"/>
      <c r="Z3593" s="43"/>
    </row>
    <row r="3594" spans="15:26" x14ac:dyDescent="0.25">
      <c r="O3594" s="43"/>
      <c r="P3594" s="43"/>
      <c r="Q3594" s="43"/>
      <c r="R3594" s="43"/>
      <c r="S3594" s="43"/>
      <c r="T3594" s="43"/>
      <c r="U3594" s="43"/>
      <c r="V3594" s="43"/>
      <c r="W3594" s="43"/>
      <c r="X3594" s="43"/>
      <c r="Y3594" s="43"/>
      <c r="Z3594" s="43"/>
    </row>
    <row r="3595" spans="15:26" x14ac:dyDescent="0.25">
      <c r="O3595" s="43"/>
      <c r="P3595" s="43"/>
      <c r="Q3595" s="43"/>
      <c r="R3595" s="43"/>
      <c r="S3595" s="43"/>
      <c r="T3595" s="43"/>
      <c r="U3595" s="43"/>
      <c r="V3595" s="43"/>
      <c r="W3595" s="43"/>
      <c r="X3595" s="43"/>
      <c r="Y3595" s="43"/>
      <c r="Z3595" s="43"/>
    </row>
    <row r="3596" spans="15:26" x14ac:dyDescent="0.25">
      <c r="O3596" s="43"/>
      <c r="P3596" s="43"/>
      <c r="Q3596" s="43"/>
      <c r="R3596" s="43"/>
      <c r="S3596" s="43"/>
      <c r="T3596" s="43"/>
      <c r="U3596" s="43"/>
      <c r="V3596" s="43"/>
      <c r="W3596" s="43"/>
      <c r="X3596" s="43"/>
      <c r="Y3596" s="43"/>
      <c r="Z3596" s="43"/>
    </row>
    <row r="3597" spans="15:26" x14ac:dyDescent="0.25">
      <c r="O3597" s="43"/>
      <c r="P3597" s="43"/>
      <c r="Q3597" s="43"/>
      <c r="R3597" s="43"/>
      <c r="S3597" s="43"/>
      <c r="T3597" s="43"/>
      <c r="U3597" s="43"/>
      <c r="V3597" s="43"/>
      <c r="W3597" s="43"/>
      <c r="X3597" s="43"/>
      <c r="Y3597" s="43"/>
      <c r="Z3597" s="43"/>
    </row>
    <row r="3598" spans="15:26" x14ac:dyDescent="0.25">
      <c r="O3598" s="43"/>
      <c r="P3598" s="43"/>
      <c r="Q3598" s="43"/>
      <c r="R3598" s="43"/>
      <c r="S3598" s="43"/>
      <c r="T3598" s="43"/>
      <c r="U3598" s="43"/>
      <c r="V3598" s="43"/>
      <c r="W3598" s="43"/>
      <c r="X3598" s="43"/>
      <c r="Y3598" s="43"/>
      <c r="Z3598" s="43"/>
    </row>
    <row r="3599" spans="15:26" x14ac:dyDescent="0.25">
      <c r="O3599" s="43"/>
      <c r="P3599" s="43"/>
      <c r="Q3599" s="43"/>
      <c r="R3599" s="43"/>
      <c r="S3599" s="43"/>
      <c r="T3599" s="43"/>
      <c r="U3599" s="43"/>
      <c r="V3599" s="43"/>
      <c r="W3599" s="43"/>
      <c r="X3599" s="43"/>
      <c r="Y3599" s="43"/>
      <c r="Z3599" s="43"/>
    </row>
    <row r="3600" spans="15:26" x14ac:dyDescent="0.25">
      <c r="O3600" s="43"/>
      <c r="P3600" s="43"/>
      <c r="Q3600" s="43"/>
      <c r="R3600" s="43"/>
      <c r="S3600" s="43"/>
      <c r="T3600" s="43"/>
      <c r="U3600" s="43"/>
      <c r="V3600" s="43"/>
      <c r="W3600" s="43"/>
      <c r="X3600" s="43"/>
      <c r="Y3600" s="43"/>
      <c r="Z3600" s="43"/>
    </row>
    <row r="3601" spans="15:26" x14ac:dyDescent="0.25">
      <c r="O3601" s="43"/>
      <c r="P3601" s="43"/>
      <c r="Q3601" s="43"/>
      <c r="R3601" s="43"/>
      <c r="S3601" s="43"/>
      <c r="T3601" s="43"/>
      <c r="U3601" s="43"/>
      <c r="V3601" s="43"/>
      <c r="W3601" s="43"/>
      <c r="X3601" s="43"/>
      <c r="Y3601" s="43"/>
      <c r="Z3601" s="43"/>
    </row>
    <row r="3602" spans="15:26" x14ac:dyDescent="0.25">
      <c r="O3602" s="43"/>
      <c r="P3602" s="43"/>
      <c r="Q3602" s="43"/>
      <c r="R3602" s="43"/>
      <c r="S3602" s="43"/>
      <c r="T3602" s="43"/>
      <c r="U3602" s="43"/>
      <c r="V3602" s="43"/>
      <c r="W3602" s="43"/>
      <c r="X3602" s="43"/>
      <c r="Y3602" s="43"/>
      <c r="Z3602" s="43"/>
    </row>
    <row r="3603" spans="15:26" x14ac:dyDescent="0.25">
      <c r="O3603" s="43"/>
      <c r="P3603" s="43"/>
      <c r="Q3603" s="43"/>
      <c r="R3603" s="43"/>
      <c r="S3603" s="43"/>
      <c r="T3603" s="43"/>
      <c r="U3603" s="43"/>
      <c r="V3603" s="43"/>
      <c r="W3603" s="43"/>
      <c r="X3603" s="43"/>
      <c r="Y3603" s="43"/>
      <c r="Z3603" s="43"/>
    </row>
    <row r="3604" spans="15:26" x14ac:dyDescent="0.25">
      <c r="O3604" s="43"/>
      <c r="P3604" s="43"/>
      <c r="Q3604" s="43"/>
      <c r="R3604" s="43"/>
      <c r="S3604" s="43"/>
      <c r="T3604" s="43"/>
      <c r="U3604" s="43"/>
      <c r="V3604" s="43"/>
      <c r="W3604" s="43"/>
      <c r="X3604" s="43"/>
      <c r="Y3604" s="43"/>
      <c r="Z3604" s="43"/>
    </row>
    <row r="3605" spans="15:26" x14ac:dyDescent="0.25">
      <c r="O3605" s="43"/>
      <c r="P3605" s="43"/>
      <c r="Q3605" s="43"/>
      <c r="R3605" s="43"/>
      <c r="S3605" s="43"/>
      <c r="T3605" s="43"/>
      <c r="U3605" s="43"/>
      <c r="V3605" s="43"/>
      <c r="W3605" s="43"/>
      <c r="X3605" s="43"/>
      <c r="Y3605" s="43"/>
      <c r="Z3605" s="43"/>
    </row>
    <row r="3606" spans="15:26" x14ac:dyDescent="0.25">
      <c r="O3606" s="43"/>
      <c r="P3606" s="43"/>
      <c r="Q3606" s="43"/>
      <c r="R3606" s="43"/>
      <c r="S3606" s="43"/>
      <c r="T3606" s="43"/>
      <c r="U3606" s="43"/>
      <c r="V3606" s="43"/>
      <c r="W3606" s="43"/>
      <c r="X3606" s="43"/>
      <c r="Y3606" s="43"/>
      <c r="Z3606" s="43"/>
    </row>
    <row r="3607" spans="15:26" x14ac:dyDescent="0.25">
      <c r="O3607" s="43"/>
      <c r="P3607" s="43"/>
      <c r="Q3607" s="43"/>
      <c r="R3607" s="43"/>
      <c r="S3607" s="43"/>
      <c r="T3607" s="43"/>
      <c r="U3607" s="43"/>
      <c r="V3607" s="43"/>
      <c r="W3607" s="43"/>
      <c r="X3607" s="43"/>
      <c r="Y3607" s="43"/>
      <c r="Z3607" s="43"/>
    </row>
    <row r="3608" spans="15:26" x14ac:dyDescent="0.25">
      <c r="O3608" s="43"/>
      <c r="P3608" s="43"/>
      <c r="Q3608" s="43"/>
      <c r="R3608" s="43"/>
      <c r="S3608" s="43"/>
      <c r="T3608" s="43"/>
      <c r="U3608" s="43"/>
      <c r="V3608" s="43"/>
      <c r="W3608" s="43"/>
      <c r="X3608" s="43"/>
      <c r="Y3608" s="43"/>
      <c r="Z3608" s="43"/>
    </row>
    <row r="3609" spans="15:26" x14ac:dyDescent="0.25">
      <c r="O3609" s="43"/>
      <c r="P3609" s="43"/>
      <c r="Q3609" s="43"/>
      <c r="R3609" s="43"/>
      <c r="S3609" s="43"/>
      <c r="T3609" s="43"/>
      <c r="U3609" s="43"/>
      <c r="V3609" s="43"/>
      <c r="W3609" s="43"/>
      <c r="X3609" s="43"/>
      <c r="Y3609" s="43"/>
      <c r="Z3609" s="43"/>
    </row>
    <row r="3610" spans="15:26" x14ac:dyDescent="0.25">
      <c r="O3610" s="43"/>
      <c r="P3610" s="43"/>
      <c r="Q3610" s="43"/>
      <c r="R3610" s="43"/>
      <c r="S3610" s="43"/>
      <c r="T3610" s="43"/>
      <c r="U3610" s="43"/>
      <c r="V3610" s="43"/>
      <c r="W3610" s="43"/>
      <c r="X3610" s="43"/>
      <c r="Y3610" s="43"/>
      <c r="Z3610" s="43"/>
    </row>
    <row r="3611" spans="15:26" x14ac:dyDescent="0.25">
      <c r="O3611" s="43"/>
      <c r="P3611" s="43"/>
      <c r="Q3611" s="43"/>
      <c r="R3611" s="43"/>
      <c r="S3611" s="43"/>
      <c r="T3611" s="43"/>
      <c r="U3611" s="43"/>
      <c r="V3611" s="43"/>
      <c r="W3611" s="43"/>
      <c r="X3611" s="43"/>
      <c r="Y3611" s="43"/>
      <c r="Z3611" s="43"/>
    </row>
    <row r="3612" spans="15:26" x14ac:dyDescent="0.25">
      <c r="O3612" s="43"/>
      <c r="P3612" s="43"/>
      <c r="Q3612" s="43"/>
      <c r="R3612" s="43"/>
      <c r="S3612" s="43"/>
      <c r="T3612" s="43"/>
      <c r="U3612" s="43"/>
      <c r="V3612" s="43"/>
      <c r="W3612" s="43"/>
      <c r="X3612" s="43"/>
      <c r="Y3612" s="43"/>
      <c r="Z3612" s="43"/>
    </row>
    <row r="3613" spans="15:26" x14ac:dyDescent="0.25">
      <c r="O3613" s="43"/>
      <c r="P3613" s="43"/>
      <c r="Q3613" s="43"/>
      <c r="R3613" s="43"/>
      <c r="S3613" s="43"/>
      <c r="T3613" s="43"/>
      <c r="U3613" s="43"/>
      <c r="V3613" s="43"/>
      <c r="W3613" s="43"/>
      <c r="X3613" s="43"/>
      <c r="Y3613" s="43"/>
      <c r="Z3613" s="43"/>
    </row>
    <row r="3614" spans="15:26" x14ac:dyDescent="0.25">
      <c r="O3614" s="43"/>
      <c r="P3614" s="43"/>
      <c r="Q3614" s="43"/>
      <c r="R3614" s="43"/>
      <c r="S3614" s="43"/>
      <c r="T3614" s="43"/>
      <c r="U3614" s="43"/>
      <c r="V3614" s="43"/>
      <c r="W3614" s="43"/>
      <c r="X3614" s="43"/>
      <c r="Y3614" s="43"/>
      <c r="Z3614" s="43"/>
    </row>
    <row r="3615" spans="15:26" x14ac:dyDescent="0.25">
      <c r="O3615" s="43"/>
      <c r="P3615" s="43"/>
      <c r="Q3615" s="43"/>
      <c r="R3615" s="43"/>
      <c r="S3615" s="43"/>
      <c r="T3615" s="43"/>
      <c r="U3615" s="43"/>
      <c r="V3615" s="43"/>
      <c r="W3615" s="43"/>
      <c r="X3615" s="43"/>
      <c r="Y3615" s="43"/>
      <c r="Z3615" s="43"/>
    </row>
    <row r="3616" spans="15:26" x14ac:dyDescent="0.25">
      <c r="O3616" s="43"/>
      <c r="P3616" s="43"/>
      <c r="Q3616" s="43"/>
      <c r="R3616" s="43"/>
      <c r="S3616" s="43"/>
      <c r="T3616" s="43"/>
      <c r="U3616" s="43"/>
      <c r="V3616" s="43"/>
      <c r="W3616" s="43"/>
      <c r="X3616" s="43"/>
      <c r="Y3616" s="43"/>
      <c r="Z3616" s="43"/>
    </row>
    <row r="3617" spans="15:26" x14ac:dyDescent="0.25">
      <c r="O3617" s="43"/>
      <c r="P3617" s="43"/>
      <c r="Q3617" s="43"/>
      <c r="R3617" s="43"/>
      <c r="S3617" s="43"/>
      <c r="T3617" s="43"/>
      <c r="U3617" s="43"/>
      <c r="V3617" s="43"/>
      <c r="W3617" s="43"/>
      <c r="X3617" s="43"/>
      <c r="Y3617" s="43"/>
      <c r="Z3617" s="43"/>
    </row>
    <row r="3618" spans="15:26" x14ac:dyDescent="0.25">
      <c r="O3618" s="43"/>
      <c r="P3618" s="43"/>
      <c r="Q3618" s="43"/>
      <c r="R3618" s="43"/>
      <c r="S3618" s="43"/>
      <c r="T3618" s="43"/>
      <c r="U3618" s="43"/>
      <c r="V3618" s="43"/>
      <c r="W3618" s="43"/>
      <c r="X3618" s="43"/>
      <c r="Y3618" s="43"/>
      <c r="Z3618" s="43"/>
    </row>
    <row r="3619" spans="15:26" x14ac:dyDescent="0.25">
      <c r="O3619" s="43"/>
      <c r="P3619" s="43"/>
      <c r="Q3619" s="43"/>
      <c r="R3619" s="43"/>
      <c r="S3619" s="43"/>
      <c r="T3619" s="43"/>
      <c r="U3619" s="43"/>
      <c r="V3619" s="43"/>
      <c r="W3619" s="43"/>
      <c r="X3619" s="43"/>
      <c r="Y3619" s="43"/>
      <c r="Z3619" s="43"/>
    </row>
    <row r="3620" spans="15:26" x14ac:dyDescent="0.25">
      <c r="O3620" s="43"/>
      <c r="P3620" s="43"/>
      <c r="Q3620" s="43"/>
      <c r="R3620" s="43"/>
      <c r="S3620" s="43"/>
      <c r="T3620" s="43"/>
      <c r="U3620" s="43"/>
      <c r="V3620" s="43"/>
      <c r="W3620" s="43"/>
      <c r="X3620" s="43"/>
      <c r="Y3620" s="43"/>
      <c r="Z3620" s="43"/>
    </row>
    <row r="3621" spans="15:26" x14ac:dyDescent="0.25">
      <c r="O3621" s="43"/>
      <c r="P3621" s="43"/>
      <c r="Q3621" s="43"/>
      <c r="R3621" s="43"/>
      <c r="S3621" s="43"/>
      <c r="T3621" s="43"/>
      <c r="U3621" s="43"/>
      <c r="V3621" s="43"/>
      <c r="W3621" s="43"/>
      <c r="X3621" s="43"/>
      <c r="Y3621" s="43"/>
      <c r="Z3621" s="43"/>
    </row>
    <row r="3622" spans="15:26" x14ac:dyDescent="0.25">
      <c r="O3622" s="43"/>
      <c r="P3622" s="43"/>
      <c r="Q3622" s="43"/>
      <c r="R3622" s="43"/>
      <c r="S3622" s="43"/>
      <c r="T3622" s="43"/>
      <c r="U3622" s="43"/>
      <c r="V3622" s="43"/>
      <c r="W3622" s="43"/>
      <c r="X3622" s="43"/>
      <c r="Y3622" s="43"/>
      <c r="Z3622" s="43"/>
    </row>
    <row r="3623" spans="15:26" x14ac:dyDescent="0.25">
      <c r="O3623" s="43"/>
      <c r="P3623" s="43"/>
      <c r="Q3623" s="43"/>
      <c r="R3623" s="43"/>
      <c r="S3623" s="43"/>
      <c r="T3623" s="43"/>
      <c r="U3623" s="43"/>
      <c r="V3623" s="43"/>
      <c r="W3623" s="43"/>
      <c r="X3623" s="43"/>
      <c r="Y3623" s="43"/>
      <c r="Z3623" s="43"/>
    </row>
    <row r="3624" spans="15:26" x14ac:dyDescent="0.25">
      <c r="O3624" s="43"/>
      <c r="P3624" s="43"/>
      <c r="Q3624" s="43"/>
      <c r="R3624" s="43"/>
      <c r="S3624" s="43"/>
      <c r="T3624" s="43"/>
      <c r="U3624" s="43"/>
      <c r="V3624" s="43"/>
      <c r="W3624" s="43"/>
      <c r="X3624" s="43"/>
      <c r="Y3624" s="43"/>
      <c r="Z3624" s="43"/>
    </row>
    <row r="3625" spans="15:26" x14ac:dyDescent="0.25">
      <c r="O3625" s="43"/>
      <c r="P3625" s="43"/>
      <c r="Q3625" s="43"/>
      <c r="R3625" s="43"/>
      <c r="S3625" s="43"/>
      <c r="T3625" s="43"/>
      <c r="U3625" s="43"/>
      <c r="V3625" s="43"/>
      <c r="W3625" s="43"/>
      <c r="X3625" s="43"/>
      <c r="Y3625" s="43"/>
      <c r="Z3625" s="43"/>
    </row>
    <row r="3626" spans="15:26" x14ac:dyDescent="0.25">
      <c r="O3626" s="43"/>
      <c r="P3626" s="43"/>
      <c r="Q3626" s="43"/>
      <c r="R3626" s="43"/>
      <c r="S3626" s="43"/>
      <c r="T3626" s="43"/>
      <c r="U3626" s="43"/>
      <c r="V3626" s="43"/>
      <c r="W3626" s="43"/>
      <c r="X3626" s="43"/>
      <c r="Y3626" s="43"/>
      <c r="Z3626" s="43"/>
    </row>
    <row r="3627" spans="15:26" x14ac:dyDescent="0.25">
      <c r="O3627" s="43"/>
      <c r="P3627" s="43"/>
      <c r="Q3627" s="43"/>
      <c r="R3627" s="43"/>
      <c r="S3627" s="43"/>
      <c r="T3627" s="43"/>
      <c r="U3627" s="43"/>
      <c r="V3627" s="43"/>
      <c r="W3627" s="43"/>
      <c r="X3627" s="43"/>
      <c r="Y3627" s="43"/>
      <c r="Z3627" s="43"/>
    </row>
    <row r="3628" spans="15:26" x14ac:dyDescent="0.25">
      <c r="O3628" s="43"/>
      <c r="P3628" s="43"/>
      <c r="Q3628" s="43"/>
      <c r="R3628" s="43"/>
      <c r="S3628" s="43"/>
      <c r="T3628" s="43"/>
      <c r="U3628" s="43"/>
      <c r="V3628" s="43"/>
      <c r="W3628" s="43"/>
      <c r="X3628" s="43"/>
      <c r="Y3628" s="43"/>
      <c r="Z3628" s="43"/>
    </row>
    <row r="3629" spans="15:26" x14ac:dyDescent="0.25">
      <c r="O3629" s="43"/>
      <c r="P3629" s="43"/>
      <c r="Q3629" s="43"/>
      <c r="R3629" s="43"/>
      <c r="S3629" s="43"/>
      <c r="T3629" s="43"/>
      <c r="U3629" s="43"/>
      <c r="V3629" s="43"/>
      <c r="W3629" s="43"/>
      <c r="X3629" s="43"/>
      <c r="Y3629" s="43"/>
      <c r="Z3629" s="43"/>
    </row>
    <row r="3630" spans="15:26" x14ac:dyDescent="0.25">
      <c r="O3630" s="43"/>
      <c r="P3630" s="43"/>
      <c r="Q3630" s="43"/>
      <c r="R3630" s="43"/>
      <c r="S3630" s="43"/>
      <c r="T3630" s="43"/>
      <c r="U3630" s="43"/>
      <c r="V3630" s="43"/>
      <c r="W3630" s="43"/>
      <c r="X3630" s="43"/>
      <c r="Y3630" s="43"/>
      <c r="Z3630" s="43"/>
    </row>
    <row r="3631" spans="15:26" x14ac:dyDescent="0.25">
      <c r="O3631" s="43"/>
      <c r="P3631" s="43"/>
      <c r="Q3631" s="43"/>
      <c r="R3631" s="43"/>
      <c r="S3631" s="43"/>
      <c r="T3631" s="43"/>
      <c r="U3631" s="43"/>
      <c r="V3631" s="43"/>
      <c r="W3631" s="43"/>
      <c r="X3631" s="43"/>
      <c r="Y3631" s="43"/>
      <c r="Z3631" s="43"/>
    </row>
    <row r="3632" spans="15:26" x14ac:dyDescent="0.25">
      <c r="O3632" s="43"/>
      <c r="P3632" s="43"/>
      <c r="Q3632" s="43"/>
      <c r="R3632" s="43"/>
      <c r="S3632" s="43"/>
      <c r="T3632" s="43"/>
      <c r="U3632" s="43"/>
      <c r="V3632" s="43"/>
      <c r="W3632" s="43"/>
      <c r="X3632" s="43"/>
      <c r="Y3632" s="43"/>
      <c r="Z3632" s="43"/>
    </row>
    <row r="3633" spans="15:26" x14ac:dyDescent="0.25">
      <c r="O3633" s="43"/>
      <c r="P3633" s="43"/>
      <c r="Q3633" s="43"/>
      <c r="R3633" s="43"/>
      <c r="S3633" s="43"/>
      <c r="T3633" s="43"/>
      <c r="U3633" s="43"/>
      <c r="V3633" s="43"/>
      <c r="W3633" s="43"/>
      <c r="X3633" s="43"/>
      <c r="Y3633" s="43"/>
      <c r="Z3633" s="43"/>
    </row>
    <row r="3634" spans="15:26" x14ac:dyDescent="0.25">
      <c r="O3634" s="43"/>
      <c r="P3634" s="43"/>
      <c r="Q3634" s="43"/>
      <c r="R3634" s="43"/>
      <c r="S3634" s="43"/>
      <c r="T3634" s="43"/>
      <c r="U3634" s="43"/>
      <c r="V3634" s="43"/>
      <c r="W3634" s="43"/>
      <c r="X3634" s="43"/>
      <c r="Y3634" s="43"/>
      <c r="Z3634" s="43"/>
    </row>
    <row r="3635" spans="15:26" x14ac:dyDescent="0.25">
      <c r="O3635" s="43"/>
      <c r="P3635" s="43"/>
      <c r="Q3635" s="43"/>
      <c r="R3635" s="43"/>
      <c r="S3635" s="43"/>
      <c r="T3635" s="43"/>
      <c r="U3635" s="43"/>
      <c r="V3635" s="43"/>
      <c r="W3635" s="43"/>
      <c r="X3635" s="43"/>
      <c r="Y3635" s="43"/>
      <c r="Z3635" s="43"/>
    </row>
    <row r="3636" spans="15:26" x14ac:dyDescent="0.25">
      <c r="O3636" s="43"/>
      <c r="P3636" s="43"/>
      <c r="Q3636" s="43"/>
      <c r="R3636" s="43"/>
      <c r="S3636" s="43"/>
      <c r="T3636" s="43"/>
      <c r="U3636" s="43"/>
      <c r="V3636" s="43"/>
      <c r="W3636" s="43"/>
      <c r="X3636" s="43"/>
      <c r="Y3636" s="43"/>
      <c r="Z3636" s="43"/>
    </row>
    <row r="3637" spans="15:26" x14ac:dyDescent="0.25">
      <c r="O3637" s="43"/>
      <c r="P3637" s="43"/>
      <c r="Q3637" s="43"/>
      <c r="R3637" s="43"/>
      <c r="S3637" s="43"/>
      <c r="T3637" s="43"/>
      <c r="U3637" s="43"/>
      <c r="V3637" s="43"/>
      <c r="W3637" s="43"/>
      <c r="X3637" s="43"/>
      <c r="Y3637" s="43"/>
      <c r="Z3637" s="43"/>
    </row>
    <row r="3638" spans="15:26" x14ac:dyDescent="0.25">
      <c r="O3638" s="43"/>
      <c r="P3638" s="43"/>
      <c r="Q3638" s="43"/>
      <c r="R3638" s="43"/>
      <c r="S3638" s="43"/>
      <c r="T3638" s="43"/>
      <c r="U3638" s="43"/>
      <c r="V3638" s="43"/>
      <c r="W3638" s="43"/>
      <c r="X3638" s="43"/>
      <c r="Y3638" s="43"/>
      <c r="Z3638" s="43"/>
    </row>
    <row r="3639" spans="15:26" x14ac:dyDescent="0.25">
      <c r="O3639" s="43"/>
      <c r="P3639" s="43"/>
      <c r="Q3639" s="43"/>
      <c r="R3639" s="43"/>
      <c r="S3639" s="43"/>
      <c r="T3639" s="43"/>
      <c r="U3639" s="43"/>
      <c r="V3639" s="43"/>
      <c r="W3639" s="43"/>
      <c r="X3639" s="43"/>
      <c r="Y3639" s="43"/>
      <c r="Z3639" s="43"/>
    </row>
    <row r="3640" spans="15:26" x14ac:dyDescent="0.25">
      <c r="O3640" s="43"/>
      <c r="P3640" s="43"/>
      <c r="Q3640" s="43"/>
      <c r="R3640" s="43"/>
      <c r="S3640" s="43"/>
      <c r="T3640" s="43"/>
      <c r="U3640" s="43"/>
      <c r="V3640" s="43"/>
      <c r="W3640" s="43"/>
      <c r="X3640" s="43"/>
      <c r="Y3640" s="43"/>
      <c r="Z3640" s="43"/>
    </row>
    <row r="3641" spans="15:26" x14ac:dyDescent="0.25">
      <c r="O3641" s="43"/>
      <c r="P3641" s="43"/>
      <c r="Q3641" s="43"/>
      <c r="R3641" s="43"/>
      <c r="S3641" s="43"/>
      <c r="T3641" s="43"/>
      <c r="U3641" s="43"/>
      <c r="V3641" s="43"/>
      <c r="W3641" s="43"/>
      <c r="X3641" s="43"/>
      <c r="Y3641" s="43"/>
      <c r="Z3641" s="43"/>
    </row>
    <row r="3642" spans="15:26" x14ac:dyDescent="0.25">
      <c r="O3642" s="43"/>
      <c r="P3642" s="43"/>
      <c r="Q3642" s="43"/>
      <c r="R3642" s="43"/>
      <c r="S3642" s="43"/>
      <c r="T3642" s="43"/>
      <c r="U3642" s="43"/>
      <c r="V3642" s="43"/>
      <c r="W3642" s="43"/>
      <c r="X3642" s="43"/>
      <c r="Y3642" s="43"/>
      <c r="Z3642" s="43"/>
    </row>
    <row r="3643" spans="15:26" x14ac:dyDescent="0.25">
      <c r="O3643" s="43"/>
      <c r="P3643" s="43"/>
      <c r="Q3643" s="43"/>
      <c r="R3643" s="43"/>
      <c r="S3643" s="43"/>
      <c r="T3643" s="43"/>
      <c r="U3643" s="43"/>
      <c r="V3643" s="43"/>
      <c r="W3643" s="43"/>
      <c r="X3643" s="43"/>
      <c r="Y3643" s="43"/>
      <c r="Z3643" s="43"/>
    </row>
    <row r="3644" spans="15:26" x14ac:dyDescent="0.25">
      <c r="O3644" s="43"/>
      <c r="P3644" s="43"/>
      <c r="Q3644" s="43"/>
      <c r="R3644" s="43"/>
      <c r="S3644" s="43"/>
      <c r="T3644" s="43"/>
      <c r="U3644" s="43"/>
      <c r="V3644" s="43"/>
      <c r="W3644" s="43"/>
      <c r="X3644" s="43"/>
      <c r="Y3644" s="43"/>
      <c r="Z3644" s="43"/>
    </row>
    <row r="3645" spans="15:26" x14ac:dyDescent="0.25">
      <c r="O3645" s="43"/>
      <c r="P3645" s="43"/>
      <c r="Q3645" s="43"/>
      <c r="R3645" s="43"/>
      <c r="S3645" s="43"/>
      <c r="T3645" s="43"/>
      <c r="U3645" s="43"/>
      <c r="V3645" s="43"/>
      <c r="W3645" s="43"/>
      <c r="X3645" s="43"/>
      <c r="Y3645" s="43"/>
      <c r="Z3645" s="43"/>
    </row>
    <row r="3646" spans="15:26" x14ac:dyDescent="0.25">
      <c r="O3646" s="43"/>
      <c r="P3646" s="43"/>
      <c r="Q3646" s="43"/>
      <c r="R3646" s="43"/>
      <c r="S3646" s="43"/>
      <c r="T3646" s="43"/>
      <c r="U3646" s="43"/>
      <c r="V3646" s="43"/>
      <c r="W3646" s="43"/>
      <c r="X3646" s="43"/>
      <c r="Y3646" s="43"/>
      <c r="Z3646" s="43"/>
    </row>
    <row r="3647" spans="15:26" x14ac:dyDescent="0.25">
      <c r="O3647" s="43"/>
      <c r="P3647" s="43"/>
      <c r="Q3647" s="43"/>
      <c r="R3647" s="43"/>
      <c r="S3647" s="43"/>
      <c r="T3647" s="43"/>
      <c r="U3647" s="43"/>
      <c r="V3647" s="43"/>
      <c r="W3647" s="43"/>
      <c r="X3647" s="43"/>
      <c r="Y3647" s="43"/>
      <c r="Z3647" s="43"/>
    </row>
    <row r="3648" spans="15:26" x14ac:dyDescent="0.25">
      <c r="O3648" s="43"/>
      <c r="P3648" s="43"/>
      <c r="Q3648" s="43"/>
      <c r="R3648" s="43"/>
      <c r="S3648" s="43"/>
      <c r="T3648" s="43"/>
      <c r="U3648" s="43"/>
      <c r="V3648" s="43"/>
      <c r="W3648" s="43"/>
      <c r="X3648" s="43"/>
      <c r="Y3648" s="43"/>
      <c r="Z3648" s="43"/>
    </row>
    <row r="3649" spans="15:26" x14ac:dyDescent="0.25">
      <c r="O3649" s="43"/>
      <c r="P3649" s="43"/>
      <c r="Q3649" s="43"/>
      <c r="R3649" s="43"/>
      <c r="S3649" s="43"/>
      <c r="T3649" s="43"/>
      <c r="U3649" s="43"/>
      <c r="V3649" s="43"/>
      <c r="W3649" s="43"/>
      <c r="X3649" s="43"/>
      <c r="Y3649" s="43"/>
      <c r="Z3649" s="43"/>
    </row>
    <row r="3650" spans="15:26" x14ac:dyDescent="0.25">
      <c r="O3650" s="43"/>
      <c r="P3650" s="43"/>
      <c r="Q3650" s="43"/>
      <c r="R3650" s="43"/>
      <c r="S3650" s="43"/>
      <c r="T3650" s="43"/>
      <c r="U3650" s="43"/>
      <c r="V3650" s="43"/>
      <c r="W3650" s="43"/>
      <c r="X3650" s="43"/>
      <c r="Y3650" s="43"/>
      <c r="Z3650" s="43"/>
    </row>
    <row r="3651" spans="15:26" x14ac:dyDescent="0.25">
      <c r="O3651" s="43"/>
      <c r="P3651" s="43"/>
      <c r="Q3651" s="43"/>
      <c r="R3651" s="43"/>
      <c r="S3651" s="43"/>
      <c r="T3651" s="43"/>
      <c r="U3651" s="43"/>
      <c r="V3651" s="43"/>
      <c r="W3651" s="43"/>
      <c r="X3651" s="43"/>
      <c r="Y3651" s="43"/>
      <c r="Z3651" s="43"/>
    </row>
    <row r="3652" spans="15:26" x14ac:dyDescent="0.25">
      <c r="O3652" s="43"/>
      <c r="P3652" s="43"/>
      <c r="Q3652" s="43"/>
      <c r="R3652" s="43"/>
      <c r="S3652" s="43"/>
      <c r="T3652" s="43"/>
      <c r="U3652" s="43"/>
      <c r="V3652" s="43"/>
      <c r="W3652" s="43"/>
      <c r="X3652" s="43"/>
      <c r="Y3652" s="43"/>
      <c r="Z3652" s="43"/>
    </row>
    <row r="3653" spans="15:26" x14ac:dyDescent="0.25">
      <c r="O3653" s="43"/>
      <c r="P3653" s="43"/>
      <c r="Q3653" s="43"/>
      <c r="R3653" s="43"/>
      <c r="S3653" s="43"/>
      <c r="T3653" s="43"/>
      <c r="U3653" s="43"/>
      <c r="V3653" s="43"/>
      <c r="W3653" s="43"/>
      <c r="X3653" s="43"/>
      <c r="Y3653" s="43"/>
      <c r="Z3653" s="43"/>
    </row>
    <row r="3654" spans="15:26" x14ac:dyDescent="0.25">
      <c r="O3654" s="43"/>
      <c r="P3654" s="43"/>
      <c r="Q3654" s="43"/>
      <c r="R3654" s="43"/>
      <c r="S3654" s="43"/>
      <c r="T3654" s="43"/>
      <c r="U3654" s="43"/>
      <c r="V3654" s="43"/>
      <c r="W3654" s="43"/>
      <c r="X3654" s="43"/>
      <c r="Y3654" s="43"/>
      <c r="Z3654" s="43"/>
    </row>
    <row r="3655" spans="15:26" x14ac:dyDescent="0.25">
      <c r="O3655" s="43"/>
      <c r="P3655" s="43"/>
      <c r="Q3655" s="43"/>
      <c r="R3655" s="43"/>
      <c r="S3655" s="43"/>
      <c r="T3655" s="43"/>
      <c r="U3655" s="43"/>
      <c r="V3655" s="43"/>
      <c r="W3655" s="43"/>
      <c r="X3655" s="43"/>
      <c r="Y3655" s="43"/>
      <c r="Z3655" s="43"/>
    </row>
    <row r="3656" spans="15:26" x14ac:dyDescent="0.25">
      <c r="O3656" s="43"/>
      <c r="P3656" s="43"/>
      <c r="Q3656" s="43"/>
      <c r="R3656" s="43"/>
      <c r="S3656" s="43"/>
      <c r="T3656" s="43"/>
      <c r="U3656" s="43"/>
      <c r="V3656" s="43"/>
      <c r="W3656" s="43"/>
      <c r="X3656" s="43"/>
      <c r="Y3656" s="43"/>
      <c r="Z3656" s="43"/>
    </row>
    <row r="3657" spans="15:26" x14ac:dyDescent="0.25">
      <c r="O3657" s="43"/>
      <c r="P3657" s="43"/>
      <c r="Q3657" s="43"/>
      <c r="R3657" s="43"/>
      <c r="S3657" s="43"/>
      <c r="T3657" s="43"/>
      <c r="U3657" s="43"/>
      <c r="V3657" s="43"/>
      <c r="W3657" s="43"/>
      <c r="X3657" s="43"/>
      <c r="Y3657" s="43"/>
      <c r="Z3657" s="43"/>
    </row>
    <row r="3658" spans="15:26" x14ac:dyDescent="0.25">
      <c r="O3658" s="43"/>
      <c r="P3658" s="43"/>
      <c r="Q3658" s="43"/>
      <c r="R3658" s="43"/>
      <c r="S3658" s="43"/>
      <c r="T3658" s="43"/>
      <c r="U3658" s="43"/>
      <c r="V3658" s="43"/>
      <c r="W3658" s="43"/>
      <c r="X3658" s="43"/>
      <c r="Y3658" s="43"/>
      <c r="Z3658" s="43"/>
    </row>
    <row r="3659" spans="15:26" x14ac:dyDescent="0.25">
      <c r="O3659" s="43"/>
      <c r="P3659" s="43"/>
      <c r="Q3659" s="43"/>
      <c r="R3659" s="43"/>
      <c r="S3659" s="43"/>
      <c r="T3659" s="43"/>
      <c r="U3659" s="43"/>
      <c r="V3659" s="43"/>
      <c r="W3659" s="43"/>
      <c r="X3659" s="43"/>
      <c r="Y3659" s="43"/>
      <c r="Z3659" s="43"/>
    </row>
    <row r="3660" spans="15:26" x14ac:dyDescent="0.25">
      <c r="O3660" s="43"/>
      <c r="P3660" s="43"/>
      <c r="Q3660" s="43"/>
      <c r="R3660" s="43"/>
      <c r="S3660" s="43"/>
      <c r="T3660" s="43"/>
      <c r="U3660" s="43"/>
      <c r="V3660" s="43"/>
      <c r="W3660" s="43"/>
      <c r="X3660" s="43"/>
      <c r="Y3660" s="43"/>
      <c r="Z3660" s="43"/>
    </row>
    <row r="3661" spans="15:26" x14ac:dyDescent="0.25">
      <c r="O3661" s="43"/>
      <c r="P3661" s="43"/>
      <c r="Q3661" s="43"/>
      <c r="R3661" s="43"/>
      <c r="S3661" s="43"/>
      <c r="T3661" s="43"/>
      <c r="U3661" s="43"/>
      <c r="V3661" s="43"/>
      <c r="W3661" s="43"/>
      <c r="X3661" s="43"/>
      <c r="Y3661" s="43"/>
      <c r="Z3661" s="43"/>
    </row>
    <row r="3662" spans="15:26" x14ac:dyDescent="0.25">
      <c r="O3662" s="43"/>
      <c r="P3662" s="43"/>
      <c r="Q3662" s="43"/>
      <c r="R3662" s="43"/>
      <c r="S3662" s="43"/>
      <c r="T3662" s="43"/>
      <c r="U3662" s="43"/>
      <c r="V3662" s="43"/>
      <c r="W3662" s="43"/>
      <c r="X3662" s="43"/>
      <c r="Y3662" s="43"/>
      <c r="Z3662" s="43"/>
    </row>
    <row r="3663" spans="15:26" x14ac:dyDescent="0.25">
      <c r="O3663" s="43"/>
      <c r="P3663" s="43"/>
      <c r="Q3663" s="43"/>
      <c r="R3663" s="43"/>
      <c r="S3663" s="43"/>
      <c r="T3663" s="43"/>
      <c r="U3663" s="43"/>
      <c r="V3663" s="43"/>
      <c r="W3663" s="43"/>
      <c r="X3663" s="43"/>
      <c r="Y3663" s="43"/>
      <c r="Z3663" s="43"/>
    </row>
    <row r="3664" spans="15:26" x14ac:dyDescent="0.25">
      <c r="O3664" s="43"/>
      <c r="P3664" s="43"/>
      <c r="Q3664" s="43"/>
      <c r="R3664" s="43"/>
      <c r="S3664" s="43"/>
      <c r="T3664" s="43"/>
      <c r="U3664" s="43"/>
      <c r="V3664" s="43"/>
      <c r="W3664" s="43"/>
      <c r="X3664" s="43"/>
      <c r="Y3664" s="43"/>
      <c r="Z3664" s="43"/>
    </row>
    <row r="3665" spans="15:26" x14ac:dyDescent="0.25">
      <c r="O3665" s="43"/>
      <c r="P3665" s="43"/>
      <c r="Q3665" s="43"/>
      <c r="R3665" s="43"/>
      <c r="S3665" s="43"/>
      <c r="T3665" s="43"/>
      <c r="U3665" s="43"/>
      <c r="V3665" s="43"/>
      <c r="W3665" s="43"/>
      <c r="X3665" s="43"/>
      <c r="Y3665" s="43"/>
      <c r="Z3665" s="43"/>
    </row>
    <row r="3666" spans="15:26" x14ac:dyDescent="0.25">
      <c r="O3666" s="43"/>
      <c r="P3666" s="43"/>
      <c r="Q3666" s="43"/>
      <c r="R3666" s="43"/>
      <c r="S3666" s="43"/>
      <c r="T3666" s="43"/>
      <c r="U3666" s="43"/>
      <c r="V3666" s="43"/>
      <c r="W3666" s="43"/>
      <c r="X3666" s="43"/>
      <c r="Y3666" s="43"/>
      <c r="Z3666" s="43"/>
    </row>
    <row r="3667" spans="15:26" x14ac:dyDescent="0.25">
      <c r="O3667" s="43"/>
      <c r="P3667" s="43"/>
      <c r="Q3667" s="43"/>
      <c r="R3667" s="43"/>
      <c r="S3667" s="43"/>
      <c r="T3667" s="43"/>
      <c r="U3667" s="43"/>
      <c r="V3667" s="43"/>
      <c r="W3667" s="43"/>
      <c r="X3667" s="43"/>
      <c r="Y3667" s="43"/>
      <c r="Z3667" s="43"/>
    </row>
    <row r="3668" spans="15:26" x14ac:dyDescent="0.25">
      <c r="O3668" s="43"/>
      <c r="P3668" s="43"/>
      <c r="Q3668" s="43"/>
      <c r="R3668" s="43"/>
      <c r="S3668" s="43"/>
      <c r="T3668" s="43"/>
      <c r="U3668" s="43"/>
      <c r="V3668" s="43"/>
      <c r="W3668" s="43"/>
      <c r="X3668" s="43"/>
      <c r="Y3668" s="43"/>
      <c r="Z3668" s="43"/>
    </row>
    <row r="3669" spans="15:26" x14ac:dyDescent="0.25">
      <c r="O3669" s="43"/>
      <c r="P3669" s="43"/>
      <c r="Q3669" s="43"/>
      <c r="R3669" s="43"/>
      <c r="S3669" s="43"/>
      <c r="T3669" s="43"/>
      <c r="U3669" s="43"/>
      <c r="V3669" s="43"/>
      <c r="W3669" s="43"/>
      <c r="X3669" s="43"/>
      <c r="Y3669" s="43"/>
      <c r="Z3669" s="43"/>
    </row>
    <row r="3670" spans="15:26" x14ac:dyDescent="0.25">
      <c r="O3670" s="43"/>
      <c r="P3670" s="43"/>
      <c r="Q3670" s="43"/>
      <c r="R3670" s="43"/>
      <c r="S3670" s="43"/>
      <c r="T3670" s="43"/>
      <c r="U3670" s="43"/>
      <c r="V3670" s="43"/>
      <c r="W3670" s="43"/>
      <c r="X3670" s="43"/>
      <c r="Y3670" s="43"/>
      <c r="Z3670" s="43"/>
    </row>
    <row r="3671" spans="15:26" x14ac:dyDescent="0.25">
      <c r="O3671" s="43"/>
      <c r="P3671" s="43"/>
      <c r="Q3671" s="43"/>
      <c r="R3671" s="43"/>
      <c r="S3671" s="43"/>
      <c r="T3671" s="43"/>
      <c r="U3671" s="43"/>
      <c r="V3671" s="43"/>
      <c r="W3671" s="43"/>
      <c r="X3671" s="43"/>
      <c r="Y3671" s="43"/>
      <c r="Z3671" s="43"/>
    </row>
    <row r="3672" spans="15:26" x14ac:dyDescent="0.25">
      <c r="O3672" s="43"/>
      <c r="P3672" s="43"/>
      <c r="Q3672" s="43"/>
      <c r="R3672" s="43"/>
      <c r="S3672" s="43"/>
      <c r="T3672" s="43"/>
      <c r="U3672" s="43"/>
      <c r="V3672" s="43"/>
      <c r="W3672" s="43"/>
      <c r="X3672" s="43"/>
      <c r="Y3672" s="43"/>
      <c r="Z3672" s="43"/>
    </row>
    <row r="3673" spans="15:26" x14ac:dyDescent="0.25">
      <c r="O3673" s="43"/>
      <c r="P3673" s="43"/>
      <c r="Q3673" s="43"/>
      <c r="R3673" s="43"/>
      <c r="S3673" s="43"/>
      <c r="T3673" s="43"/>
      <c r="U3673" s="43"/>
      <c r="V3673" s="43"/>
      <c r="W3673" s="43"/>
      <c r="X3673" s="43"/>
      <c r="Y3673" s="43"/>
      <c r="Z3673" s="43"/>
    </row>
    <row r="3674" spans="15:26" x14ac:dyDescent="0.25">
      <c r="O3674" s="43"/>
      <c r="P3674" s="43"/>
      <c r="Q3674" s="43"/>
      <c r="R3674" s="43"/>
      <c r="S3674" s="43"/>
      <c r="T3674" s="43"/>
      <c r="U3674" s="43"/>
      <c r="V3674" s="43"/>
      <c r="W3674" s="43"/>
      <c r="X3674" s="43"/>
      <c r="Y3674" s="43"/>
      <c r="Z3674" s="43"/>
    </row>
    <row r="3675" spans="15:26" x14ac:dyDescent="0.25">
      <c r="O3675" s="43"/>
      <c r="P3675" s="43"/>
      <c r="Q3675" s="43"/>
      <c r="R3675" s="43"/>
      <c r="S3675" s="43"/>
      <c r="T3675" s="43"/>
      <c r="U3675" s="43"/>
      <c r="V3675" s="43"/>
      <c r="W3675" s="43"/>
      <c r="X3675" s="43"/>
      <c r="Y3675" s="43"/>
      <c r="Z3675" s="43"/>
    </row>
    <row r="3676" spans="15:26" x14ac:dyDescent="0.25">
      <c r="O3676" s="43"/>
      <c r="P3676" s="43"/>
      <c r="Q3676" s="43"/>
      <c r="R3676" s="43"/>
      <c r="S3676" s="43"/>
      <c r="T3676" s="43"/>
      <c r="U3676" s="43"/>
      <c r="V3676" s="43"/>
      <c r="W3676" s="43"/>
      <c r="X3676" s="43"/>
      <c r="Y3676" s="43"/>
      <c r="Z3676" s="43"/>
    </row>
    <row r="3677" spans="15:26" x14ac:dyDescent="0.25">
      <c r="O3677" s="43"/>
      <c r="P3677" s="43"/>
      <c r="Q3677" s="43"/>
      <c r="R3677" s="43"/>
      <c r="S3677" s="43"/>
      <c r="T3677" s="43"/>
      <c r="U3677" s="43"/>
      <c r="V3677" s="43"/>
      <c r="W3677" s="43"/>
      <c r="X3677" s="43"/>
      <c r="Y3677" s="43"/>
      <c r="Z3677" s="43"/>
    </row>
    <row r="3678" spans="15:26" x14ac:dyDescent="0.25">
      <c r="O3678" s="43"/>
      <c r="P3678" s="43"/>
      <c r="Q3678" s="43"/>
      <c r="R3678" s="43"/>
      <c r="S3678" s="43"/>
      <c r="T3678" s="43"/>
      <c r="U3678" s="43"/>
      <c r="V3678" s="43"/>
      <c r="W3678" s="43"/>
      <c r="X3678" s="43"/>
      <c r="Y3678" s="43"/>
      <c r="Z3678" s="43"/>
    </row>
    <row r="3679" spans="15:26" x14ac:dyDescent="0.25">
      <c r="O3679" s="43"/>
      <c r="P3679" s="43"/>
      <c r="Q3679" s="43"/>
      <c r="R3679" s="43"/>
      <c r="S3679" s="43"/>
      <c r="T3679" s="43"/>
      <c r="U3679" s="43"/>
      <c r="V3679" s="43"/>
      <c r="W3679" s="43"/>
      <c r="X3679" s="43"/>
      <c r="Y3679" s="43"/>
      <c r="Z3679" s="43"/>
    </row>
    <row r="3680" spans="15:26" x14ac:dyDescent="0.25">
      <c r="O3680" s="43"/>
      <c r="P3680" s="43"/>
      <c r="Q3680" s="43"/>
      <c r="R3680" s="43"/>
      <c r="S3680" s="43"/>
      <c r="T3680" s="43"/>
      <c r="U3680" s="43"/>
      <c r="V3680" s="43"/>
      <c r="W3680" s="43"/>
      <c r="X3680" s="43"/>
      <c r="Y3680" s="43"/>
      <c r="Z3680" s="43"/>
    </row>
    <row r="3681" spans="15:26" x14ac:dyDescent="0.25">
      <c r="O3681" s="43"/>
      <c r="P3681" s="43"/>
      <c r="Q3681" s="43"/>
      <c r="R3681" s="43"/>
      <c r="S3681" s="43"/>
      <c r="T3681" s="43"/>
      <c r="U3681" s="43"/>
      <c r="V3681" s="43"/>
      <c r="W3681" s="43"/>
      <c r="X3681" s="43"/>
      <c r="Y3681" s="43"/>
      <c r="Z3681" s="43"/>
    </row>
    <row r="3682" spans="15:26" x14ac:dyDescent="0.25">
      <c r="O3682" s="43"/>
      <c r="P3682" s="43"/>
      <c r="Q3682" s="43"/>
      <c r="R3682" s="43"/>
      <c r="S3682" s="43"/>
      <c r="T3682" s="43"/>
      <c r="U3682" s="43"/>
      <c r="V3682" s="43"/>
      <c r="W3682" s="43"/>
      <c r="X3682" s="43"/>
      <c r="Y3682" s="43"/>
      <c r="Z3682" s="43"/>
    </row>
    <row r="3683" spans="15:26" x14ac:dyDescent="0.25">
      <c r="O3683" s="43"/>
      <c r="P3683" s="43"/>
      <c r="Q3683" s="43"/>
      <c r="R3683" s="43"/>
      <c r="S3683" s="43"/>
      <c r="T3683" s="43"/>
      <c r="U3683" s="43"/>
      <c r="V3683" s="43"/>
      <c r="W3683" s="43"/>
      <c r="X3683" s="43"/>
      <c r="Y3683" s="43"/>
      <c r="Z3683" s="43"/>
    </row>
    <row r="3684" spans="15:26" x14ac:dyDescent="0.25">
      <c r="O3684" s="43"/>
      <c r="P3684" s="43"/>
      <c r="Q3684" s="43"/>
      <c r="R3684" s="43"/>
      <c r="S3684" s="43"/>
      <c r="T3684" s="43"/>
      <c r="U3684" s="43"/>
      <c r="V3684" s="43"/>
      <c r="W3684" s="43"/>
      <c r="X3684" s="43"/>
      <c r="Y3684" s="43"/>
      <c r="Z3684" s="43"/>
    </row>
    <row r="3685" spans="15:26" x14ac:dyDescent="0.25">
      <c r="O3685" s="43"/>
      <c r="P3685" s="43"/>
      <c r="Q3685" s="43"/>
      <c r="R3685" s="43"/>
      <c r="S3685" s="43"/>
      <c r="T3685" s="43"/>
      <c r="U3685" s="43"/>
      <c r="V3685" s="43"/>
      <c r="W3685" s="43"/>
      <c r="X3685" s="43"/>
      <c r="Y3685" s="43"/>
      <c r="Z3685" s="43"/>
    </row>
    <row r="3686" spans="15:26" x14ac:dyDescent="0.25">
      <c r="O3686" s="43"/>
      <c r="P3686" s="43"/>
      <c r="Q3686" s="43"/>
      <c r="R3686" s="43"/>
      <c r="S3686" s="43"/>
      <c r="T3686" s="43"/>
      <c r="U3686" s="43"/>
      <c r="V3686" s="43"/>
      <c r="W3686" s="43"/>
      <c r="X3686" s="43"/>
      <c r="Y3686" s="43"/>
      <c r="Z3686" s="43"/>
    </row>
    <row r="3687" spans="15:26" x14ac:dyDescent="0.25">
      <c r="O3687" s="43"/>
      <c r="P3687" s="43"/>
      <c r="Q3687" s="43"/>
      <c r="R3687" s="43"/>
      <c r="S3687" s="43"/>
      <c r="T3687" s="43"/>
      <c r="U3687" s="43"/>
      <c r="V3687" s="43"/>
      <c r="W3687" s="43"/>
      <c r="X3687" s="43"/>
      <c r="Y3687" s="43"/>
      <c r="Z3687" s="43"/>
    </row>
    <row r="3688" spans="15:26" x14ac:dyDescent="0.25">
      <c r="O3688" s="43"/>
      <c r="P3688" s="43"/>
      <c r="Q3688" s="43"/>
      <c r="R3688" s="43"/>
      <c r="S3688" s="43"/>
      <c r="T3688" s="43"/>
      <c r="U3688" s="43"/>
      <c r="V3688" s="43"/>
      <c r="W3688" s="43"/>
      <c r="X3688" s="43"/>
      <c r="Y3688" s="43"/>
      <c r="Z3688" s="43"/>
    </row>
    <row r="3689" spans="15:26" x14ac:dyDescent="0.25">
      <c r="O3689" s="43"/>
      <c r="P3689" s="43"/>
      <c r="Q3689" s="43"/>
      <c r="R3689" s="43"/>
      <c r="S3689" s="43"/>
      <c r="T3689" s="43"/>
      <c r="U3689" s="43"/>
      <c r="V3689" s="43"/>
      <c r="W3689" s="43"/>
      <c r="X3689" s="43"/>
      <c r="Y3689" s="43"/>
      <c r="Z3689" s="43"/>
    </row>
    <row r="3690" spans="15:26" x14ac:dyDescent="0.25">
      <c r="O3690" s="43"/>
      <c r="P3690" s="43"/>
      <c r="Q3690" s="43"/>
      <c r="R3690" s="43"/>
      <c r="S3690" s="43"/>
      <c r="T3690" s="43"/>
      <c r="U3690" s="43"/>
      <c r="V3690" s="43"/>
      <c r="W3690" s="43"/>
      <c r="X3690" s="43"/>
      <c r="Y3690" s="43"/>
      <c r="Z3690" s="43"/>
    </row>
    <row r="3691" spans="15:26" x14ac:dyDescent="0.25">
      <c r="O3691" s="43"/>
      <c r="P3691" s="43"/>
      <c r="Q3691" s="43"/>
      <c r="R3691" s="43"/>
      <c r="S3691" s="43"/>
      <c r="T3691" s="43"/>
      <c r="U3691" s="43"/>
      <c r="V3691" s="43"/>
      <c r="W3691" s="43"/>
      <c r="X3691" s="43"/>
      <c r="Y3691" s="43"/>
      <c r="Z3691" s="43"/>
    </row>
    <row r="3692" spans="15:26" x14ac:dyDescent="0.25">
      <c r="O3692" s="43"/>
      <c r="P3692" s="43"/>
      <c r="Q3692" s="43"/>
      <c r="R3692" s="43"/>
      <c r="S3692" s="43"/>
      <c r="T3692" s="43"/>
      <c r="U3692" s="43"/>
      <c r="V3692" s="43"/>
      <c r="W3692" s="43"/>
      <c r="X3692" s="43"/>
      <c r="Y3692" s="43"/>
      <c r="Z3692" s="43"/>
    </row>
    <row r="3693" spans="15:26" x14ac:dyDescent="0.25">
      <c r="O3693" s="43"/>
      <c r="P3693" s="43"/>
      <c r="Q3693" s="43"/>
      <c r="R3693" s="43"/>
      <c r="S3693" s="43"/>
      <c r="T3693" s="43"/>
      <c r="U3693" s="43"/>
      <c r="V3693" s="43"/>
      <c r="W3693" s="43"/>
      <c r="X3693" s="43"/>
      <c r="Y3693" s="43"/>
      <c r="Z3693" s="43"/>
    </row>
    <row r="3694" spans="15:26" x14ac:dyDescent="0.25">
      <c r="O3694" s="43"/>
      <c r="P3694" s="43"/>
      <c r="Q3694" s="43"/>
      <c r="R3694" s="43"/>
      <c r="S3694" s="43"/>
      <c r="T3694" s="43"/>
      <c r="U3694" s="43"/>
      <c r="V3694" s="43"/>
      <c r="W3694" s="43"/>
      <c r="X3694" s="43"/>
      <c r="Y3694" s="43"/>
      <c r="Z3694" s="43"/>
    </row>
    <row r="3695" spans="15:26" x14ac:dyDescent="0.25">
      <c r="O3695" s="43"/>
      <c r="P3695" s="43"/>
      <c r="Q3695" s="43"/>
      <c r="R3695" s="43"/>
      <c r="S3695" s="43"/>
      <c r="T3695" s="43"/>
      <c r="U3695" s="43"/>
      <c r="V3695" s="43"/>
      <c r="W3695" s="43"/>
      <c r="X3695" s="43"/>
      <c r="Y3695" s="43"/>
      <c r="Z3695" s="43"/>
    </row>
    <row r="3696" spans="15:26" x14ac:dyDescent="0.25">
      <c r="O3696" s="43"/>
      <c r="P3696" s="43"/>
      <c r="Q3696" s="43"/>
      <c r="R3696" s="43"/>
      <c r="S3696" s="43"/>
      <c r="T3696" s="43"/>
      <c r="U3696" s="43"/>
      <c r="V3696" s="43"/>
      <c r="W3696" s="43"/>
      <c r="X3696" s="43"/>
      <c r="Y3696" s="43"/>
      <c r="Z3696" s="43"/>
    </row>
    <row r="3697" spans="15:26" x14ac:dyDescent="0.25">
      <c r="O3697" s="43"/>
      <c r="P3697" s="43"/>
      <c r="Q3697" s="43"/>
      <c r="R3697" s="43"/>
      <c r="S3697" s="43"/>
      <c r="T3697" s="43"/>
      <c r="U3697" s="43"/>
      <c r="V3697" s="43"/>
      <c r="W3697" s="43"/>
      <c r="X3697" s="43"/>
      <c r="Y3697" s="43"/>
      <c r="Z3697" s="43"/>
    </row>
    <row r="3698" spans="15:26" x14ac:dyDescent="0.25">
      <c r="O3698" s="43"/>
      <c r="P3698" s="43"/>
      <c r="Q3698" s="43"/>
      <c r="R3698" s="43"/>
      <c r="S3698" s="43"/>
      <c r="T3698" s="43"/>
      <c r="U3698" s="43"/>
      <c r="V3698" s="43"/>
      <c r="W3698" s="43"/>
      <c r="X3698" s="43"/>
      <c r="Y3698" s="43"/>
      <c r="Z3698" s="43"/>
    </row>
    <row r="3699" spans="15:26" x14ac:dyDescent="0.25">
      <c r="O3699" s="43"/>
      <c r="P3699" s="43"/>
      <c r="Q3699" s="43"/>
      <c r="R3699" s="43"/>
      <c r="S3699" s="43"/>
      <c r="T3699" s="43"/>
      <c r="U3699" s="43"/>
      <c r="V3699" s="43"/>
      <c r="W3699" s="43"/>
      <c r="X3699" s="43"/>
      <c r="Y3699" s="43"/>
      <c r="Z3699" s="43"/>
    </row>
    <row r="3700" spans="15:26" x14ac:dyDescent="0.25">
      <c r="O3700" s="43"/>
      <c r="P3700" s="43"/>
      <c r="Q3700" s="43"/>
      <c r="R3700" s="43"/>
      <c r="S3700" s="43"/>
      <c r="T3700" s="43"/>
      <c r="U3700" s="43"/>
      <c r="V3700" s="43"/>
      <c r="W3700" s="43"/>
      <c r="X3700" s="43"/>
      <c r="Y3700" s="43"/>
      <c r="Z3700" s="43"/>
    </row>
    <row r="3701" spans="15:26" x14ac:dyDescent="0.25">
      <c r="O3701" s="43"/>
      <c r="P3701" s="43"/>
      <c r="Q3701" s="43"/>
      <c r="R3701" s="43"/>
      <c r="S3701" s="43"/>
      <c r="T3701" s="43"/>
      <c r="U3701" s="43"/>
      <c r="V3701" s="43"/>
      <c r="W3701" s="43"/>
      <c r="X3701" s="43"/>
      <c r="Y3701" s="43"/>
      <c r="Z3701" s="43"/>
    </row>
    <row r="3702" spans="15:26" x14ac:dyDescent="0.25">
      <c r="O3702" s="43"/>
      <c r="P3702" s="43"/>
      <c r="Q3702" s="43"/>
      <c r="R3702" s="43"/>
      <c r="S3702" s="43"/>
      <c r="T3702" s="43"/>
      <c r="U3702" s="43"/>
      <c r="V3702" s="43"/>
      <c r="W3702" s="43"/>
      <c r="X3702" s="43"/>
      <c r="Y3702" s="43"/>
      <c r="Z3702" s="43"/>
    </row>
    <row r="3703" spans="15:26" x14ac:dyDescent="0.25">
      <c r="O3703" s="43"/>
      <c r="P3703" s="43"/>
      <c r="Q3703" s="43"/>
      <c r="R3703" s="43"/>
      <c r="S3703" s="43"/>
      <c r="T3703" s="43"/>
      <c r="U3703" s="43"/>
      <c r="V3703" s="43"/>
      <c r="W3703" s="43"/>
      <c r="X3703" s="43"/>
      <c r="Y3703" s="43"/>
      <c r="Z3703" s="43"/>
    </row>
    <row r="3704" spans="15:26" x14ac:dyDescent="0.25">
      <c r="O3704" s="43"/>
      <c r="P3704" s="43"/>
      <c r="Q3704" s="43"/>
      <c r="R3704" s="43"/>
      <c r="S3704" s="43"/>
      <c r="T3704" s="43"/>
      <c r="U3704" s="43"/>
      <c r="V3704" s="43"/>
      <c r="W3704" s="43"/>
      <c r="X3704" s="43"/>
      <c r="Y3704" s="43"/>
      <c r="Z3704" s="43"/>
    </row>
    <row r="3705" spans="15:26" x14ac:dyDescent="0.25">
      <c r="O3705" s="43"/>
      <c r="P3705" s="43"/>
      <c r="Q3705" s="43"/>
      <c r="R3705" s="43"/>
      <c r="S3705" s="43"/>
      <c r="T3705" s="43"/>
      <c r="U3705" s="43"/>
      <c r="V3705" s="43"/>
      <c r="W3705" s="43"/>
      <c r="X3705" s="43"/>
      <c r="Y3705" s="43"/>
      <c r="Z3705" s="43"/>
    </row>
    <row r="3706" spans="15:26" x14ac:dyDescent="0.25">
      <c r="O3706" s="43"/>
      <c r="P3706" s="43"/>
      <c r="Q3706" s="43"/>
      <c r="R3706" s="43"/>
      <c r="S3706" s="43"/>
      <c r="T3706" s="43"/>
      <c r="U3706" s="43"/>
      <c r="V3706" s="43"/>
      <c r="W3706" s="43"/>
      <c r="X3706" s="43"/>
      <c r="Y3706" s="43"/>
      <c r="Z3706" s="43"/>
    </row>
    <row r="3707" spans="15:26" x14ac:dyDescent="0.25">
      <c r="O3707" s="43"/>
      <c r="P3707" s="43"/>
      <c r="Q3707" s="43"/>
      <c r="R3707" s="43"/>
      <c r="S3707" s="43"/>
      <c r="T3707" s="43"/>
      <c r="U3707" s="43"/>
      <c r="V3707" s="43"/>
      <c r="W3707" s="43"/>
      <c r="X3707" s="43"/>
      <c r="Y3707" s="43"/>
      <c r="Z3707" s="43"/>
    </row>
    <row r="3708" spans="15:26" x14ac:dyDescent="0.25">
      <c r="O3708" s="43"/>
      <c r="P3708" s="43"/>
      <c r="Q3708" s="43"/>
      <c r="R3708" s="43"/>
      <c r="S3708" s="43"/>
      <c r="T3708" s="43"/>
      <c r="U3708" s="43"/>
      <c r="V3708" s="43"/>
      <c r="W3708" s="43"/>
      <c r="X3708" s="43"/>
      <c r="Y3708" s="43"/>
      <c r="Z3708" s="43"/>
    </row>
    <row r="3709" spans="15:26" x14ac:dyDescent="0.25">
      <c r="O3709" s="43"/>
      <c r="P3709" s="43"/>
      <c r="Q3709" s="43"/>
      <c r="R3709" s="43"/>
      <c r="S3709" s="43"/>
      <c r="T3709" s="43"/>
      <c r="U3709" s="43"/>
      <c r="V3709" s="43"/>
      <c r="W3709" s="43"/>
      <c r="X3709" s="43"/>
      <c r="Y3709" s="43"/>
      <c r="Z3709" s="43"/>
    </row>
    <row r="3710" spans="15:26" x14ac:dyDescent="0.25">
      <c r="O3710" s="43"/>
      <c r="P3710" s="43"/>
      <c r="Q3710" s="43"/>
      <c r="R3710" s="43"/>
      <c r="S3710" s="43"/>
      <c r="T3710" s="43"/>
      <c r="U3710" s="43"/>
      <c r="V3710" s="43"/>
      <c r="W3710" s="43"/>
      <c r="X3710" s="43"/>
      <c r="Y3710" s="43"/>
      <c r="Z3710" s="43"/>
    </row>
    <row r="3711" spans="15:26" x14ac:dyDescent="0.25">
      <c r="O3711" s="43"/>
      <c r="P3711" s="43"/>
      <c r="Q3711" s="43"/>
      <c r="R3711" s="43"/>
      <c r="S3711" s="43"/>
      <c r="T3711" s="43"/>
      <c r="U3711" s="43"/>
      <c r="V3711" s="43"/>
      <c r="W3711" s="43"/>
      <c r="X3711" s="43"/>
      <c r="Y3711" s="43"/>
      <c r="Z3711" s="43"/>
    </row>
    <row r="3712" spans="15:26" x14ac:dyDescent="0.25">
      <c r="O3712" s="43"/>
      <c r="P3712" s="43"/>
      <c r="Q3712" s="43"/>
      <c r="R3712" s="43"/>
      <c r="S3712" s="43"/>
      <c r="T3712" s="43"/>
      <c r="U3712" s="43"/>
      <c r="V3712" s="43"/>
      <c r="W3712" s="43"/>
      <c r="X3712" s="43"/>
      <c r="Y3712" s="43"/>
      <c r="Z3712" s="43"/>
    </row>
    <row r="3713" spans="15:26" x14ac:dyDescent="0.25">
      <c r="O3713" s="43"/>
      <c r="P3713" s="43"/>
      <c r="Q3713" s="43"/>
      <c r="R3713" s="43"/>
      <c r="S3713" s="43"/>
      <c r="T3713" s="43"/>
      <c r="U3713" s="43"/>
      <c r="V3713" s="43"/>
      <c r="W3713" s="43"/>
      <c r="X3713" s="43"/>
      <c r="Y3713" s="43"/>
      <c r="Z3713" s="43"/>
    </row>
    <row r="3714" spans="15:26" x14ac:dyDescent="0.25">
      <c r="O3714" s="43"/>
      <c r="P3714" s="43"/>
      <c r="Q3714" s="43"/>
      <c r="R3714" s="43"/>
      <c r="S3714" s="43"/>
      <c r="T3714" s="43"/>
      <c r="U3714" s="43"/>
      <c r="V3714" s="43"/>
      <c r="W3714" s="43"/>
      <c r="X3714" s="43"/>
      <c r="Y3714" s="43"/>
      <c r="Z3714" s="43"/>
    </row>
    <row r="3715" spans="15:26" x14ac:dyDescent="0.25">
      <c r="O3715" s="43"/>
      <c r="P3715" s="43"/>
      <c r="Q3715" s="43"/>
      <c r="R3715" s="43"/>
      <c r="S3715" s="43"/>
      <c r="T3715" s="43"/>
      <c r="U3715" s="43"/>
      <c r="V3715" s="43"/>
      <c r="W3715" s="43"/>
      <c r="X3715" s="43"/>
      <c r="Y3715" s="43"/>
      <c r="Z3715" s="43"/>
    </row>
    <row r="3716" spans="15:26" x14ac:dyDescent="0.25">
      <c r="O3716" s="43"/>
      <c r="P3716" s="43"/>
      <c r="Q3716" s="43"/>
      <c r="R3716" s="43"/>
      <c r="S3716" s="43"/>
      <c r="T3716" s="43"/>
      <c r="U3716" s="43"/>
      <c r="V3716" s="43"/>
      <c r="W3716" s="43"/>
      <c r="X3716" s="43"/>
      <c r="Y3716" s="43"/>
      <c r="Z3716" s="43"/>
    </row>
    <row r="3717" spans="15:26" x14ac:dyDescent="0.25">
      <c r="O3717" s="43"/>
      <c r="P3717" s="43"/>
      <c r="Q3717" s="43"/>
      <c r="R3717" s="43"/>
      <c r="S3717" s="43"/>
      <c r="T3717" s="43"/>
      <c r="U3717" s="43"/>
      <c r="V3717" s="43"/>
      <c r="W3717" s="43"/>
      <c r="X3717" s="43"/>
      <c r="Y3717" s="43"/>
      <c r="Z3717" s="43"/>
    </row>
    <row r="3718" spans="15:26" x14ac:dyDescent="0.25">
      <c r="O3718" s="43"/>
      <c r="P3718" s="43"/>
      <c r="Q3718" s="43"/>
      <c r="R3718" s="43"/>
      <c r="S3718" s="43"/>
      <c r="T3718" s="43"/>
      <c r="U3718" s="43"/>
      <c r="V3718" s="43"/>
      <c r="W3718" s="43"/>
      <c r="X3718" s="43"/>
      <c r="Y3718" s="43"/>
      <c r="Z3718" s="43"/>
    </row>
    <row r="3719" spans="15:26" x14ac:dyDescent="0.25">
      <c r="O3719" s="43"/>
      <c r="P3719" s="43"/>
      <c r="Q3719" s="43"/>
      <c r="R3719" s="43"/>
      <c r="S3719" s="43"/>
      <c r="T3719" s="43"/>
      <c r="U3719" s="43"/>
      <c r="V3719" s="43"/>
      <c r="W3719" s="43"/>
      <c r="X3719" s="43"/>
      <c r="Y3719" s="43"/>
      <c r="Z3719" s="43"/>
    </row>
    <row r="3720" spans="15:26" x14ac:dyDescent="0.25">
      <c r="O3720" s="43"/>
      <c r="P3720" s="43"/>
      <c r="Q3720" s="43"/>
      <c r="R3720" s="43"/>
      <c r="S3720" s="43"/>
      <c r="T3720" s="43"/>
      <c r="U3720" s="43"/>
      <c r="V3720" s="43"/>
      <c r="W3720" s="43"/>
      <c r="X3720" s="43"/>
      <c r="Y3720" s="43"/>
      <c r="Z3720" s="43"/>
    </row>
    <row r="3721" spans="15:26" x14ac:dyDescent="0.25">
      <c r="O3721" s="43"/>
      <c r="P3721" s="43"/>
      <c r="Q3721" s="43"/>
      <c r="R3721" s="43"/>
      <c r="S3721" s="43"/>
      <c r="T3721" s="43"/>
      <c r="U3721" s="43"/>
      <c r="V3721" s="43"/>
      <c r="W3721" s="43"/>
      <c r="X3721" s="43"/>
      <c r="Y3721" s="43"/>
      <c r="Z3721" s="43"/>
    </row>
    <row r="3722" spans="15:26" x14ac:dyDescent="0.25">
      <c r="O3722" s="43"/>
      <c r="P3722" s="43"/>
      <c r="Q3722" s="43"/>
      <c r="R3722" s="43"/>
      <c r="S3722" s="43"/>
      <c r="T3722" s="43"/>
      <c r="U3722" s="43"/>
      <c r="V3722" s="43"/>
      <c r="W3722" s="43"/>
      <c r="X3722" s="43"/>
      <c r="Y3722" s="43"/>
      <c r="Z3722" s="43"/>
    </row>
    <row r="3723" spans="15:26" x14ac:dyDescent="0.25">
      <c r="O3723" s="43"/>
      <c r="P3723" s="43"/>
      <c r="Q3723" s="43"/>
      <c r="R3723" s="43"/>
      <c r="S3723" s="43"/>
      <c r="T3723" s="43"/>
      <c r="U3723" s="43"/>
      <c r="V3723" s="43"/>
      <c r="W3723" s="43"/>
      <c r="X3723" s="43"/>
      <c r="Y3723" s="43"/>
      <c r="Z3723" s="43"/>
    </row>
    <row r="3724" spans="15:26" x14ac:dyDescent="0.25">
      <c r="O3724" s="43"/>
      <c r="P3724" s="43"/>
      <c r="Q3724" s="43"/>
      <c r="R3724" s="43"/>
      <c r="S3724" s="43"/>
      <c r="T3724" s="43"/>
      <c r="U3724" s="43"/>
      <c r="V3724" s="43"/>
      <c r="W3724" s="43"/>
      <c r="X3724" s="43"/>
      <c r="Y3724" s="43"/>
      <c r="Z3724" s="43"/>
    </row>
    <row r="3725" spans="15:26" x14ac:dyDescent="0.25">
      <c r="O3725" s="43"/>
      <c r="P3725" s="43"/>
      <c r="Q3725" s="43"/>
      <c r="R3725" s="43"/>
      <c r="S3725" s="43"/>
      <c r="T3725" s="43"/>
      <c r="U3725" s="43"/>
      <c r="V3725" s="43"/>
      <c r="W3725" s="43"/>
      <c r="X3725" s="43"/>
      <c r="Y3725" s="43"/>
      <c r="Z3725" s="43"/>
    </row>
    <row r="3726" spans="15:26" x14ac:dyDescent="0.25">
      <c r="O3726" s="43"/>
      <c r="P3726" s="43"/>
      <c r="Q3726" s="43"/>
      <c r="R3726" s="43"/>
      <c r="S3726" s="43"/>
      <c r="T3726" s="43"/>
      <c r="U3726" s="43"/>
      <c r="V3726" s="43"/>
      <c r="W3726" s="43"/>
      <c r="X3726" s="43"/>
      <c r="Y3726" s="43"/>
      <c r="Z3726" s="43"/>
    </row>
    <row r="3727" spans="15:26" x14ac:dyDescent="0.25">
      <c r="O3727" s="43"/>
      <c r="P3727" s="43"/>
      <c r="Q3727" s="43"/>
      <c r="R3727" s="43"/>
      <c r="S3727" s="43"/>
      <c r="T3727" s="43"/>
      <c r="U3727" s="43"/>
      <c r="V3727" s="43"/>
      <c r="W3727" s="43"/>
      <c r="X3727" s="43"/>
      <c r="Y3727" s="43"/>
      <c r="Z3727" s="43"/>
    </row>
    <row r="3728" spans="15:26" x14ac:dyDescent="0.25">
      <c r="O3728" s="43"/>
      <c r="P3728" s="43"/>
      <c r="Q3728" s="43"/>
      <c r="R3728" s="43"/>
      <c r="S3728" s="43"/>
      <c r="T3728" s="43"/>
      <c r="U3728" s="43"/>
      <c r="V3728" s="43"/>
      <c r="W3728" s="43"/>
      <c r="X3728" s="43"/>
      <c r="Y3728" s="43"/>
      <c r="Z3728" s="43"/>
    </row>
    <row r="3729" spans="15:26" x14ac:dyDescent="0.25">
      <c r="O3729" s="43"/>
      <c r="P3729" s="43"/>
      <c r="Q3729" s="43"/>
      <c r="R3729" s="43"/>
      <c r="S3729" s="43"/>
      <c r="T3729" s="43"/>
      <c r="U3729" s="43"/>
      <c r="V3729" s="43"/>
      <c r="W3729" s="43"/>
      <c r="X3729" s="43"/>
      <c r="Y3729" s="43"/>
      <c r="Z3729" s="43"/>
    </row>
    <row r="3730" spans="15:26" x14ac:dyDescent="0.25">
      <c r="O3730" s="43"/>
      <c r="P3730" s="43"/>
      <c r="Q3730" s="43"/>
      <c r="R3730" s="43"/>
      <c r="S3730" s="43"/>
      <c r="T3730" s="43"/>
      <c r="U3730" s="43"/>
      <c r="V3730" s="43"/>
      <c r="W3730" s="43"/>
      <c r="X3730" s="43"/>
      <c r="Y3730" s="43"/>
      <c r="Z3730" s="43"/>
    </row>
    <row r="3731" spans="15:26" x14ac:dyDescent="0.25">
      <c r="O3731" s="43"/>
      <c r="P3731" s="43"/>
      <c r="Q3731" s="43"/>
      <c r="R3731" s="43"/>
      <c r="S3731" s="43"/>
      <c r="T3731" s="43"/>
      <c r="U3731" s="43"/>
      <c r="V3731" s="43"/>
      <c r="W3731" s="43"/>
      <c r="X3731" s="43"/>
      <c r="Y3731" s="43"/>
      <c r="Z3731" s="43"/>
    </row>
    <row r="3732" spans="15:26" x14ac:dyDescent="0.25">
      <c r="O3732" s="43"/>
      <c r="P3732" s="43"/>
      <c r="Q3732" s="43"/>
      <c r="R3732" s="43"/>
      <c r="S3732" s="43"/>
      <c r="T3732" s="43"/>
      <c r="U3732" s="43"/>
      <c r="V3732" s="43"/>
      <c r="W3732" s="43"/>
      <c r="X3732" s="43"/>
      <c r="Y3732" s="43"/>
      <c r="Z3732" s="43"/>
    </row>
    <row r="3733" spans="15:26" x14ac:dyDescent="0.25">
      <c r="O3733" s="43"/>
      <c r="P3733" s="43"/>
      <c r="Q3733" s="43"/>
      <c r="R3733" s="43"/>
      <c r="S3733" s="43"/>
      <c r="T3733" s="43"/>
      <c r="U3733" s="43"/>
      <c r="V3733" s="43"/>
      <c r="W3733" s="43"/>
      <c r="X3733" s="43"/>
      <c r="Y3733" s="43"/>
      <c r="Z3733" s="43"/>
    </row>
    <row r="3734" spans="15:26" x14ac:dyDescent="0.25">
      <c r="O3734" s="43"/>
      <c r="P3734" s="43"/>
      <c r="Q3734" s="43"/>
      <c r="R3734" s="43"/>
      <c r="S3734" s="43"/>
      <c r="T3734" s="43"/>
      <c r="U3734" s="43"/>
      <c r="V3734" s="43"/>
      <c r="W3734" s="43"/>
      <c r="X3734" s="43"/>
      <c r="Y3734" s="43"/>
      <c r="Z3734" s="43"/>
    </row>
    <row r="3735" spans="15:26" x14ac:dyDescent="0.25">
      <c r="O3735" s="43"/>
      <c r="P3735" s="43"/>
      <c r="Q3735" s="43"/>
      <c r="R3735" s="43"/>
      <c r="S3735" s="43"/>
      <c r="T3735" s="43"/>
      <c r="U3735" s="43"/>
      <c r="V3735" s="43"/>
      <c r="W3735" s="43"/>
      <c r="X3735" s="43"/>
      <c r="Y3735" s="43"/>
      <c r="Z3735" s="43"/>
    </row>
    <row r="3736" spans="15:26" x14ac:dyDescent="0.25">
      <c r="O3736" s="43"/>
      <c r="P3736" s="43"/>
      <c r="Q3736" s="43"/>
      <c r="R3736" s="43"/>
      <c r="S3736" s="43"/>
      <c r="T3736" s="43"/>
      <c r="U3736" s="43"/>
      <c r="V3736" s="43"/>
      <c r="W3736" s="43"/>
      <c r="X3736" s="43"/>
      <c r="Y3736" s="43"/>
      <c r="Z3736" s="43"/>
    </row>
    <row r="3737" spans="15:26" x14ac:dyDescent="0.25">
      <c r="O3737" s="43"/>
      <c r="P3737" s="43"/>
      <c r="Q3737" s="43"/>
      <c r="R3737" s="43"/>
      <c r="S3737" s="43"/>
      <c r="T3737" s="43"/>
      <c r="U3737" s="43"/>
      <c r="V3737" s="43"/>
      <c r="W3737" s="43"/>
      <c r="X3737" s="43"/>
      <c r="Y3737" s="43"/>
      <c r="Z3737" s="43"/>
    </row>
    <row r="3738" spans="15:26" x14ac:dyDescent="0.25">
      <c r="O3738" s="43"/>
      <c r="P3738" s="43"/>
      <c r="Q3738" s="43"/>
      <c r="R3738" s="43"/>
      <c r="S3738" s="43"/>
      <c r="T3738" s="43"/>
      <c r="U3738" s="43"/>
      <c r="V3738" s="43"/>
      <c r="W3738" s="43"/>
      <c r="X3738" s="43"/>
      <c r="Y3738" s="43"/>
      <c r="Z3738" s="43"/>
    </row>
    <row r="3739" spans="15:26" x14ac:dyDescent="0.25">
      <c r="O3739" s="43"/>
      <c r="P3739" s="43"/>
      <c r="Q3739" s="43"/>
      <c r="R3739" s="43"/>
      <c r="S3739" s="43"/>
      <c r="T3739" s="43"/>
      <c r="U3739" s="43"/>
      <c r="V3739" s="43"/>
      <c r="W3739" s="43"/>
      <c r="X3739" s="43"/>
      <c r="Y3739" s="43"/>
      <c r="Z3739" s="43"/>
    </row>
    <row r="3740" spans="15:26" x14ac:dyDescent="0.25">
      <c r="O3740" s="43"/>
      <c r="P3740" s="43"/>
      <c r="Q3740" s="43"/>
      <c r="R3740" s="43"/>
      <c r="S3740" s="43"/>
      <c r="T3740" s="43"/>
      <c r="U3740" s="43"/>
      <c r="V3740" s="43"/>
      <c r="W3740" s="43"/>
      <c r="X3740" s="43"/>
      <c r="Y3740" s="43"/>
      <c r="Z3740" s="43"/>
    </row>
    <row r="3741" spans="15:26" x14ac:dyDescent="0.25">
      <c r="O3741" s="43"/>
      <c r="P3741" s="43"/>
      <c r="Q3741" s="43"/>
      <c r="R3741" s="43"/>
      <c r="S3741" s="43"/>
      <c r="T3741" s="43"/>
      <c r="U3741" s="43"/>
      <c r="V3741" s="43"/>
      <c r="W3741" s="43"/>
      <c r="X3741" s="43"/>
      <c r="Y3741" s="43"/>
      <c r="Z3741" s="43"/>
    </row>
    <row r="3742" spans="15:26" x14ac:dyDescent="0.25">
      <c r="O3742" s="43"/>
      <c r="P3742" s="43"/>
      <c r="Q3742" s="43"/>
      <c r="R3742" s="43"/>
      <c r="S3742" s="43"/>
      <c r="T3742" s="43"/>
      <c r="U3742" s="43"/>
      <c r="V3742" s="43"/>
      <c r="W3742" s="43"/>
      <c r="X3742" s="43"/>
      <c r="Y3742" s="43"/>
      <c r="Z3742" s="43"/>
    </row>
    <row r="3743" spans="15:26" x14ac:dyDescent="0.25">
      <c r="O3743" s="43"/>
      <c r="P3743" s="43"/>
      <c r="Q3743" s="43"/>
      <c r="R3743" s="43"/>
      <c r="S3743" s="43"/>
      <c r="T3743" s="43"/>
      <c r="U3743" s="43"/>
      <c r="V3743" s="43"/>
      <c r="W3743" s="43"/>
      <c r="X3743" s="43"/>
      <c r="Y3743" s="43"/>
      <c r="Z3743" s="43"/>
    </row>
    <row r="3744" spans="15:26" x14ac:dyDescent="0.25">
      <c r="O3744" s="43"/>
      <c r="P3744" s="43"/>
      <c r="Q3744" s="43"/>
      <c r="R3744" s="43"/>
      <c r="S3744" s="43"/>
      <c r="T3744" s="43"/>
      <c r="U3744" s="43"/>
      <c r="V3744" s="43"/>
      <c r="W3744" s="43"/>
      <c r="X3744" s="43"/>
      <c r="Y3744" s="43"/>
      <c r="Z3744" s="43"/>
    </row>
    <row r="3745" spans="15:26" x14ac:dyDescent="0.25">
      <c r="O3745" s="43"/>
      <c r="P3745" s="43"/>
      <c r="Q3745" s="43"/>
      <c r="R3745" s="43"/>
      <c r="S3745" s="43"/>
      <c r="T3745" s="43"/>
      <c r="U3745" s="43"/>
      <c r="V3745" s="43"/>
      <c r="W3745" s="43"/>
      <c r="X3745" s="43"/>
      <c r="Y3745" s="43"/>
      <c r="Z3745" s="43"/>
    </row>
    <row r="3746" spans="15:26" x14ac:dyDescent="0.25">
      <c r="O3746" s="43"/>
      <c r="P3746" s="43"/>
      <c r="Q3746" s="43"/>
      <c r="R3746" s="43"/>
      <c r="S3746" s="43"/>
      <c r="T3746" s="43"/>
      <c r="U3746" s="43"/>
      <c r="V3746" s="43"/>
      <c r="W3746" s="43"/>
      <c r="X3746" s="43"/>
      <c r="Y3746" s="43"/>
      <c r="Z3746" s="43"/>
    </row>
    <row r="3747" spans="15:26" x14ac:dyDescent="0.25">
      <c r="O3747" s="43"/>
      <c r="P3747" s="43"/>
      <c r="Q3747" s="43"/>
      <c r="R3747" s="43"/>
      <c r="S3747" s="43"/>
      <c r="T3747" s="43"/>
      <c r="U3747" s="43"/>
      <c r="V3747" s="43"/>
      <c r="W3747" s="43"/>
      <c r="X3747" s="43"/>
      <c r="Y3747" s="43"/>
      <c r="Z3747" s="43"/>
    </row>
    <row r="3748" spans="15:26" x14ac:dyDescent="0.25">
      <c r="O3748" s="43"/>
      <c r="P3748" s="43"/>
      <c r="Q3748" s="43"/>
      <c r="R3748" s="43"/>
      <c r="S3748" s="43"/>
      <c r="T3748" s="43"/>
      <c r="U3748" s="43"/>
      <c r="V3748" s="43"/>
      <c r="W3748" s="43"/>
      <c r="X3748" s="43"/>
      <c r="Y3748" s="43"/>
      <c r="Z3748" s="43"/>
    </row>
    <row r="3749" spans="15:26" x14ac:dyDescent="0.25">
      <c r="O3749" s="43"/>
      <c r="P3749" s="43"/>
      <c r="Q3749" s="43"/>
      <c r="R3749" s="43"/>
      <c r="S3749" s="43"/>
      <c r="T3749" s="43"/>
      <c r="U3749" s="43"/>
      <c r="V3749" s="43"/>
      <c r="W3749" s="43"/>
      <c r="X3749" s="43"/>
      <c r="Y3749" s="43"/>
      <c r="Z3749" s="43"/>
    </row>
    <row r="3750" spans="15:26" x14ac:dyDescent="0.25">
      <c r="O3750" s="43"/>
      <c r="P3750" s="43"/>
      <c r="Q3750" s="43"/>
      <c r="R3750" s="43"/>
      <c r="S3750" s="43"/>
      <c r="T3750" s="43"/>
      <c r="U3750" s="43"/>
      <c r="V3750" s="43"/>
      <c r="W3750" s="43"/>
      <c r="X3750" s="43"/>
      <c r="Y3750" s="43"/>
      <c r="Z3750" s="43"/>
    </row>
    <row r="3751" spans="15:26" x14ac:dyDescent="0.25">
      <c r="O3751" s="43"/>
      <c r="P3751" s="43"/>
      <c r="Q3751" s="43"/>
      <c r="R3751" s="43"/>
      <c r="S3751" s="43"/>
      <c r="T3751" s="43"/>
      <c r="U3751" s="43"/>
      <c r="V3751" s="43"/>
      <c r="W3751" s="43"/>
      <c r="X3751" s="43"/>
      <c r="Y3751" s="43"/>
      <c r="Z3751" s="43"/>
    </row>
    <row r="3752" spans="15:26" x14ac:dyDescent="0.25">
      <c r="O3752" s="43"/>
      <c r="P3752" s="43"/>
      <c r="Q3752" s="43"/>
      <c r="R3752" s="43"/>
      <c r="S3752" s="43"/>
      <c r="T3752" s="43"/>
      <c r="U3752" s="43"/>
      <c r="V3752" s="43"/>
      <c r="W3752" s="43"/>
      <c r="X3752" s="43"/>
      <c r="Y3752" s="43"/>
      <c r="Z3752" s="43"/>
    </row>
    <row r="3753" spans="15:26" x14ac:dyDescent="0.25">
      <c r="O3753" s="43"/>
      <c r="P3753" s="43"/>
      <c r="Q3753" s="43"/>
      <c r="R3753" s="43"/>
      <c r="S3753" s="43"/>
      <c r="T3753" s="43"/>
      <c r="U3753" s="43"/>
      <c r="V3753" s="43"/>
      <c r="W3753" s="43"/>
      <c r="X3753" s="43"/>
      <c r="Y3753" s="43"/>
      <c r="Z3753" s="43"/>
    </row>
    <row r="3754" spans="15:26" x14ac:dyDescent="0.25">
      <c r="O3754" s="43"/>
      <c r="P3754" s="43"/>
      <c r="Q3754" s="43"/>
      <c r="R3754" s="43"/>
      <c r="S3754" s="43"/>
      <c r="T3754" s="43"/>
      <c r="U3754" s="43"/>
      <c r="V3754" s="43"/>
      <c r="W3754" s="43"/>
      <c r="X3754" s="43"/>
      <c r="Y3754" s="43"/>
      <c r="Z3754" s="43"/>
    </row>
    <row r="3755" spans="15:26" x14ac:dyDescent="0.25">
      <c r="O3755" s="43"/>
      <c r="P3755" s="43"/>
      <c r="Q3755" s="43"/>
      <c r="R3755" s="43"/>
      <c r="S3755" s="43"/>
      <c r="T3755" s="43"/>
      <c r="U3755" s="43"/>
      <c r="V3755" s="43"/>
      <c r="W3755" s="43"/>
      <c r="X3755" s="43"/>
      <c r="Y3755" s="43"/>
      <c r="Z3755" s="43"/>
    </row>
    <row r="3756" spans="15:26" x14ac:dyDescent="0.25">
      <c r="O3756" s="43"/>
      <c r="P3756" s="43"/>
      <c r="Q3756" s="43"/>
      <c r="R3756" s="43"/>
      <c r="S3756" s="43"/>
      <c r="T3756" s="43"/>
      <c r="U3756" s="43"/>
      <c r="V3756" s="43"/>
      <c r="W3756" s="43"/>
      <c r="X3756" s="43"/>
      <c r="Y3756" s="43"/>
      <c r="Z3756" s="43"/>
    </row>
    <row r="3757" spans="15:26" x14ac:dyDescent="0.25">
      <c r="O3757" s="43"/>
      <c r="P3757" s="43"/>
      <c r="Q3757" s="43"/>
      <c r="R3757" s="43"/>
      <c r="S3757" s="43"/>
      <c r="T3757" s="43"/>
      <c r="U3757" s="43"/>
      <c r="V3757" s="43"/>
      <c r="W3757" s="43"/>
      <c r="X3757" s="43"/>
      <c r="Y3757" s="43"/>
      <c r="Z3757" s="43"/>
    </row>
    <row r="3758" spans="15:26" x14ac:dyDescent="0.25">
      <c r="O3758" s="43"/>
      <c r="P3758" s="43"/>
      <c r="Q3758" s="43"/>
      <c r="R3758" s="43"/>
      <c r="S3758" s="43"/>
      <c r="T3758" s="43"/>
      <c r="U3758" s="43"/>
      <c r="V3758" s="43"/>
      <c r="W3758" s="43"/>
      <c r="X3758" s="43"/>
      <c r="Y3758" s="43"/>
      <c r="Z3758" s="43"/>
    </row>
    <row r="3759" spans="15:26" x14ac:dyDescent="0.25">
      <c r="O3759" s="43"/>
      <c r="P3759" s="43"/>
      <c r="Q3759" s="43"/>
      <c r="R3759" s="43"/>
      <c r="S3759" s="43"/>
      <c r="T3759" s="43"/>
      <c r="U3759" s="43"/>
      <c r="V3759" s="43"/>
      <c r="W3759" s="43"/>
      <c r="X3759" s="43"/>
      <c r="Y3759" s="43"/>
      <c r="Z3759" s="43"/>
    </row>
    <row r="3760" spans="15:26" x14ac:dyDescent="0.25">
      <c r="O3760" s="43"/>
      <c r="P3760" s="43"/>
      <c r="Q3760" s="43"/>
      <c r="R3760" s="43"/>
      <c r="S3760" s="43"/>
      <c r="T3760" s="43"/>
      <c r="U3760" s="43"/>
      <c r="V3760" s="43"/>
      <c r="W3760" s="43"/>
      <c r="X3760" s="43"/>
      <c r="Y3760" s="43"/>
      <c r="Z3760" s="43"/>
    </row>
    <row r="3761" spans="15:26" x14ac:dyDescent="0.25">
      <c r="O3761" s="43"/>
      <c r="P3761" s="43"/>
      <c r="Q3761" s="43"/>
      <c r="R3761" s="43"/>
      <c r="S3761" s="43"/>
      <c r="T3761" s="43"/>
      <c r="U3761" s="43"/>
      <c r="V3761" s="43"/>
      <c r="W3761" s="43"/>
      <c r="X3761" s="43"/>
      <c r="Y3761" s="43"/>
      <c r="Z3761" s="43"/>
    </row>
    <row r="3762" spans="15:26" x14ac:dyDescent="0.25">
      <c r="O3762" s="43"/>
      <c r="P3762" s="43"/>
      <c r="Q3762" s="43"/>
      <c r="R3762" s="43"/>
      <c r="S3762" s="43"/>
      <c r="T3762" s="43"/>
      <c r="U3762" s="43"/>
      <c r="V3762" s="43"/>
      <c r="W3762" s="43"/>
      <c r="X3762" s="43"/>
      <c r="Y3762" s="43"/>
      <c r="Z3762" s="43"/>
    </row>
    <row r="3763" spans="15:26" x14ac:dyDescent="0.25">
      <c r="O3763" s="43"/>
      <c r="P3763" s="43"/>
      <c r="Q3763" s="43"/>
      <c r="R3763" s="43"/>
      <c r="S3763" s="43"/>
      <c r="T3763" s="43"/>
      <c r="U3763" s="43"/>
      <c r="V3763" s="43"/>
      <c r="W3763" s="43"/>
      <c r="X3763" s="43"/>
      <c r="Y3763" s="43"/>
      <c r="Z3763" s="43"/>
    </row>
    <row r="3764" spans="15:26" x14ac:dyDescent="0.25">
      <c r="O3764" s="43"/>
      <c r="P3764" s="43"/>
      <c r="Q3764" s="43"/>
      <c r="R3764" s="43"/>
      <c r="S3764" s="43"/>
      <c r="T3764" s="43"/>
      <c r="U3764" s="43"/>
      <c r="V3764" s="43"/>
      <c r="W3764" s="43"/>
      <c r="X3764" s="43"/>
      <c r="Y3764" s="43"/>
      <c r="Z3764" s="43"/>
    </row>
    <row r="3765" spans="15:26" x14ac:dyDescent="0.25">
      <c r="O3765" s="43"/>
      <c r="P3765" s="43"/>
      <c r="Q3765" s="43"/>
      <c r="R3765" s="43"/>
      <c r="S3765" s="43"/>
      <c r="T3765" s="43"/>
      <c r="U3765" s="43"/>
      <c r="V3765" s="43"/>
      <c r="W3765" s="43"/>
      <c r="X3765" s="43"/>
      <c r="Y3765" s="43"/>
      <c r="Z3765" s="43"/>
    </row>
    <row r="3766" spans="15:26" x14ac:dyDescent="0.25">
      <c r="O3766" s="43"/>
      <c r="P3766" s="43"/>
      <c r="Q3766" s="43"/>
      <c r="R3766" s="43"/>
      <c r="S3766" s="43"/>
      <c r="T3766" s="43"/>
      <c r="U3766" s="43"/>
      <c r="V3766" s="43"/>
      <c r="W3766" s="43"/>
      <c r="X3766" s="43"/>
      <c r="Y3766" s="43"/>
      <c r="Z3766" s="43"/>
    </row>
    <row r="3767" spans="15:26" x14ac:dyDescent="0.25">
      <c r="O3767" s="43"/>
      <c r="P3767" s="43"/>
      <c r="Q3767" s="43"/>
      <c r="R3767" s="43"/>
      <c r="S3767" s="43"/>
      <c r="T3767" s="43"/>
      <c r="U3767" s="43"/>
      <c r="V3767" s="43"/>
      <c r="W3767" s="43"/>
      <c r="X3767" s="43"/>
      <c r="Y3767" s="43"/>
      <c r="Z3767" s="43"/>
    </row>
    <row r="3768" spans="15:26" x14ac:dyDescent="0.25">
      <c r="O3768" s="43"/>
      <c r="P3768" s="43"/>
      <c r="Q3768" s="43"/>
      <c r="R3768" s="43"/>
      <c r="S3768" s="43"/>
      <c r="T3768" s="43"/>
      <c r="U3768" s="43"/>
      <c r="V3768" s="43"/>
      <c r="W3768" s="43"/>
      <c r="X3768" s="43"/>
      <c r="Y3768" s="43"/>
      <c r="Z3768" s="43"/>
    </row>
    <row r="3769" spans="15:26" x14ac:dyDescent="0.25">
      <c r="O3769" s="43"/>
      <c r="P3769" s="43"/>
      <c r="Q3769" s="43"/>
      <c r="R3769" s="43"/>
      <c r="S3769" s="43"/>
      <c r="T3769" s="43"/>
      <c r="U3769" s="43"/>
      <c r="V3769" s="43"/>
      <c r="W3769" s="43"/>
      <c r="X3769" s="43"/>
      <c r="Y3769" s="43"/>
      <c r="Z3769" s="43"/>
    </row>
    <row r="3770" spans="15:26" x14ac:dyDescent="0.25">
      <c r="O3770" s="43"/>
      <c r="P3770" s="43"/>
      <c r="Q3770" s="43"/>
      <c r="R3770" s="43"/>
      <c r="S3770" s="43"/>
      <c r="T3770" s="43"/>
      <c r="U3770" s="43"/>
      <c r="V3770" s="43"/>
      <c r="W3770" s="43"/>
      <c r="X3770" s="43"/>
      <c r="Y3770" s="43"/>
      <c r="Z3770" s="43"/>
    </row>
    <row r="3771" spans="15:26" x14ac:dyDescent="0.25">
      <c r="O3771" s="43"/>
      <c r="P3771" s="43"/>
      <c r="Q3771" s="43"/>
      <c r="R3771" s="43"/>
      <c r="S3771" s="43"/>
      <c r="T3771" s="43"/>
      <c r="U3771" s="43"/>
      <c r="V3771" s="43"/>
      <c r="W3771" s="43"/>
      <c r="X3771" s="43"/>
      <c r="Y3771" s="43"/>
      <c r="Z3771" s="43"/>
    </row>
    <row r="3772" spans="15:26" x14ac:dyDescent="0.25">
      <c r="O3772" s="43"/>
      <c r="P3772" s="43"/>
      <c r="Q3772" s="43"/>
      <c r="R3772" s="43"/>
      <c r="S3772" s="43"/>
      <c r="T3772" s="43"/>
      <c r="U3772" s="43"/>
      <c r="V3772" s="43"/>
      <c r="W3772" s="43"/>
      <c r="X3772" s="43"/>
      <c r="Y3772" s="43"/>
      <c r="Z3772" s="43"/>
    </row>
    <row r="3773" spans="15:26" x14ac:dyDescent="0.25">
      <c r="O3773" s="43"/>
      <c r="P3773" s="43"/>
      <c r="Q3773" s="43"/>
      <c r="R3773" s="43"/>
      <c r="S3773" s="43"/>
      <c r="T3773" s="43"/>
      <c r="U3773" s="43"/>
      <c r="V3773" s="43"/>
      <c r="W3773" s="43"/>
      <c r="X3773" s="43"/>
      <c r="Y3773" s="43"/>
      <c r="Z3773" s="43"/>
    </row>
    <row r="3774" spans="15:26" x14ac:dyDescent="0.25">
      <c r="O3774" s="43"/>
      <c r="P3774" s="43"/>
      <c r="Q3774" s="43"/>
      <c r="R3774" s="43"/>
      <c r="S3774" s="43"/>
      <c r="T3774" s="43"/>
      <c r="U3774" s="43"/>
      <c r="V3774" s="43"/>
      <c r="W3774" s="43"/>
      <c r="X3774" s="43"/>
      <c r="Y3774" s="43"/>
      <c r="Z3774" s="43"/>
    </row>
    <row r="3775" spans="15:26" x14ac:dyDescent="0.25">
      <c r="O3775" s="43"/>
      <c r="P3775" s="43"/>
      <c r="Q3775" s="43"/>
      <c r="R3775" s="43"/>
      <c r="S3775" s="43"/>
      <c r="T3775" s="43"/>
      <c r="U3775" s="43"/>
      <c r="V3775" s="43"/>
      <c r="W3775" s="43"/>
      <c r="X3775" s="43"/>
      <c r="Y3775" s="43"/>
      <c r="Z3775" s="43"/>
    </row>
    <row r="3776" spans="15:26" x14ac:dyDescent="0.25">
      <c r="O3776" s="43"/>
      <c r="P3776" s="43"/>
      <c r="Q3776" s="43"/>
      <c r="R3776" s="43"/>
      <c r="S3776" s="43"/>
      <c r="T3776" s="43"/>
      <c r="U3776" s="43"/>
      <c r="V3776" s="43"/>
      <c r="W3776" s="43"/>
      <c r="X3776" s="43"/>
      <c r="Y3776" s="43"/>
      <c r="Z3776" s="43"/>
    </row>
    <row r="3777" spans="15:26" x14ac:dyDescent="0.25">
      <c r="O3777" s="43"/>
      <c r="P3777" s="43"/>
      <c r="Q3777" s="43"/>
      <c r="R3777" s="43"/>
      <c r="S3777" s="43"/>
      <c r="T3777" s="43"/>
      <c r="U3777" s="43"/>
      <c r="V3777" s="43"/>
      <c r="W3777" s="43"/>
      <c r="X3777" s="43"/>
      <c r="Y3777" s="43"/>
      <c r="Z3777" s="43"/>
    </row>
    <row r="3778" spans="15:26" x14ac:dyDescent="0.25">
      <c r="O3778" s="43"/>
      <c r="P3778" s="43"/>
      <c r="Q3778" s="43"/>
      <c r="R3778" s="43"/>
      <c r="S3778" s="43"/>
      <c r="T3778" s="43"/>
      <c r="U3778" s="43"/>
      <c r="V3778" s="43"/>
      <c r="W3778" s="43"/>
      <c r="X3778" s="43"/>
      <c r="Y3778" s="43"/>
      <c r="Z3778" s="43"/>
    </row>
    <row r="3779" spans="15:26" x14ac:dyDescent="0.25">
      <c r="O3779" s="43"/>
      <c r="P3779" s="43"/>
      <c r="Q3779" s="43"/>
      <c r="R3779" s="43"/>
      <c r="S3779" s="43"/>
      <c r="T3779" s="43"/>
      <c r="U3779" s="43"/>
      <c r="V3779" s="43"/>
      <c r="W3779" s="43"/>
      <c r="X3779" s="43"/>
      <c r="Y3779" s="43"/>
      <c r="Z3779" s="43"/>
    </row>
    <row r="3780" spans="15:26" x14ac:dyDescent="0.25">
      <c r="O3780" s="43"/>
      <c r="P3780" s="43"/>
      <c r="Q3780" s="43"/>
      <c r="R3780" s="43"/>
      <c r="S3780" s="43"/>
      <c r="T3780" s="43"/>
      <c r="U3780" s="43"/>
      <c r="V3780" s="43"/>
      <c r="W3780" s="43"/>
      <c r="X3780" s="43"/>
      <c r="Y3780" s="43"/>
      <c r="Z3780" s="43"/>
    </row>
    <row r="3781" spans="15:26" x14ac:dyDescent="0.25">
      <c r="O3781" s="43"/>
      <c r="P3781" s="43"/>
      <c r="Q3781" s="43"/>
      <c r="R3781" s="43"/>
      <c r="S3781" s="43"/>
      <c r="T3781" s="43"/>
      <c r="U3781" s="43"/>
      <c r="V3781" s="43"/>
      <c r="W3781" s="43"/>
      <c r="X3781" s="43"/>
      <c r="Y3781" s="43"/>
      <c r="Z3781" s="43"/>
    </row>
    <row r="3782" spans="15:26" x14ac:dyDescent="0.25">
      <c r="O3782" s="43"/>
      <c r="P3782" s="43"/>
      <c r="Q3782" s="43"/>
      <c r="R3782" s="43"/>
      <c r="S3782" s="43"/>
      <c r="T3782" s="43"/>
      <c r="U3782" s="43"/>
      <c r="V3782" s="43"/>
      <c r="W3782" s="43"/>
      <c r="X3782" s="43"/>
      <c r="Y3782" s="43"/>
      <c r="Z3782" s="43"/>
    </row>
    <row r="3783" spans="15:26" x14ac:dyDescent="0.25">
      <c r="O3783" s="43"/>
      <c r="P3783" s="43"/>
      <c r="Q3783" s="43"/>
      <c r="R3783" s="43"/>
      <c r="S3783" s="43"/>
      <c r="T3783" s="43"/>
      <c r="U3783" s="43"/>
      <c r="V3783" s="43"/>
      <c r="W3783" s="43"/>
      <c r="X3783" s="43"/>
      <c r="Y3783" s="43"/>
      <c r="Z3783" s="43"/>
    </row>
    <row r="3784" spans="15:26" x14ac:dyDescent="0.25">
      <c r="O3784" s="43"/>
      <c r="P3784" s="43"/>
      <c r="Q3784" s="43"/>
      <c r="R3784" s="43"/>
      <c r="S3784" s="43"/>
      <c r="T3784" s="43"/>
      <c r="U3784" s="43"/>
      <c r="V3784" s="43"/>
      <c r="W3784" s="43"/>
      <c r="X3784" s="43"/>
      <c r="Y3784" s="43"/>
      <c r="Z3784" s="43"/>
    </row>
    <row r="3785" spans="15:26" x14ac:dyDescent="0.25">
      <c r="O3785" s="43"/>
      <c r="P3785" s="43"/>
      <c r="Q3785" s="43"/>
      <c r="R3785" s="43"/>
      <c r="S3785" s="43"/>
      <c r="T3785" s="43"/>
      <c r="U3785" s="43"/>
      <c r="V3785" s="43"/>
      <c r="W3785" s="43"/>
      <c r="X3785" s="43"/>
      <c r="Y3785" s="43"/>
      <c r="Z3785" s="43"/>
    </row>
    <row r="3786" spans="15:26" x14ac:dyDescent="0.25">
      <c r="O3786" s="43"/>
      <c r="P3786" s="43"/>
      <c r="Q3786" s="43"/>
      <c r="R3786" s="43"/>
      <c r="S3786" s="43"/>
      <c r="T3786" s="43"/>
      <c r="U3786" s="43"/>
      <c r="V3786" s="43"/>
      <c r="W3786" s="43"/>
      <c r="X3786" s="43"/>
      <c r="Y3786" s="43"/>
      <c r="Z3786" s="43"/>
    </row>
    <row r="3787" spans="15:26" x14ac:dyDescent="0.25">
      <c r="O3787" s="43"/>
      <c r="P3787" s="43"/>
      <c r="Q3787" s="43"/>
      <c r="R3787" s="43"/>
      <c r="S3787" s="43"/>
      <c r="T3787" s="43"/>
      <c r="U3787" s="43"/>
      <c r="V3787" s="43"/>
      <c r="W3787" s="43"/>
      <c r="X3787" s="43"/>
      <c r="Y3787" s="43"/>
      <c r="Z3787" s="43"/>
    </row>
    <row r="3788" spans="15:26" x14ac:dyDescent="0.25">
      <c r="O3788" s="43"/>
      <c r="P3788" s="43"/>
      <c r="Q3788" s="43"/>
      <c r="R3788" s="43"/>
      <c r="S3788" s="43"/>
      <c r="T3788" s="43"/>
      <c r="U3788" s="43"/>
      <c r="V3788" s="43"/>
      <c r="W3788" s="43"/>
      <c r="X3788" s="43"/>
      <c r="Y3788" s="43"/>
      <c r="Z3788" s="43"/>
    </row>
    <row r="3789" spans="15:26" x14ac:dyDescent="0.25">
      <c r="O3789" s="43"/>
      <c r="P3789" s="43"/>
      <c r="Q3789" s="43"/>
      <c r="R3789" s="43"/>
      <c r="S3789" s="43"/>
      <c r="T3789" s="43"/>
      <c r="U3789" s="43"/>
      <c r="V3789" s="43"/>
      <c r="W3789" s="43"/>
      <c r="X3789" s="43"/>
      <c r="Y3789" s="43"/>
      <c r="Z3789" s="43"/>
    </row>
    <row r="3790" spans="15:26" x14ac:dyDescent="0.25">
      <c r="O3790" s="43"/>
      <c r="P3790" s="43"/>
      <c r="Q3790" s="43"/>
      <c r="R3790" s="43"/>
      <c r="S3790" s="43"/>
      <c r="T3790" s="43"/>
      <c r="U3790" s="43"/>
      <c r="V3790" s="43"/>
      <c r="W3790" s="43"/>
      <c r="X3790" s="43"/>
      <c r="Y3790" s="43"/>
      <c r="Z3790" s="43"/>
    </row>
    <row r="3791" spans="15:26" x14ac:dyDescent="0.25">
      <c r="O3791" s="43"/>
      <c r="P3791" s="43"/>
      <c r="Q3791" s="43"/>
      <c r="R3791" s="43"/>
      <c r="S3791" s="43"/>
      <c r="T3791" s="43"/>
      <c r="U3791" s="43"/>
      <c r="V3791" s="43"/>
      <c r="W3791" s="43"/>
      <c r="X3791" s="43"/>
      <c r="Y3791" s="43"/>
      <c r="Z3791" s="43"/>
    </row>
    <row r="3792" spans="15:26" x14ac:dyDescent="0.25">
      <c r="O3792" s="43"/>
      <c r="P3792" s="43"/>
      <c r="Q3792" s="43"/>
      <c r="R3792" s="43"/>
      <c r="S3792" s="43"/>
      <c r="T3792" s="43"/>
      <c r="U3792" s="43"/>
      <c r="V3792" s="43"/>
      <c r="W3792" s="43"/>
      <c r="X3792" s="43"/>
      <c r="Y3792" s="43"/>
      <c r="Z3792" s="43"/>
    </row>
    <row r="3793" spans="15:26" x14ac:dyDescent="0.25">
      <c r="O3793" s="43"/>
      <c r="P3793" s="43"/>
      <c r="Q3793" s="43"/>
      <c r="R3793" s="43"/>
      <c r="S3793" s="43"/>
      <c r="T3793" s="43"/>
      <c r="U3793" s="43"/>
      <c r="V3793" s="43"/>
      <c r="W3793" s="43"/>
      <c r="X3793" s="43"/>
      <c r="Y3793" s="43"/>
      <c r="Z3793" s="43"/>
    </row>
    <row r="3794" spans="15:26" x14ac:dyDescent="0.25">
      <c r="O3794" s="43"/>
      <c r="P3794" s="43"/>
      <c r="Q3794" s="43"/>
      <c r="R3794" s="43"/>
      <c r="S3794" s="43"/>
      <c r="T3794" s="43"/>
      <c r="U3794" s="43"/>
      <c r="V3794" s="43"/>
      <c r="W3794" s="43"/>
      <c r="X3794" s="43"/>
      <c r="Y3794" s="43"/>
      <c r="Z3794" s="43"/>
    </row>
    <row r="3795" spans="15:26" x14ac:dyDescent="0.25">
      <c r="O3795" s="43"/>
      <c r="P3795" s="43"/>
      <c r="Q3795" s="43"/>
      <c r="R3795" s="43"/>
      <c r="S3795" s="43"/>
      <c r="T3795" s="43"/>
      <c r="U3795" s="43"/>
      <c r="V3795" s="43"/>
      <c r="W3795" s="43"/>
      <c r="X3795" s="43"/>
      <c r="Y3795" s="43"/>
      <c r="Z3795" s="43"/>
    </row>
    <row r="3796" spans="15:26" x14ac:dyDescent="0.25">
      <c r="O3796" s="43"/>
      <c r="P3796" s="43"/>
      <c r="Q3796" s="43"/>
      <c r="R3796" s="43"/>
      <c r="S3796" s="43"/>
      <c r="T3796" s="43"/>
      <c r="U3796" s="43"/>
      <c r="V3796" s="43"/>
      <c r="W3796" s="43"/>
      <c r="X3796" s="43"/>
      <c r="Y3796" s="43"/>
      <c r="Z3796" s="43"/>
    </row>
    <row r="3797" spans="15:26" x14ac:dyDescent="0.25">
      <c r="O3797" s="43"/>
      <c r="P3797" s="43"/>
      <c r="Q3797" s="43"/>
      <c r="R3797" s="43"/>
      <c r="S3797" s="43"/>
      <c r="T3797" s="43"/>
      <c r="U3797" s="43"/>
      <c r="V3797" s="43"/>
      <c r="W3797" s="43"/>
      <c r="X3797" s="43"/>
      <c r="Y3797" s="43"/>
      <c r="Z3797" s="43"/>
    </row>
    <row r="3798" spans="15:26" x14ac:dyDescent="0.25">
      <c r="O3798" s="43"/>
      <c r="P3798" s="43"/>
      <c r="Q3798" s="43"/>
      <c r="R3798" s="43"/>
      <c r="S3798" s="43"/>
      <c r="T3798" s="43"/>
      <c r="U3798" s="43"/>
      <c r="V3798" s="43"/>
      <c r="W3798" s="43"/>
      <c r="X3798" s="43"/>
      <c r="Y3798" s="43"/>
      <c r="Z3798" s="43"/>
    </row>
    <row r="3799" spans="15:26" x14ac:dyDescent="0.25">
      <c r="O3799" s="43"/>
      <c r="P3799" s="43"/>
      <c r="Q3799" s="43"/>
      <c r="R3799" s="43"/>
      <c r="S3799" s="43"/>
      <c r="T3799" s="43"/>
      <c r="U3799" s="43"/>
      <c r="V3799" s="43"/>
      <c r="W3799" s="43"/>
      <c r="X3799" s="43"/>
      <c r="Y3799" s="43"/>
      <c r="Z3799" s="43"/>
    </row>
    <row r="3800" spans="15:26" x14ac:dyDescent="0.25">
      <c r="O3800" s="43"/>
      <c r="P3800" s="43"/>
      <c r="Q3800" s="43"/>
      <c r="R3800" s="43"/>
      <c r="S3800" s="43"/>
      <c r="T3800" s="43"/>
      <c r="U3800" s="43"/>
      <c r="V3800" s="43"/>
      <c r="W3800" s="43"/>
      <c r="X3800" s="43"/>
      <c r="Y3800" s="43"/>
      <c r="Z3800" s="43"/>
    </row>
    <row r="3801" spans="15:26" x14ac:dyDescent="0.25">
      <c r="O3801" s="43"/>
      <c r="P3801" s="43"/>
      <c r="Q3801" s="43"/>
      <c r="R3801" s="43"/>
      <c r="S3801" s="43"/>
      <c r="T3801" s="43"/>
      <c r="U3801" s="43"/>
      <c r="V3801" s="43"/>
      <c r="W3801" s="43"/>
      <c r="X3801" s="43"/>
      <c r="Y3801" s="43"/>
      <c r="Z3801" s="43"/>
    </row>
    <row r="3802" spans="15:26" x14ac:dyDescent="0.25">
      <c r="O3802" s="43"/>
      <c r="P3802" s="43"/>
      <c r="Q3802" s="43"/>
      <c r="R3802" s="43"/>
      <c r="S3802" s="43"/>
      <c r="T3802" s="43"/>
      <c r="U3802" s="43"/>
      <c r="V3802" s="43"/>
      <c r="W3802" s="43"/>
      <c r="X3802" s="43"/>
      <c r="Y3802" s="43"/>
      <c r="Z3802" s="43"/>
    </row>
    <row r="3803" spans="15:26" x14ac:dyDescent="0.25">
      <c r="O3803" s="43"/>
      <c r="P3803" s="43"/>
      <c r="Q3803" s="43"/>
      <c r="R3803" s="43"/>
      <c r="S3803" s="43"/>
      <c r="T3803" s="43"/>
      <c r="U3803" s="43"/>
      <c r="V3803" s="43"/>
      <c r="W3803" s="43"/>
      <c r="X3803" s="43"/>
      <c r="Y3803" s="43"/>
      <c r="Z3803" s="43"/>
    </row>
    <row r="3804" spans="15:26" x14ac:dyDescent="0.25">
      <c r="O3804" s="43"/>
      <c r="P3804" s="43"/>
      <c r="Q3804" s="43"/>
      <c r="R3804" s="43"/>
      <c r="S3804" s="43"/>
      <c r="T3804" s="43"/>
      <c r="U3804" s="43"/>
      <c r="V3804" s="43"/>
      <c r="W3804" s="43"/>
      <c r="X3804" s="43"/>
      <c r="Y3804" s="43"/>
      <c r="Z3804" s="43"/>
    </row>
    <row r="3805" spans="15:26" x14ac:dyDescent="0.25">
      <c r="O3805" s="43"/>
      <c r="P3805" s="43"/>
      <c r="Q3805" s="43"/>
      <c r="R3805" s="43"/>
      <c r="S3805" s="43"/>
      <c r="T3805" s="43"/>
      <c r="U3805" s="43"/>
      <c r="V3805" s="43"/>
      <c r="W3805" s="43"/>
      <c r="X3805" s="43"/>
      <c r="Y3805" s="43"/>
      <c r="Z3805" s="43"/>
    </row>
    <row r="3806" spans="15:26" x14ac:dyDescent="0.25">
      <c r="O3806" s="43"/>
      <c r="P3806" s="43"/>
      <c r="Q3806" s="43"/>
      <c r="R3806" s="43"/>
      <c r="S3806" s="43"/>
      <c r="T3806" s="43"/>
      <c r="U3806" s="43"/>
      <c r="V3806" s="43"/>
      <c r="W3806" s="43"/>
      <c r="X3806" s="43"/>
      <c r="Y3806" s="43"/>
      <c r="Z3806" s="43"/>
    </row>
    <row r="3807" spans="15:26" x14ac:dyDescent="0.25">
      <c r="O3807" s="43"/>
      <c r="P3807" s="43"/>
      <c r="Q3807" s="43"/>
      <c r="R3807" s="43"/>
      <c r="S3807" s="43"/>
      <c r="T3807" s="43"/>
      <c r="U3807" s="43"/>
      <c r="V3807" s="43"/>
      <c r="W3807" s="43"/>
      <c r="X3807" s="43"/>
      <c r="Y3807" s="43"/>
      <c r="Z3807" s="43"/>
    </row>
    <row r="3808" spans="15:26" x14ac:dyDescent="0.25">
      <c r="O3808" s="43"/>
      <c r="P3808" s="43"/>
      <c r="Q3808" s="43"/>
      <c r="R3808" s="43"/>
      <c r="S3808" s="43"/>
      <c r="T3808" s="43"/>
      <c r="U3808" s="43"/>
      <c r="V3808" s="43"/>
      <c r="W3808" s="43"/>
      <c r="X3808" s="43"/>
      <c r="Y3808" s="43"/>
      <c r="Z3808" s="43"/>
    </row>
    <row r="3809" spans="15:26" x14ac:dyDescent="0.25">
      <c r="O3809" s="43"/>
      <c r="P3809" s="43"/>
      <c r="Q3809" s="43"/>
      <c r="R3809" s="43"/>
      <c r="S3809" s="43"/>
      <c r="T3809" s="43"/>
      <c r="U3809" s="43"/>
      <c r="V3809" s="43"/>
      <c r="W3809" s="43"/>
      <c r="X3809" s="43"/>
      <c r="Y3809" s="43"/>
      <c r="Z3809" s="43"/>
    </row>
    <row r="3810" spans="15:26" x14ac:dyDescent="0.25">
      <c r="O3810" s="43"/>
      <c r="P3810" s="43"/>
      <c r="Q3810" s="43"/>
      <c r="R3810" s="43"/>
      <c r="S3810" s="43"/>
      <c r="T3810" s="43"/>
      <c r="U3810" s="43"/>
      <c r="V3810" s="43"/>
      <c r="W3810" s="43"/>
      <c r="X3810" s="43"/>
      <c r="Y3810" s="43"/>
      <c r="Z3810" s="43"/>
    </row>
    <row r="3811" spans="15:26" x14ac:dyDescent="0.25">
      <c r="O3811" s="43"/>
      <c r="P3811" s="43"/>
      <c r="Q3811" s="43"/>
      <c r="R3811" s="43"/>
      <c r="S3811" s="43"/>
      <c r="T3811" s="43"/>
      <c r="U3811" s="43"/>
      <c r="V3811" s="43"/>
      <c r="W3811" s="43"/>
      <c r="X3811" s="43"/>
      <c r="Y3811" s="43"/>
      <c r="Z3811" s="43"/>
    </row>
    <row r="3812" spans="15:26" x14ac:dyDescent="0.25">
      <c r="O3812" s="43"/>
      <c r="P3812" s="43"/>
      <c r="Q3812" s="43"/>
      <c r="R3812" s="43"/>
      <c r="S3812" s="43"/>
      <c r="T3812" s="43"/>
      <c r="U3812" s="43"/>
      <c r="V3812" s="43"/>
      <c r="W3812" s="43"/>
      <c r="X3812" s="43"/>
      <c r="Y3812" s="43"/>
      <c r="Z3812" s="43"/>
    </row>
    <row r="3813" spans="15:26" x14ac:dyDescent="0.25">
      <c r="O3813" s="43"/>
      <c r="P3813" s="43"/>
      <c r="Q3813" s="43"/>
      <c r="R3813" s="43"/>
      <c r="S3813" s="43"/>
      <c r="T3813" s="43"/>
      <c r="U3813" s="43"/>
      <c r="V3813" s="43"/>
      <c r="W3813" s="43"/>
      <c r="X3813" s="43"/>
      <c r="Y3813" s="43"/>
      <c r="Z3813" s="43"/>
    </row>
    <row r="3814" spans="15:26" x14ac:dyDescent="0.25">
      <c r="O3814" s="43"/>
      <c r="P3814" s="43"/>
      <c r="Q3814" s="43"/>
      <c r="R3814" s="43"/>
      <c r="S3814" s="43"/>
      <c r="T3814" s="43"/>
      <c r="U3814" s="43"/>
      <c r="V3814" s="43"/>
      <c r="W3814" s="43"/>
      <c r="X3814" s="43"/>
      <c r="Y3814" s="43"/>
      <c r="Z3814" s="43"/>
    </row>
    <row r="3815" spans="15:26" x14ac:dyDescent="0.25">
      <c r="O3815" s="43"/>
      <c r="P3815" s="43"/>
      <c r="Q3815" s="43"/>
      <c r="R3815" s="43"/>
      <c r="S3815" s="43"/>
      <c r="T3815" s="43"/>
      <c r="U3815" s="43"/>
      <c r="V3815" s="43"/>
      <c r="W3815" s="43"/>
      <c r="X3815" s="43"/>
      <c r="Y3815" s="43"/>
      <c r="Z3815" s="43"/>
    </row>
    <row r="3816" spans="15:26" x14ac:dyDescent="0.25">
      <c r="O3816" s="43"/>
      <c r="P3816" s="43"/>
      <c r="Q3816" s="43"/>
      <c r="R3816" s="43"/>
      <c r="S3816" s="43"/>
      <c r="T3816" s="43"/>
      <c r="U3816" s="43"/>
      <c r="V3816" s="43"/>
      <c r="W3816" s="43"/>
      <c r="X3816" s="43"/>
      <c r="Y3816" s="43"/>
      <c r="Z3816" s="43"/>
    </row>
    <row r="3817" spans="15:26" x14ac:dyDescent="0.25">
      <c r="O3817" s="43"/>
      <c r="P3817" s="43"/>
      <c r="Q3817" s="43"/>
      <c r="R3817" s="43"/>
      <c r="S3817" s="43"/>
      <c r="T3817" s="43"/>
      <c r="U3817" s="43"/>
      <c r="V3817" s="43"/>
      <c r="W3817" s="43"/>
      <c r="X3817" s="43"/>
      <c r="Y3817" s="43"/>
      <c r="Z3817" s="43"/>
    </row>
    <row r="3818" spans="15:26" x14ac:dyDescent="0.25">
      <c r="O3818" s="43"/>
      <c r="P3818" s="43"/>
      <c r="Q3818" s="43"/>
      <c r="R3818" s="43"/>
      <c r="S3818" s="43"/>
      <c r="T3818" s="43"/>
      <c r="U3818" s="43"/>
      <c r="V3818" s="43"/>
      <c r="W3818" s="43"/>
      <c r="X3818" s="43"/>
      <c r="Y3818" s="43"/>
      <c r="Z3818" s="43"/>
    </row>
    <row r="3819" spans="15:26" x14ac:dyDescent="0.25">
      <c r="O3819" s="43"/>
      <c r="P3819" s="43"/>
      <c r="Q3819" s="43"/>
      <c r="R3819" s="43"/>
      <c r="S3819" s="43"/>
      <c r="T3819" s="43"/>
      <c r="U3819" s="43"/>
      <c r="V3819" s="43"/>
      <c r="W3819" s="43"/>
      <c r="X3819" s="43"/>
      <c r="Y3819" s="43"/>
      <c r="Z3819" s="43"/>
    </row>
    <row r="3820" spans="15:26" x14ac:dyDescent="0.25">
      <c r="O3820" s="43"/>
      <c r="P3820" s="43"/>
      <c r="Q3820" s="43"/>
      <c r="R3820" s="43"/>
      <c r="S3820" s="43"/>
      <c r="T3820" s="43"/>
      <c r="U3820" s="43"/>
      <c r="V3820" s="43"/>
      <c r="W3820" s="43"/>
      <c r="X3820" s="43"/>
      <c r="Y3820" s="43"/>
      <c r="Z3820" s="43"/>
    </row>
    <row r="3821" spans="15:26" x14ac:dyDescent="0.25">
      <c r="O3821" s="43"/>
      <c r="P3821" s="43"/>
      <c r="Q3821" s="43"/>
      <c r="R3821" s="43"/>
      <c r="S3821" s="43"/>
      <c r="T3821" s="43"/>
      <c r="U3821" s="43"/>
      <c r="V3821" s="43"/>
      <c r="W3821" s="43"/>
      <c r="X3821" s="43"/>
      <c r="Y3821" s="43"/>
      <c r="Z3821" s="43"/>
    </row>
    <row r="3822" spans="15:26" x14ac:dyDescent="0.25">
      <c r="O3822" s="43"/>
      <c r="P3822" s="43"/>
      <c r="Q3822" s="43"/>
      <c r="R3822" s="43"/>
      <c r="S3822" s="43"/>
      <c r="T3822" s="43"/>
      <c r="U3822" s="43"/>
      <c r="V3822" s="43"/>
      <c r="W3822" s="43"/>
      <c r="X3822" s="43"/>
      <c r="Y3822" s="43"/>
      <c r="Z3822" s="43"/>
    </row>
    <row r="3823" spans="15:26" x14ac:dyDescent="0.25">
      <c r="O3823" s="43"/>
      <c r="P3823" s="43"/>
      <c r="Q3823" s="43"/>
      <c r="R3823" s="43"/>
      <c r="S3823" s="43"/>
      <c r="T3823" s="43"/>
      <c r="U3823" s="43"/>
      <c r="V3823" s="43"/>
      <c r="W3823" s="43"/>
      <c r="X3823" s="43"/>
      <c r="Y3823" s="43"/>
      <c r="Z3823" s="43"/>
    </row>
    <row r="3824" spans="15:26" x14ac:dyDescent="0.25">
      <c r="O3824" s="43"/>
      <c r="P3824" s="43"/>
      <c r="Q3824" s="43"/>
      <c r="R3824" s="43"/>
      <c r="S3824" s="43"/>
      <c r="T3824" s="43"/>
      <c r="U3824" s="43"/>
      <c r="V3824" s="43"/>
      <c r="W3824" s="43"/>
      <c r="X3824" s="43"/>
      <c r="Y3824" s="43"/>
      <c r="Z3824" s="43"/>
    </row>
    <row r="3825" spans="15:26" x14ac:dyDescent="0.25">
      <c r="O3825" s="43"/>
      <c r="P3825" s="43"/>
      <c r="Q3825" s="43"/>
      <c r="R3825" s="43"/>
      <c r="S3825" s="43"/>
      <c r="T3825" s="43"/>
      <c r="U3825" s="43"/>
      <c r="V3825" s="43"/>
      <c r="W3825" s="43"/>
      <c r="X3825" s="43"/>
      <c r="Y3825" s="43"/>
      <c r="Z3825" s="43"/>
    </row>
    <row r="3826" spans="15:26" x14ac:dyDescent="0.25">
      <c r="O3826" s="43"/>
      <c r="P3826" s="43"/>
      <c r="Q3826" s="43"/>
      <c r="R3826" s="43"/>
      <c r="S3826" s="43"/>
      <c r="T3826" s="43"/>
      <c r="U3826" s="43"/>
      <c r="V3826" s="43"/>
      <c r="W3826" s="43"/>
      <c r="X3826" s="43"/>
      <c r="Y3826" s="43"/>
      <c r="Z3826" s="43"/>
    </row>
    <row r="3827" spans="15:26" x14ac:dyDescent="0.25">
      <c r="O3827" s="43"/>
      <c r="P3827" s="43"/>
      <c r="Q3827" s="43"/>
      <c r="R3827" s="43"/>
      <c r="S3827" s="43"/>
      <c r="T3827" s="43"/>
      <c r="U3827" s="43"/>
      <c r="V3827" s="43"/>
      <c r="W3827" s="43"/>
      <c r="X3827" s="43"/>
      <c r="Y3827" s="43"/>
      <c r="Z3827" s="43"/>
    </row>
    <row r="3828" spans="15:26" x14ac:dyDescent="0.25">
      <c r="O3828" s="43"/>
      <c r="P3828" s="43"/>
      <c r="Q3828" s="43"/>
      <c r="R3828" s="43"/>
      <c r="S3828" s="43"/>
      <c r="T3828" s="43"/>
      <c r="U3828" s="43"/>
      <c r="V3828" s="43"/>
      <c r="W3828" s="43"/>
      <c r="X3828" s="43"/>
      <c r="Y3828" s="43"/>
      <c r="Z3828" s="43"/>
    </row>
    <row r="3829" spans="15:26" x14ac:dyDescent="0.25">
      <c r="O3829" s="43"/>
      <c r="P3829" s="43"/>
      <c r="Q3829" s="43"/>
      <c r="R3829" s="43"/>
      <c r="S3829" s="43"/>
      <c r="T3829" s="43"/>
      <c r="U3829" s="43"/>
      <c r="V3829" s="43"/>
      <c r="W3829" s="43"/>
      <c r="X3829" s="43"/>
      <c r="Y3829" s="43"/>
      <c r="Z3829" s="43"/>
    </row>
    <row r="3830" spans="15:26" x14ac:dyDescent="0.25">
      <c r="O3830" s="43"/>
      <c r="P3830" s="43"/>
      <c r="Q3830" s="43"/>
      <c r="R3830" s="43"/>
      <c r="S3830" s="43"/>
      <c r="T3830" s="43"/>
      <c r="U3830" s="43"/>
      <c r="V3830" s="43"/>
      <c r="W3830" s="43"/>
      <c r="X3830" s="43"/>
      <c r="Y3830" s="43"/>
      <c r="Z3830" s="43"/>
    </row>
    <row r="3831" spans="15:26" x14ac:dyDescent="0.25">
      <c r="O3831" s="43"/>
      <c r="P3831" s="43"/>
      <c r="Q3831" s="43"/>
      <c r="R3831" s="43"/>
      <c r="S3831" s="43"/>
      <c r="T3831" s="43"/>
      <c r="U3831" s="43"/>
      <c r="V3831" s="43"/>
      <c r="W3831" s="43"/>
      <c r="X3831" s="43"/>
      <c r="Y3831" s="43"/>
      <c r="Z3831" s="43"/>
    </row>
    <row r="3832" spans="15:26" x14ac:dyDescent="0.25">
      <c r="O3832" s="43"/>
      <c r="P3832" s="43"/>
      <c r="Q3832" s="43"/>
      <c r="R3832" s="43"/>
      <c r="S3832" s="43"/>
      <c r="T3832" s="43"/>
      <c r="U3832" s="43"/>
      <c r="V3832" s="43"/>
      <c r="W3832" s="43"/>
      <c r="X3832" s="43"/>
      <c r="Y3832" s="43"/>
      <c r="Z3832" s="43"/>
    </row>
    <row r="3833" spans="15:26" x14ac:dyDescent="0.25">
      <c r="O3833" s="43"/>
      <c r="P3833" s="43"/>
      <c r="Q3833" s="43"/>
      <c r="R3833" s="43"/>
      <c r="S3833" s="43"/>
      <c r="T3833" s="43"/>
      <c r="U3833" s="43"/>
      <c r="V3833" s="43"/>
      <c r="W3833" s="43"/>
      <c r="X3833" s="43"/>
      <c r="Y3833" s="43"/>
      <c r="Z3833" s="43"/>
    </row>
    <row r="3834" spans="15:26" x14ac:dyDescent="0.25">
      <c r="O3834" s="43"/>
      <c r="P3834" s="43"/>
      <c r="Q3834" s="43"/>
      <c r="R3834" s="43"/>
      <c r="S3834" s="43"/>
      <c r="T3834" s="43"/>
      <c r="U3834" s="43"/>
      <c r="V3834" s="43"/>
      <c r="W3834" s="43"/>
      <c r="X3834" s="43"/>
      <c r="Y3834" s="43"/>
      <c r="Z3834" s="43"/>
    </row>
    <row r="3835" spans="15:26" x14ac:dyDescent="0.25">
      <c r="O3835" s="43"/>
      <c r="P3835" s="43"/>
      <c r="Q3835" s="43"/>
      <c r="R3835" s="43"/>
      <c r="S3835" s="43"/>
      <c r="T3835" s="43"/>
      <c r="U3835" s="43"/>
      <c r="V3835" s="43"/>
      <c r="W3835" s="43"/>
      <c r="X3835" s="43"/>
      <c r="Y3835" s="43"/>
      <c r="Z3835" s="43"/>
    </row>
    <row r="3836" spans="15:26" x14ac:dyDescent="0.25">
      <c r="O3836" s="43"/>
      <c r="P3836" s="43"/>
      <c r="Q3836" s="43"/>
      <c r="R3836" s="43"/>
      <c r="S3836" s="43"/>
      <c r="T3836" s="43"/>
      <c r="U3836" s="43"/>
      <c r="V3836" s="43"/>
      <c r="W3836" s="43"/>
      <c r="X3836" s="43"/>
      <c r="Y3836" s="43"/>
      <c r="Z3836" s="43"/>
    </row>
    <row r="3837" spans="15:26" x14ac:dyDescent="0.25">
      <c r="O3837" s="43"/>
      <c r="P3837" s="43"/>
      <c r="Q3837" s="43"/>
      <c r="R3837" s="43"/>
      <c r="S3837" s="43"/>
      <c r="T3837" s="43"/>
      <c r="U3837" s="43"/>
      <c r="V3837" s="43"/>
      <c r="W3837" s="43"/>
      <c r="X3837" s="43"/>
      <c r="Y3837" s="43"/>
      <c r="Z3837" s="43"/>
    </row>
    <row r="3838" spans="15:26" x14ac:dyDescent="0.25">
      <c r="O3838" s="43"/>
      <c r="P3838" s="43"/>
      <c r="Q3838" s="43"/>
      <c r="R3838" s="43"/>
      <c r="S3838" s="43"/>
      <c r="T3838" s="43"/>
      <c r="U3838" s="43"/>
      <c r="V3838" s="43"/>
      <c r="W3838" s="43"/>
      <c r="X3838" s="43"/>
      <c r="Y3838" s="43"/>
      <c r="Z3838" s="43"/>
    </row>
    <row r="3839" spans="15:26" x14ac:dyDescent="0.25">
      <c r="O3839" s="43"/>
      <c r="P3839" s="43"/>
      <c r="Q3839" s="43"/>
      <c r="R3839" s="43"/>
      <c r="S3839" s="43"/>
      <c r="T3839" s="43"/>
      <c r="U3839" s="43"/>
      <c r="V3839" s="43"/>
      <c r="W3839" s="43"/>
      <c r="X3839" s="43"/>
      <c r="Y3839" s="43"/>
      <c r="Z3839" s="43"/>
    </row>
    <row r="3840" spans="15:26" x14ac:dyDescent="0.25">
      <c r="O3840" s="43"/>
      <c r="P3840" s="43"/>
      <c r="Q3840" s="43"/>
      <c r="R3840" s="43"/>
      <c r="S3840" s="43"/>
      <c r="T3840" s="43"/>
      <c r="U3840" s="43"/>
      <c r="V3840" s="43"/>
      <c r="W3840" s="43"/>
      <c r="X3840" s="43"/>
      <c r="Y3840" s="43"/>
      <c r="Z3840" s="43"/>
    </row>
    <row r="3841" spans="15:26" x14ac:dyDescent="0.25">
      <c r="O3841" s="43"/>
      <c r="P3841" s="43"/>
      <c r="Q3841" s="43"/>
      <c r="R3841" s="43"/>
      <c r="S3841" s="43"/>
      <c r="T3841" s="43"/>
      <c r="U3841" s="43"/>
      <c r="V3841" s="43"/>
      <c r="W3841" s="43"/>
      <c r="X3841" s="43"/>
      <c r="Y3841" s="43"/>
      <c r="Z3841" s="43"/>
    </row>
    <row r="3842" spans="15:26" x14ac:dyDescent="0.25">
      <c r="O3842" s="43"/>
      <c r="P3842" s="43"/>
      <c r="Q3842" s="43"/>
      <c r="R3842" s="43"/>
      <c r="S3842" s="43"/>
      <c r="T3842" s="43"/>
      <c r="U3842" s="43"/>
      <c r="V3842" s="43"/>
      <c r="W3842" s="43"/>
      <c r="X3842" s="43"/>
      <c r="Y3842" s="43"/>
      <c r="Z3842" s="43"/>
    </row>
    <row r="3843" spans="15:26" x14ac:dyDescent="0.25">
      <c r="O3843" s="43"/>
      <c r="P3843" s="43"/>
      <c r="Q3843" s="43"/>
      <c r="R3843" s="43"/>
      <c r="S3843" s="43"/>
      <c r="T3843" s="43"/>
      <c r="U3843" s="43"/>
      <c r="V3843" s="43"/>
      <c r="W3843" s="43"/>
      <c r="X3843" s="43"/>
      <c r="Y3843" s="43"/>
      <c r="Z3843" s="43"/>
    </row>
    <row r="3844" spans="15:26" x14ac:dyDescent="0.25">
      <c r="O3844" s="43"/>
      <c r="P3844" s="43"/>
      <c r="Q3844" s="43"/>
      <c r="R3844" s="43"/>
      <c r="S3844" s="43"/>
      <c r="T3844" s="43"/>
      <c r="U3844" s="43"/>
      <c r="V3844" s="43"/>
      <c r="W3844" s="43"/>
      <c r="X3844" s="43"/>
      <c r="Y3844" s="43"/>
      <c r="Z3844" s="43"/>
    </row>
    <row r="3845" spans="15:26" x14ac:dyDescent="0.25">
      <c r="O3845" s="43"/>
      <c r="P3845" s="43"/>
      <c r="Q3845" s="43"/>
      <c r="R3845" s="43"/>
      <c r="S3845" s="43"/>
      <c r="T3845" s="43"/>
      <c r="U3845" s="43"/>
      <c r="V3845" s="43"/>
      <c r="W3845" s="43"/>
      <c r="X3845" s="43"/>
      <c r="Y3845" s="43"/>
      <c r="Z3845" s="43"/>
    </row>
    <row r="3846" spans="15:26" x14ac:dyDescent="0.25">
      <c r="O3846" s="43"/>
      <c r="P3846" s="43"/>
      <c r="Q3846" s="43"/>
      <c r="R3846" s="43"/>
      <c r="S3846" s="43"/>
      <c r="T3846" s="43"/>
      <c r="U3846" s="43"/>
      <c r="V3846" s="43"/>
      <c r="W3846" s="43"/>
      <c r="X3846" s="43"/>
      <c r="Y3846" s="43"/>
      <c r="Z3846" s="43"/>
    </row>
    <row r="3847" spans="15:26" x14ac:dyDescent="0.25">
      <c r="O3847" s="43"/>
      <c r="P3847" s="43"/>
      <c r="Q3847" s="43"/>
      <c r="R3847" s="43"/>
      <c r="S3847" s="43"/>
      <c r="T3847" s="43"/>
      <c r="U3847" s="43"/>
      <c r="V3847" s="43"/>
      <c r="W3847" s="43"/>
      <c r="X3847" s="43"/>
      <c r="Y3847" s="43"/>
      <c r="Z3847" s="43"/>
    </row>
    <row r="3848" spans="15:26" x14ac:dyDescent="0.25">
      <c r="O3848" s="43"/>
      <c r="P3848" s="43"/>
      <c r="Q3848" s="43"/>
      <c r="R3848" s="43"/>
      <c r="S3848" s="43"/>
      <c r="T3848" s="43"/>
      <c r="U3848" s="43"/>
      <c r="V3848" s="43"/>
      <c r="W3848" s="43"/>
      <c r="X3848" s="43"/>
      <c r="Y3848" s="43"/>
      <c r="Z3848" s="43"/>
    </row>
    <row r="3849" spans="15:26" x14ac:dyDescent="0.25">
      <c r="O3849" s="43"/>
      <c r="P3849" s="43"/>
      <c r="Q3849" s="43"/>
      <c r="R3849" s="43"/>
      <c r="S3849" s="43"/>
      <c r="T3849" s="43"/>
      <c r="U3849" s="43"/>
      <c r="V3849" s="43"/>
      <c r="W3849" s="43"/>
      <c r="X3849" s="43"/>
      <c r="Y3849" s="43"/>
      <c r="Z3849" s="43"/>
    </row>
    <row r="3850" spans="15:26" x14ac:dyDescent="0.25">
      <c r="O3850" s="43"/>
      <c r="P3850" s="43"/>
      <c r="Q3850" s="43"/>
      <c r="R3850" s="43"/>
      <c r="S3850" s="43"/>
      <c r="T3850" s="43"/>
      <c r="U3850" s="43"/>
      <c r="V3850" s="43"/>
      <c r="W3850" s="43"/>
      <c r="X3850" s="43"/>
      <c r="Y3850" s="43"/>
      <c r="Z3850" s="43"/>
    </row>
    <row r="3851" spans="15:26" x14ac:dyDescent="0.25">
      <c r="O3851" s="43"/>
      <c r="P3851" s="43"/>
      <c r="Q3851" s="43"/>
      <c r="R3851" s="43"/>
      <c r="S3851" s="43"/>
      <c r="T3851" s="43"/>
      <c r="U3851" s="43"/>
      <c r="V3851" s="43"/>
      <c r="W3851" s="43"/>
      <c r="X3851" s="43"/>
      <c r="Y3851" s="43"/>
      <c r="Z3851" s="43"/>
    </row>
    <row r="3852" spans="15:26" x14ac:dyDescent="0.25">
      <c r="O3852" s="43"/>
      <c r="P3852" s="43"/>
      <c r="Q3852" s="43"/>
      <c r="R3852" s="43"/>
      <c r="S3852" s="43"/>
      <c r="T3852" s="43"/>
      <c r="U3852" s="43"/>
      <c r="V3852" s="43"/>
      <c r="W3852" s="43"/>
      <c r="X3852" s="43"/>
      <c r="Y3852" s="43"/>
      <c r="Z3852" s="43"/>
    </row>
    <row r="3853" spans="15:26" x14ac:dyDescent="0.25">
      <c r="O3853" s="43"/>
      <c r="P3853" s="43"/>
      <c r="Q3853" s="43"/>
      <c r="R3853" s="43"/>
      <c r="S3853" s="43"/>
      <c r="T3853" s="43"/>
      <c r="U3853" s="43"/>
      <c r="V3853" s="43"/>
      <c r="W3853" s="43"/>
      <c r="X3853" s="43"/>
      <c r="Y3853" s="43"/>
      <c r="Z3853" s="43"/>
    </row>
    <row r="3854" spans="15:26" x14ac:dyDescent="0.25">
      <c r="O3854" s="43"/>
      <c r="P3854" s="43"/>
      <c r="Q3854" s="43"/>
      <c r="R3854" s="43"/>
      <c r="S3854" s="43"/>
      <c r="T3854" s="43"/>
      <c r="U3854" s="43"/>
      <c r="V3854" s="43"/>
      <c r="W3854" s="43"/>
      <c r="X3854" s="43"/>
      <c r="Y3854" s="43"/>
      <c r="Z3854" s="43"/>
    </row>
    <row r="3855" spans="15:26" x14ac:dyDescent="0.25">
      <c r="O3855" s="43"/>
      <c r="P3855" s="43"/>
      <c r="Q3855" s="43"/>
      <c r="R3855" s="43"/>
      <c r="S3855" s="43"/>
      <c r="T3855" s="43"/>
      <c r="U3855" s="43"/>
      <c r="V3855" s="43"/>
      <c r="W3855" s="43"/>
      <c r="X3855" s="43"/>
      <c r="Y3855" s="43"/>
      <c r="Z3855" s="43"/>
    </row>
    <row r="3856" spans="15:26" x14ac:dyDescent="0.25">
      <c r="O3856" s="43"/>
      <c r="P3856" s="43"/>
      <c r="Q3856" s="43"/>
      <c r="R3856" s="43"/>
      <c r="S3856" s="43"/>
      <c r="T3856" s="43"/>
      <c r="U3856" s="43"/>
      <c r="V3856" s="43"/>
      <c r="W3856" s="43"/>
      <c r="X3856" s="43"/>
      <c r="Y3856" s="43"/>
      <c r="Z3856" s="43"/>
    </row>
    <row r="3857" spans="15:26" x14ac:dyDescent="0.25">
      <c r="O3857" s="43"/>
      <c r="P3857" s="43"/>
      <c r="Q3857" s="43"/>
      <c r="R3857" s="43"/>
      <c r="S3857" s="43"/>
      <c r="T3857" s="43"/>
      <c r="U3857" s="43"/>
      <c r="V3857" s="43"/>
      <c r="W3857" s="43"/>
      <c r="X3857" s="43"/>
      <c r="Y3857" s="43"/>
      <c r="Z3857" s="43"/>
    </row>
    <row r="3858" spans="15:26" x14ac:dyDescent="0.25">
      <c r="O3858" s="43"/>
      <c r="P3858" s="43"/>
      <c r="Q3858" s="43"/>
      <c r="R3858" s="43"/>
      <c r="S3858" s="43"/>
      <c r="T3858" s="43"/>
      <c r="U3858" s="43"/>
      <c r="V3858" s="43"/>
      <c r="W3858" s="43"/>
      <c r="X3858" s="43"/>
      <c r="Y3858" s="43"/>
      <c r="Z3858" s="43"/>
    </row>
    <row r="3859" spans="15:26" x14ac:dyDescent="0.25">
      <c r="O3859" s="43"/>
      <c r="P3859" s="43"/>
      <c r="Q3859" s="43"/>
      <c r="R3859" s="43"/>
      <c r="S3859" s="43"/>
      <c r="T3859" s="43"/>
      <c r="U3859" s="43"/>
      <c r="V3859" s="43"/>
      <c r="W3859" s="43"/>
      <c r="X3859" s="43"/>
      <c r="Y3859" s="43"/>
      <c r="Z3859" s="43"/>
    </row>
    <row r="3860" spans="15:26" x14ac:dyDescent="0.25">
      <c r="O3860" s="43"/>
      <c r="P3860" s="43"/>
      <c r="Q3860" s="43"/>
      <c r="R3860" s="43"/>
      <c r="S3860" s="43"/>
      <c r="T3860" s="43"/>
      <c r="U3860" s="43"/>
      <c r="V3860" s="43"/>
      <c r="W3860" s="43"/>
      <c r="X3860" s="43"/>
      <c r="Y3860" s="43"/>
      <c r="Z3860" s="43"/>
    </row>
    <row r="3861" spans="15:26" x14ac:dyDescent="0.25">
      <c r="O3861" s="43"/>
      <c r="P3861" s="43"/>
      <c r="Q3861" s="43"/>
      <c r="R3861" s="43"/>
      <c r="S3861" s="43"/>
      <c r="T3861" s="43"/>
      <c r="U3861" s="43"/>
      <c r="V3861" s="43"/>
      <c r="W3861" s="43"/>
      <c r="X3861" s="43"/>
      <c r="Y3861" s="43"/>
      <c r="Z3861" s="43"/>
    </row>
    <row r="3862" spans="15:26" x14ac:dyDescent="0.25">
      <c r="O3862" s="43"/>
      <c r="P3862" s="43"/>
      <c r="Q3862" s="43"/>
      <c r="R3862" s="43"/>
      <c r="S3862" s="43"/>
      <c r="T3862" s="43"/>
      <c r="U3862" s="43"/>
      <c r="V3862" s="43"/>
      <c r="W3862" s="43"/>
      <c r="X3862" s="43"/>
      <c r="Y3862" s="43"/>
      <c r="Z3862" s="43"/>
    </row>
    <row r="3863" spans="15:26" x14ac:dyDescent="0.25">
      <c r="O3863" s="43"/>
      <c r="P3863" s="43"/>
      <c r="Q3863" s="43"/>
      <c r="R3863" s="43"/>
      <c r="S3863" s="43"/>
      <c r="T3863" s="43"/>
      <c r="U3863" s="43"/>
      <c r="V3863" s="43"/>
      <c r="W3863" s="43"/>
      <c r="X3863" s="43"/>
      <c r="Y3863" s="43"/>
      <c r="Z3863" s="43"/>
    </row>
    <row r="3864" spans="15:26" x14ac:dyDescent="0.25">
      <c r="O3864" s="43"/>
      <c r="P3864" s="43"/>
      <c r="Q3864" s="43"/>
      <c r="R3864" s="43"/>
      <c r="S3864" s="43"/>
      <c r="T3864" s="43"/>
      <c r="U3864" s="43"/>
      <c r="V3864" s="43"/>
      <c r="W3864" s="43"/>
      <c r="X3864" s="43"/>
      <c r="Y3864" s="43"/>
      <c r="Z3864" s="43"/>
    </row>
    <row r="3865" spans="15:26" x14ac:dyDescent="0.25">
      <c r="O3865" s="43"/>
      <c r="P3865" s="43"/>
      <c r="Q3865" s="43"/>
      <c r="R3865" s="43"/>
      <c r="S3865" s="43"/>
      <c r="T3865" s="43"/>
      <c r="U3865" s="43"/>
      <c r="V3865" s="43"/>
      <c r="W3865" s="43"/>
      <c r="X3865" s="43"/>
      <c r="Y3865" s="43"/>
      <c r="Z3865" s="43"/>
    </row>
    <row r="3866" spans="15:26" x14ac:dyDescent="0.25">
      <c r="O3866" s="43"/>
      <c r="P3866" s="43"/>
      <c r="Q3866" s="43"/>
      <c r="R3866" s="43"/>
      <c r="S3866" s="43"/>
      <c r="T3866" s="43"/>
      <c r="U3866" s="43"/>
      <c r="V3866" s="43"/>
      <c r="W3866" s="43"/>
      <c r="X3866" s="43"/>
      <c r="Y3866" s="43"/>
      <c r="Z3866" s="43"/>
    </row>
    <row r="3867" spans="15:26" x14ac:dyDescent="0.25">
      <c r="O3867" s="43"/>
      <c r="P3867" s="43"/>
      <c r="Q3867" s="43"/>
      <c r="R3867" s="43"/>
      <c r="S3867" s="43"/>
      <c r="T3867" s="43"/>
      <c r="U3867" s="43"/>
      <c r="V3867" s="43"/>
      <c r="W3867" s="43"/>
      <c r="X3867" s="43"/>
      <c r="Y3867" s="43"/>
      <c r="Z3867" s="43"/>
    </row>
    <row r="3868" spans="15:26" x14ac:dyDescent="0.25">
      <c r="O3868" s="43"/>
      <c r="P3868" s="43"/>
      <c r="Q3868" s="43"/>
      <c r="R3868" s="43"/>
      <c r="S3868" s="43"/>
      <c r="T3868" s="43"/>
      <c r="U3868" s="43"/>
      <c r="V3868" s="43"/>
      <c r="W3868" s="43"/>
      <c r="X3868" s="43"/>
      <c r="Y3868" s="43"/>
      <c r="Z3868" s="43"/>
    </row>
    <row r="3869" spans="15:26" x14ac:dyDescent="0.25">
      <c r="O3869" s="43"/>
      <c r="P3869" s="43"/>
      <c r="Q3869" s="43"/>
      <c r="R3869" s="43"/>
      <c r="S3869" s="43"/>
      <c r="T3869" s="43"/>
      <c r="U3869" s="43"/>
      <c r="V3869" s="43"/>
      <c r="W3869" s="43"/>
      <c r="X3869" s="43"/>
      <c r="Y3869" s="43"/>
      <c r="Z3869" s="43"/>
    </row>
    <row r="3870" spans="15:26" x14ac:dyDescent="0.25">
      <c r="O3870" s="43"/>
      <c r="P3870" s="43"/>
      <c r="Q3870" s="43"/>
      <c r="R3870" s="43"/>
      <c r="S3870" s="43"/>
      <c r="T3870" s="43"/>
      <c r="U3870" s="43"/>
      <c r="V3870" s="43"/>
      <c r="W3870" s="43"/>
      <c r="X3870" s="43"/>
      <c r="Y3870" s="43"/>
      <c r="Z3870" s="43"/>
    </row>
    <row r="3871" spans="15:26" x14ac:dyDescent="0.25">
      <c r="O3871" s="43"/>
      <c r="P3871" s="43"/>
      <c r="Q3871" s="43"/>
      <c r="R3871" s="43"/>
      <c r="S3871" s="43"/>
      <c r="T3871" s="43"/>
      <c r="U3871" s="43"/>
      <c r="V3871" s="43"/>
      <c r="W3871" s="43"/>
      <c r="X3871" s="43"/>
      <c r="Y3871" s="43"/>
      <c r="Z3871" s="43"/>
    </row>
    <row r="3872" spans="15:26" x14ac:dyDescent="0.25">
      <c r="O3872" s="43"/>
      <c r="P3872" s="43"/>
      <c r="Q3872" s="43"/>
      <c r="R3872" s="43"/>
      <c r="S3872" s="43"/>
      <c r="T3872" s="43"/>
      <c r="U3872" s="43"/>
      <c r="V3872" s="43"/>
      <c r="W3872" s="43"/>
      <c r="X3872" s="43"/>
      <c r="Y3872" s="43"/>
      <c r="Z3872" s="43"/>
    </row>
    <row r="3873" spans="15:26" x14ac:dyDescent="0.25">
      <c r="O3873" s="43"/>
      <c r="P3873" s="43"/>
      <c r="Q3873" s="43"/>
      <c r="R3873" s="43"/>
      <c r="S3873" s="43"/>
      <c r="T3873" s="43"/>
      <c r="U3873" s="43"/>
      <c r="V3873" s="43"/>
      <c r="W3873" s="43"/>
      <c r="X3873" s="43"/>
      <c r="Y3873" s="43"/>
      <c r="Z3873" s="43"/>
    </row>
    <row r="3874" spans="15:26" x14ac:dyDescent="0.25">
      <c r="O3874" s="43"/>
      <c r="P3874" s="43"/>
      <c r="Q3874" s="43"/>
      <c r="R3874" s="43"/>
      <c r="S3874" s="43"/>
      <c r="T3874" s="43"/>
      <c r="U3874" s="43"/>
      <c r="V3874" s="43"/>
      <c r="W3874" s="43"/>
      <c r="X3874" s="43"/>
      <c r="Y3874" s="43"/>
      <c r="Z3874" s="43"/>
    </row>
    <row r="3875" spans="15:26" x14ac:dyDescent="0.25">
      <c r="O3875" s="43"/>
      <c r="P3875" s="43"/>
      <c r="Q3875" s="43"/>
      <c r="R3875" s="43"/>
      <c r="S3875" s="43"/>
      <c r="T3875" s="43"/>
      <c r="U3875" s="43"/>
      <c r="V3875" s="43"/>
      <c r="W3875" s="43"/>
      <c r="X3875" s="43"/>
      <c r="Y3875" s="43"/>
      <c r="Z3875" s="43"/>
    </row>
    <row r="3876" spans="15:26" x14ac:dyDescent="0.25">
      <c r="O3876" s="43"/>
      <c r="P3876" s="43"/>
      <c r="Q3876" s="43"/>
      <c r="R3876" s="43"/>
      <c r="S3876" s="43"/>
      <c r="T3876" s="43"/>
      <c r="U3876" s="43"/>
      <c r="V3876" s="43"/>
      <c r="W3876" s="43"/>
      <c r="X3876" s="43"/>
      <c r="Y3876" s="43"/>
      <c r="Z3876" s="43"/>
    </row>
    <row r="3877" spans="15:26" x14ac:dyDescent="0.25">
      <c r="O3877" s="43"/>
      <c r="P3877" s="43"/>
      <c r="Q3877" s="43"/>
      <c r="R3877" s="43"/>
      <c r="S3877" s="43"/>
      <c r="T3877" s="43"/>
      <c r="U3877" s="43"/>
      <c r="V3877" s="43"/>
      <c r="W3877" s="43"/>
      <c r="X3877" s="43"/>
      <c r="Y3877" s="43"/>
      <c r="Z3877" s="43"/>
    </row>
    <row r="3878" spans="15:26" x14ac:dyDescent="0.25">
      <c r="O3878" s="43"/>
      <c r="P3878" s="43"/>
      <c r="Q3878" s="43"/>
      <c r="R3878" s="43"/>
      <c r="S3878" s="43"/>
      <c r="T3878" s="43"/>
      <c r="U3878" s="43"/>
      <c r="V3878" s="43"/>
      <c r="W3878" s="43"/>
      <c r="X3878" s="43"/>
      <c r="Y3878" s="43"/>
      <c r="Z3878" s="43"/>
    </row>
    <row r="3879" spans="15:26" x14ac:dyDescent="0.25">
      <c r="O3879" s="43"/>
      <c r="P3879" s="43"/>
      <c r="Q3879" s="43"/>
      <c r="R3879" s="43"/>
      <c r="S3879" s="43"/>
      <c r="T3879" s="43"/>
      <c r="U3879" s="43"/>
      <c r="V3879" s="43"/>
      <c r="W3879" s="43"/>
      <c r="X3879" s="43"/>
      <c r="Y3879" s="43"/>
      <c r="Z3879" s="43"/>
    </row>
    <row r="3880" spans="15:26" x14ac:dyDescent="0.25">
      <c r="O3880" s="43"/>
      <c r="P3880" s="43"/>
      <c r="Q3880" s="43"/>
      <c r="R3880" s="43"/>
      <c r="S3880" s="43"/>
      <c r="T3880" s="43"/>
      <c r="U3880" s="43"/>
      <c r="V3880" s="43"/>
      <c r="W3880" s="43"/>
      <c r="X3880" s="43"/>
      <c r="Y3880" s="43"/>
      <c r="Z3880" s="43"/>
    </row>
    <row r="3881" spans="15:26" x14ac:dyDescent="0.25">
      <c r="O3881" s="43"/>
      <c r="P3881" s="43"/>
      <c r="Q3881" s="43"/>
      <c r="R3881" s="43"/>
      <c r="S3881" s="43"/>
      <c r="T3881" s="43"/>
      <c r="U3881" s="43"/>
      <c r="V3881" s="43"/>
      <c r="W3881" s="43"/>
      <c r="X3881" s="43"/>
      <c r="Y3881" s="43"/>
      <c r="Z3881" s="43"/>
    </row>
    <row r="3882" spans="15:26" x14ac:dyDescent="0.25">
      <c r="O3882" s="43"/>
      <c r="P3882" s="43"/>
      <c r="Q3882" s="43"/>
      <c r="R3882" s="43"/>
      <c r="S3882" s="43"/>
      <c r="T3882" s="43"/>
      <c r="U3882" s="43"/>
      <c r="V3882" s="43"/>
      <c r="W3882" s="43"/>
      <c r="X3882" s="43"/>
      <c r="Y3882" s="43"/>
      <c r="Z3882" s="43"/>
    </row>
    <row r="3883" spans="15:26" x14ac:dyDescent="0.25">
      <c r="O3883" s="43"/>
      <c r="P3883" s="43"/>
      <c r="Q3883" s="43"/>
      <c r="R3883" s="43"/>
      <c r="S3883" s="43"/>
      <c r="T3883" s="43"/>
      <c r="U3883" s="43"/>
      <c r="V3883" s="43"/>
      <c r="W3883" s="43"/>
      <c r="X3883" s="43"/>
      <c r="Y3883" s="43"/>
      <c r="Z3883" s="43"/>
    </row>
    <row r="3884" spans="15:26" x14ac:dyDescent="0.25">
      <c r="O3884" s="43"/>
      <c r="P3884" s="43"/>
      <c r="Q3884" s="43"/>
      <c r="R3884" s="43"/>
      <c r="S3884" s="43"/>
      <c r="T3884" s="43"/>
      <c r="U3884" s="43"/>
      <c r="V3884" s="43"/>
      <c r="W3884" s="43"/>
      <c r="X3884" s="43"/>
      <c r="Y3884" s="43"/>
      <c r="Z3884" s="43"/>
    </row>
    <row r="3885" spans="15:26" x14ac:dyDescent="0.25">
      <c r="O3885" s="43"/>
      <c r="P3885" s="43"/>
      <c r="Q3885" s="43"/>
      <c r="R3885" s="43"/>
      <c r="S3885" s="43"/>
      <c r="T3885" s="43"/>
      <c r="U3885" s="43"/>
      <c r="V3885" s="43"/>
      <c r="W3885" s="43"/>
      <c r="X3885" s="43"/>
      <c r="Y3885" s="43"/>
      <c r="Z3885" s="43"/>
    </row>
    <row r="3886" spans="15:26" x14ac:dyDescent="0.25">
      <c r="O3886" s="43"/>
      <c r="P3886" s="43"/>
      <c r="Q3886" s="43"/>
      <c r="R3886" s="43"/>
      <c r="S3886" s="43"/>
      <c r="T3886" s="43"/>
      <c r="U3886" s="43"/>
      <c r="V3886" s="43"/>
      <c r="W3886" s="43"/>
      <c r="X3886" s="43"/>
      <c r="Y3886" s="43"/>
      <c r="Z3886" s="43"/>
    </row>
    <row r="3887" spans="15:26" x14ac:dyDescent="0.25">
      <c r="O3887" s="43"/>
      <c r="P3887" s="43"/>
      <c r="Q3887" s="43"/>
      <c r="R3887" s="43"/>
      <c r="S3887" s="43"/>
      <c r="T3887" s="43"/>
      <c r="U3887" s="43"/>
      <c r="V3887" s="43"/>
      <c r="W3887" s="43"/>
      <c r="X3887" s="43"/>
      <c r="Y3887" s="43"/>
      <c r="Z3887" s="43"/>
    </row>
    <row r="3888" spans="15:26" x14ac:dyDescent="0.25">
      <c r="O3888" s="43"/>
      <c r="P3888" s="43"/>
      <c r="Q3888" s="43"/>
      <c r="R3888" s="43"/>
      <c r="S3888" s="43"/>
      <c r="T3888" s="43"/>
      <c r="U3888" s="43"/>
      <c r="V3888" s="43"/>
      <c r="W3888" s="43"/>
      <c r="X3888" s="43"/>
      <c r="Y3888" s="43"/>
      <c r="Z3888" s="43"/>
    </row>
    <row r="3889" spans="15:26" x14ac:dyDescent="0.25">
      <c r="O3889" s="43"/>
      <c r="P3889" s="43"/>
      <c r="Q3889" s="43"/>
      <c r="R3889" s="43"/>
      <c r="S3889" s="43"/>
      <c r="T3889" s="43"/>
      <c r="U3889" s="43"/>
      <c r="V3889" s="43"/>
      <c r="W3889" s="43"/>
      <c r="X3889" s="43"/>
      <c r="Y3889" s="43"/>
      <c r="Z3889" s="43"/>
    </row>
    <row r="3890" spans="15:26" x14ac:dyDescent="0.25">
      <c r="O3890" s="43"/>
      <c r="P3890" s="43"/>
      <c r="Q3890" s="43"/>
      <c r="R3890" s="43"/>
      <c r="S3890" s="43"/>
      <c r="T3890" s="43"/>
      <c r="U3890" s="43"/>
      <c r="V3890" s="43"/>
      <c r="W3890" s="43"/>
      <c r="X3890" s="43"/>
      <c r="Y3890" s="43"/>
      <c r="Z3890" s="43"/>
    </row>
    <row r="3891" spans="15:26" x14ac:dyDescent="0.25">
      <c r="O3891" s="43"/>
      <c r="P3891" s="43"/>
      <c r="Q3891" s="43"/>
      <c r="R3891" s="43"/>
      <c r="S3891" s="43"/>
      <c r="T3891" s="43"/>
      <c r="U3891" s="43"/>
      <c r="V3891" s="43"/>
      <c r="W3891" s="43"/>
      <c r="X3891" s="43"/>
      <c r="Y3891" s="43"/>
      <c r="Z3891" s="43"/>
    </row>
    <row r="3892" spans="15:26" x14ac:dyDescent="0.25">
      <c r="O3892" s="43"/>
      <c r="P3892" s="43"/>
      <c r="Q3892" s="43"/>
      <c r="R3892" s="43"/>
      <c r="S3892" s="43"/>
      <c r="T3892" s="43"/>
      <c r="U3892" s="43"/>
      <c r="V3892" s="43"/>
      <c r="W3892" s="43"/>
      <c r="X3892" s="43"/>
      <c r="Y3892" s="43"/>
      <c r="Z3892" s="43"/>
    </row>
    <row r="3893" spans="15:26" x14ac:dyDescent="0.25">
      <c r="O3893" s="43"/>
      <c r="P3893" s="43"/>
      <c r="Q3893" s="43"/>
      <c r="R3893" s="43"/>
      <c r="S3893" s="43"/>
      <c r="T3893" s="43"/>
      <c r="U3893" s="43"/>
      <c r="V3893" s="43"/>
      <c r="W3893" s="43"/>
      <c r="X3893" s="43"/>
      <c r="Y3893" s="43"/>
      <c r="Z3893" s="43"/>
    </row>
    <row r="3894" spans="15:26" x14ac:dyDescent="0.25">
      <c r="O3894" s="43"/>
      <c r="P3894" s="43"/>
      <c r="Q3894" s="43"/>
      <c r="R3894" s="43"/>
      <c r="S3894" s="43"/>
      <c r="T3894" s="43"/>
      <c r="U3894" s="43"/>
      <c r="V3894" s="43"/>
      <c r="W3894" s="43"/>
      <c r="X3894" s="43"/>
      <c r="Y3894" s="43"/>
      <c r="Z3894" s="43"/>
    </row>
    <row r="3895" spans="15:26" x14ac:dyDescent="0.25">
      <c r="O3895" s="43"/>
      <c r="P3895" s="43"/>
      <c r="Q3895" s="43"/>
      <c r="R3895" s="43"/>
      <c r="S3895" s="43"/>
      <c r="T3895" s="43"/>
      <c r="U3895" s="43"/>
      <c r="V3895" s="43"/>
      <c r="W3895" s="43"/>
      <c r="X3895" s="43"/>
      <c r="Y3895" s="43"/>
      <c r="Z3895" s="43"/>
    </row>
    <row r="3896" spans="15:26" x14ac:dyDescent="0.25">
      <c r="O3896" s="43"/>
      <c r="P3896" s="43"/>
      <c r="Q3896" s="43"/>
      <c r="R3896" s="43"/>
      <c r="S3896" s="43"/>
      <c r="T3896" s="43"/>
      <c r="U3896" s="43"/>
      <c r="V3896" s="43"/>
      <c r="W3896" s="43"/>
      <c r="X3896" s="43"/>
      <c r="Y3896" s="43"/>
      <c r="Z3896" s="43"/>
    </row>
    <row r="3897" spans="15:26" x14ac:dyDescent="0.25">
      <c r="O3897" s="43"/>
      <c r="P3897" s="43"/>
      <c r="Q3897" s="43"/>
      <c r="R3897" s="43"/>
      <c r="S3897" s="43"/>
      <c r="T3897" s="43"/>
      <c r="U3897" s="43"/>
      <c r="V3897" s="43"/>
      <c r="W3897" s="43"/>
      <c r="X3897" s="43"/>
      <c r="Y3897" s="43"/>
      <c r="Z3897" s="43"/>
    </row>
    <row r="3898" spans="15:26" x14ac:dyDescent="0.25">
      <c r="O3898" s="43"/>
      <c r="P3898" s="43"/>
      <c r="Q3898" s="43"/>
      <c r="R3898" s="43"/>
      <c r="S3898" s="43"/>
      <c r="T3898" s="43"/>
      <c r="U3898" s="43"/>
      <c r="V3898" s="43"/>
      <c r="W3898" s="43"/>
      <c r="X3898" s="43"/>
      <c r="Y3898" s="43"/>
      <c r="Z3898" s="43"/>
    </row>
    <row r="3899" spans="15:26" x14ac:dyDescent="0.25">
      <c r="O3899" s="43"/>
      <c r="P3899" s="43"/>
      <c r="Q3899" s="43"/>
      <c r="R3899" s="43"/>
      <c r="S3899" s="43"/>
      <c r="T3899" s="43"/>
      <c r="U3899" s="43"/>
      <c r="V3899" s="43"/>
      <c r="W3899" s="43"/>
      <c r="X3899" s="43"/>
      <c r="Y3899" s="43"/>
      <c r="Z3899" s="43"/>
    </row>
    <row r="3900" spans="15:26" x14ac:dyDescent="0.25">
      <c r="O3900" s="43"/>
      <c r="P3900" s="43"/>
      <c r="Q3900" s="43"/>
      <c r="R3900" s="43"/>
      <c r="S3900" s="43"/>
      <c r="T3900" s="43"/>
      <c r="U3900" s="43"/>
      <c r="V3900" s="43"/>
      <c r="W3900" s="43"/>
      <c r="X3900" s="43"/>
      <c r="Y3900" s="43"/>
      <c r="Z3900" s="43"/>
    </row>
    <row r="3901" spans="15:26" x14ac:dyDescent="0.25">
      <c r="O3901" s="43"/>
      <c r="P3901" s="43"/>
      <c r="Q3901" s="43"/>
      <c r="R3901" s="43"/>
      <c r="S3901" s="43"/>
      <c r="T3901" s="43"/>
      <c r="U3901" s="43"/>
      <c r="V3901" s="43"/>
      <c r="W3901" s="43"/>
      <c r="X3901" s="43"/>
      <c r="Y3901" s="43"/>
      <c r="Z3901" s="43"/>
    </row>
    <row r="3902" spans="15:26" x14ac:dyDescent="0.25">
      <c r="O3902" s="43"/>
      <c r="P3902" s="43"/>
      <c r="Q3902" s="43"/>
      <c r="R3902" s="43"/>
      <c r="S3902" s="43"/>
      <c r="T3902" s="43"/>
      <c r="U3902" s="43"/>
      <c r="V3902" s="43"/>
      <c r="W3902" s="43"/>
      <c r="X3902" s="43"/>
      <c r="Y3902" s="43"/>
      <c r="Z3902" s="43"/>
    </row>
    <row r="3903" spans="15:26" x14ac:dyDescent="0.25">
      <c r="O3903" s="43"/>
      <c r="P3903" s="43"/>
      <c r="Q3903" s="43"/>
      <c r="R3903" s="43"/>
      <c r="S3903" s="43"/>
      <c r="T3903" s="43"/>
      <c r="U3903" s="43"/>
      <c r="V3903" s="43"/>
      <c r="W3903" s="43"/>
      <c r="X3903" s="43"/>
      <c r="Y3903" s="43"/>
      <c r="Z3903" s="43"/>
    </row>
    <row r="3904" spans="15:26" x14ac:dyDescent="0.25">
      <c r="O3904" s="43"/>
      <c r="P3904" s="43"/>
      <c r="Q3904" s="43"/>
      <c r="R3904" s="43"/>
      <c r="S3904" s="43"/>
      <c r="T3904" s="43"/>
      <c r="U3904" s="43"/>
      <c r="V3904" s="43"/>
      <c r="W3904" s="43"/>
      <c r="X3904" s="43"/>
      <c r="Y3904" s="43"/>
      <c r="Z3904" s="43"/>
    </row>
    <row r="3905" spans="15:26" x14ac:dyDescent="0.25">
      <c r="O3905" s="43"/>
      <c r="P3905" s="43"/>
      <c r="Q3905" s="43"/>
      <c r="R3905" s="43"/>
      <c r="S3905" s="43"/>
      <c r="T3905" s="43"/>
      <c r="U3905" s="43"/>
      <c r="V3905" s="43"/>
      <c r="W3905" s="43"/>
      <c r="X3905" s="43"/>
      <c r="Y3905" s="43"/>
      <c r="Z3905" s="43"/>
    </row>
    <row r="3906" spans="15:26" x14ac:dyDescent="0.25">
      <c r="O3906" s="43"/>
      <c r="P3906" s="43"/>
      <c r="Q3906" s="43"/>
      <c r="R3906" s="43"/>
      <c r="S3906" s="43"/>
      <c r="T3906" s="43"/>
      <c r="U3906" s="43"/>
      <c r="V3906" s="43"/>
      <c r="W3906" s="43"/>
      <c r="X3906" s="43"/>
      <c r="Y3906" s="43"/>
      <c r="Z3906" s="43"/>
    </row>
    <row r="3907" spans="15:26" x14ac:dyDescent="0.25">
      <c r="O3907" s="43"/>
      <c r="P3907" s="43"/>
      <c r="Q3907" s="43"/>
      <c r="R3907" s="43"/>
      <c r="S3907" s="43"/>
      <c r="T3907" s="43"/>
      <c r="U3907" s="43"/>
      <c r="V3907" s="43"/>
      <c r="W3907" s="43"/>
      <c r="X3907" s="43"/>
      <c r="Y3907" s="43"/>
      <c r="Z3907" s="43"/>
    </row>
    <row r="3908" spans="15:26" x14ac:dyDescent="0.25">
      <c r="O3908" s="43"/>
      <c r="P3908" s="43"/>
      <c r="Q3908" s="43"/>
      <c r="R3908" s="43"/>
      <c r="S3908" s="43"/>
      <c r="T3908" s="43"/>
      <c r="U3908" s="43"/>
      <c r="V3908" s="43"/>
      <c r="W3908" s="43"/>
      <c r="X3908" s="43"/>
      <c r="Y3908" s="43"/>
      <c r="Z3908" s="43"/>
    </row>
    <row r="3909" spans="15:26" x14ac:dyDescent="0.25">
      <c r="O3909" s="43"/>
      <c r="P3909" s="43"/>
      <c r="Q3909" s="43"/>
      <c r="R3909" s="43"/>
      <c r="S3909" s="43"/>
      <c r="T3909" s="43"/>
      <c r="U3909" s="43"/>
      <c r="V3909" s="43"/>
      <c r="W3909" s="43"/>
      <c r="X3909" s="43"/>
      <c r="Y3909" s="43"/>
      <c r="Z3909" s="43"/>
    </row>
    <row r="3910" spans="15:26" x14ac:dyDescent="0.25">
      <c r="O3910" s="43"/>
      <c r="P3910" s="43"/>
      <c r="Q3910" s="43"/>
      <c r="R3910" s="43"/>
      <c r="S3910" s="43"/>
      <c r="T3910" s="43"/>
      <c r="U3910" s="43"/>
      <c r="V3910" s="43"/>
      <c r="W3910" s="43"/>
      <c r="X3910" s="43"/>
      <c r="Y3910" s="43"/>
      <c r="Z3910" s="43"/>
    </row>
    <row r="3911" spans="15:26" x14ac:dyDescent="0.25">
      <c r="O3911" s="43"/>
      <c r="P3911" s="43"/>
      <c r="Q3911" s="43"/>
      <c r="R3911" s="43"/>
      <c r="S3911" s="43"/>
      <c r="T3911" s="43"/>
      <c r="U3911" s="43"/>
      <c r="V3911" s="43"/>
      <c r="W3911" s="43"/>
      <c r="X3911" s="43"/>
      <c r="Y3911" s="43"/>
      <c r="Z3911" s="43"/>
    </row>
    <row r="3912" spans="15:26" x14ac:dyDescent="0.25">
      <c r="O3912" s="43"/>
      <c r="P3912" s="43"/>
      <c r="Q3912" s="43"/>
      <c r="R3912" s="43"/>
      <c r="S3912" s="43"/>
      <c r="T3912" s="43"/>
      <c r="U3912" s="43"/>
      <c r="V3912" s="43"/>
      <c r="W3912" s="43"/>
      <c r="X3912" s="43"/>
      <c r="Y3912" s="43"/>
      <c r="Z3912" s="43"/>
    </row>
    <row r="3913" spans="15:26" x14ac:dyDescent="0.25">
      <c r="O3913" s="43"/>
      <c r="P3913" s="43"/>
      <c r="Q3913" s="43"/>
      <c r="R3913" s="43"/>
      <c r="S3913" s="43"/>
      <c r="T3913" s="43"/>
      <c r="U3913" s="43"/>
      <c r="V3913" s="43"/>
      <c r="W3913" s="43"/>
      <c r="X3913" s="43"/>
      <c r="Y3913" s="43"/>
      <c r="Z3913" s="43"/>
    </row>
    <row r="3914" spans="15:26" x14ac:dyDescent="0.25">
      <c r="O3914" s="43"/>
      <c r="P3914" s="43"/>
      <c r="Q3914" s="43"/>
      <c r="R3914" s="43"/>
      <c r="S3914" s="43"/>
      <c r="T3914" s="43"/>
      <c r="U3914" s="43"/>
      <c r="V3914" s="43"/>
      <c r="W3914" s="43"/>
      <c r="X3914" s="43"/>
      <c r="Y3914" s="43"/>
      <c r="Z3914" s="43"/>
    </row>
    <row r="3915" spans="15:26" x14ac:dyDescent="0.25">
      <c r="O3915" s="43"/>
      <c r="P3915" s="43"/>
      <c r="Q3915" s="43"/>
      <c r="R3915" s="43"/>
      <c r="S3915" s="43"/>
      <c r="T3915" s="43"/>
      <c r="U3915" s="43"/>
      <c r="V3915" s="43"/>
      <c r="W3915" s="43"/>
      <c r="X3915" s="43"/>
      <c r="Y3915" s="43"/>
      <c r="Z3915" s="43"/>
    </row>
    <row r="3916" spans="15:26" x14ac:dyDescent="0.25">
      <c r="O3916" s="43"/>
      <c r="P3916" s="43"/>
      <c r="Q3916" s="43"/>
      <c r="R3916" s="43"/>
      <c r="S3916" s="43"/>
      <c r="T3916" s="43"/>
      <c r="U3916" s="43"/>
      <c r="V3916" s="43"/>
      <c r="W3916" s="43"/>
      <c r="X3916" s="43"/>
      <c r="Y3916" s="43"/>
      <c r="Z3916" s="43"/>
    </row>
    <row r="3917" spans="15:26" x14ac:dyDescent="0.25">
      <c r="O3917" s="43"/>
      <c r="P3917" s="43"/>
      <c r="Q3917" s="43"/>
      <c r="R3917" s="43"/>
      <c r="S3917" s="43"/>
      <c r="T3917" s="43"/>
      <c r="U3917" s="43"/>
      <c r="V3917" s="43"/>
      <c r="W3917" s="43"/>
      <c r="X3917" s="43"/>
      <c r="Y3917" s="43"/>
      <c r="Z3917" s="43"/>
    </row>
    <row r="3918" spans="15:26" x14ac:dyDescent="0.25">
      <c r="O3918" s="43"/>
      <c r="P3918" s="43"/>
      <c r="Q3918" s="43"/>
      <c r="R3918" s="43"/>
      <c r="S3918" s="43"/>
      <c r="T3918" s="43"/>
      <c r="U3918" s="43"/>
      <c r="V3918" s="43"/>
      <c r="W3918" s="43"/>
      <c r="X3918" s="43"/>
      <c r="Y3918" s="43"/>
      <c r="Z3918" s="43"/>
    </row>
    <row r="3919" spans="15:26" x14ac:dyDescent="0.25">
      <c r="O3919" s="43"/>
      <c r="P3919" s="43"/>
      <c r="Q3919" s="43"/>
      <c r="R3919" s="43"/>
      <c r="S3919" s="43"/>
      <c r="T3919" s="43"/>
      <c r="U3919" s="43"/>
      <c r="V3919" s="43"/>
      <c r="W3919" s="43"/>
      <c r="X3919" s="43"/>
      <c r="Y3919" s="43"/>
      <c r="Z3919" s="43"/>
    </row>
    <row r="3920" spans="15:26" x14ac:dyDescent="0.25">
      <c r="O3920" s="43"/>
      <c r="P3920" s="43"/>
      <c r="Q3920" s="43"/>
      <c r="R3920" s="43"/>
      <c r="S3920" s="43"/>
      <c r="T3920" s="43"/>
      <c r="U3920" s="43"/>
      <c r="V3920" s="43"/>
      <c r="W3920" s="43"/>
      <c r="X3920" s="43"/>
      <c r="Y3920" s="43"/>
      <c r="Z3920" s="43"/>
    </row>
    <row r="3921" spans="15:26" x14ac:dyDescent="0.25">
      <c r="O3921" s="43"/>
      <c r="P3921" s="43"/>
      <c r="Q3921" s="43"/>
      <c r="R3921" s="43"/>
      <c r="S3921" s="43"/>
      <c r="T3921" s="43"/>
      <c r="U3921" s="43"/>
      <c r="V3921" s="43"/>
      <c r="W3921" s="43"/>
      <c r="X3921" s="43"/>
      <c r="Y3921" s="43"/>
      <c r="Z3921" s="43"/>
    </row>
    <row r="3922" spans="15:26" x14ac:dyDescent="0.25">
      <c r="O3922" s="43"/>
      <c r="P3922" s="43"/>
      <c r="Q3922" s="43"/>
      <c r="R3922" s="43"/>
      <c r="S3922" s="43"/>
      <c r="T3922" s="43"/>
      <c r="U3922" s="43"/>
      <c r="V3922" s="43"/>
      <c r="W3922" s="43"/>
      <c r="X3922" s="43"/>
      <c r="Y3922" s="43"/>
      <c r="Z3922" s="43"/>
    </row>
    <row r="3923" spans="15:26" x14ac:dyDescent="0.25">
      <c r="O3923" s="43"/>
      <c r="P3923" s="43"/>
      <c r="Q3923" s="43"/>
      <c r="R3923" s="43"/>
      <c r="S3923" s="43"/>
      <c r="T3923" s="43"/>
      <c r="U3923" s="43"/>
      <c r="V3923" s="43"/>
      <c r="W3923" s="43"/>
      <c r="X3923" s="43"/>
      <c r="Y3923" s="43"/>
      <c r="Z3923" s="43"/>
    </row>
    <row r="3924" spans="15:26" x14ac:dyDescent="0.25">
      <c r="O3924" s="43"/>
      <c r="P3924" s="43"/>
      <c r="Q3924" s="43"/>
      <c r="R3924" s="43"/>
      <c r="S3924" s="43"/>
      <c r="T3924" s="43"/>
      <c r="U3924" s="43"/>
      <c r="V3924" s="43"/>
      <c r="W3924" s="43"/>
      <c r="X3924" s="43"/>
      <c r="Y3924" s="43"/>
      <c r="Z3924" s="43"/>
    </row>
    <row r="3925" spans="15:26" x14ac:dyDescent="0.25">
      <c r="O3925" s="43"/>
      <c r="P3925" s="43"/>
      <c r="Q3925" s="43"/>
      <c r="R3925" s="43"/>
      <c r="S3925" s="43"/>
      <c r="T3925" s="43"/>
      <c r="U3925" s="43"/>
      <c r="V3925" s="43"/>
      <c r="W3925" s="43"/>
      <c r="X3925" s="43"/>
      <c r="Y3925" s="43"/>
      <c r="Z3925" s="43"/>
    </row>
    <row r="3926" spans="15:26" x14ac:dyDescent="0.25">
      <c r="O3926" s="43"/>
      <c r="P3926" s="43"/>
      <c r="Q3926" s="43"/>
      <c r="R3926" s="43"/>
      <c r="S3926" s="43"/>
      <c r="T3926" s="43"/>
      <c r="U3926" s="43"/>
      <c r="V3926" s="43"/>
      <c r="W3926" s="43"/>
      <c r="X3926" s="43"/>
      <c r="Y3926" s="43"/>
      <c r="Z3926" s="43"/>
    </row>
    <row r="3927" spans="15:26" x14ac:dyDescent="0.25">
      <c r="O3927" s="43"/>
      <c r="P3927" s="43"/>
      <c r="Q3927" s="43"/>
      <c r="R3927" s="43"/>
      <c r="S3927" s="43"/>
      <c r="T3927" s="43"/>
      <c r="U3927" s="43"/>
      <c r="V3927" s="43"/>
      <c r="W3927" s="43"/>
      <c r="X3927" s="43"/>
      <c r="Y3927" s="43"/>
      <c r="Z3927" s="43"/>
    </row>
    <row r="3928" spans="15:26" x14ac:dyDescent="0.25">
      <c r="O3928" s="43"/>
      <c r="P3928" s="43"/>
      <c r="Q3928" s="43"/>
      <c r="R3928" s="43"/>
      <c r="S3928" s="43"/>
      <c r="T3928" s="43"/>
      <c r="U3928" s="43"/>
      <c r="V3928" s="43"/>
      <c r="W3928" s="43"/>
      <c r="X3928" s="43"/>
      <c r="Y3928" s="43"/>
      <c r="Z3928" s="43"/>
    </row>
    <row r="3929" spans="15:26" x14ac:dyDescent="0.25">
      <c r="O3929" s="43"/>
      <c r="P3929" s="43"/>
      <c r="Q3929" s="43"/>
      <c r="R3929" s="43"/>
      <c r="S3929" s="43"/>
      <c r="T3929" s="43"/>
      <c r="U3929" s="43"/>
      <c r="V3929" s="43"/>
      <c r="W3929" s="43"/>
      <c r="X3929" s="43"/>
      <c r="Y3929" s="43"/>
      <c r="Z3929" s="43"/>
    </row>
    <row r="3930" spans="15:26" x14ac:dyDescent="0.25">
      <c r="O3930" s="43"/>
      <c r="P3930" s="43"/>
      <c r="Q3930" s="43"/>
      <c r="R3930" s="43"/>
      <c r="S3930" s="43"/>
      <c r="T3930" s="43"/>
      <c r="U3930" s="43"/>
      <c r="V3930" s="43"/>
      <c r="W3930" s="43"/>
      <c r="X3930" s="43"/>
      <c r="Y3930" s="43"/>
      <c r="Z3930" s="43"/>
    </row>
    <row r="3931" spans="15:26" x14ac:dyDescent="0.25">
      <c r="O3931" s="43"/>
      <c r="P3931" s="43"/>
      <c r="Q3931" s="43"/>
      <c r="R3931" s="43"/>
      <c r="S3931" s="43"/>
      <c r="T3931" s="43"/>
      <c r="U3931" s="43"/>
      <c r="V3931" s="43"/>
      <c r="W3931" s="43"/>
      <c r="X3931" s="43"/>
      <c r="Y3931" s="43"/>
      <c r="Z3931" s="43"/>
    </row>
    <row r="3932" spans="15:26" x14ac:dyDescent="0.25">
      <c r="O3932" s="43"/>
      <c r="P3932" s="43"/>
      <c r="Q3932" s="43"/>
      <c r="R3932" s="43"/>
      <c r="S3932" s="43"/>
      <c r="T3932" s="43"/>
      <c r="U3932" s="43"/>
      <c r="V3932" s="43"/>
      <c r="W3932" s="43"/>
      <c r="X3932" s="43"/>
      <c r="Y3932" s="43"/>
      <c r="Z3932" s="43"/>
    </row>
    <row r="3933" spans="15:26" x14ac:dyDescent="0.25">
      <c r="O3933" s="43"/>
      <c r="P3933" s="43"/>
      <c r="Q3933" s="43"/>
      <c r="R3933" s="43"/>
      <c r="S3933" s="43"/>
      <c r="T3933" s="43"/>
      <c r="U3933" s="43"/>
      <c r="V3933" s="43"/>
      <c r="W3933" s="43"/>
      <c r="X3933" s="43"/>
      <c r="Y3933" s="43"/>
      <c r="Z3933" s="43"/>
    </row>
    <row r="3934" spans="15:26" x14ac:dyDescent="0.25">
      <c r="O3934" s="43"/>
      <c r="P3934" s="43"/>
      <c r="Q3934" s="43"/>
      <c r="R3934" s="43"/>
      <c r="S3934" s="43"/>
      <c r="T3934" s="43"/>
      <c r="U3934" s="43"/>
      <c r="V3934" s="43"/>
      <c r="W3934" s="43"/>
      <c r="X3934" s="43"/>
      <c r="Y3934" s="43"/>
      <c r="Z3934" s="43"/>
    </row>
    <row r="3935" spans="15:26" x14ac:dyDescent="0.25">
      <c r="O3935" s="43"/>
      <c r="P3935" s="43"/>
      <c r="Q3935" s="43"/>
      <c r="R3935" s="43"/>
      <c r="S3935" s="43"/>
      <c r="T3935" s="43"/>
      <c r="U3935" s="43"/>
      <c r="V3935" s="43"/>
      <c r="W3935" s="43"/>
      <c r="X3935" s="43"/>
      <c r="Y3935" s="43"/>
      <c r="Z3935" s="43"/>
    </row>
    <row r="3936" spans="15:26" x14ac:dyDescent="0.25">
      <c r="O3936" s="43"/>
      <c r="P3936" s="43"/>
      <c r="Q3936" s="43"/>
      <c r="R3936" s="43"/>
      <c r="S3936" s="43"/>
      <c r="T3936" s="43"/>
      <c r="U3936" s="43"/>
      <c r="V3936" s="43"/>
      <c r="W3936" s="43"/>
      <c r="X3936" s="43"/>
      <c r="Y3936" s="43"/>
      <c r="Z3936" s="43"/>
    </row>
    <row r="3937" spans="15:26" x14ac:dyDescent="0.25">
      <c r="O3937" s="43"/>
      <c r="P3937" s="43"/>
      <c r="Q3937" s="43"/>
      <c r="R3937" s="43"/>
      <c r="S3937" s="43"/>
      <c r="T3937" s="43"/>
      <c r="U3937" s="43"/>
      <c r="V3937" s="43"/>
      <c r="W3937" s="43"/>
      <c r="X3937" s="43"/>
      <c r="Y3937" s="43"/>
      <c r="Z3937" s="43"/>
    </row>
    <row r="3938" spans="15:26" x14ac:dyDescent="0.25">
      <c r="O3938" s="43"/>
      <c r="P3938" s="43"/>
      <c r="Q3938" s="43"/>
      <c r="R3938" s="43"/>
      <c r="S3938" s="43"/>
      <c r="T3938" s="43"/>
      <c r="U3938" s="43"/>
      <c r="V3938" s="43"/>
      <c r="W3938" s="43"/>
      <c r="X3938" s="43"/>
      <c r="Y3938" s="43"/>
      <c r="Z3938" s="43"/>
    </row>
    <row r="3939" spans="15:26" x14ac:dyDescent="0.25">
      <c r="O3939" s="43"/>
      <c r="P3939" s="43"/>
      <c r="Q3939" s="43"/>
      <c r="R3939" s="43"/>
      <c r="S3939" s="43"/>
      <c r="T3939" s="43"/>
      <c r="U3939" s="43"/>
      <c r="V3939" s="43"/>
      <c r="W3939" s="43"/>
      <c r="X3939" s="43"/>
      <c r="Y3939" s="43"/>
      <c r="Z3939" s="43"/>
    </row>
    <row r="3940" spans="15:26" x14ac:dyDescent="0.25">
      <c r="O3940" s="43"/>
      <c r="P3940" s="43"/>
      <c r="Q3940" s="43"/>
      <c r="R3940" s="43"/>
      <c r="S3940" s="43"/>
      <c r="T3940" s="43"/>
      <c r="U3940" s="43"/>
      <c r="V3940" s="43"/>
      <c r="W3940" s="43"/>
      <c r="X3940" s="43"/>
      <c r="Y3940" s="43"/>
      <c r="Z3940" s="43"/>
    </row>
    <row r="3941" spans="15:26" x14ac:dyDescent="0.25">
      <c r="O3941" s="43"/>
      <c r="P3941" s="43"/>
      <c r="Q3941" s="43"/>
      <c r="R3941" s="43"/>
      <c r="S3941" s="43"/>
      <c r="T3941" s="43"/>
      <c r="U3941" s="43"/>
      <c r="V3941" s="43"/>
      <c r="W3941" s="43"/>
      <c r="X3941" s="43"/>
      <c r="Y3941" s="43"/>
      <c r="Z3941" s="43"/>
    </row>
    <row r="3942" spans="15:26" x14ac:dyDescent="0.25">
      <c r="O3942" s="43"/>
      <c r="P3942" s="43"/>
      <c r="Q3942" s="43"/>
      <c r="R3942" s="43"/>
      <c r="S3942" s="43"/>
      <c r="T3942" s="43"/>
      <c r="U3942" s="43"/>
      <c r="V3942" s="43"/>
      <c r="W3942" s="43"/>
      <c r="X3942" s="43"/>
      <c r="Y3942" s="43"/>
      <c r="Z3942" s="43"/>
    </row>
    <row r="3943" spans="15:26" x14ac:dyDescent="0.25">
      <c r="O3943" s="43"/>
      <c r="P3943" s="43"/>
      <c r="Q3943" s="43"/>
      <c r="R3943" s="43"/>
      <c r="S3943" s="43"/>
      <c r="T3943" s="43"/>
      <c r="U3943" s="43"/>
      <c r="V3943" s="43"/>
      <c r="W3943" s="43"/>
      <c r="X3943" s="43"/>
      <c r="Y3943" s="43"/>
      <c r="Z3943" s="43"/>
    </row>
    <row r="3944" spans="15:26" x14ac:dyDescent="0.25">
      <c r="O3944" s="43"/>
      <c r="P3944" s="43"/>
      <c r="Q3944" s="43"/>
      <c r="R3944" s="43"/>
      <c r="S3944" s="43"/>
      <c r="T3944" s="43"/>
      <c r="U3944" s="43"/>
      <c r="V3944" s="43"/>
      <c r="W3944" s="43"/>
      <c r="X3944" s="43"/>
      <c r="Y3944" s="43"/>
      <c r="Z3944" s="43"/>
    </row>
    <row r="3945" spans="15:26" x14ac:dyDescent="0.25">
      <c r="O3945" s="43"/>
      <c r="P3945" s="43"/>
      <c r="Q3945" s="43"/>
      <c r="R3945" s="43"/>
      <c r="S3945" s="43"/>
      <c r="T3945" s="43"/>
      <c r="U3945" s="43"/>
      <c r="V3945" s="43"/>
      <c r="W3945" s="43"/>
      <c r="X3945" s="43"/>
      <c r="Y3945" s="43"/>
      <c r="Z3945" s="43"/>
    </row>
    <row r="3946" spans="15:26" x14ac:dyDescent="0.25">
      <c r="O3946" s="43"/>
      <c r="P3946" s="43"/>
      <c r="Q3946" s="43"/>
      <c r="R3946" s="43"/>
      <c r="S3946" s="43"/>
      <c r="T3946" s="43"/>
      <c r="U3946" s="43"/>
      <c r="V3946" s="43"/>
      <c r="W3946" s="43"/>
      <c r="X3946" s="43"/>
      <c r="Y3946" s="43"/>
      <c r="Z3946" s="43"/>
    </row>
    <row r="3947" spans="15:26" x14ac:dyDescent="0.25">
      <c r="O3947" s="43"/>
      <c r="P3947" s="43"/>
      <c r="Q3947" s="43"/>
      <c r="R3947" s="43"/>
      <c r="S3947" s="43"/>
      <c r="T3947" s="43"/>
      <c r="U3947" s="43"/>
      <c r="V3947" s="43"/>
      <c r="W3947" s="43"/>
      <c r="X3947" s="43"/>
      <c r="Y3947" s="43"/>
      <c r="Z3947" s="43"/>
    </row>
    <row r="3948" spans="15:26" x14ac:dyDescent="0.25">
      <c r="O3948" s="43"/>
      <c r="P3948" s="43"/>
      <c r="Q3948" s="43"/>
      <c r="R3948" s="43"/>
      <c r="S3948" s="43"/>
      <c r="T3948" s="43"/>
      <c r="U3948" s="43"/>
      <c r="V3948" s="43"/>
      <c r="W3948" s="43"/>
      <c r="X3948" s="43"/>
      <c r="Y3948" s="43"/>
      <c r="Z3948" s="43"/>
    </row>
    <row r="3949" spans="15:26" x14ac:dyDescent="0.25">
      <c r="O3949" s="43"/>
      <c r="P3949" s="43"/>
      <c r="Q3949" s="43"/>
      <c r="R3949" s="43"/>
      <c r="S3949" s="43"/>
      <c r="T3949" s="43"/>
      <c r="U3949" s="43"/>
      <c r="V3949" s="43"/>
      <c r="W3949" s="43"/>
      <c r="X3949" s="43"/>
      <c r="Y3949" s="43"/>
      <c r="Z3949" s="43"/>
    </row>
    <row r="3950" spans="15:26" x14ac:dyDescent="0.25">
      <c r="O3950" s="43"/>
      <c r="P3950" s="43"/>
      <c r="Q3950" s="43"/>
      <c r="R3950" s="43"/>
      <c r="S3950" s="43"/>
      <c r="T3950" s="43"/>
      <c r="U3950" s="43"/>
      <c r="V3950" s="43"/>
      <c r="W3950" s="43"/>
      <c r="X3950" s="43"/>
      <c r="Y3950" s="43"/>
      <c r="Z3950" s="43"/>
    </row>
    <row r="3951" spans="15:26" x14ac:dyDescent="0.25">
      <c r="O3951" s="43"/>
      <c r="P3951" s="43"/>
      <c r="Q3951" s="43"/>
      <c r="R3951" s="43"/>
      <c r="S3951" s="43"/>
      <c r="T3951" s="43"/>
      <c r="U3951" s="43"/>
      <c r="V3951" s="43"/>
      <c r="W3951" s="43"/>
      <c r="X3951" s="43"/>
      <c r="Y3951" s="43"/>
      <c r="Z3951" s="43"/>
    </row>
    <row r="3952" spans="15:26" x14ac:dyDescent="0.25">
      <c r="O3952" s="43"/>
      <c r="P3952" s="43"/>
      <c r="Q3952" s="43"/>
      <c r="R3952" s="43"/>
      <c r="S3952" s="43"/>
      <c r="T3952" s="43"/>
      <c r="U3952" s="43"/>
      <c r="V3952" s="43"/>
      <c r="W3952" s="43"/>
      <c r="X3952" s="43"/>
      <c r="Y3952" s="43"/>
      <c r="Z3952" s="43"/>
    </row>
    <row r="3953" spans="15:26" x14ac:dyDescent="0.25">
      <c r="O3953" s="43"/>
      <c r="P3953" s="43"/>
      <c r="Q3953" s="43"/>
      <c r="R3953" s="43"/>
      <c r="S3953" s="43"/>
      <c r="T3953" s="43"/>
      <c r="U3953" s="43"/>
      <c r="V3953" s="43"/>
      <c r="W3953" s="43"/>
      <c r="X3953" s="43"/>
      <c r="Y3953" s="43"/>
      <c r="Z3953" s="43"/>
    </row>
    <row r="3954" spans="15:26" x14ac:dyDescent="0.25">
      <c r="O3954" s="43"/>
      <c r="P3954" s="43"/>
      <c r="Q3954" s="43"/>
      <c r="R3954" s="43"/>
      <c r="S3954" s="43"/>
      <c r="T3954" s="43"/>
      <c r="U3954" s="43"/>
      <c r="V3954" s="43"/>
      <c r="W3954" s="43"/>
      <c r="X3954" s="43"/>
      <c r="Y3954" s="43"/>
      <c r="Z3954" s="43"/>
    </row>
    <row r="3955" spans="15:26" x14ac:dyDescent="0.25">
      <c r="O3955" s="43"/>
      <c r="P3955" s="43"/>
      <c r="Q3955" s="43"/>
      <c r="R3955" s="43"/>
      <c r="S3955" s="43"/>
      <c r="T3955" s="43"/>
      <c r="U3955" s="43"/>
      <c r="V3955" s="43"/>
      <c r="W3955" s="43"/>
      <c r="X3955" s="43"/>
      <c r="Y3955" s="43"/>
      <c r="Z3955" s="43"/>
    </row>
    <row r="3956" spans="15:26" x14ac:dyDescent="0.25">
      <c r="O3956" s="43"/>
      <c r="P3956" s="43"/>
      <c r="Q3956" s="43"/>
      <c r="R3956" s="43"/>
      <c r="S3956" s="43"/>
      <c r="T3956" s="43"/>
      <c r="U3956" s="43"/>
      <c r="V3956" s="43"/>
      <c r="W3956" s="43"/>
      <c r="X3956" s="43"/>
      <c r="Y3956" s="43"/>
      <c r="Z3956" s="43"/>
    </row>
    <row r="3957" spans="15:26" x14ac:dyDescent="0.25">
      <c r="O3957" s="43"/>
      <c r="P3957" s="43"/>
      <c r="Q3957" s="43"/>
      <c r="R3957" s="43"/>
      <c r="S3957" s="43"/>
      <c r="T3957" s="43"/>
      <c r="U3957" s="43"/>
      <c r="V3957" s="43"/>
      <c r="W3957" s="43"/>
      <c r="X3957" s="43"/>
      <c r="Y3957" s="43"/>
      <c r="Z3957" s="43"/>
    </row>
    <row r="3958" spans="15:26" x14ac:dyDescent="0.25">
      <c r="O3958" s="43"/>
      <c r="P3958" s="43"/>
      <c r="Q3958" s="43"/>
      <c r="R3958" s="43"/>
      <c r="S3958" s="43"/>
      <c r="T3958" s="43"/>
      <c r="U3958" s="43"/>
      <c r="V3958" s="43"/>
      <c r="W3958" s="43"/>
      <c r="X3958" s="43"/>
      <c r="Y3958" s="43"/>
      <c r="Z3958" s="43"/>
    </row>
    <row r="3959" spans="15:26" x14ac:dyDescent="0.25">
      <c r="O3959" s="43"/>
      <c r="P3959" s="43"/>
      <c r="Q3959" s="43"/>
      <c r="R3959" s="43"/>
      <c r="S3959" s="43"/>
      <c r="T3959" s="43"/>
      <c r="U3959" s="43"/>
      <c r="V3959" s="43"/>
      <c r="W3959" s="43"/>
      <c r="X3959" s="43"/>
      <c r="Y3959" s="43"/>
      <c r="Z3959" s="43"/>
    </row>
    <row r="3960" spans="15:26" x14ac:dyDescent="0.25">
      <c r="O3960" s="43"/>
      <c r="P3960" s="43"/>
      <c r="Q3960" s="43"/>
      <c r="R3960" s="43"/>
      <c r="S3960" s="43"/>
      <c r="T3960" s="43"/>
      <c r="U3960" s="43"/>
      <c r="V3960" s="43"/>
      <c r="W3960" s="43"/>
      <c r="X3960" s="43"/>
      <c r="Y3960" s="43"/>
      <c r="Z3960" s="43"/>
    </row>
    <row r="3961" spans="15:26" x14ac:dyDescent="0.25">
      <c r="O3961" s="43"/>
      <c r="P3961" s="43"/>
      <c r="Q3961" s="43"/>
      <c r="R3961" s="43"/>
      <c r="S3961" s="43"/>
      <c r="T3961" s="43"/>
      <c r="U3961" s="43"/>
      <c r="V3961" s="43"/>
      <c r="W3961" s="43"/>
      <c r="X3961" s="43"/>
      <c r="Y3961" s="43"/>
      <c r="Z3961" s="43"/>
    </row>
    <row r="3962" spans="15:26" x14ac:dyDescent="0.25">
      <c r="O3962" s="43"/>
      <c r="P3962" s="43"/>
      <c r="Q3962" s="43"/>
      <c r="R3962" s="43"/>
      <c r="S3962" s="43"/>
      <c r="T3962" s="43"/>
      <c r="U3962" s="43"/>
      <c r="V3962" s="43"/>
      <c r="W3962" s="43"/>
      <c r="X3962" s="43"/>
      <c r="Y3962" s="43"/>
      <c r="Z3962" s="43"/>
    </row>
    <row r="3963" spans="15:26" x14ac:dyDescent="0.25">
      <c r="O3963" s="43"/>
      <c r="P3963" s="43"/>
      <c r="Q3963" s="43"/>
      <c r="R3963" s="43"/>
      <c r="S3963" s="43"/>
      <c r="T3963" s="43"/>
      <c r="U3963" s="43"/>
      <c r="V3963" s="43"/>
      <c r="W3963" s="43"/>
      <c r="X3963" s="43"/>
      <c r="Y3963" s="43"/>
      <c r="Z3963" s="43"/>
    </row>
    <row r="3964" spans="15:26" x14ac:dyDescent="0.25">
      <c r="O3964" s="43"/>
      <c r="P3964" s="43"/>
      <c r="Q3964" s="43"/>
      <c r="R3964" s="43"/>
      <c r="S3964" s="43"/>
      <c r="T3964" s="43"/>
      <c r="U3964" s="43"/>
      <c r="V3964" s="43"/>
      <c r="W3964" s="43"/>
      <c r="X3964" s="43"/>
      <c r="Y3964" s="43"/>
      <c r="Z3964" s="43"/>
    </row>
    <row r="3965" spans="15:26" x14ac:dyDescent="0.25">
      <c r="O3965" s="43"/>
      <c r="P3965" s="43"/>
      <c r="Q3965" s="43"/>
      <c r="R3965" s="43"/>
      <c r="S3965" s="43"/>
      <c r="T3965" s="43"/>
      <c r="U3965" s="43"/>
      <c r="V3965" s="43"/>
      <c r="W3965" s="43"/>
      <c r="X3965" s="43"/>
      <c r="Y3965" s="43"/>
      <c r="Z3965" s="43"/>
    </row>
    <row r="3966" spans="15:26" x14ac:dyDescent="0.25">
      <c r="O3966" s="43"/>
      <c r="P3966" s="43"/>
      <c r="Q3966" s="43"/>
      <c r="R3966" s="43"/>
      <c r="S3966" s="43"/>
      <c r="T3966" s="43"/>
      <c r="U3966" s="43"/>
      <c r="V3966" s="43"/>
      <c r="W3966" s="43"/>
      <c r="X3966" s="43"/>
      <c r="Y3966" s="43"/>
      <c r="Z3966" s="43"/>
    </row>
    <row r="3967" spans="15:26" x14ac:dyDescent="0.25">
      <c r="O3967" s="43"/>
      <c r="P3967" s="43"/>
      <c r="Q3967" s="43"/>
      <c r="R3967" s="43"/>
      <c r="S3967" s="43"/>
      <c r="T3967" s="43"/>
      <c r="U3967" s="43"/>
      <c r="V3967" s="43"/>
      <c r="W3967" s="43"/>
      <c r="X3967" s="43"/>
      <c r="Y3967" s="43"/>
      <c r="Z3967" s="43"/>
    </row>
    <row r="3968" spans="15:26" x14ac:dyDescent="0.25">
      <c r="O3968" s="43"/>
      <c r="P3968" s="43"/>
      <c r="Q3968" s="43"/>
      <c r="R3968" s="43"/>
      <c r="S3968" s="43"/>
      <c r="T3968" s="43"/>
      <c r="U3968" s="43"/>
      <c r="V3968" s="43"/>
      <c r="W3968" s="43"/>
      <c r="X3968" s="43"/>
      <c r="Y3968" s="43"/>
      <c r="Z3968" s="43"/>
    </row>
    <row r="3969" spans="15:26" x14ac:dyDescent="0.25">
      <c r="O3969" s="43"/>
      <c r="P3969" s="43"/>
      <c r="Q3969" s="43"/>
      <c r="R3969" s="43"/>
      <c r="S3969" s="43"/>
      <c r="T3969" s="43"/>
      <c r="U3969" s="43"/>
      <c r="V3969" s="43"/>
      <c r="W3969" s="43"/>
      <c r="X3969" s="43"/>
      <c r="Y3969" s="43"/>
      <c r="Z3969" s="43"/>
    </row>
    <row r="3970" spans="15:26" x14ac:dyDescent="0.25">
      <c r="O3970" s="43"/>
      <c r="P3970" s="43"/>
      <c r="Q3970" s="43"/>
      <c r="R3970" s="43"/>
      <c r="S3970" s="43"/>
      <c r="T3970" s="43"/>
      <c r="U3970" s="43"/>
      <c r="V3970" s="43"/>
      <c r="W3970" s="43"/>
      <c r="X3970" s="43"/>
      <c r="Y3970" s="43"/>
      <c r="Z3970" s="43"/>
    </row>
    <row r="3971" spans="15:26" x14ac:dyDescent="0.25">
      <c r="O3971" s="43"/>
      <c r="P3971" s="43"/>
      <c r="Q3971" s="43"/>
      <c r="R3971" s="43"/>
      <c r="S3971" s="43"/>
      <c r="T3971" s="43"/>
      <c r="U3971" s="43"/>
      <c r="V3971" s="43"/>
      <c r="W3971" s="43"/>
      <c r="X3971" s="43"/>
      <c r="Y3971" s="43"/>
      <c r="Z3971" s="43"/>
    </row>
    <row r="3972" spans="15:26" x14ac:dyDescent="0.25">
      <c r="O3972" s="43"/>
      <c r="P3972" s="43"/>
      <c r="Q3972" s="43"/>
      <c r="R3972" s="43"/>
      <c r="S3972" s="43"/>
      <c r="T3972" s="43"/>
      <c r="U3972" s="43"/>
      <c r="V3972" s="43"/>
      <c r="W3972" s="43"/>
      <c r="X3972" s="43"/>
      <c r="Y3972" s="43"/>
      <c r="Z3972" s="43"/>
    </row>
    <row r="3973" spans="15:26" x14ac:dyDescent="0.25">
      <c r="O3973" s="43"/>
      <c r="P3973" s="43"/>
      <c r="Q3973" s="43"/>
      <c r="R3973" s="43"/>
      <c r="S3973" s="43"/>
      <c r="T3973" s="43"/>
      <c r="U3973" s="43"/>
      <c r="V3973" s="43"/>
      <c r="W3973" s="43"/>
      <c r="X3973" s="43"/>
      <c r="Y3973" s="43"/>
      <c r="Z3973" s="43"/>
    </row>
    <row r="3974" spans="15:26" x14ac:dyDescent="0.25">
      <c r="O3974" s="43"/>
      <c r="P3974" s="43"/>
      <c r="Q3974" s="43"/>
      <c r="R3974" s="43"/>
      <c r="S3974" s="43"/>
      <c r="T3974" s="43"/>
      <c r="U3974" s="43"/>
      <c r="V3974" s="43"/>
      <c r="W3974" s="43"/>
      <c r="X3974" s="43"/>
      <c r="Y3974" s="43"/>
      <c r="Z3974" s="43"/>
    </row>
    <row r="3975" spans="15:26" x14ac:dyDescent="0.25">
      <c r="O3975" s="43"/>
      <c r="P3975" s="43"/>
      <c r="Q3975" s="43"/>
      <c r="R3975" s="43"/>
      <c r="S3975" s="43"/>
      <c r="T3975" s="43"/>
      <c r="U3975" s="43"/>
      <c r="V3975" s="43"/>
      <c r="W3975" s="43"/>
      <c r="X3975" s="43"/>
      <c r="Y3975" s="43"/>
      <c r="Z3975" s="43"/>
    </row>
    <row r="3976" spans="15:26" x14ac:dyDescent="0.25">
      <c r="O3976" s="43"/>
      <c r="P3976" s="43"/>
      <c r="Q3976" s="43"/>
      <c r="R3976" s="43"/>
      <c r="S3976" s="43"/>
      <c r="T3976" s="43"/>
      <c r="U3976" s="43"/>
      <c r="V3976" s="43"/>
      <c r="W3976" s="43"/>
      <c r="X3976" s="43"/>
      <c r="Y3976" s="43"/>
      <c r="Z3976" s="43"/>
    </row>
    <row r="3977" spans="15:26" x14ac:dyDescent="0.25">
      <c r="O3977" s="43"/>
      <c r="P3977" s="43"/>
      <c r="Q3977" s="43"/>
      <c r="R3977" s="43"/>
      <c r="S3977" s="43"/>
      <c r="T3977" s="43"/>
      <c r="U3977" s="43"/>
      <c r="V3977" s="43"/>
      <c r="W3977" s="43"/>
      <c r="X3977" s="43"/>
      <c r="Y3977" s="43"/>
      <c r="Z3977" s="43"/>
    </row>
    <row r="3978" spans="15:26" x14ac:dyDescent="0.25">
      <c r="O3978" s="43"/>
      <c r="P3978" s="43"/>
      <c r="Q3978" s="43"/>
      <c r="R3978" s="43"/>
      <c r="S3978" s="43"/>
      <c r="T3978" s="43"/>
      <c r="U3978" s="43"/>
      <c r="V3978" s="43"/>
      <c r="W3978" s="43"/>
      <c r="X3978" s="43"/>
      <c r="Y3978" s="43"/>
      <c r="Z3978" s="43"/>
    </row>
    <row r="3979" spans="15:26" x14ac:dyDescent="0.25">
      <c r="O3979" s="43"/>
      <c r="P3979" s="43"/>
      <c r="Q3979" s="43"/>
      <c r="R3979" s="43"/>
      <c r="S3979" s="43"/>
      <c r="T3979" s="43"/>
      <c r="U3979" s="43"/>
      <c r="V3979" s="43"/>
      <c r="W3979" s="43"/>
      <c r="X3979" s="43"/>
      <c r="Y3979" s="43"/>
      <c r="Z3979" s="43"/>
    </row>
    <row r="3980" spans="15:26" x14ac:dyDescent="0.25">
      <c r="O3980" s="43"/>
      <c r="P3980" s="43"/>
      <c r="Q3980" s="43"/>
      <c r="R3980" s="43"/>
      <c r="S3980" s="43"/>
      <c r="T3980" s="43"/>
      <c r="U3980" s="43"/>
      <c r="V3980" s="43"/>
      <c r="W3980" s="43"/>
      <c r="X3980" s="43"/>
      <c r="Y3980" s="43"/>
      <c r="Z3980" s="43"/>
    </row>
    <row r="3981" spans="15:26" x14ac:dyDescent="0.25">
      <c r="O3981" s="43"/>
      <c r="P3981" s="43"/>
      <c r="Q3981" s="43"/>
      <c r="R3981" s="43"/>
      <c r="S3981" s="43"/>
      <c r="T3981" s="43"/>
      <c r="U3981" s="43"/>
      <c r="V3981" s="43"/>
      <c r="W3981" s="43"/>
      <c r="X3981" s="43"/>
      <c r="Y3981" s="43"/>
      <c r="Z3981" s="43"/>
    </row>
    <row r="3982" spans="15:26" x14ac:dyDescent="0.25">
      <c r="O3982" s="43"/>
      <c r="P3982" s="43"/>
      <c r="Q3982" s="43"/>
      <c r="R3982" s="43"/>
      <c r="S3982" s="43"/>
      <c r="T3982" s="43"/>
      <c r="U3982" s="43"/>
      <c r="V3982" s="43"/>
      <c r="W3982" s="43"/>
      <c r="X3982" s="43"/>
      <c r="Y3982" s="43"/>
      <c r="Z3982" s="43"/>
    </row>
    <row r="3983" spans="15:26" x14ac:dyDescent="0.25">
      <c r="O3983" s="43"/>
      <c r="P3983" s="43"/>
      <c r="Q3983" s="43"/>
      <c r="R3983" s="43"/>
      <c r="S3983" s="43"/>
      <c r="T3983" s="43"/>
      <c r="U3983" s="43"/>
      <c r="V3983" s="43"/>
      <c r="W3983" s="43"/>
      <c r="X3983" s="43"/>
      <c r="Y3983" s="43"/>
      <c r="Z3983" s="43"/>
    </row>
    <row r="3984" spans="15:26" x14ac:dyDescent="0.25">
      <c r="O3984" s="43"/>
      <c r="P3984" s="43"/>
      <c r="Q3984" s="43"/>
      <c r="R3984" s="43"/>
      <c r="S3984" s="43"/>
      <c r="T3984" s="43"/>
      <c r="U3984" s="43"/>
      <c r="V3984" s="43"/>
      <c r="W3984" s="43"/>
      <c r="X3984" s="43"/>
      <c r="Y3984" s="43"/>
      <c r="Z3984" s="43"/>
    </row>
    <row r="3985" spans="15:26" x14ac:dyDescent="0.25">
      <c r="O3985" s="43"/>
      <c r="P3985" s="43"/>
      <c r="Q3985" s="43"/>
      <c r="R3985" s="43"/>
      <c r="S3985" s="43"/>
      <c r="T3985" s="43"/>
      <c r="U3985" s="43"/>
      <c r="V3985" s="43"/>
      <c r="W3985" s="43"/>
      <c r="X3985" s="43"/>
      <c r="Y3985" s="43"/>
      <c r="Z3985" s="43"/>
    </row>
    <row r="3986" spans="15:26" x14ac:dyDescent="0.25">
      <c r="O3986" s="43"/>
      <c r="P3986" s="43"/>
      <c r="Q3986" s="43"/>
      <c r="R3986" s="43"/>
      <c r="S3986" s="43"/>
      <c r="T3986" s="43"/>
      <c r="U3986" s="43"/>
      <c r="V3986" s="43"/>
      <c r="W3986" s="43"/>
      <c r="X3986" s="43"/>
      <c r="Y3986" s="43"/>
      <c r="Z3986" s="43"/>
    </row>
    <row r="3987" spans="15:26" x14ac:dyDescent="0.25">
      <c r="O3987" s="43"/>
      <c r="P3987" s="43"/>
      <c r="Q3987" s="43"/>
      <c r="R3987" s="43"/>
      <c r="S3987" s="43"/>
      <c r="T3987" s="43"/>
      <c r="U3987" s="43"/>
      <c r="V3987" s="43"/>
      <c r="W3987" s="43"/>
      <c r="X3987" s="43"/>
      <c r="Y3987" s="43"/>
      <c r="Z3987" s="43"/>
    </row>
    <row r="3988" spans="15:26" x14ac:dyDescent="0.25">
      <c r="O3988" s="43"/>
      <c r="P3988" s="43"/>
      <c r="Q3988" s="43"/>
      <c r="R3988" s="43"/>
      <c r="S3988" s="43"/>
      <c r="T3988" s="43"/>
      <c r="U3988" s="43"/>
      <c r="V3988" s="43"/>
      <c r="W3988" s="43"/>
      <c r="X3988" s="43"/>
      <c r="Y3988" s="43"/>
      <c r="Z3988" s="43"/>
    </row>
    <row r="3989" spans="15:26" x14ac:dyDescent="0.25">
      <c r="O3989" s="43"/>
      <c r="P3989" s="43"/>
      <c r="Q3989" s="43"/>
      <c r="R3989" s="43"/>
      <c r="S3989" s="43"/>
      <c r="T3989" s="43"/>
      <c r="U3989" s="43"/>
      <c r="V3989" s="43"/>
      <c r="W3989" s="43"/>
      <c r="X3989" s="43"/>
      <c r="Y3989" s="43"/>
      <c r="Z3989" s="43"/>
    </row>
    <row r="3990" spans="15:26" x14ac:dyDescent="0.25">
      <c r="O3990" s="43"/>
      <c r="P3990" s="43"/>
      <c r="Q3990" s="43"/>
      <c r="R3990" s="43"/>
      <c r="S3990" s="43"/>
      <c r="T3990" s="43"/>
      <c r="U3990" s="43"/>
      <c r="V3990" s="43"/>
      <c r="W3990" s="43"/>
      <c r="X3990" s="43"/>
      <c r="Y3990" s="43"/>
      <c r="Z3990" s="43"/>
    </row>
    <row r="3991" spans="15:26" x14ac:dyDescent="0.25">
      <c r="O3991" s="43"/>
      <c r="P3991" s="43"/>
      <c r="Q3991" s="43"/>
      <c r="R3991" s="43"/>
      <c r="S3991" s="43"/>
      <c r="T3991" s="43"/>
      <c r="U3991" s="43"/>
      <c r="V3991" s="43"/>
      <c r="W3991" s="43"/>
      <c r="X3991" s="43"/>
      <c r="Y3991" s="43"/>
      <c r="Z3991" s="43"/>
    </row>
    <row r="3992" spans="15:26" x14ac:dyDescent="0.25">
      <c r="O3992" s="43"/>
      <c r="P3992" s="43"/>
      <c r="Q3992" s="43"/>
      <c r="R3992" s="43"/>
      <c r="S3992" s="43"/>
      <c r="T3992" s="43"/>
      <c r="U3992" s="43"/>
      <c r="V3992" s="43"/>
      <c r="W3992" s="43"/>
      <c r="X3992" s="43"/>
      <c r="Y3992" s="43"/>
      <c r="Z3992" s="43"/>
    </row>
    <row r="3993" spans="15:26" x14ac:dyDescent="0.25">
      <c r="O3993" s="43"/>
      <c r="P3993" s="43"/>
      <c r="Q3993" s="43"/>
      <c r="R3993" s="43"/>
      <c r="S3993" s="43"/>
      <c r="T3993" s="43"/>
      <c r="U3993" s="43"/>
      <c r="V3993" s="43"/>
      <c r="W3993" s="43"/>
      <c r="X3993" s="43"/>
      <c r="Y3993" s="43"/>
      <c r="Z3993" s="43"/>
    </row>
    <row r="3994" spans="15:26" x14ac:dyDescent="0.25">
      <c r="O3994" s="43"/>
      <c r="P3994" s="43"/>
      <c r="Q3994" s="43"/>
      <c r="R3994" s="43"/>
      <c r="S3994" s="43"/>
      <c r="T3994" s="43"/>
      <c r="U3994" s="43"/>
      <c r="V3994" s="43"/>
      <c r="W3994" s="43"/>
      <c r="X3994" s="43"/>
      <c r="Y3994" s="43"/>
      <c r="Z3994" s="43"/>
    </row>
    <row r="3995" spans="15:26" x14ac:dyDescent="0.25">
      <c r="O3995" s="43"/>
      <c r="P3995" s="43"/>
      <c r="Q3995" s="43"/>
      <c r="R3995" s="43"/>
      <c r="S3995" s="43"/>
      <c r="T3995" s="43"/>
      <c r="U3995" s="43"/>
      <c r="V3995" s="43"/>
      <c r="W3995" s="43"/>
      <c r="X3995" s="43"/>
      <c r="Y3995" s="43"/>
      <c r="Z3995" s="43"/>
    </row>
    <row r="3996" spans="15:26" x14ac:dyDescent="0.25">
      <c r="O3996" s="43"/>
      <c r="P3996" s="43"/>
      <c r="Q3996" s="43"/>
      <c r="R3996" s="43"/>
      <c r="S3996" s="43"/>
      <c r="T3996" s="43"/>
      <c r="U3996" s="43"/>
      <c r="V3996" s="43"/>
      <c r="W3996" s="43"/>
      <c r="X3996" s="43"/>
      <c r="Y3996" s="43"/>
      <c r="Z3996" s="43"/>
    </row>
    <row r="3997" spans="15:26" x14ac:dyDescent="0.25">
      <c r="O3997" s="43"/>
      <c r="P3997" s="43"/>
      <c r="Q3997" s="43"/>
      <c r="R3997" s="43"/>
      <c r="S3997" s="43"/>
      <c r="T3997" s="43"/>
      <c r="U3997" s="43"/>
      <c r="V3997" s="43"/>
      <c r="W3997" s="43"/>
      <c r="X3997" s="43"/>
      <c r="Y3997" s="43"/>
      <c r="Z3997" s="43"/>
    </row>
    <row r="3998" spans="15:26" x14ac:dyDescent="0.25">
      <c r="O3998" s="43"/>
      <c r="P3998" s="43"/>
      <c r="Q3998" s="43"/>
      <c r="R3998" s="43"/>
      <c r="S3998" s="43"/>
      <c r="T3998" s="43"/>
      <c r="U3998" s="43"/>
      <c r="V3998" s="43"/>
      <c r="W3998" s="43"/>
      <c r="X3998" s="43"/>
      <c r="Y3998" s="43"/>
      <c r="Z3998" s="43"/>
    </row>
    <row r="3999" spans="15:26" x14ac:dyDescent="0.25">
      <c r="O3999" s="43"/>
      <c r="P3999" s="43"/>
      <c r="Q3999" s="43"/>
      <c r="R3999" s="43"/>
      <c r="S3999" s="43"/>
      <c r="T3999" s="43"/>
      <c r="U3999" s="43"/>
      <c r="V3999" s="43"/>
      <c r="W3999" s="43"/>
      <c r="X3999" s="43"/>
      <c r="Y3999" s="43"/>
      <c r="Z3999" s="43"/>
    </row>
    <row r="4000" spans="15:26" x14ac:dyDescent="0.25">
      <c r="O4000" s="43"/>
      <c r="P4000" s="43"/>
      <c r="Q4000" s="43"/>
      <c r="R4000" s="43"/>
      <c r="S4000" s="43"/>
      <c r="T4000" s="43"/>
      <c r="U4000" s="43"/>
      <c r="V4000" s="43"/>
      <c r="W4000" s="43"/>
      <c r="X4000" s="43"/>
      <c r="Y4000" s="43"/>
      <c r="Z4000" s="43"/>
    </row>
    <row r="4001" spans="15:26" x14ac:dyDescent="0.25">
      <c r="O4001" s="43"/>
      <c r="P4001" s="43"/>
      <c r="Q4001" s="43"/>
      <c r="R4001" s="43"/>
      <c r="S4001" s="43"/>
      <c r="T4001" s="43"/>
      <c r="U4001" s="43"/>
      <c r="V4001" s="43"/>
      <c r="W4001" s="43"/>
      <c r="X4001" s="43"/>
      <c r="Y4001" s="43"/>
      <c r="Z4001" s="43"/>
    </row>
    <row r="4002" spans="15:26" x14ac:dyDescent="0.25">
      <c r="O4002" s="43"/>
      <c r="P4002" s="43"/>
      <c r="Q4002" s="43"/>
      <c r="R4002" s="43"/>
      <c r="S4002" s="43"/>
      <c r="T4002" s="43"/>
      <c r="U4002" s="43"/>
      <c r="V4002" s="43"/>
      <c r="W4002" s="43"/>
      <c r="X4002" s="43"/>
      <c r="Y4002" s="43"/>
      <c r="Z4002" s="43"/>
    </row>
    <row r="4003" spans="15:26" x14ac:dyDescent="0.25">
      <c r="O4003" s="43"/>
      <c r="P4003" s="43"/>
      <c r="Q4003" s="43"/>
      <c r="R4003" s="43"/>
      <c r="S4003" s="43"/>
      <c r="T4003" s="43"/>
      <c r="U4003" s="43"/>
      <c r="V4003" s="43"/>
      <c r="W4003" s="43"/>
      <c r="X4003" s="43"/>
      <c r="Y4003" s="43"/>
      <c r="Z4003" s="43"/>
    </row>
    <row r="4004" spans="15:26" x14ac:dyDescent="0.25">
      <c r="O4004" s="43"/>
      <c r="P4004" s="43"/>
      <c r="Q4004" s="43"/>
      <c r="R4004" s="43"/>
      <c r="S4004" s="43"/>
      <c r="T4004" s="43"/>
      <c r="U4004" s="43"/>
      <c r="V4004" s="43"/>
      <c r="W4004" s="43"/>
      <c r="X4004" s="43"/>
      <c r="Y4004" s="43"/>
      <c r="Z4004" s="43"/>
    </row>
    <row r="4005" spans="15:26" x14ac:dyDescent="0.25">
      <c r="O4005" s="43"/>
      <c r="P4005" s="43"/>
      <c r="Q4005" s="43"/>
      <c r="R4005" s="43"/>
      <c r="S4005" s="43"/>
      <c r="T4005" s="43"/>
      <c r="U4005" s="43"/>
      <c r="V4005" s="43"/>
      <c r="W4005" s="43"/>
      <c r="X4005" s="43"/>
      <c r="Y4005" s="43"/>
      <c r="Z4005" s="43"/>
    </row>
    <row r="4006" spans="15:26" x14ac:dyDescent="0.25">
      <c r="O4006" s="43"/>
      <c r="P4006" s="43"/>
      <c r="Q4006" s="43"/>
      <c r="R4006" s="43"/>
      <c r="S4006" s="43"/>
      <c r="T4006" s="43"/>
      <c r="U4006" s="43"/>
      <c r="V4006" s="43"/>
      <c r="W4006" s="43"/>
      <c r="X4006" s="43"/>
      <c r="Y4006" s="43"/>
      <c r="Z4006" s="43"/>
    </row>
    <row r="4007" spans="15:26" x14ac:dyDescent="0.25">
      <c r="O4007" s="43"/>
      <c r="P4007" s="43"/>
      <c r="Q4007" s="43"/>
      <c r="R4007" s="43"/>
      <c r="S4007" s="43"/>
      <c r="T4007" s="43"/>
      <c r="U4007" s="43"/>
      <c r="V4007" s="43"/>
      <c r="W4007" s="43"/>
      <c r="X4007" s="43"/>
      <c r="Y4007" s="43"/>
      <c r="Z4007" s="43"/>
    </row>
    <row r="4008" spans="15:26" x14ac:dyDescent="0.25">
      <c r="O4008" s="43"/>
      <c r="P4008" s="43"/>
      <c r="Q4008" s="43"/>
      <c r="R4008" s="43"/>
      <c r="S4008" s="43"/>
      <c r="T4008" s="43"/>
      <c r="U4008" s="43"/>
      <c r="V4008" s="43"/>
      <c r="W4008" s="43"/>
      <c r="X4008" s="43"/>
      <c r="Y4008" s="43"/>
      <c r="Z4008" s="43"/>
    </row>
    <row r="4009" spans="15:26" x14ac:dyDescent="0.25">
      <c r="O4009" s="43"/>
      <c r="P4009" s="43"/>
      <c r="Q4009" s="43"/>
      <c r="R4009" s="43"/>
      <c r="S4009" s="43"/>
      <c r="T4009" s="43"/>
      <c r="U4009" s="43"/>
      <c r="V4009" s="43"/>
      <c r="W4009" s="43"/>
      <c r="X4009" s="43"/>
      <c r="Y4009" s="43"/>
      <c r="Z4009" s="43"/>
    </row>
    <row r="4010" spans="15:26" x14ac:dyDescent="0.25">
      <c r="O4010" s="43"/>
      <c r="P4010" s="43"/>
      <c r="Q4010" s="43"/>
      <c r="R4010" s="43"/>
      <c r="S4010" s="43"/>
      <c r="T4010" s="43"/>
      <c r="U4010" s="43"/>
      <c r="V4010" s="43"/>
      <c r="W4010" s="43"/>
      <c r="X4010" s="43"/>
      <c r="Y4010" s="43"/>
      <c r="Z4010" s="43"/>
    </row>
    <row r="4011" spans="15:26" x14ac:dyDescent="0.25">
      <c r="O4011" s="43"/>
      <c r="P4011" s="43"/>
      <c r="Q4011" s="43"/>
      <c r="R4011" s="43"/>
      <c r="S4011" s="43"/>
      <c r="T4011" s="43"/>
      <c r="U4011" s="43"/>
      <c r="V4011" s="43"/>
      <c r="W4011" s="43"/>
      <c r="X4011" s="43"/>
      <c r="Y4011" s="43"/>
      <c r="Z4011" s="43"/>
    </row>
    <row r="4012" spans="15:26" x14ac:dyDescent="0.25">
      <c r="O4012" s="43"/>
      <c r="P4012" s="43"/>
      <c r="Q4012" s="43"/>
      <c r="R4012" s="43"/>
      <c r="S4012" s="43"/>
      <c r="T4012" s="43"/>
      <c r="U4012" s="43"/>
      <c r="V4012" s="43"/>
      <c r="W4012" s="43"/>
      <c r="X4012" s="43"/>
      <c r="Y4012" s="43"/>
      <c r="Z4012" s="43"/>
    </row>
    <row r="4013" spans="15:26" x14ac:dyDescent="0.25">
      <c r="O4013" s="43"/>
      <c r="P4013" s="43"/>
      <c r="Q4013" s="43"/>
      <c r="R4013" s="43"/>
      <c r="S4013" s="43"/>
      <c r="T4013" s="43"/>
      <c r="U4013" s="43"/>
      <c r="V4013" s="43"/>
      <c r="W4013" s="43"/>
      <c r="X4013" s="43"/>
      <c r="Y4013" s="43"/>
      <c r="Z4013" s="43"/>
    </row>
    <row r="4014" spans="15:26" x14ac:dyDescent="0.25">
      <c r="O4014" s="43"/>
      <c r="P4014" s="43"/>
      <c r="Q4014" s="43"/>
      <c r="R4014" s="43"/>
      <c r="S4014" s="43"/>
      <c r="T4014" s="43"/>
      <c r="U4014" s="43"/>
      <c r="V4014" s="43"/>
      <c r="W4014" s="43"/>
      <c r="X4014" s="43"/>
      <c r="Y4014" s="43"/>
      <c r="Z4014" s="43"/>
    </row>
    <row r="4015" spans="15:26" x14ac:dyDescent="0.25">
      <c r="O4015" s="43"/>
      <c r="P4015" s="43"/>
      <c r="Q4015" s="43"/>
      <c r="R4015" s="43"/>
      <c r="S4015" s="43"/>
      <c r="T4015" s="43"/>
      <c r="U4015" s="43"/>
      <c r="V4015" s="43"/>
      <c r="W4015" s="43"/>
      <c r="X4015" s="43"/>
      <c r="Y4015" s="43"/>
      <c r="Z4015" s="43"/>
    </row>
    <row r="4016" spans="15:26" x14ac:dyDescent="0.25">
      <c r="O4016" s="43"/>
      <c r="P4016" s="43"/>
      <c r="Q4016" s="43"/>
      <c r="R4016" s="43"/>
      <c r="S4016" s="43"/>
      <c r="T4016" s="43"/>
      <c r="U4016" s="43"/>
      <c r="V4016" s="43"/>
      <c r="W4016" s="43"/>
      <c r="X4016" s="43"/>
      <c r="Y4016" s="43"/>
      <c r="Z4016" s="43"/>
    </row>
    <row r="4017" spans="15:26" x14ac:dyDescent="0.25">
      <c r="O4017" s="43"/>
      <c r="P4017" s="43"/>
      <c r="Q4017" s="43"/>
      <c r="R4017" s="43"/>
      <c r="S4017" s="43"/>
      <c r="T4017" s="43"/>
      <c r="U4017" s="43"/>
      <c r="V4017" s="43"/>
      <c r="W4017" s="43"/>
      <c r="X4017" s="43"/>
      <c r="Y4017" s="43"/>
      <c r="Z4017" s="43"/>
    </row>
    <row r="4018" spans="15:26" x14ac:dyDescent="0.25">
      <c r="O4018" s="43"/>
      <c r="P4018" s="43"/>
      <c r="Q4018" s="43"/>
      <c r="R4018" s="43"/>
      <c r="S4018" s="43"/>
      <c r="T4018" s="43"/>
      <c r="U4018" s="43"/>
      <c r="V4018" s="43"/>
      <c r="W4018" s="43"/>
      <c r="X4018" s="43"/>
      <c r="Y4018" s="43"/>
      <c r="Z4018" s="43"/>
    </row>
    <row r="4019" spans="15:26" x14ac:dyDescent="0.25">
      <c r="O4019" s="43"/>
      <c r="P4019" s="43"/>
      <c r="Q4019" s="43"/>
      <c r="R4019" s="43"/>
      <c r="S4019" s="43"/>
      <c r="T4019" s="43"/>
      <c r="U4019" s="43"/>
      <c r="V4019" s="43"/>
      <c r="W4019" s="43"/>
      <c r="X4019" s="43"/>
      <c r="Y4019" s="43"/>
      <c r="Z4019" s="43"/>
    </row>
    <row r="4020" spans="15:26" x14ac:dyDescent="0.25">
      <c r="O4020" s="43"/>
      <c r="P4020" s="43"/>
      <c r="Q4020" s="43"/>
      <c r="R4020" s="43"/>
      <c r="S4020" s="43"/>
      <c r="T4020" s="43"/>
      <c r="U4020" s="43"/>
      <c r="V4020" s="43"/>
      <c r="W4020" s="43"/>
      <c r="X4020" s="43"/>
      <c r="Y4020" s="43"/>
      <c r="Z4020" s="43"/>
    </row>
  </sheetData>
  <phoneticPr fontId="17" type="noConversion"/>
  <pageMargins left="0.7" right="0.7" top="0.75" bottom="0.75" header="0.3" footer="0.3"/>
  <pageSetup paperSize="9" orientation="portrait" horizontalDpi="300"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626F3-A8F9-4BC1-B718-D84FA61E11F9}">
  <sheetPr>
    <tabColor theme="4" tint="-0.499984740745262"/>
  </sheetPr>
  <dimension ref="A1:AC5509"/>
  <sheetViews>
    <sheetView zoomScale="115" zoomScaleNormal="115" workbookViewId="0">
      <selection activeCell="B13" sqref="B13"/>
    </sheetView>
  </sheetViews>
  <sheetFormatPr defaultRowHeight="15" x14ac:dyDescent="0.25"/>
  <cols>
    <col min="1" max="1" width="21.140625" style="31" customWidth="1"/>
    <col min="2" max="2" width="48.28515625" customWidth="1"/>
    <col min="3" max="3" width="37.140625" customWidth="1"/>
    <col min="4" max="6" width="21.140625" customWidth="1"/>
    <col min="7" max="7" width="21" customWidth="1"/>
    <col min="8" max="29" width="21.140625" customWidth="1"/>
  </cols>
  <sheetData>
    <row r="1" spans="1:29" ht="24.95" customHeight="1" x14ac:dyDescent="0.25">
      <c r="A1" s="55" t="s">
        <v>0</v>
      </c>
      <c r="B1" s="22" t="s">
        <v>1</v>
      </c>
      <c r="C1" s="21" t="s">
        <v>2</v>
      </c>
      <c r="D1" s="22" t="s">
        <v>3</v>
      </c>
      <c r="E1" s="22" t="s">
        <v>4</v>
      </c>
      <c r="F1" s="21" t="s">
        <v>5</v>
      </c>
      <c r="G1" s="22" t="s">
        <v>6</v>
      </c>
      <c r="H1" s="22" t="s">
        <v>7</v>
      </c>
      <c r="I1" s="22" t="s">
        <v>8</v>
      </c>
      <c r="J1" s="22" t="s">
        <v>9</v>
      </c>
      <c r="K1" s="21" t="s">
        <v>10</v>
      </c>
      <c r="L1" s="21" t="s">
        <v>11</v>
      </c>
      <c r="M1" s="22" t="s">
        <v>12</v>
      </c>
      <c r="N1" s="22" t="s">
        <v>13</v>
      </c>
      <c r="O1" s="21" t="s">
        <v>14</v>
      </c>
      <c r="P1" s="21" t="s">
        <v>15</v>
      </c>
      <c r="Q1" s="21" t="s">
        <v>16</v>
      </c>
      <c r="R1" s="21" t="s">
        <v>17</v>
      </c>
      <c r="S1" s="21" t="s">
        <v>18</v>
      </c>
      <c r="T1" s="21" t="s">
        <v>1928</v>
      </c>
      <c r="U1" s="21" t="s">
        <v>19</v>
      </c>
      <c r="V1" s="21" t="s">
        <v>20</v>
      </c>
      <c r="W1" s="21" t="s">
        <v>21</v>
      </c>
      <c r="X1" s="21" t="s">
        <v>22</v>
      </c>
      <c r="Y1" s="21" t="s">
        <v>23</v>
      </c>
      <c r="Z1" s="21" t="s">
        <v>24</v>
      </c>
      <c r="AA1" s="21" t="s">
        <v>25</v>
      </c>
      <c r="AB1" s="21" t="s">
        <v>26</v>
      </c>
      <c r="AC1" s="21" t="s">
        <v>27</v>
      </c>
    </row>
    <row r="2" spans="1:29" x14ac:dyDescent="0.25">
      <c r="A2" s="56" t="s">
        <v>165</v>
      </c>
      <c r="B2" s="39" t="s">
        <v>877</v>
      </c>
      <c r="C2" s="43" t="s">
        <v>878</v>
      </c>
      <c r="D2" s="43">
        <v>1</v>
      </c>
      <c r="E2" s="43" t="s">
        <v>168</v>
      </c>
      <c r="F2" s="43">
        <v>1</v>
      </c>
      <c r="G2" s="43">
        <v>2026</v>
      </c>
      <c r="H2" s="43"/>
      <c r="I2" s="43">
        <v>187.3</v>
      </c>
      <c r="J2" s="43" t="s">
        <v>52</v>
      </c>
      <c r="K2" s="43" t="s">
        <v>47</v>
      </c>
      <c r="L2" s="43"/>
      <c r="M2" s="43">
        <v>0</v>
      </c>
      <c r="N2" s="43">
        <v>1</v>
      </c>
      <c r="O2" s="43">
        <v>0</v>
      </c>
      <c r="P2" s="43">
        <v>0</v>
      </c>
      <c r="Q2" s="43">
        <v>0</v>
      </c>
      <c r="R2" s="43">
        <v>0</v>
      </c>
      <c r="S2" s="43">
        <v>1</v>
      </c>
      <c r="T2" s="43">
        <v>1</v>
      </c>
      <c r="U2" s="43">
        <v>1</v>
      </c>
      <c r="V2" s="43">
        <v>0</v>
      </c>
      <c r="W2" s="43" t="s">
        <v>2051</v>
      </c>
      <c r="X2" s="43" t="s">
        <v>2052</v>
      </c>
      <c r="Y2" s="43">
        <v>0</v>
      </c>
      <c r="Z2" s="43">
        <v>2</v>
      </c>
      <c r="AA2" s="43">
        <v>2026</v>
      </c>
      <c r="AB2" s="43">
        <v>9999</v>
      </c>
      <c r="AC2" s="43" t="s">
        <v>2058</v>
      </c>
    </row>
    <row r="3" spans="1:29" x14ac:dyDescent="0.25">
      <c r="A3" s="56" t="s">
        <v>1834</v>
      </c>
      <c r="B3" s="39" t="s">
        <v>1835</v>
      </c>
      <c r="C3" s="43"/>
      <c r="D3" s="43">
        <v>1</v>
      </c>
      <c r="E3" s="43" t="s">
        <v>168</v>
      </c>
      <c r="F3" s="43">
        <v>1</v>
      </c>
      <c r="G3" s="43">
        <v>2026</v>
      </c>
      <c r="H3" s="43"/>
      <c r="I3" s="43">
        <v>101.8</v>
      </c>
      <c r="J3" s="43" t="s">
        <v>52</v>
      </c>
      <c r="K3" s="43" t="s">
        <v>32</v>
      </c>
      <c r="L3" s="43"/>
      <c r="M3" s="43">
        <v>0</v>
      </c>
      <c r="N3" s="43">
        <v>0</v>
      </c>
      <c r="O3" s="43">
        <v>0</v>
      </c>
      <c r="P3" s="43">
        <v>0</v>
      </c>
      <c r="Q3" s="43">
        <v>0</v>
      </c>
      <c r="R3" s="43">
        <v>0</v>
      </c>
      <c r="S3" s="43">
        <v>1</v>
      </c>
      <c r="T3" s="43">
        <v>1</v>
      </c>
      <c r="U3" s="43">
        <v>1</v>
      </c>
      <c r="V3" s="43">
        <v>0</v>
      </c>
      <c r="W3" s="43" t="s">
        <v>1836</v>
      </c>
      <c r="X3" s="43" t="s">
        <v>2039</v>
      </c>
      <c r="Y3" s="43">
        <v>0</v>
      </c>
      <c r="Z3" s="43">
        <v>1</v>
      </c>
      <c r="AA3" s="43">
        <v>2024</v>
      </c>
      <c r="AB3" s="43">
        <v>9999</v>
      </c>
      <c r="AC3" s="43" t="s">
        <v>1720</v>
      </c>
    </row>
    <row r="4" spans="1:29" x14ac:dyDescent="0.25">
      <c r="A4" s="56">
        <v>2021006347</v>
      </c>
      <c r="B4" s="39" t="s">
        <v>1717</v>
      </c>
      <c r="C4" s="43"/>
      <c r="D4" s="43">
        <v>1</v>
      </c>
      <c r="E4" s="43" t="s">
        <v>631</v>
      </c>
      <c r="F4" s="43">
        <v>8</v>
      </c>
      <c r="G4" s="43">
        <v>2026</v>
      </c>
      <c r="H4" s="43"/>
      <c r="I4" s="43">
        <v>71.900000000000006</v>
      </c>
      <c r="J4" s="43" t="s">
        <v>81</v>
      </c>
      <c r="K4" s="43" t="s">
        <v>47</v>
      </c>
      <c r="L4" s="43"/>
      <c r="M4" s="43">
        <v>1</v>
      </c>
      <c r="N4" s="43">
        <v>0</v>
      </c>
      <c r="O4" s="43">
        <v>0</v>
      </c>
      <c r="P4" s="43">
        <v>0</v>
      </c>
      <c r="Q4" s="43">
        <v>0</v>
      </c>
      <c r="R4" s="43">
        <v>0</v>
      </c>
      <c r="S4" s="43">
        <v>1</v>
      </c>
      <c r="T4" s="43">
        <v>1</v>
      </c>
      <c r="U4" s="43">
        <v>1</v>
      </c>
      <c r="V4" s="43">
        <v>0</v>
      </c>
      <c r="W4" s="43" t="s">
        <v>1718</v>
      </c>
      <c r="X4" s="43" t="s">
        <v>2000</v>
      </c>
      <c r="Y4" s="43">
        <v>2</v>
      </c>
      <c r="Z4" s="43">
        <v>0</v>
      </c>
      <c r="AA4" s="43">
        <v>2024</v>
      </c>
      <c r="AB4" s="43">
        <v>9999</v>
      </c>
      <c r="AC4" s="43" t="s">
        <v>1720</v>
      </c>
    </row>
    <row r="5" spans="1:29" x14ac:dyDescent="0.25">
      <c r="A5" s="56" t="s">
        <v>1614</v>
      </c>
      <c r="B5" s="39" t="s">
        <v>1615</v>
      </c>
      <c r="C5" s="43"/>
      <c r="D5" s="43">
        <v>1</v>
      </c>
      <c r="E5" s="43" t="s">
        <v>314</v>
      </c>
      <c r="F5" s="43">
        <v>2</v>
      </c>
      <c r="G5" s="43">
        <v>2026</v>
      </c>
      <c r="H5" s="43"/>
      <c r="I5" s="43">
        <v>35.5</v>
      </c>
      <c r="J5" s="43" t="s">
        <v>147</v>
      </c>
      <c r="K5" s="43" t="s">
        <v>47</v>
      </c>
      <c r="L5" s="43"/>
      <c r="M5" s="43">
        <v>0</v>
      </c>
      <c r="N5" s="43">
        <v>0</v>
      </c>
      <c r="O5" s="43">
        <v>0</v>
      </c>
      <c r="P5" s="43">
        <v>0</v>
      </c>
      <c r="Q5" s="43">
        <v>0</v>
      </c>
      <c r="R5" s="43">
        <v>0</v>
      </c>
      <c r="S5" s="43">
        <v>1</v>
      </c>
      <c r="T5" s="43">
        <v>1</v>
      </c>
      <c r="U5" s="43">
        <v>0</v>
      </c>
      <c r="V5" s="43">
        <v>0</v>
      </c>
      <c r="W5" s="43" t="s">
        <v>1616</v>
      </c>
      <c r="X5" s="43" t="s">
        <v>1735</v>
      </c>
      <c r="Y5" s="43">
        <v>0</v>
      </c>
      <c r="Z5" s="43">
        <v>1</v>
      </c>
      <c r="AA5" s="43">
        <v>2023</v>
      </c>
      <c r="AB5" s="43">
        <v>9999</v>
      </c>
      <c r="AC5" s="43" t="s">
        <v>1617</v>
      </c>
    </row>
    <row r="6" spans="1:29" x14ac:dyDescent="0.25">
      <c r="A6" s="56" t="s">
        <v>1592</v>
      </c>
      <c r="B6" s="39" t="s">
        <v>1593</v>
      </c>
      <c r="C6" s="43"/>
      <c r="D6" s="43">
        <v>1</v>
      </c>
      <c r="E6" s="43" t="s">
        <v>95</v>
      </c>
      <c r="F6" s="43">
        <v>10</v>
      </c>
      <c r="G6" s="43">
        <v>2026</v>
      </c>
      <c r="H6" s="43"/>
      <c r="I6" s="43">
        <v>29.1</v>
      </c>
      <c r="J6" s="43" t="s">
        <v>59</v>
      </c>
      <c r="K6" s="43" t="s">
        <v>32</v>
      </c>
      <c r="L6" s="43"/>
      <c r="M6" s="43">
        <v>0</v>
      </c>
      <c r="N6" s="43">
        <v>0</v>
      </c>
      <c r="O6" s="43">
        <v>0</v>
      </c>
      <c r="P6" s="43">
        <v>0</v>
      </c>
      <c r="Q6" s="43">
        <v>0</v>
      </c>
      <c r="R6" s="43">
        <v>0</v>
      </c>
      <c r="S6" s="43">
        <v>1</v>
      </c>
      <c r="T6" s="43">
        <v>1</v>
      </c>
      <c r="U6" s="43">
        <v>1</v>
      </c>
      <c r="V6" s="43">
        <v>0</v>
      </c>
      <c r="W6" s="43" t="s">
        <v>1962</v>
      </c>
      <c r="X6" s="43" t="s">
        <v>1966</v>
      </c>
      <c r="Y6" s="43">
        <v>0</v>
      </c>
      <c r="Z6" s="43">
        <v>1</v>
      </c>
      <c r="AA6" s="43">
        <v>2022</v>
      </c>
      <c r="AB6" s="43">
        <v>9999</v>
      </c>
      <c r="AC6" s="43" t="s">
        <v>1591</v>
      </c>
    </row>
    <row r="7" spans="1:29" x14ac:dyDescent="0.25">
      <c r="A7" s="56" t="s">
        <v>1596</v>
      </c>
      <c r="B7" s="39" t="s">
        <v>1597</v>
      </c>
      <c r="C7" s="43"/>
      <c r="D7" s="43">
        <v>1</v>
      </c>
      <c r="E7" s="43" t="s">
        <v>1251</v>
      </c>
      <c r="F7" s="43">
        <v>2</v>
      </c>
      <c r="G7" s="43">
        <v>2026</v>
      </c>
      <c r="H7" s="43"/>
      <c r="I7" s="43">
        <v>73.3</v>
      </c>
      <c r="J7" s="43" t="s">
        <v>147</v>
      </c>
      <c r="K7" s="43" t="s">
        <v>47</v>
      </c>
      <c r="L7" s="43"/>
      <c r="M7" s="43">
        <v>1</v>
      </c>
      <c r="N7" s="43">
        <v>0</v>
      </c>
      <c r="O7" s="43">
        <v>0</v>
      </c>
      <c r="P7" s="43">
        <v>0</v>
      </c>
      <c r="Q7" s="43">
        <v>0</v>
      </c>
      <c r="R7" s="43">
        <v>0</v>
      </c>
      <c r="S7" s="43">
        <v>1</v>
      </c>
      <c r="T7" s="43">
        <v>1</v>
      </c>
      <c r="U7" s="43">
        <v>1</v>
      </c>
      <c r="V7" s="43">
        <v>0</v>
      </c>
      <c r="W7" s="43" t="s">
        <v>1598</v>
      </c>
      <c r="X7" s="43" t="s">
        <v>2003</v>
      </c>
      <c r="Y7" s="43">
        <v>0</v>
      </c>
      <c r="Z7" s="43">
        <v>0</v>
      </c>
      <c r="AA7" s="43">
        <v>2022</v>
      </c>
      <c r="AB7" s="43">
        <v>9999</v>
      </c>
      <c r="AC7" s="43" t="s">
        <v>1591</v>
      </c>
    </row>
    <row r="8" spans="1:29" x14ac:dyDescent="0.25">
      <c r="A8" s="56" t="s">
        <v>1588</v>
      </c>
      <c r="B8" s="39" t="s">
        <v>1589</v>
      </c>
      <c r="C8" s="43"/>
      <c r="D8" s="43">
        <v>1</v>
      </c>
      <c r="E8" s="43" t="s">
        <v>38</v>
      </c>
      <c r="F8" s="43">
        <v>4</v>
      </c>
      <c r="G8" s="43">
        <v>2026</v>
      </c>
      <c r="H8" s="43" t="s">
        <v>837</v>
      </c>
      <c r="I8" s="43">
        <v>40</v>
      </c>
      <c r="J8" s="43" t="s">
        <v>40</v>
      </c>
      <c r="K8" s="43" t="s">
        <v>41</v>
      </c>
      <c r="L8" s="43"/>
      <c r="M8" s="43">
        <v>0</v>
      </c>
      <c r="N8" s="43">
        <v>0</v>
      </c>
      <c r="O8" s="43">
        <v>0</v>
      </c>
      <c r="P8" s="43">
        <v>0</v>
      </c>
      <c r="Q8" s="43">
        <v>0</v>
      </c>
      <c r="R8" s="43">
        <v>0</v>
      </c>
      <c r="S8" s="43">
        <v>0</v>
      </c>
      <c r="T8" s="43">
        <v>0</v>
      </c>
      <c r="U8" s="43">
        <v>0</v>
      </c>
      <c r="V8" s="43">
        <v>0</v>
      </c>
      <c r="W8" s="43" t="s">
        <v>1590</v>
      </c>
      <c r="X8" s="43" t="s">
        <v>1953</v>
      </c>
      <c r="Y8" s="43">
        <v>0</v>
      </c>
      <c r="Z8" s="43">
        <v>0</v>
      </c>
      <c r="AA8" s="43">
        <v>2022</v>
      </c>
      <c r="AB8" s="43">
        <v>9999</v>
      </c>
      <c r="AC8" s="43" t="s">
        <v>1591</v>
      </c>
    </row>
    <row r="9" spans="1:29" x14ac:dyDescent="0.25">
      <c r="A9" s="56" t="s">
        <v>1576</v>
      </c>
      <c r="B9" s="39" t="s">
        <v>1577</v>
      </c>
      <c r="C9" s="43"/>
      <c r="D9" s="43">
        <v>1</v>
      </c>
      <c r="E9" s="43" t="s">
        <v>358</v>
      </c>
      <c r="F9" s="43">
        <v>1</v>
      </c>
      <c r="G9" s="43">
        <v>2026</v>
      </c>
      <c r="H9" s="43" t="s">
        <v>1558</v>
      </c>
      <c r="I9" s="43">
        <v>7</v>
      </c>
      <c r="J9" s="43" t="s">
        <v>104</v>
      </c>
      <c r="K9" s="43" t="s">
        <v>41</v>
      </c>
      <c r="L9" s="43"/>
      <c r="M9" s="43">
        <v>0</v>
      </c>
      <c r="N9" s="43">
        <v>0</v>
      </c>
      <c r="O9" s="43">
        <v>0</v>
      </c>
      <c r="P9" s="43">
        <v>0</v>
      </c>
      <c r="Q9" s="43">
        <v>0</v>
      </c>
      <c r="R9" s="43">
        <v>0</v>
      </c>
      <c r="S9" s="43">
        <v>0</v>
      </c>
      <c r="T9" s="43">
        <v>1</v>
      </c>
      <c r="U9" s="43">
        <v>0</v>
      </c>
      <c r="V9" s="43">
        <v>0</v>
      </c>
      <c r="W9" s="43" t="s">
        <v>1578</v>
      </c>
      <c r="X9" s="43" t="s">
        <v>1745</v>
      </c>
      <c r="Y9" s="43">
        <v>0</v>
      </c>
      <c r="Z9" s="43">
        <v>0</v>
      </c>
      <c r="AA9" s="43">
        <v>2020</v>
      </c>
      <c r="AB9" s="43">
        <v>9999</v>
      </c>
      <c r="AC9" s="43" t="s">
        <v>1579</v>
      </c>
    </row>
    <row r="10" spans="1:29" x14ac:dyDescent="0.25">
      <c r="A10" s="56" t="s">
        <v>1565</v>
      </c>
      <c r="B10" s="39" t="s">
        <v>1566</v>
      </c>
      <c r="C10" s="43" t="s">
        <v>1567</v>
      </c>
      <c r="D10" s="43">
        <v>1</v>
      </c>
      <c r="E10" s="43"/>
      <c r="F10" s="43">
        <v>1</v>
      </c>
      <c r="G10" s="43">
        <v>2026</v>
      </c>
      <c r="H10" s="43"/>
      <c r="I10" s="43">
        <v>183.6</v>
      </c>
      <c r="J10" s="43" t="s">
        <v>52</v>
      </c>
      <c r="K10" s="43" t="s">
        <v>47</v>
      </c>
      <c r="L10" s="43"/>
      <c r="M10" s="43">
        <v>0</v>
      </c>
      <c r="N10" s="43">
        <v>0</v>
      </c>
      <c r="O10" s="43">
        <v>0</v>
      </c>
      <c r="P10" s="43">
        <v>0</v>
      </c>
      <c r="Q10" s="43">
        <v>0</v>
      </c>
      <c r="R10" s="43">
        <v>0</v>
      </c>
      <c r="S10" s="43">
        <v>1</v>
      </c>
      <c r="T10" s="43">
        <v>1</v>
      </c>
      <c r="U10" s="43">
        <v>1</v>
      </c>
      <c r="V10" s="43">
        <v>0</v>
      </c>
      <c r="W10" s="43" t="s">
        <v>1568</v>
      </c>
      <c r="X10" s="43" t="s">
        <v>1876</v>
      </c>
      <c r="Y10" s="43">
        <v>0</v>
      </c>
      <c r="Z10" s="43">
        <v>1</v>
      </c>
      <c r="AA10" s="43">
        <v>2019</v>
      </c>
      <c r="AB10" s="43">
        <v>9999</v>
      </c>
      <c r="AC10" s="43" t="s">
        <v>1560</v>
      </c>
    </row>
    <row r="11" spans="1:29" x14ac:dyDescent="0.25">
      <c r="A11" s="56" t="s">
        <v>1557</v>
      </c>
      <c r="B11" s="39" t="s">
        <v>1558</v>
      </c>
      <c r="C11" s="43"/>
      <c r="D11" s="43">
        <v>1</v>
      </c>
      <c r="E11" s="43" t="s">
        <v>358</v>
      </c>
      <c r="F11" s="43">
        <v>1</v>
      </c>
      <c r="G11" s="43">
        <v>2026</v>
      </c>
      <c r="H11" s="43"/>
      <c r="I11" s="43">
        <v>33</v>
      </c>
      <c r="J11" s="43" t="s">
        <v>104</v>
      </c>
      <c r="K11" s="43" t="s">
        <v>47</v>
      </c>
      <c r="L11" s="43"/>
      <c r="M11" s="43">
        <v>0</v>
      </c>
      <c r="N11" s="43">
        <v>0</v>
      </c>
      <c r="O11" s="43">
        <v>0</v>
      </c>
      <c r="P11" s="43">
        <v>0</v>
      </c>
      <c r="Q11" s="43">
        <v>0</v>
      </c>
      <c r="R11" s="43">
        <v>0</v>
      </c>
      <c r="S11" s="43">
        <v>1</v>
      </c>
      <c r="T11" s="43">
        <v>1</v>
      </c>
      <c r="U11" s="43">
        <v>1</v>
      </c>
      <c r="V11" s="43">
        <v>0</v>
      </c>
      <c r="W11" s="43" t="s">
        <v>1559</v>
      </c>
      <c r="X11" s="43" t="s">
        <v>1650</v>
      </c>
      <c r="Y11" s="43">
        <v>1</v>
      </c>
      <c r="Z11" s="43">
        <v>0</v>
      </c>
      <c r="AA11" s="43">
        <v>2019</v>
      </c>
      <c r="AB11" s="43">
        <v>9999</v>
      </c>
      <c r="AC11" s="43" t="s">
        <v>1560</v>
      </c>
    </row>
    <row r="12" spans="1:29" x14ac:dyDescent="0.25">
      <c r="A12" s="56" t="s">
        <v>1540</v>
      </c>
      <c r="B12" s="39" t="s">
        <v>1541</v>
      </c>
      <c r="C12" s="43"/>
      <c r="D12" s="43">
        <v>1</v>
      </c>
      <c r="E12" s="43" t="s">
        <v>58</v>
      </c>
      <c r="F12" s="43">
        <v>4</v>
      </c>
      <c r="G12" s="43">
        <v>2026</v>
      </c>
      <c r="H12" s="43"/>
      <c r="I12" s="43">
        <v>124.6</v>
      </c>
      <c r="J12" s="43" t="s">
        <v>59</v>
      </c>
      <c r="K12" s="43" t="s">
        <v>47</v>
      </c>
      <c r="L12" s="43"/>
      <c r="M12" s="43">
        <v>1</v>
      </c>
      <c r="N12" s="43">
        <v>0</v>
      </c>
      <c r="O12" s="43">
        <v>0</v>
      </c>
      <c r="P12" s="43">
        <v>0</v>
      </c>
      <c r="Q12" s="43">
        <v>0</v>
      </c>
      <c r="R12" s="43">
        <v>0</v>
      </c>
      <c r="S12" s="43">
        <v>1</v>
      </c>
      <c r="T12" s="43">
        <v>1</v>
      </c>
      <c r="U12" s="43">
        <v>1</v>
      </c>
      <c r="V12" s="43">
        <v>0</v>
      </c>
      <c r="W12" s="43" t="s">
        <v>1542</v>
      </c>
      <c r="X12" s="43" t="s">
        <v>1864</v>
      </c>
      <c r="Y12" s="43">
        <v>0</v>
      </c>
      <c r="Z12" s="43">
        <v>0</v>
      </c>
      <c r="AA12" s="43">
        <v>2018</v>
      </c>
      <c r="AB12" s="43">
        <v>9999</v>
      </c>
      <c r="AC12" s="43" t="s">
        <v>1543</v>
      </c>
    </row>
    <row r="13" spans="1:29" x14ac:dyDescent="0.25">
      <c r="A13" s="56" t="s">
        <v>1544</v>
      </c>
      <c r="B13" s="39" t="s">
        <v>1545</v>
      </c>
      <c r="C13" s="43"/>
      <c r="D13" s="43">
        <v>1</v>
      </c>
      <c r="E13" s="43" t="s">
        <v>1546</v>
      </c>
      <c r="F13" s="43">
        <v>5</v>
      </c>
      <c r="G13" s="43">
        <v>2026</v>
      </c>
      <c r="H13" s="43" t="s">
        <v>214</v>
      </c>
      <c r="I13" s="43">
        <v>5</v>
      </c>
      <c r="J13" s="43" t="s">
        <v>1610</v>
      </c>
      <c r="K13" s="43" t="s">
        <v>41</v>
      </c>
      <c r="L13" s="43"/>
      <c r="M13" s="43">
        <v>0</v>
      </c>
      <c r="N13" s="43">
        <v>0</v>
      </c>
      <c r="O13" s="43">
        <v>0</v>
      </c>
      <c r="P13" s="43">
        <v>0</v>
      </c>
      <c r="Q13" s="43">
        <v>0</v>
      </c>
      <c r="R13" s="43">
        <v>0</v>
      </c>
      <c r="S13" s="43">
        <v>0</v>
      </c>
      <c r="T13" s="43">
        <v>0</v>
      </c>
      <c r="U13" s="43">
        <v>0</v>
      </c>
      <c r="V13" s="43">
        <v>0</v>
      </c>
      <c r="W13" s="43" t="s">
        <v>1547</v>
      </c>
      <c r="X13" s="43" t="s">
        <v>1696</v>
      </c>
      <c r="Y13" s="43">
        <v>0</v>
      </c>
      <c r="Z13" s="43">
        <v>0</v>
      </c>
      <c r="AA13" s="43">
        <v>2018</v>
      </c>
      <c r="AB13" s="43">
        <v>9999</v>
      </c>
      <c r="AC13" s="43" t="s">
        <v>1543</v>
      </c>
    </row>
    <row r="14" spans="1:29" x14ac:dyDescent="0.25">
      <c r="A14" s="56" t="s">
        <v>1529</v>
      </c>
      <c r="B14" s="39" t="s">
        <v>1530</v>
      </c>
      <c r="C14" s="43"/>
      <c r="D14" s="43">
        <v>1</v>
      </c>
      <c r="E14" s="43"/>
      <c r="F14" s="43">
        <v>8</v>
      </c>
      <c r="G14" s="43">
        <v>2026</v>
      </c>
      <c r="H14" s="43"/>
      <c r="I14" s="43">
        <v>5</v>
      </c>
      <c r="J14" s="43" t="s">
        <v>81</v>
      </c>
      <c r="K14" s="43" t="s">
        <v>32</v>
      </c>
      <c r="L14" s="43"/>
      <c r="M14" s="43">
        <v>0</v>
      </c>
      <c r="N14" s="43">
        <v>0</v>
      </c>
      <c r="O14" s="43">
        <v>0</v>
      </c>
      <c r="P14" s="43">
        <v>0</v>
      </c>
      <c r="Q14" s="43">
        <v>0</v>
      </c>
      <c r="R14" s="43">
        <v>0</v>
      </c>
      <c r="S14" s="43">
        <v>0</v>
      </c>
      <c r="T14" s="43">
        <v>0</v>
      </c>
      <c r="U14" s="43">
        <v>1</v>
      </c>
      <c r="V14" s="43">
        <v>0</v>
      </c>
      <c r="W14" s="43" t="s">
        <v>1531</v>
      </c>
      <c r="X14" s="43" t="s">
        <v>1816</v>
      </c>
      <c r="Y14" s="43">
        <v>1</v>
      </c>
      <c r="Z14" s="43">
        <v>0</v>
      </c>
      <c r="AA14" s="43">
        <v>2017</v>
      </c>
      <c r="AB14" s="43">
        <v>9999</v>
      </c>
      <c r="AC14" s="43" t="s">
        <v>1532</v>
      </c>
    </row>
    <row r="15" spans="1:29" x14ac:dyDescent="0.25">
      <c r="A15" s="56" t="s">
        <v>1478</v>
      </c>
      <c r="B15" s="39" t="s">
        <v>360</v>
      </c>
      <c r="C15" s="43"/>
      <c r="D15" s="43">
        <v>4</v>
      </c>
      <c r="E15" s="43" t="s">
        <v>155</v>
      </c>
      <c r="F15" s="43">
        <v>3</v>
      </c>
      <c r="G15" s="43">
        <v>2026</v>
      </c>
      <c r="H15" s="43"/>
      <c r="I15" s="43">
        <v>393.16</v>
      </c>
      <c r="J15" s="43" t="s">
        <v>121</v>
      </c>
      <c r="K15" s="43" t="s">
        <v>53</v>
      </c>
      <c r="L15" s="43" t="s">
        <v>60</v>
      </c>
      <c r="M15" s="43">
        <v>0</v>
      </c>
      <c r="N15" s="43">
        <v>0</v>
      </c>
      <c r="O15" s="43">
        <v>1</v>
      </c>
      <c r="P15" s="43">
        <v>0</v>
      </c>
      <c r="Q15" s="43">
        <v>0</v>
      </c>
      <c r="R15" s="43">
        <v>0</v>
      </c>
      <c r="S15" s="43">
        <v>1</v>
      </c>
      <c r="T15" s="43">
        <v>0</v>
      </c>
      <c r="U15" s="43">
        <v>0</v>
      </c>
      <c r="V15" s="43">
        <v>1</v>
      </c>
      <c r="W15" s="43" t="s">
        <v>361</v>
      </c>
      <c r="X15" s="43" t="s">
        <v>1971</v>
      </c>
      <c r="Y15" s="43">
        <v>0</v>
      </c>
      <c r="Z15" s="43">
        <v>0</v>
      </c>
      <c r="AA15" s="43">
        <v>2007</v>
      </c>
      <c r="AB15" s="43">
        <v>9999</v>
      </c>
      <c r="AC15" s="43" t="s">
        <v>1475</v>
      </c>
    </row>
    <row r="16" spans="1:29" x14ac:dyDescent="0.25">
      <c r="A16" s="56" t="s">
        <v>1474</v>
      </c>
      <c r="B16" s="39" t="s">
        <v>290</v>
      </c>
      <c r="C16" s="43"/>
      <c r="D16" s="43">
        <v>1</v>
      </c>
      <c r="E16" s="43" t="s">
        <v>103</v>
      </c>
      <c r="F16" s="43">
        <v>9</v>
      </c>
      <c r="G16" s="43">
        <v>2026</v>
      </c>
      <c r="H16" s="43"/>
      <c r="I16" s="43">
        <v>534</v>
      </c>
      <c r="J16" s="43" t="s">
        <v>104</v>
      </c>
      <c r="K16" s="43" t="s">
        <v>53</v>
      </c>
      <c r="L16" s="43" t="s">
        <v>105</v>
      </c>
      <c r="M16" s="43">
        <v>0</v>
      </c>
      <c r="N16" s="43">
        <v>0</v>
      </c>
      <c r="O16" s="43">
        <v>0</v>
      </c>
      <c r="P16" s="43">
        <v>1</v>
      </c>
      <c r="Q16" s="43">
        <v>0</v>
      </c>
      <c r="R16" s="43">
        <v>0</v>
      </c>
      <c r="S16" s="43">
        <v>1</v>
      </c>
      <c r="T16" s="43">
        <v>1</v>
      </c>
      <c r="U16" s="43">
        <v>1</v>
      </c>
      <c r="V16" s="43">
        <v>0</v>
      </c>
      <c r="W16" s="43" t="s">
        <v>106</v>
      </c>
      <c r="X16" s="43" t="s">
        <v>1941</v>
      </c>
      <c r="Y16" s="43">
        <v>0</v>
      </c>
      <c r="Z16" s="43">
        <v>0</v>
      </c>
      <c r="AA16" s="43">
        <v>2007</v>
      </c>
      <c r="AB16" s="43">
        <v>9999</v>
      </c>
      <c r="AC16" s="43" t="s">
        <v>1475</v>
      </c>
    </row>
    <row r="17" spans="1:29" x14ac:dyDescent="0.25">
      <c r="A17" s="56" t="s">
        <v>1489</v>
      </c>
      <c r="B17" s="39" t="s">
        <v>619</v>
      </c>
      <c r="C17" s="43"/>
      <c r="D17" s="43">
        <v>1</v>
      </c>
      <c r="E17" s="43" t="s">
        <v>620</v>
      </c>
      <c r="F17" s="43">
        <v>5</v>
      </c>
      <c r="G17" s="43">
        <v>2026</v>
      </c>
      <c r="H17" s="43"/>
      <c r="I17" s="43">
        <v>51.2</v>
      </c>
      <c r="J17" s="43" t="s">
        <v>104</v>
      </c>
      <c r="K17" s="43" t="s">
        <v>47</v>
      </c>
      <c r="L17" s="43"/>
      <c r="M17" s="43">
        <v>1</v>
      </c>
      <c r="N17" s="43">
        <v>0</v>
      </c>
      <c r="O17" s="43">
        <v>0</v>
      </c>
      <c r="P17" s="43">
        <v>0</v>
      </c>
      <c r="Q17" s="43">
        <v>0</v>
      </c>
      <c r="R17" s="43">
        <v>0</v>
      </c>
      <c r="S17" s="43">
        <v>1</v>
      </c>
      <c r="T17" s="43">
        <v>1</v>
      </c>
      <c r="U17" s="43">
        <v>1</v>
      </c>
      <c r="V17" s="43">
        <v>0</v>
      </c>
      <c r="W17" s="43" t="s">
        <v>1141</v>
      </c>
      <c r="X17" s="43" t="s">
        <v>2011</v>
      </c>
      <c r="Y17" s="43">
        <v>0</v>
      </c>
      <c r="Z17" s="43">
        <v>0</v>
      </c>
      <c r="AA17" s="43">
        <v>2007</v>
      </c>
      <c r="AB17" s="43">
        <v>9999</v>
      </c>
      <c r="AC17" s="43" t="s">
        <v>1475</v>
      </c>
    </row>
    <row r="18" spans="1:29" x14ac:dyDescent="0.25">
      <c r="A18" s="56" t="s">
        <v>1510</v>
      </c>
      <c r="B18" s="39" t="s">
        <v>1511</v>
      </c>
      <c r="C18" s="43"/>
      <c r="D18" s="43">
        <v>1</v>
      </c>
      <c r="E18" s="43">
        <v>411</v>
      </c>
      <c r="F18" s="43">
        <v>4</v>
      </c>
      <c r="G18" s="43">
        <v>2026</v>
      </c>
      <c r="H18" s="43"/>
      <c r="I18" s="43">
        <v>61.6</v>
      </c>
      <c r="J18" s="43" t="s">
        <v>52</v>
      </c>
      <c r="K18" s="43" t="s">
        <v>47</v>
      </c>
      <c r="L18" s="43"/>
      <c r="M18" s="43">
        <v>1</v>
      </c>
      <c r="N18" s="43">
        <v>0</v>
      </c>
      <c r="O18" s="43">
        <v>0</v>
      </c>
      <c r="P18" s="43">
        <v>0</v>
      </c>
      <c r="Q18" s="43">
        <v>0</v>
      </c>
      <c r="R18" s="43">
        <v>0</v>
      </c>
      <c r="S18" s="43">
        <v>1</v>
      </c>
      <c r="T18" s="43">
        <v>1</v>
      </c>
      <c r="U18" s="43">
        <v>1</v>
      </c>
      <c r="V18" s="43">
        <v>0</v>
      </c>
      <c r="W18" s="43" t="s">
        <v>1512</v>
      </c>
      <c r="X18" s="43" t="s">
        <v>1833</v>
      </c>
      <c r="Y18" s="43">
        <v>0</v>
      </c>
      <c r="Z18" s="43">
        <v>0</v>
      </c>
      <c r="AA18" s="43">
        <v>2015</v>
      </c>
      <c r="AB18" s="43">
        <v>9999</v>
      </c>
      <c r="AC18" s="43" t="s">
        <v>1475</v>
      </c>
    </row>
    <row r="19" spans="1:29" x14ac:dyDescent="0.25">
      <c r="A19" s="56" t="s">
        <v>1499</v>
      </c>
      <c r="B19" s="39" t="s">
        <v>1500</v>
      </c>
      <c r="C19" s="43"/>
      <c r="D19" s="43">
        <v>1</v>
      </c>
      <c r="E19" s="43">
        <v>960</v>
      </c>
      <c r="F19" s="43">
        <v>9</v>
      </c>
      <c r="G19" s="43">
        <v>2026</v>
      </c>
      <c r="H19" s="43"/>
      <c r="I19" s="43">
        <v>19</v>
      </c>
      <c r="J19" s="43" t="s">
        <v>104</v>
      </c>
      <c r="K19" s="43" t="s">
        <v>47</v>
      </c>
      <c r="L19" s="43"/>
      <c r="M19" s="43">
        <v>0</v>
      </c>
      <c r="N19" s="43">
        <v>0</v>
      </c>
      <c r="O19" s="43">
        <v>0</v>
      </c>
      <c r="P19" s="43">
        <v>0</v>
      </c>
      <c r="Q19" s="43">
        <v>0</v>
      </c>
      <c r="R19" s="43">
        <v>0</v>
      </c>
      <c r="S19" s="43">
        <v>1</v>
      </c>
      <c r="T19" s="43">
        <v>1</v>
      </c>
      <c r="U19" s="43">
        <v>1</v>
      </c>
      <c r="V19" s="43">
        <v>0</v>
      </c>
      <c r="W19" s="43" t="s">
        <v>1501</v>
      </c>
      <c r="X19" s="43" t="s">
        <v>2049</v>
      </c>
      <c r="Y19" s="43">
        <v>2</v>
      </c>
      <c r="Z19" s="43">
        <v>0</v>
      </c>
      <c r="AA19" s="43">
        <v>2015</v>
      </c>
      <c r="AB19" s="43">
        <v>9999</v>
      </c>
      <c r="AC19" s="43" t="s">
        <v>1475</v>
      </c>
    </row>
    <row r="20" spans="1:29" x14ac:dyDescent="0.25">
      <c r="A20" s="56" t="s">
        <v>1446</v>
      </c>
      <c r="B20" s="39" t="s">
        <v>1447</v>
      </c>
      <c r="C20" s="43"/>
      <c r="D20" s="43">
        <v>1</v>
      </c>
      <c r="E20" s="43">
        <v>711</v>
      </c>
      <c r="F20" s="43">
        <v>7</v>
      </c>
      <c r="G20" s="43">
        <v>2026</v>
      </c>
      <c r="H20" s="43"/>
      <c r="I20" s="43">
        <v>574.29999999999995</v>
      </c>
      <c r="J20" s="43" t="s">
        <v>40</v>
      </c>
      <c r="K20" s="43" t="s">
        <v>32</v>
      </c>
      <c r="L20" s="43"/>
      <c r="M20" s="43">
        <v>0</v>
      </c>
      <c r="N20" s="43">
        <v>0</v>
      </c>
      <c r="O20" s="43">
        <v>0</v>
      </c>
      <c r="P20" s="43">
        <v>0</v>
      </c>
      <c r="Q20" s="43">
        <v>0</v>
      </c>
      <c r="R20" s="43">
        <v>0</v>
      </c>
      <c r="S20" s="43">
        <v>1</v>
      </c>
      <c r="T20" s="43">
        <v>1</v>
      </c>
      <c r="U20" s="43">
        <v>1</v>
      </c>
      <c r="V20" s="43">
        <v>0</v>
      </c>
      <c r="W20" s="43" t="s">
        <v>1448</v>
      </c>
      <c r="X20" s="43" t="s">
        <v>1935</v>
      </c>
      <c r="Y20" s="43">
        <v>0</v>
      </c>
      <c r="Z20" s="43">
        <v>0</v>
      </c>
      <c r="AA20" s="43">
        <v>2014</v>
      </c>
      <c r="AB20" s="43">
        <v>9999</v>
      </c>
      <c r="AC20" s="43" t="s">
        <v>1449</v>
      </c>
    </row>
    <row r="21" spans="1:29" x14ac:dyDescent="0.25">
      <c r="A21" s="56" t="s">
        <v>1451</v>
      </c>
      <c r="B21" s="39" t="s">
        <v>1452</v>
      </c>
      <c r="C21" s="43"/>
      <c r="D21" s="43">
        <v>1</v>
      </c>
      <c r="E21" s="43">
        <v>760</v>
      </c>
      <c r="F21" s="43">
        <v>7</v>
      </c>
      <c r="G21" s="43">
        <v>2026</v>
      </c>
      <c r="H21" s="43"/>
      <c r="I21" s="43">
        <v>598.5</v>
      </c>
      <c r="J21" s="43" t="s">
        <v>40</v>
      </c>
      <c r="K21" s="43" t="s">
        <v>47</v>
      </c>
      <c r="L21" s="43"/>
      <c r="M21" s="43">
        <v>1</v>
      </c>
      <c r="N21" s="43">
        <v>0</v>
      </c>
      <c r="O21" s="43">
        <v>0</v>
      </c>
      <c r="P21" s="43">
        <v>0</v>
      </c>
      <c r="Q21" s="43">
        <v>0</v>
      </c>
      <c r="R21" s="43">
        <v>0</v>
      </c>
      <c r="S21" s="43">
        <v>1</v>
      </c>
      <c r="T21" s="43">
        <v>1</v>
      </c>
      <c r="U21" s="43">
        <v>1</v>
      </c>
      <c r="V21" s="43">
        <v>0</v>
      </c>
      <c r="W21" s="43" t="s">
        <v>1587</v>
      </c>
      <c r="X21" s="43" t="s">
        <v>1952</v>
      </c>
      <c r="Y21" s="43">
        <v>0</v>
      </c>
      <c r="Z21" s="43">
        <v>0</v>
      </c>
      <c r="AA21" s="43">
        <v>2014</v>
      </c>
      <c r="AB21" s="43">
        <v>9999</v>
      </c>
      <c r="AC21" s="43" t="s">
        <v>1449</v>
      </c>
    </row>
    <row r="22" spans="1:29" x14ac:dyDescent="0.25">
      <c r="A22" s="56" t="s">
        <v>1457</v>
      </c>
      <c r="B22" s="39" t="s">
        <v>1458</v>
      </c>
      <c r="C22" s="43" t="s">
        <v>1459</v>
      </c>
      <c r="D22" s="43">
        <v>1</v>
      </c>
      <c r="E22" s="43">
        <v>760</v>
      </c>
      <c r="F22" s="43">
        <v>7</v>
      </c>
      <c r="G22" s="43">
        <v>2026</v>
      </c>
      <c r="H22" s="43"/>
      <c r="I22" s="43">
        <v>739.4</v>
      </c>
      <c r="J22" s="43" t="s">
        <v>40</v>
      </c>
      <c r="K22" s="43" t="s">
        <v>47</v>
      </c>
      <c r="L22" s="43"/>
      <c r="M22" s="43">
        <v>1</v>
      </c>
      <c r="N22" s="43">
        <v>0</v>
      </c>
      <c r="O22" s="43">
        <v>0</v>
      </c>
      <c r="P22" s="43">
        <v>0</v>
      </c>
      <c r="Q22" s="43">
        <v>0</v>
      </c>
      <c r="R22" s="43">
        <v>0</v>
      </c>
      <c r="S22" s="43">
        <v>1</v>
      </c>
      <c r="T22" s="43">
        <v>1</v>
      </c>
      <c r="U22" s="43">
        <v>1</v>
      </c>
      <c r="V22" s="43">
        <v>0</v>
      </c>
      <c r="W22" s="43" t="s">
        <v>1460</v>
      </c>
      <c r="X22" s="43" t="s">
        <v>1685</v>
      </c>
      <c r="Y22" s="43">
        <v>0</v>
      </c>
      <c r="Z22" s="43">
        <v>0</v>
      </c>
      <c r="AA22" s="43">
        <v>2014</v>
      </c>
      <c r="AB22" s="43">
        <v>9999</v>
      </c>
      <c r="AC22" s="43" t="s">
        <v>1449</v>
      </c>
    </row>
    <row r="23" spans="1:29" x14ac:dyDescent="0.25">
      <c r="A23" s="56">
        <v>2021006560</v>
      </c>
      <c r="B23" s="39" t="s">
        <v>1469</v>
      </c>
      <c r="C23" s="43"/>
      <c r="D23" s="43">
        <v>1</v>
      </c>
      <c r="E23" s="43">
        <v>941</v>
      </c>
      <c r="F23" s="43">
        <v>9</v>
      </c>
      <c r="G23" s="43">
        <v>2026</v>
      </c>
      <c r="H23" s="43"/>
      <c r="I23" s="43">
        <v>190.2</v>
      </c>
      <c r="J23" s="43" t="s">
        <v>104</v>
      </c>
      <c r="K23" s="43" t="s">
        <v>53</v>
      </c>
      <c r="L23" s="43" t="s">
        <v>105</v>
      </c>
      <c r="M23" s="43">
        <v>0</v>
      </c>
      <c r="N23" s="43">
        <v>0</v>
      </c>
      <c r="O23" s="43">
        <v>0</v>
      </c>
      <c r="P23" s="43">
        <v>1</v>
      </c>
      <c r="Q23" s="43">
        <v>0</v>
      </c>
      <c r="R23" s="43">
        <v>0</v>
      </c>
      <c r="S23" s="43">
        <v>1</v>
      </c>
      <c r="T23" s="43">
        <v>1</v>
      </c>
      <c r="U23" s="43">
        <v>1</v>
      </c>
      <c r="V23" s="43">
        <v>0</v>
      </c>
      <c r="W23" s="43" t="s">
        <v>106</v>
      </c>
      <c r="X23" s="43" t="s">
        <v>1941</v>
      </c>
      <c r="Y23" s="43">
        <v>0</v>
      </c>
      <c r="Z23" s="43">
        <v>0</v>
      </c>
      <c r="AA23" s="43">
        <v>2014</v>
      </c>
      <c r="AB23" s="43">
        <v>9999</v>
      </c>
      <c r="AC23" s="43" t="s">
        <v>1449</v>
      </c>
    </row>
    <row r="24" spans="1:29" x14ac:dyDescent="0.25">
      <c r="A24" s="56" t="s">
        <v>1433</v>
      </c>
      <c r="B24" s="39" t="s">
        <v>1434</v>
      </c>
      <c r="C24" s="43"/>
      <c r="D24" s="43">
        <v>1</v>
      </c>
      <c r="E24" s="43">
        <v>133</v>
      </c>
      <c r="F24" s="43">
        <v>1</v>
      </c>
      <c r="G24" s="43">
        <v>2026</v>
      </c>
      <c r="H24" s="43"/>
      <c r="I24" s="43">
        <v>1343.8</v>
      </c>
      <c r="J24" s="43" t="s">
        <v>52</v>
      </c>
      <c r="K24" s="43" t="s">
        <v>32</v>
      </c>
      <c r="L24" s="43"/>
      <c r="M24" s="43">
        <v>0</v>
      </c>
      <c r="N24" s="43">
        <v>0</v>
      </c>
      <c r="O24" s="43">
        <v>0</v>
      </c>
      <c r="P24" s="43">
        <v>0</v>
      </c>
      <c r="Q24" s="43">
        <v>0</v>
      </c>
      <c r="R24" s="43">
        <v>0</v>
      </c>
      <c r="S24" s="43">
        <v>1</v>
      </c>
      <c r="T24" s="43">
        <v>1</v>
      </c>
      <c r="U24" s="43">
        <v>1</v>
      </c>
      <c r="V24" s="43">
        <v>0</v>
      </c>
      <c r="W24" s="43" t="s">
        <v>1435</v>
      </c>
      <c r="X24" s="43" t="s">
        <v>1797</v>
      </c>
      <c r="Y24" s="43">
        <v>0</v>
      </c>
      <c r="Z24" s="43">
        <v>0</v>
      </c>
      <c r="AA24" s="43">
        <v>2013</v>
      </c>
      <c r="AB24" s="43">
        <v>9999</v>
      </c>
      <c r="AC24" s="43" t="s">
        <v>1419</v>
      </c>
    </row>
    <row r="25" spans="1:29" x14ac:dyDescent="0.25">
      <c r="A25" s="56" t="s">
        <v>1416</v>
      </c>
      <c r="B25" s="39" t="s">
        <v>1417</v>
      </c>
      <c r="C25" s="43"/>
      <c r="D25" s="43">
        <v>1</v>
      </c>
      <c r="E25" s="43" t="s">
        <v>38</v>
      </c>
      <c r="F25" s="43">
        <v>4</v>
      </c>
      <c r="G25" s="43">
        <v>2026</v>
      </c>
      <c r="H25" s="43" t="s">
        <v>998</v>
      </c>
      <c r="I25" s="43">
        <v>0</v>
      </c>
      <c r="J25" s="43" t="s">
        <v>1608</v>
      </c>
      <c r="K25" s="43" t="s">
        <v>41</v>
      </c>
      <c r="L25" s="43"/>
      <c r="M25" s="43">
        <v>0</v>
      </c>
      <c r="N25" s="43">
        <v>0</v>
      </c>
      <c r="O25" s="43">
        <v>0</v>
      </c>
      <c r="P25" s="43">
        <v>0</v>
      </c>
      <c r="Q25" s="43">
        <v>0</v>
      </c>
      <c r="R25" s="43">
        <v>0</v>
      </c>
      <c r="S25" s="43">
        <v>0</v>
      </c>
      <c r="T25" s="43">
        <v>0</v>
      </c>
      <c r="U25" s="43">
        <v>0</v>
      </c>
      <c r="V25" s="43">
        <v>0</v>
      </c>
      <c r="W25" s="43" t="s">
        <v>1943</v>
      </c>
      <c r="X25" s="43" t="s">
        <v>1942</v>
      </c>
      <c r="Y25" s="43">
        <v>0</v>
      </c>
      <c r="Z25" s="43">
        <v>0</v>
      </c>
      <c r="AA25" s="43">
        <v>2013</v>
      </c>
      <c r="AB25" s="43">
        <v>9999</v>
      </c>
      <c r="AC25" s="43" t="s">
        <v>1419</v>
      </c>
    </row>
    <row r="26" spans="1:29" x14ac:dyDescent="0.25">
      <c r="A26" s="56" t="s">
        <v>1437</v>
      </c>
      <c r="B26" s="39" t="s">
        <v>1438</v>
      </c>
      <c r="C26" s="43" t="s">
        <v>1439</v>
      </c>
      <c r="D26" s="43">
        <v>1</v>
      </c>
      <c r="E26" s="43" t="s">
        <v>103</v>
      </c>
      <c r="F26" s="43">
        <v>9</v>
      </c>
      <c r="G26" s="43">
        <v>2026</v>
      </c>
      <c r="H26" s="43"/>
      <c r="I26" s="43">
        <v>303.60000000000002</v>
      </c>
      <c r="J26" s="43" t="s">
        <v>104</v>
      </c>
      <c r="K26" s="43" t="s">
        <v>32</v>
      </c>
      <c r="L26" s="43"/>
      <c r="M26" s="43">
        <v>0</v>
      </c>
      <c r="N26" s="43">
        <v>0</v>
      </c>
      <c r="O26" s="43">
        <v>0</v>
      </c>
      <c r="P26" s="43">
        <v>0</v>
      </c>
      <c r="Q26" s="43">
        <v>0</v>
      </c>
      <c r="R26" s="43">
        <v>0</v>
      </c>
      <c r="S26" s="43">
        <v>1</v>
      </c>
      <c r="T26" s="43">
        <v>1</v>
      </c>
      <c r="U26" s="43">
        <v>1</v>
      </c>
      <c r="V26" s="43">
        <v>0</v>
      </c>
      <c r="W26" s="43" t="s">
        <v>1440</v>
      </c>
      <c r="X26" s="43" t="s">
        <v>1831</v>
      </c>
      <c r="Y26" s="43">
        <v>0</v>
      </c>
      <c r="Z26" s="43">
        <v>0</v>
      </c>
      <c r="AA26" s="43">
        <v>2013</v>
      </c>
      <c r="AB26" s="43">
        <v>9999</v>
      </c>
      <c r="AC26" s="43" t="s">
        <v>1419</v>
      </c>
    </row>
    <row r="27" spans="1:29" x14ac:dyDescent="0.25">
      <c r="A27" s="56" t="s">
        <v>1441</v>
      </c>
      <c r="B27" s="39" t="s">
        <v>1442</v>
      </c>
      <c r="C27" s="43" t="s">
        <v>1443</v>
      </c>
      <c r="D27" s="43">
        <v>1</v>
      </c>
      <c r="E27" s="43" t="s">
        <v>103</v>
      </c>
      <c r="F27" s="43">
        <v>9</v>
      </c>
      <c r="G27" s="43">
        <v>2026</v>
      </c>
      <c r="H27" s="43"/>
      <c r="I27" s="43">
        <v>98.8</v>
      </c>
      <c r="J27" s="43" t="s">
        <v>104</v>
      </c>
      <c r="K27" s="43" t="s">
        <v>47</v>
      </c>
      <c r="L27" s="43"/>
      <c r="M27" s="43">
        <v>1</v>
      </c>
      <c r="N27" s="43">
        <v>0</v>
      </c>
      <c r="O27" s="43">
        <v>0</v>
      </c>
      <c r="P27" s="43">
        <v>0</v>
      </c>
      <c r="Q27" s="43">
        <v>0</v>
      </c>
      <c r="R27" s="43">
        <v>0</v>
      </c>
      <c r="S27" s="43">
        <v>1</v>
      </c>
      <c r="T27" s="43">
        <v>1</v>
      </c>
      <c r="U27" s="43">
        <v>1</v>
      </c>
      <c r="V27" s="43">
        <v>0</v>
      </c>
      <c r="W27" s="43" t="s">
        <v>1444</v>
      </c>
      <c r="X27" s="43" t="s">
        <v>2044</v>
      </c>
      <c r="Y27" s="43">
        <v>0</v>
      </c>
      <c r="Z27" s="43">
        <v>0</v>
      </c>
      <c r="AA27" s="43">
        <v>2013</v>
      </c>
      <c r="AB27" s="43">
        <v>9999</v>
      </c>
      <c r="AC27" s="43" t="s">
        <v>1419</v>
      </c>
    </row>
    <row r="28" spans="1:29" x14ac:dyDescent="0.25">
      <c r="A28" s="56" t="s">
        <v>1393</v>
      </c>
      <c r="B28" s="39" t="s">
        <v>1394</v>
      </c>
      <c r="C28" s="43" t="s">
        <v>1395</v>
      </c>
      <c r="D28" s="43">
        <v>1</v>
      </c>
      <c r="E28" s="43" t="s">
        <v>1396</v>
      </c>
      <c r="F28" s="43">
        <v>5</v>
      </c>
      <c r="G28" s="43">
        <v>2026</v>
      </c>
      <c r="H28" s="43"/>
      <c r="I28" s="43">
        <v>316.7</v>
      </c>
      <c r="J28" s="43" t="s">
        <v>1610</v>
      </c>
      <c r="K28" s="43" t="s">
        <v>47</v>
      </c>
      <c r="L28" s="43"/>
      <c r="M28" s="43">
        <v>1</v>
      </c>
      <c r="N28" s="43">
        <v>0</v>
      </c>
      <c r="O28" s="43">
        <v>0</v>
      </c>
      <c r="P28" s="43">
        <v>0</v>
      </c>
      <c r="Q28" s="43">
        <v>0</v>
      </c>
      <c r="R28" s="43">
        <v>0</v>
      </c>
      <c r="S28" s="43">
        <v>1</v>
      </c>
      <c r="T28" s="43">
        <v>1</v>
      </c>
      <c r="U28" s="43">
        <v>1</v>
      </c>
      <c r="V28" s="43">
        <v>0</v>
      </c>
      <c r="W28" s="43" t="s">
        <v>1397</v>
      </c>
      <c r="X28" s="43" t="s">
        <v>1675</v>
      </c>
      <c r="Y28" s="43">
        <v>0</v>
      </c>
      <c r="Z28" s="43">
        <v>0</v>
      </c>
      <c r="AA28" s="43">
        <v>2012</v>
      </c>
      <c r="AB28" s="43">
        <v>9999</v>
      </c>
      <c r="AC28" s="43" t="s">
        <v>1398</v>
      </c>
    </row>
    <row r="29" spans="1:29" x14ac:dyDescent="0.25">
      <c r="A29" s="56" t="s">
        <v>1400</v>
      </c>
      <c r="B29" s="39" t="s">
        <v>1401</v>
      </c>
      <c r="C29" s="43"/>
      <c r="D29" s="43">
        <v>1</v>
      </c>
      <c r="E29" s="43" t="s">
        <v>80</v>
      </c>
      <c r="F29" s="43">
        <v>8</v>
      </c>
      <c r="G29" s="43">
        <v>2026</v>
      </c>
      <c r="H29" s="43"/>
      <c r="I29" s="43">
        <v>12.5</v>
      </c>
      <c r="J29" s="43" t="s">
        <v>81</v>
      </c>
      <c r="K29" s="43" t="s">
        <v>47</v>
      </c>
      <c r="L29" s="43"/>
      <c r="M29" s="43">
        <v>1</v>
      </c>
      <c r="N29" s="43">
        <v>0</v>
      </c>
      <c r="O29" s="43">
        <v>0</v>
      </c>
      <c r="P29" s="43">
        <v>0</v>
      </c>
      <c r="Q29" s="43">
        <v>0</v>
      </c>
      <c r="R29" s="43">
        <v>0</v>
      </c>
      <c r="S29" s="43">
        <v>1</v>
      </c>
      <c r="T29" s="43">
        <v>1</v>
      </c>
      <c r="U29" s="43">
        <v>1</v>
      </c>
      <c r="V29" s="43">
        <v>0</v>
      </c>
      <c r="W29" s="43" t="s">
        <v>1402</v>
      </c>
      <c r="X29" s="43" t="s">
        <v>2004</v>
      </c>
      <c r="Y29" s="43">
        <v>0</v>
      </c>
      <c r="Z29" s="43">
        <v>0</v>
      </c>
      <c r="AA29" s="43">
        <v>2012</v>
      </c>
      <c r="AB29" s="43">
        <v>9999</v>
      </c>
      <c r="AC29" s="43" t="s">
        <v>1398</v>
      </c>
    </row>
    <row r="30" spans="1:29" x14ac:dyDescent="0.25">
      <c r="A30" s="56" t="s">
        <v>1370</v>
      </c>
      <c r="B30" s="39" t="s">
        <v>1371</v>
      </c>
      <c r="C30" s="43"/>
      <c r="D30" s="43">
        <v>1</v>
      </c>
      <c r="E30" s="43">
        <v>411</v>
      </c>
      <c r="F30" s="43">
        <v>4</v>
      </c>
      <c r="G30" s="43">
        <v>2026</v>
      </c>
      <c r="H30" s="43" t="s">
        <v>111</v>
      </c>
      <c r="I30" s="43">
        <v>0.5</v>
      </c>
      <c r="J30" s="43" t="s">
        <v>1610</v>
      </c>
      <c r="K30" s="43" t="s">
        <v>41</v>
      </c>
      <c r="L30" s="43"/>
      <c r="M30" s="43">
        <v>0</v>
      </c>
      <c r="N30" s="43">
        <v>0</v>
      </c>
      <c r="O30" s="43">
        <v>0</v>
      </c>
      <c r="P30" s="43">
        <v>0</v>
      </c>
      <c r="Q30" s="43">
        <v>0</v>
      </c>
      <c r="R30" s="43">
        <v>0</v>
      </c>
      <c r="S30" s="43">
        <v>0</v>
      </c>
      <c r="T30" s="43">
        <v>0</v>
      </c>
      <c r="U30" s="43">
        <v>0</v>
      </c>
      <c r="V30" s="43">
        <v>0</v>
      </c>
      <c r="W30" s="43" t="s">
        <v>1372</v>
      </c>
      <c r="X30" s="43" t="s">
        <v>1750</v>
      </c>
      <c r="Y30" s="43">
        <v>0</v>
      </c>
      <c r="Z30" s="43">
        <v>0</v>
      </c>
      <c r="AA30" s="43">
        <v>2011</v>
      </c>
      <c r="AB30" s="43">
        <v>9999</v>
      </c>
      <c r="AC30" s="43" t="s">
        <v>1365</v>
      </c>
    </row>
    <row r="31" spans="1:29" x14ac:dyDescent="0.25">
      <c r="A31" s="56" t="s">
        <v>1385</v>
      </c>
      <c r="B31" s="39" t="s">
        <v>1386</v>
      </c>
      <c r="C31" s="43"/>
      <c r="D31" s="43">
        <v>1</v>
      </c>
      <c r="E31" s="43" t="s">
        <v>874</v>
      </c>
      <c r="F31" s="43">
        <v>1</v>
      </c>
      <c r="G31" s="43">
        <v>2026</v>
      </c>
      <c r="H31" s="43"/>
      <c r="I31" s="43">
        <v>35.6</v>
      </c>
      <c r="J31" s="43" t="s">
        <v>1608</v>
      </c>
      <c r="K31" s="43" t="s">
        <v>47</v>
      </c>
      <c r="L31" s="43"/>
      <c r="M31" s="43">
        <v>0</v>
      </c>
      <c r="N31" s="43">
        <v>0</v>
      </c>
      <c r="O31" s="43">
        <v>0</v>
      </c>
      <c r="P31" s="43">
        <v>0</v>
      </c>
      <c r="Q31" s="43">
        <v>0</v>
      </c>
      <c r="R31" s="43">
        <v>0</v>
      </c>
      <c r="S31" s="43">
        <v>1</v>
      </c>
      <c r="T31" s="43">
        <v>1</v>
      </c>
      <c r="U31" s="43">
        <v>1</v>
      </c>
      <c r="V31" s="43">
        <v>0</v>
      </c>
      <c r="W31" s="43" t="s">
        <v>1387</v>
      </c>
      <c r="X31" s="43" t="s">
        <v>1827</v>
      </c>
      <c r="Y31" s="43">
        <v>0</v>
      </c>
      <c r="Z31" s="43">
        <v>1</v>
      </c>
      <c r="AA31" s="43">
        <v>2011</v>
      </c>
      <c r="AB31" s="43">
        <v>9999</v>
      </c>
      <c r="AC31" s="43" t="s">
        <v>1365</v>
      </c>
    </row>
    <row r="32" spans="1:29" x14ac:dyDescent="0.25">
      <c r="A32" s="56" t="s">
        <v>1388</v>
      </c>
      <c r="B32" s="39" t="s">
        <v>1389</v>
      </c>
      <c r="C32" s="43"/>
      <c r="D32" s="43">
        <v>1</v>
      </c>
      <c r="E32" s="43" t="s">
        <v>1390</v>
      </c>
      <c r="F32" s="43">
        <v>4</v>
      </c>
      <c r="G32" s="43">
        <v>2026</v>
      </c>
      <c r="H32" s="43"/>
      <c r="I32" s="43">
        <v>10648.6</v>
      </c>
      <c r="J32" s="43" t="s">
        <v>1608</v>
      </c>
      <c r="K32" s="43" t="s">
        <v>32</v>
      </c>
      <c r="L32" s="43"/>
      <c r="M32" s="43">
        <v>0</v>
      </c>
      <c r="N32" s="43">
        <v>1</v>
      </c>
      <c r="O32" s="43">
        <v>0</v>
      </c>
      <c r="P32" s="43">
        <v>0</v>
      </c>
      <c r="Q32" s="43">
        <v>0</v>
      </c>
      <c r="R32" s="43">
        <v>0</v>
      </c>
      <c r="S32" s="43">
        <v>1</v>
      </c>
      <c r="T32" s="43">
        <v>1</v>
      </c>
      <c r="U32" s="43">
        <v>1</v>
      </c>
      <c r="V32" s="43">
        <v>0</v>
      </c>
      <c r="W32" s="43" t="s">
        <v>1391</v>
      </c>
      <c r="X32" s="43" t="s">
        <v>2038</v>
      </c>
      <c r="Y32" s="43">
        <v>1</v>
      </c>
      <c r="Z32" s="43">
        <v>0</v>
      </c>
      <c r="AA32" s="43">
        <v>2011</v>
      </c>
      <c r="AB32" s="43">
        <v>9999</v>
      </c>
      <c r="AC32" s="43" t="s">
        <v>1365</v>
      </c>
    </row>
    <row r="33" spans="1:29" x14ac:dyDescent="0.25">
      <c r="A33" s="56" t="s">
        <v>1366</v>
      </c>
      <c r="B33" s="39" t="s">
        <v>1487</v>
      </c>
      <c r="C33" s="43" t="s">
        <v>1368</v>
      </c>
      <c r="D33" s="43">
        <v>1</v>
      </c>
      <c r="E33" s="43" t="s">
        <v>468</v>
      </c>
      <c r="F33" s="43">
        <v>7</v>
      </c>
      <c r="G33" s="43">
        <v>2026</v>
      </c>
      <c r="H33" s="43"/>
      <c r="I33" s="43">
        <v>60.7</v>
      </c>
      <c r="J33" s="43" t="s">
        <v>40</v>
      </c>
      <c r="K33" s="43" t="s">
        <v>32</v>
      </c>
      <c r="L33" s="43"/>
      <c r="M33" s="43">
        <v>0</v>
      </c>
      <c r="N33" s="43">
        <v>0</v>
      </c>
      <c r="O33" s="43">
        <v>0</v>
      </c>
      <c r="P33" s="43">
        <v>0</v>
      </c>
      <c r="Q33" s="43">
        <v>0</v>
      </c>
      <c r="R33" s="43">
        <v>0</v>
      </c>
      <c r="S33" s="43">
        <v>1</v>
      </c>
      <c r="T33" s="43">
        <v>1</v>
      </c>
      <c r="U33" s="43">
        <v>1</v>
      </c>
      <c r="V33" s="43">
        <v>0</v>
      </c>
      <c r="W33" s="43" t="s">
        <v>1369</v>
      </c>
      <c r="X33" s="43" t="s">
        <v>1737</v>
      </c>
      <c r="Y33" s="43">
        <v>0</v>
      </c>
      <c r="Z33" s="43">
        <v>1</v>
      </c>
      <c r="AA33" s="43">
        <v>2011</v>
      </c>
      <c r="AB33" s="43">
        <v>9999</v>
      </c>
      <c r="AC33" s="43" t="s">
        <v>1365</v>
      </c>
    </row>
    <row r="34" spans="1:29" x14ac:dyDescent="0.25">
      <c r="A34" s="56" t="s">
        <v>1289</v>
      </c>
      <c r="B34" s="39" t="s">
        <v>1290</v>
      </c>
      <c r="C34" s="43"/>
      <c r="D34" s="43">
        <v>1</v>
      </c>
      <c r="E34" s="43" t="s">
        <v>218</v>
      </c>
      <c r="F34" s="43">
        <v>2</v>
      </c>
      <c r="G34" s="43">
        <v>2026</v>
      </c>
      <c r="H34" s="43"/>
      <c r="I34" s="43">
        <v>4</v>
      </c>
      <c r="J34" s="43" t="s">
        <v>147</v>
      </c>
      <c r="K34" s="43" t="s">
        <v>53</v>
      </c>
      <c r="L34" s="43" t="s">
        <v>60</v>
      </c>
      <c r="M34" s="43">
        <v>0</v>
      </c>
      <c r="N34" s="43">
        <v>0</v>
      </c>
      <c r="O34" s="43">
        <v>1</v>
      </c>
      <c r="P34" s="43">
        <v>0</v>
      </c>
      <c r="Q34" s="43">
        <v>0</v>
      </c>
      <c r="R34" s="43">
        <v>0</v>
      </c>
      <c r="S34" s="43">
        <v>1</v>
      </c>
      <c r="T34" s="43">
        <v>1</v>
      </c>
      <c r="U34" s="43">
        <v>1</v>
      </c>
      <c r="V34" s="43">
        <v>0</v>
      </c>
      <c r="W34" s="43" t="s">
        <v>1291</v>
      </c>
      <c r="X34" s="43" t="s">
        <v>1669</v>
      </c>
      <c r="Y34" s="43">
        <v>0</v>
      </c>
      <c r="Z34" s="43">
        <v>0</v>
      </c>
      <c r="AA34" s="43">
        <v>2010</v>
      </c>
      <c r="AB34" s="43">
        <v>9999</v>
      </c>
      <c r="AC34" s="43" t="s">
        <v>1292</v>
      </c>
    </row>
    <row r="35" spans="1:29" ht="30" x14ac:dyDescent="0.25">
      <c r="A35" s="56" t="s">
        <v>1327</v>
      </c>
      <c r="B35" s="39" t="s">
        <v>1328</v>
      </c>
      <c r="C35" s="43" t="s">
        <v>1329</v>
      </c>
      <c r="D35" s="43">
        <v>1</v>
      </c>
      <c r="E35" s="43" t="s">
        <v>218</v>
      </c>
      <c r="F35" s="43">
        <v>2</v>
      </c>
      <c r="G35" s="43">
        <v>2026</v>
      </c>
      <c r="H35" s="43"/>
      <c r="I35" s="43">
        <v>6</v>
      </c>
      <c r="J35" s="43" t="s">
        <v>147</v>
      </c>
      <c r="K35" s="43" t="s">
        <v>41</v>
      </c>
      <c r="L35" s="43"/>
      <c r="M35" s="43">
        <v>0</v>
      </c>
      <c r="N35" s="43">
        <v>0</v>
      </c>
      <c r="O35" s="43">
        <v>0</v>
      </c>
      <c r="P35" s="43">
        <v>0</v>
      </c>
      <c r="Q35" s="43">
        <v>0</v>
      </c>
      <c r="R35" s="43">
        <v>0</v>
      </c>
      <c r="S35" s="43">
        <v>0</v>
      </c>
      <c r="T35" s="43">
        <v>1</v>
      </c>
      <c r="U35" s="43">
        <v>1</v>
      </c>
      <c r="V35" s="43">
        <v>0</v>
      </c>
      <c r="W35" s="43" t="s">
        <v>1330</v>
      </c>
      <c r="X35" s="43" t="s">
        <v>1788</v>
      </c>
      <c r="Y35" s="43">
        <v>1</v>
      </c>
      <c r="Z35" s="43">
        <v>0</v>
      </c>
      <c r="AA35" s="43">
        <v>2010</v>
      </c>
      <c r="AB35" s="43">
        <v>9999</v>
      </c>
      <c r="AC35" s="43" t="s">
        <v>1292</v>
      </c>
    </row>
    <row r="36" spans="1:29" ht="30" x14ac:dyDescent="0.25">
      <c r="A36" s="56" t="s">
        <v>1305</v>
      </c>
      <c r="B36" s="39" t="s">
        <v>1306</v>
      </c>
      <c r="C36" s="43" t="s">
        <v>1307</v>
      </c>
      <c r="D36" s="43">
        <v>1</v>
      </c>
      <c r="E36" s="43" t="s">
        <v>45</v>
      </c>
      <c r="F36" s="43">
        <v>4</v>
      </c>
      <c r="G36" s="43">
        <v>2026</v>
      </c>
      <c r="H36" s="43"/>
      <c r="I36" s="43">
        <v>47.2</v>
      </c>
      <c r="J36" s="43" t="s">
        <v>1610</v>
      </c>
      <c r="K36" s="43" t="s">
        <v>47</v>
      </c>
      <c r="L36" s="43"/>
      <c r="M36" s="43">
        <v>0</v>
      </c>
      <c r="N36" s="43">
        <v>0</v>
      </c>
      <c r="O36" s="43">
        <v>0</v>
      </c>
      <c r="P36" s="43">
        <v>0</v>
      </c>
      <c r="Q36" s="43">
        <v>0</v>
      </c>
      <c r="R36" s="43">
        <v>0</v>
      </c>
      <c r="S36" s="43">
        <v>1</v>
      </c>
      <c r="T36" s="43">
        <v>1</v>
      </c>
      <c r="U36" s="43">
        <v>1</v>
      </c>
      <c r="V36" s="43">
        <v>0</v>
      </c>
      <c r="W36" s="43" t="s">
        <v>1526</v>
      </c>
      <c r="X36" s="43" t="s">
        <v>2008</v>
      </c>
      <c r="Y36" s="43">
        <v>0</v>
      </c>
      <c r="Z36" s="43">
        <v>1</v>
      </c>
      <c r="AA36" s="43">
        <v>2010</v>
      </c>
      <c r="AB36" s="43">
        <v>9999</v>
      </c>
      <c r="AC36" s="43" t="s">
        <v>1292</v>
      </c>
    </row>
    <row r="37" spans="1:29" x14ac:dyDescent="0.25">
      <c r="A37" s="56" t="s">
        <v>1337</v>
      </c>
      <c r="B37" s="39" t="s">
        <v>1315</v>
      </c>
      <c r="C37" s="43"/>
      <c r="D37" s="43">
        <v>1</v>
      </c>
      <c r="E37" s="43" t="s">
        <v>45</v>
      </c>
      <c r="F37" s="43">
        <v>4</v>
      </c>
      <c r="G37" s="43">
        <v>2026</v>
      </c>
      <c r="H37" s="43"/>
      <c r="I37" s="43">
        <v>454.7</v>
      </c>
      <c r="J37" s="43" t="s">
        <v>1610</v>
      </c>
      <c r="K37" s="43" t="s">
        <v>32</v>
      </c>
      <c r="L37" s="43"/>
      <c r="M37" s="43">
        <v>0</v>
      </c>
      <c r="N37" s="43">
        <v>1</v>
      </c>
      <c r="O37" s="43">
        <v>0</v>
      </c>
      <c r="P37" s="43">
        <v>0</v>
      </c>
      <c r="Q37" s="43">
        <v>0</v>
      </c>
      <c r="R37" s="43">
        <v>0</v>
      </c>
      <c r="S37" s="43">
        <v>1</v>
      </c>
      <c r="T37" s="43">
        <v>1</v>
      </c>
      <c r="U37" s="43">
        <v>1</v>
      </c>
      <c r="V37" s="43">
        <v>0</v>
      </c>
      <c r="W37" s="43" t="s">
        <v>1338</v>
      </c>
      <c r="X37" s="43" t="s">
        <v>2036</v>
      </c>
      <c r="Y37" s="43">
        <v>2</v>
      </c>
      <c r="Z37" s="43">
        <v>0</v>
      </c>
      <c r="AA37" s="43">
        <v>2010</v>
      </c>
      <c r="AB37" s="43">
        <v>9999</v>
      </c>
      <c r="AC37" s="43" t="s">
        <v>1292</v>
      </c>
    </row>
    <row r="38" spans="1:29" x14ac:dyDescent="0.25">
      <c r="A38" s="56" t="s">
        <v>1294</v>
      </c>
      <c r="B38" s="39" t="s">
        <v>1295</v>
      </c>
      <c r="C38" s="43" t="s">
        <v>1296</v>
      </c>
      <c r="D38" s="43">
        <v>1</v>
      </c>
      <c r="E38" s="43" t="s">
        <v>95</v>
      </c>
      <c r="F38" s="43">
        <v>10</v>
      </c>
      <c r="G38" s="43">
        <v>2026</v>
      </c>
      <c r="H38" s="43"/>
      <c r="I38" s="43">
        <v>49.2</v>
      </c>
      <c r="J38" s="43" t="s">
        <v>40</v>
      </c>
      <c r="K38" s="43" t="s">
        <v>47</v>
      </c>
      <c r="L38" s="43"/>
      <c r="M38" s="43">
        <v>1</v>
      </c>
      <c r="N38" s="43">
        <v>0</v>
      </c>
      <c r="O38" s="43">
        <v>0</v>
      </c>
      <c r="P38" s="43">
        <v>0</v>
      </c>
      <c r="Q38" s="43">
        <v>0</v>
      </c>
      <c r="R38" s="43">
        <v>0</v>
      </c>
      <c r="S38" s="43">
        <v>1</v>
      </c>
      <c r="T38" s="43">
        <v>1</v>
      </c>
      <c r="U38" s="43">
        <v>1</v>
      </c>
      <c r="V38" s="43">
        <v>0</v>
      </c>
      <c r="W38" s="43" t="s">
        <v>1297</v>
      </c>
      <c r="X38" s="43" t="s">
        <v>1965</v>
      </c>
      <c r="Y38" s="43">
        <v>0</v>
      </c>
      <c r="Z38" s="43">
        <v>0</v>
      </c>
      <c r="AA38" s="43">
        <v>2010</v>
      </c>
      <c r="AB38" s="43">
        <v>9999</v>
      </c>
      <c r="AC38" s="43" t="s">
        <v>1292</v>
      </c>
    </row>
    <row r="39" spans="1:29" x14ac:dyDescent="0.25">
      <c r="A39" s="56" t="s">
        <v>1317</v>
      </c>
      <c r="B39" s="39" t="s">
        <v>1318</v>
      </c>
      <c r="C39" s="43"/>
      <c r="D39" s="43">
        <v>1</v>
      </c>
      <c r="E39" s="43" t="s">
        <v>1319</v>
      </c>
      <c r="F39" s="43">
        <v>10</v>
      </c>
      <c r="G39" s="43">
        <v>2026</v>
      </c>
      <c r="H39" s="43"/>
      <c r="I39" s="43">
        <v>1562.9</v>
      </c>
      <c r="J39" s="43" t="s">
        <v>40</v>
      </c>
      <c r="K39" s="43" t="s">
        <v>32</v>
      </c>
      <c r="L39" s="43"/>
      <c r="M39" s="43">
        <v>0</v>
      </c>
      <c r="N39" s="43">
        <v>0</v>
      </c>
      <c r="O39" s="43">
        <v>0</v>
      </c>
      <c r="P39" s="43">
        <v>0</v>
      </c>
      <c r="Q39" s="43">
        <v>0</v>
      </c>
      <c r="R39" s="43">
        <v>0</v>
      </c>
      <c r="S39" s="43">
        <v>1</v>
      </c>
      <c r="T39" s="43">
        <v>1</v>
      </c>
      <c r="U39" s="43">
        <v>1</v>
      </c>
      <c r="V39" s="43">
        <v>0</v>
      </c>
      <c r="W39" s="43" t="s">
        <v>1320</v>
      </c>
      <c r="X39" s="43" t="s">
        <v>2010</v>
      </c>
      <c r="Y39" s="43">
        <v>0</v>
      </c>
      <c r="Z39" s="43">
        <v>0</v>
      </c>
      <c r="AA39" s="43">
        <v>2010</v>
      </c>
      <c r="AB39" s="43">
        <v>9999</v>
      </c>
      <c r="AC39" s="43" t="s">
        <v>1292</v>
      </c>
    </row>
    <row r="40" spans="1:29" x14ac:dyDescent="0.25">
      <c r="A40" s="56" t="s">
        <v>1309</v>
      </c>
      <c r="B40" s="39" t="s">
        <v>1310</v>
      </c>
      <c r="C40" s="43" t="s">
        <v>1311</v>
      </c>
      <c r="D40" s="43">
        <v>1</v>
      </c>
      <c r="E40" s="43" t="s">
        <v>1312</v>
      </c>
      <c r="F40" s="43">
        <v>9</v>
      </c>
      <c r="G40" s="43">
        <v>2026</v>
      </c>
      <c r="H40" s="43"/>
      <c r="I40" s="43">
        <v>138.4</v>
      </c>
      <c r="J40" s="43" t="s">
        <v>104</v>
      </c>
      <c r="K40" s="43" t="s">
        <v>47</v>
      </c>
      <c r="L40" s="43"/>
      <c r="M40" s="43">
        <v>1</v>
      </c>
      <c r="N40" s="43">
        <v>0</v>
      </c>
      <c r="O40" s="43">
        <v>0</v>
      </c>
      <c r="P40" s="43">
        <v>0</v>
      </c>
      <c r="Q40" s="43">
        <v>0</v>
      </c>
      <c r="R40" s="43">
        <v>0</v>
      </c>
      <c r="S40" s="43">
        <v>1</v>
      </c>
      <c r="T40" s="43">
        <v>1</v>
      </c>
      <c r="U40" s="43">
        <v>1</v>
      </c>
      <c r="V40" s="43">
        <v>0</v>
      </c>
      <c r="W40" s="43" t="s">
        <v>1404</v>
      </c>
      <c r="X40" s="43" t="s">
        <v>1738</v>
      </c>
      <c r="Y40" s="43">
        <v>0</v>
      </c>
      <c r="Z40" s="43">
        <v>3</v>
      </c>
      <c r="AA40" s="43">
        <v>2010</v>
      </c>
      <c r="AB40" s="43">
        <v>9999</v>
      </c>
      <c r="AC40" s="43" t="s">
        <v>1292</v>
      </c>
    </row>
    <row r="41" spans="1:29" x14ac:dyDescent="0.25">
      <c r="A41" s="56" t="s">
        <v>1302</v>
      </c>
      <c r="B41" s="39" t="s">
        <v>1303</v>
      </c>
      <c r="C41" s="43"/>
      <c r="D41" s="43">
        <v>1</v>
      </c>
      <c r="E41" s="43" t="s">
        <v>103</v>
      </c>
      <c r="F41" s="43">
        <v>9</v>
      </c>
      <c r="G41" s="43">
        <v>2026</v>
      </c>
      <c r="H41" s="43"/>
      <c r="I41" s="43">
        <v>1735.6</v>
      </c>
      <c r="J41" s="43" t="s">
        <v>104</v>
      </c>
      <c r="K41" s="43" t="s">
        <v>53</v>
      </c>
      <c r="L41" s="43" t="s">
        <v>105</v>
      </c>
      <c r="M41" s="43">
        <v>0</v>
      </c>
      <c r="N41" s="43">
        <v>0</v>
      </c>
      <c r="O41" s="43">
        <v>0</v>
      </c>
      <c r="P41" s="43">
        <v>1</v>
      </c>
      <c r="Q41" s="43">
        <v>0</v>
      </c>
      <c r="R41" s="43">
        <v>0</v>
      </c>
      <c r="S41" s="43">
        <v>1</v>
      </c>
      <c r="T41" s="43">
        <v>1</v>
      </c>
      <c r="U41" s="43">
        <v>1</v>
      </c>
      <c r="V41" s="43">
        <v>0</v>
      </c>
      <c r="W41" s="43" t="s">
        <v>106</v>
      </c>
      <c r="X41" s="43" t="s">
        <v>1941</v>
      </c>
      <c r="Y41" s="43">
        <v>0</v>
      </c>
      <c r="Z41" s="43">
        <v>0</v>
      </c>
      <c r="AA41" s="43">
        <v>2010</v>
      </c>
      <c r="AB41" s="43">
        <v>9999</v>
      </c>
      <c r="AC41" s="43" t="s">
        <v>1292</v>
      </c>
    </row>
    <row r="42" spans="1:29" x14ac:dyDescent="0.25">
      <c r="A42" s="56" t="s">
        <v>1253</v>
      </c>
      <c r="B42" s="39" t="s">
        <v>598</v>
      </c>
      <c r="C42" s="43"/>
      <c r="D42" s="43">
        <v>1</v>
      </c>
      <c r="E42" s="43" t="s">
        <v>38</v>
      </c>
      <c r="F42" s="43">
        <v>4</v>
      </c>
      <c r="G42" s="43">
        <v>2026</v>
      </c>
      <c r="H42" s="43" t="s">
        <v>39</v>
      </c>
      <c r="I42" s="43">
        <v>0</v>
      </c>
      <c r="J42" s="43" t="s">
        <v>59</v>
      </c>
      <c r="K42" s="43" t="s">
        <v>41</v>
      </c>
      <c r="L42" s="43"/>
      <c r="M42" s="43">
        <v>0</v>
      </c>
      <c r="N42" s="43">
        <v>0</v>
      </c>
      <c r="O42" s="43">
        <v>0</v>
      </c>
      <c r="P42" s="43">
        <v>0</v>
      </c>
      <c r="Q42" s="43">
        <v>0</v>
      </c>
      <c r="R42" s="43">
        <v>0</v>
      </c>
      <c r="S42" s="43">
        <v>0</v>
      </c>
      <c r="T42" s="43">
        <v>0</v>
      </c>
      <c r="U42" s="43">
        <v>0</v>
      </c>
      <c r="V42" s="43">
        <v>0</v>
      </c>
      <c r="W42" s="43" t="s">
        <v>1254</v>
      </c>
      <c r="X42" s="43" t="s">
        <v>2046</v>
      </c>
      <c r="Y42" s="43">
        <v>0</v>
      </c>
      <c r="Z42" s="43">
        <v>0</v>
      </c>
      <c r="AA42" s="43">
        <v>2009</v>
      </c>
      <c r="AB42" s="43">
        <v>9999</v>
      </c>
      <c r="AC42" s="43" t="s">
        <v>1239</v>
      </c>
    </row>
    <row r="43" spans="1:29" x14ac:dyDescent="0.25">
      <c r="A43" s="56" t="s">
        <v>1248</v>
      </c>
      <c r="B43" s="39" t="s">
        <v>1929</v>
      </c>
      <c r="C43" s="43" t="s">
        <v>1930</v>
      </c>
      <c r="D43" s="43">
        <v>1</v>
      </c>
      <c r="E43" s="43" t="s">
        <v>1251</v>
      </c>
      <c r="F43" s="43">
        <v>2</v>
      </c>
      <c r="G43" s="43">
        <v>2026</v>
      </c>
      <c r="H43" s="43"/>
      <c r="I43" s="43">
        <v>1415.4</v>
      </c>
      <c r="J43" s="43" t="s">
        <v>147</v>
      </c>
      <c r="K43" s="43" t="s">
        <v>47</v>
      </c>
      <c r="L43" s="43"/>
      <c r="M43" s="43">
        <v>1</v>
      </c>
      <c r="N43" s="43">
        <v>1</v>
      </c>
      <c r="O43" s="43">
        <v>0</v>
      </c>
      <c r="P43" s="43">
        <v>0</v>
      </c>
      <c r="Q43" s="43">
        <v>0</v>
      </c>
      <c r="R43" s="43">
        <v>0</v>
      </c>
      <c r="S43" s="43">
        <v>1</v>
      </c>
      <c r="T43" s="43">
        <v>1</v>
      </c>
      <c r="U43" s="43">
        <v>1</v>
      </c>
      <c r="V43" s="43">
        <v>0</v>
      </c>
      <c r="W43" s="43" t="s">
        <v>1252</v>
      </c>
      <c r="X43" s="43" t="s">
        <v>2002</v>
      </c>
      <c r="Y43" s="43">
        <v>1</v>
      </c>
      <c r="Z43" s="43">
        <v>0</v>
      </c>
      <c r="AA43" s="43">
        <v>2009</v>
      </c>
      <c r="AB43" s="43">
        <v>9999</v>
      </c>
      <c r="AC43" s="43" t="s">
        <v>1239</v>
      </c>
    </row>
    <row r="44" spans="1:29" x14ac:dyDescent="0.25">
      <c r="A44" s="56" t="s">
        <v>1236</v>
      </c>
      <c r="B44" s="39" t="s">
        <v>1237</v>
      </c>
      <c r="C44" s="43"/>
      <c r="D44" s="43">
        <v>1</v>
      </c>
      <c r="E44" s="43" t="s">
        <v>155</v>
      </c>
      <c r="F44" s="43">
        <v>3</v>
      </c>
      <c r="G44" s="43">
        <v>2026</v>
      </c>
      <c r="H44" s="43" t="s">
        <v>154</v>
      </c>
      <c r="I44" s="43">
        <v>8</v>
      </c>
      <c r="J44" s="43" t="s">
        <v>121</v>
      </c>
      <c r="K44" s="43" t="s">
        <v>41</v>
      </c>
      <c r="L44" s="43"/>
      <c r="M44" s="43">
        <v>0</v>
      </c>
      <c r="N44" s="43">
        <v>0</v>
      </c>
      <c r="O44" s="43">
        <v>0</v>
      </c>
      <c r="P44" s="43">
        <v>0</v>
      </c>
      <c r="Q44" s="43">
        <v>0</v>
      </c>
      <c r="R44" s="43">
        <v>0</v>
      </c>
      <c r="S44" s="43">
        <v>0</v>
      </c>
      <c r="T44" s="43">
        <v>1</v>
      </c>
      <c r="U44" s="43">
        <v>1</v>
      </c>
      <c r="V44" s="43">
        <v>0</v>
      </c>
      <c r="W44" s="43" t="s">
        <v>1347</v>
      </c>
      <c r="X44" s="43" t="s">
        <v>1643</v>
      </c>
      <c r="Y44" s="43">
        <v>0</v>
      </c>
      <c r="Z44" s="43">
        <v>0</v>
      </c>
      <c r="AA44" s="43">
        <v>2009</v>
      </c>
      <c r="AB44" s="43">
        <v>9999</v>
      </c>
      <c r="AC44" s="43" t="s">
        <v>1239</v>
      </c>
    </row>
    <row r="45" spans="1:29" x14ac:dyDescent="0.25">
      <c r="A45" s="56" t="s">
        <v>1272</v>
      </c>
      <c r="B45" s="39" t="s">
        <v>1273</v>
      </c>
      <c r="C45" s="43"/>
      <c r="D45" s="43">
        <v>1</v>
      </c>
      <c r="E45" s="43" t="s">
        <v>1274</v>
      </c>
      <c r="F45" s="43">
        <v>4</v>
      </c>
      <c r="G45" s="43">
        <v>2026</v>
      </c>
      <c r="H45" s="43"/>
      <c r="I45" s="43">
        <v>375.9</v>
      </c>
      <c r="J45" s="43" t="s">
        <v>1610</v>
      </c>
      <c r="K45" s="43" t="s">
        <v>47</v>
      </c>
      <c r="L45" s="43"/>
      <c r="M45" s="43">
        <v>1</v>
      </c>
      <c r="N45" s="43">
        <v>0</v>
      </c>
      <c r="O45" s="43">
        <v>0</v>
      </c>
      <c r="P45" s="43">
        <v>0</v>
      </c>
      <c r="Q45" s="43">
        <v>0</v>
      </c>
      <c r="R45" s="43">
        <v>0</v>
      </c>
      <c r="S45" s="43">
        <v>1</v>
      </c>
      <c r="T45" s="43">
        <v>1</v>
      </c>
      <c r="U45" s="43">
        <v>1</v>
      </c>
      <c r="V45" s="43">
        <v>0</v>
      </c>
      <c r="W45" s="43" t="s">
        <v>1275</v>
      </c>
      <c r="X45" s="43" t="s">
        <v>1808</v>
      </c>
      <c r="Y45" s="43">
        <v>0</v>
      </c>
      <c r="Z45" s="43">
        <v>3</v>
      </c>
      <c r="AA45" s="43">
        <v>2009</v>
      </c>
      <c r="AB45" s="43">
        <v>9999</v>
      </c>
      <c r="AC45" s="43" t="s">
        <v>1239</v>
      </c>
    </row>
    <row r="46" spans="1:29" x14ac:dyDescent="0.25">
      <c r="A46" s="56" t="s">
        <v>1281</v>
      </c>
      <c r="B46" s="39" t="s">
        <v>1282</v>
      </c>
      <c r="C46" s="43"/>
      <c r="D46" s="43">
        <v>1</v>
      </c>
      <c r="E46" s="43" t="s">
        <v>625</v>
      </c>
      <c r="F46" s="43">
        <v>4</v>
      </c>
      <c r="G46" s="43">
        <v>2026</v>
      </c>
      <c r="H46" s="43"/>
      <c r="I46" s="43">
        <v>2111.6</v>
      </c>
      <c r="J46" s="43" t="s">
        <v>1608</v>
      </c>
      <c r="K46" s="43" t="s">
        <v>32</v>
      </c>
      <c r="L46" s="43"/>
      <c r="M46" s="43">
        <v>0</v>
      </c>
      <c r="N46" s="43">
        <v>1</v>
      </c>
      <c r="O46" s="43">
        <v>0</v>
      </c>
      <c r="P46" s="43">
        <v>0</v>
      </c>
      <c r="Q46" s="43">
        <v>0</v>
      </c>
      <c r="R46" s="43">
        <v>0</v>
      </c>
      <c r="S46" s="43">
        <v>1</v>
      </c>
      <c r="T46" s="43">
        <v>1</v>
      </c>
      <c r="U46" s="43">
        <v>1</v>
      </c>
      <c r="V46" s="43">
        <v>0</v>
      </c>
      <c r="W46" s="43" t="s">
        <v>1283</v>
      </c>
      <c r="X46" s="43" t="s">
        <v>1900</v>
      </c>
      <c r="Y46" s="43">
        <v>0</v>
      </c>
      <c r="Z46" s="43">
        <v>0</v>
      </c>
      <c r="AA46" s="43">
        <v>2009</v>
      </c>
      <c r="AB46" s="43">
        <v>9999</v>
      </c>
      <c r="AC46" s="43" t="s">
        <v>1239</v>
      </c>
    </row>
    <row r="47" spans="1:29" x14ac:dyDescent="0.25">
      <c r="A47" s="56" t="s">
        <v>1268</v>
      </c>
      <c r="B47" s="39" t="s">
        <v>1262</v>
      </c>
      <c r="C47" s="43" t="s">
        <v>1605</v>
      </c>
      <c r="D47" s="43">
        <v>1</v>
      </c>
      <c r="E47" s="43" t="s">
        <v>300</v>
      </c>
      <c r="F47" s="43">
        <v>9</v>
      </c>
      <c r="G47" s="43">
        <v>2026</v>
      </c>
      <c r="H47" s="43"/>
      <c r="I47" s="43">
        <v>525.20000000000005</v>
      </c>
      <c r="J47" s="43" t="s">
        <v>104</v>
      </c>
      <c r="K47" s="43" t="s">
        <v>47</v>
      </c>
      <c r="L47" s="43"/>
      <c r="M47" s="43">
        <v>1</v>
      </c>
      <c r="N47" s="43">
        <v>0</v>
      </c>
      <c r="O47" s="43">
        <v>0</v>
      </c>
      <c r="P47" s="43">
        <v>0</v>
      </c>
      <c r="Q47" s="43">
        <v>0</v>
      </c>
      <c r="R47" s="43">
        <v>0</v>
      </c>
      <c r="S47" s="43">
        <v>1</v>
      </c>
      <c r="T47" s="43">
        <v>1</v>
      </c>
      <c r="U47" s="43">
        <v>1</v>
      </c>
      <c r="V47" s="43">
        <v>0</v>
      </c>
      <c r="W47" s="43" t="s">
        <v>1411</v>
      </c>
      <c r="X47" s="43" t="s">
        <v>1892</v>
      </c>
      <c r="Y47" s="43">
        <v>0</v>
      </c>
      <c r="Z47" s="43">
        <v>1</v>
      </c>
      <c r="AA47" s="43">
        <v>2009</v>
      </c>
      <c r="AB47" s="43">
        <v>9999</v>
      </c>
      <c r="AC47" s="43" t="s">
        <v>1239</v>
      </c>
    </row>
    <row r="48" spans="1:29" x14ac:dyDescent="0.25">
      <c r="A48" s="56" t="s">
        <v>1263</v>
      </c>
      <c r="B48" s="39" t="s">
        <v>1264</v>
      </c>
      <c r="C48" s="43" t="s">
        <v>1265</v>
      </c>
      <c r="D48" s="43">
        <v>1</v>
      </c>
      <c r="E48" s="43" t="s">
        <v>712</v>
      </c>
      <c r="F48" s="43">
        <v>9</v>
      </c>
      <c r="G48" s="43">
        <v>2026</v>
      </c>
      <c r="H48" s="43"/>
      <c r="I48" s="43">
        <v>1118.4000000000001</v>
      </c>
      <c r="J48" s="43" t="s">
        <v>104</v>
      </c>
      <c r="K48" s="43" t="s">
        <v>47</v>
      </c>
      <c r="L48" s="43"/>
      <c r="M48" s="43">
        <v>1</v>
      </c>
      <c r="N48" s="43">
        <v>0</v>
      </c>
      <c r="O48" s="43">
        <v>0</v>
      </c>
      <c r="P48" s="43">
        <v>0</v>
      </c>
      <c r="Q48" s="43">
        <v>0</v>
      </c>
      <c r="R48" s="43">
        <v>0</v>
      </c>
      <c r="S48" s="43">
        <v>1</v>
      </c>
      <c r="T48" s="43">
        <v>1</v>
      </c>
      <c r="U48" s="43">
        <v>1</v>
      </c>
      <c r="V48" s="43">
        <v>0</v>
      </c>
      <c r="W48" s="43" t="s">
        <v>1407</v>
      </c>
      <c r="X48" s="43" t="s">
        <v>2021</v>
      </c>
      <c r="Y48" s="43">
        <v>1</v>
      </c>
      <c r="Z48" s="43">
        <v>0</v>
      </c>
      <c r="AA48" s="43">
        <v>2009</v>
      </c>
      <c r="AB48" s="43">
        <v>9999</v>
      </c>
      <c r="AC48" s="43" t="s">
        <v>1239</v>
      </c>
    </row>
    <row r="49" spans="1:29" x14ac:dyDescent="0.25">
      <c r="A49" s="56" t="s">
        <v>1194</v>
      </c>
      <c r="B49" s="39" t="s">
        <v>1195</v>
      </c>
      <c r="C49" s="43"/>
      <c r="D49" s="43">
        <v>1</v>
      </c>
      <c r="E49" s="43" t="s">
        <v>85</v>
      </c>
      <c r="F49" s="43">
        <v>1</v>
      </c>
      <c r="G49" s="43">
        <v>2026</v>
      </c>
      <c r="H49" s="43" t="s">
        <v>39</v>
      </c>
      <c r="I49" s="43">
        <v>0.5</v>
      </c>
      <c r="J49" s="43" t="s">
        <v>52</v>
      </c>
      <c r="K49" s="43" t="s">
        <v>41</v>
      </c>
      <c r="L49" s="43"/>
      <c r="M49" s="43">
        <v>0</v>
      </c>
      <c r="N49" s="43">
        <v>0</v>
      </c>
      <c r="O49" s="43">
        <v>0</v>
      </c>
      <c r="P49" s="43">
        <v>0</v>
      </c>
      <c r="Q49" s="43">
        <v>0</v>
      </c>
      <c r="R49" s="43">
        <v>0</v>
      </c>
      <c r="S49" s="43">
        <v>0</v>
      </c>
      <c r="T49" s="43">
        <v>0</v>
      </c>
      <c r="U49" s="43">
        <v>0</v>
      </c>
      <c r="V49" s="43">
        <v>0</v>
      </c>
      <c r="W49" s="43" t="s">
        <v>1267</v>
      </c>
      <c r="X49" s="43" t="s">
        <v>1798</v>
      </c>
      <c r="Y49" s="43">
        <v>0</v>
      </c>
      <c r="Z49" s="43">
        <v>0</v>
      </c>
      <c r="AA49" s="43">
        <v>2008</v>
      </c>
      <c r="AB49" s="43">
        <v>9999</v>
      </c>
      <c r="AC49" s="43" t="s">
        <v>1054</v>
      </c>
    </row>
    <row r="50" spans="1:29" x14ac:dyDescent="0.25">
      <c r="A50" s="56" t="s">
        <v>1059</v>
      </c>
      <c r="B50" s="39" t="s">
        <v>1060</v>
      </c>
      <c r="C50" s="43"/>
      <c r="D50" s="43">
        <v>1</v>
      </c>
      <c r="E50" s="43" t="s">
        <v>874</v>
      </c>
      <c r="F50" s="43">
        <v>1</v>
      </c>
      <c r="G50" s="43">
        <v>2026</v>
      </c>
      <c r="H50" s="43"/>
      <c r="I50" s="43">
        <v>5</v>
      </c>
      <c r="J50" s="43" t="s">
        <v>52</v>
      </c>
      <c r="K50" s="43" t="s">
        <v>47</v>
      </c>
      <c r="L50" s="43"/>
      <c r="M50" s="43">
        <v>0</v>
      </c>
      <c r="N50" s="43">
        <v>0</v>
      </c>
      <c r="O50" s="43">
        <v>0</v>
      </c>
      <c r="P50" s="43">
        <v>0</v>
      </c>
      <c r="Q50" s="43">
        <v>0</v>
      </c>
      <c r="R50" s="43">
        <v>0</v>
      </c>
      <c r="S50" s="43">
        <v>1</v>
      </c>
      <c r="T50" s="43">
        <v>1</v>
      </c>
      <c r="U50" s="43">
        <v>1</v>
      </c>
      <c r="V50" s="43">
        <v>0</v>
      </c>
      <c r="W50" s="43" t="s">
        <v>1392</v>
      </c>
      <c r="X50" s="43" t="s">
        <v>1954</v>
      </c>
      <c r="Y50" s="43">
        <v>1</v>
      </c>
      <c r="Z50" s="43">
        <v>0</v>
      </c>
      <c r="AA50" s="43">
        <v>2008</v>
      </c>
      <c r="AB50" s="43">
        <v>9999</v>
      </c>
      <c r="AC50" s="43" t="s">
        <v>1054</v>
      </c>
    </row>
    <row r="51" spans="1:29" x14ac:dyDescent="0.25">
      <c r="A51" s="56" t="s">
        <v>1212</v>
      </c>
      <c r="B51" s="46" t="s">
        <v>1931</v>
      </c>
      <c r="C51" s="43"/>
      <c r="D51" s="43">
        <v>1</v>
      </c>
      <c r="E51" s="43" t="s">
        <v>681</v>
      </c>
      <c r="F51" s="43">
        <v>3</v>
      </c>
      <c r="G51" s="43">
        <v>2026</v>
      </c>
      <c r="H51" s="43"/>
      <c r="I51" s="43">
        <v>25</v>
      </c>
      <c r="J51" s="43" t="s">
        <v>121</v>
      </c>
      <c r="K51" s="43" t="s">
        <v>47</v>
      </c>
      <c r="L51" s="43"/>
      <c r="M51" s="43">
        <v>0</v>
      </c>
      <c r="N51" s="43">
        <v>0</v>
      </c>
      <c r="O51" s="43">
        <v>0</v>
      </c>
      <c r="P51" s="43">
        <v>0</v>
      </c>
      <c r="Q51" s="43">
        <v>0</v>
      </c>
      <c r="R51" s="43">
        <v>0</v>
      </c>
      <c r="S51" s="43">
        <v>0</v>
      </c>
      <c r="T51" s="43">
        <v>1</v>
      </c>
      <c r="U51" s="43">
        <v>1</v>
      </c>
      <c r="V51" s="43">
        <v>0</v>
      </c>
      <c r="W51" s="43" t="s">
        <v>2005</v>
      </c>
      <c r="X51" s="43" t="s">
        <v>2006</v>
      </c>
      <c r="Y51" s="43">
        <v>3</v>
      </c>
      <c r="Z51" s="43">
        <v>0</v>
      </c>
      <c r="AA51" s="43">
        <v>2008</v>
      </c>
      <c r="AB51" s="43">
        <v>9999</v>
      </c>
      <c r="AC51" s="43" t="s">
        <v>1054</v>
      </c>
    </row>
    <row r="52" spans="1:29" x14ac:dyDescent="0.25">
      <c r="A52" s="56" t="s">
        <v>1051</v>
      </c>
      <c r="B52" s="39" t="s">
        <v>1052</v>
      </c>
      <c r="C52" s="43"/>
      <c r="D52" s="43">
        <v>1</v>
      </c>
      <c r="E52" s="43" t="s">
        <v>30</v>
      </c>
      <c r="F52" s="43">
        <v>4</v>
      </c>
      <c r="G52" s="43">
        <v>2026</v>
      </c>
      <c r="H52" s="43"/>
      <c r="I52" s="43">
        <v>216.2</v>
      </c>
      <c r="J52" s="43" t="s">
        <v>1610</v>
      </c>
      <c r="K52" s="43" t="s">
        <v>47</v>
      </c>
      <c r="L52" s="43"/>
      <c r="M52" s="43">
        <v>1</v>
      </c>
      <c r="N52" s="43">
        <v>0</v>
      </c>
      <c r="O52" s="43">
        <v>0</v>
      </c>
      <c r="P52" s="43">
        <v>0</v>
      </c>
      <c r="Q52" s="43">
        <v>0</v>
      </c>
      <c r="R52" s="43">
        <v>0</v>
      </c>
      <c r="S52" s="43">
        <v>1</v>
      </c>
      <c r="T52" s="43">
        <v>1</v>
      </c>
      <c r="U52" s="43">
        <v>1</v>
      </c>
      <c r="V52" s="43">
        <v>0</v>
      </c>
      <c r="W52" s="43" t="s">
        <v>1524</v>
      </c>
      <c r="X52" s="43" t="s">
        <v>1948</v>
      </c>
      <c r="Y52" s="43">
        <v>0</v>
      </c>
      <c r="Z52" s="43">
        <v>0</v>
      </c>
      <c r="AA52" s="43">
        <v>2008</v>
      </c>
      <c r="AB52" s="43">
        <v>9999</v>
      </c>
      <c r="AC52" s="43" t="s">
        <v>1054</v>
      </c>
    </row>
    <row r="53" spans="1:29" x14ac:dyDescent="0.25">
      <c r="A53" s="56" t="s">
        <v>594</v>
      </c>
      <c r="B53" s="39" t="s">
        <v>595</v>
      </c>
      <c r="C53" s="43"/>
      <c r="D53" s="43">
        <v>1</v>
      </c>
      <c r="E53" s="43" t="s">
        <v>38</v>
      </c>
      <c r="F53" s="43">
        <v>4</v>
      </c>
      <c r="G53" s="43">
        <v>2026</v>
      </c>
      <c r="H53" s="43" t="s">
        <v>906</v>
      </c>
      <c r="I53" s="43">
        <v>0</v>
      </c>
      <c r="J53" s="43" t="s">
        <v>59</v>
      </c>
      <c r="K53" s="43" t="s">
        <v>41</v>
      </c>
      <c r="L53" s="43"/>
      <c r="M53" s="43">
        <v>0</v>
      </c>
      <c r="N53" s="43">
        <v>0</v>
      </c>
      <c r="O53" s="43">
        <v>0</v>
      </c>
      <c r="P53" s="43">
        <v>0</v>
      </c>
      <c r="Q53" s="43">
        <v>0</v>
      </c>
      <c r="R53" s="43">
        <v>0</v>
      </c>
      <c r="S53" s="43">
        <v>0</v>
      </c>
      <c r="T53" s="43">
        <v>0</v>
      </c>
      <c r="U53" s="43">
        <v>0</v>
      </c>
      <c r="V53" s="43">
        <v>0</v>
      </c>
      <c r="W53" s="43" t="s">
        <v>1135</v>
      </c>
      <c r="X53" s="43" t="s">
        <v>1746</v>
      </c>
      <c r="Y53" s="43">
        <v>0</v>
      </c>
      <c r="Z53" s="43">
        <v>0</v>
      </c>
      <c r="AA53" s="43">
        <v>2007</v>
      </c>
      <c r="AB53" s="43">
        <v>9999</v>
      </c>
      <c r="AC53" s="43" t="s">
        <v>35</v>
      </c>
    </row>
    <row r="54" spans="1:29" x14ac:dyDescent="0.25">
      <c r="A54" s="56" t="s">
        <v>831</v>
      </c>
      <c r="B54" s="39" t="s">
        <v>832</v>
      </c>
      <c r="C54" s="43" t="s">
        <v>833</v>
      </c>
      <c r="D54" s="43">
        <v>1</v>
      </c>
      <c r="E54" s="43" t="s">
        <v>38</v>
      </c>
      <c r="F54" s="43">
        <v>4</v>
      </c>
      <c r="G54" s="43">
        <v>2026</v>
      </c>
      <c r="H54" s="43" t="s">
        <v>906</v>
      </c>
      <c r="I54" s="43">
        <v>0.04</v>
      </c>
      <c r="J54" s="43" t="s">
        <v>59</v>
      </c>
      <c r="K54" s="43" t="s">
        <v>41</v>
      </c>
      <c r="L54" s="43"/>
      <c r="M54" s="43">
        <v>0</v>
      </c>
      <c r="N54" s="43">
        <v>0</v>
      </c>
      <c r="O54" s="43">
        <v>0</v>
      </c>
      <c r="P54" s="43">
        <v>0</v>
      </c>
      <c r="Q54" s="43">
        <v>0</v>
      </c>
      <c r="R54" s="43">
        <v>0</v>
      </c>
      <c r="S54" s="43">
        <v>0</v>
      </c>
      <c r="T54" s="43">
        <v>0</v>
      </c>
      <c r="U54" s="43">
        <v>0</v>
      </c>
      <c r="V54" s="43">
        <v>0</v>
      </c>
      <c r="W54" s="43" t="s">
        <v>1190</v>
      </c>
      <c r="X54" s="43" t="s">
        <v>1796</v>
      </c>
      <c r="Y54" s="43">
        <v>0</v>
      </c>
      <c r="Z54" s="43">
        <v>0</v>
      </c>
      <c r="AA54" s="43">
        <v>2007</v>
      </c>
      <c r="AB54" s="43">
        <v>9999</v>
      </c>
      <c r="AC54" s="43" t="s">
        <v>35</v>
      </c>
    </row>
    <row r="55" spans="1:29" x14ac:dyDescent="0.25">
      <c r="A55" s="56" t="s">
        <v>904</v>
      </c>
      <c r="B55" s="39" t="s">
        <v>1436</v>
      </c>
      <c r="C55" s="43"/>
      <c r="D55" s="43">
        <v>1</v>
      </c>
      <c r="E55" s="43" t="s">
        <v>38</v>
      </c>
      <c r="F55" s="43">
        <v>4</v>
      </c>
      <c r="G55" s="43">
        <v>2026</v>
      </c>
      <c r="H55" s="43" t="s">
        <v>906</v>
      </c>
      <c r="I55" s="43">
        <v>0.5</v>
      </c>
      <c r="J55" s="43" t="s">
        <v>59</v>
      </c>
      <c r="K55" s="43" t="s">
        <v>53</v>
      </c>
      <c r="L55" s="43" t="s">
        <v>902</v>
      </c>
      <c r="M55" s="43">
        <v>0</v>
      </c>
      <c r="N55" s="43">
        <v>0</v>
      </c>
      <c r="O55" s="43">
        <v>0</v>
      </c>
      <c r="P55" s="43">
        <v>0</v>
      </c>
      <c r="Q55" s="43">
        <v>0</v>
      </c>
      <c r="R55" s="43">
        <v>0</v>
      </c>
      <c r="S55" s="43">
        <v>0</v>
      </c>
      <c r="T55" s="43">
        <v>0</v>
      </c>
      <c r="U55" s="43">
        <v>0</v>
      </c>
      <c r="V55" s="43">
        <v>0</v>
      </c>
      <c r="W55" s="43" t="s">
        <v>907</v>
      </c>
      <c r="X55" s="43" t="s">
        <v>1813</v>
      </c>
      <c r="Y55" s="43">
        <v>0</v>
      </c>
      <c r="Z55" s="43">
        <v>0</v>
      </c>
      <c r="AA55" s="43">
        <v>2007</v>
      </c>
      <c r="AB55" s="43">
        <v>9999</v>
      </c>
      <c r="AC55" s="43" t="s">
        <v>35</v>
      </c>
    </row>
    <row r="56" spans="1:29" x14ac:dyDescent="0.25">
      <c r="A56" s="56" t="s">
        <v>529</v>
      </c>
      <c r="B56" s="39" t="s">
        <v>530</v>
      </c>
      <c r="C56" s="43"/>
      <c r="D56" s="43">
        <v>1</v>
      </c>
      <c r="E56" s="43" t="s">
        <v>58</v>
      </c>
      <c r="F56" s="43">
        <v>4</v>
      </c>
      <c r="G56" s="43">
        <v>2026</v>
      </c>
      <c r="H56" s="43"/>
      <c r="I56" s="43">
        <v>13</v>
      </c>
      <c r="J56" s="43" t="s">
        <v>59</v>
      </c>
      <c r="K56" s="43" t="s">
        <v>47</v>
      </c>
      <c r="L56" s="43"/>
      <c r="M56" s="43">
        <v>1</v>
      </c>
      <c r="N56" s="43">
        <v>0</v>
      </c>
      <c r="O56" s="43">
        <v>0</v>
      </c>
      <c r="P56" s="43">
        <v>0</v>
      </c>
      <c r="Q56" s="43">
        <v>0</v>
      </c>
      <c r="R56" s="43">
        <v>0</v>
      </c>
      <c r="S56" s="43">
        <v>1</v>
      </c>
      <c r="T56" s="43">
        <v>1</v>
      </c>
      <c r="U56" s="43">
        <v>1</v>
      </c>
      <c r="V56" s="43">
        <v>0</v>
      </c>
      <c r="W56" s="43" t="s">
        <v>1121</v>
      </c>
      <c r="X56" s="43" t="s">
        <v>2000</v>
      </c>
      <c r="Y56" s="43">
        <v>0</v>
      </c>
      <c r="Z56" s="43">
        <v>0</v>
      </c>
      <c r="AA56" s="43">
        <v>2007</v>
      </c>
      <c r="AB56" s="43">
        <v>9999</v>
      </c>
      <c r="AC56" s="43" t="s">
        <v>35</v>
      </c>
    </row>
    <row r="57" spans="1:29" ht="30" x14ac:dyDescent="0.25">
      <c r="A57" s="56" t="s">
        <v>316</v>
      </c>
      <c r="B57" s="39" t="s">
        <v>1461</v>
      </c>
      <c r="C57" s="43" t="s">
        <v>1462</v>
      </c>
      <c r="D57" s="43">
        <v>1</v>
      </c>
      <c r="E57" s="43" t="s">
        <v>318</v>
      </c>
      <c r="F57" s="43">
        <v>4</v>
      </c>
      <c r="G57" s="43">
        <v>2026</v>
      </c>
      <c r="H57" s="43"/>
      <c r="I57" s="43">
        <v>41.3</v>
      </c>
      <c r="J57" s="43" t="s">
        <v>59</v>
      </c>
      <c r="K57" s="43" t="s">
        <v>47</v>
      </c>
      <c r="L57" s="43"/>
      <c r="M57" s="43">
        <v>0</v>
      </c>
      <c r="N57" s="43">
        <v>0</v>
      </c>
      <c r="O57" s="43">
        <v>0</v>
      </c>
      <c r="P57" s="43">
        <v>0</v>
      </c>
      <c r="Q57" s="43">
        <v>0</v>
      </c>
      <c r="R57" s="43">
        <v>0</v>
      </c>
      <c r="S57" s="43">
        <v>1</v>
      </c>
      <c r="T57" s="43">
        <v>1</v>
      </c>
      <c r="U57" s="43">
        <v>1</v>
      </c>
      <c r="V57" s="43">
        <v>0</v>
      </c>
      <c r="W57" s="43" t="s">
        <v>1085</v>
      </c>
      <c r="X57" s="43" t="s">
        <v>1686</v>
      </c>
      <c r="Y57" s="43">
        <v>0</v>
      </c>
      <c r="Z57" s="43">
        <v>1</v>
      </c>
      <c r="AA57" s="43">
        <v>2007</v>
      </c>
      <c r="AB57" s="43">
        <v>9999</v>
      </c>
      <c r="AC57" s="43" t="s">
        <v>35</v>
      </c>
    </row>
    <row r="58" spans="1:29" x14ac:dyDescent="0.25">
      <c r="A58" s="56" t="s">
        <v>307</v>
      </c>
      <c r="B58" s="39" t="s">
        <v>308</v>
      </c>
      <c r="C58" s="43"/>
      <c r="D58" s="43">
        <v>1</v>
      </c>
      <c r="E58" s="43" t="s">
        <v>309</v>
      </c>
      <c r="F58" s="43">
        <v>10</v>
      </c>
      <c r="G58" s="43">
        <v>2026</v>
      </c>
      <c r="H58" s="43"/>
      <c r="I58" s="43">
        <v>59.3</v>
      </c>
      <c r="J58" s="43" t="s">
        <v>59</v>
      </c>
      <c r="K58" s="43" t="s">
        <v>47</v>
      </c>
      <c r="L58" s="43"/>
      <c r="M58" s="43">
        <v>1</v>
      </c>
      <c r="N58" s="43">
        <v>0</v>
      </c>
      <c r="O58" s="43">
        <v>0</v>
      </c>
      <c r="P58" s="43">
        <v>0</v>
      </c>
      <c r="Q58" s="43">
        <v>0</v>
      </c>
      <c r="R58" s="43">
        <v>0</v>
      </c>
      <c r="S58" s="43">
        <v>1</v>
      </c>
      <c r="T58" s="43">
        <v>1</v>
      </c>
      <c r="U58" s="43">
        <v>1</v>
      </c>
      <c r="V58" s="43">
        <v>0</v>
      </c>
      <c r="W58" s="43" t="s">
        <v>1083</v>
      </c>
      <c r="X58" s="43" t="s">
        <v>1862</v>
      </c>
      <c r="Y58" s="43">
        <v>0</v>
      </c>
      <c r="Z58" s="43">
        <v>0</v>
      </c>
      <c r="AA58" s="43">
        <v>2007</v>
      </c>
      <c r="AB58" s="43">
        <v>9999</v>
      </c>
      <c r="AC58" s="43" t="s">
        <v>35</v>
      </c>
    </row>
    <row r="59" spans="1:29" x14ac:dyDescent="0.25">
      <c r="A59" s="56" t="s">
        <v>353</v>
      </c>
      <c r="B59" s="39" t="s">
        <v>1233</v>
      </c>
      <c r="C59" s="43" t="s">
        <v>1234</v>
      </c>
      <c r="D59" s="43">
        <v>1</v>
      </c>
      <c r="E59" s="43" t="s">
        <v>58</v>
      </c>
      <c r="F59" s="43">
        <v>4</v>
      </c>
      <c r="G59" s="43">
        <v>2026</v>
      </c>
      <c r="H59" s="43"/>
      <c r="I59" s="43">
        <v>105.5</v>
      </c>
      <c r="J59" s="43" t="s">
        <v>59</v>
      </c>
      <c r="K59" s="43" t="s">
        <v>47</v>
      </c>
      <c r="L59" s="43"/>
      <c r="M59" s="43">
        <v>0</v>
      </c>
      <c r="N59" s="43">
        <v>0</v>
      </c>
      <c r="O59" s="43">
        <v>0</v>
      </c>
      <c r="P59" s="43">
        <v>0</v>
      </c>
      <c r="Q59" s="43">
        <v>0</v>
      </c>
      <c r="R59" s="43">
        <v>0</v>
      </c>
      <c r="S59" s="43">
        <v>1</v>
      </c>
      <c r="T59" s="43">
        <v>1</v>
      </c>
      <c r="U59" s="43">
        <v>1</v>
      </c>
      <c r="V59" s="43">
        <v>0</v>
      </c>
      <c r="W59" s="43" t="s">
        <v>1235</v>
      </c>
      <c r="X59" s="43" t="s">
        <v>1642</v>
      </c>
      <c r="Y59" s="43">
        <v>0</v>
      </c>
      <c r="Z59" s="43">
        <v>1</v>
      </c>
      <c r="AA59" s="43">
        <v>2007</v>
      </c>
      <c r="AB59" s="43">
        <v>9999</v>
      </c>
      <c r="AC59" s="43" t="s">
        <v>35</v>
      </c>
    </row>
    <row r="60" spans="1:29" x14ac:dyDescent="0.25">
      <c r="A60" s="56" t="s">
        <v>694</v>
      </c>
      <c r="B60" s="39" t="s">
        <v>695</v>
      </c>
      <c r="C60" s="43" t="s">
        <v>696</v>
      </c>
      <c r="D60" s="43">
        <v>1</v>
      </c>
      <c r="E60" s="43" t="s">
        <v>58</v>
      </c>
      <c r="F60" s="43">
        <v>4</v>
      </c>
      <c r="G60" s="43">
        <v>2026</v>
      </c>
      <c r="H60" s="43"/>
      <c r="I60" s="43">
        <v>131.4</v>
      </c>
      <c r="J60" s="43" t="s">
        <v>59</v>
      </c>
      <c r="K60" s="43" t="s">
        <v>47</v>
      </c>
      <c r="L60" s="43"/>
      <c r="M60" s="43">
        <v>0</v>
      </c>
      <c r="N60" s="43">
        <v>0</v>
      </c>
      <c r="O60" s="43">
        <v>0</v>
      </c>
      <c r="P60" s="43">
        <v>0</v>
      </c>
      <c r="Q60" s="43">
        <v>0</v>
      </c>
      <c r="R60" s="43">
        <v>0</v>
      </c>
      <c r="S60" s="43">
        <v>1</v>
      </c>
      <c r="T60" s="43">
        <v>1</v>
      </c>
      <c r="U60" s="43">
        <v>1</v>
      </c>
      <c r="V60" s="43">
        <v>0</v>
      </c>
      <c r="W60" s="43" t="s">
        <v>1156</v>
      </c>
      <c r="X60" s="43" t="s">
        <v>1762</v>
      </c>
      <c r="Y60" s="43">
        <v>0</v>
      </c>
      <c r="Z60" s="43">
        <v>0</v>
      </c>
      <c r="AA60" s="43">
        <v>2007</v>
      </c>
      <c r="AB60" s="43">
        <v>9999</v>
      </c>
      <c r="AC60" s="43" t="s">
        <v>35</v>
      </c>
    </row>
    <row r="61" spans="1:29" x14ac:dyDescent="0.25">
      <c r="A61" s="56" t="s">
        <v>74</v>
      </c>
      <c r="B61" s="39" t="s">
        <v>75</v>
      </c>
      <c r="C61" s="43"/>
      <c r="D61" s="43">
        <v>1</v>
      </c>
      <c r="E61" s="43" t="s">
        <v>58</v>
      </c>
      <c r="F61" s="43">
        <v>4</v>
      </c>
      <c r="G61" s="43">
        <v>2026</v>
      </c>
      <c r="H61" s="43"/>
      <c r="I61" s="43">
        <v>744.1</v>
      </c>
      <c r="J61" s="43" t="s">
        <v>59</v>
      </c>
      <c r="K61" s="43" t="s">
        <v>47</v>
      </c>
      <c r="L61" s="43"/>
      <c r="M61" s="43">
        <v>1</v>
      </c>
      <c r="N61" s="43">
        <v>0</v>
      </c>
      <c r="O61" s="43">
        <v>0</v>
      </c>
      <c r="P61" s="43">
        <v>0</v>
      </c>
      <c r="Q61" s="43">
        <v>0</v>
      </c>
      <c r="R61" s="43">
        <v>0</v>
      </c>
      <c r="S61" s="43">
        <v>1</v>
      </c>
      <c r="T61" s="43">
        <v>1</v>
      </c>
      <c r="U61" s="43">
        <v>1</v>
      </c>
      <c r="V61" s="43">
        <v>0</v>
      </c>
      <c r="W61" s="43" t="s">
        <v>1035</v>
      </c>
      <c r="X61" s="43" t="s">
        <v>1936</v>
      </c>
      <c r="Y61" s="43">
        <v>0</v>
      </c>
      <c r="Z61" s="43">
        <v>1</v>
      </c>
      <c r="AA61" s="43">
        <v>2007</v>
      </c>
      <c r="AB61" s="43">
        <v>9999</v>
      </c>
      <c r="AC61" s="43" t="s">
        <v>35</v>
      </c>
    </row>
    <row r="62" spans="1:29" x14ac:dyDescent="0.25">
      <c r="A62" s="56" t="s">
        <v>56</v>
      </c>
      <c r="B62" s="39" t="s">
        <v>57</v>
      </c>
      <c r="C62" s="43"/>
      <c r="D62" s="43">
        <v>1</v>
      </c>
      <c r="E62" s="43" t="s">
        <v>58</v>
      </c>
      <c r="F62" s="43">
        <v>4</v>
      </c>
      <c r="G62" s="43">
        <v>2026</v>
      </c>
      <c r="H62" s="43"/>
      <c r="I62" s="43">
        <v>21</v>
      </c>
      <c r="J62" s="43" t="s">
        <v>59</v>
      </c>
      <c r="K62" s="43" t="s">
        <v>53</v>
      </c>
      <c r="L62" s="43" t="s">
        <v>60</v>
      </c>
      <c r="M62" s="43">
        <v>0</v>
      </c>
      <c r="N62" s="43">
        <v>0</v>
      </c>
      <c r="O62" s="43">
        <v>1</v>
      </c>
      <c r="P62" s="43">
        <v>0</v>
      </c>
      <c r="Q62" s="43">
        <v>0</v>
      </c>
      <c r="R62" s="43">
        <v>0</v>
      </c>
      <c r="S62" s="43">
        <v>1</v>
      </c>
      <c r="T62" s="43">
        <v>1</v>
      </c>
      <c r="U62" s="43">
        <v>1</v>
      </c>
      <c r="V62" s="43">
        <v>0</v>
      </c>
      <c r="W62" s="43" t="s">
        <v>61</v>
      </c>
      <c r="X62" s="43" t="s">
        <v>1626</v>
      </c>
      <c r="Y62" s="43">
        <v>0</v>
      </c>
      <c r="Z62" s="43">
        <v>0</v>
      </c>
      <c r="AA62" s="43">
        <v>2007</v>
      </c>
      <c r="AB62" s="43">
        <v>9999</v>
      </c>
      <c r="AC62" s="43" t="s">
        <v>35</v>
      </c>
    </row>
    <row r="63" spans="1:29" x14ac:dyDescent="0.25">
      <c r="A63" s="56" t="s">
        <v>71</v>
      </c>
      <c r="B63" s="39" t="s">
        <v>1032</v>
      </c>
      <c r="C63" s="43"/>
      <c r="D63" s="43">
        <v>1</v>
      </c>
      <c r="E63" s="43" t="s">
        <v>309</v>
      </c>
      <c r="F63" s="43">
        <v>10</v>
      </c>
      <c r="G63" s="43">
        <v>2026</v>
      </c>
      <c r="H63" s="43"/>
      <c r="I63" s="43">
        <v>9288.7999999999993</v>
      </c>
      <c r="J63" s="43" t="s">
        <v>59</v>
      </c>
      <c r="K63" s="43" t="s">
        <v>32</v>
      </c>
      <c r="L63" s="43"/>
      <c r="M63" s="43">
        <v>0</v>
      </c>
      <c r="N63" s="43">
        <v>1</v>
      </c>
      <c r="O63" s="43">
        <v>0</v>
      </c>
      <c r="P63" s="43">
        <v>0</v>
      </c>
      <c r="Q63" s="43">
        <v>0</v>
      </c>
      <c r="R63" s="43">
        <v>0</v>
      </c>
      <c r="S63" s="43">
        <v>1</v>
      </c>
      <c r="T63" s="43">
        <v>1</v>
      </c>
      <c r="U63" s="43">
        <v>1</v>
      </c>
      <c r="V63" s="43">
        <v>0</v>
      </c>
      <c r="W63" s="43" t="s">
        <v>1609</v>
      </c>
      <c r="X63" s="43" t="s">
        <v>1849</v>
      </c>
      <c r="Y63" s="43">
        <v>0</v>
      </c>
      <c r="Z63" s="43">
        <v>1</v>
      </c>
      <c r="AA63" s="43">
        <v>2007</v>
      </c>
      <c r="AB63" s="43">
        <v>9999</v>
      </c>
      <c r="AC63" s="43" t="s">
        <v>35</v>
      </c>
    </row>
    <row r="64" spans="1:29" x14ac:dyDescent="0.25">
      <c r="A64" s="56" t="s">
        <v>754</v>
      </c>
      <c r="B64" s="39" t="s">
        <v>755</v>
      </c>
      <c r="C64" s="43"/>
      <c r="D64" s="43">
        <v>1</v>
      </c>
      <c r="E64" s="43" t="s">
        <v>85</v>
      </c>
      <c r="F64" s="43">
        <v>1</v>
      </c>
      <c r="G64" s="43">
        <v>2026</v>
      </c>
      <c r="H64" s="43" t="s">
        <v>756</v>
      </c>
      <c r="I64" s="43">
        <v>0</v>
      </c>
      <c r="J64" s="43" t="s">
        <v>52</v>
      </c>
      <c r="K64" s="43" t="s">
        <v>41</v>
      </c>
      <c r="L64" s="43"/>
      <c r="M64" s="43">
        <v>0</v>
      </c>
      <c r="N64" s="43">
        <v>0</v>
      </c>
      <c r="O64" s="43">
        <v>0</v>
      </c>
      <c r="P64" s="43">
        <v>0</v>
      </c>
      <c r="Q64" s="43">
        <v>0</v>
      </c>
      <c r="R64" s="43">
        <v>0</v>
      </c>
      <c r="S64" s="43">
        <v>0</v>
      </c>
      <c r="T64" s="43">
        <v>0</v>
      </c>
      <c r="U64" s="43">
        <v>0</v>
      </c>
      <c r="V64" s="43">
        <v>0</v>
      </c>
      <c r="W64" s="43" t="s">
        <v>1169</v>
      </c>
      <c r="X64" s="43" t="s">
        <v>1779</v>
      </c>
      <c r="Y64" s="43">
        <v>0</v>
      </c>
      <c r="Z64" s="43">
        <v>0</v>
      </c>
      <c r="AA64" s="43">
        <v>2007</v>
      </c>
      <c r="AB64" s="43">
        <v>9999</v>
      </c>
      <c r="AC64" s="43" t="s">
        <v>35</v>
      </c>
    </row>
    <row r="65" spans="1:29" x14ac:dyDescent="0.25">
      <c r="A65" s="56" t="s">
        <v>852</v>
      </c>
      <c r="B65" s="39" t="s">
        <v>853</v>
      </c>
      <c r="C65" s="43"/>
      <c r="D65" s="43">
        <v>1</v>
      </c>
      <c r="E65" s="43" t="s">
        <v>85</v>
      </c>
      <c r="F65" s="43">
        <v>1</v>
      </c>
      <c r="G65" s="43">
        <v>2026</v>
      </c>
      <c r="H65" s="43" t="s">
        <v>837</v>
      </c>
      <c r="I65" s="43">
        <v>2.5999999999999999E-2</v>
      </c>
      <c r="J65" s="43" t="s">
        <v>52</v>
      </c>
      <c r="K65" s="43" t="s">
        <v>41</v>
      </c>
      <c r="L65" s="43"/>
      <c r="M65" s="43">
        <v>0</v>
      </c>
      <c r="N65" s="43">
        <v>0</v>
      </c>
      <c r="O65" s="43">
        <v>0</v>
      </c>
      <c r="P65" s="43">
        <v>0</v>
      </c>
      <c r="Q65" s="43">
        <v>0</v>
      </c>
      <c r="R65" s="43">
        <v>0</v>
      </c>
      <c r="S65" s="43">
        <v>0</v>
      </c>
      <c r="T65" s="43">
        <v>0</v>
      </c>
      <c r="U65" s="43">
        <v>0</v>
      </c>
      <c r="V65" s="43">
        <v>0</v>
      </c>
      <c r="W65" s="43" t="s">
        <v>2031</v>
      </c>
      <c r="X65" s="43" t="s">
        <v>2032</v>
      </c>
      <c r="Y65" s="43">
        <v>0</v>
      </c>
      <c r="Z65" s="43">
        <v>0</v>
      </c>
      <c r="AA65" s="43">
        <v>2007</v>
      </c>
      <c r="AB65" s="43">
        <v>9999</v>
      </c>
      <c r="AC65" s="43" t="s">
        <v>35</v>
      </c>
    </row>
    <row r="66" spans="1:29" x14ac:dyDescent="0.25">
      <c r="A66" s="56" t="s">
        <v>388</v>
      </c>
      <c r="B66" s="39" t="s">
        <v>389</v>
      </c>
      <c r="C66" s="43"/>
      <c r="D66" s="43">
        <v>1</v>
      </c>
      <c r="E66" s="43" t="s">
        <v>145</v>
      </c>
      <c r="F66" s="43">
        <v>2</v>
      </c>
      <c r="G66" s="43">
        <v>2026</v>
      </c>
      <c r="H66" s="43" t="s">
        <v>185</v>
      </c>
      <c r="I66" s="43">
        <v>0.1</v>
      </c>
      <c r="J66" s="43" t="s">
        <v>52</v>
      </c>
      <c r="K66" s="43" t="s">
        <v>41</v>
      </c>
      <c r="L66" s="43"/>
      <c r="M66" s="43">
        <v>0</v>
      </c>
      <c r="N66" s="43">
        <v>0</v>
      </c>
      <c r="O66" s="43">
        <v>0</v>
      </c>
      <c r="P66" s="43">
        <v>0</v>
      </c>
      <c r="Q66" s="43">
        <v>0</v>
      </c>
      <c r="R66" s="43">
        <v>0</v>
      </c>
      <c r="S66" s="43">
        <v>0</v>
      </c>
      <c r="T66" s="43">
        <v>0</v>
      </c>
      <c r="U66" s="43">
        <v>0</v>
      </c>
      <c r="V66" s="43">
        <v>0</v>
      </c>
      <c r="W66" s="43" t="s">
        <v>1101</v>
      </c>
      <c r="X66" s="43" t="s">
        <v>1702</v>
      </c>
      <c r="Y66" s="43">
        <v>0</v>
      </c>
      <c r="Z66" s="43">
        <v>0</v>
      </c>
      <c r="AA66" s="43">
        <v>2007</v>
      </c>
      <c r="AB66" s="43">
        <v>9999</v>
      </c>
      <c r="AC66" s="43" t="s">
        <v>35</v>
      </c>
    </row>
    <row r="67" spans="1:29" x14ac:dyDescent="0.25">
      <c r="A67" s="56" t="s">
        <v>731</v>
      </c>
      <c r="B67" s="39" t="s">
        <v>732</v>
      </c>
      <c r="C67" s="43"/>
      <c r="D67" s="43">
        <v>1</v>
      </c>
      <c r="E67" s="43" t="s">
        <v>51</v>
      </c>
      <c r="F67" s="43">
        <v>10</v>
      </c>
      <c r="G67" s="43">
        <v>2026</v>
      </c>
      <c r="H67" s="43" t="s">
        <v>39</v>
      </c>
      <c r="I67" s="43">
        <v>1.2</v>
      </c>
      <c r="J67" s="43" t="s">
        <v>52</v>
      </c>
      <c r="K67" s="43" t="s">
        <v>41</v>
      </c>
      <c r="L67" s="43"/>
      <c r="M67" s="43">
        <v>0</v>
      </c>
      <c r="N67" s="43">
        <v>0</v>
      </c>
      <c r="O67" s="43">
        <v>0</v>
      </c>
      <c r="P67" s="43">
        <v>0</v>
      </c>
      <c r="Q67" s="43">
        <v>0</v>
      </c>
      <c r="R67" s="43">
        <v>0</v>
      </c>
      <c r="S67" s="43">
        <v>0</v>
      </c>
      <c r="T67" s="43">
        <v>0</v>
      </c>
      <c r="U67" s="43">
        <v>0</v>
      </c>
      <c r="V67" s="43">
        <v>0</v>
      </c>
      <c r="W67" s="43" t="s">
        <v>1164</v>
      </c>
      <c r="X67" s="43" t="s">
        <v>1772</v>
      </c>
      <c r="Y67" s="43">
        <v>0</v>
      </c>
      <c r="Z67" s="43">
        <v>0</v>
      </c>
      <c r="AA67" s="43">
        <v>2007</v>
      </c>
      <c r="AB67" s="43">
        <v>9999</v>
      </c>
      <c r="AC67" s="43" t="s">
        <v>35</v>
      </c>
    </row>
    <row r="68" spans="1:29" x14ac:dyDescent="0.25">
      <c r="A68" s="56" t="s">
        <v>1023</v>
      </c>
      <c r="B68" s="39" t="s">
        <v>1200</v>
      </c>
      <c r="C68" s="43"/>
      <c r="D68" s="43">
        <v>1</v>
      </c>
      <c r="E68" s="43" t="s">
        <v>85</v>
      </c>
      <c r="F68" s="43">
        <v>1</v>
      </c>
      <c r="G68" s="43">
        <v>2026</v>
      </c>
      <c r="H68" s="43" t="s">
        <v>39</v>
      </c>
      <c r="I68" s="43">
        <v>3.5</v>
      </c>
      <c r="J68" s="43" t="s">
        <v>52</v>
      </c>
      <c r="K68" s="43" t="s">
        <v>41</v>
      </c>
      <c r="L68" s="43"/>
      <c r="M68" s="43">
        <v>0</v>
      </c>
      <c r="N68" s="43">
        <v>0</v>
      </c>
      <c r="O68" s="43">
        <v>0</v>
      </c>
      <c r="P68" s="43">
        <v>0</v>
      </c>
      <c r="Q68" s="43">
        <v>0</v>
      </c>
      <c r="R68" s="43">
        <v>0</v>
      </c>
      <c r="S68" s="43">
        <v>0</v>
      </c>
      <c r="T68" s="43">
        <v>0</v>
      </c>
      <c r="U68" s="43">
        <v>0</v>
      </c>
      <c r="V68" s="43">
        <v>0</v>
      </c>
      <c r="W68" s="43" t="s">
        <v>1271</v>
      </c>
      <c r="X68" s="43" t="s">
        <v>1805</v>
      </c>
      <c r="Y68" s="43">
        <v>0</v>
      </c>
      <c r="Z68" s="43">
        <v>0</v>
      </c>
      <c r="AA68" s="43">
        <v>2007</v>
      </c>
      <c r="AB68" s="43">
        <v>9999</v>
      </c>
      <c r="AC68" s="43" t="s">
        <v>35</v>
      </c>
    </row>
    <row r="69" spans="1:29" x14ac:dyDescent="0.25">
      <c r="A69" s="56" t="s">
        <v>203</v>
      </c>
      <c r="B69" s="39" t="s">
        <v>204</v>
      </c>
      <c r="C69" s="43"/>
      <c r="D69" s="43">
        <v>1</v>
      </c>
      <c r="E69" s="43" t="s">
        <v>201</v>
      </c>
      <c r="F69" s="43">
        <v>1</v>
      </c>
      <c r="G69" s="43">
        <v>2026</v>
      </c>
      <c r="H69" s="43" t="s">
        <v>205</v>
      </c>
      <c r="I69" s="43">
        <v>4.5</v>
      </c>
      <c r="J69" s="43" t="s">
        <v>52</v>
      </c>
      <c r="K69" s="43" t="s">
        <v>41</v>
      </c>
      <c r="L69" s="43"/>
      <c r="M69" s="43">
        <v>0</v>
      </c>
      <c r="N69" s="43">
        <v>0</v>
      </c>
      <c r="O69" s="43">
        <v>0</v>
      </c>
      <c r="P69" s="43">
        <v>0</v>
      </c>
      <c r="Q69" s="43">
        <v>0</v>
      </c>
      <c r="R69" s="43">
        <v>0</v>
      </c>
      <c r="S69" s="43">
        <v>0</v>
      </c>
      <c r="T69" s="43">
        <v>0</v>
      </c>
      <c r="U69" s="43">
        <v>0</v>
      </c>
      <c r="V69" s="43">
        <v>0</v>
      </c>
      <c r="W69" s="43" t="s">
        <v>1064</v>
      </c>
      <c r="X69" s="43" t="s">
        <v>1660</v>
      </c>
      <c r="Y69" s="43">
        <v>0</v>
      </c>
      <c r="Z69" s="43">
        <v>0</v>
      </c>
      <c r="AA69" s="43">
        <v>2007</v>
      </c>
      <c r="AB69" s="43">
        <v>9999</v>
      </c>
      <c r="AC69" s="43" t="s">
        <v>35</v>
      </c>
    </row>
    <row r="70" spans="1:29" x14ac:dyDescent="0.25">
      <c r="A70" s="56" t="s">
        <v>107</v>
      </c>
      <c r="B70" s="39" t="s">
        <v>108</v>
      </c>
      <c r="C70" s="43"/>
      <c r="D70" s="43">
        <v>1</v>
      </c>
      <c r="E70" s="43" t="s">
        <v>45</v>
      </c>
      <c r="F70" s="43">
        <v>4</v>
      </c>
      <c r="G70" s="43">
        <v>2026</v>
      </c>
      <c r="H70" s="43"/>
      <c r="I70" s="43">
        <v>4.9000000000000004</v>
      </c>
      <c r="J70" s="43" t="s">
        <v>52</v>
      </c>
      <c r="K70" s="43" t="s">
        <v>41</v>
      </c>
      <c r="L70" s="43"/>
      <c r="M70" s="43">
        <v>0</v>
      </c>
      <c r="N70" s="43">
        <v>0</v>
      </c>
      <c r="O70" s="43">
        <v>0</v>
      </c>
      <c r="P70" s="43">
        <v>0</v>
      </c>
      <c r="Q70" s="43">
        <v>0</v>
      </c>
      <c r="R70" s="43">
        <v>0</v>
      </c>
      <c r="S70" s="43">
        <v>0</v>
      </c>
      <c r="T70" s="43">
        <v>1</v>
      </c>
      <c r="U70" s="43">
        <v>1</v>
      </c>
      <c r="V70" s="43">
        <v>0</v>
      </c>
      <c r="W70" s="43" t="s">
        <v>1520</v>
      </c>
      <c r="X70" s="43" t="s">
        <v>1634</v>
      </c>
      <c r="Y70" s="43">
        <v>0</v>
      </c>
      <c r="Z70" s="43">
        <v>0</v>
      </c>
      <c r="AA70" s="43">
        <v>2007</v>
      </c>
      <c r="AB70" s="43">
        <v>9999</v>
      </c>
      <c r="AC70" s="43" t="s">
        <v>35</v>
      </c>
    </row>
    <row r="71" spans="1:29" x14ac:dyDescent="0.25">
      <c r="A71" s="56" t="s">
        <v>726</v>
      </c>
      <c r="B71" s="39" t="s">
        <v>727</v>
      </c>
      <c r="C71" s="43"/>
      <c r="D71" s="43">
        <v>1</v>
      </c>
      <c r="E71" s="43" t="s">
        <v>85</v>
      </c>
      <c r="F71" s="43">
        <v>1</v>
      </c>
      <c r="G71" s="43">
        <v>2026</v>
      </c>
      <c r="H71" s="43" t="s">
        <v>205</v>
      </c>
      <c r="I71" s="43">
        <v>7.5</v>
      </c>
      <c r="J71" s="43" t="s">
        <v>52</v>
      </c>
      <c r="K71" s="43" t="s">
        <v>41</v>
      </c>
      <c r="L71" s="43"/>
      <c r="M71" s="43">
        <v>0</v>
      </c>
      <c r="N71" s="43">
        <v>0</v>
      </c>
      <c r="O71" s="43">
        <v>0</v>
      </c>
      <c r="P71" s="43">
        <v>0</v>
      </c>
      <c r="Q71" s="43">
        <v>0</v>
      </c>
      <c r="R71" s="43">
        <v>0</v>
      </c>
      <c r="S71" s="43">
        <v>0</v>
      </c>
      <c r="T71" s="43">
        <v>0</v>
      </c>
      <c r="U71" s="43">
        <v>0</v>
      </c>
      <c r="V71" s="43">
        <v>0</v>
      </c>
      <c r="W71" s="43" t="s">
        <v>1162</v>
      </c>
      <c r="X71" s="43" t="s">
        <v>1770</v>
      </c>
      <c r="Y71" s="43">
        <v>0</v>
      </c>
      <c r="Z71" s="43">
        <v>0</v>
      </c>
      <c r="AA71" s="43">
        <v>2007</v>
      </c>
      <c r="AB71" s="43">
        <v>9999</v>
      </c>
      <c r="AC71" s="43" t="s">
        <v>35</v>
      </c>
    </row>
    <row r="72" spans="1:29" x14ac:dyDescent="0.25">
      <c r="A72" s="56" t="s">
        <v>178</v>
      </c>
      <c r="B72" s="39" t="s">
        <v>1424</v>
      </c>
      <c r="C72" s="43" t="s">
        <v>1425</v>
      </c>
      <c r="D72" s="43">
        <v>1</v>
      </c>
      <c r="E72" s="43" t="s">
        <v>45</v>
      </c>
      <c r="F72" s="43">
        <v>4</v>
      </c>
      <c r="G72" s="43">
        <v>2026</v>
      </c>
      <c r="H72" s="43"/>
      <c r="I72" s="43">
        <v>29.8</v>
      </c>
      <c r="J72" s="43" t="s">
        <v>52</v>
      </c>
      <c r="K72" s="43" t="s">
        <v>47</v>
      </c>
      <c r="L72" s="43"/>
      <c r="M72" s="43">
        <v>0</v>
      </c>
      <c r="N72" s="43">
        <v>0</v>
      </c>
      <c r="O72" s="43">
        <v>0</v>
      </c>
      <c r="P72" s="43">
        <v>0</v>
      </c>
      <c r="Q72" s="43">
        <v>0</v>
      </c>
      <c r="R72" s="43">
        <v>0</v>
      </c>
      <c r="S72" s="43">
        <v>1</v>
      </c>
      <c r="T72" s="43">
        <v>1</v>
      </c>
      <c r="U72" s="43">
        <v>1</v>
      </c>
      <c r="V72" s="43">
        <v>0</v>
      </c>
      <c r="W72" s="43" t="s">
        <v>1240</v>
      </c>
      <c r="X72" s="43" t="s">
        <v>1652</v>
      </c>
      <c r="Y72" s="43">
        <v>1</v>
      </c>
      <c r="Z72" s="43">
        <v>0</v>
      </c>
      <c r="AA72" s="43">
        <v>2007</v>
      </c>
      <c r="AB72" s="43">
        <v>9999</v>
      </c>
      <c r="AC72" s="43" t="s">
        <v>35</v>
      </c>
    </row>
    <row r="73" spans="1:29" x14ac:dyDescent="0.25">
      <c r="A73" s="56" t="s">
        <v>43</v>
      </c>
      <c r="B73" s="39" t="s">
        <v>44</v>
      </c>
      <c r="C73" s="43"/>
      <c r="D73" s="43">
        <v>1</v>
      </c>
      <c r="E73" s="43" t="s">
        <v>45</v>
      </c>
      <c r="F73" s="43">
        <v>4</v>
      </c>
      <c r="G73" s="43">
        <v>2026</v>
      </c>
      <c r="H73" s="43"/>
      <c r="I73" s="43">
        <v>43.2</v>
      </c>
      <c r="J73" s="43" t="s">
        <v>52</v>
      </c>
      <c r="K73" s="43" t="s">
        <v>47</v>
      </c>
      <c r="L73" s="43"/>
      <c r="M73" s="43">
        <v>1</v>
      </c>
      <c r="N73" s="43">
        <v>0</v>
      </c>
      <c r="O73" s="43">
        <v>0</v>
      </c>
      <c r="P73" s="43">
        <v>0</v>
      </c>
      <c r="Q73" s="43">
        <v>0</v>
      </c>
      <c r="R73" s="43">
        <v>0</v>
      </c>
      <c r="S73" s="43">
        <v>1</v>
      </c>
      <c r="T73" s="43">
        <v>1</v>
      </c>
      <c r="U73" s="43">
        <v>1</v>
      </c>
      <c r="V73" s="43">
        <v>0</v>
      </c>
      <c r="W73" s="43" t="s">
        <v>1514</v>
      </c>
      <c r="X73" s="43" t="s">
        <v>1934</v>
      </c>
      <c r="Y73" s="43">
        <v>0</v>
      </c>
      <c r="Z73" s="43">
        <v>0</v>
      </c>
      <c r="AA73" s="43">
        <v>2007</v>
      </c>
      <c r="AB73" s="43">
        <v>9999</v>
      </c>
      <c r="AC73" s="43" t="s">
        <v>35</v>
      </c>
    </row>
    <row r="74" spans="1:29" x14ac:dyDescent="0.25">
      <c r="A74" s="56" t="s">
        <v>375</v>
      </c>
      <c r="B74" s="39" t="s">
        <v>163</v>
      </c>
      <c r="C74" s="43"/>
      <c r="D74" s="43">
        <v>1</v>
      </c>
      <c r="E74" s="43" t="s">
        <v>168</v>
      </c>
      <c r="F74" s="43">
        <v>1</v>
      </c>
      <c r="G74" s="43">
        <v>2026</v>
      </c>
      <c r="H74" s="43"/>
      <c r="I74" s="43">
        <v>46.7</v>
      </c>
      <c r="J74" s="43" t="s">
        <v>52</v>
      </c>
      <c r="K74" s="43" t="s">
        <v>47</v>
      </c>
      <c r="L74" s="43"/>
      <c r="M74" s="43">
        <v>0</v>
      </c>
      <c r="N74" s="43">
        <v>0</v>
      </c>
      <c r="O74" s="43">
        <v>0</v>
      </c>
      <c r="P74" s="43">
        <v>0</v>
      </c>
      <c r="Q74" s="43">
        <v>0</v>
      </c>
      <c r="R74" s="43">
        <v>0</v>
      </c>
      <c r="S74" s="43">
        <v>1</v>
      </c>
      <c r="T74" s="43">
        <v>1</v>
      </c>
      <c r="U74" s="43">
        <v>1</v>
      </c>
      <c r="V74" s="43">
        <v>0</v>
      </c>
      <c r="W74" s="43" t="s">
        <v>1097</v>
      </c>
      <c r="X74" s="43" t="s">
        <v>1972</v>
      </c>
      <c r="Y74" s="43">
        <v>0</v>
      </c>
      <c r="Z74" s="43">
        <v>1</v>
      </c>
      <c r="AA74" s="43">
        <v>2007</v>
      </c>
      <c r="AB74" s="43">
        <v>9999</v>
      </c>
      <c r="AC74" s="43" t="s">
        <v>35</v>
      </c>
    </row>
    <row r="75" spans="1:29" x14ac:dyDescent="0.25">
      <c r="A75" s="56" t="s">
        <v>478</v>
      </c>
      <c r="B75" s="39" t="s">
        <v>479</v>
      </c>
      <c r="C75" s="43"/>
      <c r="D75" s="43">
        <v>1</v>
      </c>
      <c r="E75" s="43" t="s">
        <v>348</v>
      </c>
      <c r="F75" s="43">
        <v>1</v>
      </c>
      <c r="G75" s="43">
        <v>2026</v>
      </c>
      <c r="H75" s="43"/>
      <c r="I75" s="43">
        <v>128.83000000000001</v>
      </c>
      <c r="J75" s="43" t="s">
        <v>52</v>
      </c>
      <c r="K75" s="43" t="s">
        <v>47</v>
      </c>
      <c r="L75" s="43"/>
      <c r="M75" s="43">
        <v>1</v>
      </c>
      <c r="N75" s="43">
        <v>0</v>
      </c>
      <c r="O75" s="43">
        <v>0</v>
      </c>
      <c r="P75" s="43">
        <v>0</v>
      </c>
      <c r="Q75" s="43">
        <v>0</v>
      </c>
      <c r="R75" s="43">
        <v>0</v>
      </c>
      <c r="S75" s="43">
        <v>1</v>
      </c>
      <c r="T75" s="43">
        <v>1</v>
      </c>
      <c r="U75" s="43">
        <v>1</v>
      </c>
      <c r="V75" s="43">
        <v>0</v>
      </c>
      <c r="W75" s="43" t="s">
        <v>1548</v>
      </c>
      <c r="X75" s="43" t="s">
        <v>1977</v>
      </c>
      <c r="Y75" s="43">
        <v>1</v>
      </c>
      <c r="Z75" s="43">
        <v>0</v>
      </c>
      <c r="AA75" s="43">
        <v>2007</v>
      </c>
      <c r="AB75" s="43">
        <v>9999</v>
      </c>
      <c r="AC75" s="43" t="s">
        <v>35</v>
      </c>
    </row>
    <row r="76" spans="1:29" x14ac:dyDescent="0.25">
      <c r="A76" s="56" t="s">
        <v>483</v>
      </c>
      <c r="B76" s="39" t="s">
        <v>484</v>
      </c>
      <c r="C76" s="43"/>
      <c r="D76" s="43">
        <v>1</v>
      </c>
      <c r="E76" s="43" t="s">
        <v>348</v>
      </c>
      <c r="F76" s="43">
        <v>1</v>
      </c>
      <c r="G76" s="43">
        <v>2026</v>
      </c>
      <c r="H76" s="43"/>
      <c r="I76" s="43">
        <v>140.47</v>
      </c>
      <c r="J76" s="43" t="s">
        <v>52</v>
      </c>
      <c r="K76" s="43" t="s">
        <v>47</v>
      </c>
      <c r="L76" s="43"/>
      <c r="M76" s="43">
        <v>1</v>
      </c>
      <c r="N76" s="43">
        <v>0</v>
      </c>
      <c r="O76" s="43">
        <v>0</v>
      </c>
      <c r="P76" s="43">
        <v>0</v>
      </c>
      <c r="Q76" s="43">
        <v>0</v>
      </c>
      <c r="R76" s="43">
        <v>0</v>
      </c>
      <c r="S76" s="43">
        <v>1</v>
      </c>
      <c r="T76" s="43">
        <v>1</v>
      </c>
      <c r="U76" s="43">
        <v>1</v>
      </c>
      <c r="V76" s="43">
        <v>0</v>
      </c>
      <c r="W76" s="43" t="s">
        <v>1548</v>
      </c>
      <c r="X76" s="43" t="s">
        <v>1979</v>
      </c>
      <c r="Y76" s="43">
        <v>1</v>
      </c>
      <c r="Z76" s="43">
        <v>0</v>
      </c>
      <c r="AA76" s="43">
        <v>2007</v>
      </c>
      <c r="AB76" s="43">
        <v>9999</v>
      </c>
      <c r="AC76" s="43" t="s">
        <v>35</v>
      </c>
    </row>
    <row r="77" spans="1:29" x14ac:dyDescent="0.25">
      <c r="A77" s="56" t="s">
        <v>385</v>
      </c>
      <c r="B77" s="39" t="s">
        <v>386</v>
      </c>
      <c r="C77" s="43"/>
      <c r="D77" s="43">
        <v>1</v>
      </c>
      <c r="E77" s="43" t="s">
        <v>45</v>
      </c>
      <c r="F77" s="43">
        <v>4</v>
      </c>
      <c r="G77" s="43">
        <v>2026</v>
      </c>
      <c r="H77" s="43"/>
      <c r="I77" s="43">
        <v>166.6</v>
      </c>
      <c r="J77" s="43" t="s">
        <v>52</v>
      </c>
      <c r="K77" s="43" t="s">
        <v>47</v>
      </c>
      <c r="L77" s="43"/>
      <c r="M77" s="43">
        <v>1</v>
      </c>
      <c r="N77" s="43">
        <v>0</v>
      </c>
      <c r="O77" s="43">
        <v>0</v>
      </c>
      <c r="P77" s="43">
        <v>0</v>
      </c>
      <c r="Q77" s="43">
        <v>0</v>
      </c>
      <c r="R77" s="43">
        <v>0</v>
      </c>
      <c r="S77" s="43">
        <v>1</v>
      </c>
      <c r="T77" s="43">
        <v>1</v>
      </c>
      <c r="U77" s="43">
        <v>1</v>
      </c>
      <c r="V77" s="43">
        <v>0</v>
      </c>
      <c r="W77" s="43" t="s">
        <v>1300</v>
      </c>
      <c r="X77" s="43" t="s">
        <v>1975</v>
      </c>
      <c r="Y77" s="43">
        <v>0</v>
      </c>
      <c r="Z77" s="43">
        <v>0</v>
      </c>
      <c r="AA77" s="43">
        <v>2007</v>
      </c>
      <c r="AB77" s="43">
        <v>9999</v>
      </c>
      <c r="AC77" s="43" t="s">
        <v>35</v>
      </c>
    </row>
    <row r="78" spans="1:29" x14ac:dyDescent="0.25">
      <c r="A78" s="56" t="s">
        <v>513</v>
      </c>
      <c r="B78" s="39" t="s">
        <v>514</v>
      </c>
      <c r="C78" s="43"/>
      <c r="D78" s="43">
        <v>1</v>
      </c>
      <c r="E78" s="43" t="s">
        <v>348</v>
      </c>
      <c r="F78" s="43">
        <v>1</v>
      </c>
      <c r="G78" s="43">
        <v>2026</v>
      </c>
      <c r="H78" s="43"/>
      <c r="I78" s="43">
        <v>181.68</v>
      </c>
      <c r="J78" s="43" t="s">
        <v>52</v>
      </c>
      <c r="K78" s="43" t="s">
        <v>47</v>
      </c>
      <c r="L78" s="43"/>
      <c r="M78" s="43">
        <v>1</v>
      </c>
      <c r="N78" s="43">
        <v>0</v>
      </c>
      <c r="O78" s="43">
        <v>0</v>
      </c>
      <c r="P78" s="43">
        <v>0</v>
      </c>
      <c r="Q78" s="43">
        <v>0</v>
      </c>
      <c r="R78" s="43">
        <v>0</v>
      </c>
      <c r="S78" s="43">
        <v>1</v>
      </c>
      <c r="T78" s="43">
        <v>1</v>
      </c>
      <c r="U78" s="43">
        <v>1</v>
      </c>
      <c r="V78" s="43">
        <v>0</v>
      </c>
      <c r="W78" s="43" t="s">
        <v>1548</v>
      </c>
      <c r="X78" s="43" t="s">
        <v>1993</v>
      </c>
      <c r="Y78" s="43">
        <v>2</v>
      </c>
      <c r="Z78" s="43">
        <v>0</v>
      </c>
      <c r="AA78" s="43">
        <v>2007</v>
      </c>
      <c r="AB78" s="43">
        <v>9999</v>
      </c>
      <c r="AC78" s="43" t="s">
        <v>35</v>
      </c>
    </row>
    <row r="79" spans="1:29" x14ac:dyDescent="0.25">
      <c r="A79" s="56" t="s">
        <v>503</v>
      </c>
      <c r="B79" s="39" t="s">
        <v>504</v>
      </c>
      <c r="C79" s="43"/>
      <c r="D79" s="43">
        <v>1</v>
      </c>
      <c r="E79" s="43" t="s">
        <v>348</v>
      </c>
      <c r="F79" s="43">
        <v>1</v>
      </c>
      <c r="G79" s="43">
        <v>2026</v>
      </c>
      <c r="H79" s="43"/>
      <c r="I79" s="43">
        <v>182.18</v>
      </c>
      <c r="J79" s="43" t="s">
        <v>52</v>
      </c>
      <c r="K79" s="43" t="s">
        <v>47</v>
      </c>
      <c r="L79" s="43"/>
      <c r="M79" s="43">
        <v>1</v>
      </c>
      <c r="N79" s="43">
        <v>0</v>
      </c>
      <c r="O79" s="43">
        <v>0</v>
      </c>
      <c r="P79" s="43">
        <v>0</v>
      </c>
      <c r="Q79" s="43">
        <v>0</v>
      </c>
      <c r="R79" s="43">
        <v>0</v>
      </c>
      <c r="S79" s="43">
        <v>1</v>
      </c>
      <c r="T79" s="43">
        <v>1</v>
      </c>
      <c r="U79" s="43">
        <v>1</v>
      </c>
      <c r="V79" s="43">
        <v>0</v>
      </c>
      <c r="W79" s="43" t="s">
        <v>1548</v>
      </c>
      <c r="X79" s="43" t="s">
        <v>1988</v>
      </c>
      <c r="Y79" s="43">
        <v>1</v>
      </c>
      <c r="Z79" s="43">
        <v>0</v>
      </c>
      <c r="AA79" s="43">
        <v>2007</v>
      </c>
      <c r="AB79" s="43">
        <v>9999</v>
      </c>
      <c r="AC79" s="43" t="s">
        <v>35</v>
      </c>
    </row>
    <row r="80" spans="1:29" x14ac:dyDescent="0.25">
      <c r="A80" s="56" t="s">
        <v>495</v>
      </c>
      <c r="B80" s="39" t="s">
        <v>496</v>
      </c>
      <c r="C80" s="43"/>
      <c r="D80" s="43">
        <v>1</v>
      </c>
      <c r="E80" s="43" t="s">
        <v>348</v>
      </c>
      <c r="F80" s="43">
        <v>1</v>
      </c>
      <c r="G80" s="43">
        <v>2026</v>
      </c>
      <c r="H80" s="43"/>
      <c r="I80" s="43">
        <v>197.98</v>
      </c>
      <c r="J80" s="43" t="s">
        <v>52</v>
      </c>
      <c r="K80" s="43" t="s">
        <v>47</v>
      </c>
      <c r="L80" s="43"/>
      <c r="M80" s="43">
        <v>1</v>
      </c>
      <c r="N80" s="43">
        <v>0</v>
      </c>
      <c r="O80" s="43">
        <v>0</v>
      </c>
      <c r="P80" s="43">
        <v>0</v>
      </c>
      <c r="Q80" s="43">
        <v>0</v>
      </c>
      <c r="R80" s="43">
        <v>0</v>
      </c>
      <c r="S80" s="43">
        <v>1</v>
      </c>
      <c r="T80" s="43">
        <v>1</v>
      </c>
      <c r="U80" s="43">
        <v>1</v>
      </c>
      <c r="V80" s="43">
        <v>0</v>
      </c>
      <c r="W80" s="43" t="s">
        <v>1548</v>
      </c>
      <c r="X80" s="43" t="s">
        <v>1985</v>
      </c>
      <c r="Y80" s="43">
        <v>1</v>
      </c>
      <c r="Z80" s="43">
        <v>0</v>
      </c>
      <c r="AA80" s="43">
        <v>2007</v>
      </c>
      <c r="AB80" s="43">
        <v>9999</v>
      </c>
      <c r="AC80" s="43" t="s">
        <v>35</v>
      </c>
    </row>
    <row r="81" spans="1:29" x14ac:dyDescent="0.25">
      <c r="A81" s="56" t="s">
        <v>487</v>
      </c>
      <c r="B81" s="39" t="s">
        <v>488</v>
      </c>
      <c r="C81" s="43"/>
      <c r="D81" s="43">
        <v>1</v>
      </c>
      <c r="E81" s="43" t="s">
        <v>348</v>
      </c>
      <c r="F81" s="43">
        <v>1</v>
      </c>
      <c r="G81" s="43">
        <v>2026</v>
      </c>
      <c r="H81" s="43"/>
      <c r="I81" s="43">
        <v>217.4</v>
      </c>
      <c r="J81" s="43" t="s">
        <v>52</v>
      </c>
      <c r="K81" s="43" t="s">
        <v>47</v>
      </c>
      <c r="L81" s="43"/>
      <c r="M81" s="43">
        <v>1</v>
      </c>
      <c r="N81" s="43">
        <v>0</v>
      </c>
      <c r="O81" s="43">
        <v>0</v>
      </c>
      <c r="P81" s="43">
        <v>0</v>
      </c>
      <c r="Q81" s="43">
        <v>0</v>
      </c>
      <c r="R81" s="43">
        <v>0</v>
      </c>
      <c r="S81" s="43">
        <v>1</v>
      </c>
      <c r="T81" s="43">
        <v>1</v>
      </c>
      <c r="U81" s="43">
        <v>1</v>
      </c>
      <c r="V81" s="43">
        <v>0</v>
      </c>
      <c r="W81" s="43" t="s">
        <v>1548</v>
      </c>
      <c r="X81" s="43" t="s">
        <v>1981</v>
      </c>
      <c r="Y81" s="43">
        <v>2</v>
      </c>
      <c r="Z81" s="43">
        <v>0</v>
      </c>
      <c r="AA81" s="43">
        <v>2007</v>
      </c>
      <c r="AB81" s="43">
        <v>9999</v>
      </c>
      <c r="AC81" s="43" t="s">
        <v>35</v>
      </c>
    </row>
    <row r="82" spans="1:29" x14ac:dyDescent="0.25">
      <c r="A82" s="56" t="s">
        <v>505</v>
      </c>
      <c r="B82" s="39" t="s">
        <v>506</v>
      </c>
      <c r="C82" s="43"/>
      <c r="D82" s="43">
        <v>1</v>
      </c>
      <c r="E82" s="43" t="s">
        <v>348</v>
      </c>
      <c r="F82" s="43">
        <v>1</v>
      </c>
      <c r="G82" s="43">
        <v>2026</v>
      </c>
      <c r="H82" s="43"/>
      <c r="I82" s="43">
        <v>217.67</v>
      </c>
      <c r="J82" s="43" t="s">
        <v>52</v>
      </c>
      <c r="K82" s="43" t="s">
        <v>47</v>
      </c>
      <c r="L82" s="43"/>
      <c r="M82" s="43">
        <v>1</v>
      </c>
      <c r="N82" s="43">
        <v>0</v>
      </c>
      <c r="O82" s="43">
        <v>0</v>
      </c>
      <c r="P82" s="43">
        <v>0</v>
      </c>
      <c r="Q82" s="43">
        <v>0</v>
      </c>
      <c r="R82" s="43">
        <v>0</v>
      </c>
      <c r="S82" s="43">
        <v>1</v>
      </c>
      <c r="T82" s="43">
        <v>1</v>
      </c>
      <c r="U82" s="43">
        <v>1</v>
      </c>
      <c r="V82" s="43">
        <v>0</v>
      </c>
      <c r="W82" s="43" t="s">
        <v>1548</v>
      </c>
      <c r="X82" s="43" t="s">
        <v>1989</v>
      </c>
      <c r="Y82" s="43">
        <v>2</v>
      </c>
      <c r="Z82" s="43">
        <v>0</v>
      </c>
      <c r="AA82" s="43">
        <v>2007</v>
      </c>
      <c r="AB82" s="43">
        <v>9999</v>
      </c>
      <c r="AC82" s="43" t="s">
        <v>35</v>
      </c>
    </row>
    <row r="83" spans="1:29" x14ac:dyDescent="0.25">
      <c r="A83" s="56" t="s">
        <v>517</v>
      </c>
      <c r="B83" s="39" t="s">
        <v>518</v>
      </c>
      <c r="C83" s="43"/>
      <c r="D83" s="43">
        <v>1</v>
      </c>
      <c r="E83" s="43" t="s">
        <v>348</v>
      </c>
      <c r="F83" s="43">
        <v>1</v>
      </c>
      <c r="G83" s="43">
        <v>2026</v>
      </c>
      <c r="H83" s="43"/>
      <c r="I83" s="43">
        <v>223.29</v>
      </c>
      <c r="J83" s="43" t="s">
        <v>52</v>
      </c>
      <c r="K83" s="43" t="s">
        <v>47</v>
      </c>
      <c r="L83" s="43"/>
      <c r="M83" s="43">
        <v>1</v>
      </c>
      <c r="N83" s="43">
        <v>0</v>
      </c>
      <c r="O83" s="43">
        <v>0</v>
      </c>
      <c r="P83" s="43">
        <v>0</v>
      </c>
      <c r="Q83" s="43">
        <v>0</v>
      </c>
      <c r="R83" s="43">
        <v>0</v>
      </c>
      <c r="S83" s="43">
        <v>1</v>
      </c>
      <c r="T83" s="43">
        <v>1</v>
      </c>
      <c r="U83" s="43">
        <v>1</v>
      </c>
      <c r="V83" s="43">
        <v>0</v>
      </c>
      <c r="W83" s="43" t="s">
        <v>1548</v>
      </c>
      <c r="X83" s="43" t="s">
        <v>1995</v>
      </c>
      <c r="Y83" s="43">
        <v>3</v>
      </c>
      <c r="Z83" s="43">
        <v>0</v>
      </c>
      <c r="AA83" s="43">
        <v>2007</v>
      </c>
      <c r="AB83" s="43">
        <v>9999</v>
      </c>
      <c r="AC83" s="43" t="s">
        <v>35</v>
      </c>
    </row>
    <row r="84" spans="1:29" x14ac:dyDescent="0.25">
      <c r="A84" s="56" t="s">
        <v>507</v>
      </c>
      <c r="B84" s="39" t="s">
        <v>508</v>
      </c>
      <c r="C84" s="43"/>
      <c r="D84" s="43">
        <v>1</v>
      </c>
      <c r="E84" s="43" t="s">
        <v>348</v>
      </c>
      <c r="F84" s="43">
        <v>1</v>
      </c>
      <c r="G84" s="43">
        <v>2026</v>
      </c>
      <c r="H84" s="43"/>
      <c r="I84" s="43">
        <v>228.94</v>
      </c>
      <c r="J84" s="43" t="s">
        <v>52</v>
      </c>
      <c r="K84" s="43" t="s">
        <v>47</v>
      </c>
      <c r="L84" s="43"/>
      <c r="M84" s="43">
        <v>1</v>
      </c>
      <c r="N84" s="43">
        <v>0</v>
      </c>
      <c r="O84" s="43">
        <v>0</v>
      </c>
      <c r="P84" s="43">
        <v>0</v>
      </c>
      <c r="Q84" s="43">
        <v>0</v>
      </c>
      <c r="R84" s="43">
        <v>0</v>
      </c>
      <c r="S84" s="43">
        <v>1</v>
      </c>
      <c r="T84" s="43">
        <v>1</v>
      </c>
      <c r="U84" s="43">
        <v>1</v>
      </c>
      <c r="V84" s="43">
        <v>0</v>
      </c>
      <c r="W84" s="43" t="s">
        <v>1548</v>
      </c>
      <c r="X84" s="43" t="s">
        <v>1990</v>
      </c>
      <c r="Y84" s="43">
        <v>1</v>
      </c>
      <c r="Z84" s="43">
        <v>0</v>
      </c>
      <c r="AA84" s="43">
        <v>2007</v>
      </c>
      <c r="AB84" s="43">
        <v>9999</v>
      </c>
      <c r="AC84" s="43" t="s">
        <v>35</v>
      </c>
    </row>
    <row r="85" spans="1:29" x14ac:dyDescent="0.25">
      <c r="A85" s="56" t="s">
        <v>485</v>
      </c>
      <c r="B85" s="39" t="s">
        <v>486</v>
      </c>
      <c r="C85" s="43"/>
      <c r="D85" s="43">
        <v>1</v>
      </c>
      <c r="E85" s="43" t="s">
        <v>348</v>
      </c>
      <c r="F85" s="43">
        <v>1</v>
      </c>
      <c r="G85" s="43">
        <v>2026</v>
      </c>
      <c r="H85" s="43"/>
      <c r="I85" s="43">
        <v>232.04</v>
      </c>
      <c r="J85" s="43" t="s">
        <v>52</v>
      </c>
      <c r="K85" s="43" t="s">
        <v>47</v>
      </c>
      <c r="L85" s="43"/>
      <c r="M85" s="43">
        <v>1</v>
      </c>
      <c r="N85" s="43">
        <v>0</v>
      </c>
      <c r="O85" s="43">
        <v>0</v>
      </c>
      <c r="P85" s="43">
        <v>0</v>
      </c>
      <c r="Q85" s="43">
        <v>0</v>
      </c>
      <c r="R85" s="43">
        <v>0</v>
      </c>
      <c r="S85" s="43">
        <v>1</v>
      </c>
      <c r="T85" s="43">
        <v>1</v>
      </c>
      <c r="U85" s="43">
        <v>1</v>
      </c>
      <c r="V85" s="43">
        <v>0</v>
      </c>
      <c r="W85" s="43" t="s">
        <v>1548</v>
      </c>
      <c r="X85" s="43" t="s">
        <v>1980</v>
      </c>
      <c r="Y85" s="43">
        <v>1</v>
      </c>
      <c r="Z85" s="43">
        <v>0</v>
      </c>
      <c r="AA85" s="43">
        <v>2007</v>
      </c>
      <c r="AB85" s="43">
        <v>9999</v>
      </c>
      <c r="AC85" s="43" t="s">
        <v>35</v>
      </c>
    </row>
    <row r="86" spans="1:29" x14ac:dyDescent="0.25">
      <c r="A86" s="56" t="s">
        <v>511</v>
      </c>
      <c r="B86" s="39" t="s">
        <v>512</v>
      </c>
      <c r="C86" s="43"/>
      <c r="D86" s="43">
        <v>1</v>
      </c>
      <c r="E86" s="43" t="s">
        <v>348</v>
      </c>
      <c r="F86" s="43">
        <v>1</v>
      </c>
      <c r="G86" s="43">
        <v>2026</v>
      </c>
      <c r="H86" s="43"/>
      <c r="I86" s="43">
        <v>236.91</v>
      </c>
      <c r="J86" s="43" t="s">
        <v>52</v>
      </c>
      <c r="K86" s="43" t="s">
        <v>47</v>
      </c>
      <c r="L86" s="43"/>
      <c r="M86" s="43">
        <v>1</v>
      </c>
      <c r="N86" s="43">
        <v>0</v>
      </c>
      <c r="O86" s="43">
        <v>0</v>
      </c>
      <c r="P86" s="43">
        <v>0</v>
      </c>
      <c r="Q86" s="43">
        <v>0</v>
      </c>
      <c r="R86" s="43">
        <v>0</v>
      </c>
      <c r="S86" s="43">
        <v>1</v>
      </c>
      <c r="T86" s="43">
        <v>1</v>
      </c>
      <c r="U86" s="43">
        <v>1</v>
      </c>
      <c r="V86" s="43">
        <v>0</v>
      </c>
      <c r="W86" s="43" t="s">
        <v>1548</v>
      </c>
      <c r="X86" s="43" t="s">
        <v>1992</v>
      </c>
      <c r="Y86" s="43">
        <v>3</v>
      </c>
      <c r="Z86" s="43">
        <v>0</v>
      </c>
      <c r="AA86" s="43">
        <v>2007</v>
      </c>
      <c r="AB86" s="43">
        <v>9999</v>
      </c>
      <c r="AC86" s="43" t="s">
        <v>35</v>
      </c>
    </row>
    <row r="87" spans="1:29" x14ac:dyDescent="0.25">
      <c r="A87" s="56" t="s">
        <v>493</v>
      </c>
      <c r="B87" s="39" t="s">
        <v>494</v>
      </c>
      <c r="C87" s="43"/>
      <c r="D87" s="43">
        <v>1</v>
      </c>
      <c r="E87" s="43" t="s">
        <v>348</v>
      </c>
      <c r="F87" s="43">
        <v>1</v>
      </c>
      <c r="G87" s="43">
        <v>2026</v>
      </c>
      <c r="H87" s="43"/>
      <c r="I87" s="43">
        <v>248.56</v>
      </c>
      <c r="J87" s="43" t="s">
        <v>52</v>
      </c>
      <c r="K87" s="43" t="s">
        <v>47</v>
      </c>
      <c r="L87" s="43"/>
      <c r="M87" s="43">
        <v>1</v>
      </c>
      <c r="N87" s="43">
        <v>0</v>
      </c>
      <c r="O87" s="43">
        <v>0</v>
      </c>
      <c r="P87" s="43">
        <v>0</v>
      </c>
      <c r="Q87" s="43">
        <v>0</v>
      </c>
      <c r="R87" s="43">
        <v>0</v>
      </c>
      <c r="S87" s="43">
        <v>1</v>
      </c>
      <c r="T87" s="43">
        <v>1</v>
      </c>
      <c r="U87" s="43">
        <v>1</v>
      </c>
      <c r="V87" s="43">
        <v>0</v>
      </c>
      <c r="W87" s="43" t="s">
        <v>1548</v>
      </c>
      <c r="X87" s="43" t="s">
        <v>1984</v>
      </c>
      <c r="Y87" s="43">
        <v>3</v>
      </c>
      <c r="Z87" s="43">
        <v>0</v>
      </c>
      <c r="AA87" s="43">
        <v>2007</v>
      </c>
      <c r="AB87" s="43">
        <v>9999</v>
      </c>
      <c r="AC87" s="43" t="s">
        <v>35</v>
      </c>
    </row>
    <row r="88" spans="1:29" x14ac:dyDescent="0.25">
      <c r="A88" s="56" t="s">
        <v>489</v>
      </c>
      <c r="B88" s="39" t="s">
        <v>490</v>
      </c>
      <c r="C88" s="43"/>
      <c r="D88" s="43">
        <v>1</v>
      </c>
      <c r="E88" s="43" t="s">
        <v>348</v>
      </c>
      <c r="F88" s="43">
        <v>1</v>
      </c>
      <c r="G88" s="43">
        <v>2026</v>
      </c>
      <c r="H88" s="43"/>
      <c r="I88" s="43">
        <v>249.36</v>
      </c>
      <c r="J88" s="43" t="s">
        <v>52</v>
      </c>
      <c r="K88" s="43" t="s">
        <v>47</v>
      </c>
      <c r="L88" s="43"/>
      <c r="M88" s="43">
        <v>1</v>
      </c>
      <c r="N88" s="43">
        <v>0</v>
      </c>
      <c r="O88" s="43">
        <v>0</v>
      </c>
      <c r="P88" s="43">
        <v>0</v>
      </c>
      <c r="Q88" s="43">
        <v>0</v>
      </c>
      <c r="R88" s="43">
        <v>0</v>
      </c>
      <c r="S88" s="43">
        <v>1</v>
      </c>
      <c r="T88" s="43">
        <v>1</v>
      </c>
      <c r="U88" s="43">
        <v>1</v>
      </c>
      <c r="V88" s="43">
        <v>0</v>
      </c>
      <c r="W88" s="43" t="s">
        <v>1548</v>
      </c>
      <c r="X88" s="43" t="s">
        <v>1982</v>
      </c>
      <c r="Y88" s="43">
        <v>2</v>
      </c>
      <c r="Z88" s="43">
        <v>0</v>
      </c>
      <c r="AA88" s="43">
        <v>2007</v>
      </c>
      <c r="AB88" s="43">
        <v>9999</v>
      </c>
      <c r="AC88" s="43" t="s">
        <v>35</v>
      </c>
    </row>
    <row r="89" spans="1:29" x14ac:dyDescent="0.25">
      <c r="A89" s="56" t="s">
        <v>481</v>
      </c>
      <c r="B89" s="39" t="s">
        <v>482</v>
      </c>
      <c r="C89" s="43"/>
      <c r="D89" s="43">
        <v>1</v>
      </c>
      <c r="E89" s="43" t="s">
        <v>348</v>
      </c>
      <c r="F89" s="43">
        <v>1</v>
      </c>
      <c r="G89" s="43">
        <v>2026</v>
      </c>
      <c r="H89" s="43"/>
      <c r="I89" s="43">
        <v>257.19</v>
      </c>
      <c r="J89" s="43" t="s">
        <v>52</v>
      </c>
      <c r="K89" s="43" t="s">
        <v>47</v>
      </c>
      <c r="L89" s="43"/>
      <c r="M89" s="43">
        <v>1</v>
      </c>
      <c r="N89" s="43">
        <v>0</v>
      </c>
      <c r="O89" s="43">
        <v>0</v>
      </c>
      <c r="P89" s="43">
        <v>0</v>
      </c>
      <c r="Q89" s="43">
        <v>0</v>
      </c>
      <c r="R89" s="43">
        <v>0</v>
      </c>
      <c r="S89" s="43">
        <v>1</v>
      </c>
      <c r="T89" s="43">
        <v>1</v>
      </c>
      <c r="U89" s="43">
        <v>1</v>
      </c>
      <c r="V89" s="43">
        <v>0</v>
      </c>
      <c r="W89" s="43" t="s">
        <v>1548</v>
      </c>
      <c r="X89" s="43" t="s">
        <v>1978</v>
      </c>
      <c r="Y89" s="43">
        <v>2</v>
      </c>
      <c r="Z89" s="43">
        <v>0</v>
      </c>
      <c r="AA89" s="43">
        <v>2007</v>
      </c>
      <c r="AB89" s="43">
        <v>9999</v>
      </c>
      <c r="AC89" s="43" t="s">
        <v>35</v>
      </c>
    </row>
    <row r="90" spans="1:29" x14ac:dyDescent="0.25">
      <c r="A90" s="56" t="s">
        <v>491</v>
      </c>
      <c r="B90" s="39" t="s">
        <v>492</v>
      </c>
      <c r="C90" s="43"/>
      <c r="D90" s="43">
        <v>1</v>
      </c>
      <c r="E90" s="43" t="s">
        <v>348</v>
      </c>
      <c r="F90" s="43">
        <v>1</v>
      </c>
      <c r="G90" s="43">
        <v>2026</v>
      </c>
      <c r="H90" s="43"/>
      <c r="I90" s="43">
        <v>264.47000000000003</v>
      </c>
      <c r="J90" s="43" t="s">
        <v>52</v>
      </c>
      <c r="K90" s="43" t="s">
        <v>47</v>
      </c>
      <c r="L90" s="43"/>
      <c r="M90" s="43">
        <v>1</v>
      </c>
      <c r="N90" s="43">
        <v>0</v>
      </c>
      <c r="O90" s="43">
        <v>0</v>
      </c>
      <c r="P90" s="43">
        <v>0</v>
      </c>
      <c r="Q90" s="43">
        <v>0</v>
      </c>
      <c r="R90" s="43">
        <v>0</v>
      </c>
      <c r="S90" s="43">
        <v>1</v>
      </c>
      <c r="T90" s="43">
        <v>1</v>
      </c>
      <c r="U90" s="43">
        <v>1</v>
      </c>
      <c r="V90" s="43">
        <v>0</v>
      </c>
      <c r="W90" s="43" t="s">
        <v>1548</v>
      </c>
      <c r="X90" s="43" t="s">
        <v>1983</v>
      </c>
      <c r="Y90" s="43">
        <v>1</v>
      </c>
      <c r="Z90" s="43">
        <v>0</v>
      </c>
      <c r="AA90" s="43">
        <v>2007</v>
      </c>
      <c r="AB90" s="43">
        <v>9999</v>
      </c>
      <c r="AC90" s="43" t="s">
        <v>35</v>
      </c>
    </row>
    <row r="91" spans="1:29" x14ac:dyDescent="0.25">
      <c r="A91" s="56" t="s">
        <v>717</v>
      </c>
      <c r="B91" s="39" t="s">
        <v>718</v>
      </c>
      <c r="C91" s="43"/>
      <c r="D91" s="43">
        <v>1</v>
      </c>
      <c r="E91" s="43" t="s">
        <v>51</v>
      </c>
      <c r="F91" s="43">
        <v>1</v>
      </c>
      <c r="G91" s="43">
        <v>2026</v>
      </c>
      <c r="H91" s="43"/>
      <c r="I91" s="43">
        <v>69.11</v>
      </c>
      <c r="J91" s="43" t="s">
        <v>52</v>
      </c>
      <c r="K91" s="43" t="s">
        <v>53</v>
      </c>
      <c r="L91" s="43" t="s">
        <v>54</v>
      </c>
      <c r="M91" s="43">
        <v>0</v>
      </c>
      <c r="N91" s="43">
        <v>0</v>
      </c>
      <c r="O91" s="43">
        <v>0</v>
      </c>
      <c r="P91" s="43">
        <v>0</v>
      </c>
      <c r="Q91" s="43">
        <v>1</v>
      </c>
      <c r="R91" s="43">
        <v>0</v>
      </c>
      <c r="S91" s="43">
        <v>0</v>
      </c>
      <c r="T91" s="43">
        <v>0</v>
      </c>
      <c r="U91" s="43">
        <v>1</v>
      </c>
      <c r="V91" s="43">
        <v>0</v>
      </c>
      <c r="W91" s="43" t="s">
        <v>55</v>
      </c>
      <c r="X91" s="43" t="s">
        <v>1940</v>
      </c>
      <c r="Y91" s="43">
        <v>0</v>
      </c>
      <c r="Z91" s="43">
        <v>0</v>
      </c>
      <c r="AA91" s="43">
        <v>2007</v>
      </c>
      <c r="AB91" s="43">
        <v>9999</v>
      </c>
      <c r="AC91" s="43" t="s">
        <v>35</v>
      </c>
    </row>
    <row r="92" spans="1:29" x14ac:dyDescent="0.25">
      <c r="A92" s="56" t="s">
        <v>62</v>
      </c>
      <c r="B92" s="39" t="s">
        <v>63</v>
      </c>
      <c r="C92" s="43"/>
      <c r="D92" s="43">
        <v>1</v>
      </c>
      <c r="E92" s="43" t="s">
        <v>64</v>
      </c>
      <c r="F92" s="43">
        <v>1</v>
      </c>
      <c r="G92" s="43">
        <v>2026</v>
      </c>
      <c r="H92" s="43"/>
      <c r="I92" s="43">
        <v>69.900000000000006</v>
      </c>
      <c r="J92" s="43" t="s">
        <v>52</v>
      </c>
      <c r="K92" s="43" t="s">
        <v>53</v>
      </c>
      <c r="L92" s="43" t="s">
        <v>65</v>
      </c>
      <c r="M92" s="43">
        <v>0</v>
      </c>
      <c r="N92" s="43">
        <v>0</v>
      </c>
      <c r="O92" s="43">
        <v>0</v>
      </c>
      <c r="P92" s="43">
        <v>0</v>
      </c>
      <c r="Q92" s="43">
        <v>0</v>
      </c>
      <c r="R92" s="43">
        <v>0</v>
      </c>
      <c r="S92" s="43">
        <v>1</v>
      </c>
      <c r="T92" s="43">
        <v>1</v>
      </c>
      <c r="U92" s="43">
        <v>1</v>
      </c>
      <c r="V92" s="43">
        <v>0</v>
      </c>
      <c r="W92" s="43" t="s">
        <v>1034</v>
      </c>
      <c r="X92" s="43" t="s">
        <v>1628</v>
      </c>
      <c r="Y92" s="43">
        <v>0</v>
      </c>
      <c r="Z92" s="43">
        <v>0</v>
      </c>
      <c r="AA92" s="43">
        <v>2007</v>
      </c>
      <c r="AB92" s="43">
        <v>9999</v>
      </c>
      <c r="AC92" s="43" t="s">
        <v>35</v>
      </c>
    </row>
    <row r="93" spans="1:29" x14ac:dyDescent="0.25">
      <c r="A93" s="56" t="s">
        <v>509</v>
      </c>
      <c r="B93" s="39" t="s">
        <v>510</v>
      </c>
      <c r="C93" s="43"/>
      <c r="D93" s="43">
        <v>1</v>
      </c>
      <c r="E93" s="43" t="s">
        <v>348</v>
      </c>
      <c r="F93" s="43">
        <v>1</v>
      </c>
      <c r="G93" s="43">
        <v>2026</v>
      </c>
      <c r="H93" s="43"/>
      <c r="I93" s="43">
        <v>287.52999999999997</v>
      </c>
      <c r="J93" s="43" t="s">
        <v>52</v>
      </c>
      <c r="K93" s="43" t="s">
        <v>47</v>
      </c>
      <c r="L93" s="43"/>
      <c r="M93" s="43">
        <v>1</v>
      </c>
      <c r="N93" s="43">
        <v>0</v>
      </c>
      <c r="O93" s="43">
        <v>0</v>
      </c>
      <c r="P93" s="43">
        <v>0</v>
      </c>
      <c r="Q93" s="43">
        <v>0</v>
      </c>
      <c r="R93" s="43">
        <v>0</v>
      </c>
      <c r="S93" s="43">
        <v>1</v>
      </c>
      <c r="T93" s="43">
        <v>1</v>
      </c>
      <c r="U93" s="43">
        <v>1</v>
      </c>
      <c r="V93" s="43">
        <v>0</v>
      </c>
      <c r="W93" s="43" t="s">
        <v>1548</v>
      </c>
      <c r="X93" s="43" t="s">
        <v>1991</v>
      </c>
      <c r="Y93" s="43">
        <v>3</v>
      </c>
      <c r="Z93" s="43">
        <v>0</v>
      </c>
      <c r="AA93" s="43">
        <v>2007</v>
      </c>
      <c r="AB93" s="43">
        <v>9999</v>
      </c>
      <c r="AC93" s="43" t="s">
        <v>35</v>
      </c>
    </row>
    <row r="94" spans="1:29" x14ac:dyDescent="0.25">
      <c r="A94" s="56" t="s">
        <v>519</v>
      </c>
      <c r="B94" s="39" t="s">
        <v>520</v>
      </c>
      <c r="C94" s="43"/>
      <c r="D94" s="43">
        <v>1</v>
      </c>
      <c r="E94" s="43" t="s">
        <v>348</v>
      </c>
      <c r="F94" s="43">
        <v>1</v>
      </c>
      <c r="G94" s="43">
        <v>2026</v>
      </c>
      <c r="H94" s="43"/>
      <c r="I94" s="43">
        <v>313.52999999999997</v>
      </c>
      <c r="J94" s="43" t="s">
        <v>52</v>
      </c>
      <c r="K94" s="43" t="s">
        <v>47</v>
      </c>
      <c r="L94" s="43"/>
      <c r="M94" s="43">
        <v>1</v>
      </c>
      <c r="N94" s="43">
        <v>0</v>
      </c>
      <c r="O94" s="43">
        <v>0</v>
      </c>
      <c r="P94" s="43">
        <v>0</v>
      </c>
      <c r="Q94" s="43">
        <v>0</v>
      </c>
      <c r="R94" s="43">
        <v>0</v>
      </c>
      <c r="S94" s="43">
        <v>1</v>
      </c>
      <c r="T94" s="43">
        <v>1</v>
      </c>
      <c r="U94" s="43">
        <v>1</v>
      </c>
      <c r="V94" s="43">
        <v>0</v>
      </c>
      <c r="W94" s="43" t="s">
        <v>1548</v>
      </c>
      <c r="X94" s="43" t="s">
        <v>1996</v>
      </c>
      <c r="Y94" s="43">
        <v>2</v>
      </c>
      <c r="Z94" s="43">
        <v>0</v>
      </c>
      <c r="AA94" s="43">
        <v>2007</v>
      </c>
      <c r="AB94" s="43">
        <v>9999</v>
      </c>
      <c r="AC94" s="43" t="s">
        <v>35</v>
      </c>
    </row>
    <row r="95" spans="1:29" x14ac:dyDescent="0.25">
      <c r="A95" s="56" t="s">
        <v>199</v>
      </c>
      <c r="B95" s="39" t="s">
        <v>39</v>
      </c>
      <c r="C95" s="43"/>
      <c r="D95" s="43">
        <v>1</v>
      </c>
      <c r="E95" s="43" t="s">
        <v>358</v>
      </c>
      <c r="F95" s="43">
        <v>1</v>
      </c>
      <c r="G95" s="43">
        <v>2026</v>
      </c>
      <c r="H95" s="43"/>
      <c r="I95" s="43">
        <v>360.2</v>
      </c>
      <c r="J95" s="43" t="s">
        <v>52</v>
      </c>
      <c r="K95" s="43" t="s">
        <v>47</v>
      </c>
      <c r="L95" s="43"/>
      <c r="M95" s="43">
        <v>0</v>
      </c>
      <c r="N95" s="43">
        <v>0</v>
      </c>
      <c r="O95" s="43">
        <v>0</v>
      </c>
      <c r="P95" s="43">
        <v>0</v>
      </c>
      <c r="Q95" s="43">
        <v>0</v>
      </c>
      <c r="R95" s="43">
        <v>0</v>
      </c>
      <c r="S95" s="43">
        <v>1</v>
      </c>
      <c r="T95" s="43">
        <v>1</v>
      </c>
      <c r="U95" s="43">
        <v>1</v>
      </c>
      <c r="V95" s="43">
        <v>0</v>
      </c>
      <c r="W95" s="43" t="s">
        <v>1094</v>
      </c>
      <c r="X95" s="43" t="s">
        <v>1970</v>
      </c>
      <c r="Y95" s="43">
        <v>2</v>
      </c>
      <c r="Z95" s="43">
        <v>1</v>
      </c>
      <c r="AA95" s="43">
        <v>2007</v>
      </c>
      <c r="AB95" s="43">
        <v>9999</v>
      </c>
      <c r="AC95" s="43" t="s">
        <v>35</v>
      </c>
    </row>
    <row r="96" spans="1:29" x14ac:dyDescent="0.25">
      <c r="A96" s="56" t="s">
        <v>447</v>
      </c>
      <c r="B96" s="39" t="s">
        <v>1571</v>
      </c>
      <c r="C96" s="43"/>
      <c r="D96" s="43">
        <v>1</v>
      </c>
      <c r="E96" s="43" t="s">
        <v>45</v>
      </c>
      <c r="F96" s="43">
        <v>4</v>
      </c>
      <c r="G96" s="43">
        <v>2026</v>
      </c>
      <c r="H96" s="43"/>
      <c r="I96" s="43">
        <v>74</v>
      </c>
      <c r="J96" s="43" t="s">
        <v>52</v>
      </c>
      <c r="K96" s="43" t="s">
        <v>32</v>
      </c>
      <c r="L96" s="43"/>
      <c r="M96" s="43">
        <v>0</v>
      </c>
      <c r="N96" s="43">
        <v>0</v>
      </c>
      <c r="O96" s="43">
        <v>0</v>
      </c>
      <c r="P96" s="43">
        <v>0</v>
      </c>
      <c r="Q96" s="43">
        <v>0</v>
      </c>
      <c r="R96" s="43">
        <v>0</v>
      </c>
      <c r="S96" s="43">
        <v>1</v>
      </c>
      <c r="T96" s="43">
        <v>1</v>
      </c>
      <c r="U96" s="43">
        <v>1</v>
      </c>
      <c r="V96" s="43">
        <v>0</v>
      </c>
      <c r="W96" s="43" t="s">
        <v>1572</v>
      </c>
      <c r="X96" s="43" t="s">
        <v>2022</v>
      </c>
      <c r="Y96" s="43">
        <v>0</v>
      </c>
      <c r="Z96" s="43">
        <v>2</v>
      </c>
      <c r="AA96" s="43">
        <v>2007</v>
      </c>
      <c r="AB96" s="43">
        <v>9999</v>
      </c>
      <c r="AC96" s="43" t="s">
        <v>35</v>
      </c>
    </row>
    <row r="97" spans="1:29" x14ac:dyDescent="0.25">
      <c r="A97" s="56" t="s">
        <v>958</v>
      </c>
      <c r="B97" s="39" t="s">
        <v>959</v>
      </c>
      <c r="C97" s="43"/>
      <c r="D97" s="43">
        <v>1</v>
      </c>
      <c r="E97" s="43" t="s">
        <v>51</v>
      </c>
      <c r="F97" s="43">
        <v>1</v>
      </c>
      <c r="G97" s="43">
        <v>2026</v>
      </c>
      <c r="H97" s="43"/>
      <c r="I97" s="43">
        <v>74.92</v>
      </c>
      <c r="J97" s="43" t="s">
        <v>52</v>
      </c>
      <c r="K97" s="43" t="s">
        <v>53</v>
      </c>
      <c r="L97" s="43" t="s">
        <v>54</v>
      </c>
      <c r="M97" s="43">
        <v>0</v>
      </c>
      <c r="N97" s="43">
        <v>0</v>
      </c>
      <c r="O97" s="43">
        <v>0</v>
      </c>
      <c r="P97" s="43">
        <v>0</v>
      </c>
      <c r="Q97" s="43">
        <v>1</v>
      </c>
      <c r="R97" s="43">
        <v>0</v>
      </c>
      <c r="S97" s="43">
        <v>0</v>
      </c>
      <c r="T97" s="43">
        <v>0</v>
      </c>
      <c r="U97" s="43">
        <v>1</v>
      </c>
      <c r="V97" s="43">
        <v>0</v>
      </c>
      <c r="W97" s="43" t="s">
        <v>1901</v>
      </c>
      <c r="X97" s="43" t="s">
        <v>1940</v>
      </c>
      <c r="Y97" s="43">
        <v>0</v>
      </c>
      <c r="Z97" s="43">
        <v>0</v>
      </c>
      <c r="AA97" s="43">
        <v>2007</v>
      </c>
      <c r="AB97" s="43">
        <v>9999</v>
      </c>
      <c r="AC97" s="43" t="s">
        <v>35</v>
      </c>
    </row>
    <row r="98" spans="1:29" x14ac:dyDescent="0.25">
      <c r="A98" s="56" t="s">
        <v>192</v>
      </c>
      <c r="B98" s="39" t="s">
        <v>193</v>
      </c>
      <c r="C98" s="43"/>
      <c r="D98" s="43">
        <v>1</v>
      </c>
      <c r="E98" s="43" t="s">
        <v>51</v>
      </c>
      <c r="F98" s="43">
        <v>1</v>
      </c>
      <c r="G98" s="43">
        <v>2026</v>
      </c>
      <c r="H98" s="43"/>
      <c r="I98" s="43">
        <v>77</v>
      </c>
      <c r="J98" s="43" t="s">
        <v>52</v>
      </c>
      <c r="K98" s="43" t="s">
        <v>53</v>
      </c>
      <c r="L98" s="43" t="s">
        <v>54</v>
      </c>
      <c r="M98" s="43">
        <v>0</v>
      </c>
      <c r="N98" s="43">
        <v>0</v>
      </c>
      <c r="O98" s="43">
        <v>0</v>
      </c>
      <c r="P98" s="43">
        <v>0</v>
      </c>
      <c r="Q98" s="43">
        <v>1</v>
      </c>
      <c r="R98" s="43">
        <v>0</v>
      </c>
      <c r="S98" s="43">
        <v>0</v>
      </c>
      <c r="T98" s="43">
        <v>0</v>
      </c>
      <c r="U98" s="43">
        <v>1</v>
      </c>
      <c r="V98" s="43">
        <v>0</v>
      </c>
      <c r="W98" s="43" t="s">
        <v>55</v>
      </c>
      <c r="X98" s="43" t="s">
        <v>1940</v>
      </c>
      <c r="Y98" s="43">
        <v>0</v>
      </c>
      <c r="Z98" s="43">
        <v>0</v>
      </c>
      <c r="AA98" s="43">
        <v>2007</v>
      </c>
      <c r="AB98" s="43">
        <v>9999</v>
      </c>
      <c r="AC98" s="43" t="s">
        <v>35</v>
      </c>
    </row>
    <row r="99" spans="1:29" x14ac:dyDescent="0.25">
      <c r="A99" s="56" t="s">
        <v>49</v>
      </c>
      <c r="B99" s="39" t="s">
        <v>50</v>
      </c>
      <c r="C99" s="43"/>
      <c r="D99" s="43">
        <v>1</v>
      </c>
      <c r="E99" s="43" t="s">
        <v>51</v>
      </c>
      <c r="F99" s="43">
        <v>1</v>
      </c>
      <c r="G99" s="43">
        <v>2026</v>
      </c>
      <c r="H99" s="43"/>
      <c r="I99" s="43">
        <v>78</v>
      </c>
      <c r="J99" s="43" t="s">
        <v>52</v>
      </c>
      <c r="K99" s="43" t="s">
        <v>53</v>
      </c>
      <c r="L99" s="43" t="s">
        <v>54</v>
      </c>
      <c r="M99" s="43">
        <v>0</v>
      </c>
      <c r="N99" s="43">
        <v>0</v>
      </c>
      <c r="O99" s="43">
        <v>0</v>
      </c>
      <c r="P99" s="43">
        <v>0</v>
      </c>
      <c r="Q99" s="43">
        <v>1</v>
      </c>
      <c r="R99" s="43">
        <v>0</v>
      </c>
      <c r="S99" s="43">
        <v>0</v>
      </c>
      <c r="T99" s="43">
        <v>0</v>
      </c>
      <c r="U99" s="43">
        <v>1</v>
      </c>
      <c r="V99" s="43">
        <v>0</v>
      </c>
      <c r="W99" s="43" t="s">
        <v>55</v>
      </c>
      <c r="X99" s="43" t="s">
        <v>1940</v>
      </c>
      <c r="Y99" s="43">
        <v>0</v>
      </c>
      <c r="Z99" s="43">
        <v>0</v>
      </c>
      <c r="AA99" s="43">
        <v>2007</v>
      </c>
      <c r="AB99" s="43">
        <v>9999</v>
      </c>
      <c r="AC99" s="43" t="s">
        <v>35</v>
      </c>
    </row>
    <row r="100" spans="1:29" x14ac:dyDescent="0.25">
      <c r="A100" s="56" t="s">
        <v>497</v>
      </c>
      <c r="B100" s="39" t="s">
        <v>498</v>
      </c>
      <c r="C100" s="43"/>
      <c r="D100" s="43">
        <v>1</v>
      </c>
      <c r="E100" s="43" t="s">
        <v>348</v>
      </c>
      <c r="F100" s="43">
        <v>1</v>
      </c>
      <c r="G100" s="43">
        <v>2026</v>
      </c>
      <c r="H100" s="43"/>
      <c r="I100" s="43">
        <v>369.56</v>
      </c>
      <c r="J100" s="43" t="s">
        <v>52</v>
      </c>
      <c r="K100" s="43" t="s">
        <v>47</v>
      </c>
      <c r="L100" s="43"/>
      <c r="M100" s="43">
        <v>1</v>
      </c>
      <c r="N100" s="43">
        <v>0</v>
      </c>
      <c r="O100" s="43">
        <v>0</v>
      </c>
      <c r="P100" s="43">
        <v>0</v>
      </c>
      <c r="Q100" s="43">
        <v>0</v>
      </c>
      <c r="R100" s="43">
        <v>0</v>
      </c>
      <c r="S100" s="43">
        <v>1</v>
      </c>
      <c r="T100" s="43">
        <v>1</v>
      </c>
      <c r="U100" s="43">
        <v>1</v>
      </c>
      <c r="V100" s="43">
        <v>0</v>
      </c>
      <c r="W100" s="43" t="s">
        <v>1548</v>
      </c>
      <c r="X100" s="43" t="s">
        <v>1955</v>
      </c>
      <c r="Y100" s="43">
        <v>4</v>
      </c>
      <c r="Z100" s="43">
        <v>1</v>
      </c>
      <c r="AA100" s="43">
        <v>2007</v>
      </c>
      <c r="AB100" s="43">
        <v>9999</v>
      </c>
      <c r="AC100" s="43" t="s">
        <v>35</v>
      </c>
    </row>
    <row r="101" spans="1:29" x14ac:dyDescent="0.25">
      <c r="A101" s="56" t="s">
        <v>501</v>
      </c>
      <c r="B101" s="39" t="s">
        <v>502</v>
      </c>
      <c r="C101" s="43"/>
      <c r="D101" s="43">
        <v>1</v>
      </c>
      <c r="E101" s="43" t="s">
        <v>348</v>
      </c>
      <c r="F101" s="43">
        <v>1</v>
      </c>
      <c r="G101" s="43">
        <v>2026</v>
      </c>
      <c r="H101" s="43"/>
      <c r="I101" s="43">
        <v>507.68</v>
      </c>
      <c r="J101" s="43" t="s">
        <v>52</v>
      </c>
      <c r="K101" s="43" t="s">
        <v>47</v>
      </c>
      <c r="L101" s="43"/>
      <c r="M101" s="43">
        <v>1</v>
      </c>
      <c r="N101" s="43">
        <v>0</v>
      </c>
      <c r="O101" s="43">
        <v>0</v>
      </c>
      <c r="P101" s="43">
        <v>0</v>
      </c>
      <c r="Q101" s="43">
        <v>0</v>
      </c>
      <c r="R101" s="43">
        <v>0</v>
      </c>
      <c r="S101" s="43">
        <v>1</v>
      </c>
      <c r="T101" s="43">
        <v>1</v>
      </c>
      <c r="U101" s="43">
        <v>1</v>
      </c>
      <c r="V101" s="43">
        <v>0</v>
      </c>
      <c r="W101" s="43" t="s">
        <v>1548</v>
      </c>
      <c r="X101" s="43" t="s">
        <v>1987</v>
      </c>
      <c r="Y101" s="43">
        <v>2</v>
      </c>
      <c r="Z101" s="43">
        <v>0</v>
      </c>
      <c r="AA101" s="43">
        <v>2007</v>
      </c>
      <c r="AB101" s="43">
        <v>9999</v>
      </c>
      <c r="AC101" s="43" t="s">
        <v>35</v>
      </c>
    </row>
    <row r="102" spans="1:29" x14ac:dyDescent="0.25">
      <c r="A102" s="56" t="s">
        <v>499</v>
      </c>
      <c r="B102" s="39" t="s">
        <v>500</v>
      </c>
      <c r="C102" s="43"/>
      <c r="D102" s="43">
        <v>1</v>
      </c>
      <c r="E102" s="43" t="s">
        <v>348</v>
      </c>
      <c r="F102" s="43">
        <v>1</v>
      </c>
      <c r="G102" s="43">
        <v>2026</v>
      </c>
      <c r="H102" s="43"/>
      <c r="I102" s="43">
        <v>571.22</v>
      </c>
      <c r="J102" s="43" t="s">
        <v>52</v>
      </c>
      <c r="K102" s="43" t="s">
        <v>47</v>
      </c>
      <c r="L102" s="43"/>
      <c r="M102" s="43">
        <v>1</v>
      </c>
      <c r="N102" s="43">
        <v>0</v>
      </c>
      <c r="O102" s="43">
        <v>0</v>
      </c>
      <c r="P102" s="43">
        <v>0</v>
      </c>
      <c r="Q102" s="43">
        <v>0</v>
      </c>
      <c r="R102" s="43">
        <v>0</v>
      </c>
      <c r="S102" s="43">
        <v>1</v>
      </c>
      <c r="T102" s="43">
        <v>1</v>
      </c>
      <c r="U102" s="43">
        <v>1</v>
      </c>
      <c r="V102" s="43">
        <v>0</v>
      </c>
      <c r="W102" s="43" t="s">
        <v>1548</v>
      </c>
      <c r="X102" s="43" t="s">
        <v>1986</v>
      </c>
      <c r="Y102" s="43">
        <v>2</v>
      </c>
      <c r="Z102" s="43">
        <v>0</v>
      </c>
      <c r="AA102" s="43">
        <v>2007</v>
      </c>
      <c r="AB102" s="43">
        <v>9999</v>
      </c>
      <c r="AC102" s="43" t="s">
        <v>35</v>
      </c>
    </row>
    <row r="103" spans="1:29" x14ac:dyDescent="0.25">
      <c r="A103" s="56" t="s">
        <v>871</v>
      </c>
      <c r="B103" s="39" t="s">
        <v>872</v>
      </c>
      <c r="C103" s="43" t="s">
        <v>873</v>
      </c>
      <c r="D103" s="43">
        <v>1</v>
      </c>
      <c r="E103" s="43" t="s">
        <v>874</v>
      </c>
      <c r="F103" s="43">
        <v>1</v>
      </c>
      <c r="G103" s="43">
        <v>2026</v>
      </c>
      <c r="H103" s="43"/>
      <c r="I103" s="43">
        <v>944</v>
      </c>
      <c r="J103" s="43" t="s">
        <v>52</v>
      </c>
      <c r="K103" s="43" t="s">
        <v>47</v>
      </c>
      <c r="L103" s="43"/>
      <c r="M103" s="43">
        <v>1</v>
      </c>
      <c r="N103" s="43">
        <v>0</v>
      </c>
      <c r="O103" s="43">
        <v>0</v>
      </c>
      <c r="P103" s="43">
        <v>0</v>
      </c>
      <c r="Q103" s="43">
        <v>0</v>
      </c>
      <c r="R103" s="43">
        <v>0</v>
      </c>
      <c r="S103" s="43">
        <v>1</v>
      </c>
      <c r="T103" s="43">
        <v>1</v>
      </c>
      <c r="U103" s="43">
        <v>1</v>
      </c>
      <c r="V103" s="43">
        <v>0</v>
      </c>
      <c r="W103" s="43" t="s">
        <v>1528</v>
      </c>
      <c r="X103" s="43" t="s">
        <v>1806</v>
      </c>
      <c r="Y103" s="43">
        <v>0</v>
      </c>
      <c r="Z103" s="43">
        <v>2</v>
      </c>
      <c r="AA103" s="43">
        <v>2007</v>
      </c>
      <c r="AB103" s="43">
        <v>9999</v>
      </c>
      <c r="AC103" s="43" t="s">
        <v>35</v>
      </c>
    </row>
    <row r="104" spans="1:29" x14ac:dyDescent="0.25">
      <c r="A104" s="56" t="s">
        <v>515</v>
      </c>
      <c r="B104" s="39" t="s">
        <v>516</v>
      </c>
      <c r="C104" s="43"/>
      <c r="D104" s="43">
        <v>1</v>
      </c>
      <c r="E104" s="43" t="s">
        <v>348</v>
      </c>
      <c r="F104" s="43">
        <v>1</v>
      </c>
      <c r="G104" s="43">
        <v>2026</v>
      </c>
      <c r="H104" s="43"/>
      <c r="I104" s="43">
        <v>1003.59</v>
      </c>
      <c r="J104" s="43" t="s">
        <v>52</v>
      </c>
      <c r="K104" s="43" t="s">
        <v>47</v>
      </c>
      <c r="L104" s="43"/>
      <c r="M104" s="43">
        <v>1</v>
      </c>
      <c r="N104" s="43">
        <v>0</v>
      </c>
      <c r="O104" s="43">
        <v>0</v>
      </c>
      <c r="P104" s="43">
        <v>0</v>
      </c>
      <c r="Q104" s="43">
        <v>0</v>
      </c>
      <c r="R104" s="43">
        <v>0</v>
      </c>
      <c r="S104" s="43">
        <v>1</v>
      </c>
      <c r="T104" s="43">
        <v>1</v>
      </c>
      <c r="U104" s="43">
        <v>1</v>
      </c>
      <c r="V104" s="43">
        <v>0</v>
      </c>
      <c r="W104" s="43" t="s">
        <v>1548</v>
      </c>
      <c r="X104" s="43" t="s">
        <v>1994</v>
      </c>
      <c r="Y104" s="43">
        <v>3</v>
      </c>
      <c r="Z104" s="43">
        <v>0</v>
      </c>
      <c r="AA104" s="43">
        <v>2007</v>
      </c>
      <c r="AB104" s="43">
        <v>9999</v>
      </c>
      <c r="AC104" s="43" t="s">
        <v>35</v>
      </c>
    </row>
    <row r="105" spans="1:29" x14ac:dyDescent="0.25">
      <c r="A105" s="56" t="s">
        <v>401</v>
      </c>
      <c r="B105" s="39" t="s">
        <v>402</v>
      </c>
      <c r="C105" s="43"/>
      <c r="D105" s="43">
        <v>1</v>
      </c>
      <c r="E105" s="43" t="s">
        <v>155</v>
      </c>
      <c r="F105" s="43">
        <v>3</v>
      </c>
      <c r="G105" s="43">
        <v>2026</v>
      </c>
      <c r="H105" s="43"/>
      <c r="I105" s="43">
        <v>2030.3</v>
      </c>
      <c r="J105" s="43" t="s">
        <v>52</v>
      </c>
      <c r="K105" s="43" t="s">
        <v>47</v>
      </c>
      <c r="L105" s="43"/>
      <c r="M105" s="43">
        <v>1</v>
      </c>
      <c r="N105" s="43">
        <v>0</v>
      </c>
      <c r="O105" s="43">
        <v>0</v>
      </c>
      <c r="P105" s="43">
        <v>0</v>
      </c>
      <c r="Q105" s="43">
        <v>0</v>
      </c>
      <c r="R105" s="43">
        <v>0</v>
      </c>
      <c r="S105" s="43">
        <v>1</v>
      </c>
      <c r="T105" s="43">
        <v>1</v>
      </c>
      <c r="U105" s="43">
        <v>1</v>
      </c>
      <c r="V105" s="43">
        <v>0</v>
      </c>
      <c r="W105" s="43" t="s">
        <v>1525</v>
      </c>
      <c r="X105" s="43" t="s">
        <v>1705</v>
      </c>
      <c r="Y105" s="43">
        <v>0</v>
      </c>
      <c r="Z105" s="43">
        <v>0</v>
      </c>
      <c r="AA105" s="43">
        <v>2007</v>
      </c>
      <c r="AB105" s="43">
        <v>9999</v>
      </c>
      <c r="AC105" s="43" t="s">
        <v>35</v>
      </c>
    </row>
    <row r="106" spans="1:29" x14ac:dyDescent="0.25">
      <c r="A106" s="56" t="s">
        <v>960</v>
      </c>
      <c r="B106" s="39" t="s">
        <v>961</v>
      </c>
      <c r="C106" s="43"/>
      <c r="D106" s="43">
        <v>1</v>
      </c>
      <c r="E106" s="43" t="s">
        <v>168</v>
      </c>
      <c r="F106" s="43">
        <v>1</v>
      </c>
      <c r="G106" s="43">
        <v>2026</v>
      </c>
      <c r="H106" s="43"/>
      <c r="I106" s="43">
        <v>2609.8000000000002</v>
      </c>
      <c r="J106" s="43" t="s">
        <v>52</v>
      </c>
      <c r="K106" s="43" t="s">
        <v>47</v>
      </c>
      <c r="L106" s="43"/>
      <c r="M106" s="43">
        <v>1</v>
      </c>
      <c r="N106" s="43">
        <v>1</v>
      </c>
      <c r="O106" s="43">
        <v>0</v>
      </c>
      <c r="P106" s="43">
        <v>0</v>
      </c>
      <c r="Q106" s="43">
        <v>0</v>
      </c>
      <c r="R106" s="43">
        <v>0</v>
      </c>
      <c r="S106" s="43">
        <v>1</v>
      </c>
      <c r="T106" s="43">
        <v>1</v>
      </c>
      <c r="U106" s="43">
        <v>1</v>
      </c>
      <c r="V106" s="43">
        <v>0</v>
      </c>
      <c r="W106" s="43" t="s">
        <v>1533</v>
      </c>
      <c r="X106" s="43" t="s">
        <v>1902</v>
      </c>
      <c r="Y106" s="43">
        <v>0</v>
      </c>
      <c r="Z106" s="43">
        <v>0</v>
      </c>
      <c r="AA106" s="43">
        <v>2007</v>
      </c>
      <c r="AB106" s="43">
        <v>9999</v>
      </c>
      <c r="AC106" s="43" t="s">
        <v>35</v>
      </c>
    </row>
    <row r="107" spans="1:29" x14ac:dyDescent="0.25">
      <c r="A107" s="56" t="s">
        <v>836</v>
      </c>
      <c r="B107" s="39" t="s">
        <v>1413</v>
      </c>
      <c r="C107" s="43"/>
      <c r="D107" s="43">
        <v>1</v>
      </c>
      <c r="E107" s="43" t="s">
        <v>64</v>
      </c>
      <c r="F107" s="43">
        <v>1</v>
      </c>
      <c r="G107" s="43">
        <v>2026</v>
      </c>
      <c r="H107" s="43"/>
      <c r="I107" s="43">
        <v>227.1</v>
      </c>
      <c r="J107" s="43" t="s">
        <v>52</v>
      </c>
      <c r="K107" s="43" t="s">
        <v>32</v>
      </c>
      <c r="L107" s="43"/>
      <c r="M107" s="43">
        <v>0</v>
      </c>
      <c r="N107" s="43">
        <v>0</v>
      </c>
      <c r="O107" s="43">
        <v>0</v>
      </c>
      <c r="P107" s="43">
        <v>0</v>
      </c>
      <c r="Q107" s="43">
        <v>0</v>
      </c>
      <c r="R107" s="43">
        <v>0</v>
      </c>
      <c r="S107" s="43">
        <v>1</v>
      </c>
      <c r="T107" s="43">
        <v>1</v>
      </c>
      <c r="U107" s="43">
        <v>1</v>
      </c>
      <c r="V107" s="43">
        <v>0</v>
      </c>
      <c r="W107" s="43" t="s">
        <v>1191</v>
      </c>
      <c r="X107" s="43" t="s">
        <v>1802</v>
      </c>
      <c r="Y107" s="43">
        <v>0</v>
      </c>
      <c r="Z107" s="43">
        <v>0</v>
      </c>
      <c r="AA107" s="43">
        <v>2007</v>
      </c>
      <c r="AB107" s="43">
        <v>9999</v>
      </c>
      <c r="AC107" s="43" t="s">
        <v>35</v>
      </c>
    </row>
    <row r="108" spans="1:29" x14ac:dyDescent="0.25">
      <c r="A108" s="56" t="s">
        <v>676</v>
      </c>
      <c r="B108" s="39" t="s">
        <v>677</v>
      </c>
      <c r="C108" s="43" t="s">
        <v>678</v>
      </c>
      <c r="D108" s="43">
        <v>1</v>
      </c>
      <c r="E108" s="43" t="s">
        <v>168</v>
      </c>
      <c r="F108" s="43">
        <v>1</v>
      </c>
      <c r="G108" s="43">
        <v>2026</v>
      </c>
      <c r="H108" s="43"/>
      <c r="I108" s="43">
        <v>229.1</v>
      </c>
      <c r="J108" s="43" t="s">
        <v>52</v>
      </c>
      <c r="K108" s="43" t="s">
        <v>32</v>
      </c>
      <c r="L108" s="43"/>
      <c r="M108" s="43">
        <v>0</v>
      </c>
      <c r="N108" s="43">
        <v>0</v>
      </c>
      <c r="O108" s="43">
        <v>0</v>
      </c>
      <c r="P108" s="43">
        <v>0</v>
      </c>
      <c r="Q108" s="43">
        <v>0</v>
      </c>
      <c r="R108" s="43">
        <v>0</v>
      </c>
      <c r="S108" s="43">
        <v>1</v>
      </c>
      <c r="T108" s="43">
        <v>1</v>
      </c>
      <c r="U108" s="43">
        <v>1</v>
      </c>
      <c r="V108" s="43">
        <v>0</v>
      </c>
      <c r="W108" s="43" t="s">
        <v>1759</v>
      </c>
      <c r="X108" s="43" t="s">
        <v>2016</v>
      </c>
      <c r="Y108" s="43">
        <v>1</v>
      </c>
      <c r="Z108" s="43">
        <v>0</v>
      </c>
      <c r="AA108" s="43">
        <v>2007</v>
      </c>
      <c r="AB108" s="43">
        <v>9999</v>
      </c>
      <c r="AC108" s="43" t="s">
        <v>35</v>
      </c>
    </row>
    <row r="109" spans="1:29" x14ac:dyDescent="0.25">
      <c r="A109" s="56" t="s">
        <v>622</v>
      </c>
      <c r="B109" s="39" t="s">
        <v>623</v>
      </c>
      <c r="C109" s="43" t="s">
        <v>624</v>
      </c>
      <c r="D109" s="43">
        <v>1</v>
      </c>
      <c r="E109" s="43" t="s">
        <v>625</v>
      </c>
      <c r="F109" s="43">
        <v>4</v>
      </c>
      <c r="G109" s="43">
        <v>2026</v>
      </c>
      <c r="H109" s="43"/>
      <c r="I109" s="43">
        <v>492</v>
      </c>
      <c r="J109" s="43" t="s">
        <v>52</v>
      </c>
      <c r="K109" s="43" t="s">
        <v>32</v>
      </c>
      <c r="L109" s="43"/>
      <c r="M109" s="43">
        <v>0</v>
      </c>
      <c r="N109" s="43">
        <v>0</v>
      </c>
      <c r="O109" s="43">
        <v>0</v>
      </c>
      <c r="P109" s="43">
        <v>0</v>
      </c>
      <c r="Q109" s="43">
        <v>0</v>
      </c>
      <c r="R109" s="43">
        <v>0</v>
      </c>
      <c r="S109" s="43">
        <v>1</v>
      </c>
      <c r="T109" s="43">
        <v>1</v>
      </c>
      <c r="U109" s="43">
        <v>1</v>
      </c>
      <c r="V109" s="43">
        <v>0</v>
      </c>
      <c r="W109" s="43" t="s">
        <v>1142</v>
      </c>
      <c r="X109" s="43" t="s">
        <v>2013</v>
      </c>
      <c r="Y109" s="43">
        <v>0</v>
      </c>
      <c r="Z109" s="43">
        <v>0</v>
      </c>
      <c r="AA109" s="43">
        <v>2007</v>
      </c>
      <c r="AB109" s="43">
        <v>9999</v>
      </c>
      <c r="AC109" s="43" t="s">
        <v>35</v>
      </c>
    </row>
    <row r="110" spans="1:29" x14ac:dyDescent="0.25">
      <c r="A110" s="56" t="s">
        <v>772</v>
      </c>
      <c r="B110" s="39" t="s">
        <v>773</v>
      </c>
      <c r="C110" s="43" t="s">
        <v>774</v>
      </c>
      <c r="D110" s="43">
        <v>1</v>
      </c>
      <c r="E110" s="43" t="s">
        <v>358</v>
      </c>
      <c r="F110" s="43">
        <v>1</v>
      </c>
      <c r="G110" s="43">
        <v>2026</v>
      </c>
      <c r="H110" s="43"/>
      <c r="I110" s="43">
        <v>579.5</v>
      </c>
      <c r="J110" s="43" t="s">
        <v>52</v>
      </c>
      <c r="K110" s="43" t="s">
        <v>32</v>
      </c>
      <c r="L110" s="43"/>
      <c r="M110" s="43">
        <v>0</v>
      </c>
      <c r="N110" s="43">
        <v>1</v>
      </c>
      <c r="O110" s="43">
        <v>0</v>
      </c>
      <c r="P110" s="43">
        <v>0</v>
      </c>
      <c r="Q110" s="43">
        <v>0</v>
      </c>
      <c r="R110" s="43">
        <v>0</v>
      </c>
      <c r="S110" s="43">
        <v>1</v>
      </c>
      <c r="T110" s="43">
        <v>1</v>
      </c>
      <c r="U110" s="43">
        <v>1</v>
      </c>
      <c r="V110" s="43">
        <v>0</v>
      </c>
      <c r="W110" s="43" t="s">
        <v>1174</v>
      </c>
      <c r="X110" s="43" t="s">
        <v>1783</v>
      </c>
      <c r="Y110" s="43">
        <v>0</v>
      </c>
      <c r="Z110" s="43">
        <v>0</v>
      </c>
      <c r="AA110" s="43">
        <v>2007</v>
      </c>
      <c r="AB110" s="43">
        <v>9999</v>
      </c>
      <c r="AC110" s="43" t="s">
        <v>35</v>
      </c>
    </row>
    <row r="111" spans="1:29" x14ac:dyDescent="0.25">
      <c r="A111" s="56" t="s">
        <v>184</v>
      </c>
      <c r="B111" s="39" t="s">
        <v>185</v>
      </c>
      <c r="C111" s="43" t="s">
        <v>186</v>
      </c>
      <c r="D111" s="43">
        <v>1</v>
      </c>
      <c r="E111" s="43" t="s">
        <v>45</v>
      </c>
      <c r="F111" s="43">
        <v>4</v>
      </c>
      <c r="G111" s="43">
        <v>2026</v>
      </c>
      <c r="H111" s="43"/>
      <c r="I111" s="43">
        <v>582.79999999999995</v>
      </c>
      <c r="J111" s="43" t="s">
        <v>52</v>
      </c>
      <c r="K111" s="43" t="s">
        <v>32</v>
      </c>
      <c r="L111" s="43"/>
      <c r="M111" s="43">
        <v>0</v>
      </c>
      <c r="N111" s="43">
        <v>0</v>
      </c>
      <c r="O111" s="43">
        <v>0</v>
      </c>
      <c r="P111" s="43">
        <v>0</v>
      </c>
      <c r="Q111" s="43">
        <v>0</v>
      </c>
      <c r="R111" s="43">
        <v>0</v>
      </c>
      <c r="S111" s="43">
        <v>1</v>
      </c>
      <c r="T111" s="43">
        <v>1</v>
      </c>
      <c r="U111" s="43">
        <v>1</v>
      </c>
      <c r="V111" s="43">
        <v>0</v>
      </c>
      <c r="W111" s="43" t="s">
        <v>1654</v>
      </c>
      <c r="X111" s="43" t="s">
        <v>1950</v>
      </c>
      <c r="Y111" s="43">
        <v>0</v>
      </c>
      <c r="Z111" s="43">
        <v>0</v>
      </c>
      <c r="AA111" s="43">
        <v>2007</v>
      </c>
      <c r="AB111" s="43">
        <v>9999</v>
      </c>
      <c r="AC111" s="43" t="s">
        <v>35</v>
      </c>
    </row>
    <row r="112" spans="1:29" x14ac:dyDescent="0.25">
      <c r="A112" s="56" t="s">
        <v>216</v>
      </c>
      <c r="B112" s="39" t="s">
        <v>217</v>
      </c>
      <c r="C112" s="43"/>
      <c r="D112" s="43">
        <v>1</v>
      </c>
      <c r="E112" s="43" t="s">
        <v>218</v>
      </c>
      <c r="F112" s="43">
        <v>2</v>
      </c>
      <c r="G112" s="43">
        <v>2026</v>
      </c>
      <c r="H112" s="43"/>
      <c r="I112" s="43">
        <v>1381.3</v>
      </c>
      <c r="J112" s="43" t="s">
        <v>52</v>
      </c>
      <c r="K112" s="43" t="s">
        <v>32</v>
      </c>
      <c r="L112" s="43"/>
      <c r="M112" s="43">
        <v>0</v>
      </c>
      <c r="N112" s="43">
        <v>1</v>
      </c>
      <c r="O112" s="43">
        <v>0</v>
      </c>
      <c r="P112" s="43">
        <v>0</v>
      </c>
      <c r="Q112" s="43">
        <v>0</v>
      </c>
      <c r="R112" s="43">
        <v>0</v>
      </c>
      <c r="S112" s="43">
        <v>1</v>
      </c>
      <c r="T112" s="43">
        <v>1</v>
      </c>
      <c r="U112" s="43">
        <v>1</v>
      </c>
      <c r="V112" s="43">
        <v>0</v>
      </c>
      <c r="W112" s="43" t="s">
        <v>1067</v>
      </c>
      <c r="X112" s="43" t="s">
        <v>1955</v>
      </c>
      <c r="Y112" s="43">
        <v>0</v>
      </c>
      <c r="Z112" s="43">
        <v>0</v>
      </c>
      <c r="AA112" s="43">
        <v>2007</v>
      </c>
      <c r="AB112" s="43">
        <v>9999</v>
      </c>
      <c r="AC112" s="43" t="s">
        <v>35</v>
      </c>
    </row>
    <row r="113" spans="1:29" x14ac:dyDescent="0.25">
      <c r="A113" s="56" t="s">
        <v>729</v>
      </c>
      <c r="B113" s="39" t="s">
        <v>205</v>
      </c>
      <c r="C113" s="43"/>
      <c r="D113" s="43">
        <v>1</v>
      </c>
      <c r="E113" s="43" t="s">
        <v>168</v>
      </c>
      <c r="F113" s="43">
        <v>1</v>
      </c>
      <c r="G113" s="43">
        <v>2026</v>
      </c>
      <c r="H113" s="43"/>
      <c r="I113" s="43">
        <v>8846.6</v>
      </c>
      <c r="J113" s="43" t="s">
        <v>52</v>
      </c>
      <c r="K113" s="43" t="s">
        <v>32</v>
      </c>
      <c r="L113" s="43"/>
      <c r="M113" s="43">
        <v>0</v>
      </c>
      <c r="N113" s="43">
        <v>1</v>
      </c>
      <c r="O113" s="43">
        <v>0</v>
      </c>
      <c r="P113" s="43">
        <v>0</v>
      </c>
      <c r="Q113" s="43">
        <v>0</v>
      </c>
      <c r="R113" s="43">
        <v>0</v>
      </c>
      <c r="S113" s="43">
        <v>1</v>
      </c>
      <c r="T113" s="43">
        <v>1</v>
      </c>
      <c r="U113" s="43">
        <v>1</v>
      </c>
      <c r="V113" s="43">
        <v>0</v>
      </c>
      <c r="W113" s="43" t="s">
        <v>1555</v>
      </c>
      <c r="X113" s="43" t="s">
        <v>2019</v>
      </c>
      <c r="Y113" s="43">
        <v>2</v>
      </c>
      <c r="Z113" s="43">
        <v>0</v>
      </c>
      <c r="AA113" s="43">
        <v>2007</v>
      </c>
      <c r="AB113" s="43">
        <v>9999</v>
      </c>
      <c r="AC113" s="43" t="s">
        <v>35</v>
      </c>
    </row>
    <row r="114" spans="1:29" ht="30" x14ac:dyDescent="0.25">
      <c r="A114" s="56" t="s">
        <v>143</v>
      </c>
      <c r="B114" s="39" t="s">
        <v>144</v>
      </c>
      <c r="C114" s="43"/>
      <c r="D114" s="43">
        <v>1</v>
      </c>
      <c r="E114" s="43" t="s">
        <v>145</v>
      </c>
      <c r="F114" s="43">
        <v>2</v>
      </c>
      <c r="G114" s="43">
        <v>2026</v>
      </c>
      <c r="H114" s="43" t="s">
        <v>146</v>
      </c>
      <c r="I114" s="43">
        <v>0</v>
      </c>
      <c r="J114" s="43" t="s">
        <v>147</v>
      </c>
      <c r="K114" s="43" t="s">
        <v>41</v>
      </c>
      <c r="L114" s="43"/>
      <c r="M114" s="43">
        <v>0</v>
      </c>
      <c r="N114" s="43">
        <v>0</v>
      </c>
      <c r="O114" s="43">
        <v>0</v>
      </c>
      <c r="P114" s="43">
        <v>0</v>
      </c>
      <c r="Q114" s="43">
        <v>0</v>
      </c>
      <c r="R114" s="43">
        <v>0</v>
      </c>
      <c r="S114" s="43">
        <v>0</v>
      </c>
      <c r="T114" s="43">
        <v>0</v>
      </c>
      <c r="U114" s="43">
        <v>0</v>
      </c>
      <c r="V114" s="43">
        <v>0</v>
      </c>
      <c r="W114" s="43" t="s">
        <v>1046</v>
      </c>
      <c r="X114" s="43" t="s">
        <v>1641</v>
      </c>
      <c r="Y114" s="43">
        <v>0</v>
      </c>
      <c r="Z114" s="43">
        <v>0</v>
      </c>
      <c r="AA114" s="43">
        <v>2007</v>
      </c>
      <c r="AB114" s="43">
        <v>9999</v>
      </c>
      <c r="AC114" s="43" t="s">
        <v>35</v>
      </c>
    </row>
    <row r="115" spans="1:29" ht="30" x14ac:dyDescent="0.25">
      <c r="A115" s="56"/>
      <c r="B115" s="39" t="s">
        <v>1612</v>
      </c>
      <c r="C115" s="43"/>
      <c r="D115" s="43">
        <v>1</v>
      </c>
      <c r="E115" s="43" t="s">
        <v>145</v>
      </c>
      <c r="F115" s="43">
        <v>2</v>
      </c>
      <c r="G115" s="43">
        <v>2026</v>
      </c>
      <c r="H115" s="43"/>
      <c r="I115" s="43">
        <v>0</v>
      </c>
      <c r="J115" s="43" t="s">
        <v>147</v>
      </c>
      <c r="K115" s="43" t="s">
        <v>41</v>
      </c>
      <c r="L115" s="43"/>
      <c r="M115" s="43">
        <v>0</v>
      </c>
      <c r="N115" s="43">
        <v>0</v>
      </c>
      <c r="O115" s="43">
        <v>0</v>
      </c>
      <c r="P115" s="43">
        <v>0</v>
      </c>
      <c r="Q115" s="43">
        <v>0</v>
      </c>
      <c r="R115" s="43">
        <v>0</v>
      </c>
      <c r="S115" s="43">
        <v>0</v>
      </c>
      <c r="T115" s="43">
        <v>0</v>
      </c>
      <c r="U115" s="43">
        <v>0</v>
      </c>
      <c r="V115" s="43">
        <v>0</v>
      </c>
      <c r="W115" s="43" t="s">
        <v>1613</v>
      </c>
      <c r="X115" s="43" t="s">
        <v>1713</v>
      </c>
      <c r="Y115" s="43">
        <v>0</v>
      </c>
      <c r="Z115" s="43">
        <v>0</v>
      </c>
      <c r="AA115" s="43">
        <v>2007</v>
      </c>
      <c r="AB115" s="43">
        <v>9999</v>
      </c>
      <c r="AC115" s="43" t="s">
        <v>35</v>
      </c>
    </row>
    <row r="116" spans="1:29" x14ac:dyDescent="0.25">
      <c r="A116" s="56" t="s">
        <v>688</v>
      </c>
      <c r="B116" s="39" t="s">
        <v>689</v>
      </c>
      <c r="C116" s="43"/>
      <c r="D116" s="43">
        <v>1</v>
      </c>
      <c r="E116" s="43" t="s">
        <v>145</v>
      </c>
      <c r="F116" s="43">
        <v>2</v>
      </c>
      <c r="G116" s="43">
        <v>2026</v>
      </c>
      <c r="H116" s="43" t="s">
        <v>146</v>
      </c>
      <c r="I116" s="43">
        <v>0.3</v>
      </c>
      <c r="J116" s="43" t="s">
        <v>147</v>
      </c>
      <c r="K116" s="43" t="s">
        <v>41</v>
      </c>
      <c r="L116" s="43"/>
      <c r="M116" s="43">
        <v>0</v>
      </c>
      <c r="N116" s="43">
        <v>0</v>
      </c>
      <c r="O116" s="43">
        <v>0</v>
      </c>
      <c r="P116" s="43">
        <v>0</v>
      </c>
      <c r="Q116" s="43">
        <v>0</v>
      </c>
      <c r="R116" s="43">
        <v>0</v>
      </c>
      <c r="S116" s="43">
        <v>0</v>
      </c>
      <c r="T116" s="43">
        <v>0</v>
      </c>
      <c r="U116" s="43">
        <v>0</v>
      </c>
      <c r="V116" s="43">
        <v>0</v>
      </c>
      <c r="W116" s="43" t="s">
        <v>1154</v>
      </c>
      <c r="X116" s="43" t="s">
        <v>1760</v>
      </c>
      <c r="Y116" s="43">
        <v>0</v>
      </c>
      <c r="Z116" s="43">
        <v>0</v>
      </c>
      <c r="AA116" s="43">
        <v>2007</v>
      </c>
      <c r="AB116" s="43">
        <v>9999</v>
      </c>
      <c r="AC116" s="43" t="s">
        <v>35</v>
      </c>
    </row>
    <row r="117" spans="1:29" x14ac:dyDescent="0.25">
      <c r="A117" s="56" t="s">
        <v>252</v>
      </c>
      <c r="B117" s="39" t="s">
        <v>253</v>
      </c>
      <c r="C117" s="43"/>
      <c r="D117" s="43">
        <v>1</v>
      </c>
      <c r="E117" s="43" t="s">
        <v>145</v>
      </c>
      <c r="F117" s="43">
        <v>2</v>
      </c>
      <c r="G117" s="43">
        <v>2026</v>
      </c>
      <c r="H117" s="43" t="s">
        <v>254</v>
      </c>
      <c r="I117" s="43">
        <v>0.4</v>
      </c>
      <c r="J117" s="43" t="s">
        <v>147</v>
      </c>
      <c r="K117" s="43" t="s">
        <v>41</v>
      </c>
      <c r="L117" s="43"/>
      <c r="M117" s="43">
        <v>0</v>
      </c>
      <c r="N117" s="43">
        <v>0</v>
      </c>
      <c r="O117" s="43">
        <v>0</v>
      </c>
      <c r="P117" s="43">
        <v>0</v>
      </c>
      <c r="Q117" s="43">
        <v>0</v>
      </c>
      <c r="R117" s="43">
        <v>0</v>
      </c>
      <c r="S117" s="43">
        <v>0</v>
      </c>
      <c r="T117" s="43">
        <v>0</v>
      </c>
      <c r="U117" s="43">
        <v>0</v>
      </c>
      <c r="V117" s="43">
        <v>0</v>
      </c>
      <c r="W117" s="43" t="s">
        <v>1077</v>
      </c>
      <c r="X117" s="43" t="s">
        <v>1959</v>
      </c>
      <c r="Y117" s="43">
        <v>0</v>
      </c>
      <c r="Z117" s="43">
        <v>0</v>
      </c>
      <c r="AA117" s="43">
        <v>2007</v>
      </c>
      <c r="AB117" s="43">
        <v>9999</v>
      </c>
      <c r="AC117" s="43" t="s">
        <v>35</v>
      </c>
    </row>
    <row r="118" spans="1:29" x14ac:dyDescent="0.25">
      <c r="A118" s="56" t="s">
        <v>786</v>
      </c>
      <c r="B118" s="39" t="s">
        <v>787</v>
      </c>
      <c r="C118" s="43" t="s">
        <v>788</v>
      </c>
      <c r="D118" s="43">
        <v>1</v>
      </c>
      <c r="E118" s="43" t="s">
        <v>120</v>
      </c>
      <c r="F118" s="43">
        <v>3</v>
      </c>
      <c r="G118" s="43">
        <v>2026</v>
      </c>
      <c r="H118" s="43"/>
      <c r="I118" s="43">
        <v>31.7</v>
      </c>
      <c r="J118" s="43" t="s">
        <v>147</v>
      </c>
      <c r="K118" s="43" t="s">
        <v>47</v>
      </c>
      <c r="L118" s="43"/>
      <c r="M118" s="43">
        <v>0</v>
      </c>
      <c r="N118" s="43">
        <v>0</v>
      </c>
      <c r="O118" s="43">
        <v>0</v>
      </c>
      <c r="P118" s="43">
        <v>0</v>
      </c>
      <c r="Q118" s="43">
        <v>0</v>
      </c>
      <c r="R118" s="43">
        <v>0</v>
      </c>
      <c r="S118" s="43">
        <v>1</v>
      </c>
      <c r="T118" s="43">
        <v>1</v>
      </c>
      <c r="U118" s="43">
        <v>1</v>
      </c>
      <c r="V118" s="43">
        <v>0</v>
      </c>
      <c r="W118" s="43" t="s">
        <v>1178</v>
      </c>
      <c r="X118" s="43" t="s">
        <v>1786</v>
      </c>
      <c r="Y118" s="43">
        <v>0</v>
      </c>
      <c r="Z118" s="43">
        <v>0</v>
      </c>
      <c r="AA118" s="43">
        <v>2007</v>
      </c>
      <c r="AB118" s="43">
        <v>9999</v>
      </c>
      <c r="AC118" s="43" t="s">
        <v>35</v>
      </c>
    </row>
    <row r="119" spans="1:29" x14ac:dyDescent="0.25">
      <c r="A119" s="56" t="s">
        <v>954</v>
      </c>
      <c r="B119" s="39" t="s">
        <v>1585</v>
      </c>
      <c r="C119" s="43" t="s">
        <v>956</v>
      </c>
      <c r="D119" s="43">
        <v>1</v>
      </c>
      <c r="E119" s="43" t="s">
        <v>218</v>
      </c>
      <c r="F119" s="43">
        <v>2</v>
      </c>
      <c r="G119" s="43">
        <v>2026</v>
      </c>
      <c r="H119" s="43"/>
      <c r="I119" s="43">
        <v>357</v>
      </c>
      <c r="J119" s="43" t="s">
        <v>147</v>
      </c>
      <c r="K119" s="43" t="s">
        <v>47</v>
      </c>
      <c r="L119" s="43"/>
      <c r="M119" s="43">
        <v>1</v>
      </c>
      <c r="N119" s="43">
        <v>0</v>
      </c>
      <c r="O119" s="43">
        <v>0</v>
      </c>
      <c r="P119" s="43">
        <v>0</v>
      </c>
      <c r="Q119" s="43">
        <v>0</v>
      </c>
      <c r="R119" s="43">
        <v>0</v>
      </c>
      <c r="S119" s="43">
        <v>1</v>
      </c>
      <c r="T119" s="43">
        <v>1</v>
      </c>
      <c r="U119" s="43">
        <v>1</v>
      </c>
      <c r="V119" s="43">
        <v>0</v>
      </c>
      <c r="W119" s="43" t="s">
        <v>1384</v>
      </c>
      <c r="X119" s="43" t="s">
        <v>1826</v>
      </c>
      <c r="Y119" s="43">
        <v>0</v>
      </c>
      <c r="Z119" s="43">
        <v>0</v>
      </c>
      <c r="AA119" s="43">
        <v>2007</v>
      </c>
      <c r="AB119" s="43">
        <v>9999</v>
      </c>
      <c r="AC119" s="43" t="s">
        <v>35</v>
      </c>
    </row>
    <row r="120" spans="1:29" x14ac:dyDescent="0.25">
      <c r="A120" s="56" t="s">
        <v>416</v>
      </c>
      <c r="B120" s="39" t="s">
        <v>417</v>
      </c>
      <c r="C120" s="43" t="s">
        <v>418</v>
      </c>
      <c r="D120" s="43">
        <v>1</v>
      </c>
      <c r="E120" s="43">
        <v>310</v>
      </c>
      <c r="F120" s="43">
        <v>2</v>
      </c>
      <c r="G120" s="43">
        <v>2026</v>
      </c>
      <c r="H120" s="43"/>
      <c r="I120" s="43">
        <v>1016.3</v>
      </c>
      <c r="J120" s="43" t="s">
        <v>147</v>
      </c>
      <c r="K120" s="43" t="s">
        <v>47</v>
      </c>
      <c r="L120" s="43"/>
      <c r="M120" s="43">
        <v>1</v>
      </c>
      <c r="N120" s="43">
        <v>1</v>
      </c>
      <c r="O120" s="43">
        <v>0</v>
      </c>
      <c r="P120" s="43">
        <v>0</v>
      </c>
      <c r="Q120" s="43">
        <v>0</v>
      </c>
      <c r="R120" s="43">
        <v>0</v>
      </c>
      <c r="S120" s="43">
        <v>1</v>
      </c>
      <c r="T120" s="43">
        <v>1</v>
      </c>
      <c r="U120" s="43">
        <v>1</v>
      </c>
      <c r="V120" s="43">
        <v>0</v>
      </c>
      <c r="W120" s="43" t="s">
        <v>1574</v>
      </c>
      <c r="X120" s="43" t="s">
        <v>1976</v>
      </c>
      <c r="Y120" s="43">
        <v>0</v>
      </c>
      <c r="Z120" s="43">
        <v>1</v>
      </c>
      <c r="AA120" s="43">
        <v>2007</v>
      </c>
      <c r="AB120" s="43">
        <v>9999</v>
      </c>
      <c r="AC120" s="43" t="s">
        <v>35</v>
      </c>
    </row>
    <row r="121" spans="1:29" x14ac:dyDescent="0.25">
      <c r="A121" s="56" t="s">
        <v>240</v>
      </c>
      <c r="B121" s="39" t="s">
        <v>241</v>
      </c>
      <c r="C121" s="43"/>
      <c r="D121" s="43">
        <v>1</v>
      </c>
      <c r="E121" s="43" t="s">
        <v>218</v>
      </c>
      <c r="F121" s="43">
        <v>2</v>
      </c>
      <c r="G121" s="43">
        <v>2026</v>
      </c>
      <c r="H121" s="43"/>
      <c r="I121" s="43">
        <v>28943.7</v>
      </c>
      <c r="J121" s="43" t="s">
        <v>147</v>
      </c>
      <c r="K121" s="43" t="s">
        <v>47</v>
      </c>
      <c r="L121" s="43"/>
      <c r="M121" s="43">
        <v>1</v>
      </c>
      <c r="N121" s="43">
        <v>0</v>
      </c>
      <c r="O121" s="43">
        <v>0</v>
      </c>
      <c r="P121" s="43">
        <v>0</v>
      </c>
      <c r="Q121" s="43">
        <v>0</v>
      </c>
      <c r="R121" s="43">
        <v>0</v>
      </c>
      <c r="S121" s="43">
        <v>1</v>
      </c>
      <c r="T121" s="43">
        <v>1</v>
      </c>
      <c r="U121" s="43">
        <v>1</v>
      </c>
      <c r="V121" s="43">
        <v>0</v>
      </c>
      <c r="W121" s="43" t="s">
        <v>1073</v>
      </c>
      <c r="X121" s="43" t="s">
        <v>1957</v>
      </c>
      <c r="Y121" s="43">
        <v>1</v>
      </c>
      <c r="Z121" s="43">
        <v>1</v>
      </c>
      <c r="AA121" s="43">
        <v>2007</v>
      </c>
      <c r="AB121" s="43">
        <v>9999</v>
      </c>
      <c r="AC121" s="43" t="s">
        <v>35</v>
      </c>
    </row>
    <row r="122" spans="1:29" x14ac:dyDescent="0.25">
      <c r="A122" s="56" t="s">
        <v>230</v>
      </c>
      <c r="B122" s="39" t="s">
        <v>231</v>
      </c>
      <c r="C122" s="43" t="s">
        <v>232</v>
      </c>
      <c r="D122" s="43">
        <v>1</v>
      </c>
      <c r="E122" s="43" t="s">
        <v>145</v>
      </c>
      <c r="F122" s="43">
        <v>2</v>
      </c>
      <c r="G122" s="43">
        <v>2026</v>
      </c>
      <c r="H122" s="43"/>
      <c r="I122" s="43"/>
      <c r="J122" s="43" t="s">
        <v>147</v>
      </c>
      <c r="K122" s="43" t="s">
        <v>47</v>
      </c>
      <c r="L122" s="43"/>
      <c r="M122" s="43">
        <v>0</v>
      </c>
      <c r="N122" s="43">
        <v>1</v>
      </c>
      <c r="O122" s="43">
        <v>0</v>
      </c>
      <c r="P122" s="43">
        <v>0</v>
      </c>
      <c r="Q122" s="43">
        <v>0</v>
      </c>
      <c r="R122" s="43">
        <v>0</v>
      </c>
      <c r="S122" s="43">
        <v>1</v>
      </c>
      <c r="T122" s="43">
        <v>1</v>
      </c>
      <c r="U122" s="43">
        <v>1</v>
      </c>
      <c r="V122" s="43">
        <v>0</v>
      </c>
      <c r="W122" s="43" t="s">
        <v>1070</v>
      </c>
      <c r="X122" s="43" t="s">
        <v>1859</v>
      </c>
      <c r="Y122" s="43">
        <v>0</v>
      </c>
      <c r="Z122" s="43">
        <v>1</v>
      </c>
      <c r="AA122" s="43">
        <v>2007</v>
      </c>
      <c r="AB122" s="43">
        <v>9999</v>
      </c>
      <c r="AC122" s="43" t="s">
        <v>35</v>
      </c>
    </row>
    <row r="123" spans="1:29" x14ac:dyDescent="0.25">
      <c r="A123" s="56" t="s">
        <v>950</v>
      </c>
      <c r="B123" s="39" t="s">
        <v>951</v>
      </c>
      <c r="C123" s="43" t="s">
        <v>952</v>
      </c>
      <c r="D123" s="43">
        <v>1</v>
      </c>
      <c r="E123" s="43" t="s">
        <v>218</v>
      </c>
      <c r="F123" s="43">
        <v>2</v>
      </c>
      <c r="G123" s="43">
        <v>2026</v>
      </c>
      <c r="H123" s="43"/>
      <c r="I123" s="43">
        <v>1582.1</v>
      </c>
      <c r="J123" s="43" t="s">
        <v>147</v>
      </c>
      <c r="K123" s="43" t="s">
        <v>32</v>
      </c>
      <c r="L123" s="43"/>
      <c r="M123" s="43">
        <v>0</v>
      </c>
      <c r="N123" s="43">
        <v>1</v>
      </c>
      <c r="O123" s="43">
        <v>0</v>
      </c>
      <c r="P123" s="43">
        <v>0</v>
      </c>
      <c r="Q123" s="43">
        <v>0</v>
      </c>
      <c r="R123" s="43">
        <v>0</v>
      </c>
      <c r="S123" s="43">
        <v>1</v>
      </c>
      <c r="T123" s="43">
        <v>1</v>
      </c>
      <c r="U123" s="43">
        <v>1</v>
      </c>
      <c r="V123" s="43">
        <v>0</v>
      </c>
      <c r="W123" s="43" t="s">
        <v>1897</v>
      </c>
      <c r="X123" s="43" t="s">
        <v>1898</v>
      </c>
      <c r="Y123" s="43">
        <v>0</v>
      </c>
      <c r="Z123" s="43">
        <v>0</v>
      </c>
      <c r="AA123" s="43">
        <v>2007</v>
      </c>
      <c r="AB123" s="43">
        <v>9999</v>
      </c>
      <c r="AC123" s="43" t="s">
        <v>35</v>
      </c>
    </row>
    <row r="124" spans="1:29" x14ac:dyDescent="0.25">
      <c r="A124" s="56" t="s">
        <v>226</v>
      </c>
      <c r="B124" s="39" t="s">
        <v>227</v>
      </c>
      <c r="C124" s="43" t="s">
        <v>228</v>
      </c>
      <c r="D124" s="43">
        <v>1</v>
      </c>
      <c r="E124" s="43" t="s">
        <v>218</v>
      </c>
      <c r="F124" s="43">
        <v>2</v>
      </c>
      <c r="G124" s="43">
        <v>2026</v>
      </c>
      <c r="H124" s="43"/>
      <c r="I124" s="43">
        <v>3232.9</v>
      </c>
      <c r="J124" s="43" t="s">
        <v>147</v>
      </c>
      <c r="K124" s="43" t="s">
        <v>32</v>
      </c>
      <c r="L124" s="43"/>
      <c r="M124" s="43">
        <v>0</v>
      </c>
      <c r="N124" s="43">
        <v>1</v>
      </c>
      <c r="O124" s="43">
        <v>0</v>
      </c>
      <c r="P124" s="43">
        <v>0</v>
      </c>
      <c r="Q124" s="43">
        <v>0</v>
      </c>
      <c r="R124" s="43">
        <v>0</v>
      </c>
      <c r="S124" s="43">
        <v>1</v>
      </c>
      <c r="T124" s="43">
        <v>1</v>
      </c>
      <c r="U124" s="43">
        <v>1</v>
      </c>
      <c r="V124" s="43">
        <v>0</v>
      </c>
      <c r="W124" s="43" t="s">
        <v>1069</v>
      </c>
      <c r="X124" s="43" t="s">
        <v>1665</v>
      </c>
      <c r="Y124" s="43">
        <v>0</v>
      </c>
      <c r="Z124" s="43">
        <v>0</v>
      </c>
      <c r="AA124" s="43">
        <v>2007</v>
      </c>
      <c r="AB124" s="43">
        <v>9999</v>
      </c>
      <c r="AC124" s="43" t="s">
        <v>35</v>
      </c>
    </row>
    <row r="125" spans="1:29" x14ac:dyDescent="0.25">
      <c r="A125" s="56" t="s">
        <v>1016</v>
      </c>
      <c r="B125" s="39" t="s">
        <v>1017</v>
      </c>
      <c r="C125" s="43"/>
      <c r="D125" s="43">
        <v>1</v>
      </c>
      <c r="E125" s="43" t="s">
        <v>396</v>
      </c>
      <c r="F125" s="43">
        <v>3</v>
      </c>
      <c r="G125" s="43">
        <v>2026</v>
      </c>
      <c r="H125" s="43" t="s">
        <v>1018</v>
      </c>
      <c r="I125" s="43">
        <v>0</v>
      </c>
      <c r="J125" s="43" t="s">
        <v>121</v>
      </c>
      <c r="K125" s="43" t="s">
        <v>41</v>
      </c>
      <c r="L125" s="43"/>
      <c r="M125" s="43">
        <v>0</v>
      </c>
      <c r="N125" s="43">
        <v>0</v>
      </c>
      <c r="O125" s="43">
        <v>0</v>
      </c>
      <c r="P125" s="43">
        <v>0</v>
      </c>
      <c r="Q125" s="43">
        <v>0</v>
      </c>
      <c r="R125" s="43">
        <v>0</v>
      </c>
      <c r="S125" s="43">
        <v>0</v>
      </c>
      <c r="T125" s="43">
        <v>0</v>
      </c>
      <c r="U125" s="43">
        <v>0</v>
      </c>
      <c r="V125" s="43">
        <v>0</v>
      </c>
      <c r="W125" s="43" t="s">
        <v>1230</v>
      </c>
      <c r="X125" s="43" t="s">
        <v>1845</v>
      </c>
      <c r="Y125" s="43">
        <v>0</v>
      </c>
      <c r="Z125" s="43">
        <v>0</v>
      </c>
      <c r="AA125" s="43">
        <v>2007</v>
      </c>
      <c r="AB125" s="43">
        <v>9999</v>
      </c>
      <c r="AC125" s="43" t="s">
        <v>35</v>
      </c>
    </row>
    <row r="126" spans="1:29" x14ac:dyDescent="0.25">
      <c r="A126" s="56" t="s">
        <v>181</v>
      </c>
      <c r="B126" s="39" t="s">
        <v>182</v>
      </c>
      <c r="C126" s="43"/>
      <c r="D126" s="43">
        <v>1</v>
      </c>
      <c r="E126" s="43" t="s">
        <v>38</v>
      </c>
      <c r="F126" s="43">
        <v>4</v>
      </c>
      <c r="G126" s="43">
        <v>2026</v>
      </c>
      <c r="H126" s="43" t="s">
        <v>39</v>
      </c>
      <c r="I126" s="43">
        <v>0.1</v>
      </c>
      <c r="J126" s="43" t="s">
        <v>121</v>
      </c>
      <c r="K126" s="43" t="s">
        <v>41</v>
      </c>
      <c r="L126" s="43"/>
      <c r="M126" s="43">
        <v>0</v>
      </c>
      <c r="N126" s="43">
        <v>0</v>
      </c>
      <c r="O126" s="43">
        <v>0</v>
      </c>
      <c r="P126" s="43">
        <v>0</v>
      </c>
      <c r="Q126" s="43">
        <v>0</v>
      </c>
      <c r="R126" s="43">
        <v>0</v>
      </c>
      <c r="S126" s="43">
        <v>0</v>
      </c>
      <c r="T126" s="43">
        <v>0</v>
      </c>
      <c r="U126" s="43">
        <v>0</v>
      </c>
      <c r="V126" s="43">
        <v>0</v>
      </c>
      <c r="W126" s="43" t="s">
        <v>1057</v>
      </c>
      <c r="X126" s="43" t="s">
        <v>1653</v>
      </c>
      <c r="Y126" s="43">
        <v>0</v>
      </c>
      <c r="Z126" s="43">
        <v>0</v>
      </c>
      <c r="AA126" s="43">
        <v>2007</v>
      </c>
      <c r="AB126" s="43">
        <v>9999</v>
      </c>
      <c r="AC126" s="43" t="s">
        <v>35</v>
      </c>
    </row>
    <row r="127" spans="1:29" x14ac:dyDescent="0.25">
      <c r="A127" s="56" t="s">
        <v>577</v>
      </c>
      <c r="B127" s="39" t="s">
        <v>578</v>
      </c>
      <c r="C127" s="43"/>
      <c r="D127" s="43">
        <v>1</v>
      </c>
      <c r="E127" s="43" t="s">
        <v>396</v>
      </c>
      <c r="F127" s="43">
        <v>3</v>
      </c>
      <c r="G127" s="43">
        <v>2026</v>
      </c>
      <c r="H127" s="43" t="s">
        <v>579</v>
      </c>
      <c r="I127" s="43">
        <v>0.2</v>
      </c>
      <c r="J127" s="43" t="s">
        <v>121</v>
      </c>
      <c r="K127" s="43" t="s">
        <v>41</v>
      </c>
      <c r="L127" s="43"/>
      <c r="M127" s="43">
        <v>0</v>
      </c>
      <c r="N127" s="43">
        <v>0</v>
      </c>
      <c r="O127" s="43">
        <v>0</v>
      </c>
      <c r="P127" s="43">
        <v>0</v>
      </c>
      <c r="Q127" s="43">
        <v>0</v>
      </c>
      <c r="R127" s="43">
        <v>0</v>
      </c>
      <c r="S127" s="43">
        <v>0</v>
      </c>
      <c r="T127" s="43">
        <v>0</v>
      </c>
      <c r="U127" s="43">
        <v>0</v>
      </c>
      <c r="V127" s="43">
        <v>0</v>
      </c>
      <c r="W127" s="43" t="s">
        <v>1132</v>
      </c>
      <c r="X127" s="43" t="s">
        <v>1743</v>
      </c>
      <c r="Y127" s="43">
        <v>0</v>
      </c>
      <c r="Z127" s="43">
        <v>0</v>
      </c>
      <c r="AA127" s="43">
        <v>2007</v>
      </c>
      <c r="AB127" s="43">
        <v>9999</v>
      </c>
      <c r="AC127" s="43" t="s">
        <v>35</v>
      </c>
    </row>
    <row r="128" spans="1:29" x14ac:dyDescent="0.25">
      <c r="A128" s="56" t="s">
        <v>702</v>
      </c>
      <c r="B128" s="39" t="s">
        <v>703</v>
      </c>
      <c r="C128" s="43"/>
      <c r="D128" s="43">
        <v>1</v>
      </c>
      <c r="E128" s="43" t="s">
        <v>155</v>
      </c>
      <c r="F128" s="43">
        <v>3</v>
      </c>
      <c r="G128" s="43">
        <v>2026</v>
      </c>
      <c r="H128" s="43" t="s">
        <v>704</v>
      </c>
      <c r="I128" s="43">
        <v>1.7</v>
      </c>
      <c r="J128" s="43" t="s">
        <v>121</v>
      </c>
      <c r="K128" s="43" t="s">
        <v>41</v>
      </c>
      <c r="L128" s="43"/>
      <c r="M128" s="43">
        <v>0</v>
      </c>
      <c r="N128" s="43">
        <v>0</v>
      </c>
      <c r="O128" s="43">
        <v>0</v>
      </c>
      <c r="P128" s="43">
        <v>0</v>
      </c>
      <c r="Q128" s="43">
        <v>0</v>
      </c>
      <c r="R128" s="43">
        <v>0</v>
      </c>
      <c r="S128" s="43">
        <v>0</v>
      </c>
      <c r="T128" s="43">
        <v>0</v>
      </c>
      <c r="U128" s="43">
        <v>0</v>
      </c>
      <c r="V128" s="43">
        <v>1</v>
      </c>
      <c r="W128" s="43" t="s">
        <v>1158</v>
      </c>
      <c r="X128" s="43" t="s">
        <v>1764</v>
      </c>
      <c r="Y128" s="43">
        <v>0</v>
      </c>
      <c r="Z128" s="43">
        <v>0</v>
      </c>
      <c r="AA128" s="43">
        <v>2007</v>
      </c>
      <c r="AB128" s="43">
        <v>9999</v>
      </c>
      <c r="AC128" s="43" t="s">
        <v>35</v>
      </c>
    </row>
    <row r="129" spans="1:29" x14ac:dyDescent="0.25">
      <c r="A129" s="56"/>
      <c r="B129" s="39" t="s">
        <v>1026</v>
      </c>
      <c r="C129" s="43"/>
      <c r="D129" s="43">
        <v>24</v>
      </c>
      <c r="E129" s="43"/>
      <c r="F129" s="43">
        <v>3</v>
      </c>
      <c r="G129" s="43">
        <v>2026</v>
      </c>
      <c r="H129" s="43" t="s">
        <v>392</v>
      </c>
      <c r="I129" s="43">
        <v>10.14</v>
      </c>
      <c r="J129" s="43" t="s">
        <v>121</v>
      </c>
      <c r="K129" s="43" t="s">
        <v>41</v>
      </c>
      <c r="L129" s="43"/>
      <c r="M129" s="43">
        <v>0</v>
      </c>
      <c r="N129" s="43">
        <v>0</v>
      </c>
      <c r="O129" s="43">
        <v>0</v>
      </c>
      <c r="P129" s="43">
        <v>0</v>
      </c>
      <c r="Q129" s="43">
        <v>0</v>
      </c>
      <c r="R129" s="43">
        <v>0</v>
      </c>
      <c r="S129" s="43">
        <v>0</v>
      </c>
      <c r="T129" s="43">
        <v>0</v>
      </c>
      <c r="U129" s="43">
        <v>0</v>
      </c>
      <c r="V129" s="43">
        <v>0</v>
      </c>
      <c r="W129" s="43" t="s">
        <v>1232</v>
      </c>
      <c r="X129" s="43" t="s">
        <v>2043</v>
      </c>
      <c r="Y129" s="43">
        <v>0</v>
      </c>
      <c r="Z129" s="43">
        <v>0</v>
      </c>
      <c r="AA129" s="43">
        <v>2007</v>
      </c>
      <c r="AB129" s="43">
        <v>9999</v>
      </c>
      <c r="AC129" s="43" t="s">
        <v>35</v>
      </c>
    </row>
    <row r="130" spans="1:29" x14ac:dyDescent="0.25">
      <c r="A130" s="56" t="s">
        <v>423</v>
      </c>
      <c r="B130" s="39" t="s">
        <v>424</v>
      </c>
      <c r="C130" s="43"/>
      <c r="D130" s="43">
        <v>1</v>
      </c>
      <c r="E130" s="43" t="s">
        <v>85</v>
      </c>
      <c r="F130" s="43">
        <v>1</v>
      </c>
      <c r="G130" s="43">
        <v>2026</v>
      </c>
      <c r="H130" s="43" t="s">
        <v>303</v>
      </c>
      <c r="I130" s="43">
        <v>20.3</v>
      </c>
      <c r="J130" s="43" t="s">
        <v>121</v>
      </c>
      <c r="K130" s="43" t="s">
        <v>53</v>
      </c>
      <c r="L130" s="43" t="s">
        <v>425</v>
      </c>
      <c r="M130" s="43">
        <v>0</v>
      </c>
      <c r="N130" s="43">
        <v>0</v>
      </c>
      <c r="O130" s="43">
        <v>0</v>
      </c>
      <c r="P130" s="43">
        <v>0</v>
      </c>
      <c r="Q130" s="43">
        <v>0</v>
      </c>
      <c r="R130" s="43">
        <v>0</v>
      </c>
      <c r="S130" s="43">
        <v>0</v>
      </c>
      <c r="T130" s="43">
        <v>0</v>
      </c>
      <c r="U130" s="43">
        <v>0</v>
      </c>
      <c r="V130" s="43">
        <v>0</v>
      </c>
      <c r="W130" s="43" t="s">
        <v>426</v>
      </c>
      <c r="X130" s="43" t="s">
        <v>1709</v>
      </c>
      <c r="Y130" s="43">
        <v>0</v>
      </c>
      <c r="Z130" s="43">
        <v>0</v>
      </c>
      <c r="AA130" s="43">
        <v>2007</v>
      </c>
      <c r="AB130" s="43">
        <v>9999</v>
      </c>
      <c r="AC130" s="43" t="s">
        <v>35</v>
      </c>
    </row>
    <row r="131" spans="1:29" x14ac:dyDescent="0.25">
      <c r="A131" s="56" t="s">
        <v>153</v>
      </c>
      <c r="B131" s="39" t="s">
        <v>1357</v>
      </c>
      <c r="C131" s="43"/>
      <c r="D131" s="43">
        <v>1</v>
      </c>
      <c r="E131" s="43" t="s">
        <v>155</v>
      </c>
      <c r="F131" s="43">
        <v>3</v>
      </c>
      <c r="G131" s="43">
        <v>2026</v>
      </c>
      <c r="H131" s="43"/>
      <c r="I131" s="43">
        <v>78.3</v>
      </c>
      <c r="J131" s="43" t="s">
        <v>121</v>
      </c>
      <c r="K131" s="43" t="s">
        <v>53</v>
      </c>
      <c r="L131" s="43" t="s">
        <v>60</v>
      </c>
      <c r="M131" s="43">
        <v>0</v>
      </c>
      <c r="N131" s="43">
        <v>0</v>
      </c>
      <c r="O131" s="43">
        <v>1</v>
      </c>
      <c r="P131" s="43">
        <v>0</v>
      </c>
      <c r="Q131" s="43">
        <v>0</v>
      </c>
      <c r="R131" s="43">
        <v>0</v>
      </c>
      <c r="S131" s="43">
        <v>1</v>
      </c>
      <c r="T131" s="43">
        <v>0</v>
      </c>
      <c r="U131" s="43">
        <v>0</v>
      </c>
      <c r="V131" s="43">
        <v>1</v>
      </c>
      <c r="W131" s="43" t="s">
        <v>645</v>
      </c>
      <c r="X131" s="43" t="s">
        <v>1681</v>
      </c>
      <c r="Y131" s="43">
        <v>0</v>
      </c>
      <c r="Z131" s="43">
        <v>0</v>
      </c>
      <c r="AA131" s="43">
        <v>2007</v>
      </c>
      <c r="AB131" s="43">
        <v>9999</v>
      </c>
      <c r="AC131" s="43" t="s">
        <v>35</v>
      </c>
    </row>
    <row r="132" spans="1:29" x14ac:dyDescent="0.25">
      <c r="A132" s="56" t="s">
        <v>153</v>
      </c>
      <c r="B132" s="39" t="s">
        <v>272</v>
      </c>
      <c r="C132" s="43"/>
      <c r="D132" s="43">
        <v>8</v>
      </c>
      <c r="E132" s="43" t="s">
        <v>155</v>
      </c>
      <c r="F132" s="43">
        <v>3</v>
      </c>
      <c r="G132" s="43">
        <v>2026</v>
      </c>
      <c r="H132" s="43"/>
      <c r="I132" s="43">
        <v>91.57</v>
      </c>
      <c r="J132" s="43" t="s">
        <v>121</v>
      </c>
      <c r="K132" s="43" t="s">
        <v>41</v>
      </c>
      <c r="L132" s="43" t="s">
        <v>60</v>
      </c>
      <c r="M132" s="43">
        <v>0</v>
      </c>
      <c r="N132" s="43">
        <v>0</v>
      </c>
      <c r="O132" s="43">
        <v>1</v>
      </c>
      <c r="P132" s="43">
        <v>0</v>
      </c>
      <c r="Q132" s="43">
        <v>0</v>
      </c>
      <c r="R132" s="43">
        <v>0</v>
      </c>
      <c r="S132" s="43">
        <v>0</v>
      </c>
      <c r="T132" s="43">
        <v>0</v>
      </c>
      <c r="U132" s="43">
        <v>0</v>
      </c>
      <c r="V132" s="43">
        <v>1</v>
      </c>
      <c r="W132" s="43" t="s">
        <v>273</v>
      </c>
      <c r="X132" s="43" t="s">
        <v>1677</v>
      </c>
      <c r="Y132" s="43">
        <v>0</v>
      </c>
      <c r="Z132" s="43">
        <v>0</v>
      </c>
      <c r="AA132" s="43">
        <v>2007</v>
      </c>
      <c r="AB132" s="43">
        <v>9999</v>
      </c>
      <c r="AC132" s="43" t="s">
        <v>35</v>
      </c>
    </row>
    <row r="133" spans="1:29" x14ac:dyDescent="0.25">
      <c r="A133" s="56" t="s">
        <v>153</v>
      </c>
      <c r="B133" s="39" t="s">
        <v>303</v>
      </c>
      <c r="C133" s="43"/>
      <c r="D133" s="43">
        <v>1</v>
      </c>
      <c r="E133" s="43" t="s">
        <v>155</v>
      </c>
      <c r="F133" s="43">
        <v>3</v>
      </c>
      <c r="G133" s="43">
        <v>2026</v>
      </c>
      <c r="H133" s="43"/>
      <c r="I133" s="43">
        <v>103.37</v>
      </c>
      <c r="J133" s="43" t="s">
        <v>121</v>
      </c>
      <c r="K133" s="43" t="s">
        <v>53</v>
      </c>
      <c r="L133" s="43" t="s">
        <v>60</v>
      </c>
      <c r="M133" s="43">
        <v>0</v>
      </c>
      <c r="N133" s="43">
        <v>0</v>
      </c>
      <c r="O133" s="43">
        <v>1</v>
      </c>
      <c r="P133" s="43">
        <v>0</v>
      </c>
      <c r="Q133" s="43">
        <v>0</v>
      </c>
      <c r="R133" s="43">
        <v>0</v>
      </c>
      <c r="S133" s="43">
        <v>1</v>
      </c>
      <c r="T133" s="43">
        <v>0</v>
      </c>
      <c r="U133" s="43">
        <v>0</v>
      </c>
      <c r="V133" s="43">
        <v>1</v>
      </c>
      <c r="W133" s="43" t="s">
        <v>304</v>
      </c>
      <c r="X133" s="43" t="s">
        <v>1963</v>
      </c>
      <c r="Y133" s="43">
        <v>0</v>
      </c>
      <c r="Z133" s="43">
        <v>0</v>
      </c>
      <c r="AA133" s="43">
        <v>2007</v>
      </c>
      <c r="AB133" s="43">
        <v>9999</v>
      </c>
      <c r="AC133" s="43" t="s">
        <v>35</v>
      </c>
    </row>
    <row r="134" spans="1:29" x14ac:dyDescent="0.25">
      <c r="A134" s="56" t="s">
        <v>698</v>
      </c>
      <c r="B134" s="39" t="s">
        <v>699</v>
      </c>
      <c r="C134" s="43"/>
      <c r="D134" s="43">
        <v>1</v>
      </c>
      <c r="E134" s="43" t="s">
        <v>155</v>
      </c>
      <c r="F134" s="43">
        <v>3</v>
      </c>
      <c r="G134" s="43">
        <v>2026</v>
      </c>
      <c r="H134" s="43" t="s">
        <v>700</v>
      </c>
      <c r="I134" s="43">
        <v>4.83</v>
      </c>
      <c r="J134" s="43" t="s">
        <v>121</v>
      </c>
      <c r="K134" s="43" t="s">
        <v>47</v>
      </c>
      <c r="L134" s="43"/>
      <c r="M134" s="43">
        <v>0</v>
      </c>
      <c r="N134" s="43">
        <v>0</v>
      </c>
      <c r="O134" s="43">
        <v>0</v>
      </c>
      <c r="P134" s="43">
        <v>0</v>
      </c>
      <c r="Q134" s="43">
        <v>0</v>
      </c>
      <c r="R134" s="43">
        <v>0</v>
      </c>
      <c r="S134" s="43">
        <v>1</v>
      </c>
      <c r="T134" s="43">
        <v>0</v>
      </c>
      <c r="U134" s="43">
        <v>0</v>
      </c>
      <c r="V134" s="43">
        <v>1</v>
      </c>
      <c r="W134" s="43" t="s">
        <v>1157</v>
      </c>
      <c r="X134" s="43" t="s">
        <v>1763</v>
      </c>
      <c r="Y134" s="43">
        <v>0</v>
      </c>
      <c r="Z134" s="43">
        <v>0</v>
      </c>
      <c r="AA134" s="43">
        <v>2007</v>
      </c>
      <c r="AB134" s="43">
        <v>9999</v>
      </c>
      <c r="AC134" s="43" t="s">
        <v>35</v>
      </c>
    </row>
    <row r="135" spans="1:29" x14ac:dyDescent="0.25">
      <c r="A135" s="56" t="s">
        <v>667</v>
      </c>
      <c r="B135" s="39" t="s">
        <v>1527</v>
      </c>
      <c r="C135" s="43"/>
      <c r="D135" s="43">
        <v>1</v>
      </c>
      <c r="E135" s="43" t="s">
        <v>45</v>
      </c>
      <c r="F135" s="43">
        <v>4</v>
      </c>
      <c r="G135" s="43">
        <v>2026</v>
      </c>
      <c r="H135" s="43"/>
      <c r="I135" s="43">
        <v>21.4</v>
      </c>
      <c r="J135" s="43" t="s">
        <v>121</v>
      </c>
      <c r="K135" s="43" t="s">
        <v>47</v>
      </c>
      <c r="L135" s="43"/>
      <c r="M135" s="43">
        <v>0</v>
      </c>
      <c r="N135" s="43">
        <v>0</v>
      </c>
      <c r="O135" s="43">
        <v>0</v>
      </c>
      <c r="P135" s="43">
        <v>0</v>
      </c>
      <c r="Q135" s="43">
        <v>0</v>
      </c>
      <c r="R135" s="43">
        <v>0</v>
      </c>
      <c r="S135" s="43">
        <v>1</v>
      </c>
      <c r="T135" s="43">
        <v>1</v>
      </c>
      <c r="U135" s="43">
        <v>1</v>
      </c>
      <c r="V135" s="43">
        <v>0</v>
      </c>
      <c r="W135" s="43" t="s">
        <v>1149</v>
      </c>
      <c r="X135" s="43" t="s">
        <v>1756</v>
      </c>
      <c r="Y135" s="43">
        <v>1</v>
      </c>
      <c r="Z135" s="43">
        <v>0</v>
      </c>
      <c r="AA135" s="43">
        <v>2007</v>
      </c>
      <c r="AB135" s="43">
        <v>9999</v>
      </c>
      <c r="AC135" s="43" t="s">
        <v>35</v>
      </c>
    </row>
    <row r="136" spans="1:29" x14ac:dyDescent="0.25">
      <c r="A136" s="56" t="s">
        <v>346</v>
      </c>
      <c r="B136" s="39" t="s">
        <v>347</v>
      </c>
      <c r="C136" s="43"/>
      <c r="D136" s="43">
        <v>1</v>
      </c>
      <c r="E136" s="43" t="s">
        <v>348</v>
      </c>
      <c r="F136" s="43">
        <v>1</v>
      </c>
      <c r="G136" s="43">
        <v>2026</v>
      </c>
      <c r="H136" s="43"/>
      <c r="I136" s="43">
        <v>54.2</v>
      </c>
      <c r="J136" s="43" t="s">
        <v>121</v>
      </c>
      <c r="K136" s="43" t="s">
        <v>47</v>
      </c>
      <c r="L136" s="43"/>
      <c r="M136" s="43">
        <v>0</v>
      </c>
      <c r="N136" s="43">
        <v>0</v>
      </c>
      <c r="O136" s="43">
        <v>0</v>
      </c>
      <c r="P136" s="43">
        <v>0</v>
      </c>
      <c r="Q136" s="43">
        <v>0</v>
      </c>
      <c r="R136" s="43">
        <v>0</v>
      </c>
      <c r="S136" s="43">
        <v>1</v>
      </c>
      <c r="T136" s="43">
        <v>1</v>
      </c>
      <c r="U136" s="43">
        <v>1</v>
      </c>
      <c r="V136" s="43">
        <v>0</v>
      </c>
      <c r="W136" s="43" t="s">
        <v>349</v>
      </c>
      <c r="X136" s="43" t="s">
        <v>1969</v>
      </c>
      <c r="Y136" s="43">
        <v>0</v>
      </c>
      <c r="Z136" s="43">
        <v>0</v>
      </c>
      <c r="AA136" s="43">
        <v>2007</v>
      </c>
      <c r="AB136" s="43">
        <v>9999</v>
      </c>
      <c r="AC136" s="43" t="s">
        <v>35</v>
      </c>
    </row>
    <row r="137" spans="1:29" x14ac:dyDescent="0.25">
      <c r="A137" s="56" t="s">
        <v>123</v>
      </c>
      <c r="B137" s="39" t="s">
        <v>124</v>
      </c>
      <c r="C137" s="43"/>
      <c r="D137" s="43">
        <v>1</v>
      </c>
      <c r="E137" s="43" t="s">
        <v>120</v>
      </c>
      <c r="F137" s="43">
        <v>3</v>
      </c>
      <c r="G137" s="43">
        <v>2026</v>
      </c>
      <c r="H137" s="43"/>
      <c r="I137" s="43">
        <v>72.5</v>
      </c>
      <c r="J137" s="43" t="s">
        <v>121</v>
      </c>
      <c r="K137" s="43" t="s">
        <v>47</v>
      </c>
      <c r="L137" s="43"/>
      <c r="M137" s="43">
        <v>0</v>
      </c>
      <c r="N137" s="43">
        <v>0</v>
      </c>
      <c r="O137" s="43">
        <v>0</v>
      </c>
      <c r="P137" s="43">
        <v>0</v>
      </c>
      <c r="Q137" s="43">
        <v>0</v>
      </c>
      <c r="R137" s="43">
        <v>0</v>
      </c>
      <c r="S137" s="43">
        <v>1</v>
      </c>
      <c r="T137" s="43">
        <v>1</v>
      </c>
      <c r="U137" s="43">
        <v>1</v>
      </c>
      <c r="V137" s="43">
        <v>0</v>
      </c>
      <c r="W137" s="43" t="s">
        <v>1042</v>
      </c>
      <c r="X137" s="43" t="s">
        <v>1944</v>
      </c>
      <c r="Y137" s="43">
        <v>2</v>
      </c>
      <c r="Z137" s="43">
        <v>0</v>
      </c>
      <c r="AA137" s="43">
        <v>2007</v>
      </c>
      <c r="AB137" s="43">
        <v>9999</v>
      </c>
      <c r="AC137" s="43" t="s">
        <v>35</v>
      </c>
    </row>
    <row r="138" spans="1:29" x14ac:dyDescent="0.25">
      <c r="A138" s="56" t="s">
        <v>140</v>
      </c>
      <c r="B138" s="39" t="s">
        <v>1595</v>
      </c>
      <c r="C138" s="43" t="s">
        <v>1582</v>
      </c>
      <c r="D138" s="43">
        <v>1</v>
      </c>
      <c r="E138" s="43" t="s">
        <v>45</v>
      </c>
      <c r="F138" s="43">
        <v>4</v>
      </c>
      <c r="G138" s="43">
        <v>2026</v>
      </c>
      <c r="H138" s="43"/>
      <c r="I138" s="43">
        <v>141.5</v>
      </c>
      <c r="J138" s="43" t="s">
        <v>121</v>
      </c>
      <c r="K138" s="43" t="s">
        <v>47</v>
      </c>
      <c r="L138" s="43"/>
      <c r="M138" s="43">
        <v>1</v>
      </c>
      <c r="N138" s="43">
        <v>0</v>
      </c>
      <c r="O138" s="43">
        <v>0</v>
      </c>
      <c r="P138" s="43">
        <v>0</v>
      </c>
      <c r="Q138" s="43">
        <v>0</v>
      </c>
      <c r="R138" s="43">
        <v>0</v>
      </c>
      <c r="S138" s="43">
        <v>1</v>
      </c>
      <c r="T138" s="43">
        <v>1</v>
      </c>
      <c r="U138" s="43">
        <v>1</v>
      </c>
      <c r="V138" s="43">
        <v>0</v>
      </c>
      <c r="W138" s="43" t="s">
        <v>1045</v>
      </c>
      <c r="X138" s="43" t="s">
        <v>1968</v>
      </c>
      <c r="Y138" s="43">
        <v>0</v>
      </c>
      <c r="Z138" s="43">
        <v>0</v>
      </c>
      <c r="AA138" s="43">
        <v>2007</v>
      </c>
      <c r="AB138" s="43">
        <v>9999</v>
      </c>
      <c r="AC138" s="43" t="s">
        <v>35</v>
      </c>
    </row>
    <row r="139" spans="1:29" x14ac:dyDescent="0.25">
      <c r="A139" s="56" t="s">
        <v>117</v>
      </c>
      <c r="B139" s="39" t="s">
        <v>118</v>
      </c>
      <c r="C139" s="43" t="s">
        <v>119</v>
      </c>
      <c r="D139" s="43">
        <v>1</v>
      </c>
      <c r="E139" s="43" t="s">
        <v>120</v>
      </c>
      <c r="F139" s="43">
        <v>3</v>
      </c>
      <c r="G139" s="43">
        <v>2026</v>
      </c>
      <c r="H139" s="43"/>
      <c r="I139" s="43">
        <v>192.5</v>
      </c>
      <c r="J139" s="43" t="s">
        <v>121</v>
      </c>
      <c r="K139" s="43" t="s">
        <v>47</v>
      </c>
      <c r="L139" s="43"/>
      <c r="M139" s="43">
        <v>1</v>
      </c>
      <c r="N139" s="43">
        <v>0</v>
      </c>
      <c r="O139" s="43">
        <v>0</v>
      </c>
      <c r="P139" s="43">
        <v>0</v>
      </c>
      <c r="Q139" s="43">
        <v>0</v>
      </c>
      <c r="R139" s="43">
        <v>0</v>
      </c>
      <c r="S139" s="43">
        <v>1</v>
      </c>
      <c r="T139" s="43">
        <v>1</v>
      </c>
      <c r="U139" s="43">
        <v>1</v>
      </c>
      <c r="V139" s="43">
        <v>0</v>
      </c>
      <c r="W139" s="43" t="s">
        <v>1521</v>
      </c>
      <c r="X139" s="43" t="s">
        <v>1853</v>
      </c>
      <c r="Y139" s="43">
        <v>0</v>
      </c>
      <c r="Z139" s="43">
        <v>1</v>
      </c>
      <c r="AA139" s="43">
        <v>2007</v>
      </c>
      <c r="AB139" s="43">
        <v>9999</v>
      </c>
      <c r="AC139" s="43" t="s">
        <v>35</v>
      </c>
    </row>
    <row r="140" spans="1:29" x14ac:dyDescent="0.25">
      <c r="A140" s="56" t="s">
        <v>153</v>
      </c>
      <c r="B140" s="39" t="s">
        <v>154</v>
      </c>
      <c r="C140" s="43"/>
      <c r="D140" s="43">
        <v>1</v>
      </c>
      <c r="E140" s="43" t="s">
        <v>155</v>
      </c>
      <c r="F140" s="43">
        <v>3</v>
      </c>
      <c r="G140" s="43">
        <v>2026</v>
      </c>
      <c r="H140" s="43"/>
      <c r="I140" s="43">
        <v>412.2</v>
      </c>
      <c r="J140" s="43" t="s">
        <v>121</v>
      </c>
      <c r="K140" s="43" t="s">
        <v>47</v>
      </c>
      <c r="L140" s="43"/>
      <c r="M140" s="43">
        <v>1</v>
      </c>
      <c r="N140" s="43">
        <v>0</v>
      </c>
      <c r="O140" s="43">
        <v>0</v>
      </c>
      <c r="P140" s="43">
        <v>0</v>
      </c>
      <c r="Q140" s="43">
        <v>0</v>
      </c>
      <c r="R140" s="43">
        <v>0</v>
      </c>
      <c r="S140" s="43">
        <v>1</v>
      </c>
      <c r="T140" s="43">
        <v>1</v>
      </c>
      <c r="U140" s="43">
        <v>1</v>
      </c>
      <c r="V140" s="43">
        <v>1</v>
      </c>
      <c r="W140" s="43" t="s">
        <v>1047</v>
      </c>
      <c r="X140" s="43" t="s">
        <v>1946</v>
      </c>
      <c r="Y140" s="43">
        <v>0</v>
      </c>
      <c r="Z140" s="43">
        <v>0</v>
      </c>
      <c r="AA140" s="43">
        <v>2007</v>
      </c>
      <c r="AB140" s="43">
        <v>9999</v>
      </c>
      <c r="AC140" s="43" t="s">
        <v>35</v>
      </c>
    </row>
    <row r="141" spans="1:29" x14ac:dyDescent="0.25">
      <c r="A141" s="56" t="s">
        <v>159</v>
      </c>
      <c r="B141" s="39" t="s">
        <v>160</v>
      </c>
      <c r="C141" s="43" t="s">
        <v>2054</v>
      </c>
      <c r="D141" s="43">
        <v>1</v>
      </c>
      <c r="E141" s="43" t="s">
        <v>155</v>
      </c>
      <c r="F141" s="43">
        <v>3</v>
      </c>
      <c r="G141" s="43">
        <v>2026</v>
      </c>
      <c r="H141" s="43"/>
      <c r="I141" s="43">
        <v>489.6</v>
      </c>
      <c r="J141" s="43" t="s">
        <v>121</v>
      </c>
      <c r="K141" s="43" t="s">
        <v>47</v>
      </c>
      <c r="L141" s="43"/>
      <c r="M141" s="43">
        <v>1</v>
      </c>
      <c r="N141" s="43">
        <v>0</v>
      </c>
      <c r="O141" s="43">
        <v>0</v>
      </c>
      <c r="P141" s="43">
        <v>0</v>
      </c>
      <c r="Q141" s="43">
        <v>0</v>
      </c>
      <c r="R141" s="43">
        <v>0</v>
      </c>
      <c r="S141" s="43">
        <v>1</v>
      </c>
      <c r="T141" s="43">
        <v>1</v>
      </c>
      <c r="U141" s="43">
        <v>1</v>
      </c>
      <c r="V141" s="43">
        <v>0</v>
      </c>
      <c r="W141" s="43" t="s">
        <v>1515</v>
      </c>
      <c r="X141" s="43" t="s">
        <v>1947</v>
      </c>
      <c r="Y141" s="43">
        <v>0</v>
      </c>
      <c r="Z141" s="43">
        <v>0</v>
      </c>
      <c r="AA141" s="43">
        <v>2007</v>
      </c>
      <c r="AB141" s="43">
        <v>9999</v>
      </c>
      <c r="AC141" s="43" t="s">
        <v>35</v>
      </c>
    </row>
    <row r="142" spans="1:29" x14ac:dyDescent="0.25">
      <c r="A142" s="56" t="s">
        <v>706</v>
      </c>
      <c r="B142" s="39" t="s">
        <v>707</v>
      </c>
      <c r="C142" s="43" t="s">
        <v>708</v>
      </c>
      <c r="D142" s="43">
        <v>1</v>
      </c>
      <c r="E142" s="43" t="s">
        <v>155</v>
      </c>
      <c r="F142" s="43">
        <v>3</v>
      </c>
      <c r="G142" s="43">
        <v>2026</v>
      </c>
      <c r="H142" s="43"/>
      <c r="I142" s="43">
        <v>519.6</v>
      </c>
      <c r="J142" s="43" t="s">
        <v>121</v>
      </c>
      <c r="K142" s="43" t="s">
        <v>47</v>
      </c>
      <c r="L142" s="43"/>
      <c r="M142" s="43">
        <v>1</v>
      </c>
      <c r="N142" s="43">
        <v>0</v>
      </c>
      <c r="O142" s="43">
        <v>0</v>
      </c>
      <c r="P142" s="43">
        <v>0</v>
      </c>
      <c r="Q142" s="43">
        <v>0</v>
      </c>
      <c r="R142" s="43">
        <v>0</v>
      </c>
      <c r="S142" s="43">
        <v>1</v>
      </c>
      <c r="T142" s="43">
        <v>1</v>
      </c>
      <c r="U142" s="43">
        <v>1</v>
      </c>
      <c r="V142" s="43">
        <v>0</v>
      </c>
      <c r="W142" s="43" t="s">
        <v>1159</v>
      </c>
      <c r="X142" s="43" t="s">
        <v>2017</v>
      </c>
      <c r="Y142" s="43">
        <v>0</v>
      </c>
      <c r="Z142" s="43">
        <v>0</v>
      </c>
      <c r="AA142" s="43">
        <v>2007</v>
      </c>
      <c r="AB142" s="43">
        <v>9999</v>
      </c>
      <c r="AC142" s="43" t="s">
        <v>35</v>
      </c>
    </row>
    <row r="143" spans="1:29" x14ac:dyDescent="0.25">
      <c r="A143" s="56" t="s">
        <v>1008</v>
      </c>
      <c r="B143" s="39" t="s">
        <v>1009</v>
      </c>
      <c r="C143" s="43"/>
      <c r="D143" s="43">
        <v>1</v>
      </c>
      <c r="E143" s="43" t="s">
        <v>155</v>
      </c>
      <c r="F143" s="43">
        <v>3</v>
      </c>
      <c r="G143" s="43">
        <v>2026</v>
      </c>
      <c r="H143" s="43"/>
      <c r="I143" s="43">
        <v>1348.4</v>
      </c>
      <c r="J143" s="43" t="s">
        <v>121</v>
      </c>
      <c r="K143" s="43" t="s">
        <v>47</v>
      </c>
      <c r="L143" s="43"/>
      <c r="M143" s="43">
        <v>1</v>
      </c>
      <c r="N143" s="43">
        <v>0</v>
      </c>
      <c r="O143" s="43">
        <v>0</v>
      </c>
      <c r="P143" s="43">
        <v>0</v>
      </c>
      <c r="Q143" s="43">
        <v>0</v>
      </c>
      <c r="R143" s="43">
        <v>0</v>
      </c>
      <c r="S143" s="43">
        <v>1</v>
      </c>
      <c r="T143" s="43">
        <v>1</v>
      </c>
      <c r="U143" s="43">
        <v>1</v>
      </c>
      <c r="V143" s="43">
        <v>0</v>
      </c>
      <c r="W143" s="43" t="s">
        <v>1519</v>
      </c>
      <c r="X143" s="43" t="s">
        <v>2041</v>
      </c>
      <c r="Y143" s="43">
        <v>0</v>
      </c>
      <c r="Z143" s="43">
        <v>1</v>
      </c>
      <c r="AA143" s="43">
        <v>2007</v>
      </c>
      <c r="AB143" s="43">
        <v>9999</v>
      </c>
      <c r="AC143" s="43" t="s">
        <v>35</v>
      </c>
    </row>
    <row r="144" spans="1:29" x14ac:dyDescent="0.25">
      <c r="A144" s="56" t="s">
        <v>532</v>
      </c>
      <c r="B144" s="39" t="s">
        <v>533</v>
      </c>
      <c r="C144" s="43"/>
      <c r="D144" s="43">
        <v>1</v>
      </c>
      <c r="E144" s="43" t="s">
        <v>534</v>
      </c>
      <c r="F144" s="43">
        <v>10</v>
      </c>
      <c r="G144" s="43">
        <v>2026</v>
      </c>
      <c r="H144" s="43"/>
      <c r="I144" s="43">
        <v>5295.8</v>
      </c>
      <c r="J144" s="43" t="s">
        <v>121</v>
      </c>
      <c r="K144" s="43" t="s">
        <v>47</v>
      </c>
      <c r="L144" s="43"/>
      <c r="M144" s="43">
        <v>1</v>
      </c>
      <c r="N144" s="43">
        <v>1</v>
      </c>
      <c r="O144" s="43">
        <v>0</v>
      </c>
      <c r="P144" s="43">
        <v>0</v>
      </c>
      <c r="Q144" s="43">
        <v>0</v>
      </c>
      <c r="R144" s="43">
        <v>0</v>
      </c>
      <c r="S144" s="43">
        <v>1</v>
      </c>
      <c r="T144" s="43">
        <v>1</v>
      </c>
      <c r="U144" s="43">
        <v>1</v>
      </c>
      <c r="V144" s="43">
        <v>0</v>
      </c>
      <c r="W144" s="43" t="s">
        <v>1575</v>
      </c>
      <c r="X144" s="43" t="s">
        <v>2001</v>
      </c>
      <c r="Y144" s="43">
        <v>0</v>
      </c>
      <c r="Z144" s="43">
        <v>1</v>
      </c>
      <c r="AA144" s="43">
        <v>2007</v>
      </c>
      <c r="AB144" s="43">
        <v>9999</v>
      </c>
      <c r="AC144" s="43" t="s">
        <v>35</v>
      </c>
    </row>
    <row r="145" spans="1:29" x14ac:dyDescent="0.25">
      <c r="A145" s="56" t="s">
        <v>391</v>
      </c>
      <c r="B145" s="39" t="s">
        <v>392</v>
      </c>
      <c r="C145" s="43"/>
      <c r="D145" s="43">
        <v>1</v>
      </c>
      <c r="E145" s="43" t="s">
        <v>393</v>
      </c>
      <c r="F145" s="43">
        <v>3</v>
      </c>
      <c r="G145" s="43">
        <v>2026</v>
      </c>
      <c r="H145" s="43"/>
      <c r="I145" s="43">
        <v>18465.8</v>
      </c>
      <c r="J145" s="43" t="s">
        <v>121</v>
      </c>
      <c r="K145" s="43" t="s">
        <v>47</v>
      </c>
      <c r="L145" s="43"/>
      <c r="M145" s="43">
        <v>1</v>
      </c>
      <c r="N145" s="43">
        <v>1</v>
      </c>
      <c r="O145" s="43">
        <v>0</v>
      </c>
      <c r="P145" s="43">
        <v>0</v>
      </c>
      <c r="Q145" s="43">
        <v>0</v>
      </c>
      <c r="R145" s="43">
        <v>0</v>
      </c>
      <c r="S145" s="43">
        <v>1</v>
      </c>
      <c r="T145" s="43">
        <v>1</v>
      </c>
      <c r="U145" s="43">
        <v>1</v>
      </c>
      <c r="V145" s="43">
        <v>0</v>
      </c>
      <c r="W145" s="43" t="s">
        <v>1703</v>
      </c>
      <c r="X145" s="43" t="s">
        <v>1704</v>
      </c>
      <c r="Y145" s="43">
        <v>0</v>
      </c>
      <c r="Z145" s="43">
        <v>0</v>
      </c>
      <c r="AA145" s="43">
        <v>2007</v>
      </c>
      <c r="AB145" s="43">
        <v>9999</v>
      </c>
      <c r="AC145" s="43" t="s">
        <v>35</v>
      </c>
    </row>
    <row r="146" spans="1:29" x14ac:dyDescent="0.25">
      <c r="A146" s="56" t="s">
        <v>472</v>
      </c>
      <c r="B146" s="39" t="s">
        <v>1490</v>
      </c>
      <c r="C146" s="43"/>
      <c r="D146" s="43">
        <v>1</v>
      </c>
      <c r="E146" s="43" t="s">
        <v>681</v>
      </c>
      <c r="F146" s="43">
        <v>3</v>
      </c>
      <c r="G146" s="43">
        <v>2026</v>
      </c>
      <c r="H146" s="43"/>
      <c r="I146" s="43">
        <v>34752.6</v>
      </c>
      <c r="J146" s="43" t="s">
        <v>121</v>
      </c>
      <c r="K146" s="43" t="s">
        <v>47</v>
      </c>
      <c r="L146" s="43"/>
      <c r="M146" s="43">
        <v>1</v>
      </c>
      <c r="N146" s="43">
        <v>0</v>
      </c>
      <c r="O146" s="43">
        <v>0</v>
      </c>
      <c r="P146" s="43">
        <v>0</v>
      </c>
      <c r="Q146" s="43">
        <v>0</v>
      </c>
      <c r="R146" s="43">
        <v>0</v>
      </c>
      <c r="S146" s="43">
        <v>1</v>
      </c>
      <c r="T146" s="43">
        <v>1</v>
      </c>
      <c r="U146" s="43">
        <v>1</v>
      </c>
      <c r="V146" s="43">
        <v>0</v>
      </c>
      <c r="W146" s="43" t="s">
        <v>1619</v>
      </c>
      <c r="X146" s="43" t="s">
        <v>2012</v>
      </c>
      <c r="Y146" s="43">
        <v>0</v>
      </c>
      <c r="Z146" s="43">
        <v>9</v>
      </c>
      <c r="AA146" s="43">
        <v>2007</v>
      </c>
      <c r="AB146" s="43">
        <v>9999</v>
      </c>
      <c r="AC146" s="43" t="s">
        <v>35</v>
      </c>
    </row>
    <row r="147" spans="1:29" x14ac:dyDescent="0.25">
      <c r="A147" s="56" t="s">
        <v>933</v>
      </c>
      <c r="B147" s="39" t="s">
        <v>934</v>
      </c>
      <c r="C147" s="43" t="s">
        <v>935</v>
      </c>
      <c r="D147" s="43">
        <v>1</v>
      </c>
      <c r="E147" s="43" t="s">
        <v>681</v>
      </c>
      <c r="F147" s="43">
        <v>3</v>
      </c>
      <c r="G147" s="43">
        <v>2026</v>
      </c>
      <c r="H147" s="43"/>
      <c r="I147" s="43"/>
      <c r="J147" s="43" t="s">
        <v>121</v>
      </c>
      <c r="K147" s="43" t="s">
        <v>47</v>
      </c>
      <c r="L147" s="43"/>
      <c r="M147" s="43">
        <v>1</v>
      </c>
      <c r="N147" s="43">
        <v>0</v>
      </c>
      <c r="O147" s="43">
        <v>0</v>
      </c>
      <c r="P147" s="43">
        <v>0</v>
      </c>
      <c r="Q147" s="43">
        <v>0</v>
      </c>
      <c r="R147" s="43">
        <v>0</v>
      </c>
      <c r="S147" s="43">
        <v>1</v>
      </c>
      <c r="T147" s="43">
        <v>1</v>
      </c>
      <c r="U147" s="43">
        <v>1</v>
      </c>
      <c r="V147" s="43">
        <v>0</v>
      </c>
      <c r="W147" s="43" t="s">
        <v>1620</v>
      </c>
      <c r="X147" s="43" t="s">
        <v>2034</v>
      </c>
      <c r="Y147" s="43">
        <v>0</v>
      </c>
      <c r="Z147" s="43">
        <v>0</v>
      </c>
      <c r="AA147" s="43">
        <v>2007</v>
      </c>
      <c r="AB147" s="43">
        <v>9999</v>
      </c>
      <c r="AC147" s="43" t="s">
        <v>35</v>
      </c>
    </row>
    <row r="148" spans="1:29" x14ac:dyDescent="0.25">
      <c r="A148" s="56" t="s">
        <v>153</v>
      </c>
      <c r="B148" s="39" t="s">
        <v>270</v>
      </c>
      <c r="C148" s="43"/>
      <c r="D148" s="43">
        <v>6</v>
      </c>
      <c r="E148" s="43" t="s">
        <v>155</v>
      </c>
      <c r="F148" s="43">
        <v>3</v>
      </c>
      <c r="G148" s="43">
        <v>2026</v>
      </c>
      <c r="H148" s="43"/>
      <c r="I148" s="43">
        <v>864.49</v>
      </c>
      <c r="J148" s="43" t="s">
        <v>121</v>
      </c>
      <c r="K148" s="43" t="s">
        <v>53</v>
      </c>
      <c r="L148" s="43" t="s">
        <v>60</v>
      </c>
      <c r="M148" s="43">
        <v>0</v>
      </c>
      <c r="N148" s="43">
        <v>0</v>
      </c>
      <c r="O148" s="43">
        <v>1</v>
      </c>
      <c r="P148" s="43">
        <v>0</v>
      </c>
      <c r="Q148" s="43">
        <v>0</v>
      </c>
      <c r="R148" s="43">
        <v>0</v>
      </c>
      <c r="S148" s="43">
        <v>1</v>
      </c>
      <c r="T148" s="43">
        <v>0</v>
      </c>
      <c r="U148" s="43">
        <v>0</v>
      </c>
      <c r="V148" s="43">
        <v>1</v>
      </c>
      <c r="W148" s="43" t="s">
        <v>271</v>
      </c>
      <c r="X148" s="43" t="s">
        <v>1961</v>
      </c>
      <c r="Y148" s="43">
        <v>0</v>
      </c>
      <c r="Z148" s="43">
        <v>0</v>
      </c>
      <c r="AA148" s="43">
        <v>2007</v>
      </c>
      <c r="AB148" s="43">
        <v>9999</v>
      </c>
      <c r="AC148" s="43" t="s">
        <v>35</v>
      </c>
    </row>
    <row r="149" spans="1:29" x14ac:dyDescent="0.25">
      <c r="A149" s="56" t="s">
        <v>153</v>
      </c>
      <c r="B149" s="39" t="s">
        <v>1356</v>
      </c>
      <c r="C149" s="43"/>
      <c r="D149" s="43">
        <v>12</v>
      </c>
      <c r="E149" s="43" t="s">
        <v>155</v>
      </c>
      <c r="F149" s="43">
        <v>3</v>
      </c>
      <c r="G149" s="43">
        <v>2026</v>
      </c>
      <c r="H149" s="43"/>
      <c r="I149" s="43">
        <v>1344.89</v>
      </c>
      <c r="J149" s="43" t="s">
        <v>121</v>
      </c>
      <c r="K149" s="43" t="s">
        <v>53</v>
      </c>
      <c r="L149" s="43" t="s">
        <v>60</v>
      </c>
      <c r="M149" s="43">
        <v>0</v>
      </c>
      <c r="N149" s="43">
        <v>0</v>
      </c>
      <c r="O149" s="43">
        <v>1</v>
      </c>
      <c r="P149" s="43">
        <v>0</v>
      </c>
      <c r="Q149" s="43">
        <v>0</v>
      </c>
      <c r="R149" s="43">
        <v>0</v>
      </c>
      <c r="S149" s="43">
        <v>1</v>
      </c>
      <c r="T149" s="43">
        <v>0</v>
      </c>
      <c r="U149" s="43">
        <v>0</v>
      </c>
      <c r="V149" s="43">
        <v>1</v>
      </c>
      <c r="W149" s="43" t="s">
        <v>477</v>
      </c>
      <c r="X149" s="43" t="s">
        <v>1958</v>
      </c>
      <c r="Y149" s="43">
        <v>0</v>
      </c>
      <c r="Z149" s="43">
        <v>0</v>
      </c>
      <c r="AA149" s="43">
        <v>2007</v>
      </c>
      <c r="AB149" s="43">
        <v>9999</v>
      </c>
      <c r="AC149" s="43" t="s">
        <v>35</v>
      </c>
    </row>
    <row r="150" spans="1:29" x14ac:dyDescent="0.25">
      <c r="A150" s="56" t="s">
        <v>1509</v>
      </c>
      <c r="B150" s="39" t="s">
        <v>946</v>
      </c>
      <c r="C150" s="43"/>
      <c r="D150" s="43">
        <v>48</v>
      </c>
      <c r="E150" s="43" t="s">
        <v>155</v>
      </c>
      <c r="F150" s="43">
        <v>3</v>
      </c>
      <c r="G150" s="43">
        <v>2026</v>
      </c>
      <c r="H150" s="43"/>
      <c r="I150" s="43">
        <v>3227.76</v>
      </c>
      <c r="J150" s="43" t="s">
        <v>121</v>
      </c>
      <c r="K150" s="43" t="s">
        <v>53</v>
      </c>
      <c r="L150" s="43" t="s">
        <v>60</v>
      </c>
      <c r="M150" s="43">
        <v>0</v>
      </c>
      <c r="N150" s="43">
        <v>0</v>
      </c>
      <c r="O150" s="43">
        <v>1</v>
      </c>
      <c r="P150" s="43">
        <v>0</v>
      </c>
      <c r="Q150" s="43">
        <v>0</v>
      </c>
      <c r="R150" s="43">
        <v>0</v>
      </c>
      <c r="S150" s="43">
        <v>1</v>
      </c>
      <c r="T150" s="43">
        <v>0</v>
      </c>
      <c r="U150" s="43">
        <v>0</v>
      </c>
      <c r="V150" s="43">
        <v>1</v>
      </c>
      <c r="W150" s="43" t="s">
        <v>947</v>
      </c>
      <c r="X150" s="43" t="s">
        <v>2037</v>
      </c>
      <c r="Y150" s="43">
        <v>0</v>
      </c>
      <c r="Z150" s="43">
        <v>0</v>
      </c>
      <c r="AA150" s="43">
        <v>2007</v>
      </c>
      <c r="AB150" s="43">
        <v>9999</v>
      </c>
      <c r="AC150" s="43" t="s">
        <v>35</v>
      </c>
    </row>
    <row r="151" spans="1:29" x14ac:dyDescent="0.25">
      <c r="A151" s="56" t="s">
        <v>601</v>
      </c>
      <c r="B151" s="39" t="s">
        <v>602</v>
      </c>
      <c r="C151" s="43"/>
      <c r="D151" s="43">
        <v>1</v>
      </c>
      <c r="E151" s="43" t="s">
        <v>145</v>
      </c>
      <c r="F151" s="43">
        <v>2</v>
      </c>
      <c r="G151" s="43">
        <v>2026</v>
      </c>
      <c r="H151" s="43" t="s">
        <v>1618</v>
      </c>
      <c r="I151" s="43">
        <v>2.5000000000000001E-2</v>
      </c>
      <c r="J151" s="43" t="s">
        <v>1610</v>
      </c>
      <c r="K151" s="43" t="s">
        <v>41</v>
      </c>
      <c r="L151" s="43"/>
      <c r="M151" s="43">
        <v>0</v>
      </c>
      <c r="N151" s="43">
        <v>0</v>
      </c>
      <c r="O151" s="43">
        <v>0</v>
      </c>
      <c r="P151" s="43">
        <v>0</v>
      </c>
      <c r="Q151" s="43">
        <v>0</v>
      </c>
      <c r="R151" s="43">
        <v>0</v>
      </c>
      <c r="S151" s="43">
        <v>0</v>
      </c>
      <c r="T151" s="43">
        <v>0</v>
      </c>
      <c r="U151" s="43">
        <v>0</v>
      </c>
      <c r="V151" s="43">
        <v>0</v>
      </c>
      <c r="W151" s="43" t="s">
        <v>1137</v>
      </c>
      <c r="X151" s="43" t="s">
        <v>1748</v>
      </c>
      <c r="Y151" s="43">
        <v>0</v>
      </c>
      <c r="Z151" s="43">
        <v>0</v>
      </c>
      <c r="AA151" s="43">
        <v>2007</v>
      </c>
      <c r="AB151" s="43">
        <v>9999</v>
      </c>
      <c r="AC151" s="43" t="s">
        <v>35</v>
      </c>
    </row>
    <row r="152" spans="1:29" x14ac:dyDescent="0.25">
      <c r="A152" s="56">
        <v>2021006735</v>
      </c>
      <c r="B152" s="39" t="s">
        <v>1869</v>
      </c>
      <c r="C152" s="43"/>
      <c r="D152" s="43">
        <v>1</v>
      </c>
      <c r="E152" s="43" t="s">
        <v>38</v>
      </c>
      <c r="F152" s="43">
        <v>4</v>
      </c>
      <c r="G152" s="43">
        <v>2026</v>
      </c>
      <c r="H152" s="43"/>
      <c r="I152" s="43">
        <v>0.1</v>
      </c>
      <c r="J152" s="43" t="s">
        <v>1610</v>
      </c>
      <c r="K152" s="43" t="s">
        <v>41</v>
      </c>
      <c r="L152" s="43"/>
      <c r="M152" s="43">
        <v>0</v>
      </c>
      <c r="N152" s="43">
        <v>0</v>
      </c>
      <c r="O152" s="43">
        <v>0</v>
      </c>
      <c r="P152" s="43">
        <v>0</v>
      </c>
      <c r="Q152" s="43">
        <v>0</v>
      </c>
      <c r="R152" s="43">
        <v>0</v>
      </c>
      <c r="S152" s="43">
        <v>0</v>
      </c>
      <c r="T152" s="43">
        <v>0</v>
      </c>
      <c r="U152" s="43">
        <v>0</v>
      </c>
      <c r="V152" s="43">
        <v>0</v>
      </c>
      <c r="W152" s="43" t="s">
        <v>1114</v>
      </c>
      <c r="X152" s="43" t="s">
        <v>1712</v>
      </c>
      <c r="Y152" s="43">
        <v>0</v>
      </c>
      <c r="Z152" s="43">
        <v>0</v>
      </c>
      <c r="AA152" s="43">
        <v>2007</v>
      </c>
      <c r="AB152" s="43">
        <v>9999</v>
      </c>
      <c r="AC152" s="43" t="s">
        <v>35</v>
      </c>
    </row>
    <row r="153" spans="1:29" x14ac:dyDescent="0.25">
      <c r="A153" s="56">
        <v>2021006743</v>
      </c>
      <c r="B153" s="39" t="s">
        <v>1870</v>
      </c>
      <c r="C153" s="43"/>
      <c r="D153" s="43">
        <v>1</v>
      </c>
      <c r="E153" s="43" t="s">
        <v>38</v>
      </c>
      <c r="F153" s="43">
        <v>4</v>
      </c>
      <c r="G153" s="43">
        <v>2026</v>
      </c>
      <c r="H153" s="43"/>
      <c r="I153" s="43">
        <v>0.2</v>
      </c>
      <c r="J153" s="43" t="s">
        <v>1610</v>
      </c>
      <c r="K153" s="43" t="s">
        <v>41</v>
      </c>
      <c r="L153" s="43"/>
      <c r="M153" s="43">
        <v>0</v>
      </c>
      <c r="N153" s="43">
        <v>0</v>
      </c>
      <c r="O153" s="43">
        <v>0</v>
      </c>
      <c r="P153" s="43">
        <v>0</v>
      </c>
      <c r="Q153" s="43">
        <v>0</v>
      </c>
      <c r="R153" s="43">
        <v>0</v>
      </c>
      <c r="S153" s="43">
        <v>0</v>
      </c>
      <c r="T153" s="43">
        <v>0</v>
      </c>
      <c r="U153" s="43">
        <v>0</v>
      </c>
      <c r="V153" s="43">
        <v>0</v>
      </c>
      <c r="W153" s="43" t="s">
        <v>1114</v>
      </c>
      <c r="X153" s="43" t="s">
        <v>1712</v>
      </c>
      <c r="Y153" s="43">
        <v>0</v>
      </c>
      <c r="Z153" s="43">
        <v>0</v>
      </c>
      <c r="AA153" s="43">
        <v>2007</v>
      </c>
      <c r="AB153" s="43">
        <v>9999</v>
      </c>
      <c r="AC153" s="43" t="s">
        <v>35</v>
      </c>
    </row>
    <row r="154" spans="1:29" x14ac:dyDescent="0.25">
      <c r="A154" s="56">
        <v>2021006750</v>
      </c>
      <c r="B154" s="39" t="s">
        <v>1871</v>
      </c>
      <c r="C154" s="43"/>
      <c r="D154" s="43">
        <v>1</v>
      </c>
      <c r="E154" s="43" t="s">
        <v>38</v>
      </c>
      <c r="F154" s="43">
        <v>4</v>
      </c>
      <c r="G154" s="43">
        <v>2026</v>
      </c>
      <c r="H154" s="43"/>
      <c r="I154" s="43">
        <v>0.2</v>
      </c>
      <c r="J154" s="43" t="s">
        <v>1610</v>
      </c>
      <c r="K154" s="43" t="s">
        <v>41</v>
      </c>
      <c r="L154" s="43"/>
      <c r="M154" s="43">
        <v>0</v>
      </c>
      <c r="N154" s="43">
        <v>0</v>
      </c>
      <c r="O154" s="43">
        <v>0</v>
      </c>
      <c r="P154" s="43">
        <v>0</v>
      </c>
      <c r="Q154" s="43">
        <v>0</v>
      </c>
      <c r="R154" s="43">
        <v>0</v>
      </c>
      <c r="S154" s="43">
        <v>0</v>
      </c>
      <c r="T154" s="43">
        <v>0</v>
      </c>
      <c r="U154" s="43">
        <v>0</v>
      </c>
      <c r="V154" s="43">
        <v>0</v>
      </c>
      <c r="W154" s="43" t="s">
        <v>1114</v>
      </c>
      <c r="X154" s="43" t="s">
        <v>1712</v>
      </c>
      <c r="Y154" s="43">
        <v>0</v>
      </c>
      <c r="Z154" s="43">
        <v>0</v>
      </c>
      <c r="AA154" s="43">
        <v>2007</v>
      </c>
      <c r="AB154" s="43">
        <v>9999</v>
      </c>
      <c r="AC154" s="43" t="s">
        <v>35</v>
      </c>
    </row>
    <row r="155" spans="1:29" x14ac:dyDescent="0.25">
      <c r="A155" s="56" t="s">
        <v>420</v>
      </c>
      <c r="B155" s="39" t="s">
        <v>421</v>
      </c>
      <c r="C155" s="43"/>
      <c r="D155" s="43">
        <v>1</v>
      </c>
      <c r="E155" s="43" t="s">
        <v>38</v>
      </c>
      <c r="F155" s="43">
        <v>4</v>
      </c>
      <c r="G155" s="43">
        <v>2026</v>
      </c>
      <c r="H155" s="43" t="s">
        <v>39</v>
      </c>
      <c r="I155" s="43">
        <v>5.9</v>
      </c>
      <c r="J155" s="43" t="s">
        <v>1610</v>
      </c>
      <c r="K155" s="43" t="s">
        <v>32</v>
      </c>
      <c r="L155" s="43"/>
      <c r="M155" s="43">
        <v>0</v>
      </c>
      <c r="N155" s="43">
        <v>0</v>
      </c>
      <c r="O155" s="43">
        <v>0</v>
      </c>
      <c r="P155" s="43">
        <v>0</v>
      </c>
      <c r="Q155" s="43">
        <v>0</v>
      </c>
      <c r="R155" s="43">
        <v>0</v>
      </c>
      <c r="S155" s="43">
        <v>0</v>
      </c>
      <c r="T155" s="43">
        <v>1</v>
      </c>
      <c r="U155" s="43">
        <v>0</v>
      </c>
      <c r="V155" s="43">
        <v>0</v>
      </c>
      <c r="W155" s="43" t="s">
        <v>1108</v>
      </c>
      <c r="X155" s="43" t="s">
        <v>1708</v>
      </c>
      <c r="Y155" s="43">
        <v>0</v>
      </c>
      <c r="Z155" s="43">
        <v>0</v>
      </c>
      <c r="AA155" s="43">
        <v>2007</v>
      </c>
      <c r="AB155" s="43">
        <v>9999</v>
      </c>
      <c r="AC155" s="43" t="s">
        <v>35</v>
      </c>
    </row>
    <row r="156" spans="1:29" x14ac:dyDescent="0.25">
      <c r="A156" s="56" t="s">
        <v>170</v>
      </c>
      <c r="B156" s="39" t="s">
        <v>171</v>
      </c>
      <c r="C156" s="43"/>
      <c r="D156" s="43">
        <v>1</v>
      </c>
      <c r="E156" s="43" t="s">
        <v>30</v>
      </c>
      <c r="F156" s="43">
        <v>4</v>
      </c>
      <c r="G156" s="43">
        <v>2026</v>
      </c>
      <c r="H156" s="43"/>
      <c r="I156" s="43">
        <v>52.6</v>
      </c>
      <c r="J156" s="43" t="s">
        <v>1610</v>
      </c>
      <c r="K156" s="43" t="s">
        <v>47</v>
      </c>
      <c r="L156" s="43"/>
      <c r="M156" s="43">
        <v>0</v>
      </c>
      <c r="N156" s="43">
        <v>0</v>
      </c>
      <c r="O156" s="43">
        <v>0</v>
      </c>
      <c r="P156" s="43">
        <v>0</v>
      </c>
      <c r="Q156" s="43">
        <v>0</v>
      </c>
      <c r="R156" s="43">
        <v>0</v>
      </c>
      <c r="S156" s="43">
        <v>1</v>
      </c>
      <c r="T156" s="43">
        <v>1</v>
      </c>
      <c r="U156" s="43">
        <v>1</v>
      </c>
      <c r="V156" s="43">
        <v>0</v>
      </c>
      <c r="W156" s="43" t="s">
        <v>1050</v>
      </c>
      <c r="X156" s="43" t="s">
        <v>1648</v>
      </c>
      <c r="Y156" s="43">
        <v>0</v>
      </c>
      <c r="Z156" s="43">
        <v>1</v>
      </c>
      <c r="AA156" s="43">
        <v>2007</v>
      </c>
      <c r="AB156" s="43">
        <v>9999</v>
      </c>
      <c r="AC156" s="43" t="s">
        <v>35</v>
      </c>
    </row>
    <row r="157" spans="1:29" x14ac:dyDescent="0.25">
      <c r="A157" s="56" t="s">
        <v>782</v>
      </c>
      <c r="B157" s="39" t="s">
        <v>783</v>
      </c>
      <c r="C157" s="43"/>
      <c r="D157" s="43">
        <v>1</v>
      </c>
      <c r="E157" s="43" t="s">
        <v>784</v>
      </c>
      <c r="F157" s="43">
        <v>6</v>
      </c>
      <c r="G157" s="43">
        <v>2026</v>
      </c>
      <c r="H157" s="43"/>
      <c r="I157" s="43">
        <v>92.4</v>
      </c>
      <c r="J157" s="43" t="s">
        <v>1610</v>
      </c>
      <c r="K157" s="43" t="s">
        <v>47</v>
      </c>
      <c r="L157" s="43"/>
      <c r="M157" s="43">
        <v>0</v>
      </c>
      <c r="N157" s="43">
        <v>0</v>
      </c>
      <c r="O157" s="43">
        <v>0</v>
      </c>
      <c r="P157" s="43">
        <v>0</v>
      </c>
      <c r="Q157" s="43">
        <v>0</v>
      </c>
      <c r="R157" s="43">
        <v>0</v>
      </c>
      <c r="S157" s="43">
        <v>1</v>
      </c>
      <c r="T157" s="43">
        <v>1</v>
      </c>
      <c r="U157" s="43">
        <v>1</v>
      </c>
      <c r="V157" s="43">
        <v>0</v>
      </c>
      <c r="W157" s="43" t="s">
        <v>1326</v>
      </c>
      <c r="X157" s="43" t="s">
        <v>2026</v>
      </c>
      <c r="Y157" s="43">
        <v>0</v>
      </c>
      <c r="Z157" s="43">
        <v>2</v>
      </c>
      <c r="AA157" s="43">
        <v>2007</v>
      </c>
      <c r="AB157" s="43">
        <v>9999</v>
      </c>
      <c r="AC157" s="43" t="s">
        <v>35</v>
      </c>
    </row>
    <row r="158" spans="1:29" ht="30" x14ac:dyDescent="0.25">
      <c r="A158" s="56" t="s">
        <v>212</v>
      </c>
      <c r="B158" s="39" t="s">
        <v>213</v>
      </c>
      <c r="C158" s="43" t="s">
        <v>214</v>
      </c>
      <c r="D158" s="43">
        <v>1</v>
      </c>
      <c r="E158" s="43">
        <v>550</v>
      </c>
      <c r="F158" s="43">
        <v>5</v>
      </c>
      <c r="G158" s="43">
        <v>2026</v>
      </c>
      <c r="H158" s="43"/>
      <c r="I158" s="43">
        <v>102.3</v>
      </c>
      <c r="J158" s="43" t="s">
        <v>1610</v>
      </c>
      <c r="K158" s="43" t="s">
        <v>47</v>
      </c>
      <c r="L158" s="43"/>
      <c r="M158" s="43">
        <v>0</v>
      </c>
      <c r="N158" s="43">
        <v>0</v>
      </c>
      <c r="O158" s="43">
        <v>0</v>
      </c>
      <c r="P158" s="43">
        <v>0</v>
      </c>
      <c r="Q158" s="43">
        <v>0</v>
      </c>
      <c r="R158" s="43">
        <v>0</v>
      </c>
      <c r="S158" s="43">
        <v>1</v>
      </c>
      <c r="T158" s="43">
        <v>1</v>
      </c>
      <c r="U158" s="43">
        <v>1</v>
      </c>
      <c r="V158" s="43">
        <v>0</v>
      </c>
      <c r="W158" s="43" t="s">
        <v>1288</v>
      </c>
      <c r="X158" s="43" t="s">
        <v>1951</v>
      </c>
      <c r="Y158" s="43">
        <v>2</v>
      </c>
      <c r="Z158" s="43">
        <v>0</v>
      </c>
      <c r="AA158" s="43">
        <v>2007</v>
      </c>
      <c r="AB158" s="43">
        <v>9999</v>
      </c>
      <c r="AC158" s="43" t="s">
        <v>35</v>
      </c>
    </row>
    <row r="159" spans="1:29" x14ac:dyDescent="0.25">
      <c r="A159" s="56" t="s">
        <v>377</v>
      </c>
      <c r="B159" s="39" t="s">
        <v>378</v>
      </c>
      <c r="C159" s="43"/>
      <c r="D159" s="43">
        <v>1</v>
      </c>
      <c r="E159" s="43" t="s">
        <v>45</v>
      </c>
      <c r="F159" s="43">
        <v>4</v>
      </c>
      <c r="G159" s="43">
        <v>2026</v>
      </c>
      <c r="H159" s="43"/>
      <c r="I159" s="43">
        <v>178.9</v>
      </c>
      <c r="J159" s="43" t="s">
        <v>1610</v>
      </c>
      <c r="K159" s="43" t="s">
        <v>47</v>
      </c>
      <c r="L159" s="43"/>
      <c r="M159" s="43">
        <v>0</v>
      </c>
      <c r="N159" s="43">
        <v>0</v>
      </c>
      <c r="O159" s="43">
        <v>0</v>
      </c>
      <c r="P159" s="43">
        <v>0</v>
      </c>
      <c r="Q159" s="43">
        <v>0</v>
      </c>
      <c r="R159" s="43">
        <v>0</v>
      </c>
      <c r="S159" s="43">
        <v>1</v>
      </c>
      <c r="T159" s="43">
        <v>1</v>
      </c>
      <c r="U159" s="43">
        <v>1</v>
      </c>
      <c r="V159" s="43">
        <v>0</v>
      </c>
      <c r="W159" s="43" t="s">
        <v>1098</v>
      </c>
      <c r="X159" s="43" t="s">
        <v>1973</v>
      </c>
      <c r="Y159" s="43">
        <v>0</v>
      </c>
      <c r="Z159" s="43">
        <v>1</v>
      </c>
      <c r="AA159" s="43">
        <v>2007</v>
      </c>
      <c r="AB159" s="43">
        <v>9999</v>
      </c>
      <c r="AC159" s="43" t="s">
        <v>35</v>
      </c>
    </row>
    <row r="160" spans="1:29" x14ac:dyDescent="0.25">
      <c r="A160" s="56" t="s">
        <v>985</v>
      </c>
      <c r="B160" s="39" t="s">
        <v>986</v>
      </c>
      <c r="C160" s="43" t="s">
        <v>987</v>
      </c>
      <c r="D160" s="43">
        <v>1</v>
      </c>
      <c r="E160" s="43" t="s">
        <v>988</v>
      </c>
      <c r="F160" s="43">
        <v>4</v>
      </c>
      <c r="G160" s="43">
        <v>2026</v>
      </c>
      <c r="H160" s="43"/>
      <c r="I160" s="43">
        <v>223.3</v>
      </c>
      <c r="J160" s="43" t="s">
        <v>1610</v>
      </c>
      <c r="K160" s="43" t="s">
        <v>32</v>
      </c>
      <c r="L160" s="43"/>
      <c r="M160" s="43">
        <v>0</v>
      </c>
      <c r="N160" s="43">
        <v>0</v>
      </c>
      <c r="O160" s="43">
        <v>0</v>
      </c>
      <c r="P160" s="43">
        <v>0</v>
      </c>
      <c r="Q160" s="43">
        <v>0</v>
      </c>
      <c r="R160" s="43">
        <v>0</v>
      </c>
      <c r="S160" s="43">
        <v>1</v>
      </c>
      <c r="T160" s="43">
        <v>1</v>
      </c>
      <c r="U160" s="43">
        <v>1</v>
      </c>
      <c r="V160" s="43">
        <v>0</v>
      </c>
      <c r="W160" s="43" t="s">
        <v>1339</v>
      </c>
      <c r="X160" s="43" t="s">
        <v>1840</v>
      </c>
      <c r="Y160" s="43">
        <v>0</v>
      </c>
      <c r="Z160" s="43">
        <v>0</v>
      </c>
      <c r="AA160" s="43">
        <v>2007</v>
      </c>
      <c r="AB160" s="43">
        <v>9999</v>
      </c>
      <c r="AC160" s="43" t="s">
        <v>35</v>
      </c>
    </row>
    <row r="161" spans="1:29" x14ac:dyDescent="0.25">
      <c r="A161" s="56" t="s">
        <v>367</v>
      </c>
      <c r="B161" s="39" t="s">
        <v>368</v>
      </c>
      <c r="C161" s="43" t="s">
        <v>369</v>
      </c>
      <c r="D161" s="43">
        <v>1</v>
      </c>
      <c r="E161" s="43" t="s">
        <v>370</v>
      </c>
      <c r="F161" s="43">
        <v>5</v>
      </c>
      <c r="G161" s="43">
        <v>2026</v>
      </c>
      <c r="H161" s="43"/>
      <c r="I161" s="43">
        <v>248.3</v>
      </c>
      <c r="J161" s="43" t="s">
        <v>1610</v>
      </c>
      <c r="K161" s="43" t="s">
        <v>47</v>
      </c>
      <c r="L161" s="43"/>
      <c r="M161" s="43">
        <v>1</v>
      </c>
      <c r="N161" s="43">
        <v>0</v>
      </c>
      <c r="O161" s="43">
        <v>0</v>
      </c>
      <c r="P161" s="43">
        <v>0</v>
      </c>
      <c r="Q161" s="43">
        <v>0</v>
      </c>
      <c r="R161" s="43">
        <v>0</v>
      </c>
      <c r="S161" s="43">
        <v>1</v>
      </c>
      <c r="T161" s="43">
        <v>1</v>
      </c>
      <c r="U161" s="43">
        <v>1</v>
      </c>
      <c r="V161" s="43">
        <v>0</v>
      </c>
      <c r="W161" s="43" t="s">
        <v>1298</v>
      </c>
      <c r="X161" s="43" t="s">
        <v>2047</v>
      </c>
      <c r="Y161" s="43">
        <v>0</v>
      </c>
      <c r="Z161" s="43">
        <v>1</v>
      </c>
      <c r="AA161" s="43">
        <v>2007</v>
      </c>
      <c r="AB161" s="43">
        <v>9999</v>
      </c>
      <c r="AC161" s="43" t="s">
        <v>35</v>
      </c>
    </row>
    <row r="162" spans="1:29" x14ac:dyDescent="0.25">
      <c r="A162" s="56" t="s">
        <v>613</v>
      </c>
      <c r="B162" s="39" t="s">
        <v>254</v>
      </c>
      <c r="C162" s="43" t="s">
        <v>614</v>
      </c>
      <c r="D162" s="43">
        <v>1</v>
      </c>
      <c r="E162" s="43" t="s">
        <v>45</v>
      </c>
      <c r="F162" s="43">
        <v>4</v>
      </c>
      <c r="G162" s="43">
        <v>2026</v>
      </c>
      <c r="H162" s="43"/>
      <c r="I162" s="43">
        <v>274.89999999999998</v>
      </c>
      <c r="J162" s="43" t="s">
        <v>1610</v>
      </c>
      <c r="K162" s="43" t="s">
        <v>47</v>
      </c>
      <c r="L162" s="43"/>
      <c r="M162" s="43">
        <v>1</v>
      </c>
      <c r="N162" s="43">
        <v>0</v>
      </c>
      <c r="O162" s="43">
        <v>0</v>
      </c>
      <c r="P162" s="43">
        <v>0</v>
      </c>
      <c r="Q162" s="43">
        <v>0</v>
      </c>
      <c r="R162" s="43">
        <v>0</v>
      </c>
      <c r="S162" s="43">
        <v>1</v>
      </c>
      <c r="T162" s="43">
        <v>1</v>
      </c>
      <c r="U162" s="43">
        <v>1</v>
      </c>
      <c r="V162" s="43">
        <v>0</v>
      </c>
      <c r="W162" s="43" t="s">
        <v>1140</v>
      </c>
      <c r="X162" s="43" t="s">
        <v>2009</v>
      </c>
      <c r="Y162" s="43">
        <v>0</v>
      </c>
      <c r="Z162" s="43">
        <v>0</v>
      </c>
      <c r="AA162" s="43">
        <v>2007</v>
      </c>
      <c r="AB162" s="43">
        <v>9999</v>
      </c>
      <c r="AC162" s="43" t="s">
        <v>35</v>
      </c>
    </row>
    <row r="163" spans="1:29" x14ac:dyDescent="0.25">
      <c r="A163" s="56" t="s">
        <v>97</v>
      </c>
      <c r="B163" s="39" t="s">
        <v>99</v>
      </c>
      <c r="C163" s="43" t="s">
        <v>923</v>
      </c>
      <c r="D163" s="43">
        <v>1</v>
      </c>
      <c r="E163" s="43" t="s">
        <v>45</v>
      </c>
      <c r="F163" s="43">
        <v>4</v>
      </c>
      <c r="G163" s="43">
        <v>2026</v>
      </c>
      <c r="H163" s="43"/>
      <c r="I163" s="43">
        <v>300.3</v>
      </c>
      <c r="J163" s="43" t="s">
        <v>1610</v>
      </c>
      <c r="K163" s="43" t="s">
        <v>47</v>
      </c>
      <c r="L163" s="43"/>
      <c r="M163" s="43">
        <v>1</v>
      </c>
      <c r="N163" s="43">
        <v>0</v>
      </c>
      <c r="O163" s="43">
        <v>0</v>
      </c>
      <c r="P163" s="43">
        <v>0</v>
      </c>
      <c r="Q163" s="43">
        <v>0</v>
      </c>
      <c r="R163" s="43">
        <v>0</v>
      </c>
      <c r="S163" s="43">
        <v>1</v>
      </c>
      <c r="T163" s="43">
        <v>1</v>
      </c>
      <c r="U163" s="43">
        <v>1</v>
      </c>
      <c r="V163" s="43">
        <v>0</v>
      </c>
      <c r="W163" s="43" t="s">
        <v>1277</v>
      </c>
      <c r="X163" s="43" t="s">
        <v>1817</v>
      </c>
      <c r="Y163" s="43">
        <v>1</v>
      </c>
      <c r="Z163" s="43">
        <v>0</v>
      </c>
      <c r="AA163" s="43">
        <v>2007</v>
      </c>
      <c r="AB163" s="43">
        <v>9999</v>
      </c>
      <c r="AC163" s="43" t="s">
        <v>35</v>
      </c>
    </row>
    <row r="164" spans="1:29" x14ac:dyDescent="0.25">
      <c r="A164" s="56" t="s">
        <v>768</v>
      </c>
      <c r="B164" s="39" t="s">
        <v>769</v>
      </c>
      <c r="C164" s="43" t="s">
        <v>770</v>
      </c>
      <c r="D164" s="43">
        <v>1</v>
      </c>
      <c r="E164" s="43" t="s">
        <v>30</v>
      </c>
      <c r="F164" s="43">
        <v>4</v>
      </c>
      <c r="G164" s="43">
        <v>2026</v>
      </c>
      <c r="H164" s="43"/>
      <c r="I164" s="43">
        <v>515.4</v>
      </c>
      <c r="J164" s="43" t="s">
        <v>1610</v>
      </c>
      <c r="K164" s="43" t="s">
        <v>47</v>
      </c>
      <c r="L164" s="43"/>
      <c r="M164" s="43">
        <v>1</v>
      </c>
      <c r="N164" s="43">
        <v>0</v>
      </c>
      <c r="O164" s="43">
        <v>0</v>
      </c>
      <c r="P164" s="43">
        <v>0</v>
      </c>
      <c r="Q164" s="43">
        <v>0</v>
      </c>
      <c r="R164" s="43">
        <v>0</v>
      </c>
      <c r="S164" s="43">
        <v>1</v>
      </c>
      <c r="T164" s="43">
        <v>1</v>
      </c>
      <c r="U164" s="43">
        <v>1</v>
      </c>
      <c r="V164" s="43">
        <v>0</v>
      </c>
      <c r="W164" s="43" t="s">
        <v>2025</v>
      </c>
      <c r="X164" s="43" t="s">
        <v>2024</v>
      </c>
      <c r="Y164" s="43">
        <v>2</v>
      </c>
      <c r="Z164" s="43">
        <v>0</v>
      </c>
      <c r="AA164" s="43">
        <v>2007</v>
      </c>
      <c r="AB164" s="43">
        <v>9999</v>
      </c>
      <c r="AC164" s="43" t="s">
        <v>35</v>
      </c>
    </row>
    <row r="165" spans="1:29" x14ac:dyDescent="0.25">
      <c r="A165" s="57" t="s">
        <v>110</v>
      </c>
      <c r="B165" s="46" t="s">
        <v>111</v>
      </c>
      <c r="C165" s="44"/>
      <c r="D165" s="44">
        <v>1</v>
      </c>
      <c r="E165" s="44" t="s">
        <v>45</v>
      </c>
      <c r="F165" s="44">
        <v>4</v>
      </c>
      <c r="G165" s="44">
        <v>2026</v>
      </c>
      <c r="H165" s="44"/>
      <c r="I165" s="44">
        <v>602.20000000000005</v>
      </c>
      <c r="J165" s="44" t="s">
        <v>1610</v>
      </c>
      <c r="K165" s="44" t="s">
        <v>47</v>
      </c>
      <c r="L165" s="44"/>
      <c r="M165" s="44">
        <v>1</v>
      </c>
      <c r="N165" s="44">
        <v>0</v>
      </c>
      <c r="O165" s="44">
        <v>0</v>
      </c>
      <c r="P165" s="44">
        <v>0</v>
      </c>
      <c r="Q165" s="44">
        <v>0</v>
      </c>
      <c r="R165" s="44">
        <v>0</v>
      </c>
      <c r="S165" s="44">
        <v>1</v>
      </c>
      <c r="T165" s="44">
        <v>1</v>
      </c>
      <c r="U165" s="44">
        <v>1</v>
      </c>
      <c r="V165" s="44">
        <v>0</v>
      </c>
      <c r="W165" s="44" t="s">
        <v>1039</v>
      </c>
      <c r="X165" s="44" t="s">
        <v>1852</v>
      </c>
      <c r="Y165" s="44">
        <v>0</v>
      </c>
      <c r="Z165" s="44">
        <v>0</v>
      </c>
      <c r="AA165" s="44">
        <v>2007</v>
      </c>
      <c r="AB165" s="44">
        <v>9999</v>
      </c>
      <c r="AC165" s="44" t="s">
        <v>35</v>
      </c>
    </row>
    <row r="166" spans="1:29" x14ac:dyDescent="0.25">
      <c r="A166" s="56" t="s">
        <v>929</v>
      </c>
      <c r="B166" s="39" t="s">
        <v>930</v>
      </c>
      <c r="C166" s="43" t="s">
        <v>931</v>
      </c>
      <c r="D166" s="43">
        <v>1</v>
      </c>
      <c r="E166" s="43" t="s">
        <v>45</v>
      </c>
      <c r="F166" s="43">
        <v>4</v>
      </c>
      <c r="G166" s="43">
        <v>2026</v>
      </c>
      <c r="H166" s="43"/>
      <c r="I166" s="43">
        <v>617.79999999999995</v>
      </c>
      <c r="J166" s="43" t="s">
        <v>1610</v>
      </c>
      <c r="K166" s="43" t="s">
        <v>47</v>
      </c>
      <c r="L166" s="43"/>
      <c r="M166" s="43">
        <v>1</v>
      </c>
      <c r="N166" s="43">
        <v>0</v>
      </c>
      <c r="O166" s="43">
        <v>0</v>
      </c>
      <c r="P166" s="43">
        <v>0</v>
      </c>
      <c r="Q166" s="43">
        <v>0</v>
      </c>
      <c r="R166" s="43">
        <v>0</v>
      </c>
      <c r="S166" s="43">
        <v>1</v>
      </c>
      <c r="T166" s="43">
        <v>1</v>
      </c>
      <c r="U166" s="43">
        <v>1</v>
      </c>
      <c r="V166" s="43">
        <v>0</v>
      </c>
      <c r="W166" s="43" t="s">
        <v>1336</v>
      </c>
      <c r="X166" s="43" t="s">
        <v>1819</v>
      </c>
      <c r="Y166" s="43">
        <v>1</v>
      </c>
      <c r="Z166" s="43">
        <v>0</v>
      </c>
      <c r="AA166" s="43">
        <v>2007</v>
      </c>
      <c r="AB166" s="43">
        <v>9999</v>
      </c>
      <c r="AC166" s="43" t="s">
        <v>35</v>
      </c>
    </row>
    <row r="167" spans="1:29" x14ac:dyDescent="0.25">
      <c r="A167" s="56" t="s">
        <v>571</v>
      </c>
      <c r="B167" s="39" t="s">
        <v>572</v>
      </c>
      <c r="C167" s="43"/>
      <c r="D167" s="43">
        <v>1</v>
      </c>
      <c r="E167" s="43" t="s">
        <v>370</v>
      </c>
      <c r="F167" s="43">
        <v>5</v>
      </c>
      <c r="G167" s="43">
        <v>2026</v>
      </c>
      <c r="H167" s="43"/>
      <c r="I167" s="43">
        <v>714.7</v>
      </c>
      <c r="J167" s="43" t="s">
        <v>1610</v>
      </c>
      <c r="K167" s="43" t="s">
        <v>47</v>
      </c>
      <c r="L167" s="43"/>
      <c r="M167" s="43">
        <v>1</v>
      </c>
      <c r="N167" s="43">
        <v>0</v>
      </c>
      <c r="O167" s="43">
        <v>0</v>
      </c>
      <c r="P167" s="43">
        <v>0</v>
      </c>
      <c r="Q167" s="43">
        <v>0</v>
      </c>
      <c r="R167" s="43">
        <v>0</v>
      </c>
      <c r="S167" s="43">
        <v>1</v>
      </c>
      <c r="T167" s="43">
        <v>1</v>
      </c>
      <c r="U167" s="43">
        <v>1</v>
      </c>
      <c r="V167" s="43">
        <v>0</v>
      </c>
      <c r="W167" s="43" t="s">
        <v>1430</v>
      </c>
      <c r="X167" s="43" t="s">
        <v>1878</v>
      </c>
      <c r="Y167" s="43">
        <v>1</v>
      </c>
      <c r="Z167" s="43">
        <v>2</v>
      </c>
      <c r="AA167" s="43">
        <v>2007</v>
      </c>
      <c r="AB167" s="43">
        <v>9999</v>
      </c>
      <c r="AC167" s="43" t="s">
        <v>35</v>
      </c>
    </row>
    <row r="168" spans="1:29" x14ac:dyDescent="0.25">
      <c r="A168" s="56" t="s">
        <v>28</v>
      </c>
      <c r="B168" s="39" t="s">
        <v>29</v>
      </c>
      <c r="C168" s="43" t="s">
        <v>2053</v>
      </c>
      <c r="D168" s="43">
        <v>1</v>
      </c>
      <c r="E168" s="43" t="s">
        <v>30</v>
      </c>
      <c r="F168" s="43">
        <v>4</v>
      </c>
      <c r="G168" s="43">
        <v>2026</v>
      </c>
      <c r="H168" s="43"/>
      <c r="I168" s="43">
        <v>1902.1</v>
      </c>
      <c r="J168" s="43" t="s">
        <v>1610</v>
      </c>
      <c r="K168" s="43" t="s">
        <v>32</v>
      </c>
      <c r="L168" s="43" t="s">
        <v>33</v>
      </c>
      <c r="M168" s="43">
        <v>1</v>
      </c>
      <c r="N168" s="43">
        <v>0</v>
      </c>
      <c r="O168" s="43">
        <v>0</v>
      </c>
      <c r="P168" s="43">
        <v>0</v>
      </c>
      <c r="Q168" s="43">
        <v>0</v>
      </c>
      <c r="R168" s="43">
        <v>1</v>
      </c>
      <c r="S168" s="43">
        <v>1</v>
      </c>
      <c r="T168" s="43">
        <v>1</v>
      </c>
      <c r="U168" s="43">
        <v>1</v>
      </c>
      <c r="V168" s="43">
        <v>0</v>
      </c>
      <c r="W168" s="43" t="s">
        <v>1939</v>
      </c>
      <c r="X168" s="43" t="s">
        <v>1938</v>
      </c>
      <c r="Y168" s="43">
        <v>0</v>
      </c>
      <c r="Z168" s="43">
        <v>3</v>
      </c>
      <c r="AA168" s="43">
        <v>2007</v>
      </c>
      <c r="AB168" s="43">
        <v>9999</v>
      </c>
      <c r="AC168" s="43" t="s">
        <v>35</v>
      </c>
    </row>
    <row r="169" spans="1:29" x14ac:dyDescent="0.25">
      <c r="A169" s="56" t="s">
        <v>382</v>
      </c>
      <c r="B169" s="39" t="s">
        <v>383</v>
      </c>
      <c r="C169" s="43"/>
      <c r="D169" s="43">
        <v>1</v>
      </c>
      <c r="E169" s="43" t="s">
        <v>80</v>
      </c>
      <c r="F169" s="43">
        <v>8</v>
      </c>
      <c r="G169" s="43">
        <v>2026</v>
      </c>
      <c r="H169" s="43"/>
      <c r="I169" s="43">
        <v>32.299999999999997</v>
      </c>
      <c r="J169" s="43" t="s">
        <v>81</v>
      </c>
      <c r="K169" s="43" t="s">
        <v>32</v>
      </c>
      <c r="L169" s="43"/>
      <c r="M169" s="43">
        <v>0</v>
      </c>
      <c r="N169" s="43">
        <v>0</v>
      </c>
      <c r="O169" s="43">
        <v>0</v>
      </c>
      <c r="P169" s="43">
        <v>0</v>
      </c>
      <c r="Q169" s="43">
        <v>0</v>
      </c>
      <c r="R169" s="43">
        <v>0</v>
      </c>
      <c r="S169" s="43">
        <v>1</v>
      </c>
      <c r="T169" s="43">
        <v>1</v>
      </c>
      <c r="U169" s="43">
        <v>1</v>
      </c>
      <c r="V169" s="43">
        <v>0</v>
      </c>
      <c r="W169" s="43" t="s">
        <v>1099</v>
      </c>
      <c r="X169" s="43" t="s">
        <v>1866</v>
      </c>
      <c r="Y169" s="43">
        <v>2</v>
      </c>
      <c r="Z169" s="43">
        <v>0</v>
      </c>
      <c r="AA169" s="43">
        <v>2007</v>
      </c>
      <c r="AB169" s="43">
        <v>9999</v>
      </c>
      <c r="AC169" s="43" t="s">
        <v>35</v>
      </c>
    </row>
    <row r="170" spans="1:29" x14ac:dyDescent="0.25">
      <c r="A170" s="56" t="s">
        <v>975</v>
      </c>
      <c r="B170" s="39" t="s">
        <v>976</v>
      </c>
      <c r="C170" s="43"/>
      <c r="D170" s="43">
        <v>1</v>
      </c>
      <c r="E170" s="43" t="s">
        <v>977</v>
      </c>
      <c r="F170" s="43">
        <v>1</v>
      </c>
      <c r="G170" s="43">
        <v>2026</v>
      </c>
      <c r="H170" s="43" t="s">
        <v>205</v>
      </c>
      <c r="I170" s="43">
        <v>38</v>
      </c>
      <c r="J170" s="43" t="s">
        <v>81</v>
      </c>
      <c r="K170" s="43" t="s">
        <v>41</v>
      </c>
      <c r="L170" s="43"/>
      <c r="M170" s="43">
        <v>0</v>
      </c>
      <c r="N170" s="43">
        <v>0</v>
      </c>
      <c r="O170" s="43">
        <v>0</v>
      </c>
      <c r="P170" s="43">
        <v>0</v>
      </c>
      <c r="Q170" s="43">
        <v>0</v>
      </c>
      <c r="R170" s="43">
        <v>0</v>
      </c>
      <c r="S170" s="43">
        <v>0</v>
      </c>
      <c r="T170" s="43">
        <v>0</v>
      </c>
      <c r="U170" s="43">
        <v>0</v>
      </c>
      <c r="V170" s="43">
        <v>0</v>
      </c>
      <c r="W170" s="43" t="s">
        <v>1220</v>
      </c>
      <c r="X170" s="43" t="s">
        <v>1839</v>
      </c>
      <c r="Y170" s="43">
        <v>0</v>
      </c>
      <c r="Z170" s="43">
        <v>0</v>
      </c>
      <c r="AA170" s="43">
        <v>2007</v>
      </c>
      <c r="AB170" s="43">
        <v>9999</v>
      </c>
      <c r="AC170" s="43" t="s">
        <v>35</v>
      </c>
    </row>
    <row r="171" spans="1:29" x14ac:dyDescent="0.25">
      <c r="A171" s="56" t="s">
        <v>714</v>
      </c>
      <c r="B171" s="39" t="s">
        <v>715</v>
      </c>
      <c r="C171" s="43"/>
      <c r="D171" s="43">
        <v>1</v>
      </c>
      <c r="E171" s="43" t="s">
        <v>80</v>
      </c>
      <c r="F171" s="43">
        <v>8</v>
      </c>
      <c r="G171" s="43">
        <v>2026</v>
      </c>
      <c r="H171" s="43"/>
      <c r="I171" s="43">
        <v>57.9</v>
      </c>
      <c r="J171" s="43" t="s">
        <v>81</v>
      </c>
      <c r="K171" s="43" t="s">
        <v>76</v>
      </c>
      <c r="L171" s="43"/>
      <c r="M171" s="43">
        <v>0</v>
      </c>
      <c r="N171" s="43">
        <v>0</v>
      </c>
      <c r="O171" s="43">
        <v>0</v>
      </c>
      <c r="P171" s="43">
        <v>0</v>
      </c>
      <c r="Q171" s="43">
        <v>0</v>
      </c>
      <c r="R171" s="43">
        <v>0</v>
      </c>
      <c r="S171" s="43">
        <v>0</v>
      </c>
      <c r="T171" s="43">
        <v>1</v>
      </c>
      <c r="U171" s="43">
        <v>1</v>
      </c>
      <c r="V171" s="43">
        <v>0</v>
      </c>
      <c r="W171" s="43" t="s">
        <v>1323</v>
      </c>
      <c r="X171" s="43" t="s">
        <v>1767</v>
      </c>
      <c r="Y171" s="43">
        <v>0</v>
      </c>
      <c r="Z171" s="43">
        <v>0</v>
      </c>
      <c r="AA171" s="43">
        <v>2007</v>
      </c>
      <c r="AB171" s="43">
        <v>9999</v>
      </c>
      <c r="AC171" s="43" t="s">
        <v>35</v>
      </c>
    </row>
    <row r="172" spans="1:29" x14ac:dyDescent="0.25">
      <c r="A172" s="56" t="s">
        <v>814</v>
      </c>
      <c r="B172" s="39" t="s">
        <v>815</v>
      </c>
      <c r="C172" s="43"/>
      <c r="D172" s="43">
        <v>1</v>
      </c>
      <c r="E172" s="43" t="s">
        <v>80</v>
      </c>
      <c r="F172" s="43">
        <v>8</v>
      </c>
      <c r="G172" s="43">
        <v>2026</v>
      </c>
      <c r="H172" s="43"/>
      <c r="I172" s="43">
        <v>99.3</v>
      </c>
      <c r="J172" s="43" t="s">
        <v>81</v>
      </c>
      <c r="K172" s="43" t="s">
        <v>32</v>
      </c>
      <c r="L172" s="43"/>
      <c r="M172" s="43">
        <v>0</v>
      </c>
      <c r="N172" s="43">
        <v>0</v>
      </c>
      <c r="O172" s="43">
        <v>0</v>
      </c>
      <c r="P172" s="43">
        <v>0</v>
      </c>
      <c r="Q172" s="43">
        <v>0</v>
      </c>
      <c r="R172" s="43">
        <v>0</v>
      </c>
      <c r="S172" s="43">
        <v>1</v>
      </c>
      <c r="T172" s="43">
        <v>1</v>
      </c>
      <c r="U172" s="43">
        <v>1</v>
      </c>
      <c r="V172" s="43">
        <v>0</v>
      </c>
      <c r="W172" s="43" t="s">
        <v>1432</v>
      </c>
      <c r="X172" s="43" t="s">
        <v>2028</v>
      </c>
      <c r="Y172" s="43">
        <v>1</v>
      </c>
      <c r="Z172" s="43">
        <v>2</v>
      </c>
      <c r="AA172" s="43">
        <v>2007</v>
      </c>
      <c r="AB172" s="43">
        <v>9999</v>
      </c>
      <c r="AC172" s="43" t="s">
        <v>35</v>
      </c>
    </row>
    <row r="173" spans="1:29" x14ac:dyDescent="0.25">
      <c r="A173" s="56" t="s">
        <v>538</v>
      </c>
      <c r="B173" s="39" t="s">
        <v>539</v>
      </c>
      <c r="C173" s="43"/>
      <c r="D173" s="43">
        <v>1</v>
      </c>
      <c r="E173" s="43" t="s">
        <v>80</v>
      </c>
      <c r="F173" s="43">
        <v>8</v>
      </c>
      <c r="G173" s="43">
        <v>2026</v>
      </c>
      <c r="H173" s="43"/>
      <c r="I173" s="43">
        <v>198.3</v>
      </c>
      <c r="J173" s="43" t="s">
        <v>81</v>
      </c>
      <c r="K173" s="43" t="s">
        <v>32</v>
      </c>
      <c r="L173" s="43"/>
      <c r="M173" s="43">
        <v>0</v>
      </c>
      <c r="N173" s="43">
        <v>0</v>
      </c>
      <c r="O173" s="43">
        <v>0</v>
      </c>
      <c r="P173" s="43">
        <v>0</v>
      </c>
      <c r="Q173" s="43">
        <v>0</v>
      </c>
      <c r="R173" s="43">
        <v>0</v>
      </c>
      <c r="S173" s="43">
        <v>1</v>
      </c>
      <c r="T173" s="43">
        <v>1</v>
      </c>
      <c r="U173" s="43">
        <v>1</v>
      </c>
      <c r="V173" s="43">
        <v>0</v>
      </c>
      <c r="W173" s="43" t="s">
        <v>1998</v>
      </c>
      <c r="X173" s="43" t="s">
        <v>1999</v>
      </c>
      <c r="Y173" s="43">
        <v>1</v>
      </c>
      <c r="Z173" s="43">
        <v>0</v>
      </c>
      <c r="AA173" s="43">
        <v>2007</v>
      </c>
      <c r="AB173" s="43">
        <v>9999</v>
      </c>
      <c r="AC173" s="43" t="s">
        <v>35</v>
      </c>
    </row>
    <row r="174" spans="1:29" x14ac:dyDescent="0.25">
      <c r="A174" s="56" t="s">
        <v>220</v>
      </c>
      <c r="B174" s="39" t="s">
        <v>221</v>
      </c>
      <c r="C174" s="43"/>
      <c r="D174" s="43">
        <v>1</v>
      </c>
      <c r="E174" s="43" t="s">
        <v>222</v>
      </c>
      <c r="F174" s="43">
        <v>8</v>
      </c>
      <c r="G174" s="43">
        <v>2026</v>
      </c>
      <c r="H174" s="43"/>
      <c r="I174" s="43">
        <v>45.9</v>
      </c>
      <c r="J174" s="43" t="s">
        <v>81</v>
      </c>
      <c r="K174" s="43" t="s">
        <v>47</v>
      </c>
      <c r="L174" s="43"/>
      <c r="M174" s="43">
        <v>0</v>
      </c>
      <c r="N174" s="43">
        <v>0</v>
      </c>
      <c r="O174" s="43">
        <v>0</v>
      </c>
      <c r="P174" s="43">
        <v>0</v>
      </c>
      <c r="Q174" s="43">
        <v>0</v>
      </c>
      <c r="R174" s="43">
        <v>0</v>
      </c>
      <c r="S174" s="43">
        <v>1</v>
      </c>
      <c r="T174" s="43">
        <v>1</v>
      </c>
      <c r="U174" s="43">
        <v>1</v>
      </c>
      <c r="V174" s="43">
        <v>0</v>
      </c>
      <c r="W174" s="43" t="s">
        <v>1068</v>
      </c>
      <c r="X174" s="43" t="s">
        <v>1956</v>
      </c>
      <c r="Y174" s="43">
        <v>0</v>
      </c>
      <c r="Z174" s="43">
        <v>0</v>
      </c>
      <c r="AA174" s="43">
        <v>2007</v>
      </c>
      <c r="AB174" s="43">
        <v>9999</v>
      </c>
      <c r="AC174" s="43" t="s">
        <v>35</v>
      </c>
    </row>
    <row r="175" spans="1:29" x14ac:dyDescent="0.25">
      <c r="A175" s="56" t="s">
        <v>828</v>
      </c>
      <c r="B175" s="39" t="s">
        <v>1408</v>
      </c>
      <c r="C175" s="43" t="s">
        <v>1409</v>
      </c>
      <c r="D175" s="43">
        <v>1</v>
      </c>
      <c r="E175" s="43" t="s">
        <v>80</v>
      </c>
      <c r="F175" s="43">
        <v>8</v>
      </c>
      <c r="G175" s="43">
        <v>2026</v>
      </c>
      <c r="H175" s="43"/>
      <c r="I175" s="43">
        <v>68.7</v>
      </c>
      <c r="J175" s="43" t="s">
        <v>81</v>
      </c>
      <c r="K175" s="43" t="s">
        <v>47</v>
      </c>
      <c r="L175" s="43"/>
      <c r="M175" s="43">
        <v>1</v>
      </c>
      <c r="N175" s="43">
        <v>0</v>
      </c>
      <c r="O175" s="43">
        <v>0</v>
      </c>
      <c r="P175" s="43">
        <v>0</v>
      </c>
      <c r="Q175" s="43">
        <v>0</v>
      </c>
      <c r="R175" s="43">
        <v>0</v>
      </c>
      <c r="S175" s="43">
        <v>1</v>
      </c>
      <c r="T175" s="43">
        <v>1</v>
      </c>
      <c r="U175" s="43">
        <v>1</v>
      </c>
      <c r="V175" s="43">
        <v>0</v>
      </c>
      <c r="W175" s="43" t="s">
        <v>1410</v>
      </c>
      <c r="X175" s="43" t="s">
        <v>1795</v>
      </c>
      <c r="Y175" s="43">
        <v>0</v>
      </c>
      <c r="Z175" s="43">
        <v>0</v>
      </c>
      <c r="AA175" s="43">
        <v>2007</v>
      </c>
      <c r="AB175" s="43">
        <v>9999</v>
      </c>
      <c r="AC175" s="43" t="s">
        <v>35</v>
      </c>
    </row>
    <row r="176" spans="1:29" x14ac:dyDescent="0.25">
      <c r="A176" s="56" t="s">
        <v>327</v>
      </c>
      <c r="B176" s="39" t="s">
        <v>328</v>
      </c>
      <c r="C176" s="43"/>
      <c r="D176" s="43">
        <v>1</v>
      </c>
      <c r="E176" s="43" t="s">
        <v>80</v>
      </c>
      <c r="F176" s="43">
        <v>8</v>
      </c>
      <c r="G176" s="43">
        <v>2026</v>
      </c>
      <c r="H176" s="43"/>
      <c r="I176" s="43">
        <v>87.2</v>
      </c>
      <c r="J176" s="43" t="s">
        <v>81</v>
      </c>
      <c r="K176" s="43" t="s">
        <v>47</v>
      </c>
      <c r="L176" s="43"/>
      <c r="M176" s="43">
        <v>0</v>
      </c>
      <c r="N176" s="43">
        <v>0</v>
      </c>
      <c r="O176" s="43">
        <v>0</v>
      </c>
      <c r="P176" s="43">
        <v>0</v>
      </c>
      <c r="Q176" s="43">
        <v>0</v>
      </c>
      <c r="R176" s="43">
        <v>0</v>
      </c>
      <c r="S176" s="43">
        <v>1</v>
      </c>
      <c r="T176" s="43">
        <v>1</v>
      </c>
      <c r="U176" s="43">
        <v>1</v>
      </c>
      <c r="V176" s="43">
        <v>0</v>
      </c>
      <c r="W176" s="43" t="s">
        <v>1087</v>
      </c>
      <c r="X176" s="43" t="s">
        <v>1967</v>
      </c>
      <c r="Y176" s="43">
        <v>0</v>
      </c>
      <c r="Z176" s="43">
        <v>1</v>
      </c>
      <c r="AA176" s="43">
        <v>2007</v>
      </c>
      <c r="AB176" s="43">
        <v>9999</v>
      </c>
      <c r="AC176" s="43" t="s">
        <v>35</v>
      </c>
    </row>
    <row r="177" spans="1:29" x14ac:dyDescent="0.25">
      <c r="A177" s="56" t="s">
        <v>939</v>
      </c>
      <c r="B177" s="39" t="s">
        <v>1463</v>
      </c>
      <c r="C177" s="43"/>
      <c r="D177" s="43">
        <v>1</v>
      </c>
      <c r="E177" s="43" t="s">
        <v>80</v>
      </c>
      <c r="F177" s="43">
        <v>8</v>
      </c>
      <c r="G177" s="43">
        <v>2026</v>
      </c>
      <c r="H177" s="43"/>
      <c r="I177" s="43">
        <v>95.2</v>
      </c>
      <c r="J177" s="43" t="s">
        <v>81</v>
      </c>
      <c r="K177" s="43" t="s">
        <v>47</v>
      </c>
      <c r="L177" s="43"/>
      <c r="M177" s="43">
        <v>1</v>
      </c>
      <c r="N177" s="43">
        <v>0</v>
      </c>
      <c r="O177" s="43">
        <v>0</v>
      </c>
      <c r="P177" s="43">
        <v>0</v>
      </c>
      <c r="Q177" s="43">
        <v>0</v>
      </c>
      <c r="R177" s="43">
        <v>0</v>
      </c>
      <c r="S177" s="43">
        <v>1</v>
      </c>
      <c r="T177" s="43">
        <v>1</v>
      </c>
      <c r="U177" s="43">
        <v>1</v>
      </c>
      <c r="V177" s="43">
        <v>0</v>
      </c>
      <c r="W177" s="43" t="s">
        <v>1464</v>
      </c>
      <c r="X177" s="43" t="s">
        <v>2007</v>
      </c>
      <c r="Y177" s="43">
        <v>0</v>
      </c>
      <c r="Z177" s="43">
        <v>3</v>
      </c>
      <c r="AA177" s="43">
        <v>2007</v>
      </c>
      <c r="AB177" s="43">
        <v>9999</v>
      </c>
      <c r="AC177" s="43" t="s">
        <v>35</v>
      </c>
    </row>
    <row r="178" spans="1:29" x14ac:dyDescent="0.25">
      <c r="A178" s="56" t="s">
        <v>825</v>
      </c>
      <c r="B178" s="39" t="s">
        <v>826</v>
      </c>
      <c r="C178" s="43"/>
      <c r="D178" s="43">
        <v>1</v>
      </c>
      <c r="E178" s="43" t="s">
        <v>80</v>
      </c>
      <c r="F178" s="43">
        <v>8</v>
      </c>
      <c r="G178" s="43">
        <v>2026</v>
      </c>
      <c r="H178" s="43"/>
      <c r="I178" s="43">
        <v>134.80000000000001</v>
      </c>
      <c r="J178" s="43" t="s">
        <v>81</v>
      </c>
      <c r="K178" s="43" t="s">
        <v>47</v>
      </c>
      <c r="L178" s="43"/>
      <c r="M178" s="43">
        <v>0</v>
      </c>
      <c r="N178" s="43">
        <v>0</v>
      </c>
      <c r="O178" s="43">
        <v>0</v>
      </c>
      <c r="P178" s="43">
        <v>0</v>
      </c>
      <c r="Q178" s="43">
        <v>0</v>
      </c>
      <c r="R178" s="43">
        <v>0</v>
      </c>
      <c r="S178" s="43">
        <v>1</v>
      </c>
      <c r="T178" s="43">
        <v>1</v>
      </c>
      <c r="U178" s="43">
        <v>1</v>
      </c>
      <c r="V178" s="43">
        <v>0</v>
      </c>
      <c r="W178" s="43" t="s">
        <v>1188</v>
      </c>
      <c r="X178" s="43" t="s">
        <v>1794</v>
      </c>
      <c r="Y178" s="43">
        <v>0</v>
      </c>
      <c r="Z178" s="43">
        <v>0</v>
      </c>
      <c r="AA178" s="43">
        <v>2007</v>
      </c>
      <c r="AB178" s="43">
        <v>9999</v>
      </c>
      <c r="AC178" s="43" t="s">
        <v>35</v>
      </c>
    </row>
    <row r="179" spans="1:29" x14ac:dyDescent="0.25">
      <c r="A179" s="56" t="s">
        <v>562</v>
      </c>
      <c r="B179" s="39" t="s">
        <v>1554</v>
      </c>
      <c r="C179" s="43"/>
      <c r="D179" s="43">
        <v>1</v>
      </c>
      <c r="E179" s="43" t="s">
        <v>80</v>
      </c>
      <c r="F179" s="43">
        <v>8</v>
      </c>
      <c r="G179" s="43">
        <v>2026</v>
      </c>
      <c r="H179" s="43"/>
      <c r="I179" s="43">
        <v>145</v>
      </c>
      <c r="J179" s="43" t="s">
        <v>81</v>
      </c>
      <c r="K179" s="43" t="s">
        <v>47</v>
      </c>
      <c r="L179" s="43"/>
      <c r="M179" s="43">
        <v>1</v>
      </c>
      <c r="N179" s="43">
        <v>0</v>
      </c>
      <c r="O179" s="43">
        <v>0</v>
      </c>
      <c r="P179" s="43">
        <v>0</v>
      </c>
      <c r="Q179" s="43">
        <v>0</v>
      </c>
      <c r="R179" s="43">
        <v>0</v>
      </c>
      <c r="S179" s="43">
        <v>1</v>
      </c>
      <c r="T179" s="43">
        <v>1</v>
      </c>
      <c r="U179" s="43">
        <v>1</v>
      </c>
      <c r="V179" s="43">
        <v>0</v>
      </c>
      <c r="W179" s="43" t="s">
        <v>1128</v>
      </c>
      <c r="X179" s="43" t="s">
        <v>1739</v>
      </c>
      <c r="Y179" s="43">
        <v>0</v>
      </c>
      <c r="Z179" s="43">
        <v>0</v>
      </c>
      <c r="AA179" s="43">
        <v>2007</v>
      </c>
      <c r="AB179" s="43">
        <v>9999</v>
      </c>
      <c r="AC179" s="43" t="s">
        <v>35</v>
      </c>
    </row>
    <row r="180" spans="1:29" x14ac:dyDescent="0.25">
      <c r="A180" s="56" t="s">
        <v>670</v>
      </c>
      <c r="B180" s="39" t="s">
        <v>671</v>
      </c>
      <c r="C180" s="43"/>
      <c r="D180" s="43">
        <v>1</v>
      </c>
      <c r="E180" s="43" t="s">
        <v>80</v>
      </c>
      <c r="F180" s="43">
        <v>8</v>
      </c>
      <c r="G180" s="43">
        <v>2026</v>
      </c>
      <c r="H180" s="43"/>
      <c r="I180" s="43">
        <v>233.5</v>
      </c>
      <c r="J180" s="43" t="s">
        <v>81</v>
      </c>
      <c r="K180" s="43" t="s">
        <v>47</v>
      </c>
      <c r="L180" s="43"/>
      <c r="M180" s="43">
        <v>1</v>
      </c>
      <c r="N180" s="43">
        <v>0</v>
      </c>
      <c r="O180" s="43">
        <v>0</v>
      </c>
      <c r="P180" s="43">
        <v>0</v>
      </c>
      <c r="Q180" s="43">
        <v>0</v>
      </c>
      <c r="R180" s="43">
        <v>0</v>
      </c>
      <c r="S180" s="43">
        <v>1</v>
      </c>
      <c r="T180" s="43">
        <v>1</v>
      </c>
      <c r="U180" s="43">
        <v>1</v>
      </c>
      <c r="V180" s="43">
        <v>0</v>
      </c>
      <c r="W180" s="43" t="s">
        <v>1498</v>
      </c>
      <c r="X180" s="43" t="s">
        <v>1757</v>
      </c>
      <c r="Y180" s="43">
        <v>0</v>
      </c>
      <c r="Z180" s="43">
        <v>0</v>
      </c>
      <c r="AA180" s="43">
        <v>2007</v>
      </c>
      <c r="AB180" s="43">
        <v>9999</v>
      </c>
      <c r="AC180" s="43" t="s">
        <v>35</v>
      </c>
    </row>
    <row r="181" spans="1:29" x14ac:dyDescent="0.25">
      <c r="A181" s="56" t="s">
        <v>568</v>
      </c>
      <c r="B181" s="39" t="s">
        <v>569</v>
      </c>
      <c r="C181" s="43"/>
      <c r="D181" s="43">
        <v>1</v>
      </c>
      <c r="E181" s="43" t="s">
        <v>80</v>
      </c>
      <c r="F181" s="43">
        <v>8</v>
      </c>
      <c r="G181" s="43">
        <v>2026</v>
      </c>
      <c r="H181" s="43"/>
      <c r="I181" s="43">
        <v>245.3</v>
      </c>
      <c r="J181" s="43" t="s">
        <v>81</v>
      </c>
      <c r="K181" s="43" t="s">
        <v>47</v>
      </c>
      <c r="L181" s="43"/>
      <c r="M181" s="43">
        <v>0</v>
      </c>
      <c r="N181" s="43">
        <v>0</v>
      </c>
      <c r="O181" s="43">
        <v>0</v>
      </c>
      <c r="P181" s="43">
        <v>0</v>
      </c>
      <c r="Q181" s="43">
        <v>0</v>
      </c>
      <c r="R181" s="43">
        <v>0</v>
      </c>
      <c r="S181" s="43">
        <v>1</v>
      </c>
      <c r="T181" s="43">
        <v>1</v>
      </c>
      <c r="U181" s="43">
        <v>1</v>
      </c>
      <c r="V181" s="43">
        <v>0</v>
      </c>
      <c r="W181" s="43" t="s">
        <v>1129</v>
      </c>
      <c r="X181" s="43" t="s">
        <v>1740</v>
      </c>
      <c r="Y181" s="43">
        <v>0</v>
      </c>
      <c r="Z181" s="43">
        <v>0</v>
      </c>
      <c r="AA181" s="43">
        <v>2007</v>
      </c>
      <c r="AB181" s="43">
        <v>9999</v>
      </c>
      <c r="AC181" s="43" t="s">
        <v>35</v>
      </c>
    </row>
    <row r="182" spans="1:29" x14ac:dyDescent="0.25">
      <c r="A182" s="56" t="s">
        <v>790</v>
      </c>
      <c r="B182" s="39" t="s">
        <v>791</v>
      </c>
      <c r="C182" s="43"/>
      <c r="D182" s="43">
        <v>1</v>
      </c>
      <c r="E182" s="43" t="s">
        <v>80</v>
      </c>
      <c r="F182" s="43">
        <v>8</v>
      </c>
      <c r="G182" s="43">
        <v>2026</v>
      </c>
      <c r="H182" s="43"/>
      <c r="I182" s="43">
        <v>305.60000000000002</v>
      </c>
      <c r="J182" s="43" t="s">
        <v>81</v>
      </c>
      <c r="K182" s="43" t="s">
        <v>47</v>
      </c>
      <c r="L182" s="43"/>
      <c r="M182" s="43">
        <v>1</v>
      </c>
      <c r="N182" s="43">
        <v>0</v>
      </c>
      <c r="O182" s="43">
        <v>0</v>
      </c>
      <c r="P182" s="43">
        <v>0</v>
      </c>
      <c r="Q182" s="43">
        <v>0</v>
      </c>
      <c r="R182" s="43">
        <v>0</v>
      </c>
      <c r="S182" s="43">
        <v>1</v>
      </c>
      <c r="T182" s="43">
        <v>1</v>
      </c>
      <c r="U182" s="43">
        <v>1</v>
      </c>
      <c r="V182" s="43">
        <v>0</v>
      </c>
      <c r="W182" s="43" t="s">
        <v>1507</v>
      </c>
      <c r="X182" s="43" t="s">
        <v>1787</v>
      </c>
      <c r="Y182" s="43">
        <v>0</v>
      </c>
      <c r="Z182" s="43">
        <v>0</v>
      </c>
      <c r="AA182" s="43">
        <v>2007</v>
      </c>
      <c r="AB182" s="43">
        <v>9999</v>
      </c>
      <c r="AC182" s="43" t="s">
        <v>35</v>
      </c>
    </row>
    <row r="183" spans="1:29" ht="30" x14ac:dyDescent="0.25">
      <c r="A183" s="56" t="s">
        <v>822</v>
      </c>
      <c r="B183" s="39" t="s">
        <v>1932</v>
      </c>
      <c r="C183" s="51" t="s">
        <v>1933</v>
      </c>
      <c r="D183" s="43">
        <v>1</v>
      </c>
      <c r="E183" s="43" t="s">
        <v>80</v>
      </c>
      <c r="F183" s="43">
        <v>8</v>
      </c>
      <c r="G183" s="43">
        <v>2026</v>
      </c>
      <c r="H183" s="43"/>
      <c r="I183" s="43">
        <v>351.5</v>
      </c>
      <c r="J183" s="43" t="s">
        <v>81</v>
      </c>
      <c r="K183" s="43" t="s">
        <v>47</v>
      </c>
      <c r="L183" s="43"/>
      <c r="M183" s="43">
        <v>0</v>
      </c>
      <c r="N183" s="43">
        <v>0</v>
      </c>
      <c r="O183" s="43">
        <v>0</v>
      </c>
      <c r="P183" s="43">
        <v>0</v>
      </c>
      <c r="Q183" s="43">
        <v>0</v>
      </c>
      <c r="R183" s="43">
        <v>0</v>
      </c>
      <c r="S183" s="43">
        <v>1</v>
      </c>
      <c r="T183" s="43">
        <v>1</v>
      </c>
      <c r="U183" s="43">
        <v>1</v>
      </c>
      <c r="V183" s="43">
        <v>0</v>
      </c>
      <c r="W183" s="43" t="s">
        <v>2029</v>
      </c>
      <c r="X183" s="43" t="s">
        <v>2030</v>
      </c>
      <c r="Y183" s="43">
        <v>0</v>
      </c>
      <c r="Z183" s="43">
        <v>1</v>
      </c>
      <c r="AA183" s="43">
        <v>2007</v>
      </c>
      <c r="AB183" s="43">
        <v>9999</v>
      </c>
      <c r="AC183" s="43" t="s">
        <v>35</v>
      </c>
    </row>
    <row r="184" spans="1:29" x14ac:dyDescent="0.25">
      <c r="A184" s="56" t="s">
        <v>673</v>
      </c>
      <c r="B184" s="39" t="s">
        <v>1321</v>
      </c>
      <c r="C184" s="43"/>
      <c r="D184" s="43">
        <v>1</v>
      </c>
      <c r="E184" s="43" t="s">
        <v>358</v>
      </c>
      <c r="F184" s="43">
        <v>1</v>
      </c>
      <c r="G184" s="43">
        <v>2026</v>
      </c>
      <c r="H184" s="43"/>
      <c r="I184" s="43">
        <v>381.9</v>
      </c>
      <c r="J184" s="43" t="s">
        <v>81</v>
      </c>
      <c r="K184" s="43" t="s">
        <v>47</v>
      </c>
      <c r="L184" s="43"/>
      <c r="M184" s="43">
        <v>1</v>
      </c>
      <c r="N184" s="43">
        <v>0</v>
      </c>
      <c r="O184" s="43">
        <v>0</v>
      </c>
      <c r="P184" s="43">
        <v>0</v>
      </c>
      <c r="Q184" s="43">
        <v>0</v>
      </c>
      <c r="R184" s="43">
        <v>0</v>
      </c>
      <c r="S184" s="43">
        <v>1</v>
      </c>
      <c r="T184" s="43">
        <v>1</v>
      </c>
      <c r="U184" s="43">
        <v>1</v>
      </c>
      <c r="V184" s="43">
        <v>0</v>
      </c>
      <c r="W184" s="43" t="s">
        <v>1322</v>
      </c>
      <c r="X184" s="43" t="s">
        <v>2015</v>
      </c>
      <c r="Y184" s="43">
        <v>0</v>
      </c>
      <c r="Z184" s="43">
        <v>2</v>
      </c>
      <c r="AA184" s="43">
        <v>2007</v>
      </c>
      <c r="AB184" s="43">
        <v>9999</v>
      </c>
      <c r="AC184" s="43" t="s">
        <v>35</v>
      </c>
    </row>
    <row r="185" spans="1:29" x14ac:dyDescent="0.25">
      <c r="A185" s="56" t="s">
        <v>894</v>
      </c>
      <c r="B185" s="39" t="s">
        <v>895</v>
      </c>
      <c r="C185" s="43"/>
      <c r="D185" s="43">
        <v>1</v>
      </c>
      <c r="E185" s="43" t="s">
        <v>38</v>
      </c>
      <c r="F185" s="43">
        <v>4</v>
      </c>
      <c r="G185" s="43">
        <v>2026</v>
      </c>
      <c r="H185" s="43" t="s">
        <v>715</v>
      </c>
      <c r="I185" s="43">
        <v>0</v>
      </c>
      <c r="J185" s="43" t="s">
        <v>1608</v>
      </c>
      <c r="K185" s="43" t="s">
        <v>53</v>
      </c>
      <c r="L185" s="43" t="s">
        <v>53</v>
      </c>
      <c r="M185" s="43">
        <v>0</v>
      </c>
      <c r="N185" s="43">
        <v>0</v>
      </c>
      <c r="O185" s="43">
        <v>0</v>
      </c>
      <c r="P185" s="43">
        <v>0</v>
      </c>
      <c r="Q185" s="43">
        <v>0</v>
      </c>
      <c r="R185" s="43">
        <v>0</v>
      </c>
      <c r="S185" s="43">
        <v>0</v>
      </c>
      <c r="T185" s="43">
        <v>0</v>
      </c>
      <c r="U185" s="43">
        <v>0</v>
      </c>
      <c r="V185" s="43">
        <v>0</v>
      </c>
      <c r="W185" s="43" t="s">
        <v>897</v>
      </c>
      <c r="X185" s="43" t="s">
        <v>1811</v>
      </c>
      <c r="Y185" s="43">
        <v>0</v>
      </c>
      <c r="Z185" s="43">
        <v>0</v>
      </c>
      <c r="AA185" s="43">
        <v>2007</v>
      </c>
      <c r="AB185" s="43">
        <v>9999</v>
      </c>
      <c r="AC185" s="43" t="s">
        <v>35</v>
      </c>
    </row>
    <row r="186" spans="1:29" x14ac:dyDescent="0.25">
      <c r="A186" s="56" t="s">
        <v>900</v>
      </c>
      <c r="B186" s="39" t="s">
        <v>901</v>
      </c>
      <c r="C186" s="43"/>
      <c r="D186" s="43">
        <v>1</v>
      </c>
      <c r="E186" s="43" t="s">
        <v>38</v>
      </c>
      <c r="F186" s="43">
        <v>4</v>
      </c>
      <c r="G186" s="43">
        <v>2026</v>
      </c>
      <c r="H186" s="43" t="s">
        <v>596</v>
      </c>
      <c r="I186" s="43">
        <v>0.2</v>
      </c>
      <c r="J186" s="43" t="s">
        <v>1608</v>
      </c>
      <c r="K186" s="43" t="s">
        <v>53</v>
      </c>
      <c r="L186" s="43" t="s">
        <v>902</v>
      </c>
      <c r="M186" s="43">
        <v>0</v>
      </c>
      <c r="N186" s="43">
        <v>0</v>
      </c>
      <c r="O186" s="43">
        <v>0</v>
      </c>
      <c r="P186" s="43">
        <v>0</v>
      </c>
      <c r="Q186" s="43">
        <v>0</v>
      </c>
      <c r="R186" s="43">
        <v>0</v>
      </c>
      <c r="S186" s="43">
        <v>0</v>
      </c>
      <c r="T186" s="43">
        <v>0</v>
      </c>
      <c r="U186" s="43">
        <v>0</v>
      </c>
      <c r="V186" s="43">
        <v>0</v>
      </c>
      <c r="W186" s="43" t="s">
        <v>903</v>
      </c>
      <c r="X186" s="43" t="s">
        <v>1812</v>
      </c>
      <c r="Y186" s="43">
        <v>0</v>
      </c>
      <c r="Z186" s="43">
        <v>0</v>
      </c>
      <c r="AA186" s="43">
        <v>2007</v>
      </c>
      <c r="AB186" s="43">
        <v>9999</v>
      </c>
      <c r="AC186" s="43" t="s">
        <v>35</v>
      </c>
    </row>
    <row r="187" spans="1:29" x14ac:dyDescent="0.25">
      <c r="A187" s="56" t="s">
        <v>996</v>
      </c>
      <c r="B187" s="39" t="s">
        <v>1342</v>
      </c>
      <c r="C187" s="43"/>
      <c r="D187" s="43">
        <v>1</v>
      </c>
      <c r="E187" s="43" t="s">
        <v>38</v>
      </c>
      <c r="F187" s="43">
        <v>4</v>
      </c>
      <c r="G187" s="43">
        <v>2026</v>
      </c>
      <c r="H187" s="43" t="s">
        <v>998</v>
      </c>
      <c r="I187" s="43">
        <v>2.5</v>
      </c>
      <c r="J187" s="43" t="s">
        <v>1608</v>
      </c>
      <c r="K187" s="43" t="s">
        <v>41</v>
      </c>
      <c r="L187" s="43"/>
      <c r="M187" s="43">
        <v>0</v>
      </c>
      <c r="N187" s="43">
        <v>0</v>
      </c>
      <c r="O187" s="43">
        <v>0</v>
      </c>
      <c r="P187" s="43">
        <v>0</v>
      </c>
      <c r="Q187" s="43">
        <v>0</v>
      </c>
      <c r="R187" s="43">
        <v>0</v>
      </c>
      <c r="S187" s="43">
        <v>0</v>
      </c>
      <c r="T187" s="43">
        <v>0</v>
      </c>
      <c r="U187" s="43">
        <v>0</v>
      </c>
      <c r="V187" s="43">
        <v>0</v>
      </c>
      <c r="W187" s="43" t="s">
        <v>1344</v>
      </c>
      <c r="X187" s="43" t="s">
        <v>2045</v>
      </c>
      <c r="Y187" s="43">
        <v>0</v>
      </c>
      <c r="Z187" s="43">
        <v>0</v>
      </c>
      <c r="AA187" s="43">
        <v>2007</v>
      </c>
      <c r="AB187" s="43">
        <v>9999</v>
      </c>
      <c r="AC187" s="43" t="s">
        <v>35</v>
      </c>
    </row>
    <row r="188" spans="1:29" x14ac:dyDescent="0.25">
      <c r="A188" s="56" t="s">
        <v>866</v>
      </c>
      <c r="B188" s="39" t="s">
        <v>867</v>
      </c>
      <c r="C188" s="43" t="s">
        <v>868</v>
      </c>
      <c r="D188" s="43">
        <v>1</v>
      </c>
      <c r="E188" s="43" t="s">
        <v>869</v>
      </c>
      <c r="F188" s="43">
        <v>4</v>
      </c>
      <c r="G188" s="43">
        <v>2026</v>
      </c>
      <c r="H188" s="43"/>
      <c r="I188" s="43">
        <v>213.7</v>
      </c>
      <c r="J188" s="43" t="s">
        <v>1608</v>
      </c>
      <c r="K188" s="43" t="s">
        <v>32</v>
      </c>
      <c r="L188" s="43"/>
      <c r="M188" s="43">
        <v>0</v>
      </c>
      <c r="N188" s="43">
        <v>0</v>
      </c>
      <c r="O188" s="43">
        <v>0</v>
      </c>
      <c r="P188" s="43">
        <v>0</v>
      </c>
      <c r="Q188" s="43">
        <v>0</v>
      </c>
      <c r="R188" s="43">
        <v>0</v>
      </c>
      <c r="S188" s="43">
        <v>1</v>
      </c>
      <c r="T188" s="43">
        <v>1</v>
      </c>
      <c r="U188" s="43">
        <v>1</v>
      </c>
      <c r="V188" s="43">
        <v>0</v>
      </c>
      <c r="W188" s="43" t="s">
        <v>1199</v>
      </c>
      <c r="X188" s="43" t="s">
        <v>1804</v>
      </c>
      <c r="Y188" s="43">
        <v>0</v>
      </c>
      <c r="Z188" s="43">
        <v>0</v>
      </c>
      <c r="AA188" s="43">
        <v>2007</v>
      </c>
      <c r="AB188" s="43">
        <v>9999</v>
      </c>
      <c r="AC188" s="43" t="s">
        <v>35</v>
      </c>
    </row>
    <row r="189" spans="1:29" x14ac:dyDescent="0.25">
      <c r="A189" s="56" t="s">
        <v>113</v>
      </c>
      <c r="B189" s="39" t="s">
        <v>114</v>
      </c>
      <c r="C189" s="43"/>
      <c r="D189" s="43">
        <v>1</v>
      </c>
      <c r="E189" s="43" t="s">
        <v>115</v>
      </c>
      <c r="F189" s="43">
        <v>6</v>
      </c>
      <c r="G189" s="43">
        <v>2026</v>
      </c>
      <c r="H189" s="43"/>
      <c r="I189" s="43">
        <v>225.6</v>
      </c>
      <c r="J189" s="43" t="s">
        <v>1608</v>
      </c>
      <c r="K189" s="43" t="s">
        <v>47</v>
      </c>
      <c r="L189" s="43"/>
      <c r="M189" s="43">
        <v>1</v>
      </c>
      <c r="N189" s="43">
        <v>0</v>
      </c>
      <c r="O189" s="43">
        <v>0</v>
      </c>
      <c r="P189" s="43">
        <v>0</v>
      </c>
      <c r="Q189" s="43">
        <v>0</v>
      </c>
      <c r="R189" s="43">
        <v>0</v>
      </c>
      <c r="S189" s="43">
        <v>1</v>
      </c>
      <c r="T189" s="43">
        <v>1</v>
      </c>
      <c r="U189" s="43">
        <v>1</v>
      </c>
      <c r="V189" s="43">
        <v>0</v>
      </c>
      <c r="W189" s="43" t="s">
        <v>1586</v>
      </c>
      <c r="X189" s="43" t="s">
        <v>1937</v>
      </c>
      <c r="Y189" s="43">
        <v>1</v>
      </c>
      <c r="Z189" s="43">
        <v>0</v>
      </c>
      <c r="AA189" s="43">
        <v>2007</v>
      </c>
      <c r="AB189" s="43">
        <v>9999</v>
      </c>
      <c r="AC189" s="43" t="s">
        <v>35</v>
      </c>
    </row>
    <row r="190" spans="1:29" x14ac:dyDescent="0.25">
      <c r="A190" s="56" t="s">
        <v>862</v>
      </c>
      <c r="B190" s="39" t="s">
        <v>863</v>
      </c>
      <c r="C190" s="43" t="s">
        <v>864</v>
      </c>
      <c r="D190" s="43">
        <v>1</v>
      </c>
      <c r="E190" s="43" t="s">
        <v>442</v>
      </c>
      <c r="F190" s="43">
        <v>4</v>
      </c>
      <c r="G190" s="43">
        <v>2026</v>
      </c>
      <c r="H190" s="43"/>
      <c r="I190" s="43">
        <v>359.6</v>
      </c>
      <c r="J190" s="43" t="s">
        <v>1608</v>
      </c>
      <c r="K190" s="43" t="s">
        <v>47</v>
      </c>
      <c r="L190" s="43"/>
      <c r="M190" s="43">
        <v>1</v>
      </c>
      <c r="N190" s="43">
        <v>0</v>
      </c>
      <c r="O190" s="43">
        <v>0</v>
      </c>
      <c r="P190" s="43">
        <v>0</v>
      </c>
      <c r="Q190" s="43">
        <v>0</v>
      </c>
      <c r="R190" s="43">
        <v>0</v>
      </c>
      <c r="S190" s="43">
        <v>1</v>
      </c>
      <c r="T190" s="43">
        <v>1</v>
      </c>
      <c r="U190" s="43">
        <v>1</v>
      </c>
      <c r="V190" s="43">
        <v>0</v>
      </c>
      <c r="W190" s="43" t="s">
        <v>1334</v>
      </c>
      <c r="X190" s="43" t="s">
        <v>1803</v>
      </c>
      <c r="Y190" s="43">
        <v>0</v>
      </c>
      <c r="Z190" s="43">
        <v>0</v>
      </c>
      <c r="AA190" s="43">
        <v>2007</v>
      </c>
      <c r="AB190" s="43">
        <v>9999</v>
      </c>
      <c r="AC190" s="43" t="s">
        <v>35</v>
      </c>
    </row>
    <row r="191" spans="1:29" x14ac:dyDescent="0.25">
      <c r="A191" s="56" t="s">
        <v>439</v>
      </c>
      <c r="B191" s="39" t="s">
        <v>440</v>
      </c>
      <c r="C191" s="43" t="s">
        <v>441</v>
      </c>
      <c r="D191" s="43">
        <v>1</v>
      </c>
      <c r="E191" s="43" t="s">
        <v>442</v>
      </c>
      <c r="F191" s="43">
        <v>4</v>
      </c>
      <c r="G191" s="43">
        <v>2026</v>
      </c>
      <c r="H191" s="43"/>
      <c r="I191" s="43">
        <v>663.7</v>
      </c>
      <c r="J191" s="43" t="s">
        <v>1608</v>
      </c>
      <c r="K191" s="43" t="s">
        <v>47</v>
      </c>
      <c r="L191" s="43"/>
      <c r="M191" s="43">
        <v>1</v>
      </c>
      <c r="N191" s="43">
        <v>0</v>
      </c>
      <c r="O191" s="43">
        <v>0</v>
      </c>
      <c r="P191" s="43">
        <v>0</v>
      </c>
      <c r="Q191" s="43">
        <v>0</v>
      </c>
      <c r="R191" s="43">
        <v>0</v>
      </c>
      <c r="S191" s="43">
        <v>1</v>
      </c>
      <c r="T191" s="43">
        <v>1</v>
      </c>
      <c r="U191" s="43">
        <v>1</v>
      </c>
      <c r="V191" s="43">
        <v>0</v>
      </c>
      <c r="W191" s="43" t="s">
        <v>1304</v>
      </c>
      <c r="X191" s="43" t="s">
        <v>1868</v>
      </c>
      <c r="Y191" s="43">
        <v>0</v>
      </c>
      <c r="Z191" s="43">
        <v>0</v>
      </c>
      <c r="AA191" s="43">
        <v>2007</v>
      </c>
      <c r="AB191" s="43">
        <v>9999</v>
      </c>
      <c r="AC191" s="43" t="s">
        <v>35</v>
      </c>
    </row>
    <row r="192" spans="1:29" x14ac:dyDescent="0.25">
      <c r="A192" s="56" t="s">
        <v>734</v>
      </c>
      <c r="B192" s="39" t="s">
        <v>735</v>
      </c>
      <c r="C192" s="43"/>
      <c r="D192" s="43">
        <v>1</v>
      </c>
      <c r="E192" s="43" t="s">
        <v>736</v>
      </c>
      <c r="F192" s="43">
        <v>4</v>
      </c>
      <c r="G192" s="43">
        <v>2026</v>
      </c>
      <c r="H192" s="43"/>
      <c r="I192" s="43">
        <v>699.2</v>
      </c>
      <c r="J192" s="43" t="s">
        <v>1608</v>
      </c>
      <c r="K192" s="43" t="s">
        <v>32</v>
      </c>
      <c r="L192" s="43"/>
      <c r="M192" s="43">
        <v>0</v>
      </c>
      <c r="N192" s="43">
        <v>0</v>
      </c>
      <c r="O192" s="43">
        <v>0</v>
      </c>
      <c r="P192" s="43">
        <v>0</v>
      </c>
      <c r="Q192" s="43">
        <v>0</v>
      </c>
      <c r="R192" s="43">
        <v>0</v>
      </c>
      <c r="S192" s="43">
        <v>1</v>
      </c>
      <c r="T192" s="43">
        <v>1</v>
      </c>
      <c r="U192" s="43">
        <v>1</v>
      </c>
      <c r="V192" s="43">
        <v>0</v>
      </c>
      <c r="W192" s="43" t="s">
        <v>1324</v>
      </c>
      <c r="X192" s="43" t="s">
        <v>1773</v>
      </c>
      <c r="Y192" s="43">
        <v>0</v>
      </c>
      <c r="Z192" s="43">
        <v>0</v>
      </c>
      <c r="AA192" s="43">
        <v>2007</v>
      </c>
      <c r="AB192" s="43">
        <v>9999</v>
      </c>
      <c r="AC192" s="43" t="s">
        <v>35</v>
      </c>
    </row>
    <row r="193" spans="1:29" x14ac:dyDescent="0.25">
      <c r="A193" s="56" t="s">
        <v>453</v>
      </c>
      <c r="B193" s="39" t="s">
        <v>454</v>
      </c>
      <c r="C193" s="43" t="s">
        <v>455</v>
      </c>
      <c r="D193" s="43">
        <v>1</v>
      </c>
      <c r="E193" s="43" t="s">
        <v>456</v>
      </c>
      <c r="F193" s="43">
        <v>4</v>
      </c>
      <c r="G193" s="43">
        <v>2026</v>
      </c>
      <c r="H193" s="43"/>
      <c r="I193" s="43">
        <v>1194.8</v>
      </c>
      <c r="J193" s="43" t="s">
        <v>1608</v>
      </c>
      <c r="K193" s="43" t="s">
        <v>32</v>
      </c>
      <c r="L193" s="43" t="s">
        <v>33</v>
      </c>
      <c r="M193" s="43">
        <v>0</v>
      </c>
      <c r="N193" s="43">
        <v>1</v>
      </c>
      <c r="O193" s="43">
        <v>0</v>
      </c>
      <c r="P193" s="43">
        <v>0</v>
      </c>
      <c r="Q193" s="43">
        <v>0</v>
      </c>
      <c r="R193" s="43">
        <v>1</v>
      </c>
      <c r="S193" s="43">
        <v>1</v>
      </c>
      <c r="T193" s="43">
        <v>1</v>
      </c>
      <c r="U193" s="43">
        <v>1</v>
      </c>
      <c r="V193" s="43">
        <v>0</v>
      </c>
      <c r="W193" s="43" t="s">
        <v>1360</v>
      </c>
      <c r="X193" s="43" t="s">
        <v>1714</v>
      </c>
      <c r="Y193" s="43">
        <v>0</v>
      </c>
      <c r="Z193" s="43">
        <v>0</v>
      </c>
      <c r="AA193" s="43">
        <v>2007</v>
      </c>
      <c r="AB193" s="43">
        <v>9999</v>
      </c>
      <c r="AC193" s="43" t="s">
        <v>35</v>
      </c>
    </row>
    <row r="194" spans="1:29" x14ac:dyDescent="0.25">
      <c r="A194" s="56" t="s">
        <v>722</v>
      </c>
      <c r="B194" s="39" t="s">
        <v>723</v>
      </c>
      <c r="C194" s="43"/>
      <c r="D194" s="43">
        <v>1</v>
      </c>
      <c r="E194" s="43" t="s">
        <v>724</v>
      </c>
      <c r="F194" s="43">
        <v>4</v>
      </c>
      <c r="G194" s="43">
        <v>2026</v>
      </c>
      <c r="H194" s="43"/>
      <c r="I194" s="43">
        <v>1393.7</v>
      </c>
      <c r="J194" s="43" t="s">
        <v>1608</v>
      </c>
      <c r="K194" s="43" t="s">
        <v>32</v>
      </c>
      <c r="L194" s="43" t="s">
        <v>33</v>
      </c>
      <c r="M194" s="43">
        <v>0</v>
      </c>
      <c r="N194" s="43">
        <v>0</v>
      </c>
      <c r="O194" s="43">
        <v>0</v>
      </c>
      <c r="P194" s="43">
        <v>0</v>
      </c>
      <c r="Q194" s="43">
        <v>0</v>
      </c>
      <c r="R194" s="43">
        <v>1</v>
      </c>
      <c r="S194" s="43">
        <v>1</v>
      </c>
      <c r="T194" s="43">
        <v>1</v>
      </c>
      <c r="U194" s="43">
        <v>1</v>
      </c>
      <c r="V194" s="43">
        <v>0</v>
      </c>
      <c r="W194" s="43" t="s">
        <v>1161</v>
      </c>
      <c r="X194" s="43" t="s">
        <v>2018</v>
      </c>
      <c r="Y194" s="43">
        <v>0</v>
      </c>
      <c r="Z194" s="43">
        <v>0</v>
      </c>
      <c r="AA194" s="43">
        <v>2007</v>
      </c>
      <c r="AB194" s="43">
        <v>9999</v>
      </c>
      <c r="AC194" s="43" t="s">
        <v>35</v>
      </c>
    </row>
    <row r="195" spans="1:29" x14ac:dyDescent="0.25">
      <c r="A195" s="56" t="s">
        <v>800</v>
      </c>
      <c r="B195" s="39" t="s">
        <v>801</v>
      </c>
      <c r="C195" s="43" t="s">
        <v>802</v>
      </c>
      <c r="D195" s="43">
        <v>1</v>
      </c>
      <c r="E195" s="43" t="s">
        <v>442</v>
      </c>
      <c r="F195" s="43">
        <v>4</v>
      </c>
      <c r="G195" s="43">
        <v>2026</v>
      </c>
      <c r="H195" s="43"/>
      <c r="I195" s="43">
        <v>1743.9</v>
      </c>
      <c r="J195" s="43" t="s">
        <v>1608</v>
      </c>
      <c r="K195" s="43" t="s">
        <v>32</v>
      </c>
      <c r="L195" s="43"/>
      <c r="M195" s="43">
        <v>0</v>
      </c>
      <c r="N195" s="43">
        <v>1</v>
      </c>
      <c r="O195" s="43">
        <v>0</v>
      </c>
      <c r="P195" s="43">
        <v>0</v>
      </c>
      <c r="Q195" s="43">
        <v>0</v>
      </c>
      <c r="R195" s="43">
        <v>0</v>
      </c>
      <c r="S195" s="43">
        <v>1</v>
      </c>
      <c r="T195" s="43">
        <v>1</v>
      </c>
      <c r="U195" s="43">
        <v>1</v>
      </c>
      <c r="V195" s="43">
        <v>0</v>
      </c>
      <c r="W195" s="43" t="s">
        <v>1331</v>
      </c>
      <c r="X195" s="43" t="s">
        <v>2027</v>
      </c>
      <c r="Y195" s="43">
        <v>6</v>
      </c>
      <c r="Z195" s="43">
        <v>4</v>
      </c>
      <c r="AA195" s="43">
        <v>2007</v>
      </c>
      <c r="AB195" s="43">
        <v>9999</v>
      </c>
      <c r="AC195" s="43" t="s">
        <v>35</v>
      </c>
    </row>
    <row r="196" spans="1:29" x14ac:dyDescent="0.25">
      <c r="A196" s="56">
        <v>2021004888</v>
      </c>
      <c r="B196" s="39" t="s">
        <v>1246</v>
      </c>
      <c r="C196" s="43"/>
      <c r="D196" s="43">
        <v>1</v>
      </c>
      <c r="E196" s="43" t="s">
        <v>45</v>
      </c>
      <c r="F196" s="43">
        <v>4</v>
      </c>
      <c r="G196" s="43">
        <v>2026</v>
      </c>
      <c r="H196" s="43"/>
      <c r="I196" s="43">
        <v>1879</v>
      </c>
      <c r="J196" s="43" t="s">
        <v>1608</v>
      </c>
      <c r="K196" s="43" t="s">
        <v>32</v>
      </c>
      <c r="L196" s="43"/>
      <c r="M196" s="43">
        <v>0</v>
      </c>
      <c r="N196" s="43">
        <v>0</v>
      </c>
      <c r="O196" s="43">
        <v>0</v>
      </c>
      <c r="P196" s="43">
        <v>0</v>
      </c>
      <c r="Q196" s="43">
        <v>0</v>
      </c>
      <c r="R196" s="43">
        <v>0</v>
      </c>
      <c r="S196" s="43">
        <v>1</v>
      </c>
      <c r="T196" s="43">
        <v>1</v>
      </c>
      <c r="U196" s="43">
        <v>1</v>
      </c>
      <c r="V196" s="43">
        <v>0</v>
      </c>
      <c r="W196" s="43" t="s">
        <v>1301</v>
      </c>
      <c r="X196" s="43" t="s">
        <v>1974</v>
      </c>
      <c r="Y196" s="43">
        <v>0</v>
      </c>
      <c r="Z196" s="43">
        <v>2</v>
      </c>
      <c r="AA196" s="43">
        <v>2007</v>
      </c>
      <c r="AB196" s="43">
        <v>9999</v>
      </c>
      <c r="AC196" s="43" t="s">
        <v>35</v>
      </c>
    </row>
    <row r="197" spans="1:29" x14ac:dyDescent="0.25">
      <c r="A197" s="56" t="s">
        <v>925</v>
      </c>
      <c r="B197" s="39" t="s">
        <v>926</v>
      </c>
      <c r="C197" s="43" t="s">
        <v>927</v>
      </c>
      <c r="D197" s="43">
        <v>1</v>
      </c>
      <c r="E197" s="43" t="s">
        <v>103</v>
      </c>
      <c r="F197" s="43">
        <v>9</v>
      </c>
      <c r="G197" s="43">
        <v>2026</v>
      </c>
      <c r="H197" s="43"/>
      <c r="I197" s="43">
        <v>3313.9</v>
      </c>
      <c r="J197" s="43" t="s">
        <v>1608</v>
      </c>
      <c r="K197" s="43" t="s">
        <v>53</v>
      </c>
      <c r="L197" s="43" t="s">
        <v>105</v>
      </c>
      <c r="M197" s="43">
        <v>0</v>
      </c>
      <c r="N197" s="43">
        <v>0</v>
      </c>
      <c r="O197" s="43">
        <v>0</v>
      </c>
      <c r="P197" s="43">
        <v>1</v>
      </c>
      <c r="Q197" s="43">
        <v>0</v>
      </c>
      <c r="R197" s="43">
        <v>0</v>
      </c>
      <c r="S197" s="43">
        <v>1</v>
      </c>
      <c r="T197" s="43">
        <v>1</v>
      </c>
      <c r="U197" s="43">
        <v>1</v>
      </c>
      <c r="V197" s="43">
        <v>0</v>
      </c>
      <c r="W197" s="43" t="s">
        <v>928</v>
      </c>
      <c r="X197" s="43" t="s">
        <v>1895</v>
      </c>
      <c r="Y197" s="43">
        <v>0</v>
      </c>
      <c r="Z197" s="43">
        <v>0</v>
      </c>
      <c r="AA197" s="43">
        <v>2007</v>
      </c>
      <c r="AB197" s="43">
        <v>9999</v>
      </c>
      <c r="AC197" s="43" t="s">
        <v>35</v>
      </c>
    </row>
    <row r="198" spans="1:29" x14ac:dyDescent="0.25">
      <c r="A198" s="56" t="s">
        <v>36</v>
      </c>
      <c r="B198" s="39" t="s">
        <v>1445</v>
      </c>
      <c r="C198" s="43"/>
      <c r="D198" s="43">
        <v>1</v>
      </c>
      <c r="E198" s="43"/>
      <c r="F198" s="43">
        <v>4</v>
      </c>
      <c r="G198" s="43">
        <v>2026</v>
      </c>
      <c r="H198" s="43" t="s">
        <v>39</v>
      </c>
      <c r="I198" s="43">
        <v>0.1</v>
      </c>
      <c r="J198" s="43" t="s">
        <v>40</v>
      </c>
      <c r="K198" s="43" t="s">
        <v>41</v>
      </c>
      <c r="L198" s="43"/>
      <c r="M198" s="43">
        <v>0</v>
      </c>
      <c r="N198" s="43">
        <v>0</v>
      </c>
      <c r="O198" s="43">
        <v>0</v>
      </c>
      <c r="P198" s="43">
        <v>0</v>
      </c>
      <c r="Q198" s="43">
        <v>0</v>
      </c>
      <c r="R198" s="43">
        <v>0</v>
      </c>
      <c r="S198" s="43">
        <v>0</v>
      </c>
      <c r="T198" s="43">
        <v>0</v>
      </c>
      <c r="U198" s="43">
        <v>0</v>
      </c>
      <c r="V198" s="43">
        <v>0</v>
      </c>
      <c r="W198" s="43" t="s">
        <v>1030</v>
      </c>
      <c r="X198" s="43" t="s">
        <v>1622</v>
      </c>
      <c r="Y198" s="43">
        <v>0</v>
      </c>
      <c r="Z198" s="43">
        <v>0</v>
      </c>
      <c r="AA198" s="43">
        <v>2007</v>
      </c>
      <c r="AB198" s="43">
        <v>9999</v>
      </c>
      <c r="AC198" s="43" t="s">
        <v>35</v>
      </c>
    </row>
    <row r="199" spans="1:29" x14ac:dyDescent="0.25">
      <c r="A199" s="56" t="s">
        <v>274</v>
      </c>
      <c r="B199" s="39" t="s">
        <v>275</v>
      </c>
      <c r="C199" s="43" t="s">
        <v>276</v>
      </c>
      <c r="D199" s="43">
        <v>1</v>
      </c>
      <c r="E199" s="43" t="s">
        <v>51</v>
      </c>
      <c r="F199" s="43">
        <v>7</v>
      </c>
      <c r="G199" s="43">
        <v>2026</v>
      </c>
      <c r="H199" s="43" t="s">
        <v>746</v>
      </c>
      <c r="I199" s="43">
        <v>7.5</v>
      </c>
      <c r="J199" s="43" t="s">
        <v>40</v>
      </c>
      <c r="K199" s="43" t="s">
        <v>41</v>
      </c>
      <c r="L199" s="43"/>
      <c r="M199" s="43">
        <v>0</v>
      </c>
      <c r="N199" s="43">
        <v>0</v>
      </c>
      <c r="O199" s="43">
        <v>0</v>
      </c>
      <c r="P199" s="43">
        <v>0</v>
      </c>
      <c r="Q199" s="43">
        <v>0</v>
      </c>
      <c r="R199" s="43">
        <v>0</v>
      </c>
      <c r="S199" s="43">
        <v>0</v>
      </c>
      <c r="T199" s="43">
        <v>0</v>
      </c>
      <c r="U199" s="43">
        <v>0</v>
      </c>
      <c r="V199" s="43">
        <v>0</v>
      </c>
      <c r="W199" s="43" t="s">
        <v>1399</v>
      </c>
      <c r="X199" s="43" t="s">
        <v>1678</v>
      </c>
      <c r="Y199" s="43">
        <v>0</v>
      </c>
      <c r="Z199" s="43">
        <v>0</v>
      </c>
      <c r="AA199" s="43">
        <v>2007</v>
      </c>
      <c r="AB199" s="43">
        <v>9999</v>
      </c>
      <c r="AC199" s="43" t="s">
        <v>35</v>
      </c>
    </row>
    <row r="200" spans="1:29" x14ac:dyDescent="0.25">
      <c r="A200" s="56" t="s">
        <v>207</v>
      </c>
      <c r="B200" s="39" t="s">
        <v>1472</v>
      </c>
      <c r="C200" s="43" t="s">
        <v>209</v>
      </c>
      <c r="D200" s="43">
        <v>1</v>
      </c>
      <c r="E200" s="43" t="s">
        <v>210</v>
      </c>
      <c r="F200" s="43">
        <v>10</v>
      </c>
      <c r="G200" s="43">
        <v>2026</v>
      </c>
      <c r="H200" s="43"/>
      <c r="I200" s="43">
        <v>40</v>
      </c>
      <c r="J200" s="43" t="s">
        <v>40</v>
      </c>
      <c r="K200" s="43" t="s">
        <v>32</v>
      </c>
      <c r="L200" s="43"/>
      <c r="M200" s="43">
        <v>0</v>
      </c>
      <c r="N200" s="43">
        <v>0</v>
      </c>
      <c r="O200" s="43">
        <v>0</v>
      </c>
      <c r="P200" s="43">
        <v>0</v>
      </c>
      <c r="Q200" s="43">
        <v>0</v>
      </c>
      <c r="R200" s="43">
        <v>0</v>
      </c>
      <c r="S200" s="43">
        <v>1</v>
      </c>
      <c r="T200" s="43">
        <v>1</v>
      </c>
      <c r="U200" s="43">
        <v>1</v>
      </c>
      <c r="V200" s="43">
        <v>0</v>
      </c>
      <c r="W200" s="43" t="s">
        <v>1065</v>
      </c>
      <c r="X200" s="43" t="s">
        <v>1661</v>
      </c>
      <c r="Y200" s="43">
        <v>0</v>
      </c>
      <c r="Z200" s="43">
        <v>0</v>
      </c>
      <c r="AA200" s="43">
        <v>2007</v>
      </c>
      <c r="AB200" s="43">
        <v>9999</v>
      </c>
      <c r="AC200" s="43" t="s">
        <v>35</v>
      </c>
    </row>
    <row r="201" spans="1:29" x14ac:dyDescent="0.25">
      <c r="A201" s="56" t="s">
        <v>83</v>
      </c>
      <c r="B201" s="39" t="s">
        <v>84</v>
      </c>
      <c r="C201" s="43"/>
      <c r="D201" s="43">
        <v>1</v>
      </c>
      <c r="E201" s="43" t="s">
        <v>85</v>
      </c>
      <c r="F201" s="43">
        <v>1</v>
      </c>
      <c r="G201" s="43">
        <v>2026</v>
      </c>
      <c r="H201" s="43" t="s">
        <v>39</v>
      </c>
      <c r="I201" s="43">
        <v>47.8</v>
      </c>
      <c r="J201" s="43" t="s">
        <v>40</v>
      </c>
      <c r="K201" s="43" t="s">
        <v>41</v>
      </c>
      <c r="L201" s="43"/>
      <c r="M201" s="43">
        <v>0</v>
      </c>
      <c r="N201" s="43">
        <v>0</v>
      </c>
      <c r="O201" s="43">
        <v>0</v>
      </c>
      <c r="P201" s="43">
        <v>0</v>
      </c>
      <c r="Q201" s="43">
        <v>0</v>
      </c>
      <c r="R201" s="43">
        <v>0</v>
      </c>
      <c r="S201" s="43">
        <v>0</v>
      </c>
      <c r="T201" s="43">
        <v>0</v>
      </c>
      <c r="U201" s="43">
        <v>0</v>
      </c>
      <c r="V201" s="43">
        <v>0</v>
      </c>
      <c r="W201" s="43" t="s">
        <v>1630</v>
      </c>
      <c r="X201" s="43" t="s">
        <v>1850</v>
      </c>
      <c r="Y201" s="43">
        <v>0</v>
      </c>
      <c r="Z201" s="43">
        <v>0</v>
      </c>
      <c r="AA201" s="43">
        <v>2007</v>
      </c>
      <c r="AB201" s="43">
        <v>9999</v>
      </c>
      <c r="AC201" s="43" t="s">
        <v>35</v>
      </c>
    </row>
    <row r="202" spans="1:29" x14ac:dyDescent="0.25">
      <c r="A202" s="56" t="s">
        <v>92</v>
      </c>
      <c r="B202" s="39" t="s">
        <v>93</v>
      </c>
      <c r="C202" s="43" t="s">
        <v>94</v>
      </c>
      <c r="D202" s="43">
        <v>1</v>
      </c>
      <c r="E202" s="43" t="s">
        <v>95</v>
      </c>
      <c r="F202" s="43">
        <v>10</v>
      </c>
      <c r="G202" s="43">
        <v>2026</v>
      </c>
      <c r="H202" s="43"/>
      <c r="I202" s="43">
        <v>28.6</v>
      </c>
      <c r="J202" s="43" t="s">
        <v>40</v>
      </c>
      <c r="K202" s="43" t="s">
        <v>47</v>
      </c>
      <c r="L202" s="43"/>
      <c r="M202" s="43">
        <v>0</v>
      </c>
      <c r="N202" s="43">
        <v>0</v>
      </c>
      <c r="O202" s="43">
        <v>0</v>
      </c>
      <c r="P202" s="43">
        <v>0</v>
      </c>
      <c r="Q202" s="43">
        <v>0</v>
      </c>
      <c r="R202" s="43">
        <v>0</v>
      </c>
      <c r="S202" s="43">
        <v>1</v>
      </c>
      <c r="T202" s="43">
        <v>1</v>
      </c>
      <c r="U202" s="43">
        <v>1</v>
      </c>
      <c r="V202" s="43">
        <v>0</v>
      </c>
      <c r="W202" s="43" t="s">
        <v>96</v>
      </c>
      <c r="X202" s="43" t="s">
        <v>1632</v>
      </c>
      <c r="Y202" s="43">
        <v>0</v>
      </c>
      <c r="Z202" s="43">
        <v>0</v>
      </c>
      <c r="AA202" s="43">
        <v>2007</v>
      </c>
      <c r="AB202" s="43">
        <v>9999</v>
      </c>
      <c r="AC202" s="43" t="s">
        <v>35</v>
      </c>
    </row>
    <row r="203" spans="1:29" x14ac:dyDescent="0.25">
      <c r="A203" s="56" t="s">
        <v>545</v>
      </c>
      <c r="B203" s="39" t="s">
        <v>1481</v>
      </c>
      <c r="C203" s="43" t="s">
        <v>1482</v>
      </c>
      <c r="D203" s="43">
        <v>1</v>
      </c>
      <c r="E203" s="43" t="s">
        <v>1361</v>
      </c>
      <c r="F203" s="43">
        <v>10</v>
      </c>
      <c r="G203" s="43">
        <v>2026</v>
      </c>
      <c r="H203" s="43"/>
      <c r="I203" s="43">
        <v>47.7</v>
      </c>
      <c r="J203" s="43" t="s">
        <v>40</v>
      </c>
      <c r="K203" s="43" t="s">
        <v>47</v>
      </c>
      <c r="L203" s="43"/>
      <c r="M203" s="43">
        <v>1</v>
      </c>
      <c r="N203" s="43">
        <v>0</v>
      </c>
      <c r="O203" s="43">
        <v>0</v>
      </c>
      <c r="P203" s="43">
        <v>0</v>
      </c>
      <c r="Q203" s="43">
        <v>0</v>
      </c>
      <c r="R203" s="43">
        <v>0</v>
      </c>
      <c r="S203" s="43">
        <v>1</v>
      </c>
      <c r="T203" s="43">
        <v>1</v>
      </c>
      <c r="U203" s="43">
        <v>1</v>
      </c>
      <c r="V203" s="43">
        <v>0</v>
      </c>
      <c r="W203" s="43" t="s">
        <v>1550</v>
      </c>
      <c r="X203" s="43" t="s">
        <v>1997</v>
      </c>
      <c r="Y203" s="43">
        <v>0</v>
      </c>
      <c r="Z203" s="43">
        <v>0</v>
      </c>
      <c r="AA203" s="43">
        <v>2007</v>
      </c>
      <c r="AB203" s="43">
        <v>9999</v>
      </c>
      <c r="AC203" s="43" t="s">
        <v>35</v>
      </c>
    </row>
    <row r="204" spans="1:29" x14ac:dyDescent="0.25">
      <c r="A204" s="56" t="s">
        <v>541</v>
      </c>
      <c r="B204" s="39" t="s">
        <v>1479</v>
      </c>
      <c r="C204" s="43"/>
      <c r="D204" s="43">
        <v>1</v>
      </c>
      <c r="E204" s="43" t="s">
        <v>543</v>
      </c>
      <c r="F204" s="43">
        <v>10</v>
      </c>
      <c r="G204" s="43">
        <v>2026</v>
      </c>
      <c r="H204" s="43"/>
      <c r="I204" s="43">
        <v>54.6</v>
      </c>
      <c r="J204" s="43" t="s">
        <v>40</v>
      </c>
      <c r="K204" s="43" t="s">
        <v>47</v>
      </c>
      <c r="L204" s="43"/>
      <c r="M204" s="43">
        <v>1</v>
      </c>
      <c r="N204" s="43">
        <v>0</v>
      </c>
      <c r="O204" s="43">
        <v>0</v>
      </c>
      <c r="P204" s="43">
        <v>0</v>
      </c>
      <c r="Q204" s="43">
        <v>0</v>
      </c>
      <c r="R204" s="43">
        <v>0</v>
      </c>
      <c r="S204" s="43">
        <v>1</v>
      </c>
      <c r="T204" s="43">
        <v>1</v>
      </c>
      <c r="U204" s="43">
        <v>1</v>
      </c>
      <c r="V204" s="43">
        <v>0</v>
      </c>
      <c r="W204" s="43" t="s">
        <v>1725</v>
      </c>
      <c r="X204" s="43" t="s">
        <v>1726</v>
      </c>
      <c r="Y204" s="43">
        <v>0</v>
      </c>
      <c r="Z204" s="43">
        <v>1</v>
      </c>
      <c r="AA204" s="43">
        <v>2007</v>
      </c>
      <c r="AB204" s="43">
        <v>9999</v>
      </c>
      <c r="AC204" s="43" t="s">
        <v>35</v>
      </c>
    </row>
    <row r="205" spans="1:29" ht="30" x14ac:dyDescent="0.25">
      <c r="A205" s="56" t="s">
        <v>758</v>
      </c>
      <c r="B205" s="39" t="s">
        <v>1504</v>
      </c>
      <c r="C205" s="43" t="s">
        <v>1505</v>
      </c>
      <c r="D205" s="43">
        <v>1</v>
      </c>
      <c r="E205" s="43" t="s">
        <v>760</v>
      </c>
      <c r="F205" s="43">
        <v>7</v>
      </c>
      <c r="G205" s="43">
        <v>2026</v>
      </c>
      <c r="H205" s="43"/>
      <c r="I205" s="43">
        <v>98.6</v>
      </c>
      <c r="J205" s="43" t="s">
        <v>40</v>
      </c>
      <c r="K205" s="43" t="s">
        <v>47</v>
      </c>
      <c r="L205" s="43"/>
      <c r="M205" s="43">
        <v>1</v>
      </c>
      <c r="N205" s="43">
        <v>0</v>
      </c>
      <c r="O205" s="43">
        <v>0</v>
      </c>
      <c r="P205" s="43">
        <v>0</v>
      </c>
      <c r="Q205" s="43">
        <v>0</v>
      </c>
      <c r="R205" s="43">
        <v>0</v>
      </c>
      <c r="S205" s="43">
        <v>1</v>
      </c>
      <c r="T205" s="43">
        <v>1</v>
      </c>
      <c r="U205" s="43">
        <v>1</v>
      </c>
      <c r="V205" s="43">
        <v>0</v>
      </c>
      <c r="W205" s="43" t="s">
        <v>1170</v>
      </c>
      <c r="X205" s="43" t="s">
        <v>2023</v>
      </c>
      <c r="Y205" s="43">
        <v>0</v>
      </c>
      <c r="Z205" s="43">
        <v>0</v>
      </c>
      <c r="AA205" s="43">
        <v>2007</v>
      </c>
      <c r="AB205" s="43">
        <v>9999</v>
      </c>
      <c r="AC205" s="43" t="s">
        <v>35</v>
      </c>
    </row>
    <row r="206" spans="1:29" x14ac:dyDescent="0.25">
      <c r="A206" s="56" t="s">
        <v>964</v>
      </c>
      <c r="B206" s="39" t="s">
        <v>1484</v>
      </c>
      <c r="C206" s="43" t="s">
        <v>1599</v>
      </c>
      <c r="D206" s="43">
        <v>1</v>
      </c>
      <c r="E206" s="43" t="s">
        <v>80</v>
      </c>
      <c r="F206" s="43">
        <v>8</v>
      </c>
      <c r="G206" s="43">
        <v>2026</v>
      </c>
      <c r="H206" s="43"/>
      <c r="I206" s="43">
        <v>136</v>
      </c>
      <c r="J206" s="43" t="s">
        <v>40</v>
      </c>
      <c r="K206" s="43" t="s">
        <v>47</v>
      </c>
      <c r="L206" s="43"/>
      <c r="M206" s="43">
        <v>1</v>
      </c>
      <c r="N206" s="43">
        <v>0</v>
      </c>
      <c r="O206" s="43">
        <v>0</v>
      </c>
      <c r="P206" s="43">
        <v>0</v>
      </c>
      <c r="Q206" s="43">
        <v>0</v>
      </c>
      <c r="R206" s="43">
        <v>0</v>
      </c>
      <c r="S206" s="43">
        <v>1</v>
      </c>
      <c r="T206" s="43">
        <v>1</v>
      </c>
      <c r="U206" s="43">
        <v>1</v>
      </c>
      <c r="V206" s="43">
        <v>0</v>
      </c>
      <c r="W206" s="43" t="s">
        <v>1569</v>
      </c>
      <c r="X206" s="43" t="s">
        <v>1736</v>
      </c>
      <c r="Y206" s="43">
        <v>0</v>
      </c>
      <c r="Z206" s="43">
        <v>0</v>
      </c>
      <c r="AA206" s="43">
        <v>2007</v>
      </c>
      <c r="AB206" s="43">
        <v>9999</v>
      </c>
      <c r="AC206" s="43" t="s">
        <v>35</v>
      </c>
    </row>
    <row r="207" spans="1:29" x14ac:dyDescent="0.25">
      <c r="A207" s="56" t="s">
        <v>462</v>
      </c>
      <c r="B207" s="39" t="s">
        <v>1414</v>
      </c>
      <c r="C207" s="43" t="s">
        <v>1280</v>
      </c>
      <c r="D207" s="43">
        <v>1</v>
      </c>
      <c r="E207" s="43" t="s">
        <v>468</v>
      </c>
      <c r="F207" s="43">
        <v>7</v>
      </c>
      <c r="G207" s="43">
        <v>2026</v>
      </c>
      <c r="H207" s="43"/>
      <c r="I207" s="43">
        <v>162.5</v>
      </c>
      <c r="J207" s="43" t="s">
        <v>40</v>
      </c>
      <c r="K207" s="43" t="s">
        <v>47</v>
      </c>
      <c r="L207" s="43"/>
      <c r="M207" s="43">
        <v>1</v>
      </c>
      <c r="N207" s="43">
        <v>0</v>
      </c>
      <c r="O207" s="43">
        <v>0</v>
      </c>
      <c r="P207" s="43">
        <v>0</v>
      </c>
      <c r="Q207" s="43">
        <v>0</v>
      </c>
      <c r="R207" s="43">
        <v>0</v>
      </c>
      <c r="S207" s="43">
        <v>1</v>
      </c>
      <c r="T207" s="43">
        <v>1</v>
      </c>
      <c r="U207" s="43">
        <v>1</v>
      </c>
      <c r="V207" s="43">
        <v>0</v>
      </c>
      <c r="W207" s="43" t="s">
        <v>1118</v>
      </c>
      <c r="X207" s="43" t="s">
        <v>2035</v>
      </c>
      <c r="Y207" s="43">
        <v>2</v>
      </c>
      <c r="Z207" s="43">
        <v>0</v>
      </c>
      <c r="AA207" s="43">
        <v>2007</v>
      </c>
      <c r="AB207" s="43">
        <v>9999</v>
      </c>
      <c r="AC207" s="43" t="s">
        <v>35</v>
      </c>
    </row>
    <row r="208" spans="1:29" x14ac:dyDescent="0.25">
      <c r="A208" s="56" t="s">
        <v>796</v>
      </c>
      <c r="B208" s="39" t="s">
        <v>797</v>
      </c>
      <c r="C208" s="43" t="s">
        <v>798</v>
      </c>
      <c r="D208" s="43">
        <v>1</v>
      </c>
      <c r="E208" s="43" t="s">
        <v>534</v>
      </c>
      <c r="F208" s="43">
        <v>10</v>
      </c>
      <c r="G208" s="43">
        <v>2026</v>
      </c>
      <c r="H208" s="43"/>
      <c r="I208" s="43">
        <v>4770.8999999999996</v>
      </c>
      <c r="J208" s="43" t="s">
        <v>40</v>
      </c>
      <c r="K208" s="43" t="s">
        <v>47</v>
      </c>
      <c r="L208" s="43"/>
      <c r="M208" s="43">
        <v>1</v>
      </c>
      <c r="N208" s="43">
        <v>1</v>
      </c>
      <c r="O208" s="43">
        <v>0</v>
      </c>
      <c r="P208" s="43">
        <v>0</v>
      </c>
      <c r="Q208" s="43">
        <v>0</v>
      </c>
      <c r="R208" s="43">
        <v>0</v>
      </c>
      <c r="S208" s="43">
        <v>1</v>
      </c>
      <c r="T208" s="43">
        <v>1</v>
      </c>
      <c r="U208" s="43">
        <v>1</v>
      </c>
      <c r="V208" s="43">
        <v>0</v>
      </c>
      <c r="W208" s="43" t="s">
        <v>1181</v>
      </c>
      <c r="X208" s="43" t="s">
        <v>1789</v>
      </c>
      <c r="Y208" s="43">
        <v>0</v>
      </c>
      <c r="Z208" s="43">
        <v>0</v>
      </c>
      <c r="AA208" s="43">
        <v>2007</v>
      </c>
      <c r="AB208" s="43">
        <v>9999</v>
      </c>
      <c r="AC208" s="43" t="s">
        <v>35</v>
      </c>
    </row>
    <row r="209" spans="1:29" x14ac:dyDescent="0.25">
      <c r="A209" s="56" t="s">
        <v>745</v>
      </c>
      <c r="B209" s="39" t="s">
        <v>746</v>
      </c>
      <c r="C209" s="43"/>
      <c r="D209" s="43">
        <v>1</v>
      </c>
      <c r="E209" s="43" t="s">
        <v>468</v>
      </c>
      <c r="F209" s="43">
        <v>7</v>
      </c>
      <c r="G209" s="43">
        <v>2026</v>
      </c>
      <c r="H209" s="43"/>
      <c r="I209" s="43">
        <v>984.1</v>
      </c>
      <c r="J209" s="43" t="s">
        <v>40</v>
      </c>
      <c r="K209" s="43" t="s">
        <v>32</v>
      </c>
      <c r="L209" s="43"/>
      <c r="M209" s="43">
        <v>0</v>
      </c>
      <c r="N209" s="43">
        <v>0</v>
      </c>
      <c r="O209" s="43">
        <v>0</v>
      </c>
      <c r="P209" s="43">
        <v>0</v>
      </c>
      <c r="Q209" s="43">
        <v>0</v>
      </c>
      <c r="R209" s="43">
        <v>0</v>
      </c>
      <c r="S209" s="43">
        <v>1</v>
      </c>
      <c r="T209" s="43">
        <v>1</v>
      </c>
      <c r="U209" s="43">
        <v>1</v>
      </c>
      <c r="V209" s="43">
        <v>0</v>
      </c>
      <c r="W209" s="43" t="s">
        <v>1516</v>
      </c>
      <c r="X209" s="43" t="s">
        <v>2020</v>
      </c>
      <c r="Y209" s="43">
        <v>2</v>
      </c>
      <c r="Z209" s="43">
        <v>1</v>
      </c>
      <c r="AA209" s="43">
        <v>2007</v>
      </c>
      <c r="AB209" s="43">
        <v>9999</v>
      </c>
      <c r="AC209" s="43" t="s">
        <v>35</v>
      </c>
    </row>
    <row r="210" spans="1:29" x14ac:dyDescent="0.25">
      <c r="A210" s="56" t="s">
        <v>465</v>
      </c>
      <c r="B210" s="39" t="s">
        <v>466</v>
      </c>
      <c r="C210" s="43" t="s">
        <v>467</v>
      </c>
      <c r="D210" s="43">
        <v>1</v>
      </c>
      <c r="E210" s="43" t="s">
        <v>468</v>
      </c>
      <c r="F210" s="43">
        <v>7</v>
      </c>
      <c r="G210" s="43">
        <v>2026</v>
      </c>
      <c r="H210" s="43"/>
      <c r="I210" s="43">
        <v>1003.2</v>
      </c>
      <c r="J210" s="43" t="s">
        <v>40</v>
      </c>
      <c r="K210" s="43" t="s">
        <v>32</v>
      </c>
      <c r="L210" s="43"/>
      <c r="M210" s="43">
        <v>0</v>
      </c>
      <c r="N210" s="43">
        <v>0</v>
      </c>
      <c r="O210" s="43">
        <v>0</v>
      </c>
      <c r="P210" s="43">
        <v>0</v>
      </c>
      <c r="Q210" s="43">
        <v>0</v>
      </c>
      <c r="R210" s="43">
        <v>0</v>
      </c>
      <c r="S210" s="43">
        <v>1</v>
      </c>
      <c r="T210" s="43">
        <v>1</v>
      </c>
      <c r="U210" s="43">
        <v>1</v>
      </c>
      <c r="V210" s="43">
        <v>0</v>
      </c>
      <c r="W210" s="43" t="s">
        <v>1583</v>
      </c>
      <c r="X210" s="43" t="s">
        <v>1872</v>
      </c>
      <c r="Y210" s="43">
        <v>0</v>
      </c>
      <c r="Z210" s="43">
        <v>0</v>
      </c>
      <c r="AA210" s="43">
        <v>2007</v>
      </c>
      <c r="AB210" s="43">
        <v>9999</v>
      </c>
      <c r="AC210" s="43" t="s">
        <v>35</v>
      </c>
    </row>
    <row r="211" spans="1:29" x14ac:dyDescent="0.25">
      <c r="A211" s="56" t="s">
        <v>243</v>
      </c>
      <c r="B211" s="39" t="s">
        <v>244</v>
      </c>
      <c r="C211" s="43"/>
      <c r="D211" s="43">
        <v>1</v>
      </c>
      <c r="E211" s="43" t="s">
        <v>210</v>
      </c>
      <c r="F211" s="43">
        <v>10</v>
      </c>
      <c r="G211" s="43">
        <v>2026</v>
      </c>
      <c r="H211" s="43"/>
      <c r="I211" s="43">
        <v>12705.6</v>
      </c>
      <c r="J211" s="43" t="s">
        <v>40</v>
      </c>
      <c r="K211" s="43" t="s">
        <v>32</v>
      </c>
      <c r="L211" s="43"/>
      <c r="M211" s="43">
        <v>0</v>
      </c>
      <c r="N211" s="43">
        <v>1</v>
      </c>
      <c r="O211" s="43">
        <v>0</v>
      </c>
      <c r="P211" s="43">
        <v>0</v>
      </c>
      <c r="Q211" s="43">
        <v>0</v>
      </c>
      <c r="R211" s="43">
        <v>0</v>
      </c>
      <c r="S211" s="43">
        <v>1</v>
      </c>
      <c r="T211" s="43">
        <v>1</v>
      </c>
      <c r="U211" s="43">
        <v>1</v>
      </c>
      <c r="V211" s="43">
        <v>0</v>
      </c>
      <c r="W211" s="43" t="s">
        <v>1293</v>
      </c>
      <c r="X211" s="43" t="s">
        <v>1861</v>
      </c>
      <c r="Y211" s="43">
        <v>0</v>
      </c>
      <c r="Z211" s="43">
        <v>0</v>
      </c>
      <c r="AA211" s="43">
        <v>2007</v>
      </c>
      <c r="AB211" s="43">
        <v>9999</v>
      </c>
      <c r="AC211" s="43" t="s">
        <v>35</v>
      </c>
    </row>
    <row r="212" spans="1:29" x14ac:dyDescent="0.25">
      <c r="A212" s="56" t="s">
        <v>266</v>
      </c>
      <c r="B212" s="39" t="s">
        <v>267</v>
      </c>
      <c r="C212" s="43"/>
      <c r="D212" s="43">
        <v>1</v>
      </c>
      <c r="E212" s="43" t="s">
        <v>85</v>
      </c>
      <c r="F212" s="43">
        <v>4</v>
      </c>
      <c r="G212" s="43">
        <v>2026</v>
      </c>
      <c r="H212" s="43"/>
      <c r="I212" s="43">
        <v>11</v>
      </c>
      <c r="J212" s="43" t="s">
        <v>268</v>
      </c>
      <c r="K212" s="43" t="s">
        <v>41</v>
      </c>
      <c r="L212" s="43"/>
      <c r="M212" s="43">
        <v>0</v>
      </c>
      <c r="N212" s="43">
        <v>0</v>
      </c>
      <c r="O212" s="43">
        <v>0</v>
      </c>
      <c r="P212" s="43">
        <v>0</v>
      </c>
      <c r="Q212" s="43">
        <v>0</v>
      </c>
      <c r="R212" s="43">
        <v>0</v>
      </c>
      <c r="S212" s="43">
        <v>0</v>
      </c>
      <c r="T212" s="43">
        <v>0</v>
      </c>
      <c r="U212" s="43">
        <v>0</v>
      </c>
      <c r="V212" s="43">
        <v>0</v>
      </c>
      <c r="W212" s="43" t="s">
        <v>1079</v>
      </c>
      <c r="X212" s="43" t="s">
        <v>1960</v>
      </c>
      <c r="Y212" s="43">
        <v>0</v>
      </c>
      <c r="Z212" s="43">
        <v>0</v>
      </c>
      <c r="AA212" s="43">
        <v>2007</v>
      </c>
      <c r="AB212" s="43">
        <v>9999</v>
      </c>
      <c r="AC212" s="43" t="s">
        <v>35</v>
      </c>
    </row>
    <row r="213" spans="1:29" x14ac:dyDescent="0.25">
      <c r="A213" s="56" t="s">
        <v>913</v>
      </c>
      <c r="B213" s="39" t="s">
        <v>914</v>
      </c>
      <c r="C213" s="43" t="s">
        <v>915</v>
      </c>
      <c r="D213" s="43">
        <v>1</v>
      </c>
      <c r="E213" s="43" t="s">
        <v>911</v>
      </c>
      <c r="F213" s="43">
        <v>1</v>
      </c>
      <c r="G213" s="43">
        <v>2026</v>
      </c>
      <c r="H213" s="43"/>
      <c r="I213" s="43">
        <v>12.1</v>
      </c>
      <c r="J213" s="43" t="s">
        <v>268</v>
      </c>
      <c r="K213" s="43" t="s">
        <v>47</v>
      </c>
      <c r="L213" s="43"/>
      <c r="M213" s="43">
        <v>1</v>
      </c>
      <c r="N213" s="43">
        <v>0</v>
      </c>
      <c r="O213" s="43">
        <v>0</v>
      </c>
      <c r="P213" s="43">
        <v>0</v>
      </c>
      <c r="Q213" s="43">
        <v>0</v>
      </c>
      <c r="R213" s="43">
        <v>0</v>
      </c>
      <c r="S213" s="43">
        <v>1</v>
      </c>
      <c r="T213" s="43">
        <v>1</v>
      </c>
      <c r="U213" s="43">
        <v>1</v>
      </c>
      <c r="V213" s="43">
        <v>0</v>
      </c>
      <c r="W213" s="43" t="s">
        <v>1276</v>
      </c>
      <c r="X213" s="43" t="s">
        <v>1815</v>
      </c>
      <c r="Y213" s="43">
        <v>0</v>
      </c>
      <c r="Z213" s="43">
        <v>0</v>
      </c>
      <c r="AA213" s="43">
        <v>2007</v>
      </c>
      <c r="AB213" s="43">
        <v>9999</v>
      </c>
      <c r="AC213" s="43" t="s">
        <v>35</v>
      </c>
    </row>
    <row r="214" spans="1:29" x14ac:dyDescent="0.25">
      <c r="A214" s="56" t="s">
        <v>641</v>
      </c>
      <c r="B214" s="39" t="s">
        <v>642</v>
      </c>
      <c r="C214" s="43" t="s">
        <v>2055</v>
      </c>
      <c r="D214" s="43">
        <v>1</v>
      </c>
      <c r="E214" s="43" t="s">
        <v>348</v>
      </c>
      <c r="F214" s="43">
        <v>1</v>
      </c>
      <c r="G214" s="43">
        <v>2026</v>
      </c>
      <c r="H214" s="43"/>
      <c r="I214" s="43">
        <v>4218.2</v>
      </c>
      <c r="J214" s="43" t="s">
        <v>268</v>
      </c>
      <c r="K214" s="43" t="s">
        <v>53</v>
      </c>
      <c r="L214" s="43" t="s">
        <v>642</v>
      </c>
      <c r="M214" s="43">
        <v>0</v>
      </c>
      <c r="N214" s="43">
        <v>0</v>
      </c>
      <c r="O214" s="43">
        <v>0</v>
      </c>
      <c r="P214" s="43">
        <v>0</v>
      </c>
      <c r="Q214" s="43">
        <v>0</v>
      </c>
      <c r="R214" s="43">
        <v>0</v>
      </c>
      <c r="S214" s="43">
        <v>0</v>
      </c>
      <c r="T214" s="43">
        <v>1</v>
      </c>
      <c r="U214" s="43">
        <v>1</v>
      </c>
      <c r="V214" s="43">
        <v>0</v>
      </c>
      <c r="W214" s="43" t="s">
        <v>643</v>
      </c>
      <c r="X214" s="43" t="s">
        <v>2014</v>
      </c>
      <c r="Y214" s="43">
        <v>0</v>
      </c>
      <c r="Z214" s="43">
        <v>0</v>
      </c>
      <c r="AA214" s="43">
        <v>2007</v>
      </c>
      <c r="AB214" s="43">
        <v>9999</v>
      </c>
      <c r="AC214" s="43" t="s">
        <v>35</v>
      </c>
    </row>
    <row r="215" spans="1:29" x14ac:dyDescent="0.25">
      <c r="A215" s="56" t="s">
        <v>295</v>
      </c>
      <c r="B215" s="39" t="s">
        <v>296</v>
      </c>
      <c r="C215" s="43"/>
      <c r="D215" s="43">
        <v>1</v>
      </c>
      <c r="E215" s="43" t="s">
        <v>128</v>
      </c>
      <c r="F215" s="43">
        <v>9</v>
      </c>
      <c r="G215" s="43">
        <v>2026</v>
      </c>
      <c r="H215" s="43" t="s">
        <v>1428</v>
      </c>
      <c r="I215" s="43">
        <v>0.1</v>
      </c>
      <c r="J215" s="43" t="s">
        <v>104</v>
      </c>
      <c r="K215" s="43" t="s">
        <v>41</v>
      </c>
      <c r="L215" s="43"/>
      <c r="M215" s="43">
        <v>0</v>
      </c>
      <c r="N215" s="43">
        <v>0</v>
      </c>
      <c r="O215" s="43">
        <v>0</v>
      </c>
      <c r="P215" s="43">
        <v>0</v>
      </c>
      <c r="Q215" s="43">
        <v>0</v>
      </c>
      <c r="R215" s="43">
        <v>0</v>
      </c>
      <c r="S215" s="43">
        <v>0</v>
      </c>
      <c r="T215" s="43">
        <v>0</v>
      </c>
      <c r="U215" s="43">
        <v>0</v>
      </c>
      <c r="V215" s="43">
        <v>0</v>
      </c>
      <c r="W215" s="43" t="s">
        <v>1081</v>
      </c>
      <c r="X215" s="43" t="s">
        <v>1964</v>
      </c>
      <c r="Y215" s="43">
        <v>0</v>
      </c>
      <c r="Z215" s="43">
        <v>0</v>
      </c>
      <c r="AA215" s="43">
        <v>2007</v>
      </c>
      <c r="AB215" s="43">
        <v>9999</v>
      </c>
      <c r="AC215" s="43" t="s">
        <v>35</v>
      </c>
    </row>
    <row r="216" spans="1:29" x14ac:dyDescent="0.25">
      <c r="A216" s="56" t="s">
        <v>246</v>
      </c>
      <c r="B216" s="39" t="s">
        <v>247</v>
      </c>
      <c r="C216" s="43"/>
      <c r="D216" s="43">
        <v>1</v>
      </c>
      <c r="E216" s="43" t="s">
        <v>120</v>
      </c>
      <c r="F216" s="43">
        <v>3</v>
      </c>
      <c r="G216" s="43">
        <v>2026</v>
      </c>
      <c r="H216" s="43" t="s">
        <v>129</v>
      </c>
      <c r="I216" s="43">
        <v>2</v>
      </c>
      <c r="J216" s="43" t="s">
        <v>104</v>
      </c>
      <c r="K216" s="43" t="s">
        <v>41</v>
      </c>
      <c r="L216" s="43"/>
      <c r="M216" s="43">
        <v>0</v>
      </c>
      <c r="N216" s="43">
        <v>0</v>
      </c>
      <c r="O216" s="43">
        <v>0</v>
      </c>
      <c r="P216" s="43">
        <v>0</v>
      </c>
      <c r="Q216" s="43">
        <v>0</v>
      </c>
      <c r="R216" s="43">
        <v>0</v>
      </c>
      <c r="S216" s="43">
        <v>0</v>
      </c>
      <c r="T216" s="43">
        <v>0</v>
      </c>
      <c r="U216" s="43">
        <v>1</v>
      </c>
      <c r="V216" s="43">
        <v>0</v>
      </c>
      <c r="W216" s="43" t="s">
        <v>1075</v>
      </c>
      <c r="X216" s="43" t="s">
        <v>1672</v>
      </c>
      <c r="Y216" s="43">
        <v>0</v>
      </c>
      <c r="Z216" s="43">
        <v>0</v>
      </c>
      <c r="AA216" s="43">
        <v>2007</v>
      </c>
      <c r="AB216" s="43">
        <v>9999</v>
      </c>
      <c r="AC216" s="43" t="s">
        <v>35</v>
      </c>
    </row>
    <row r="217" spans="1:29" x14ac:dyDescent="0.25">
      <c r="A217" s="56" t="s">
        <v>126</v>
      </c>
      <c r="B217" s="39" t="s">
        <v>1573</v>
      </c>
      <c r="C217" s="43" t="s">
        <v>1607</v>
      </c>
      <c r="D217" s="43">
        <v>1</v>
      </c>
      <c r="E217" s="43" t="s">
        <v>128</v>
      </c>
      <c r="F217" s="43">
        <v>9</v>
      </c>
      <c r="G217" s="43">
        <v>2026</v>
      </c>
      <c r="H217" s="43" t="s">
        <v>129</v>
      </c>
      <c r="I217" s="43">
        <v>3</v>
      </c>
      <c r="J217" s="43" t="s">
        <v>104</v>
      </c>
      <c r="K217" s="43" t="s">
        <v>41</v>
      </c>
      <c r="L217" s="43"/>
      <c r="M217" s="43">
        <v>0</v>
      </c>
      <c r="N217" s="43">
        <v>0</v>
      </c>
      <c r="O217" s="43">
        <v>0</v>
      </c>
      <c r="P217" s="43">
        <v>0</v>
      </c>
      <c r="Q217" s="43">
        <v>0</v>
      </c>
      <c r="R217" s="43">
        <v>0</v>
      </c>
      <c r="S217" s="43">
        <v>0</v>
      </c>
      <c r="T217" s="43">
        <v>0</v>
      </c>
      <c r="U217" s="43">
        <v>0</v>
      </c>
      <c r="V217" s="43">
        <v>0</v>
      </c>
      <c r="W217" s="43" t="s">
        <v>1043</v>
      </c>
      <c r="X217" s="43" t="s">
        <v>1843</v>
      </c>
      <c r="Y217" s="43">
        <v>0</v>
      </c>
      <c r="Z217" s="43">
        <v>0</v>
      </c>
      <c r="AA217" s="43">
        <v>2007</v>
      </c>
      <c r="AB217" s="43">
        <v>9999</v>
      </c>
      <c r="AC217" s="43" t="s">
        <v>35</v>
      </c>
    </row>
    <row r="218" spans="1:29" x14ac:dyDescent="0.25">
      <c r="A218" s="56" t="s">
        <v>1013</v>
      </c>
      <c r="B218" s="39" t="s">
        <v>1014</v>
      </c>
      <c r="C218" s="43"/>
      <c r="D218" s="43">
        <v>1</v>
      </c>
      <c r="E218" s="43" t="s">
        <v>128</v>
      </c>
      <c r="F218" s="43">
        <v>9</v>
      </c>
      <c r="G218" s="43">
        <v>2026</v>
      </c>
      <c r="H218" s="43" t="s">
        <v>1513</v>
      </c>
      <c r="I218" s="43">
        <v>7.5</v>
      </c>
      <c r="J218" s="43" t="s">
        <v>104</v>
      </c>
      <c r="K218" s="43" t="s">
        <v>41</v>
      </c>
      <c r="L218" s="43"/>
      <c r="M218" s="43">
        <v>0</v>
      </c>
      <c r="N218" s="43">
        <v>0</v>
      </c>
      <c r="O218" s="43">
        <v>0</v>
      </c>
      <c r="P218" s="43">
        <v>0</v>
      </c>
      <c r="Q218" s="43">
        <v>0</v>
      </c>
      <c r="R218" s="43">
        <v>0</v>
      </c>
      <c r="S218" s="43">
        <v>0</v>
      </c>
      <c r="T218" s="43">
        <v>0</v>
      </c>
      <c r="U218" s="43">
        <v>0</v>
      </c>
      <c r="V218" s="43">
        <v>0</v>
      </c>
      <c r="W218" s="43" t="s">
        <v>1229</v>
      </c>
      <c r="X218" s="43" t="s">
        <v>1844</v>
      </c>
      <c r="Y218" s="43">
        <v>0</v>
      </c>
      <c r="Z218" s="43">
        <v>0</v>
      </c>
      <c r="AA218" s="43">
        <v>2007</v>
      </c>
      <c r="AB218" s="43">
        <v>9999</v>
      </c>
      <c r="AC218" s="43" t="s">
        <v>35</v>
      </c>
    </row>
    <row r="219" spans="1:29" x14ac:dyDescent="0.25">
      <c r="A219" s="56" t="s">
        <v>738</v>
      </c>
      <c r="B219" s="39" t="s">
        <v>739</v>
      </c>
      <c r="C219" s="43"/>
      <c r="D219" s="43">
        <v>1</v>
      </c>
      <c r="E219" s="43" t="s">
        <v>128</v>
      </c>
      <c r="F219" s="43">
        <v>9</v>
      </c>
      <c r="G219" s="43">
        <v>2026</v>
      </c>
      <c r="H219" s="43" t="s">
        <v>1262</v>
      </c>
      <c r="I219" s="43">
        <v>16</v>
      </c>
      <c r="J219" s="43" t="s">
        <v>104</v>
      </c>
      <c r="K219" s="43" t="s">
        <v>41</v>
      </c>
      <c r="L219" s="43"/>
      <c r="M219" s="43">
        <v>0</v>
      </c>
      <c r="N219" s="43">
        <v>0</v>
      </c>
      <c r="O219" s="43">
        <v>0</v>
      </c>
      <c r="P219" s="43">
        <v>0</v>
      </c>
      <c r="Q219" s="43">
        <v>0</v>
      </c>
      <c r="R219" s="43">
        <v>0</v>
      </c>
      <c r="S219" s="43">
        <v>0</v>
      </c>
      <c r="T219" s="43">
        <v>0</v>
      </c>
      <c r="U219" s="43">
        <v>0</v>
      </c>
      <c r="V219" s="43">
        <v>0</v>
      </c>
      <c r="W219" s="43" t="s">
        <v>1166</v>
      </c>
      <c r="X219" s="43" t="s">
        <v>1775</v>
      </c>
      <c r="Y219" s="43">
        <v>0</v>
      </c>
      <c r="Z219" s="43">
        <v>0</v>
      </c>
      <c r="AA219" s="43">
        <v>2007</v>
      </c>
      <c r="AB219" s="43">
        <v>9999</v>
      </c>
      <c r="AC219" s="43" t="s">
        <v>35</v>
      </c>
    </row>
    <row r="220" spans="1:29" x14ac:dyDescent="0.25">
      <c r="A220" s="56" t="s">
        <v>691</v>
      </c>
      <c r="B220" s="39" t="s">
        <v>692</v>
      </c>
      <c r="C220" s="43"/>
      <c r="D220" s="43">
        <v>1</v>
      </c>
      <c r="E220" s="43" t="s">
        <v>625</v>
      </c>
      <c r="F220" s="43">
        <v>4</v>
      </c>
      <c r="G220" s="43">
        <v>2026</v>
      </c>
      <c r="H220" s="43"/>
      <c r="I220" s="43">
        <v>29.9</v>
      </c>
      <c r="J220" s="43" t="s">
        <v>104</v>
      </c>
      <c r="K220" s="43" t="s">
        <v>32</v>
      </c>
      <c r="L220" s="43"/>
      <c r="M220" s="43">
        <v>0</v>
      </c>
      <c r="N220" s="43">
        <v>0</v>
      </c>
      <c r="O220" s="43">
        <v>0</v>
      </c>
      <c r="P220" s="43">
        <v>0</v>
      </c>
      <c r="Q220" s="43">
        <v>0</v>
      </c>
      <c r="R220" s="43">
        <v>0</v>
      </c>
      <c r="S220" s="43">
        <v>1</v>
      </c>
      <c r="T220" s="43">
        <v>1</v>
      </c>
      <c r="U220" s="43">
        <v>1</v>
      </c>
      <c r="V220" s="43">
        <v>0</v>
      </c>
      <c r="W220" s="43" t="s">
        <v>1155</v>
      </c>
      <c r="X220" s="43" t="s">
        <v>1761</v>
      </c>
      <c r="Y220" s="43">
        <v>0</v>
      </c>
      <c r="Z220" s="43">
        <v>0</v>
      </c>
      <c r="AA220" s="43">
        <v>2007</v>
      </c>
      <c r="AB220" s="43">
        <v>9999</v>
      </c>
      <c r="AC220" s="43" t="s">
        <v>35</v>
      </c>
    </row>
    <row r="221" spans="1:29" x14ac:dyDescent="0.25">
      <c r="A221" s="56" t="s">
        <v>408</v>
      </c>
      <c r="B221" s="39" t="s">
        <v>409</v>
      </c>
      <c r="C221" s="43"/>
      <c r="D221" s="43">
        <v>1</v>
      </c>
      <c r="E221" s="43" t="s">
        <v>103</v>
      </c>
      <c r="F221" s="43">
        <v>9</v>
      </c>
      <c r="G221" s="43">
        <v>2026</v>
      </c>
      <c r="H221" s="43"/>
      <c r="I221" s="43">
        <v>53.3</v>
      </c>
      <c r="J221" s="43" t="s">
        <v>104</v>
      </c>
      <c r="K221" s="43" t="s">
        <v>53</v>
      </c>
      <c r="L221" s="43" t="s">
        <v>105</v>
      </c>
      <c r="M221" s="43">
        <v>0</v>
      </c>
      <c r="N221" s="43">
        <v>0</v>
      </c>
      <c r="O221" s="43">
        <v>0</v>
      </c>
      <c r="P221" s="43">
        <v>1</v>
      </c>
      <c r="Q221" s="43">
        <v>0</v>
      </c>
      <c r="R221" s="43">
        <v>0</v>
      </c>
      <c r="S221" s="43">
        <v>1</v>
      </c>
      <c r="T221" s="43">
        <v>1</v>
      </c>
      <c r="U221" s="43">
        <v>1</v>
      </c>
      <c r="V221" s="43">
        <v>0</v>
      </c>
      <c r="W221" s="43" t="s">
        <v>106</v>
      </c>
      <c r="X221" s="43" t="s">
        <v>1941</v>
      </c>
      <c r="Y221" s="43">
        <v>0</v>
      </c>
      <c r="Z221" s="43">
        <v>0</v>
      </c>
      <c r="AA221" s="43">
        <v>2007</v>
      </c>
      <c r="AB221" s="43">
        <v>9999</v>
      </c>
      <c r="AC221" s="43" t="s">
        <v>35</v>
      </c>
    </row>
    <row r="222" spans="1:29" x14ac:dyDescent="0.25">
      <c r="A222" s="56" t="s">
        <v>710</v>
      </c>
      <c r="B222" s="39" t="s">
        <v>711</v>
      </c>
      <c r="C222" s="43"/>
      <c r="D222" s="43">
        <v>1</v>
      </c>
      <c r="E222" s="43" t="s">
        <v>712</v>
      </c>
      <c r="F222" s="43">
        <v>9</v>
      </c>
      <c r="G222" s="43">
        <v>2026</v>
      </c>
      <c r="H222" s="43"/>
      <c r="I222" s="43">
        <v>123.8</v>
      </c>
      <c r="J222" s="43" t="s">
        <v>104</v>
      </c>
      <c r="K222" s="43" t="s">
        <v>41</v>
      </c>
      <c r="L222" s="43"/>
      <c r="M222" s="43">
        <v>0</v>
      </c>
      <c r="N222" s="43">
        <v>0</v>
      </c>
      <c r="O222" s="43">
        <v>0</v>
      </c>
      <c r="P222" s="43">
        <v>0</v>
      </c>
      <c r="Q222" s="43">
        <v>0</v>
      </c>
      <c r="R222" s="43">
        <v>0</v>
      </c>
      <c r="S222" s="43">
        <v>0</v>
      </c>
      <c r="T222" s="43">
        <v>1</v>
      </c>
      <c r="U222" s="43">
        <v>1</v>
      </c>
      <c r="V222" s="43">
        <v>0</v>
      </c>
      <c r="W222" s="43" t="s">
        <v>1406</v>
      </c>
      <c r="X222" s="43" t="s">
        <v>1884</v>
      </c>
      <c r="Y222" s="43">
        <v>0</v>
      </c>
      <c r="Z222" s="43">
        <v>0</v>
      </c>
      <c r="AA222" s="43">
        <v>2007</v>
      </c>
      <c r="AB222" s="43">
        <v>9999</v>
      </c>
      <c r="AC222" s="43" t="s">
        <v>35</v>
      </c>
    </row>
    <row r="223" spans="1:29" x14ac:dyDescent="0.25">
      <c r="A223" s="56" t="s">
        <v>410</v>
      </c>
      <c r="B223" s="39" t="s">
        <v>411</v>
      </c>
      <c r="C223" s="43" t="s">
        <v>412</v>
      </c>
      <c r="D223" s="43">
        <v>1</v>
      </c>
      <c r="E223" s="43" t="s">
        <v>103</v>
      </c>
      <c r="F223" s="43">
        <v>9</v>
      </c>
      <c r="G223" s="43">
        <v>2026</v>
      </c>
      <c r="H223" s="43"/>
      <c r="I223" s="43">
        <v>140</v>
      </c>
      <c r="J223" s="43" t="s">
        <v>104</v>
      </c>
      <c r="K223" s="43" t="s">
        <v>53</v>
      </c>
      <c r="L223" s="43" t="s">
        <v>105</v>
      </c>
      <c r="M223" s="43">
        <v>0</v>
      </c>
      <c r="N223" s="43">
        <v>0</v>
      </c>
      <c r="O223" s="43">
        <v>0</v>
      </c>
      <c r="P223" s="43">
        <v>1</v>
      </c>
      <c r="Q223" s="43">
        <v>0</v>
      </c>
      <c r="R223" s="43">
        <v>0</v>
      </c>
      <c r="S223" s="43">
        <v>1</v>
      </c>
      <c r="T223" s="43">
        <v>1</v>
      </c>
      <c r="U223" s="43">
        <v>1</v>
      </c>
      <c r="V223" s="43">
        <v>0</v>
      </c>
      <c r="W223" s="43" t="s">
        <v>106</v>
      </c>
      <c r="X223" s="43" t="s">
        <v>1941</v>
      </c>
      <c r="Y223" s="43">
        <v>0</v>
      </c>
      <c r="Z223" s="43">
        <v>0</v>
      </c>
      <c r="AA223" s="43">
        <v>2007</v>
      </c>
      <c r="AB223" s="43">
        <v>9999</v>
      </c>
      <c r="AC223" s="43" t="s">
        <v>35</v>
      </c>
    </row>
    <row r="224" spans="1:29" x14ac:dyDescent="0.25">
      <c r="A224" s="56" t="s">
        <v>380</v>
      </c>
      <c r="B224" s="39" t="s">
        <v>381</v>
      </c>
      <c r="C224" s="43"/>
      <c r="D224" s="43">
        <v>1</v>
      </c>
      <c r="E224" s="43" t="s">
        <v>103</v>
      </c>
      <c r="F224" s="43">
        <v>9</v>
      </c>
      <c r="G224" s="43">
        <v>2026</v>
      </c>
      <c r="H224" s="43"/>
      <c r="I224" s="43">
        <v>160.80000000000001</v>
      </c>
      <c r="J224" s="43" t="s">
        <v>104</v>
      </c>
      <c r="K224" s="43" t="s">
        <v>53</v>
      </c>
      <c r="L224" s="43" t="s">
        <v>105</v>
      </c>
      <c r="M224" s="43">
        <v>0</v>
      </c>
      <c r="N224" s="43">
        <v>0</v>
      </c>
      <c r="O224" s="43">
        <v>0</v>
      </c>
      <c r="P224" s="43">
        <v>1</v>
      </c>
      <c r="Q224" s="43">
        <v>0</v>
      </c>
      <c r="R224" s="43">
        <v>0</v>
      </c>
      <c r="S224" s="43">
        <v>1</v>
      </c>
      <c r="T224" s="43">
        <v>1</v>
      </c>
      <c r="U224" s="43">
        <v>1</v>
      </c>
      <c r="V224" s="43">
        <v>0</v>
      </c>
      <c r="W224" s="43" t="s">
        <v>106</v>
      </c>
      <c r="X224" s="43" t="s">
        <v>1941</v>
      </c>
      <c r="Y224" s="43">
        <v>0</v>
      </c>
      <c r="Z224" s="43">
        <v>0</v>
      </c>
      <c r="AA224" s="43">
        <v>2007</v>
      </c>
      <c r="AB224" s="43">
        <v>9999</v>
      </c>
      <c r="AC224" s="43" t="s">
        <v>35</v>
      </c>
    </row>
    <row r="225" spans="1:29" x14ac:dyDescent="0.25">
      <c r="A225" s="56" t="s">
        <v>305</v>
      </c>
      <c r="B225" s="39" t="s">
        <v>1455</v>
      </c>
      <c r="C225" s="43" t="s">
        <v>1456</v>
      </c>
      <c r="D225" s="43">
        <v>1</v>
      </c>
      <c r="E225" s="43" t="s">
        <v>103</v>
      </c>
      <c r="F225" s="43">
        <v>9</v>
      </c>
      <c r="G225" s="43">
        <v>2026</v>
      </c>
      <c r="H225" s="43"/>
      <c r="I225" s="43">
        <v>168.6</v>
      </c>
      <c r="J225" s="43" t="s">
        <v>104</v>
      </c>
      <c r="K225" s="43" t="s">
        <v>53</v>
      </c>
      <c r="L225" s="43" t="s">
        <v>105</v>
      </c>
      <c r="M225" s="43">
        <v>0</v>
      </c>
      <c r="N225" s="43">
        <v>0</v>
      </c>
      <c r="O225" s="43">
        <v>0</v>
      </c>
      <c r="P225" s="43">
        <v>1</v>
      </c>
      <c r="Q225" s="43">
        <v>0</v>
      </c>
      <c r="R225" s="43">
        <v>0</v>
      </c>
      <c r="S225" s="43">
        <v>1</v>
      </c>
      <c r="T225" s="43">
        <v>1</v>
      </c>
      <c r="U225" s="43">
        <v>1</v>
      </c>
      <c r="V225" s="43">
        <v>0</v>
      </c>
      <c r="W225" s="43" t="s">
        <v>106</v>
      </c>
      <c r="X225" s="43" t="s">
        <v>1941</v>
      </c>
      <c r="Y225" s="43">
        <v>0</v>
      </c>
      <c r="Z225" s="43">
        <v>0</v>
      </c>
      <c r="AA225" s="43">
        <v>2007</v>
      </c>
      <c r="AB225" s="43">
        <v>9999</v>
      </c>
      <c r="AC225" s="43" t="s">
        <v>35</v>
      </c>
    </row>
    <row r="226" spans="1:29" x14ac:dyDescent="0.25">
      <c r="A226" s="56" t="s">
        <v>993</v>
      </c>
      <c r="B226" s="39" t="s">
        <v>129</v>
      </c>
      <c r="C226" s="43"/>
      <c r="D226" s="43">
        <v>1</v>
      </c>
      <c r="E226" s="43" t="s">
        <v>103</v>
      </c>
      <c r="F226" s="43">
        <v>1</v>
      </c>
      <c r="G226" s="43">
        <v>2026</v>
      </c>
      <c r="H226" s="43"/>
      <c r="I226" s="43">
        <v>294.8</v>
      </c>
      <c r="J226" s="43" t="s">
        <v>104</v>
      </c>
      <c r="K226" s="43" t="s">
        <v>32</v>
      </c>
      <c r="L226" s="43"/>
      <c r="M226" s="43">
        <v>0</v>
      </c>
      <c r="N226" s="43">
        <v>0</v>
      </c>
      <c r="O226" s="43">
        <v>0</v>
      </c>
      <c r="P226" s="43">
        <v>0</v>
      </c>
      <c r="Q226" s="43">
        <v>0</v>
      </c>
      <c r="R226" s="43">
        <v>0</v>
      </c>
      <c r="S226" s="43">
        <v>1</v>
      </c>
      <c r="T226" s="43">
        <v>1</v>
      </c>
      <c r="U226" s="43">
        <v>1</v>
      </c>
      <c r="V226" s="43">
        <v>0</v>
      </c>
      <c r="W226" s="43" t="s">
        <v>1340</v>
      </c>
      <c r="X226" s="43" t="s">
        <v>2040</v>
      </c>
      <c r="Y226" s="43">
        <v>7</v>
      </c>
      <c r="Z226" s="43">
        <v>0</v>
      </c>
      <c r="AA226" s="43">
        <v>2007</v>
      </c>
      <c r="AB226" s="43">
        <v>9999</v>
      </c>
      <c r="AC226" s="43" t="s">
        <v>35</v>
      </c>
    </row>
    <row r="227" spans="1:29" x14ac:dyDescent="0.25">
      <c r="A227" s="56" t="s">
        <v>288</v>
      </c>
      <c r="B227" s="39" t="s">
        <v>289</v>
      </c>
      <c r="C227" s="43"/>
      <c r="D227" s="43">
        <v>1</v>
      </c>
      <c r="E227" s="43" t="s">
        <v>103</v>
      </c>
      <c r="F227" s="43">
        <v>9</v>
      </c>
      <c r="G227" s="43">
        <v>2026</v>
      </c>
      <c r="H227" s="43"/>
      <c r="I227" s="43">
        <v>400.7</v>
      </c>
      <c r="J227" s="43" t="s">
        <v>104</v>
      </c>
      <c r="K227" s="43" t="s">
        <v>53</v>
      </c>
      <c r="L227" s="43" t="s">
        <v>105</v>
      </c>
      <c r="M227" s="43">
        <v>0</v>
      </c>
      <c r="N227" s="43">
        <v>0</v>
      </c>
      <c r="O227" s="43">
        <v>0</v>
      </c>
      <c r="P227" s="43">
        <v>1</v>
      </c>
      <c r="Q227" s="43">
        <v>0</v>
      </c>
      <c r="R227" s="43">
        <v>0</v>
      </c>
      <c r="S227" s="43">
        <v>1</v>
      </c>
      <c r="T227" s="43">
        <v>1</v>
      </c>
      <c r="U227" s="43">
        <v>1</v>
      </c>
      <c r="V227" s="43">
        <v>0</v>
      </c>
      <c r="W227" s="43" t="s">
        <v>106</v>
      </c>
      <c r="X227" s="43" t="s">
        <v>1941</v>
      </c>
      <c r="Y227" s="43">
        <v>0</v>
      </c>
      <c r="Z227" s="43">
        <v>0</v>
      </c>
      <c r="AA227" s="43">
        <v>2007</v>
      </c>
      <c r="AB227" s="43">
        <v>9999</v>
      </c>
      <c r="AC227" s="43" t="s">
        <v>35</v>
      </c>
    </row>
    <row r="228" spans="1:29" x14ac:dyDescent="0.25">
      <c r="A228" s="56" t="s">
        <v>101</v>
      </c>
      <c r="B228" s="39" t="s">
        <v>102</v>
      </c>
      <c r="C228" s="43"/>
      <c r="D228" s="43">
        <v>1</v>
      </c>
      <c r="E228" s="43" t="s">
        <v>103</v>
      </c>
      <c r="F228" s="43">
        <v>9</v>
      </c>
      <c r="G228" s="43">
        <v>2026</v>
      </c>
      <c r="H228" s="43"/>
      <c r="I228" s="43">
        <v>430.1</v>
      </c>
      <c r="J228" s="43" t="s">
        <v>104</v>
      </c>
      <c r="K228" s="43" t="s">
        <v>53</v>
      </c>
      <c r="L228" s="43" t="s">
        <v>105</v>
      </c>
      <c r="M228" s="43">
        <v>0</v>
      </c>
      <c r="N228" s="43">
        <v>0</v>
      </c>
      <c r="O228" s="43">
        <v>0</v>
      </c>
      <c r="P228" s="43">
        <v>1</v>
      </c>
      <c r="Q228" s="43">
        <v>0</v>
      </c>
      <c r="R228" s="43">
        <v>0</v>
      </c>
      <c r="S228" s="43">
        <v>1</v>
      </c>
      <c r="T228" s="43">
        <v>1</v>
      </c>
      <c r="U228" s="43">
        <v>1</v>
      </c>
      <c r="V228" s="43">
        <v>0</v>
      </c>
      <c r="W228" s="43" t="s">
        <v>106</v>
      </c>
      <c r="X228" s="43" t="s">
        <v>1941</v>
      </c>
      <c r="Y228" s="43">
        <v>0</v>
      </c>
      <c r="Z228" s="43">
        <v>0</v>
      </c>
      <c r="AA228" s="43">
        <v>2007</v>
      </c>
      <c r="AB228" s="43">
        <v>9999</v>
      </c>
      <c r="AC228" s="43" t="s">
        <v>35</v>
      </c>
    </row>
    <row r="229" spans="1:29" x14ac:dyDescent="0.25">
      <c r="A229" s="56" t="s">
        <v>237</v>
      </c>
      <c r="B229" s="39" t="s">
        <v>238</v>
      </c>
      <c r="C229" s="43"/>
      <c r="D229" s="43">
        <v>1</v>
      </c>
      <c r="E229" s="43" t="s">
        <v>218</v>
      </c>
      <c r="F229" s="43">
        <v>2</v>
      </c>
      <c r="G229" s="43">
        <v>2026</v>
      </c>
      <c r="H229" s="43"/>
      <c r="I229" s="43">
        <v>502</v>
      </c>
      <c r="J229" s="43" t="s">
        <v>104</v>
      </c>
      <c r="K229" s="43" t="s">
        <v>53</v>
      </c>
      <c r="L229" s="43" t="s">
        <v>105</v>
      </c>
      <c r="M229" s="43">
        <v>0</v>
      </c>
      <c r="N229" s="43">
        <v>0</v>
      </c>
      <c r="O229" s="43">
        <v>0</v>
      </c>
      <c r="P229" s="43">
        <v>1</v>
      </c>
      <c r="Q229" s="43">
        <v>0</v>
      </c>
      <c r="R229" s="43">
        <v>0</v>
      </c>
      <c r="S229" s="43">
        <v>1</v>
      </c>
      <c r="T229" s="43">
        <v>1</v>
      </c>
      <c r="U229" s="43">
        <v>1</v>
      </c>
      <c r="V229" s="43">
        <v>0</v>
      </c>
      <c r="W229" s="43" t="s">
        <v>1072</v>
      </c>
      <c r="X229" s="43" t="s">
        <v>1860</v>
      </c>
      <c r="Y229" s="43">
        <v>0</v>
      </c>
      <c r="Z229" s="43">
        <v>0</v>
      </c>
      <c r="AA229" s="43">
        <v>2007</v>
      </c>
      <c r="AB229" s="43">
        <v>9999</v>
      </c>
      <c r="AC229" s="43" t="s">
        <v>35</v>
      </c>
    </row>
    <row r="230" spans="1:29" x14ac:dyDescent="0.25">
      <c r="A230" s="56" t="s">
        <v>293</v>
      </c>
      <c r="B230" s="39" t="s">
        <v>294</v>
      </c>
      <c r="C230" s="43"/>
      <c r="D230" s="43">
        <v>1</v>
      </c>
      <c r="E230" s="43" t="s">
        <v>103</v>
      </c>
      <c r="F230" s="43">
        <v>9</v>
      </c>
      <c r="G230" s="43">
        <v>2026</v>
      </c>
      <c r="H230" s="43"/>
      <c r="I230" s="43">
        <v>559.4</v>
      </c>
      <c r="J230" s="43" t="s">
        <v>104</v>
      </c>
      <c r="K230" s="43" t="s">
        <v>53</v>
      </c>
      <c r="L230" s="43" t="s">
        <v>105</v>
      </c>
      <c r="M230" s="43">
        <v>0</v>
      </c>
      <c r="N230" s="43">
        <v>0</v>
      </c>
      <c r="O230" s="43">
        <v>0</v>
      </c>
      <c r="P230" s="43">
        <v>1</v>
      </c>
      <c r="Q230" s="43">
        <v>0</v>
      </c>
      <c r="R230" s="43">
        <v>0</v>
      </c>
      <c r="S230" s="43">
        <v>1</v>
      </c>
      <c r="T230" s="43">
        <v>1</v>
      </c>
      <c r="U230" s="43">
        <v>1</v>
      </c>
      <c r="V230" s="43">
        <v>0</v>
      </c>
      <c r="W230" s="43" t="s">
        <v>106</v>
      </c>
      <c r="X230" s="43" t="s">
        <v>1941</v>
      </c>
      <c r="Y230" s="43">
        <v>0</v>
      </c>
      <c r="Z230" s="43">
        <v>0</v>
      </c>
      <c r="AA230" s="43">
        <v>2007</v>
      </c>
      <c r="AB230" s="43">
        <v>9999</v>
      </c>
      <c r="AC230" s="43" t="s">
        <v>35</v>
      </c>
    </row>
    <row r="231" spans="1:29" x14ac:dyDescent="0.25">
      <c r="A231" s="56" t="s">
        <v>284</v>
      </c>
      <c r="B231" s="39" t="s">
        <v>285</v>
      </c>
      <c r="C231" s="43"/>
      <c r="D231" s="43">
        <v>1</v>
      </c>
      <c r="E231" s="43" t="s">
        <v>103</v>
      </c>
      <c r="F231" s="43">
        <v>9</v>
      </c>
      <c r="G231" s="43">
        <v>2026</v>
      </c>
      <c r="H231" s="43"/>
      <c r="I231" s="43">
        <v>575.70000000000005</v>
      </c>
      <c r="J231" s="43" t="s">
        <v>104</v>
      </c>
      <c r="K231" s="43" t="s">
        <v>53</v>
      </c>
      <c r="L231" s="43" t="s">
        <v>105</v>
      </c>
      <c r="M231" s="43">
        <v>0</v>
      </c>
      <c r="N231" s="43">
        <v>0</v>
      </c>
      <c r="O231" s="43">
        <v>0</v>
      </c>
      <c r="P231" s="43">
        <v>1</v>
      </c>
      <c r="Q231" s="43">
        <v>0</v>
      </c>
      <c r="R231" s="43">
        <v>0</v>
      </c>
      <c r="S231" s="43">
        <v>1</v>
      </c>
      <c r="T231" s="43">
        <v>1</v>
      </c>
      <c r="U231" s="43">
        <v>1</v>
      </c>
      <c r="V231" s="43">
        <v>0</v>
      </c>
      <c r="W231" s="43" t="s">
        <v>106</v>
      </c>
      <c r="X231" s="43" t="s">
        <v>1941</v>
      </c>
      <c r="Y231" s="43">
        <v>0</v>
      </c>
      <c r="Z231" s="43">
        <v>0</v>
      </c>
      <c r="AA231" s="43">
        <v>2007</v>
      </c>
      <c r="AB231" s="43">
        <v>9999</v>
      </c>
      <c r="AC231" s="43" t="s">
        <v>35</v>
      </c>
    </row>
    <row r="232" spans="1:29" x14ac:dyDescent="0.25">
      <c r="A232" s="56" t="s">
        <v>278</v>
      </c>
      <c r="B232" s="39" t="s">
        <v>279</v>
      </c>
      <c r="C232" s="43"/>
      <c r="D232" s="43">
        <v>1</v>
      </c>
      <c r="E232" s="43" t="s">
        <v>103</v>
      </c>
      <c r="F232" s="43">
        <v>9</v>
      </c>
      <c r="G232" s="43">
        <v>2026</v>
      </c>
      <c r="H232" s="43"/>
      <c r="I232" s="43">
        <v>614.79999999999995</v>
      </c>
      <c r="J232" s="43" t="s">
        <v>104</v>
      </c>
      <c r="K232" s="43" t="s">
        <v>53</v>
      </c>
      <c r="L232" s="43" t="s">
        <v>105</v>
      </c>
      <c r="M232" s="43">
        <v>0</v>
      </c>
      <c r="N232" s="43">
        <v>0</v>
      </c>
      <c r="O232" s="43">
        <v>0</v>
      </c>
      <c r="P232" s="43">
        <v>1</v>
      </c>
      <c r="Q232" s="43">
        <v>0</v>
      </c>
      <c r="R232" s="43">
        <v>0</v>
      </c>
      <c r="S232" s="43">
        <v>1</v>
      </c>
      <c r="T232" s="43">
        <v>1</v>
      </c>
      <c r="U232" s="43">
        <v>1</v>
      </c>
      <c r="V232" s="43">
        <v>0</v>
      </c>
      <c r="W232" s="43" t="s">
        <v>106</v>
      </c>
      <c r="X232" s="43" t="s">
        <v>1941</v>
      </c>
      <c r="Y232" s="43">
        <v>0</v>
      </c>
      <c r="Z232" s="43">
        <v>0</v>
      </c>
      <c r="AA232" s="43">
        <v>2007</v>
      </c>
      <c r="AB232" s="43">
        <v>9999</v>
      </c>
      <c r="AC232" s="43" t="s">
        <v>35</v>
      </c>
    </row>
    <row r="233" spans="1:29" x14ac:dyDescent="0.25">
      <c r="A233" s="56" t="s">
        <v>282</v>
      </c>
      <c r="B233" s="39" t="s">
        <v>283</v>
      </c>
      <c r="C233" s="43"/>
      <c r="D233" s="43">
        <v>1</v>
      </c>
      <c r="E233" s="43" t="s">
        <v>103</v>
      </c>
      <c r="F233" s="43">
        <v>9</v>
      </c>
      <c r="G233" s="43">
        <v>2026</v>
      </c>
      <c r="H233" s="43"/>
      <c r="I233" s="43">
        <v>622.29999999999995</v>
      </c>
      <c r="J233" s="43" t="s">
        <v>104</v>
      </c>
      <c r="K233" s="43" t="s">
        <v>53</v>
      </c>
      <c r="L233" s="43" t="s">
        <v>105</v>
      </c>
      <c r="M233" s="43">
        <v>0</v>
      </c>
      <c r="N233" s="43">
        <v>0</v>
      </c>
      <c r="O233" s="43">
        <v>0</v>
      </c>
      <c r="P233" s="43">
        <v>1</v>
      </c>
      <c r="Q233" s="43">
        <v>0</v>
      </c>
      <c r="R233" s="43">
        <v>0</v>
      </c>
      <c r="S233" s="43">
        <v>1</v>
      </c>
      <c r="T233" s="43">
        <v>1</v>
      </c>
      <c r="U233" s="43">
        <v>1</v>
      </c>
      <c r="V233" s="43">
        <v>0</v>
      </c>
      <c r="W233" s="43" t="s">
        <v>106</v>
      </c>
      <c r="X233" s="43" t="s">
        <v>1941</v>
      </c>
      <c r="Y233" s="43">
        <v>0</v>
      </c>
      <c r="Z233" s="43">
        <v>0</v>
      </c>
      <c r="AA233" s="43">
        <v>2007</v>
      </c>
      <c r="AB233" s="43">
        <v>9999</v>
      </c>
      <c r="AC233" s="43" t="s">
        <v>35</v>
      </c>
    </row>
    <row r="234" spans="1:29" x14ac:dyDescent="0.25">
      <c r="A234" s="56" t="s">
        <v>280</v>
      </c>
      <c r="B234" s="39" t="s">
        <v>281</v>
      </c>
      <c r="C234" s="43"/>
      <c r="D234" s="43">
        <v>1</v>
      </c>
      <c r="E234" s="43" t="s">
        <v>103</v>
      </c>
      <c r="F234" s="43">
        <v>9</v>
      </c>
      <c r="G234" s="43">
        <v>2026</v>
      </c>
      <c r="H234" s="43"/>
      <c r="I234" s="43">
        <v>740.7</v>
      </c>
      <c r="J234" s="43" t="s">
        <v>104</v>
      </c>
      <c r="K234" s="43" t="s">
        <v>53</v>
      </c>
      <c r="L234" s="43" t="s">
        <v>105</v>
      </c>
      <c r="M234" s="43">
        <v>0</v>
      </c>
      <c r="N234" s="43">
        <v>0</v>
      </c>
      <c r="O234" s="43">
        <v>0</v>
      </c>
      <c r="P234" s="43">
        <v>1</v>
      </c>
      <c r="Q234" s="43">
        <v>0</v>
      </c>
      <c r="R234" s="43">
        <v>0</v>
      </c>
      <c r="S234" s="43">
        <v>1</v>
      </c>
      <c r="T234" s="43">
        <v>1</v>
      </c>
      <c r="U234" s="43">
        <v>1</v>
      </c>
      <c r="V234" s="43">
        <v>0</v>
      </c>
      <c r="W234" s="43" t="s">
        <v>106</v>
      </c>
      <c r="X234" s="43" t="s">
        <v>1941</v>
      </c>
      <c r="Y234" s="43">
        <v>0</v>
      </c>
      <c r="Z234" s="43">
        <v>0</v>
      </c>
      <c r="AA234" s="43">
        <v>2007</v>
      </c>
      <c r="AB234" s="43">
        <v>9999</v>
      </c>
      <c r="AC234" s="43" t="s">
        <v>35</v>
      </c>
    </row>
    <row r="235" spans="1:29" x14ac:dyDescent="0.25">
      <c r="A235" s="56" t="s">
        <v>1020</v>
      </c>
      <c r="B235" s="39" t="s">
        <v>1021</v>
      </c>
      <c r="C235" s="43"/>
      <c r="D235" s="43">
        <v>1</v>
      </c>
      <c r="E235" s="43" t="s">
        <v>103</v>
      </c>
      <c r="F235" s="43">
        <v>9</v>
      </c>
      <c r="G235" s="43">
        <v>2026</v>
      </c>
      <c r="H235" s="43"/>
      <c r="I235" s="43">
        <v>17</v>
      </c>
      <c r="J235" s="43" t="s">
        <v>104</v>
      </c>
      <c r="K235" s="43" t="s">
        <v>47</v>
      </c>
      <c r="L235" s="43"/>
      <c r="M235" s="43">
        <v>0</v>
      </c>
      <c r="N235" s="43">
        <v>0</v>
      </c>
      <c r="O235" s="43">
        <v>0</v>
      </c>
      <c r="P235" s="43">
        <v>0</v>
      </c>
      <c r="Q235" s="43">
        <v>0</v>
      </c>
      <c r="R235" s="43">
        <v>0</v>
      </c>
      <c r="S235" s="43">
        <v>0</v>
      </c>
      <c r="T235" s="43">
        <v>1</v>
      </c>
      <c r="U235" s="43">
        <v>1</v>
      </c>
      <c r="V235" s="43">
        <v>0</v>
      </c>
      <c r="W235" s="43" t="s">
        <v>1231</v>
      </c>
      <c r="X235" s="43" t="s">
        <v>2042</v>
      </c>
      <c r="Y235" s="43">
        <v>1</v>
      </c>
      <c r="Z235" s="43">
        <v>0</v>
      </c>
      <c r="AA235" s="43">
        <v>2007</v>
      </c>
      <c r="AB235" s="43">
        <v>9999</v>
      </c>
      <c r="AC235" s="43" t="s">
        <v>35</v>
      </c>
    </row>
    <row r="236" spans="1:29" x14ac:dyDescent="0.25">
      <c r="A236" s="56" t="s">
        <v>937</v>
      </c>
      <c r="B236" s="39" t="s">
        <v>938</v>
      </c>
      <c r="C236" s="43"/>
      <c r="D236" s="43">
        <v>1</v>
      </c>
      <c r="E236" s="43" t="s">
        <v>103</v>
      </c>
      <c r="F236" s="43">
        <v>9</v>
      </c>
      <c r="G236" s="43">
        <v>2026</v>
      </c>
      <c r="H236" s="43"/>
      <c r="I236" s="43">
        <v>836</v>
      </c>
      <c r="J236" s="43" t="s">
        <v>104</v>
      </c>
      <c r="K236" s="43" t="s">
        <v>53</v>
      </c>
      <c r="L236" s="43" t="s">
        <v>105</v>
      </c>
      <c r="M236" s="43">
        <v>0</v>
      </c>
      <c r="N236" s="43">
        <v>0</v>
      </c>
      <c r="O236" s="43">
        <v>0</v>
      </c>
      <c r="P236" s="43">
        <v>1</v>
      </c>
      <c r="Q236" s="43">
        <v>0</v>
      </c>
      <c r="R236" s="43">
        <v>0</v>
      </c>
      <c r="S236" s="43">
        <v>1</v>
      </c>
      <c r="T236" s="43">
        <v>1</v>
      </c>
      <c r="U236" s="43">
        <v>1</v>
      </c>
      <c r="V236" s="43">
        <v>0</v>
      </c>
      <c r="W236" s="43" t="s">
        <v>106</v>
      </c>
      <c r="X236" s="43" t="s">
        <v>1941</v>
      </c>
      <c r="Y236" s="43">
        <v>0</v>
      </c>
      <c r="Z236" s="43">
        <v>0</v>
      </c>
      <c r="AA236" s="43">
        <v>2007</v>
      </c>
      <c r="AB236" s="43">
        <v>9999</v>
      </c>
      <c r="AC236" s="43" t="s">
        <v>35</v>
      </c>
    </row>
    <row r="237" spans="1:29" x14ac:dyDescent="0.25">
      <c r="A237" s="56" t="s">
        <v>536</v>
      </c>
      <c r="B237" s="39" t="s">
        <v>537</v>
      </c>
      <c r="C237" s="43"/>
      <c r="D237" s="43">
        <v>1</v>
      </c>
      <c r="E237" s="43" t="s">
        <v>103</v>
      </c>
      <c r="F237" s="43">
        <v>9</v>
      </c>
      <c r="G237" s="43">
        <v>2026</v>
      </c>
      <c r="H237" s="43"/>
      <c r="I237" s="43">
        <v>968.8</v>
      </c>
      <c r="J237" s="43" t="s">
        <v>104</v>
      </c>
      <c r="K237" s="43" t="s">
        <v>53</v>
      </c>
      <c r="L237" s="43" t="s">
        <v>105</v>
      </c>
      <c r="M237" s="43">
        <v>0</v>
      </c>
      <c r="N237" s="43">
        <v>0</v>
      </c>
      <c r="O237" s="43">
        <v>0</v>
      </c>
      <c r="P237" s="43">
        <v>1</v>
      </c>
      <c r="Q237" s="43">
        <v>0</v>
      </c>
      <c r="R237" s="43">
        <v>0</v>
      </c>
      <c r="S237" s="43">
        <v>1</v>
      </c>
      <c r="T237" s="43">
        <v>1</v>
      </c>
      <c r="U237" s="43">
        <v>1</v>
      </c>
      <c r="V237" s="43">
        <v>0</v>
      </c>
      <c r="W237" s="43" t="s">
        <v>106</v>
      </c>
      <c r="X237" s="43" t="s">
        <v>1941</v>
      </c>
      <c r="Y237" s="43">
        <v>0</v>
      </c>
      <c r="Z237" s="43">
        <v>0</v>
      </c>
      <c r="AA237" s="43">
        <v>2007</v>
      </c>
      <c r="AB237" s="43">
        <v>9999</v>
      </c>
      <c r="AC237" s="43" t="s">
        <v>35</v>
      </c>
    </row>
    <row r="238" spans="1:29" x14ac:dyDescent="0.25">
      <c r="A238" s="56" t="s">
        <v>559</v>
      </c>
      <c r="B238" s="39" t="s">
        <v>1600</v>
      </c>
      <c r="C238" s="43" t="s">
        <v>1601</v>
      </c>
      <c r="D238" s="43">
        <v>1</v>
      </c>
      <c r="E238" s="43" t="s">
        <v>103</v>
      </c>
      <c r="F238" s="43">
        <v>9</v>
      </c>
      <c r="G238" s="43">
        <v>2026</v>
      </c>
      <c r="H238" s="43"/>
      <c r="I238" s="43">
        <v>1069.8</v>
      </c>
      <c r="J238" s="43" t="s">
        <v>104</v>
      </c>
      <c r="K238" s="43" t="s">
        <v>53</v>
      </c>
      <c r="L238" s="43" t="s">
        <v>105</v>
      </c>
      <c r="M238" s="43">
        <v>0</v>
      </c>
      <c r="N238" s="43">
        <v>0</v>
      </c>
      <c r="O238" s="43">
        <v>0</v>
      </c>
      <c r="P238" s="43">
        <v>1</v>
      </c>
      <c r="Q238" s="43">
        <v>0</v>
      </c>
      <c r="R238" s="43">
        <v>0</v>
      </c>
      <c r="S238" s="43">
        <v>1</v>
      </c>
      <c r="T238" s="43">
        <v>1</v>
      </c>
      <c r="U238" s="43">
        <v>1</v>
      </c>
      <c r="V238" s="43">
        <v>0</v>
      </c>
      <c r="W238" s="43" t="s">
        <v>106</v>
      </c>
      <c r="X238" s="43" t="s">
        <v>1941</v>
      </c>
      <c r="Y238" s="43">
        <v>0</v>
      </c>
      <c r="Z238" s="43">
        <v>0</v>
      </c>
      <c r="AA238" s="43">
        <v>2007</v>
      </c>
      <c r="AB238" s="43">
        <v>9999</v>
      </c>
      <c r="AC238" s="43" t="s">
        <v>35</v>
      </c>
    </row>
    <row r="239" spans="1:29" x14ac:dyDescent="0.25">
      <c r="A239" s="56" t="s">
        <v>324</v>
      </c>
      <c r="B239" s="39" t="s">
        <v>325</v>
      </c>
      <c r="C239" s="43"/>
      <c r="D239" s="43">
        <v>1</v>
      </c>
      <c r="E239" s="43" t="s">
        <v>103</v>
      </c>
      <c r="F239" s="43">
        <v>9</v>
      </c>
      <c r="G239" s="43">
        <v>2026</v>
      </c>
      <c r="H239" s="43"/>
      <c r="I239" s="43">
        <v>107.2</v>
      </c>
      <c r="J239" s="43" t="s">
        <v>104</v>
      </c>
      <c r="K239" s="43" t="s">
        <v>47</v>
      </c>
      <c r="L239" s="43"/>
      <c r="M239" s="43">
        <v>1</v>
      </c>
      <c r="N239" s="43">
        <v>0</v>
      </c>
      <c r="O239" s="43">
        <v>0</v>
      </c>
      <c r="P239" s="43">
        <v>0</v>
      </c>
      <c r="Q239" s="43">
        <v>0</v>
      </c>
      <c r="R239" s="43">
        <v>0</v>
      </c>
      <c r="S239" s="43">
        <v>1</v>
      </c>
      <c r="T239" s="43">
        <v>1</v>
      </c>
      <c r="U239" s="43">
        <v>1</v>
      </c>
      <c r="V239" s="43">
        <v>0</v>
      </c>
      <c r="W239" s="43" t="s">
        <v>1086</v>
      </c>
      <c r="X239" s="43" t="s">
        <v>1688</v>
      </c>
      <c r="Y239" s="43">
        <v>0</v>
      </c>
      <c r="Z239" s="43">
        <v>0</v>
      </c>
      <c r="AA239" s="43">
        <v>2007</v>
      </c>
      <c r="AB239" s="43">
        <v>9999</v>
      </c>
      <c r="AC239" s="43" t="s">
        <v>35</v>
      </c>
    </row>
    <row r="240" spans="1:29" x14ac:dyDescent="0.25">
      <c r="A240" s="56" t="s">
        <v>1011</v>
      </c>
      <c r="B240" s="39" t="s">
        <v>1012</v>
      </c>
      <c r="C240" s="43"/>
      <c r="D240" s="43">
        <v>1</v>
      </c>
      <c r="E240" s="43" t="s">
        <v>103</v>
      </c>
      <c r="F240" s="43">
        <v>9</v>
      </c>
      <c r="G240" s="43">
        <v>2026</v>
      </c>
      <c r="H240" s="43"/>
      <c r="I240" s="43">
        <v>1198.5</v>
      </c>
      <c r="J240" s="43" t="s">
        <v>104</v>
      </c>
      <c r="K240" s="43" t="s">
        <v>53</v>
      </c>
      <c r="L240" s="43" t="s">
        <v>105</v>
      </c>
      <c r="M240" s="43">
        <v>0</v>
      </c>
      <c r="N240" s="43">
        <v>0</v>
      </c>
      <c r="O240" s="43">
        <v>0</v>
      </c>
      <c r="P240" s="43">
        <v>1</v>
      </c>
      <c r="Q240" s="43">
        <v>0</v>
      </c>
      <c r="R240" s="43">
        <v>0</v>
      </c>
      <c r="S240" s="43">
        <v>1</v>
      </c>
      <c r="T240" s="43">
        <v>1</v>
      </c>
      <c r="U240" s="43">
        <v>1</v>
      </c>
      <c r="V240" s="43">
        <v>0</v>
      </c>
      <c r="W240" s="43" t="s">
        <v>106</v>
      </c>
      <c r="X240" s="43" t="s">
        <v>1941</v>
      </c>
      <c r="Y240" s="43">
        <v>0</v>
      </c>
      <c r="Z240" s="43">
        <v>0</v>
      </c>
      <c r="AA240" s="43">
        <v>2007</v>
      </c>
      <c r="AB240" s="43">
        <v>9999</v>
      </c>
      <c r="AC240" s="43" t="s">
        <v>35</v>
      </c>
    </row>
    <row r="241" spans="1:29" x14ac:dyDescent="0.25">
      <c r="A241" s="56" t="s">
        <v>362</v>
      </c>
      <c r="B241" s="39" t="s">
        <v>363</v>
      </c>
      <c r="C241" s="43"/>
      <c r="D241" s="43">
        <v>1</v>
      </c>
      <c r="E241" s="43" t="s">
        <v>103</v>
      </c>
      <c r="F241" s="43">
        <v>9</v>
      </c>
      <c r="G241" s="43">
        <v>2026</v>
      </c>
      <c r="H241" s="43"/>
      <c r="I241" s="43">
        <v>1199.3</v>
      </c>
      <c r="J241" s="43" t="s">
        <v>104</v>
      </c>
      <c r="K241" s="43" t="s">
        <v>53</v>
      </c>
      <c r="L241" s="43" t="s">
        <v>105</v>
      </c>
      <c r="M241" s="43">
        <v>0</v>
      </c>
      <c r="N241" s="43">
        <v>0</v>
      </c>
      <c r="O241" s="43">
        <v>0</v>
      </c>
      <c r="P241" s="43">
        <v>1</v>
      </c>
      <c r="Q241" s="43">
        <v>0</v>
      </c>
      <c r="R241" s="43">
        <v>0</v>
      </c>
      <c r="S241" s="43">
        <v>1</v>
      </c>
      <c r="T241" s="43">
        <v>1</v>
      </c>
      <c r="U241" s="43">
        <v>1</v>
      </c>
      <c r="V241" s="43">
        <v>0</v>
      </c>
      <c r="W241" s="43" t="s">
        <v>106</v>
      </c>
      <c r="X241" s="43" t="s">
        <v>1941</v>
      </c>
      <c r="Y241" s="43">
        <v>0</v>
      </c>
      <c r="Z241" s="43">
        <v>0</v>
      </c>
      <c r="AA241" s="43">
        <v>2007</v>
      </c>
      <c r="AB241" s="43">
        <v>9999</v>
      </c>
      <c r="AC241" s="43" t="s">
        <v>35</v>
      </c>
    </row>
    <row r="242" spans="1:29" x14ac:dyDescent="0.25">
      <c r="A242" s="56" t="s">
        <v>404</v>
      </c>
      <c r="B242" s="39" t="s">
        <v>405</v>
      </c>
      <c r="C242" s="43" t="s">
        <v>406</v>
      </c>
      <c r="D242" s="43">
        <v>1</v>
      </c>
      <c r="E242" s="43" t="s">
        <v>358</v>
      </c>
      <c r="F242" s="43">
        <v>1</v>
      </c>
      <c r="G242" s="43">
        <v>2026</v>
      </c>
      <c r="H242" s="43"/>
      <c r="I242" s="43">
        <v>304.39999999999998</v>
      </c>
      <c r="J242" s="43" t="s">
        <v>104</v>
      </c>
      <c r="K242" s="43" t="s">
        <v>47</v>
      </c>
      <c r="L242" s="43"/>
      <c r="M242" s="43">
        <v>1</v>
      </c>
      <c r="N242" s="43">
        <v>0</v>
      </c>
      <c r="O242" s="43">
        <v>0</v>
      </c>
      <c r="P242" s="43">
        <v>0</v>
      </c>
      <c r="Q242" s="43">
        <v>0</v>
      </c>
      <c r="R242" s="43">
        <v>0</v>
      </c>
      <c r="S242" s="43">
        <v>1</v>
      </c>
      <c r="T242" s="43">
        <v>1</v>
      </c>
      <c r="U242" s="43">
        <v>1</v>
      </c>
      <c r="V242" s="43">
        <v>0</v>
      </c>
      <c r="W242" s="43" t="s">
        <v>1245</v>
      </c>
      <c r="X242" s="43" t="s">
        <v>1706</v>
      </c>
      <c r="Y242" s="43">
        <v>0</v>
      </c>
      <c r="Z242" s="43">
        <v>0</v>
      </c>
      <c r="AA242" s="43">
        <v>2007</v>
      </c>
      <c r="AB242" s="43">
        <v>9999</v>
      </c>
      <c r="AC242" s="43" t="s">
        <v>35</v>
      </c>
    </row>
    <row r="243" spans="1:29" x14ac:dyDescent="0.25">
      <c r="A243" s="56" t="s">
        <v>458</v>
      </c>
      <c r="B243" s="39" t="s">
        <v>459</v>
      </c>
      <c r="C243" s="43"/>
      <c r="D243" s="43">
        <v>1</v>
      </c>
      <c r="E243" s="43" t="s">
        <v>103</v>
      </c>
      <c r="F243" s="43">
        <v>9</v>
      </c>
      <c r="G243" s="43">
        <v>2026</v>
      </c>
      <c r="H243" s="43"/>
      <c r="I243" s="43">
        <v>1515.3</v>
      </c>
      <c r="J243" s="43" t="s">
        <v>104</v>
      </c>
      <c r="K243" s="43" t="s">
        <v>53</v>
      </c>
      <c r="L243" s="43" t="s">
        <v>105</v>
      </c>
      <c r="M243" s="43">
        <v>0</v>
      </c>
      <c r="N243" s="43">
        <v>0</v>
      </c>
      <c r="O243" s="43">
        <v>0</v>
      </c>
      <c r="P243" s="43">
        <v>1</v>
      </c>
      <c r="Q243" s="43">
        <v>0</v>
      </c>
      <c r="R243" s="43">
        <v>0</v>
      </c>
      <c r="S243" s="43">
        <v>1</v>
      </c>
      <c r="T243" s="43">
        <v>1</v>
      </c>
      <c r="U243" s="43">
        <v>1</v>
      </c>
      <c r="V243" s="43">
        <v>0</v>
      </c>
      <c r="W243" s="43" t="s">
        <v>106</v>
      </c>
      <c r="X243" s="43" t="s">
        <v>1941</v>
      </c>
      <c r="Y243" s="43">
        <v>0</v>
      </c>
      <c r="Z243" s="43">
        <v>0</v>
      </c>
      <c r="AA243" s="43">
        <v>2007</v>
      </c>
      <c r="AB243" s="43">
        <v>9999</v>
      </c>
      <c r="AC243" s="43" t="s">
        <v>35</v>
      </c>
    </row>
    <row r="244" spans="1:29" x14ac:dyDescent="0.25">
      <c r="A244" s="56" t="s">
        <v>523</v>
      </c>
      <c r="B244" s="39" t="s">
        <v>1549</v>
      </c>
      <c r="C244" s="43"/>
      <c r="D244" s="43">
        <v>1</v>
      </c>
      <c r="E244" s="43" t="s">
        <v>103</v>
      </c>
      <c r="F244" s="43">
        <v>9</v>
      </c>
      <c r="G244" s="43">
        <v>2026</v>
      </c>
      <c r="H244" s="43"/>
      <c r="I244" s="43">
        <v>1661.4</v>
      </c>
      <c r="J244" s="43" t="s">
        <v>104</v>
      </c>
      <c r="K244" s="43" t="s">
        <v>53</v>
      </c>
      <c r="L244" s="43" t="s">
        <v>105</v>
      </c>
      <c r="M244" s="43">
        <v>0</v>
      </c>
      <c r="N244" s="43">
        <v>0</v>
      </c>
      <c r="O244" s="43">
        <v>0</v>
      </c>
      <c r="P244" s="43">
        <v>1</v>
      </c>
      <c r="Q244" s="43">
        <v>0</v>
      </c>
      <c r="R244" s="43">
        <v>0</v>
      </c>
      <c r="S244" s="43">
        <v>1</v>
      </c>
      <c r="T244" s="43">
        <v>1</v>
      </c>
      <c r="U244" s="43">
        <v>1</v>
      </c>
      <c r="V244" s="43">
        <v>0</v>
      </c>
      <c r="W244" s="43" t="s">
        <v>106</v>
      </c>
      <c r="X244" s="43" t="s">
        <v>1941</v>
      </c>
      <c r="Y244" s="43">
        <v>0</v>
      </c>
      <c r="Z244" s="43">
        <v>0</v>
      </c>
      <c r="AA244" s="43">
        <v>2007</v>
      </c>
      <c r="AB244" s="43">
        <v>9999</v>
      </c>
      <c r="AC244" s="43" t="s">
        <v>35</v>
      </c>
    </row>
    <row r="245" spans="1:29" x14ac:dyDescent="0.25">
      <c r="A245" s="56" t="s">
        <v>845</v>
      </c>
      <c r="B245" s="39" t="s">
        <v>846</v>
      </c>
      <c r="C245" s="43" t="s">
        <v>847</v>
      </c>
      <c r="D245" s="43">
        <v>1</v>
      </c>
      <c r="E245" s="43" t="s">
        <v>300</v>
      </c>
      <c r="F245" s="43">
        <v>9</v>
      </c>
      <c r="G245" s="43">
        <v>2026</v>
      </c>
      <c r="H245" s="43"/>
      <c r="I245" s="43">
        <v>814.2</v>
      </c>
      <c r="J245" s="43" t="s">
        <v>104</v>
      </c>
      <c r="K245" s="43" t="s">
        <v>47</v>
      </c>
      <c r="L245" s="43"/>
      <c r="M245" s="43">
        <v>1</v>
      </c>
      <c r="N245" s="43">
        <v>1</v>
      </c>
      <c r="O245" s="43">
        <v>0</v>
      </c>
      <c r="P245" s="43">
        <v>0</v>
      </c>
      <c r="Q245" s="43">
        <v>0</v>
      </c>
      <c r="R245" s="43">
        <v>0</v>
      </c>
      <c r="S245" s="43">
        <v>1</v>
      </c>
      <c r="T245" s="43">
        <v>1</v>
      </c>
      <c r="U245" s="43">
        <v>1</v>
      </c>
      <c r="V245" s="43">
        <v>0</v>
      </c>
      <c r="W245" s="43" t="s">
        <v>1517</v>
      </c>
      <c r="X245" s="43" t="s">
        <v>1893</v>
      </c>
      <c r="Y245" s="43">
        <v>2</v>
      </c>
      <c r="Z245" s="43">
        <v>2</v>
      </c>
      <c r="AA245" s="43">
        <v>2007</v>
      </c>
      <c r="AB245" s="43">
        <v>9999</v>
      </c>
      <c r="AC245" s="43" t="s">
        <v>35</v>
      </c>
    </row>
    <row r="246" spans="1:29" x14ac:dyDescent="0.25">
      <c r="A246" s="56" t="s">
        <v>131</v>
      </c>
      <c r="B246" s="39" t="s">
        <v>132</v>
      </c>
      <c r="C246" s="43" t="s">
        <v>133</v>
      </c>
      <c r="D246" s="43">
        <v>1</v>
      </c>
      <c r="E246" s="43" t="s">
        <v>134</v>
      </c>
      <c r="F246" s="43">
        <v>9</v>
      </c>
      <c r="G246" s="43">
        <v>2026</v>
      </c>
      <c r="H246" s="43"/>
      <c r="I246" s="43">
        <v>1085.7</v>
      </c>
      <c r="J246" s="43" t="s">
        <v>104</v>
      </c>
      <c r="K246" s="43" t="s">
        <v>47</v>
      </c>
      <c r="L246" s="43"/>
      <c r="M246" s="43">
        <v>1</v>
      </c>
      <c r="N246" s="43">
        <v>0</v>
      </c>
      <c r="O246" s="43">
        <v>0</v>
      </c>
      <c r="P246" s="43">
        <v>0</v>
      </c>
      <c r="Q246" s="43">
        <v>0</v>
      </c>
      <c r="R246" s="43">
        <v>0</v>
      </c>
      <c r="S246" s="43">
        <v>1</v>
      </c>
      <c r="T246" s="43">
        <v>1</v>
      </c>
      <c r="U246" s="43">
        <v>1</v>
      </c>
      <c r="V246" s="43">
        <v>0</v>
      </c>
      <c r="W246" s="43" t="s">
        <v>1522</v>
      </c>
      <c r="X246" s="43" t="s">
        <v>1945</v>
      </c>
      <c r="Y246" s="43">
        <v>0</v>
      </c>
      <c r="Z246" s="43">
        <v>0</v>
      </c>
      <c r="AA246" s="43">
        <v>2007</v>
      </c>
      <c r="AB246" s="43">
        <v>9999</v>
      </c>
      <c r="AC246" s="43" t="s">
        <v>35</v>
      </c>
    </row>
    <row r="247" spans="1:29" x14ac:dyDescent="0.25">
      <c r="A247" s="56" t="s">
        <v>430</v>
      </c>
      <c r="B247" s="39" t="s">
        <v>431</v>
      </c>
      <c r="C247" s="43"/>
      <c r="D247" s="43">
        <v>1</v>
      </c>
      <c r="E247" s="43" t="s">
        <v>103</v>
      </c>
      <c r="F247" s="43">
        <v>9</v>
      </c>
      <c r="G247" s="43">
        <v>2026</v>
      </c>
      <c r="H247" s="43"/>
      <c r="I247" s="43">
        <v>3676.3</v>
      </c>
      <c r="J247" s="43" t="s">
        <v>104</v>
      </c>
      <c r="K247" s="43" t="s">
        <v>53</v>
      </c>
      <c r="L247" s="43" t="s">
        <v>105</v>
      </c>
      <c r="M247" s="43">
        <v>0</v>
      </c>
      <c r="N247" s="43">
        <v>0</v>
      </c>
      <c r="O247" s="43">
        <v>0</v>
      </c>
      <c r="P247" s="43">
        <v>1</v>
      </c>
      <c r="Q247" s="43">
        <v>0</v>
      </c>
      <c r="R247" s="43">
        <v>0</v>
      </c>
      <c r="S247" s="43">
        <v>1</v>
      </c>
      <c r="T247" s="43">
        <v>1</v>
      </c>
      <c r="U247" s="43">
        <v>1</v>
      </c>
      <c r="V247" s="43">
        <v>0</v>
      </c>
      <c r="W247" s="43" t="s">
        <v>106</v>
      </c>
      <c r="X247" s="43" t="s">
        <v>1941</v>
      </c>
      <c r="Y247" s="43">
        <v>0</v>
      </c>
      <c r="Z247" s="43">
        <v>0</v>
      </c>
      <c r="AA247" s="43">
        <v>2007</v>
      </c>
      <c r="AB247" s="43">
        <v>9999</v>
      </c>
      <c r="AC247" s="43" t="s">
        <v>35</v>
      </c>
    </row>
    <row r="248" spans="1:29" x14ac:dyDescent="0.25">
      <c r="A248" s="56" t="s">
        <v>963</v>
      </c>
      <c r="B248" s="39" t="s">
        <v>658</v>
      </c>
      <c r="C248" s="43"/>
      <c r="D248" s="43">
        <v>1</v>
      </c>
      <c r="E248" s="43" t="s">
        <v>103</v>
      </c>
      <c r="F248" s="43">
        <v>9</v>
      </c>
      <c r="G248" s="43">
        <v>2026</v>
      </c>
      <c r="H248" s="43"/>
      <c r="I248" s="43">
        <v>3891.2</v>
      </c>
      <c r="J248" s="43" t="s">
        <v>104</v>
      </c>
      <c r="K248" s="43" t="s">
        <v>53</v>
      </c>
      <c r="L248" s="43" t="s">
        <v>105</v>
      </c>
      <c r="M248" s="43">
        <v>0</v>
      </c>
      <c r="N248" s="43">
        <v>0</v>
      </c>
      <c r="O248" s="43">
        <v>0</v>
      </c>
      <c r="P248" s="43">
        <v>1</v>
      </c>
      <c r="Q248" s="43">
        <v>0</v>
      </c>
      <c r="R248" s="43">
        <v>0</v>
      </c>
      <c r="S248" s="43">
        <v>1</v>
      </c>
      <c r="T248" s="43">
        <v>1</v>
      </c>
      <c r="U248" s="43">
        <v>1</v>
      </c>
      <c r="V248" s="43">
        <v>0</v>
      </c>
      <c r="W248" s="43" t="s">
        <v>106</v>
      </c>
      <c r="X248" s="43" t="s">
        <v>1941</v>
      </c>
      <c r="Y248" s="43">
        <v>0</v>
      </c>
      <c r="Z248" s="43">
        <v>0</v>
      </c>
      <c r="AA248" s="43">
        <v>2007</v>
      </c>
      <c r="AB248" s="43">
        <v>9999</v>
      </c>
      <c r="AC248" s="43" t="s">
        <v>35</v>
      </c>
    </row>
    <row r="249" spans="1:29" x14ac:dyDescent="0.25">
      <c r="A249" s="56" t="s">
        <v>413</v>
      </c>
      <c r="B249" s="39" t="s">
        <v>414</v>
      </c>
      <c r="C249" s="43" t="s">
        <v>415</v>
      </c>
      <c r="D249" s="43">
        <v>1</v>
      </c>
      <c r="E249" s="43" t="s">
        <v>103</v>
      </c>
      <c r="F249" s="43">
        <v>9</v>
      </c>
      <c r="G249" s="43">
        <v>2026</v>
      </c>
      <c r="H249" s="43"/>
      <c r="I249" s="43">
        <v>4057.6</v>
      </c>
      <c r="J249" s="43" t="s">
        <v>104</v>
      </c>
      <c r="K249" s="43" t="s">
        <v>53</v>
      </c>
      <c r="L249" s="43" t="s">
        <v>105</v>
      </c>
      <c r="M249" s="43">
        <v>0</v>
      </c>
      <c r="N249" s="43">
        <v>0</v>
      </c>
      <c r="O249" s="43">
        <v>0</v>
      </c>
      <c r="P249" s="43">
        <v>1</v>
      </c>
      <c r="Q249" s="43">
        <v>0</v>
      </c>
      <c r="R249" s="43">
        <v>0</v>
      </c>
      <c r="S249" s="43">
        <v>1</v>
      </c>
      <c r="T249" s="43">
        <v>1</v>
      </c>
      <c r="U249" s="43">
        <v>1</v>
      </c>
      <c r="V249" s="43">
        <v>0</v>
      </c>
      <c r="W249" s="43" t="s">
        <v>106</v>
      </c>
      <c r="X249" s="43" t="s">
        <v>1941</v>
      </c>
      <c r="Y249" s="43">
        <v>0</v>
      </c>
      <c r="Z249" s="43">
        <v>0</v>
      </c>
      <c r="AA249" s="43">
        <v>2007</v>
      </c>
      <c r="AB249" s="43">
        <v>9999</v>
      </c>
      <c r="AC249" s="43" t="s">
        <v>35</v>
      </c>
    </row>
    <row r="250" spans="1:29" x14ac:dyDescent="0.25">
      <c r="A250" s="56" t="s">
        <v>880</v>
      </c>
      <c r="B250" s="39" t="s">
        <v>881</v>
      </c>
      <c r="C250" s="43" t="s">
        <v>882</v>
      </c>
      <c r="D250" s="43">
        <v>1</v>
      </c>
      <c r="E250" s="43" t="s">
        <v>103</v>
      </c>
      <c r="F250" s="43">
        <v>9</v>
      </c>
      <c r="G250" s="43">
        <v>2026</v>
      </c>
      <c r="H250" s="43"/>
      <c r="I250" s="43">
        <v>4762.2</v>
      </c>
      <c r="J250" s="43" t="s">
        <v>104</v>
      </c>
      <c r="K250" s="43" t="s">
        <v>53</v>
      </c>
      <c r="L250" s="43" t="s">
        <v>105</v>
      </c>
      <c r="M250" s="43">
        <v>0</v>
      </c>
      <c r="N250" s="43">
        <v>0</v>
      </c>
      <c r="O250" s="43">
        <v>0</v>
      </c>
      <c r="P250" s="43">
        <v>1</v>
      </c>
      <c r="Q250" s="43">
        <v>0</v>
      </c>
      <c r="R250" s="43">
        <v>0</v>
      </c>
      <c r="S250" s="43">
        <v>1</v>
      </c>
      <c r="T250" s="43">
        <v>1</v>
      </c>
      <c r="U250" s="43">
        <v>1</v>
      </c>
      <c r="V250" s="43">
        <v>0</v>
      </c>
      <c r="W250" s="43" t="s">
        <v>106</v>
      </c>
      <c r="X250" s="43" t="s">
        <v>1941</v>
      </c>
      <c r="Y250" s="43">
        <v>0</v>
      </c>
      <c r="Z250" s="43">
        <v>0</v>
      </c>
      <c r="AA250" s="43">
        <v>2007</v>
      </c>
      <c r="AB250" s="43">
        <v>9999</v>
      </c>
      <c r="AC250" s="43" t="s">
        <v>35</v>
      </c>
    </row>
    <row r="251" spans="1:29" x14ac:dyDescent="0.25">
      <c r="A251" s="56" t="s">
        <v>364</v>
      </c>
      <c r="B251" s="39" t="s">
        <v>365</v>
      </c>
      <c r="C251" s="43" t="s">
        <v>366</v>
      </c>
      <c r="D251" s="43">
        <v>1</v>
      </c>
      <c r="E251" s="43" t="s">
        <v>103</v>
      </c>
      <c r="F251" s="43">
        <v>9</v>
      </c>
      <c r="G251" s="43">
        <v>2026</v>
      </c>
      <c r="H251" s="43"/>
      <c r="I251" s="43">
        <v>5099</v>
      </c>
      <c r="J251" s="43" t="s">
        <v>104</v>
      </c>
      <c r="K251" s="43" t="s">
        <v>53</v>
      </c>
      <c r="L251" s="43" t="s">
        <v>105</v>
      </c>
      <c r="M251" s="43">
        <v>0</v>
      </c>
      <c r="N251" s="43">
        <v>0</v>
      </c>
      <c r="O251" s="43">
        <v>0</v>
      </c>
      <c r="P251" s="43">
        <v>1</v>
      </c>
      <c r="Q251" s="43">
        <v>0</v>
      </c>
      <c r="R251" s="43">
        <v>0</v>
      </c>
      <c r="S251" s="43">
        <v>1</v>
      </c>
      <c r="T251" s="43">
        <v>1</v>
      </c>
      <c r="U251" s="43">
        <v>1</v>
      </c>
      <c r="V251" s="43">
        <v>0</v>
      </c>
      <c r="W251" s="43" t="s">
        <v>106</v>
      </c>
      <c r="X251" s="43" t="s">
        <v>1941</v>
      </c>
      <c r="Y251" s="43">
        <v>0</v>
      </c>
      <c r="Z251" s="43">
        <v>0</v>
      </c>
      <c r="AA251" s="43">
        <v>2007</v>
      </c>
      <c r="AB251" s="43">
        <v>9999</v>
      </c>
      <c r="AC251" s="43" t="s">
        <v>35</v>
      </c>
    </row>
    <row r="252" spans="1:29" x14ac:dyDescent="0.25">
      <c r="A252" s="56" t="s">
        <v>259</v>
      </c>
      <c r="B252" s="39" t="s">
        <v>260</v>
      </c>
      <c r="C252" s="43" t="s">
        <v>261</v>
      </c>
      <c r="D252" s="43">
        <v>1</v>
      </c>
      <c r="E252" s="43" t="s">
        <v>103</v>
      </c>
      <c r="F252" s="43">
        <v>9</v>
      </c>
      <c r="G252" s="43">
        <v>2026</v>
      </c>
      <c r="H252" s="43"/>
      <c r="I252" s="43">
        <v>5590.9</v>
      </c>
      <c r="J252" s="43" t="s">
        <v>104</v>
      </c>
      <c r="K252" s="43" t="s">
        <v>53</v>
      </c>
      <c r="L252" s="43" t="s">
        <v>105</v>
      </c>
      <c r="M252" s="43">
        <v>0</v>
      </c>
      <c r="N252" s="43">
        <v>0</v>
      </c>
      <c r="O252" s="43">
        <v>0</v>
      </c>
      <c r="P252" s="43">
        <v>1</v>
      </c>
      <c r="Q252" s="43">
        <v>0</v>
      </c>
      <c r="R252" s="43">
        <v>0</v>
      </c>
      <c r="S252" s="43">
        <v>1</v>
      </c>
      <c r="T252" s="43">
        <v>1</v>
      </c>
      <c r="U252" s="43">
        <v>1</v>
      </c>
      <c r="V252" s="43">
        <v>0</v>
      </c>
      <c r="W252" s="43" t="s">
        <v>106</v>
      </c>
      <c r="X252" s="43" t="s">
        <v>1941</v>
      </c>
      <c r="Y252" s="43">
        <v>0</v>
      </c>
      <c r="Z252" s="43">
        <v>0</v>
      </c>
      <c r="AA252" s="43">
        <v>2007</v>
      </c>
      <c r="AB252" s="43">
        <v>9999</v>
      </c>
      <c r="AC252" s="43" t="s">
        <v>35</v>
      </c>
    </row>
    <row r="253" spans="1:29" x14ac:dyDescent="0.25">
      <c r="A253" s="56" t="s">
        <v>967</v>
      </c>
      <c r="B253" s="39" t="s">
        <v>661</v>
      </c>
      <c r="C253" s="43"/>
      <c r="D253" s="43">
        <v>1</v>
      </c>
      <c r="E253" s="43" t="s">
        <v>103</v>
      </c>
      <c r="F253" s="43">
        <v>9</v>
      </c>
      <c r="G253" s="43">
        <v>2026</v>
      </c>
      <c r="H253" s="43"/>
      <c r="I253" s="43">
        <v>6563.07</v>
      </c>
      <c r="J253" s="43" t="s">
        <v>104</v>
      </c>
      <c r="K253" s="43" t="s">
        <v>53</v>
      </c>
      <c r="L253" s="43" t="s">
        <v>105</v>
      </c>
      <c r="M253" s="43">
        <v>0</v>
      </c>
      <c r="N253" s="43">
        <v>0</v>
      </c>
      <c r="O253" s="43">
        <v>0</v>
      </c>
      <c r="P253" s="43">
        <v>1</v>
      </c>
      <c r="Q253" s="43">
        <v>0</v>
      </c>
      <c r="R253" s="43">
        <v>0</v>
      </c>
      <c r="S253" s="43">
        <v>1</v>
      </c>
      <c r="T253" s="43">
        <v>1</v>
      </c>
      <c r="U253" s="43">
        <v>1</v>
      </c>
      <c r="V253" s="43">
        <v>0</v>
      </c>
      <c r="W253" s="43" t="s">
        <v>106</v>
      </c>
      <c r="X253" s="43" t="s">
        <v>1941</v>
      </c>
      <c r="Y253" s="43">
        <v>0</v>
      </c>
      <c r="Z253" s="43">
        <v>0</v>
      </c>
      <c r="AA253" s="43">
        <v>2007</v>
      </c>
      <c r="AB253" s="43">
        <v>9999</v>
      </c>
      <c r="AC253" s="43" t="s">
        <v>35</v>
      </c>
    </row>
    <row r="254" spans="1:29" x14ac:dyDescent="0.25">
      <c r="A254" s="56" t="s">
        <v>460</v>
      </c>
      <c r="B254" s="39" t="s">
        <v>461</v>
      </c>
      <c r="C254" s="43"/>
      <c r="D254" s="43">
        <v>1</v>
      </c>
      <c r="E254" s="43" t="s">
        <v>103</v>
      </c>
      <c r="F254" s="43">
        <v>9</v>
      </c>
      <c r="G254" s="43">
        <v>2026</v>
      </c>
      <c r="H254" s="43"/>
      <c r="I254" s="43">
        <v>7320.2</v>
      </c>
      <c r="J254" s="43" t="s">
        <v>104</v>
      </c>
      <c r="K254" s="43" t="s">
        <v>53</v>
      </c>
      <c r="L254" s="43" t="s">
        <v>105</v>
      </c>
      <c r="M254" s="43">
        <v>0</v>
      </c>
      <c r="N254" s="43">
        <v>0</v>
      </c>
      <c r="O254" s="43">
        <v>0</v>
      </c>
      <c r="P254" s="43">
        <v>1</v>
      </c>
      <c r="Q254" s="43">
        <v>0</v>
      </c>
      <c r="R254" s="43">
        <v>0</v>
      </c>
      <c r="S254" s="43">
        <v>1</v>
      </c>
      <c r="T254" s="43">
        <v>1</v>
      </c>
      <c r="U254" s="43">
        <v>1</v>
      </c>
      <c r="V254" s="43">
        <v>0</v>
      </c>
      <c r="W254" s="43" t="s">
        <v>106</v>
      </c>
      <c r="X254" s="43" t="s">
        <v>1941</v>
      </c>
      <c r="Y254" s="43">
        <v>0</v>
      </c>
      <c r="Z254" s="43">
        <v>0</v>
      </c>
      <c r="AA254" s="43">
        <v>2007</v>
      </c>
      <c r="AB254" s="43">
        <v>9999</v>
      </c>
      <c r="AC254" s="43" t="s">
        <v>35</v>
      </c>
    </row>
    <row r="255" spans="1:29" x14ac:dyDescent="0.25">
      <c r="A255" s="56" t="s">
        <v>968</v>
      </c>
      <c r="B255" s="39" t="s">
        <v>969</v>
      </c>
      <c r="C255" s="43"/>
      <c r="D255" s="43">
        <v>1</v>
      </c>
      <c r="E255" s="43" t="s">
        <v>85</v>
      </c>
      <c r="F255" s="43">
        <v>1</v>
      </c>
      <c r="G255" s="43">
        <v>2026</v>
      </c>
      <c r="H255" s="43" t="s">
        <v>970</v>
      </c>
      <c r="I255" s="43">
        <v>0.2</v>
      </c>
      <c r="J255" s="43" t="s">
        <v>176</v>
      </c>
      <c r="K255" s="43" t="s">
        <v>41</v>
      </c>
      <c r="L255" s="43"/>
      <c r="M255" s="43">
        <v>0</v>
      </c>
      <c r="N255" s="43">
        <v>0</v>
      </c>
      <c r="O255" s="43">
        <v>0</v>
      </c>
      <c r="P255" s="43">
        <v>0</v>
      </c>
      <c r="Q255" s="43">
        <v>0</v>
      </c>
      <c r="R255" s="43">
        <v>0</v>
      </c>
      <c r="S255" s="43">
        <v>0</v>
      </c>
      <c r="T255" s="43">
        <v>0</v>
      </c>
      <c r="U255" s="43">
        <v>0</v>
      </c>
      <c r="V255" s="43">
        <v>0</v>
      </c>
      <c r="W255" s="43" t="s">
        <v>971</v>
      </c>
      <c r="X255" s="43" t="s">
        <v>1838</v>
      </c>
      <c r="Y255" s="43">
        <v>0</v>
      </c>
      <c r="Z255" s="43">
        <v>0</v>
      </c>
      <c r="AA255" s="43">
        <v>2007</v>
      </c>
      <c r="AB255" s="43">
        <v>9999</v>
      </c>
      <c r="AC255" s="43" t="s">
        <v>35</v>
      </c>
    </row>
    <row r="256" spans="1:29" x14ac:dyDescent="0.25">
      <c r="A256" s="56" t="s">
        <v>173</v>
      </c>
      <c r="B256" s="39" t="s">
        <v>174</v>
      </c>
      <c r="C256" s="43" t="s">
        <v>175</v>
      </c>
      <c r="D256" s="43">
        <v>1</v>
      </c>
      <c r="E256" s="43" t="s">
        <v>45</v>
      </c>
      <c r="F256" s="43">
        <v>4</v>
      </c>
      <c r="G256" s="43">
        <v>2026</v>
      </c>
      <c r="H256" s="43"/>
      <c r="I256" s="43">
        <v>165.2</v>
      </c>
      <c r="J256" s="43" t="s">
        <v>176</v>
      </c>
      <c r="K256" s="43" t="s">
        <v>32</v>
      </c>
      <c r="L256" s="43"/>
      <c r="M256" s="43">
        <v>0</v>
      </c>
      <c r="N256" s="43">
        <v>0</v>
      </c>
      <c r="O256" s="43">
        <v>0</v>
      </c>
      <c r="P256" s="43">
        <v>0</v>
      </c>
      <c r="Q256" s="43">
        <v>0</v>
      </c>
      <c r="R256" s="43">
        <v>0</v>
      </c>
      <c r="S256" s="43">
        <v>1</v>
      </c>
      <c r="T256" s="43">
        <v>1</v>
      </c>
      <c r="U256" s="43">
        <v>1</v>
      </c>
      <c r="V256" s="43">
        <v>0</v>
      </c>
      <c r="W256" s="43" t="s">
        <v>1055</v>
      </c>
      <c r="X256" s="43" t="s">
        <v>1949</v>
      </c>
      <c r="Y256" s="43">
        <v>0</v>
      </c>
      <c r="Z256" s="43">
        <v>0</v>
      </c>
      <c r="AA256" s="43">
        <v>2007</v>
      </c>
      <c r="AB256" s="43">
        <v>9999</v>
      </c>
      <c r="AC256" s="43" t="s">
        <v>35</v>
      </c>
    </row>
    <row r="257" spans="1:29" x14ac:dyDescent="0.25">
      <c r="A257" s="56" t="s">
        <v>887</v>
      </c>
      <c r="B257" s="39" t="s">
        <v>888</v>
      </c>
      <c r="C257" s="43" t="s">
        <v>889</v>
      </c>
      <c r="D257" s="43">
        <v>1</v>
      </c>
      <c r="E257" s="43" t="s">
        <v>335</v>
      </c>
      <c r="F257" s="43">
        <v>1</v>
      </c>
      <c r="G257" s="43">
        <v>2026</v>
      </c>
      <c r="H257" s="43"/>
      <c r="I257" s="43">
        <v>636.4</v>
      </c>
      <c r="J257" s="43" t="s">
        <v>176</v>
      </c>
      <c r="K257" s="43" t="s">
        <v>32</v>
      </c>
      <c r="L257" s="43"/>
      <c r="M257" s="43">
        <v>0</v>
      </c>
      <c r="N257" s="43">
        <v>1</v>
      </c>
      <c r="O257" s="43">
        <v>0</v>
      </c>
      <c r="P257" s="43">
        <v>0</v>
      </c>
      <c r="Q257" s="43">
        <v>0</v>
      </c>
      <c r="R257" s="43">
        <v>0</v>
      </c>
      <c r="S257" s="43">
        <v>1</v>
      </c>
      <c r="T257" s="43">
        <v>1</v>
      </c>
      <c r="U257" s="43">
        <v>1</v>
      </c>
      <c r="V257" s="43">
        <v>0</v>
      </c>
      <c r="W257" s="43" t="s">
        <v>2033</v>
      </c>
      <c r="X257" s="43" t="s">
        <v>2050</v>
      </c>
      <c r="Y257" s="43">
        <v>0</v>
      </c>
      <c r="Z257" s="43">
        <v>1</v>
      </c>
      <c r="AA257" s="43">
        <v>2007</v>
      </c>
      <c r="AB257" s="43">
        <v>9999</v>
      </c>
      <c r="AC257" s="43" t="s">
        <v>35</v>
      </c>
    </row>
    <row r="258" spans="1:29" x14ac:dyDescent="0.25">
      <c r="A258" s="56" t="s">
        <v>574</v>
      </c>
      <c r="B258" s="39" t="s">
        <v>575</v>
      </c>
      <c r="C258" s="43"/>
      <c r="D258" s="43">
        <v>1</v>
      </c>
      <c r="E258" s="43" t="s">
        <v>222</v>
      </c>
      <c r="F258" s="43">
        <v>1</v>
      </c>
      <c r="G258" s="43">
        <v>2026</v>
      </c>
      <c r="H258" s="43"/>
      <c r="I258" s="43">
        <v>34</v>
      </c>
      <c r="J258" s="43" t="s">
        <v>176</v>
      </c>
      <c r="K258" s="43" t="s">
        <v>47</v>
      </c>
      <c r="L258" s="43"/>
      <c r="M258" s="43">
        <v>0</v>
      </c>
      <c r="N258" s="43">
        <v>0</v>
      </c>
      <c r="O258" s="43">
        <v>0</v>
      </c>
      <c r="P258" s="43">
        <v>0</v>
      </c>
      <c r="Q258" s="43">
        <v>0</v>
      </c>
      <c r="R258" s="43">
        <v>0</v>
      </c>
      <c r="S258" s="43">
        <v>1</v>
      </c>
      <c r="T258" s="43">
        <v>1</v>
      </c>
      <c r="U258" s="43">
        <v>1</v>
      </c>
      <c r="V258" s="43">
        <v>0</v>
      </c>
      <c r="W258" s="43" t="s">
        <v>1602</v>
      </c>
      <c r="X258" s="43" t="s">
        <v>1742</v>
      </c>
      <c r="Y258" s="43">
        <v>0</v>
      </c>
      <c r="Z258" s="43">
        <v>1</v>
      </c>
      <c r="AA258" s="43">
        <v>2007</v>
      </c>
      <c r="AB258" s="43">
        <v>9999</v>
      </c>
      <c r="AC258" s="43" t="s">
        <v>35</v>
      </c>
    </row>
    <row r="259" spans="1:29" x14ac:dyDescent="0.25">
      <c r="A259" s="56" t="s">
        <v>908</v>
      </c>
      <c r="B259" s="39" t="s">
        <v>909</v>
      </c>
      <c r="C259" s="43" t="s">
        <v>910</v>
      </c>
      <c r="D259" s="43">
        <v>1</v>
      </c>
      <c r="E259" s="43" t="s">
        <v>911</v>
      </c>
      <c r="F259" s="43">
        <v>1</v>
      </c>
      <c r="G259" s="43">
        <v>2026</v>
      </c>
      <c r="H259" s="43"/>
      <c r="I259" s="43">
        <v>99.1</v>
      </c>
      <c r="J259" s="43" t="s">
        <v>176</v>
      </c>
      <c r="K259" s="43" t="s">
        <v>47</v>
      </c>
      <c r="L259" s="43"/>
      <c r="M259" s="43">
        <v>1</v>
      </c>
      <c r="N259" s="43">
        <v>0</v>
      </c>
      <c r="O259" s="43">
        <v>0</v>
      </c>
      <c r="P259" s="43">
        <v>0</v>
      </c>
      <c r="Q259" s="43">
        <v>0</v>
      </c>
      <c r="R259" s="43">
        <v>0</v>
      </c>
      <c r="S259" s="43">
        <v>1</v>
      </c>
      <c r="T259" s="43">
        <v>1</v>
      </c>
      <c r="U259" s="43">
        <v>1</v>
      </c>
      <c r="V259" s="43">
        <v>0</v>
      </c>
      <c r="W259" s="43" t="s">
        <v>1518</v>
      </c>
      <c r="X259" s="43" t="s">
        <v>2048</v>
      </c>
      <c r="Y259" s="43">
        <v>0</v>
      </c>
      <c r="Z259" s="43">
        <v>0</v>
      </c>
      <c r="AA259" s="43">
        <v>2007</v>
      </c>
      <c r="AB259" s="43">
        <v>9999</v>
      </c>
      <c r="AC259" s="43" t="s">
        <v>35</v>
      </c>
    </row>
    <row r="260" spans="1:29" x14ac:dyDescent="0.25">
      <c r="A260" s="56" t="s">
        <v>883</v>
      </c>
      <c r="B260" s="39" t="s">
        <v>884</v>
      </c>
      <c r="C260" s="43" t="s">
        <v>885</v>
      </c>
      <c r="D260" s="43">
        <v>1</v>
      </c>
      <c r="E260" s="43" t="s">
        <v>45</v>
      </c>
      <c r="F260" s="43">
        <v>4</v>
      </c>
      <c r="G260" s="43">
        <v>2026</v>
      </c>
      <c r="H260" s="43"/>
      <c r="I260" s="43">
        <v>100.8</v>
      </c>
      <c r="J260" s="43" t="s">
        <v>176</v>
      </c>
      <c r="K260" s="43" t="s">
        <v>47</v>
      </c>
      <c r="L260" s="43"/>
      <c r="M260" s="43">
        <v>1</v>
      </c>
      <c r="N260" s="43">
        <v>0</v>
      </c>
      <c r="O260" s="43">
        <v>0</v>
      </c>
      <c r="P260" s="43">
        <v>0</v>
      </c>
      <c r="Q260" s="43">
        <v>0</v>
      </c>
      <c r="R260" s="43">
        <v>0</v>
      </c>
      <c r="S260" s="43">
        <v>1</v>
      </c>
      <c r="T260" s="43">
        <v>1</v>
      </c>
      <c r="U260" s="43">
        <v>1</v>
      </c>
      <c r="V260" s="43">
        <v>0</v>
      </c>
      <c r="W260" s="43" t="s">
        <v>1606</v>
      </c>
      <c r="X260" s="43" t="s">
        <v>1809</v>
      </c>
      <c r="Y260" s="43">
        <v>0</v>
      </c>
      <c r="Z260" s="43">
        <v>1</v>
      </c>
      <c r="AA260" s="43">
        <v>2007</v>
      </c>
      <c r="AB260" s="43">
        <v>9999</v>
      </c>
      <c r="AC260" s="43" t="s">
        <v>35</v>
      </c>
    </row>
    <row r="261" spans="1:29" x14ac:dyDescent="0.25">
      <c r="A261" s="56" t="s">
        <v>372</v>
      </c>
      <c r="B261" s="39" t="s">
        <v>373</v>
      </c>
      <c r="C261" s="43"/>
      <c r="D261" s="43">
        <v>1</v>
      </c>
      <c r="E261" s="43" t="s">
        <v>45</v>
      </c>
      <c r="F261" s="43">
        <v>4</v>
      </c>
      <c r="G261" s="43">
        <v>2026</v>
      </c>
      <c r="H261" s="43"/>
      <c r="I261" s="43">
        <v>102</v>
      </c>
      <c r="J261" s="43" t="s">
        <v>176</v>
      </c>
      <c r="K261" s="43" t="s">
        <v>47</v>
      </c>
      <c r="L261" s="43"/>
      <c r="M261" s="43">
        <v>0</v>
      </c>
      <c r="N261" s="43">
        <v>0</v>
      </c>
      <c r="O261" s="43">
        <v>0</v>
      </c>
      <c r="P261" s="43">
        <v>0</v>
      </c>
      <c r="Q261" s="43">
        <v>0</v>
      </c>
      <c r="R261" s="43">
        <v>0</v>
      </c>
      <c r="S261" s="43">
        <v>1</v>
      </c>
      <c r="T261" s="43">
        <v>1</v>
      </c>
      <c r="U261" s="43">
        <v>1</v>
      </c>
      <c r="V261" s="43">
        <v>0</v>
      </c>
      <c r="W261" s="43" t="s">
        <v>1429</v>
      </c>
      <c r="X261" s="43" t="s">
        <v>1697</v>
      </c>
      <c r="Y261" s="43">
        <v>0</v>
      </c>
      <c r="Z261" s="43">
        <v>0</v>
      </c>
      <c r="AA261" s="43">
        <v>2007</v>
      </c>
      <c r="AB261" s="43">
        <v>9999</v>
      </c>
      <c r="AC261" s="43" t="s">
        <v>35</v>
      </c>
    </row>
    <row r="262" spans="1:29" x14ac:dyDescent="0.25">
      <c r="A262" s="56" t="s">
        <v>311</v>
      </c>
      <c r="B262" s="39" t="s">
        <v>312</v>
      </c>
      <c r="C262" s="43" t="s">
        <v>313</v>
      </c>
      <c r="D262" s="43">
        <v>1</v>
      </c>
      <c r="E262" s="43" t="s">
        <v>314</v>
      </c>
      <c r="F262" s="43">
        <v>2</v>
      </c>
      <c r="G262" s="43">
        <v>2026</v>
      </c>
      <c r="H262" s="43"/>
      <c r="I262" s="43">
        <v>111.2</v>
      </c>
      <c r="J262" s="43" t="s">
        <v>176</v>
      </c>
      <c r="K262" s="43" t="s">
        <v>47</v>
      </c>
      <c r="L262" s="43"/>
      <c r="M262" s="43">
        <v>0</v>
      </c>
      <c r="N262" s="43">
        <v>0</v>
      </c>
      <c r="O262" s="43">
        <v>0</v>
      </c>
      <c r="P262" s="43">
        <v>0</v>
      </c>
      <c r="Q262" s="43">
        <v>0</v>
      </c>
      <c r="R262" s="43">
        <v>0</v>
      </c>
      <c r="S262" s="43">
        <v>1</v>
      </c>
      <c r="T262" s="43">
        <v>1</v>
      </c>
      <c r="U262" s="43">
        <v>1</v>
      </c>
      <c r="V262" s="43">
        <v>0</v>
      </c>
      <c r="W262" s="43" t="s">
        <v>1358</v>
      </c>
      <c r="X262" s="43" t="s">
        <v>1684</v>
      </c>
      <c r="Y262" s="43">
        <v>0</v>
      </c>
      <c r="Z262" s="43">
        <v>3</v>
      </c>
      <c r="AA262" s="43">
        <v>2007</v>
      </c>
      <c r="AB262" s="43">
        <v>9999</v>
      </c>
      <c r="AC262" s="43" t="s">
        <v>35</v>
      </c>
    </row>
    <row r="263" spans="1:29" x14ac:dyDescent="0.25">
      <c r="A263" s="56" t="s">
        <v>194</v>
      </c>
      <c r="B263" s="39" t="s">
        <v>195</v>
      </c>
      <c r="C263" s="43" t="s">
        <v>196</v>
      </c>
      <c r="D263" s="43">
        <v>1</v>
      </c>
      <c r="E263" s="43" t="s">
        <v>197</v>
      </c>
      <c r="F263" s="43">
        <v>2</v>
      </c>
      <c r="G263" s="43">
        <v>2026</v>
      </c>
      <c r="H263" s="43"/>
      <c r="I263" s="43">
        <v>178</v>
      </c>
      <c r="J263" s="43" t="s">
        <v>176</v>
      </c>
      <c r="K263" s="43" t="s">
        <v>47</v>
      </c>
      <c r="L263" s="43"/>
      <c r="M263" s="43">
        <v>1</v>
      </c>
      <c r="N263" s="43">
        <v>0</v>
      </c>
      <c r="O263" s="43">
        <v>0</v>
      </c>
      <c r="P263" s="43">
        <v>0</v>
      </c>
      <c r="Q263" s="43">
        <v>0</v>
      </c>
      <c r="R263" s="43">
        <v>0</v>
      </c>
      <c r="S263" s="43">
        <v>1</v>
      </c>
      <c r="T263" s="43">
        <v>1</v>
      </c>
      <c r="U263" s="43">
        <v>1</v>
      </c>
      <c r="V263" s="43">
        <v>0</v>
      </c>
      <c r="W263" s="43" t="s">
        <v>1856</v>
      </c>
      <c r="X263" s="43" t="s">
        <v>1857</v>
      </c>
      <c r="Y263" s="43">
        <v>0</v>
      </c>
      <c r="Z263" s="43">
        <v>0</v>
      </c>
      <c r="AA263" s="43">
        <v>2007</v>
      </c>
      <c r="AB263" s="43">
        <v>9999</v>
      </c>
      <c r="AC263" s="43" t="s">
        <v>35</v>
      </c>
    </row>
    <row r="264" spans="1:29" x14ac:dyDescent="0.25">
      <c r="A264" s="31" t="s">
        <v>28</v>
      </c>
      <c r="B264" s="23" t="s">
        <v>29</v>
      </c>
      <c r="D264">
        <v>1</v>
      </c>
      <c r="E264" t="s">
        <v>30</v>
      </c>
      <c r="F264">
        <v>4</v>
      </c>
      <c r="G264">
        <v>2025</v>
      </c>
      <c r="I264" s="8">
        <v>1576.67</v>
      </c>
      <c r="J264" t="s">
        <v>1610</v>
      </c>
      <c r="K264" t="s">
        <v>32</v>
      </c>
      <c r="L264" t="s">
        <v>33</v>
      </c>
      <c r="M264">
        <v>1</v>
      </c>
      <c r="N264">
        <v>0</v>
      </c>
      <c r="O264">
        <v>0</v>
      </c>
      <c r="P264">
        <v>0</v>
      </c>
      <c r="Q264">
        <v>0</v>
      </c>
      <c r="R264">
        <v>1</v>
      </c>
      <c r="S264">
        <v>1</v>
      </c>
      <c r="T264">
        <v>1</v>
      </c>
      <c r="U264">
        <v>1</v>
      </c>
      <c r="V264">
        <v>0</v>
      </c>
      <c r="W264" t="s">
        <v>1029</v>
      </c>
      <c r="X264" t="s">
        <v>1621</v>
      </c>
      <c r="Y264">
        <v>0</v>
      </c>
      <c r="Z264">
        <v>2</v>
      </c>
      <c r="AA264">
        <v>2007</v>
      </c>
      <c r="AB264">
        <v>9999</v>
      </c>
      <c r="AC264" t="s">
        <v>35</v>
      </c>
    </row>
    <row r="265" spans="1:29" x14ac:dyDescent="0.25">
      <c r="A265" s="31" t="s">
        <v>36</v>
      </c>
      <c r="B265" s="23" t="s">
        <v>1445</v>
      </c>
      <c r="D265">
        <v>1</v>
      </c>
      <c r="E265" s="18"/>
      <c r="F265">
        <v>4</v>
      </c>
      <c r="G265">
        <v>2025</v>
      </c>
      <c r="H265" t="s">
        <v>39</v>
      </c>
      <c r="I265">
        <v>0.25</v>
      </c>
      <c r="J265" t="s">
        <v>40</v>
      </c>
      <c r="K265" t="s">
        <v>41</v>
      </c>
      <c r="M265">
        <v>0</v>
      </c>
      <c r="N265">
        <v>0</v>
      </c>
      <c r="O265">
        <v>0</v>
      </c>
      <c r="P265">
        <v>0</v>
      </c>
      <c r="Q265">
        <v>0</v>
      </c>
      <c r="R265">
        <v>0</v>
      </c>
      <c r="S265">
        <v>0</v>
      </c>
      <c r="T265">
        <v>0</v>
      </c>
      <c r="U265">
        <v>0</v>
      </c>
      <c r="V265">
        <v>0</v>
      </c>
      <c r="W265" t="s">
        <v>1030</v>
      </c>
      <c r="X265" t="s">
        <v>1622</v>
      </c>
      <c r="Y265">
        <v>0</v>
      </c>
      <c r="Z265">
        <v>0</v>
      </c>
      <c r="AA265">
        <v>2007</v>
      </c>
      <c r="AB265">
        <v>9999</v>
      </c>
      <c r="AC265" t="s">
        <v>35</v>
      </c>
    </row>
    <row r="266" spans="1:29" x14ac:dyDescent="0.25">
      <c r="A266" s="31" t="s">
        <v>43</v>
      </c>
      <c r="B266" s="23" t="s">
        <v>44</v>
      </c>
      <c r="D266">
        <v>1</v>
      </c>
      <c r="E266" t="s">
        <v>45</v>
      </c>
      <c r="F266">
        <v>4</v>
      </c>
      <c r="G266">
        <v>2025</v>
      </c>
      <c r="I266" s="8">
        <v>50.9</v>
      </c>
      <c r="J266" t="s">
        <v>52</v>
      </c>
      <c r="K266" t="s">
        <v>47</v>
      </c>
      <c r="M266">
        <v>1</v>
      </c>
      <c r="N266">
        <v>0</v>
      </c>
      <c r="O266">
        <v>0</v>
      </c>
      <c r="P266">
        <v>0</v>
      </c>
      <c r="Q266">
        <v>0</v>
      </c>
      <c r="R266">
        <v>0</v>
      </c>
      <c r="S266">
        <v>1</v>
      </c>
      <c r="T266">
        <v>1</v>
      </c>
      <c r="U266">
        <v>1</v>
      </c>
      <c r="V266">
        <v>0</v>
      </c>
      <c r="W266" t="s">
        <v>1514</v>
      </c>
      <c r="X266" t="s">
        <v>1848</v>
      </c>
      <c r="Y266">
        <v>0</v>
      </c>
      <c r="Z266">
        <v>0</v>
      </c>
      <c r="AA266">
        <v>2007</v>
      </c>
      <c r="AB266">
        <v>9999</v>
      </c>
      <c r="AC266" t="s">
        <v>35</v>
      </c>
    </row>
    <row r="267" spans="1:29" x14ac:dyDescent="0.25">
      <c r="A267" s="31" t="s">
        <v>49</v>
      </c>
      <c r="B267" s="23" t="s">
        <v>50</v>
      </c>
      <c r="D267">
        <v>1</v>
      </c>
      <c r="E267" t="s">
        <v>51</v>
      </c>
      <c r="F267">
        <v>1</v>
      </c>
      <c r="G267">
        <v>2025</v>
      </c>
      <c r="I267">
        <v>70</v>
      </c>
      <c r="J267" t="s">
        <v>52</v>
      </c>
      <c r="K267" t="s">
        <v>53</v>
      </c>
      <c r="L267" t="s">
        <v>54</v>
      </c>
      <c r="M267">
        <v>0</v>
      </c>
      <c r="N267">
        <v>0</v>
      </c>
      <c r="O267">
        <v>0</v>
      </c>
      <c r="P267">
        <v>0</v>
      </c>
      <c r="Q267">
        <v>1</v>
      </c>
      <c r="R267">
        <v>0</v>
      </c>
      <c r="S267">
        <v>0</v>
      </c>
      <c r="T267">
        <v>0</v>
      </c>
      <c r="U267">
        <v>1</v>
      </c>
      <c r="V267">
        <v>0</v>
      </c>
      <c r="W267" t="s">
        <v>55</v>
      </c>
      <c r="X267" t="s">
        <v>1624</v>
      </c>
      <c r="Y267">
        <v>0</v>
      </c>
      <c r="Z267">
        <v>0</v>
      </c>
      <c r="AA267">
        <v>2007</v>
      </c>
      <c r="AB267">
        <v>9999</v>
      </c>
      <c r="AC267" t="s">
        <v>35</v>
      </c>
    </row>
    <row r="268" spans="1:29" x14ac:dyDescent="0.25">
      <c r="A268" s="31" t="s">
        <v>996</v>
      </c>
      <c r="B268" s="23" t="s">
        <v>1342</v>
      </c>
      <c r="D268">
        <v>1</v>
      </c>
      <c r="E268" t="s">
        <v>38</v>
      </c>
      <c r="F268">
        <v>4</v>
      </c>
      <c r="G268">
        <v>2025</v>
      </c>
      <c r="H268" t="s">
        <v>998</v>
      </c>
      <c r="I268">
        <v>2.5</v>
      </c>
      <c r="J268" t="s">
        <v>1608</v>
      </c>
      <c r="K268" t="s">
        <v>41</v>
      </c>
      <c r="M268">
        <v>0</v>
      </c>
      <c r="N268">
        <v>0</v>
      </c>
      <c r="O268">
        <v>0</v>
      </c>
      <c r="P268">
        <v>0</v>
      </c>
      <c r="Q268">
        <v>0</v>
      </c>
      <c r="R268">
        <v>0</v>
      </c>
      <c r="S268">
        <v>0</v>
      </c>
      <c r="T268">
        <v>0</v>
      </c>
      <c r="U268">
        <v>0</v>
      </c>
      <c r="V268">
        <v>0</v>
      </c>
      <c r="W268" t="s">
        <v>1344</v>
      </c>
      <c r="X268" t="s">
        <v>1625</v>
      </c>
      <c r="Y268">
        <v>0</v>
      </c>
      <c r="Z268">
        <v>0</v>
      </c>
      <c r="AA268">
        <v>2007</v>
      </c>
      <c r="AB268">
        <v>9999</v>
      </c>
      <c r="AC268" t="s">
        <v>35</v>
      </c>
    </row>
    <row r="269" spans="1:29" x14ac:dyDescent="0.25">
      <c r="A269" s="31" t="s">
        <v>56</v>
      </c>
      <c r="B269" s="23" t="s">
        <v>57</v>
      </c>
      <c r="D269">
        <v>1</v>
      </c>
      <c r="E269" t="s">
        <v>58</v>
      </c>
      <c r="F269">
        <v>4</v>
      </c>
      <c r="G269">
        <v>2025</v>
      </c>
      <c r="I269" s="8">
        <v>15.4</v>
      </c>
      <c r="J269" t="s">
        <v>59</v>
      </c>
      <c r="K269" t="s">
        <v>53</v>
      </c>
      <c r="L269" t="s">
        <v>60</v>
      </c>
      <c r="M269">
        <v>0</v>
      </c>
      <c r="N269">
        <v>0</v>
      </c>
      <c r="O269">
        <v>1</v>
      </c>
      <c r="P269">
        <v>0</v>
      </c>
      <c r="Q269">
        <v>0</v>
      </c>
      <c r="R269">
        <v>0</v>
      </c>
      <c r="S269">
        <v>1</v>
      </c>
      <c r="T269">
        <v>1</v>
      </c>
      <c r="U269">
        <v>1</v>
      </c>
      <c r="V269">
        <v>0</v>
      </c>
      <c r="W269" t="s">
        <v>61</v>
      </c>
      <c r="X269" t="s">
        <v>1626</v>
      </c>
      <c r="Y269">
        <v>0</v>
      </c>
      <c r="Z269">
        <v>0</v>
      </c>
      <c r="AA269">
        <v>2007</v>
      </c>
      <c r="AB269">
        <v>9999</v>
      </c>
      <c r="AC269" t="s">
        <v>35</v>
      </c>
    </row>
    <row r="270" spans="1:29" x14ac:dyDescent="0.25">
      <c r="A270" s="31" t="s">
        <v>71</v>
      </c>
      <c r="B270" s="23" t="s">
        <v>1032</v>
      </c>
      <c r="D270">
        <v>1</v>
      </c>
      <c r="E270" t="s">
        <v>309</v>
      </c>
      <c r="F270">
        <v>10</v>
      </c>
      <c r="G270">
        <v>2025</v>
      </c>
      <c r="I270" s="8">
        <v>9084.75</v>
      </c>
      <c r="J270" t="s">
        <v>59</v>
      </c>
      <c r="K270" t="s">
        <v>32</v>
      </c>
      <c r="M270">
        <v>0</v>
      </c>
      <c r="N270">
        <v>1</v>
      </c>
      <c r="O270">
        <v>0</v>
      </c>
      <c r="P270">
        <v>0</v>
      </c>
      <c r="Q270">
        <v>0</v>
      </c>
      <c r="R270">
        <v>0</v>
      </c>
      <c r="S270">
        <v>1</v>
      </c>
      <c r="T270">
        <v>1</v>
      </c>
      <c r="U270">
        <v>1</v>
      </c>
      <c r="V270">
        <v>0</v>
      </c>
      <c r="W270" t="s">
        <v>1609</v>
      </c>
      <c r="X270" t="s">
        <v>1849</v>
      </c>
      <c r="Y270">
        <v>0</v>
      </c>
      <c r="Z270">
        <v>1</v>
      </c>
      <c r="AA270">
        <v>2007</v>
      </c>
      <c r="AB270">
        <v>9999</v>
      </c>
      <c r="AC270" t="s">
        <v>35</v>
      </c>
    </row>
    <row r="271" spans="1:29" x14ac:dyDescent="0.25">
      <c r="A271" s="31" t="s">
        <v>62</v>
      </c>
      <c r="B271" s="23" t="s">
        <v>63</v>
      </c>
      <c r="D271">
        <v>1</v>
      </c>
      <c r="E271" t="s">
        <v>64</v>
      </c>
      <c r="F271">
        <v>1</v>
      </c>
      <c r="G271">
        <v>2025</v>
      </c>
      <c r="I271" s="8">
        <v>67.400000000000006</v>
      </c>
      <c r="J271" t="s">
        <v>52</v>
      </c>
      <c r="K271" t="s">
        <v>53</v>
      </c>
      <c r="L271" t="s">
        <v>65</v>
      </c>
      <c r="M271">
        <v>0</v>
      </c>
      <c r="N271">
        <v>0</v>
      </c>
      <c r="O271">
        <v>0</v>
      </c>
      <c r="P271">
        <v>0</v>
      </c>
      <c r="Q271">
        <v>0</v>
      </c>
      <c r="R271">
        <v>0</v>
      </c>
      <c r="S271">
        <v>1</v>
      </c>
      <c r="T271">
        <v>1</v>
      </c>
      <c r="U271">
        <v>1</v>
      </c>
      <c r="V271">
        <v>0</v>
      </c>
      <c r="W271" t="s">
        <v>1034</v>
      </c>
      <c r="X271" t="s">
        <v>1628</v>
      </c>
      <c r="Y271">
        <v>0</v>
      </c>
      <c r="Z271">
        <v>0</v>
      </c>
      <c r="AA271">
        <v>2007</v>
      </c>
      <c r="AB271">
        <v>9999</v>
      </c>
      <c r="AC271" t="s">
        <v>35</v>
      </c>
    </row>
    <row r="272" spans="1:29" x14ac:dyDescent="0.25">
      <c r="A272" s="31" t="s">
        <v>74</v>
      </c>
      <c r="B272" s="23" t="s">
        <v>75</v>
      </c>
      <c r="D272">
        <v>1</v>
      </c>
      <c r="E272" t="s">
        <v>58</v>
      </c>
      <c r="F272">
        <v>4</v>
      </c>
      <c r="G272">
        <v>2025</v>
      </c>
      <c r="I272" s="8">
        <v>692.15</v>
      </c>
      <c r="J272" t="s">
        <v>59</v>
      </c>
      <c r="K272" t="s">
        <v>47</v>
      </c>
      <c r="M272">
        <v>1</v>
      </c>
      <c r="N272">
        <v>0</v>
      </c>
      <c r="O272">
        <v>0</v>
      </c>
      <c r="P272">
        <v>0</v>
      </c>
      <c r="Q272">
        <v>0</v>
      </c>
      <c r="R272">
        <v>0</v>
      </c>
      <c r="S272">
        <v>1</v>
      </c>
      <c r="T272">
        <v>1</v>
      </c>
      <c r="U272">
        <v>1</v>
      </c>
      <c r="V272">
        <v>0</v>
      </c>
      <c r="W272" t="s">
        <v>1035</v>
      </c>
      <c r="X272" t="s">
        <v>1629</v>
      </c>
      <c r="Y272">
        <v>0</v>
      </c>
      <c r="Z272">
        <v>1</v>
      </c>
      <c r="AA272">
        <v>2007</v>
      </c>
      <c r="AB272">
        <v>9999</v>
      </c>
      <c r="AC272" t="s">
        <v>35</v>
      </c>
    </row>
    <row r="273" spans="1:29" x14ac:dyDescent="0.25">
      <c r="A273" s="31" t="s">
        <v>83</v>
      </c>
      <c r="B273" s="23" t="s">
        <v>84</v>
      </c>
      <c r="D273">
        <v>1</v>
      </c>
      <c r="E273" t="s">
        <v>85</v>
      </c>
      <c r="F273">
        <v>1</v>
      </c>
      <c r="G273">
        <v>2025</v>
      </c>
      <c r="H273" t="s">
        <v>39</v>
      </c>
      <c r="I273">
        <v>33.200000000000003</v>
      </c>
      <c r="J273" t="s">
        <v>40</v>
      </c>
      <c r="K273" t="s">
        <v>41</v>
      </c>
      <c r="M273">
        <v>0</v>
      </c>
      <c r="N273">
        <v>0</v>
      </c>
      <c r="O273">
        <v>0</v>
      </c>
      <c r="P273">
        <v>0</v>
      </c>
      <c r="Q273">
        <v>0</v>
      </c>
      <c r="R273">
        <v>0</v>
      </c>
      <c r="S273">
        <v>0</v>
      </c>
      <c r="T273">
        <v>0</v>
      </c>
      <c r="U273">
        <v>0</v>
      </c>
      <c r="V273">
        <v>0</v>
      </c>
      <c r="W273" t="s">
        <v>1630</v>
      </c>
      <c r="X273" t="s">
        <v>1850</v>
      </c>
      <c r="Y273">
        <v>0</v>
      </c>
      <c r="Z273">
        <v>0</v>
      </c>
      <c r="AA273">
        <v>2007</v>
      </c>
      <c r="AB273">
        <v>9999</v>
      </c>
      <c r="AC273" t="s">
        <v>35</v>
      </c>
    </row>
    <row r="274" spans="1:29" x14ac:dyDescent="0.25">
      <c r="A274" s="31" t="s">
        <v>92</v>
      </c>
      <c r="B274" s="23" t="s">
        <v>93</v>
      </c>
      <c r="C274" t="s">
        <v>94</v>
      </c>
      <c r="D274">
        <v>1</v>
      </c>
      <c r="E274" t="s">
        <v>95</v>
      </c>
      <c r="F274">
        <v>10</v>
      </c>
      <c r="G274">
        <v>2025</v>
      </c>
      <c r="I274" s="8">
        <v>24.6</v>
      </c>
      <c r="J274" t="s">
        <v>40</v>
      </c>
      <c r="K274" t="s">
        <v>47</v>
      </c>
      <c r="M274">
        <v>0</v>
      </c>
      <c r="N274">
        <v>0</v>
      </c>
      <c r="O274">
        <v>0</v>
      </c>
      <c r="P274">
        <v>0</v>
      </c>
      <c r="Q274">
        <v>0</v>
      </c>
      <c r="R274">
        <v>0</v>
      </c>
      <c r="S274">
        <v>1</v>
      </c>
      <c r="T274">
        <v>1</v>
      </c>
      <c r="U274">
        <v>1</v>
      </c>
      <c r="V274">
        <v>0</v>
      </c>
      <c r="W274" t="s">
        <v>96</v>
      </c>
      <c r="X274" t="s">
        <v>1632</v>
      </c>
      <c r="Y274">
        <v>0</v>
      </c>
      <c r="Z274">
        <v>0</v>
      </c>
      <c r="AA274">
        <v>2007</v>
      </c>
      <c r="AB274">
        <v>9999</v>
      </c>
      <c r="AC274" t="s">
        <v>35</v>
      </c>
    </row>
    <row r="275" spans="1:29" x14ac:dyDescent="0.25">
      <c r="A275" s="31" t="s">
        <v>101</v>
      </c>
      <c r="B275" s="23" t="s">
        <v>102</v>
      </c>
      <c r="D275">
        <v>1</v>
      </c>
      <c r="E275" t="s">
        <v>103</v>
      </c>
      <c r="F275">
        <v>9</v>
      </c>
      <c r="G275">
        <v>2025</v>
      </c>
      <c r="I275" s="8">
        <v>450.42</v>
      </c>
      <c r="J275" t="s">
        <v>104</v>
      </c>
      <c r="K275" t="s">
        <v>53</v>
      </c>
      <c r="L275" t="s">
        <v>105</v>
      </c>
      <c r="M275">
        <v>0</v>
      </c>
      <c r="N275">
        <v>0</v>
      </c>
      <c r="O275">
        <v>0</v>
      </c>
      <c r="P275">
        <v>1</v>
      </c>
      <c r="Q275">
        <v>0</v>
      </c>
      <c r="R275">
        <v>0</v>
      </c>
      <c r="S275">
        <v>1</v>
      </c>
      <c r="T275">
        <v>1</v>
      </c>
      <c r="U275">
        <v>1</v>
      </c>
      <c r="V275">
        <v>0</v>
      </c>
      <c r="W275" t="s">
        <v>106</v>
      </c>
      <c r="X275" t="s">
        <v>1851</v>
      </c>
      <c r="Y275">
        <v>0</v>
      </c>
      <c r="Z275">
        <v>0</v>
      </c>
      <c r="AA275">
        <v>2007</v>
      </c>
      <c r="AB275">
        <v>9999</v>
      </c>
      <c r="AC275" t="s">
        <v>35</v>
      </c>
    </row>
    <row r="276" spans="1:29" x14ac:dyDescent="0.25">
      <c r="A276" s="31" t="s">
        <v>107</v>
      </c>
      <c r="B276" s="23" t="s">
        <v>108</v>
      </c>
      <c r="D276">
        <v>1</v>
      </c>
      <c r="E276" t="s">
        <v>45</v>
      </c>
      <c r="F276">
        <v>4</v>
      </c>
      <c r="G276">
        <v>2025</v>
      </c>
      <c r="I276" s="8">
        <v>6.3</v>
      </c>
      <c r="J276" t="s">
        <v>52</v>
      </c>
      <c r="K276" t="s">
        <v>41</v>
      </c>
      <c r="M276">
        <v>0</v>
      </c>
      <c r="N276">
        <v>0</v>
      </c>
      <c r="O276">
        <v>0</v>
      </c>
      <c r="P276">
        <v>0</v>
      </c>
      <c r="Q276">
        <v>0</v>
      </c>
      <c r="R276">
        <v>0</v>
      </c>
      <c r="S276">
        <v>0</v>
      </c>
      <c r="T276">
        <v>1</v>
      </c>
      <c r="U276">
        <v>1</v>
      </c>
      <c r="V276">
        <v>0</v>
      </c>
      <c r="W276" t="s">
        <v>1520</v>
      </c>
      <c r="X276" t="s">
        <v>1634</v>
      </c>
      <c r="Y276">
        <v>0</v>
      </c>
      <c r="Z276">
        <v>0</v>
      </c>
      <c r="AA276">
        <v>2007</v>
      </c>
      <c r="AB276">
        <v>9999</v>
      </c>
      <c r="AC276" t="s">
        <v>35</v>
      </c>
    </row>
    <row r="277" spans="1:29" x14ac:dyDescent="0.25">
      <c r="A277" s="31" t="s">
        <v>110</v>
      </c>
      <c r="B277" s="23" t="s">
        <v>111</v>
      </c>
      <c r="D277">
        <v>1</v>
      </c>
      <c r="E277" t="s">
        <v>45</v>
      </c>
      <c r="F277">
        <v>4</v>
      </c>
      <c r="G277">
        <v>2025</v>
      </c>
      <c r="I277" s="8">
        <v>588.66999999999996</v>
      </c>
      <c r="J277" t="s">
        <v>1610</v>
      </c>
      <c r="K277" t="s">
        <v>47</v>
      </c>
      <c r="M277">
        <v>1</v>
      </c>
      <c r="N277">
        <v>0</v>
      </c>
      <c r="O277">
        <v>0</v>
      </c>
      <c r="P277">
        <v>0</v>
      </c>
      <c r="Q277">
        <v>0</v>
      </c>
      <c r="R277">
        <v>0</v>
      </c>
      <c r="S277">
        <v>1</v>
      </c>
      <c r="T277">
        <v>1</v>
      </c>
      <c r="U277">
        <v>1</v>
      </c>
      <c r="V277">
        <v>0</v>
      </c>
      <c r="W277" t="s">
        <v>1039</v>
      </c>
      <c r="X277" t="s">
        <v>1852</v>
      </c>
      <c r="Y277">
        <v>0</v>
      </c>
      <c r="Z277">
        <v>0</v>
      </c>
      <c r="AA277">
        <v>2007</v>
      </c>
      <c r="AB277">
        <v>9999</v>
      </c>
      <c r="AC277" t="s">
        <v>35</v>
      </c>
    </row>
    <row r="278" spans="1:29" x14ac:dyDescent="0.25">
      <c r="A278" s="31" t="s">
        <v>113</v>
      </c>
      <c r="B278" s="23" t="s">
        <v>114</v>
      </c>
      <c r="D278">
        <v>1</v>
      </c>
      <c r="E278" t="s">
        <v>115</v>
      </c>
      <c r="F278">
        <v>6</v>
      </c>
      <c r="G278">
        <v>2025</v>
      </c>
      <c r="I278" s="8">
        <v>216.07</v>
      </c>
      <c r="J278" t="s">
        <v>1608</v>
      </c>
      <c r="K278" t="s">
        <v>47</v>
      </c>
      <c r="M278">
        <v>1</v>
      </c>
      <c r="N278">
        <v>0</v>
      </c>
      <c r="O278">
        <v>0</v>
      </c>
      <c r="P278">
        <v>0</v>
      </c>
      <c r="Q278">
        <v>0</v>
      </c>
      <c r="R278">
        <v>0</v>
      </c>
      <c r="S278">
        <v>1</v>
      </c>
      <c r="T278">
        <v>1</v>
      </c>
      <c r="U278">
        <v>1</v>
      </c>
      <c r="V278">
        <v>0</v>
      </c>
      <c r="W278" t="s">
        <v>1586</v>
      </c>
      <c r="X278" t="s">
        <v>1636</v>
      </c>
      <c r="Y278">
        <v>1</v>
      </c>
      <c r="Z278">
        <v>0</v>
      </c>
      <c r="AA278">
        <v>2007</v>
      </c>
      <c r="AB278">
        <v>9999</v>
      </c>
      <c r="AC278" t="s">
        <v>35</v>
      </c>
    </row>
    <row r="279" spans="1:29" x14ac:dyDescent="0.25">
      <c r="A279" s="31" t="s">
        <v>117</v>
      </c>
      <c r="B279" s="23" t="s">
        <v>118</v>
      </c>
      <c r="C279" t="s">
        <v>119</v>
      </c>
      <c r="D279">
        <v>1</v>
      </c>
      <c r="E279" t="s">
        <v>120</v>
      </c>
      <c r="F279">
        <v>3</v>
      </c>
      <c r="G279">
        <v>2025</v>
      </c>
      <c r="I279" s="8">
        <v>169.69</v>
      </c>
      <c r="J279" t="s">
        <v>121</v>
      </c>
      <c r="K279" t="s">
        <v>47</v>
      </c>
      <c r="M279">
        <v>1</v>
      </c>
      <c r="N279">
        <v>0</v>
      </c>
      <c r="O279">
        <v>0</v>
      </c>
      <c r="P279">
        <v>0</v>
      </c>
      <c r="Q279">
        <v>0</v>
      </c>
      <c r="R279">
        <v>0</v>
      </c>
      <c r="S279">
        <v>1</v>
      </c>
      <c r="T279">
        <v>1</v>
      </c>
      <c r="U279">
        <v>1</v>
      </c>
      <c r="V279">
        <v>0</v>
      </c>
      <c r="W279" t="s">
        <v>1521</v>
      </c>
      <c r="X279" t="s">
        <v>1853</v>
      </c>
      <c r="Y279">
        <v>0</v>
      </c>
      <c r="Z279">
        <v>1</v>
      </c>
      <c r="AA279">
        <v>2007</v>
      </c>
      <c r="AB279">
        <v>9999</v>
      </c>
      <c r="AC279" t="s">
        <v>35</v>
      </c>
    </row>
    <row r="280" spans="1:29" x14ac:dyDescent="0.25">
      <c r="A280" s="31" t="s">
        <v>123</v>
      </c>
      <c r="B280" s="23" t="s">
        <v>124</v>
      </c>
      <c r="D280">
        <v>1</v>
      </c>
      <c r="E280" t="s">
        <v>120</v>
      </c>
      <c r="F280">
        <v>3</v>
      </c>
      <c r="G280">
        <v>2025</v>
      </c>
      <c r="I280" s="8">
        <v>59.51</v>
      </c>
      <c r="J280" t="s">
        <v>121</v>
      </c>
      <c r="K280" t="s">
        <v>47</v>
      </c>
      <c r="M280">
        <v>0</v>
      </c>
      <c r="N280">
        <v>0</v>
      </c>
      <c r="O280">
        <v>0</v>
      </c>
      <c r="P280">
        <v>0</v>
      </c>
      <c r="Q280">
        <v>0</v>
      </c>
      <c r="R280">
        <v>0</v>
      </c>
      <c r="S280">
        <v>1</v>
      </c>
      <c r="T280">
        <v>1</v>
      </c>
      <c r="U280">
        <v>1</v>
      </c>
      <c r="V280">
        <v>0</v>
      </c>
      <c r="W280" t="s">
        <v>1042</v>
      </c>
      <c r="X280" t="s">
        <v>1638</v>
      </c>
      <c r="Y280">
        <v>2</v>
      </c>
      <c r="Z280">
        <v>0</v>
      </c>
      <c r="AA280">
        <v>2007</v>
      </c>
      <c r="AB280">
        <v>9999</v>
      </c>
      <c r="AC280" t="s">
        <v>35</v>
      </c>
    </row>
    <row r="281" spans="1:29" x14ac:dyDescent="0.25">
      <c r="A281" s="31" t="s">
        <v>1416</v>
      </c>
      <c r="B281" s="23" t="s">
        <v>1417</v>
      </c>
      <c r="D281">
        <v>1</v>
      </c>
      <c r="E281" s="5" t="s">
        <v>38</v>
      </c>
      <c r="F281">
        <v>4</v>
      </c>
      <c r="G281">
        <v>2025</v>
      </c>
      <c r="H281" t="s">
        <v>998</v>
      </c>
      <c r="I281">
        <v>0</v>
      </c>
      <c r="J281" t="s">
        <v>1608</v>
      </c>
      <c r="K281" t="s">
        <v>41</v>
      </c>
      <c r="M281">
        <v>0</v>
      </c>
      <c r="N281">
        <v>0</v>
      </c>
      <c r="O281">
        <v>0</v>
      </c>
      <c r="P281">
        <v>0</v>
      </c>
      <c r="Q281">
        <v>0</v>
      </c>
      <c r="R281">
        <v>0</v>
      </c>
      <c r="S281">
        <v>0</v>
      </c>
      <c r="T281">
        <v>0</v>
      </c>
      <c r="U281">
        <v>0</v>
      </c>
      <c r="V281">
        <v>0</v>
      </c>
      <c r="W281" t="s">
        <v>1534</v>
      </c>
      <c r="X281" t="s">
        <v>1639</v>
      </c>
      <c r="Y281">
        <v>0</v>
      </c>
      <c r="Z281">
        <v>0</v>
      </c>
      <c r="AA281">
        <v>2013</v>
      </c>
      <c r="AB281">
        <v>9999</v>
      </c>
      <c r="AC281" t="s">
        <v>1419</v>
      </c>
    </row>
    <row r="282" spans="1:29" x14ac:dyDescent="0.25">
      <c r="A282" s="31" t="s">
        <v>131</v>
      </c>
      <c r="B282" s="23" t="s">
        <v>132</v>
      </c>
      <c r="C282" t="s">
        <v>133</v>
      </c>
      <c r="D282">
        <v>1</v>
      </c>
      <c r="E282" t="s">
        <v>134</v>
      </c>
      <c r="F282">
        <v>9</v>
      </c>
      <c r="G282">
        <v>2025</v>
      </c>
      <c r="I282" s="8">
        <v>1128.3900000000001</v>
      </c>
      <c r="J282" t="s">
        <v>104</v>
      </c>
      <c r="K282" t="s">
        <v>47</v>
      </c>
      <c r="M282">
        <v>1</v>
      </c>
      <c r="N282">
        <v>0</v>
      </c>
      <c r="O282">
        <v>0</v>
      </c>
      <c r="P282">
        <v>0</v>
      </c>
      <c r="Q282">
        <v>0</v>
      </c>
      <c r="R282">
        <v>0</v>
      </c>
      <c r="S282">
        <v>1</v>
      </c>
      <c r="T282">
        <v>1</v>
      </c>
      <c r="U282">
        <v>1</v>
      </c>
      <c r="V282">
        <v>0</v>
      </c>
      <c r="W282" t="s">
        <v>1522</v>
      </c>
      <c r="X282" t="s">
        <v>1640</v>
      </c>
      <c r="Y282">
        <v>0</v>
      </c>
      <c r="Z282">
        <v>0</v>
      </c>
      <c r="AA282">
        <v>2007</v>
      </c>
      <c r="AB282">
        <v>9999</v>
      </c>
      <c r="AC282" t="s">
        <v>35</v>
      </c>
    </row>
    <row r="283" spans="1:29" ht="30" x14ac:dyDescent="0.25">
      <c r="A283" s="31" t="s">
        <v>143</v>
      </c>
      <c r="B283" s="23" t="s">
        <v>144</v>
      </c>
      <c r="D283">
        <v>1</v>
      </c>
      <c r="E283" t="s">
        <v>145</v>
      </c>
      <c r="F283">
        <v>2</v>
      </c>
      <c r="G283">
        <v>2025</v>
      </c>
      <c r="H283" t="s">
        <v>146</v>
      </c>
      <c r="I283">
        <v>1.2500000000000001E-2</v>
      </c>
      <c r="J283" s="2" t="s">
        <v>147</v>
      </c>
      <c r="K283" t="s">
        <v>41</v>
      </c>
      <c r="M283">
        <v>0</v>
      </c>
      <c r="N283">
        <v>0</v>
      </c>
      <c r="O283">
        <v>0</v>
      </c>
      <c r="P283">
        <v>0</v>
      </c>
      <c r="Q283">
        <v>0</v>
      </c>
      <c r="R283">
        <v>0</v>
      </c>
      <c r="S283">
        <v>0</v>
      </c>
      <c r="T283">
        <v>0</v>
      </c>
      <c r="U283">
        <v>0</v>
      </c>
      <c r="V283">
        <v>0</v>
      </c>
      <c r="W283" t="s">
        <v>1046</v>
      </c>
      <c r="X283" t="s">
        <v>1641</v>
      </c>
      <c r="Y283">
        <v>0</v>
      </c>
      <c r="Z283">
        <v>0</v>
      </c>
      <c r="AA283">
        <v>2007</v>
      </c>
      <c r="AB283">
        <v>9999</v>
      </c>
      <c r="AC283" t="s">
        <v>35</v>
      </c>
    </row>
    <row r="284" spans="1:29" x14ac:dyDescent="0.25">
      <c r="A284" s="31" t="s">
        <v>353</v>
      </c>
      <c r="B284" s="23" t="s">
        <v>1233</v>
      </c>
      <c r="C284" t="s">
        <v>1234</v>
      </c>
      <c r="D284">
        <v>1</v>
      </c>
      <c r="E284" t="s">
        <v>58</v>
      </c>
      <c r="F284">
        <v>4</v>
      </c>
      <c r="G284">
        <v>2025</v>
      </c>
      <c r="I284" s="8">
        <v>93.58</v>
      </c>
      <c r="J284" t="s">
        <v>59</v>
      </c>
      <c r="K284" t="s">
        <v>47</v>
      </c>
      <c r="M284">
        <v>0</v>
      </c>
      <c r="N284">
        <v>0</v>
      </c>
      <c r="O284">
        <v>0</v>
      </c>
      <c r="P284">
        <v>0</v>
      </c>
      <c r="Q284">
        <v>0</v>
      </c>
      <c r="R284">
        <v>0</v>
      </c>
      <c r="S284">
        <v>1</v>
      </c>
      <c r="T284">
        <v>1</v>
      </c>
      <c r="U284">
        <v>1</v>
      </c>
      <c r="V284">
        <v>0</v>
      </c>
      <c r="W284" t="s">
        <v>1235</v>
      </c>
      <c r="X284" t="s">
        <v>1642</v>
      </c>
      <c r="Y284">
        <v>0</v>
      </c>
      <c r="Z284">
        <v>1</v>
      </c>
      <c r="AA284">
        <v>2007</v>
      </c>
      <c r="AB284">
        <v>9999</v>
      </c>
      <c r="AC284" t="s">
        <v>35</v>
      </c>
    </row>
    <row r="285" spans="1:29" x14ac:dyDescent="0.25">
      <c r="A285" s="31" t="s">
        <v>1236</v>
      </c>
      <c r="B285" s="23" t="s">
        <v>1237</v>
      </c>
      <c r="D285">
        <v>1</v>
      </c>
      <c r="E285" t="s">
        <v>155</v>
      </c>
      <c r="F285">
        <v>3</v>
      </c>
      <c r="G285">
        <v>2025</v>
      </c>
      <c r="H285" t="s">
        <v>154</v>
      </c>
      <c r="I285" s="8">
        <v>7</v>
      </c>
      <c r="J285" t="s">
        <v>121</v>
      </c>
      <c r="K285" t="s">
        <v>41</v>
      </c>
      <c r="M285">
        <v>0</v>
      </c>
      <c r="N285">
        <v>0</v>
      </c>
      <c r="O285">
        <v>0</v>
      </c>
      <c r="P285">
        <v>0</v>
      </c>
      <c r="Q285">
        <v>0</v>
      </c>
      <c r="R285">
        <v>0</v>
      </c>
      <c r="S285">
        <v>0</v>
      </c>
      <c r="T285">
        <v>1</v>
      </c>
      <c r="U285">
        <v>1</v>
      </c>
      <c r="V285">
        <v>0</v>
      </c>
      <c r="W285" t="s">
        <v>1347</v>
      </c>
      <c r="X285" t="s">
        <v>1643</v>
      </c>
      <c r="Y285">
        <v>0</v>
      </c>
      <c r="Z285">
        <v>0</v>
      </c>
      <c r="AA285">
        <v>2009</v>
      </c>
      <c r="AB285">
        <v>9999</v>
      </c>
      <c r="AC285" t="s">
        <v>1239</v>
      </c>
    </row>
    <row r="286" spans="1:29" x14ac:dyDescent="0.25">
      <c r="A286" s="31" t="s">
        <v>153</v>
      </c>
      <c r="B286" s="23" t="s">
        <v>154</v>
      </c>
      <c r="D286">
        <v>1</v>
      </c>
      <c r="E286" t="s">
        <v>155</v>
      </c>
      <c r="F286">
        <v>3</v>
      </c>
      <c r="G286">
        <v>2025</v>
      </c>
      <c r="I286" s="8">
        <v>409.16395179282949</v>
      </c>
      <c r="J286" t="s">
        <v>121</v>
      </c>
      <c r="K286" t="s">
        <v>47</v>
      </c>
      <c r="M286">
        <v>1</v>
      </c>
      <c r="N286">
        <v>0</v>
      </c>
      <c r="O286">
        <v>0</v>
      </c>
      <c r="P286">
        <v>0</v>
      </c>
      <c r="Q286">
        <v>0</v>
      </c>
      <c r="R286">
        <v>0</v>
      </c>
      <c r="S286">
        <v>1</v>
      </c>
      <c r="T286">
        <v>1</v>
      </c>
      <c r="U286">
        <v>1</v>
      </c>
      <c r="V286">
        <v>1</v>
      </c>
      <c r="W286" t="s">
        <v>1047</v>
      </c>
      <c r="X286" t="s">
        <v>1644</v>
      </c>
      <c r="Y286">
        <v>0</v>
      </c>
      <c r="Z286">
        <v>0</v>
      </c>
      <c r="AA286">
        <v>2007</v>
      </c>
      <c r="AB286">
        <v>9999</v>
      </c>
      <c r="AC286" t="s">
        <v>35</v>
      </c>
    </row>
    <row r="287" spans="1:29" x14ac:dyDescent="0.25">
      <c r="A287" s="31" t="s">
        <v>1446</v>
      </c>
      <c r="B287" s="23" t="s">
        <v>1447</v>
      </c>
      <c r="D287">
        <v>1</v>
      </c>
      <c r="E287" s="4">
        <v>711</v>
      </c>
      <c r="F287">
        <v>7</v>
      </c>
      <c r="G287">
        <v>2025</v>
      </c>
      <c r="I287" s="8">
        <v>443.39</v>
      </c>
      <c r="J287" t="s">
        <v>40</v>
      </c>
      <c r="K287" t="s">
        <v>32</v>
      </c>
      <c r="M287">
        <v>0</v>
      </c>
      <c r="N287">
        <v>0</v>
      </c>
      <c r="O287">
        <v>0</v>
      </c>
      <c r="P287">
        <v>0</v>
      </c>
      <c r="Q287">
        <v>0</v>
      </c>
      <c r="R287">
        <v>0</v>
      </c>
      <c r="S287">
        <v>1</v>
      </c>
      <c r="T287">
        <v>1</v>
      </c>
      <c r="U287">
        <v>1</v>
      </c>
      <c r="V287">
        <v>0</v>
      </c>
      <c r="W287" t="s">
        <v>1448</v>
      </c>
      <c r="X287" t="s">
        <v>1645</v>
      </c>
      <c r="Y287">
        <v>0</v>
      </c>
      <c r="Z287">
        <v>0</v>
      </c>
      <c r="AA287">
        <v>2014</v>
      </c>
      <c r="AB287">
        <v>9999</v>
      </c>
      <c r="AC287" t="s">
        <v>1449</v>
      </c>
    </row>
    <row r="288" spans="1:29" x14ac:dyDescent="0.25">
      <c r="A288" s="31" t="s">
        <v>159</v>
      </c>
      <c r="B288" s="23" t="s">
        <v>160</v>
      </c>
      <c r="D288">
        <v>1</v>
      </c>
      <c r="E288" t="s">
        <v>155</v>
      </c>
      <c r="F288">
        <v>3</v>
      </c>
      <c r="G288">
        <v>2025</v>
      </c>
      <c r="I288" s="8">
        <v>496.54</v>
      </c>
      <c r="J288" t="s">
        <v>121</v>
      </c>
      <c r="K288" t="s">
        <v>47</v>
      </c>
      <c r="M288">
        <v>1</v>
      </c>
      <c r="N288">
        <v>0</v>
      </c>
      <c r="O288">
        <v>0</v>
      </c>
      <c r="P288">
        <v>0</v>
      </c>
      <c r="Q288">
        <v>0</v>
      </c>
      <c r="R288">
        <v>0</v>
      </c>
      <c r="S288">
        <v>1</v>
      </c>
      <c r="T288">
        <v>1</v>
      </c>
      <c r="U288">
        <v>1</v>
      </c>
      <c r="V288">
        <v>0</v>
      </c>
      <c r="W288" t="s">
        <v>1515</v>
      </c>
      <c r="X288" t="s">
        <v>1854</v>
      </c>
      <c r="Y288">
        <v>0</v>
      </c>
      <c r="Z288">
        <v>0</v>
      </c>
      <c r="AA288">
        <v>2007</v>
      </c>
      <c r="AB288">
        <v>9999</v>
      </c>
      <c r="AC288" t="s">
        <v>35</v>
      </c>
    </row>
    <row r="289" spans="1:29" x14ac:dyDescent="0.25">
      <c r="A289" s="31" t="s">
        <v>165</v>
      </c>
      <c r="B289" s="23" t="s">
        <v>166</v>
      </c>
      <c r="C289" t="s">
        <v>167</v>
      </c>
      <c r="D289">
        <v>1</v>
      </c>
      <c r="E289" t="s">
        <v>168</v>
      </c>
      <c r="F289">
        <v>1</v>
      </c>
      <c r="G289">
        <v>2025</v>
      </c>
      <c r="I289" s="8">
        <v>150.22</v>
      </c>
      <c r="J289" t="s">
        <v>52</v>
      </c>
      <c r="K289" t="s">
        <v>47</v>
      </c>
      <c r="M289">
        <v>0</v>
      </c>
      <c r="N289">
        <v>1</v>
      </c>
      <c r="O289">
        <v>0</v>
      </c>
      <c r="P289">
        <v>0</v>
      </c>
      <c r="Q289">
        <v>0</v>
      </c>
      <c r="R289">
        <v>0</v>
      </c>
      <c r="S289">
        <v>1</v>
      </c>
      <c r="T289">
        <v>1</v>
      </c>
      <c r="U289">
        <v>1</v>
      </c>
      <c r="V289">
        <v>0</v>
      </c>
      <c r="W289" t="s">
        <v>1523</v>
      </c>
      <c r="X289" t="s">
        <v>1647</v>
      </c>
      <c r="Y289">
        <v>0</v>
      </c>
      <c r="Z289">
        <v>2</v>
      </c>
      <c r="AA289">
        <v>2007</v>
      </c>
      <c r="AB289">
        <v>2025</v>
      </c>
      <c r="AC289" t="s">
        <v>2057</v>
      </c>
    </row>
    <row r="290" spans="1:29" x14ac:dyDescent="0.25">
      <c r="A290" s="31" t="s">
        <v>170</v>
      </c>
      <c r="B290" s="23" t="s">
        <v>171</v>
      </c>
      <c r="D290">
        <v>1</v>
      </c>
      <c r="E290" t="s">
        <v>30</v>
      </c>
      <c r="F290">
        <v>4</v>
      </c>
      <c r="G290">
        <v>2025</v>
      </c>
      <c r="I290" s="8">
        <v>54.7</v>
      </c>
      <c r="J290" t="s">
        <v>1610</v>
      </c>
      <c r="K290" t="s">
        <v>47</v>
      </c>
      <c r="M290">
        <v>0</v>
      </c>
      <c r="N290">
        <v>0</v>
      </c>
      <c r="O290">
        <v>0</v>
      </c>
      <c r="P290">
        <v>0</v>
      </c>
      <c r="Q290">
        <v>0</v>
      </c>
      <c r="R290">
        <v>0</v>
      </c>
      <c r="S290">
        <v>1</v>
      </c>
      <c r="T290">
        <v>1</v>
      </c>
      <c r="U290">
        <v>1</v>
      </c>
      <c r="V290">
        <v>0</v>
      </c>
      <c r="W290" t="s">
        <v>1050</v>
      </c>
      <c r="X290" t="s">
        <v>1648</v>
      </c>
      <c r="Y290">
        <v>0</v>
      </c>
      <c r="Z290">
        <v>1</v>
      </c>
      <c r="AA290">
        <v>2007</v>
      </c>
      <c r="AB290">
        <v>9999</v>
      </c>
      <c r="AC290" t="s">
        <v>35</v>
      </c>
    </row>
    <row r="291" spans="1:29" x14ac:dyDescent="0.25">
      <c r="A291" s="31" t="s">
        <v>1051</v>
      </c>
      <c r="B291" s="23" t="s">
        <v>1052</v>
      </c>
      <c r="D291">
        <v>1</v>
      </c>
      <c r="E291" t="s">
        <v>30</v>
      </c>
      <c r="F291">
        <v>4</v>
      </c>
      <c r="G291">
        <v>2025</v>
      </c>
      <c r="I291" s="8">
        <v>211.58</v>
      </c>
      <c r="J291" t="s">
        <v>1610</v>
      </c>
      <c r="K291" t="s">
        <v>47</v>
      </c>
      <c r="M291">
        <v>1</v>
      </c>
      <c r="N291">
        <v>0</v>
      </c>
      <c r="O291">
        <v>0</v>
      </c>
      <c r="P291">
        <v>0</v>
      </c>
      <c r="Q291">
        <v>0</v>
      </c>
      <c r="R291">
        <v>0</v>
      </c>
      <c r="S291">
        <v>1</v>
      </c>
      <c r="T291">
        <v>1</v>
      </c>
      <c r="U291">
        <v>1</v>
      </c>
      <c r="V291">
        <v>0</v>
      </c>
      <c r="W291" t="s">
        <v>1524</v>
      </c>
      <c r="X291" t="s">
        <v>1649</v>
      </c>
      <c r="Y291">
        <v>0</v>
      </c>
      <c r="Z291">
        <v>0</v>
      </c>
      <c r="AA291">
        <v>2008</v>
      </c>
      <c r="AB291">
        <v>9999</v>
      </c>
      <c r="AC291" t="s">
        <v>1054</v>
      </c>
    </row>
    <row r="292" spans="1:29" x14ac:dyDescent="0.25">
      <c r="A292" s="31" t="s">
        <v>1557</v>
      </c>
      <c r="B292" s="23" t="s">
        <v>1558</v>
      </c>
      <c r="D292">
        <v>1</v>
      </c>
      <c r="E292" s="5" t="s">
        <v>358</v>
      </c>
      <c r="F292">
        <v>1</v>
      </c>
      <c r="G292">
        <v>2025</v>
      </c>
      <c r="I292" s="8">
        <v>31.15</v>
      </c>
      <c r="J292" t="s">
        <v>104</v>
      </c>
      <c r="K292" t="s">
        <v>47</v>
      </c>
      <c r="M292">
        <v>0</v>
      </c>
      <c r="N292">
        <v>0</v>
      </c>
      <c r="O292">
        <v>0</v>
      </c>
      <c r="P292">
        <v>0</v>
      </c>
      <c r="Q292">
        <v>0</v>
      </c>
      <c r="R292">
        <v>0</v>
      </c>
      <c r="S292">
        <v>1</v>
      </c>
      <c r="T292">
        <v>0</v>
      </c>
      <c r="U292">
        <v>1</v>
      </c>
      <c r="V292">
        <v>0</v>
      </c>
      <c r="W292" t="s">
        <v>1559</v>
      </c>
      <c r="X292" t="s">
        <v>1650</v>
      </c>
      <c r="Y292">
        <v>1</v>
      </c>
      <c r="Z292">
        <v>0</v>
      </c>
      <c r="AA292">
        <v>2019</v>
      </c>
      <c r="AB292">
        <v>9999</v>
      </c>
      <c r="AC292" t="s">
        <v>1560</v>
      </c>
    </row>
    <row r="293" spans="1:29" x14ac:dyDescent="0.25">
      <c r="A293" s="31" t="s">
        <v>173</v>
      </c>
      <c r="B293" s="23" t="s">
        <v>174</v>
      </c>
      <c r="C293" t="s">
        <v>175</v>
      </c>
      <c r="D293">
        <v>1</v>
      </c>
      <c r="E293" t="s">
        <v>45</v>
      </c>
      <c r="F293">
        <v>4</v>
      </c>
      <c r="G293">
        <v>2025</v>
      </c>
      <c r="I293" s="8">
        <v>169.29</v>
      </c>
      <c r="J293" t="s">
        <v>176</v>
      </c>
      <c r="K293" t="s">
        <v>32</v>
      </c>
      <c r="M293">
        <v>0</v>
      </c>
      <c r="N293">
        <v>0</v>
      </c>
      <c r="O293">
        <v>0</v>
      </c>
      <c r="P293">
        <v>0</v>
      </c>
      <c r="Q293">
        <v>0</v>
      </c>
      <c r="R293">
        <v>0</v>
      </c>
      <c r="S293">
        <v>1</v>
      </c>
      <c r="T293">
        <v>1</v>
      </c>
      <c r="U293">
        <v>1</v>
      </c>
      <c r="V293">
        <v>0</v>
      </c>
      <c r="W293" t="s">
        <v>1055</v>
      </c>
      <c r="X293" t="s">
        <v>1651</v>
      </c>
      <c r="Y293">
        <v>0</v>
      </c>
      <c r="Z293">
        <v>0</v>
      </c>
      <c r="AA293">
        <v>2007</v>
      </c>
      <c r="AB293">
        <v>9999</v>
      </c>
      <c r="AC293" t="s">
        <v>35</v>
      </c>
    </row>
    <row r="294" spans="1:29" x14ac:dyDescent="0.25">
      <c r="A294" s="31" t="s">
        <v>178</v>
      </c>
      <c r="B294" s="23" t="s">
        <v>1424</v>
      </c>
      <c r="C294" t="s">
        <v>1425</v>
      </c>
      <c r="D294">
        <v>1</v>
      </c>
      <c r="E294" t="s">
        <v>45</v>
      </c>
      <c r="F294">
        <v>4</v>
      </c>
      <c r="G294">
        <v>2025</v>
      </c>
      <c r="I294" s="8">
        <v>27.19</v>
      </c>
      <c r="J294" t="s">
        <v>52</v>
      </c>
      <c r="K294" t="s">
        <v>47</v>
      </c>
      <c r="M294">
        <v>0</v>
      </c>
      <c r="N294">
        <v>0</v>
      </c>
      <c r="O294">
        <v>0</v>
      </c>
      <c r="P294">
        <v>0</v>
      </c>
      <c r="Q294">
        <v>0</v>
      </c>
      <c r="R294">
        <v>0</v>
      </c>
      <c r="S294">
        <v>1</v>
      </c>
      <c r="T294">
        <v>1</v>
      </c>
      <c r="U294">
        <v>1</v>
      </c>
      <c r="V294">
        <v>0</v>
      </c>
      <c r="W294" t="s">
        <v>1240</v>
      </c>
      <c r="X294" t="s">
        <v>1652</v>
      </c>
      <c r="Y294">
        <v>1</v>
      </c>
      <c r="Z294">
        <v>0</v>
      </c>
      <c r="AA294">
        <v>2007</v>
      </c>
      <c r="AB294">
        <v>9999</v>
      </c>
      <c r="AC294" t="s">
        <v>35</v>
      </c>
    </row>
    <row r="295" spans="1:29" x14ac:dyDescent="0.25">
      <c r="A295" s="31" t="s">
        <v>181</v>
      </c>
      <c r="B295" s="23" t="s">
        <v>182</v>
      </c>
      <c r="D295">
        <v>1</v>
      </c>
      <c r="E295" t="s">
        <v>38</v>
      </c>
      <c r="F295">
        <v>4</v>
      </c>
      <c r="G295">
        <v>2025</v>
      </c>
      <c r="H295" t="s">
        <v>39</v>
      </c>
      <c r="I295">
        <v>0.25</v>
      </c>
      <c r="J295" t="s">
        <v>121</v>
      </c>
      <c r="K295" t="s">
        <v>41</v>
      </c>
      <c r="M295">
        <v>0</v>
      </c>
      <c r="N295">
        <v>0</v>
      </c>
      <c r="O295">
        <v>0</v>
      </c>
      <c r="P295">
        <v>0</v>
      </c>
      <c r="Q295">
        <v>0</v>
      </c>
      <c r="R295">
        <v>0</v>
      </c>
      <c r="S295">
        <v>0</v>
      </c>
      <c r="T295">
        <v>0</v>
      </c>
      <c r="U295">
        <v>0</v>
      </c>
      <c r="V295">
        <v>0</v>
      </c>
      <c r="W295" t="s">
        <v>1057</v>
      </c>
      <c r="X295" t="s">
        <v>1653</v>
      </c>
      <c r="Y295">
        <v>0</v>
      </c>
      <c r="Z295">
        <v>0</v>
      </c>
      <c r="AA295">
        <v>2007</v>
      </c>
      <c r="AB295">
        <v>9999</v>
      </c>
      <c r="AC295" t="s">
        <v>35</v>
      </c>
    </row>
    <row r="296" spans="1:29" x14ac:dyDescent="0.25">
      <c r="A296" s="31" t="s">
        <v>184</v>
      </c>
      <c r="B296" s="23" t="s">
        <v>185</v>
      </c>
      <c r="C296" t="s">
        <v>186</v>
      </c>
      <c r="D296">
        <v>1</v>
      </c>
      <c r="E296" t="s">
        <v>45</v>
      </c>
      <c r="F296">
        <v>4</v>
      </c>
      <c r="G296">
        <v>2025</v>
      </c>
      <c r="I296" s="8">
        <v>585.9</v>
      </c>
      <c r="J296" t="s">
        <v>52</v>
      </c>
      <c r="K296" t="s">
        <v>32</v>
      </c>
      <c r="M296">
        <v>0</v>
      </c>
      <c r="N296">
        <v>0</v>
      </c>
      <c r="O296">
        <v>0</v>
      </c>
      <c r="P296">
        <v>0</v>
      </c>
      <c r="Q296">
        <v>0</v>
      </c>
      <c r="R296">
        <v>0</v>
      </c>
      <c r="S296">
        <v>1</v>
      </c>
      <c r="T296">
        <v>1</v>
      </c>
      <c r="U296">
        <v>1</v>
      </c>
      <c r="V296">
        <v>0</v>
      </c>
      <c r="W296" t="s">
        <v>1654</v>
      </c>
      <c r="X296" t="s">
        <v>1855</v>
      </c>
      <c r="Y296">
        <v>0</v>
      </c>
      <c r="Z296">
        <v>0</v>
      </c>
      <c r="AA296">
        <v>2007</v>
      </c>
      <c r="AB296">
        <v>9999</v>
      </c>
      <c r="AC296" t="s">
        <v>35</v>
      </c>
    </row>
    <row r="297" spans="1:29" x14ac:dyDescent="0.25">
      <c r="A297" s="31" t="s">
        <v>1059</v>
      </c>
      <c r="B297" s="23" t="s">
        <v>1060</v>
      </c>
      <c r="D297">
        <v>1</v>
      </c>
      <c r="E297" t="s">
        <v>874</v>
      </c>
      <c r="F297">
        <v>1</v>
      </c>
      <c r="G297">
        <v>2025</v>
      </c>
      <c r="I297" s="8">
        <v>5</v>
      </c>
      <c r="J297" t="s">
        <v>52</v>
      </c>
      <c r="K297" t="s">
        <v>47</v>
      </c>
      <c r="M297">
        <v>0</v>
      </c>
      <c r="N297">
        <v>0</v>
      </c>
      <c r="O297">
        <v>0</v>
      </c>
      <c r="P297">
        <v>0</v>
      </c>
      <c r="Q297">
        <v>0</v>
      </c>
      <c r="R297">
        <v>0</v>
      </c>
      <c r="S297">
        <v>1</v>
      </c>
      <c r="T297">
        <v>1</v>
      </c>
      <c r="U297">
        <v>1</v>
      </c>
      <c r="V297">
        <v>0</v>
      </c>
      <c r="W297" t="s">
        <v>1392</v>
      </c>
      <c r="X297" t="s">
        <v>1656</v>
      </c>
      <c r="Y297">
        <v>1</v>
      </c>
      <c r="Z297">
        <v>0</v>
      </c>
      <c r="AA297">
        <v>2008</v>
      </c>
      <c r="AB297">
        <v>9999</v>
      </c>
      <c r="AC297" t="s">
        <v>1054</v>
      </c>
    </row>
    <row r="298" spans="1:29" x14ac:dyDescent="0.25">
      <c r="A298" s="31" t="s">
        <v>192</v>
      </c>
      <c r="B298" s="23" t="s">
        <v>193</v>
      </c>
      <c r="D298">
        <v>1</v>
      </c>
      <c r="E298" t="s">
        <v>51</v>
      </c>
      <c r="F298">
        <v>1</v>
      </c>
      <c r="G298">
        <v>2025</v>
      </c>
      <c r="I298">
        <v>67</v>
      </c>
      <c r="J298" t="s">
        <v>52</v>
      </c>
      <c r="K298" t="s">
        <v>53</v>
      </c>
      <c r="L298" t="s">
        <v>54</v>
      </c>
      <c r="M298">
        <v>0</v>
      </c>
      <c r="N298">
        <v>0</v>
      </c>
      <c r="O298">
        <v>0</v>
      </c>
      <c r="P298">
        <v>0</v>
      </c>
      <c r="Q298">
        <v>1</v>
      </c>
      <c r="R298">
        <v>0</v>
      </c>
      <c r="S298">
        <v>0</v>
      </c>
      <c r="T298">
        <v>0</v>
      </c>
      <c r="U298">
        <v>1</v>
      </c>
      <c r="V298">
        <v>0</v>
      </c>
      <c r="W298" t="s">
        <v>55</v>
      </c>
      <c r="X298" t="s">
        <v>1624</v>
      </c>
      <c r="Y298">
        <v>0</v>
      </c>
      <c r="Z298">
        <v>0</v>
      </c>
      <c r="AA298">
        <v>2007</v>
      </c>
      <c r="AB298">
        <v>9999</v>
      </c>
      <c r="AC298" t="s">
        <v>35</v>
      </c>
    </row>
    <row r="299" spans="1:29" x14ac:dyDescent="0.25">
      <c r="A299" s="31" t="s">
        <v>194</v>
      </c>
      <c r="B299" s="23" t="s">
        <v>195</v>
      </c>
      <c r="C299" t="s">
        <v>196</v>
      </c>
      <c r="D299">
        <v>1</v>
      </c>
      <c r="E299" t="s">
        <v>197</v>
      </c>
      <c r="F299">
        <v>2</v>
      </c>
      <c r="G299">
        <v>2025</v>
      </c>
      <c r="I299" s="8">
        <v>181.05</v>
      </c>
      <c r="J299" t="s">
        <v>176</v>
      </c>
      <c r="K299" t="s">
        <v>47</v>
      </c>
      <c r="M299">
        <v>1</v>
      </c>
      <c r="N299">
        <v>0</v>
      </c>
      <c r="O299">
        <v>0</v>
      </c>
      <c r="P299">
        <v>0</v>
      </c>
      <c r="Q299">
        <v>0</v>
      </c>
      <c r="R299">
        <v>0</v>
      </c>
      <c r="S299">
        <v>1</v>
      </c>
      <c r="T299">
        <v>1</v>
      </c>
      <c r="U299">
        <v>1</v>
      </c>
      <c r="V299">
        <v>0</v>
      </c>
      <c r="W299" t="s">
        <v>1856</v>
      </c>
      <c r="X299" t="s">
        <v>1857</v>
      </c>
      <c r="Y299">
        <v>0</v>
      </c>
      <c r="Z299">
        <v>0</v>
      </c>
      <c r="AA299">
        <v>2007</v>
      </c>
      <c r="AB299">
        <v>9999</v>
      </c>
      <c r="AC299" t="s">
        <v>35</v>
      </c>
    </row>
    <row r="300" spans="1:29" x14ac:dyDescent="0.25">
      <c r="A300" s="31" t="s">
        <v>1451</v>
      </c>
      <c r="B300" s="23" t="s">
        <v>1452</v>
      </c>
      <c r="D300">
        <v>1</v>
      </c>
      <c r="E300" s="4">
        <v>760</v>
      </c>
      <c r="F300">
        <v>7</v>
      </c>
      <c r="G300">
        <v>2025</v>
      </c>
      <c r="I300" s="8">
        <v>574.28</v>
      </c>
      <c r="J300" t="s">
        <v>40</v>
      </c>
      <c r="K300" t="s">
        <v>47</v>
      </c>
      <c r="M300">
        <v>1</v>
      </c>
      <c r="N300">
        <v>0</v>
      </c>
      <c r="O300">
        <v>0</v>
      </c>
      <c r="P300">
        <v>0</v>
      </c>
      <c r="Q300">
        <v>0</v>
      </c>
      <c r="R300">
        <v>0</v>
      </c>
      <c r="S300">
        <v>1</v>
      </c>
      <c r="T300">
        <v>1</v>
      </c>
      <c r="U300">
        <v>1</v>
      </c>
      <c r="V300">
        <v>0</v>
      </c>
      <c r="W300" t="s">
        <v>1587</v>
      </c>
      <c r="X300" t="s">
        <v>1858</v>
      </c>
      <c r="Y300">
        <v>0</v>
      </c>
      <c r="Z300">
        <v>0</v>
      </c>
      <c r="AA300">
        <v>2014</v>
      </c>
      <c r="AB300">
        <v>9999</v>
      </c>
      <c r="AC300" t="s">
        <v>1449</v>
      </c>
    </row>
    <row r="301" spans="1:29" x14ac:dyDescent="0.25">
      <c r="A301" s="31" t="s">
        <v>1588</v>
      </c>
      <c r="B301" s="23" t="s">
        <v>1589</v>
      </c>
      <c r="D301">
        <v>1</v>
      </c>
      <c r="E301" s="5" t="s">
        <v>38</v>
      </c>
      <c r="F301">
        <v>4</v>
      </c>
      <c r="G301">
        <v>2025</v>
      </c>
      <c r="H301" t="s">
        <v>837</v>
      </c>
      <c r="I301">
        <v>30</v>
      </c>
      <c r="J301" t="s">
        <v>40</v>
      </c>
      <c r="K301" t="s">
        <v>41</v>
      </c>
      <c r="M301">
        <v>0</v>
      </c>
      <c r="N301">
        <v>0</v>
      </c>
      <c r="O301">
        <v>0</v>
      </c>
      <c r="P301">
        <v>0</v>
      </c>
      <c r="Q301">
        <v>0</v>
      </c>
      <c r="R301">
        <v>0</v>
      </c>
      <c r="S301">
        <v>0</v>
      </c>
      <c r="T301">
        <v>0</v>
      </c>
      <c r="U301">
        <v>0</v>
      </c>
      <c r="V301">
        <v>0</v>
      </c>
      <c r="W301" t="s">
        <v>1590</v>
      </c>
      <c r="X301" t="s">
        <v>1659</v>
      </c>
      <c r="Y301">
        <v>0</v>
      </c>
      <c r="Z301">
        <v>0</v>
      </c>
      <c r="AA301">
        <v>2022</v>
      </c>
      <c r="AB301">
        <v>9999</v>
      </c>
      <c r="AC301" t="s">
        <v>1591</v>
      </c>
    </row>
    <row r="302" spans="1:29" x14ac:dyDescent="0.25">
      <c r="A302" s="31" t="s">
        <v>203</v>
      </c>
      <c r="B302" s="23" t="s">
        <v>204</v>
      </c>
      <c r="D302">
        <v>1</v>
      </c>
      <c r="E302" t="s">
        <v>201</v>
      </c>
      <c r="F302">
        <v>1</v>
      </c>
      <c r="G302">
        <v>2025</v>
      </c>
      <c r="H302" t="s">
        <v>205</v>
      </c>
      <c r="I302">
        <v>3.5</v>
      </c>
      <c r="J302" t="s">
        <v>52</v>
      </c>
      <c r="K302" t="s">
        <v>41</v>
      </c>
      <c r="M302">
        <v>0</v>
      </c>
      <c r="N302">
        <v>0</v>
      </c>
      <c r="O302">
        <v>0</v>
      </c>
      <c r="P302">
        <v>0</v>
      </c>
      <c r="Q302">
        <v>0</v>
      </c>
      <c r="R302">
        <v>0</v>
      </c>
      <c r="S302">
        <v>0</v>
      </c>
      <c r="T302">
        <v>0</v>
      </c>
      <c r="U302">
        <v>0</v>
      </c>
      <c r="V302">
        <v>0</v>
      </c>
      <c r="W302" t="s">
        <v>1064</v>
      </c>
      <c r="X302" t="s">
        <v>1660</v>
      </c>
      <c r="Y302">
        <v>0</v>
      </c>
      <c r="Z302">
        <v>0</v>
      </c>
      <c r="AA302">
        <v>2007</v>
      </c>
      <c r="AB302">
        <v>9999</v>
      </c>
      <c r="AC302" t="s">
        <v>35</v>
      </c>
    </row>
    <row r="303" spans="1:29" x14ac:dyDescent="0.25">
      <c r="A303" s="31" t="s">
        <v>207</v>
      </c>
      <c r="B303" s="23" t="s">
        <v>1472</v>
      </c>
      <c r="C303" t="s">
        <v>209</v>
      </c>
      <c r="D303">
        <v>1</v>
      </c>
      <c r="E303" t="s">
        <v>210</v>
      </c>
      <c r="F303">
        <v>10</v>
      </c>
      <c r="G303">
        <v>2025</v>
      </c>
      <c r="I303" s="8">
        <v>35.4</v>
      </c>
      <c r="J303" t="s">
        <v>40</v>
      </c>
      <c r="K303" t="s">
        <v>32</v>
      </c>
      <c r="M303">
        <v>0</v>
      </c>
      <c r="N303">
        <v>0</v>
      </c>
      <c r="O303">
        <v>0</v>
      </c>
      <c r="P303">
        <v>0</v>
      </c>
      <c r="Q303">
        <v>0</v>
      </c>
      <c r="R303">
        <v>0</v>
      </c>
      <c r="S303">
        <v>1</v>
      </c>
      <c r="T303">
        <v>1</v>
      </c>
      <c r="U303">
        <v>1</v>
      </c>
      <c r="V303">
        <v>0</v>
      </c>
      <c r="W303" t="s">
        <v>1065</v>
      </c>
      <c r="X303" t="s">
        <v>1661</v>
      </c>
      <c r="Y303">
        <v>0</v>
      </c>
      <c r="Z303">
        <v>0</v>
      </c>
      <c r="AA303">
        <v>2007</v>
      </c>
      <c r="AB303">
        <v>9999</v>
      </c>
      <c r="AC303" t="s">
        <v>35</v>
      </c>
    </row>
    <row r="304" spans="1:29" ht="30" x14ac:dyDescent="0.25">
      <c r="A304" s="31" t="s">
        <v>212</v>
      </c>
      <c r="B304" s="23" t="s">
        <v>213</v>
      </c>
      <c r="C304" t="s">
        <v>214</v>
      </c>
      <c r="D304">
        <v>1</v>
      </c>
      <c r="E304" s="4">
        <v>550</v>
      </c>
      <c r="F304">
        <v>5</v>
      </c>
      <c r="G304">
        <v>2025</v>
      </c>
      <c r="I304" s="8">
        <v>109.2</v>
      </c>
      <c r="J304" t="s">
        <v>1610</v>
      </c>
      <c r="K304" t="s">
        <v>47</v>
      </c>
      <c r="M304">
        <v>0</v>
      </c>
      <c r="N304">
        <v>0</v>
      </c>
      <c r="O304">
        <v>0</v>
      </c>
      <c r="P304">
        <v>0</v>
      </c>
      <c r="Q304">
        <v>0</v>
      </c>
      <c r="R304">
        <v>0</v>
      </c>
      <c r="S304">
        <v>1</v>
      </c>
      <c r="T304">
        <v>1</v>
      </c>
      <c r="U304">
        <v>1</v>
      </c>
      <c r="V304">
        <v>0</v>
      </c>
      <c r="W304" t="s">
        <v>1288</v>
      </c>
      <c r="X304" t="s">
        <v>1662</v>
      </c>
      <c r="Y304">
        <v>2</v>
      </c>
      <c r="Z304">
        <v>0</v>
      </c>
      <c r="AA304">
        <v>2007</v>
      </c>
      <c r="AB304">
        <v>9999</v>
      </c>
      <c r="AC304" t="s">
        <v>35</v>
      </c>
    </row>
    <row r="305" spans="1:29" x14ac:dyDescent="0.25">
      <c r="A305" s="31" t="s">
        <v>216</v>
      </c>
      <c r="B305" s="23" t="s">
        <v>217</v>
      </c>
      <c r="D305">
        <v>1</v>
      </c>
      <c r="E305" t="s">
        <v>218</v>
      </c>
      <c r="F305">
        <v>2</v>
      </c>
      <c r="G305">
        <v>2025</v>
      </c>
      <c r="I305" s="8">
        <v>1163.7</v>
      </c>
      <c r="J305" t="s">
        <v>52</v>
      </c>
      <c r="K305" t="s">
        <v>32</v>
      </c>
      <c r="M305">
        <v>0</v>
      </c>
      <c r="N305">
        <v>0</v>
      </c>
      <c r="O305">
        <v>0</v>
      </c>
      <c r="P305">
        <v>0</v>
      </c>
      <c r="Q305">
        <v>0</v>
      </c>
      <c r="R305">
        <v>0</v>
      </c>
      <c r="S305">
        <v>1</v>
      </c>
      <c r="T305">
        <v>1</v>
      </c>
      <c r="U305">
        <v>1</v>
      </c>
      <c r="V305">
        <v>0</v>
      </c>
      <c r="W305" t="s">
        <v>1067</v>
      </c>
      <c r="X305" t="s">
        <v>1663</v>
      </c>
      <c r="Y305">
        <v>0</v>
      </c>
      <c r="Z305">
        <v>0</v>
      </c>
      <c r="AA305">
        <v>2007</v>
      </c>
      <c r="AB305">
        <v>9999</v>
      </c>
      <c r="AC305" t="s">
        <v>35</v>
      </c>
    </row>
    <row r="306" spans="1:29" x14ac:dyDescent="0.25">
      <c r="A306" s="31" t="s">
        <v>220</v>
      </c>
      <c r="B306" s="23" t="s">
        <v>221</v>
      </c>
      <c r="D306">
        <v>1</v>
      </c>
      <c r="E306" t="s">
        <v>222</v>
      </c>
      <c r="F306">
        <v>8</v>
      </c>
      <c r="G306">
        <v>2025</v>
      </c>
      <c r="I306" s="8">
        <v>45.41</v>
      </c>
      <c r="J306" t="s">
        <v>81</v>
      </c>
      <c r="K306" t="s">
        <v>47</v>
      </c>
      <c r="M306">
        <v>0</v>
      </c>
      <c r="N306">
        <v>0</v>
      </c>
      <c r="O306">
        <v>0</v>
      </c>
      <c r="P306">
        <v>0</v>
      </c>
      <c r="Q306">
        <v>0</v>
      </c>
      <c r="R306">
        <v>0</v>
      </c>
      <c r="S306">
        <v>1</v>
      </c>
      <c r="T306">
        <v>1</v>
      </c>
      <c r="U306">
        <v>1</v>
      </c>
      <c r="V306">
        <v>0</v>
      </c>
      <c r="W306" t="s">
        <v>1068</v>
      </c>
      <c r="X306" t="s">
        <v>1664</v>
      </c>
      <c r="Y306">
        <v>0</v>
      </c>
      <c r="Z306">
        <v>0</v>
      </c>
      <c r="AA306">
        <v>2007</v>
      </c>
      <c r="AB306">
        <v>9999</v>
      </c>
      <c r="AC306" t="s">
        <v>35</v>
      </c>
    </row>
    <row r="307" spans="1:29" x14ac:dyDescent="0.25">
      <c r="A307" s="31" t="s">
        <v>224</v>
      </c>
      <c r="B307" s="23" t="s">
        <v>225</v>
      </c>
      <c r="D307">
        <v>1</v>
      </c>
      <c r="E307" t="s">
        <v>51</v>
      </c>
      <c r="F307">
        <v>1</v>
      </c>
      <c r="G307">
        <v>2025</v>
      </c>
      <c r="I307">
        <v>67</v>
      </c>
      <c r="J307" t="s">
        <v>52</v>
      </c>
      <c r="K307" t="s">
        <v>53</v>
      </c>
      <c r="L307" t="s">
        <v>54</v>
      </c>
      <c r="M307">
        <v>0</v>
      </c>
      <c r="N307">
        <v>0</v>
      </c>
      <c r="O307">
        <v>0</v>
      </c>
      <c r="P307">
        <v>0</v>
      </c>
      <c r="Q307">
        <v>1</v>
      </c>
      <c r="R307">
        <v>0</v>
      </c>
      <c r="S307">
        <v>0</v>
      </c>
      <c r="T307">
        <v>0</v>
      </c>
      <c r="U307">
        <v>1</v>
      </c>
      <c r="V307">
        <v>0</v>
      </c>
      <c r="W307" t="s">
        <v>55</v>
      </c>
      <c r="X307" t="s">
        <v>1624</v>
      </c>
      <c r="Y307">
        <v>0</v>
      </c>
      <c r="Z307">
        <v>0</v>
      </c>
      <c r="AA307">
        <v>2007</v>
      </c>
      <c r="AB307">
        <v>9999</v>
      </c>
      <c r="AC307" t="s">
        <v>35</v>
      </c>
    </row>
    <row r="308" spans="1:29" x14ac:dyDescent="0.25">
      <c r="A308" s="31" t="s">
        <v>226</v>
      </c>
      <c r="B308" s="23" t="s">
        <v>227</v>
      </c>
      <c r="C308" t="s">
        <v>228</v>
      </c>
      <c r="D308">
        <v>1</v>
      </c>
      <c r="E308" t="s">
        <v>218</v>
      </c>
      <c r="F308">
        <v>2</v>
      </c>
      <c r="G308">
        <v>2025</v>
      </c>
      <c r="I308" s="8">
        <v>2878.15</v>
      </c>
      <c r="J308" t="s">
        <v>147</v>
      </c>
      <c r="K308" t="s">
        <v>32</v>
      </c>
      <c r="M308">
        <v>0</v>
      </c>
      <c r="N308">
        <v>1</v>
      </c>
      <c r="O308">
        <v>0</v>
      </c>
      <c r="P308">
        <v>0</v>
      </c>
      <c r="Q308">
        <v>0</v>
      </c>
      <c r="R308">
        <v>0</v>
      </c>
      <c r="S308">
        <v>1</v>
      </c>
      <c r="T308">
        <v>1</v>
      </c>
      <c r="U308">
        <v>1</v>
      </c>
      <c r="V308">
        <v>0</v>
      </c>
      <c r="W308" t="s">
        <v>1069</v>
      </c>
      <c r="X308" t="s">
        <v>1665</v>
      </c>
      <c r="Y308">
        <v>0</v>
      </c>
      <c r="Z308">
        <v>0</v>
      </c>
      <c r="AA308">
        <v>2007</v>
      </c>
      <c r="AB308">
        <v>9999</v>
      </c>
      <c r="AC308" t="s">
        <v>35</v>
      </c>
    </row>
    <row r="309" spans="1:29" x14ac:dyDescent="0.25">
      <c r="A309" s="31" t="s">
        <v>230</v>
      </c>
      <c r="B309" s="23" t="s">
        <v>231</v>
      </c>
      <c r="C309" t="s">
        <v>232</v>
      </c>
      <c r="D309">
        <v>1</v>
      </c>
      <c r="E309" t="s">
        <v>145</v>
      </c>
      <c r="F309">
        <v>2</v>
      </c>
      <c r="G309">
        <v>2025</v>
      </c>
      <c r="J309" t="s">
        <v>147</v>
      </c>
      <c r="K309" t="s">
        <v>47</v>
      </c>
      <c r="M309">
        <v>0</v>
      </c>
      <c r="N309">
        <v>1</v>
      </c>
      <c r="O309">
        <v>0</v>
      </c>
      <c r="P309">
        <v>0</v>
      </c>
      <c r="Q309">
        <v>0</v>
      </c>
      <c r="R309">
        <v>0</v>
      </c>
      <c r="S309">
        <v>1</v>
      </c>
      <c r="T309">
        <v>1</v>
      </c>
      <c r="U309">
        <v>1</v>
      </c>
      <c r="V309">
        <v>0</v>
      </c>
      <c r="W309" t="s">
        <v>1070</v>
      </c>
      <c r="X309" t="s">
        <v>1859</v>
      </c>
      <c r="Y309">
        <v>0</v>
      </c>
      <c r="Z309">
        <v>1</v>
      </c>
      <c r="AA309">
        <v>2007</v>
      </c>
      <c r="AB309">
        <v>9999</v>
      </c>
      <c r="AC309" t="s">
        <v>35</v>
      </c>
    </row>
    <row r="310" spans="1:29" x14ac:dyDescent="0.25">
      <c r="A310" s="31" t="s">
        <v>237</v>
      </c>
      <c r="B310" s="23" t="s">
        <v>238</v>
      </c>
      <c r="D310">
        <v>1</v>
      </c>
      <c r="E310" t="s">
        <v>218</v>
      </c>
      <c r="F310">
        <v>2</v>
      </c>
      <c r="G310">
        <v>2025</v>
      </c>
      <c r="I310" s="8">
        <v>485.08</v>
      </c>
      <c r="J310" t="s">
        <v>104</v>
      </c>
      <c r="K310" t="s">
        <v>53</v>
      </c>
      <c r="L310" t="s">
        <v>105</v>
      </c>
      <c r="M310">
        <v>0</v>
      </c>
      <c r="N310">
        <v>0</v>
      </c>
      <c r="O310">
        <v>0</v>
      </c>
      <c r="P310">
        <v>1</v>
      </c>
      <c r="Q310">
        <v>0</v>
      </c>
      <c r="R310">
        <v>0</v>
      </c>
      <c r="S310">
        <v>1</v>
      </c>
      <c r="T310">
        <v>1</v>
      </c>
      <c r="U310">
        <v>1</v>
      </c>
      <c r="V310">
        <v>0</v>
      </c>
      <c r="W310" t="s">
        <v>1072</v>
      </c>
      <c r="X310" t="s">
        <v>1860</v>
      </c>
      <c r="Y310">
        <v>0</v>
      </c>
      <c r="Z310">
        <v>0</v>
      </c>
      <c r="AA310">
        <v>2007</v>
      </c>
      <c r="AB310">
        <v>9999</v>
      </c>
      <c r="AC310" t="s">
        <v>35</v>
      </c>
    </row>
    <row r="311" spans="1:29" x14ac:dyDescent="0.25">
      <c r="A311" s="31" t="s">
        <v>240</v>
      </c>
      <c r="B311" s="23" t="s">
        <v>241</v>
      </c>
      <c r="D311">
        <v>1</v>
      </c>
      <c r="E311" t="s">
        <v>218</v>
      </c>
      <c r="F311">
        <v>2</v>
      </c>
      <c r="G311">
        <v>2025</v>
      </c>
      <c r="I311" s="8">
        <v>26264.35</v>
      </c>
      <c r="J311" t="s">
        <v>147</v>
      </c>
      <c r="K311" t="s">
        <v>47</v>
      </c>
      <c r="M311">
        <v>1</v>
      </c>
      <c r="N311">
        <v>0</v>
      </c>
      <c r="O311">
        <v>0</v>
      </c>
      <c r="P311">
        <v>0</v>
      </c>
      <c r="Q311">
        <v>0</v>
      </c>
      <c r="R311">
        <v>0</v>
      </c>
      <c r="S311">
        <v>1</v>
      </c>
      <c r="T311">
        <v>1</v>
      </c>
      <c r="U311">
        <v>1</v>
      </c>
      <c r="V311">
        <v>0</v>
      </c>
      <c r="W311" t="s">
        <v>1073</v>
      </c>
      <c r="X311" t="s">
        <v>1668</v>
      </c>
      <c r="Y311">
        <v>3</v>
      </c>
      <c r="Z311">
        <v>1</v>
      </c>
      <c r="AA311">
        <v>2007</v>
      </c>
      <c r="AB311">
        <v>9999</v>
      </c>
      <c r="AC311" t="s">
        <v>35</v>
      </c>
    </row>
    <row r="312" spans="1:29" x14ac:dyDescent="0.25">
      <c r="A312" s="31" t="s">
        <v>1289</v>
      </c>
      <c r="B312" s="23" t="s">
        <v>1290</v>
      </c>
      <c r="D312">
        <v>1</v>
      </c>
      <c r="E312" t="s">
        <v>218</v>
      </c>
      <c r="F312">
        <v>2</v>
      </c>
      <c r="G312">
        <v>2025</v>
      </c>
      <c r="I312" s="8">
        <v>4</v>
      </c>
      <c r="J312" t="s">
        <v>147</v>
      </c>
      <c r="K312" t="s">
        <v>53</v>
      </c>
      <c r="L312" t="s">
        <v>60</v>
      </c>
      <c r="M312">
        <v>0</v>
      </c>
      <c r="N312">
        <v>0</v>
      </c>
      <c r="O312">
        <v>1</v>
      </c>
      <c r="P312">
        <v>0</v>
      </c>
      <c r="Q312">
        <v>0</v>
      </c>
      <c r="R312">
        <v>0</v>
      </c>
      <c r="S312">
        <v>1</v>
      </c>
      <c r="T312">
        <v>1</v>
      </c>
      <c r="U312">
        <v>1</v>
      </c>
      <c r="V312">
        <v>0</v>
      </c>
      <c r="W312" t="s">
        <v>1291</v>
      </c>
      <c r="X312" t="s">
        <v>1669</v>
      </c>
      <c r="Y312">
        <v>0</v>
      </c>
      <c r="Z312">
        <v>0</v>
      </c>
      <c r="AA312">
        <v>2010</v>
      </c>
      <c r="AB312">
        <v>9999</v>
      </c>
      <c r="AC312" t="s">
        <v>1292</v>
      </c>
    </row>
    <row r="313" spans="1:29" x14ac:dyDescent="0.25">
      <c r="A313" s="31" t="s">
        <v>243</v>
      </c>
      <c r="B313" s="23" t="s">
        <v>244</v>
      </c>
      <c r="D313">
        <v>1</v>
      </c>
      <c r="E313" t="s">
        <v>210</v>
      </c>
      <c r="F313">
        <v>10</v>
      </c>
      <c r="G313">
        <v>2025</v>
      </c>
      <c r="I313" s="8">
        <v>11223.96</v>
      </c>
      <c r="J313" t="s">
        <v>40</v>
      </c>
      <c r="K313" t="s">
        <v>32</v>
      </c>
      <c r="M313">
        <v>0</v>
      </c>
      <c r="N313">
        <v>1</v>
      </c>
      <c r="O313">
        <v>0</v>
      </c>
      <c r="P313">
        <v>0</v>
      </c>
      <c r="Q313">
        <v>0</v>
      </c>
      <c r="R313">
        <v>0</v>
      </c>
      <c r="S313">
        <v>1</v>
      </c>
      <c r="T313">
        <v>1</v>
      </c>
      <c r="U313">
        <v>1</v>
      </c>
      <c r="V313">
        <v>0</v>
      </c>
      <c r="W313" t="s">
        <v>1293</v>
      </c>
      <c r="X313" t="s">
        <v>1861</v>
      </c>
      <c r="Y313">
        <v>0</v>
      </c>
      <c r="Z313">
        <v>0</v>
      </c>
      <c r="AA313">
        <v>2007</v>
      </c>
      <c r="AB313">
        <v>9999</v>
      </c>
      <c r="AC313" t="s">
        <v>35</v>
      </c>
    </row>
    <row r="314" spans="1:29" x14ac:dyDescent="0.25">
      <c r="A314" s="31" t="s">
        <v>153</v>
      </c>
      <c r="B314" s="23" t="s">
        <v>1356</v>
      </c>
      <c r="D314">
        <v>12</v>
      </c>
      <c r="E314" t="s">
        <v>155</v>
      </c>
      <c r="F314">
        <v>3</v>
      </c>
      <c r="G314">
        <v>2025</v>
      </c>
      <c r="I314" s="15">
        <v>1379.9557332669344</v>
      </c>
      <c r="J314" t="s">
        <v>121</v>
      </c>
      <c r="K314" t="s">
        <v>53</v>
      </c>
      <c r="L314" t="s">
        <v>60</v>
      </c>
      <c r="M314">
        <v>0</v>
      </c>
      <c r="N314">
        <v>0</v>
      </c>
      <c r="O314">
        <v>1</v>
      </c>
      <c r="P314">
        <v>0</v>
      </c>
      <c r="Q314">
        <v>0</v>
      </c>
      <c r="R314">
        <v>0</v>
      </c>
      <c r="S314">
        <v>1</v>
      </c>
      <c r="T314">
        <v>0</v>
      </c>
      <c r="U314">
        <v>0</v>
      </c>
      <c r="V314">
        <v>1</v>
      </c>
      <c r="W314" t="s">
        <v>477</v>
      </c>
      <c r="X314" t="s">
        <v>1671</v>
      </c>
      <c r="Y314">
        <v>0</v>
      </c>
      <c r="Z314">
        <v>0</v>
      </c>
      <c r="AA314">
        <v>2007</v>
      </c>
      <c r="AB314">
        <v>9999</v>
      </c>
      <c r="AC314" t="s">
        <v>35</v>
      </c>
    </row>
    <row r="315" spans="1:29" x14ac:dyDescent="0.25">
      <c r="A315" s="31" t="s">
        <v>246</v>
      </c>
      <c r="B315" s="23" t="s">
        <v>247</v>
      </c>
      <c r="D315">
        <v>1</v>
      </c>
      <c r="E315" t="s">
        <v>120</v>
      </c>
      <c r="F315">
        <v>3</v>
      </c>
      <c r="G315">
        <v>2025</v>
      </c>
      <c r="H315" t="s">
        <v>129</v>
      </c>
      <c r="I315">
        <v>2</v>
      </c>
      <c r="J315" t="s">
        <v>104</v>
      </c>
      <c r="K315" t="s">
        <v>41</v>
      </c>
      <c r="M315">
        <v>0</v>
      </c>
      <c r="N315">
        <v>0</v>
      </c>
      <c r="O315">
        <v>0</v>
      </c>
      <c r="P315">
        <v>0</v>
      </c>
      <c r="Q315">
        <v>0</v>
      </c>
      <c r="R315">
        <v>0</v>
      </c>
      <c r="S315">
        <v>0</v>
      </c>
      <c r="T315">
        <v>1</v>
      </c>
      <c r="U315">
        <v>1</v>
      </c>
      <c r="V315">
        <v>0</v>
      </c>
      <c r="W315" t="s">
        <v>1075</v>
      </c>
      <c r="X315" t="s">
        <v>1672</v>
      </c>
      <c r="Y315">
        <v>0</v>
      </c>
      <c r="Z315">
        <v>0</v>
      </c>
      <c r="AA315">
        <v>2007</v>
      </c>
      <c r="AB315">
        <v>9999</v>
      </c>
      <c r="AC315" t="s">
        <v>35</v>
      </c>
    </row>
    <row r="316" spans="1:29" x14ac:dyDescent="0.25">
      <c r="A316" s="31" t="s">
        <v>252</v>
      </c>
      <c r="B316" s="23" t="s">
        <v>253</v>
      </c>
      <c r="D316">
        <v>1</v>
      </c>
      <c r="E316" t="s">
        <v>145</v>
      </c>
      <c r="F316">
        <v>2</v>
      </c>
      <c r="G316">
        <v>2025</v>
      </c>
      <c r="H316" t="s">
        <v>254</v>
      </c>
      <c r="I316">
        <v>0.1</v>
      </c>
      <c r="J316" t="s">
        <v>147</v>
      </c>
      <c r="K316" t="s">
        <v>41</v>
      </c>
      <c r="M316">
        <v>0</v>
      </c>
      <c r="N316">
        <v>0</v>
      </c>
      <c r="O316">
        <v>0</v>
      </c>
      <c r="P316">
        <v>0</v>
      </c>
      <c r="Q316">
        <v>0</v>
      </c>
      <c r="R316">
        <v>0</v>
      </c>
      <c r="S316">
        <v>0</v>
      </c>
      <c r="T316">
        <v>0</v>
      </c>
      <c r="U316">
        <v>0</v>
      </c>
      <c r="V316">
        <v>0</v>
      </c>
      <c r="W316" t="s">
        <v>1077</v>
      </c>
      <c r="X316" t="s">
        <v>1673</v>
      </c>
      <c r="Y316">
        <v>0</v>
      </c>
      <c r="Z316">
        <v>0</v>
      </c>
      <c r="AA316">
        <v>2007</v>
      </c>
      <c r="AB316">
        <v>9999</v>
      </c>
      <c r="AC316" t="s">
        <v>35</v>
      </c>
    </row>
    <row r="317" spans="1:29" x14ac:dyDescent="0.25">
      <c r="A317" s="31" t="s">
        <v>305</v>
      </c>
      <c r="B317" s="23" t="s">
        <v>1455</v>
      </c>
      <c r="C317" t="s">
        <v>1456</v>
      </c>
      <c r="D317">
        <v>1</v>
      </c>
      <c r="E317" t="s">
        <v>103</v>
      </c>
      <c r="F317">
        <v>9</v>
      </c>
      <c r="G317">
        <v>2025</v>
      </c>
      <c r="I317" s="8">
        <v>164.78</v>
      </c>
      <c r="J317" t="s">
        <v>104</v>
      </c>
      <c r="K317" t="s">
        <v>53</v>
      </c>
      <c r="L317" t="s">
        <v>105</v>
      </c>
      <c r="M317">
        <v>0</v>
      </c>
      <c r="N317">
        <v>0</v>
      </c>
      <c r="O317">
        <v>0</v>
      </c>
      <c r="P317">
        <v>1</v>
      </c>
      <c r="Q317">
        <v>0</v>
      </c>
      <c r="R317">
        <v>0</v>
      </c>
      <c r="S317">
        <v>1</v>
      </c>
      <c r="T317">
        <v>1</v>
      </c>
      <c r="U317">
        <v>1</v>
      </c>
      <c r="V317">
        <v>0</v>
      </c>
      <c r="W317" t="s">
        <v>106</v>
      </c>
      <c r="X317" t="s">
        <v>1851</v>
      </c>
      <c r="Y317">
        <v>0</v>
      </c>
      <c r="Z317">
        <v>0</v>
      </c>
      <c r="AA317">
        <v>2007</v>
      </c>
      <c r="AB317">
        <v>9999</v>
      </c>
      <c r="AC317" t="s">
        <v>35</v>
      </c>
    </row>
    <row r="318" spans="1:29" x14ac:dyDescent="0.25">
      <c r="A318" s="31" t="s">
        <v>259</v>
      </c>
      <c r="B318" s="23" t="s">
        <v>260</v>
      </c>
      <c r="C318" t="s">
        <v>261</v>
      </c>
      <c r="D318">
        <v>1</v>
      </c>
      <c r="E318" t="s">
        <v>103</v>
      </c>
      <c r="F318">
        <v>9</v>
      </c>
      <c r="G318">
        <v>2025</v>
      </c>
      <c r="I318" s="8">
        <v>5754.57</v>
      </c>
      <c r="J318" t="s">
        <v>104</v>
      </c>
      <c r="K318" t="s">
        <v>53</v>
      </c>
      <c r="L318" t="s">
        <v>105</v>
      </c>
      <c r="M318">
        <v>0</v>
      </c>
      <c r="N318">
        <v>0</v>
      </c>
      <c r="O318">
        <v>0</v>
      </c>
      <c r="P318">
        <v>1</v>
      </c>
      <c r="Q318">
        <v>0</v>
      </c>
      <c r="R318">
        <v>0</v>
      </c>
      <c r="S318">
        <v>1</v>
      </c>
      <c r="T318">
        <v>1</v>
      </c>
      <c r="U318">
        <v>1</v>
      </c>
      <c r="V318">
        <v>0</v>
      </c>
      <c r="W318" t="s">
        <v>106</v>
      </c>
      <c r="X318" t="s">
        <v>1851</v>
      </c>
      <c r="Y318">
        <v>0</v>
      </c>
      <c r="Z318">
        <v>0</v>
      </c>
      <c r="AA318">
        <v>2007</v>
      </c>
      <c r="AB318">
        <v>9999</v>
      </c>
      <c r="AC318" t="s">
        <v>35</v>
      </c>
    </row>
    <row r="319" spans="1:29" x14ac:dyDescent="0.25">
      <c r="A319" s="31" t="s">
        <v>266</v>
      </c>
      <c r="B319" s="23" t="s">
        <v>267</v>
      </c>
      <c r="D319">
        <v>1</v>
      </c>
      <c r="E319" t="s">
        <v>85</v>
      </c>
      <c r="F319">
        <v>4</v>
      </c>
      <c r="G319">
        <v>2025</v>
      </c>
      <c r="I319">
        <v>10</v>
      </c>
      <c r="J319" t="s">
        <v>268</v>
      </c>
      <c r="K319" t="s">
        <v>41</v>
      </c>
      <c r="M319">
        <v>0</v>
      </c>
      <c r="N319">
        <v>0</v>
      </c>
      <c r="O319">
        <v>0</v>
      </c>
      <c r="P319">
        <v>0</v>
      </c>
      <c r="Q319">
        <v>0</v>
      </c>
      <c r="R319">
        <v>0</v>
      </c>
      <c r="S319">
        <v>0</v>
      </c>
      <c r="T319">
        <v>0</v>
      </c>
      <c r="U319">
        <v>0</v>
      </c>
      <c r="V319">
        <v>0</v>
      </c>
      <c r="W319" t="s">
        <v>1079</v>
      </c>
      <c r="X319" t="s">
        <v>1674</v>
      </c>
      <c r="Y319">
        <v>0</v>
      </c>
      <c r="Z319">
        <v>0</v>
      </c>
      <c r="AA319">
        <v>2007</v>
      </c>
      <c r="AB319">
        <v>9999</v>
      </c>
      <c r="AC319" t="s">
        <v>35</v>
      </c>
    </row>
    <row r="320" spans="1:29" x14ac:dyDescent="0.25">
      <c r="A320" s="31" t="s">
        <v>1393</v>
      </c>
      <c r="B320" s="23" t="s">
        <v>1394</v>
      </c>
      <c r="C320" t="s">
        <v>1395</v>
      </c>
      <c r="D320">
        <v>1</v>
      </c>
      <c r="E320" t="s">
        <v>1396</v>
      </c>
      <c r="F320">
        <v>5</v>
      </c>
      <c r="G320">
        <v>2025</v>
      </c>
      <c r="I320" s="8">
        <v>292</v>
      </c>
      <c r="J320" t="s">
        <v>1610</v>
      </c>
      <c r="K320" t="s">
        <v>47</v>
      </c>
      <c r="M320">
        <v>1</v>
      </c>
      <c r="N320">
        <v>0</v>
      </c>
      <c r="O320">
        <v>0</v>
      </c>
      <c r="P320">
        <v>0</v>
      </c>
      <c r="Q320">
        <v>0</v>
      </c>
      <c r="R320">
        <v>0</v>
      </c>
      <c r="S320">
        <v>1</v>
      </c>
      <c r="T320">
        <v>1</v>
      </c>
      <c r="U320">
        <v>1</v>
      </c>
      <c r="V320">
        <v>0</v>
      </c>
      <c r="W320" t="s">
        <v>1397</v>
      </c>
      <c r="X320" t="s">
        <v>1675</v>
      </c>
      <c r="Y320">
        <v>0</v>
      </c>
      <c r="Z320">
        <v>0</v>
      </c>
      <c r="AA320">
        <v>2012</v>
      </c>
      <c r="AB320">
        <v>9999</v>
      </c>
      <c r="AC320" t="s">
        <v>1398</v>
      </c>
    </row>
    <row r="321" spans="1:29" x14ac:dyDescent="0.25">
      <c r="A321" s="31" t="s">
        <v>153</v>
      </c>
      <c r="B321" s="23" t="s">
        <v>270</v>
      </c>
      <c r="D321">
        <v>6</v>
      </c>
      <c r="E321" t="s">
        <v>155</v>
      </c>
      <c r="F321">
        <v>3</v>
      </c>
      <c r="G321">
        <v>2025</v>
      </c>
      <c r="I321" s="15">
        <v>838.04026095617564</v>
      </c>
      <c r="J321" t="s">
        <v>121</v>
      </c>
      <c r="K321" t="s">
        <v>53</v>
      </c>
      <c r="L321" t="s">
        <v>60</v>
      </c>
      <c r="M321">
        <v>0</v>
      </c>
      <c r="N321">
        <v>0</v>
      </c>
      <c r="O321">
        <v>1</v>
      </c>
      <c r="P321">
        <v>0</v>
      </c>
      <c r="Q321">
        <v>0</v>
      </c>
      <c r="R321">
        <v>0</v>
      </c>
      <c r="S321">
        <v>1</v>
      </c>
      <c r="T321">
        <v>0</v>
      </c>
      <c r="U321">
        <v>0</v>
      </c>
      <c r="V321">
        <v>1</v>
      </c>
      <c r="W321" t="s">
        <v>271</v>
      </c>
      <c r="X321" t="s">
        <v>1676</v>
      </c>
      <c r="Y321">
        <v>0</v>
      </c>
      <c r="Z321">
        <v>0</v>
      </c>
      <c r="AA321">
        <v>2007</v>
      </c>
      <c r="AB321">
        <v>9999</v>
      </c>
      <c r="AC321" t="s">
        <v>35</v>
      </c>
    </row>
    <row r="322" spans="1:29" x14ac:dyDescent="0.25">
      <c r="A322" s="31" t="s">
        <v>153</v>
      </c>
      <c r="B322" s="23" t="s">
        <v>272</v>
      </c>
      <c r="D322">
        <v>8</v>
      </c>
      <c r="E322" t="s">
        <v>155</v>
      </c>
      <c r="F322">
        <v>3</v>
      </c>
      <c r="G322">
        <v>2025</v>
      </c>
      <c r="I322">
        <v>94.622325099601596</v>
      </c>
      <c r="J322" s="2" t="s">
        <v>121</v>
      </c>
      <c r="K322" t="s">
        <v>53</v>
      </c>
      <c r="L322" t="s">
        <v>60</v>
      </c>
      <c r="M322">
        <v>0</v>
      </c>
      <c r="N322">
        <v>0</v>
      </c>
      <c r="O322">
        <v>1</v>
      </c>
      <c r="P322">
        <v>0</v>
      </c>
      <c r="Q322">
        <v>0</v>
      </c>
      <c r="R322">
        <v>0</v>
      </c>
      <c r="S322">
        <v>0</v>
      </c>
      <c r="T322">
        <v>0</v>
      </c>
      <c r="U322">
        <v>0</v>
      </c>
      <c r="V322">
        <v>1</v>
      </c>
      <c r="W322" t="s">
        <v>273</v>
      </c>
      <c r="X322" t="s">
        <v>1677</v>
      </c>
      <c r="Y322">
        <v>0</v>
      </c>
      <c r="Z322">
        <v>0</v>
      </c>
      <c r="AA322">
        <v>2007</v>
      </c>
      <c r="AB322">
        <v>9999</v>
      </c>
      <c r="AC322" t="s">
        <v>35</v>
      </c>
    </row>
    <row r="323" spans="1:29" x14ac:dyDescent="0.25">
      <c r="A323" s="31" t="s">
        <v>274</v>
      </c>
      <c r="B323" s="23" t="s">
        <v>275</v>
      </c>
      <c r="C323" t="s">
        <v>276</v>
      </c>
      <c r="D323">
        <v>1</v>
      </c>
      <c r="E323" t="s">
        <v>51</v>
      </c>
      <c r="F323">
        <v>7</v>
      </c>
      <c r="G323">
        <v>2025</v>
      </c>
      <c r="H323" t="s">
        <v>746</v>
      </c>
      <c r="I323">
        <v>8</v>
      </c>
      <c r="J323" t="s">
        <v>40</v>
      </c>
      <c r="K323" t="s">
        <v>41</v>
      </c>
      <c r="M323">
        <v>0</v>
      </c>
      <c r="N323">
        <v>0</v>
      </c>
      <c r="O323">
        <v>0</v>
      </c>
      <c r="P323">
        <v>0</v>
      </c>
      <c r="Q323">
        <v>0</v>
      </c>
      <c r="R323">
        <v>0</v>
      </c>
      <c r="S323">
        <v>0</v>
      </c>
      <c r="T323">
        <v>0</v>
      </c>
      <c r="U323">
        <v>0</v>
      </c>
      <c r="V323">
        <v>0</v>
      </c>
      <c r="W323" t="s">
        <v>1399</v>
      </c>
      <c r="X323" t="s">
        <v>1678</v>
      </c>
      <c r="Y323">
        <v>0</v>
      </c>
      <c r="Z323">
        <v>0</v>
      </c>
      <c r="AA323">
        <v>2007</v>
      </c>
      <c r="AB323">
        <v>9999</v>
      </c>
      <c r="AC323" t="s">
        <v>35</v>
      </c>
    </row>
    <row r="324" spans="1:29" x14ac:dyDescent="0.25">
      <c r="A324" s="31" t="s">
        <v>278</v>
      </c>
      <c r="B324" s="23" t="s">
        <v>279</v>
      </c>
      <c r="D324">
        <v>1</v>
      </c>
      <c r="E324" t="s">
        <v>103</v>
      </c>
      <c r="F324">
        <v>9</v>
      </c>
      <c r="G324">
        <v>2025</v>
      </c>
      <c r="I324" s="8">
        <v>636.94000000000005</v>
      </c>
      <c r="J324" t="s">
        <v>104</v>
      </c>
      <c r="K324" t="s">
        <v>53</v>
      </c>
      <c r="L324" t="s">
        <v>105</v>
      </c>
      <c r="M324">
        <v>0</v>
      </c>
      <c r="N324">
        <v>0</v>
      </c>
      <c r="O324">
        <v>0</v>
      </c>
      <c r="P324">
        <v>1</v>
      </c>
      <c r="Q324">
        <v>0</v>
      </c>
      <c r="R324">
        <v>0</v>
      </c>
      <c r="S324">
        <v>1</v>
      </c>
      <c r="T324">
        <v>1</v>
      </c>
      <c r="U324">
        <v>1</v>
      </c>
      <c r="V324">
        <v>0</v>
      </c>
      <c r="W324" t="s">
        <v>106</v>
      </c>
      <c r="X324" t="s">
        <v>1851</v>
      </c>
      <c r="Y324">
        <v>0</v>
      </c>
      <c r="Z324">
        <v>0</v>
      </c>
      <c r="AA324">
        <v>2007</v>
      </c>
      <c r="AB324">
        <v>9999</v>
      </c>
      <c r="AC324" t="s">
        <v>35</v>
      </c>
    </row>
    <row r="325" spans="1:29" x14ac:dyDescent="0.25">
      <c r="A325" s="31" t="s">
        <v>280</v>
      </c>
      <c r="B325" s="23" t="s">
        <v>281</v>
      </c>
      <c r="D325">
        <v>1</v>
      </c>
      <c r="E325" t="s">
        <v>103</v>
      </c>
      <c r="F325">
        <v>9</v>
      </c>
      <c r="G325">
        <v>2025</v>
      </c>
      <c r="I325" s="8">
        <v>751.49</v>
      </c>
      <c r="J325" t="s">
        <v>104</v>
      </c>
      <c r="K325" t="s">
        <v>53</v>
      </c>
      <c r="L325" t="s">
        <v>105</v>
      </c>
      <c r="M325">
        <v>0</v>
      </c>
      <c r="N325">
        <v>0</v>
      </c>
      <c r="O325">
        <v>0</v>
      </c>
      <c r="P325">
        <v>1</v>
      </c>
      <c r="Q325">
        <v>0</v>
      </c>
      <c r="R325">
        <v>0</v>
      </c>
      <c r="S325">
        <v>1</v>
      </c>
      <c r="T325">
        <v>1</v>
      </c>
      <c r="U325">
        <v>1</v>
      </c>
      <c r="V325">
        <v>0</v>
      </c>
      <c r="W325" t="s">
        <v>106</v>
      </c>
      <c r="X325" t="s">
        <v>1851</v>
      </c>
      <c r="Y325">
        <v>0</v>
      </c>
      <c r="Z325">
        <v>0</v>
      </c>
      <c r="AA325">
        <v>2007</v>
      </c>
      <c r="AB325">
        <v>9999</v>
      </c>
      <c r="AC325" t="s">
        <v>35</v>
      </c>
    </row>
    <row r="326" spans="1:29" x14ac:dyDescent="0.25">
      <c r="A326" s="31" t="s">
        <v>282</v>
      </c>
      <c r="B326" s="23" t="s">
        <v>283</v>
      </c>
      <c r="D326">
        <v>1</v>
      </c>
      <c r="E326" t="s">
        <v>103</v>
      </c>
      <c r="F326">
        <v>9</v>
      </c>
      <c r="G326">
        <v>2025</v>
      </c>
      <c r="I326" s="8">
        <v>635.73</v>
      </c>
      <c r="J326" t="s">
        <v>104</v>
      </c>
      <c r="K326" t="s">
        <v>53</v>
      </c>
      <c r="L326" t="s">
        <v>105</v>
      </c>
      <c r="M326">
        <v>0</v>
      </c>
      <c r="N326">
        <v>0</v>
      </c>
      <c r="O326">
        <v>0</v>
      </c>
      <c r="P326">
        <v>1</v>
      </c>
      <c r="Q326">
        <v>0</v>
      </c>
      <c r="R326">
        <v>0</v>
      </c>
      <c r="S326">
        <v>1</v>
      </c>
      <c r="T326">
        <v>1</v>
      </c>
      <c r="U326">
        <v>1</v>
      </c>
      <c r="V326">
        <v>0</v>
      </c>
      <c r="W326" t="s">
        <v>106</v>
      </c>
      <c r="X326" t="s">
        <v>1851</v>
      </c>
      <c r="Y326">
        <v>0</v>
      </c>
      <c r="Z326">
        <v>0</v>
      </c>
      <c r="AA326">
        <v>2007</v>
      </c>
      <c r="AB326">
        <v>9999</v>
      </c>
      <c r="AC326" t="s">
        <v>35</v>
      </c>
    </row>
    <row r="327" spans="1:29" x14ac:dyDescent="0.25">
      <c r="A327" s="31" t="s">
        <v>284</v>
      </c>
      <c r="B327" s="23" t="s">
        <v>285</v>
      </c>
      <c r="D327">
        <v>1</v>
      </c>
      <c r="E327" t="s">
        <v>103</v>
      </c>
      <c r="F327">
        <v>9</v>
      </c>
      <c r="G327">
        <v>2025</v>
      </c>
      <c r="I327" s="8">
        <v>604.61</v>
      </c>
      <c r="J327" t="s">
        <v>104</v>
      </c>
      <c r="K327" t="s">
        <v>53</v>
      </c>
      <c r="L327" t="s">
        <v>105</v>
      </c>
      <c r="M327">
        <v>0</v>
      </c>
      <c r="N327">
        <v>0</v>
      </c>
      <c r="O327">
        <v>0</v>
      </c>
      <c r="P327">
        <v>1</v>
      </c>
      <c r="Q327">
        <v>0</v>
      </c>
      <c r="R327">
        <v>0</v>
      </c>
      <c r="S327">
        <v>1</v>
      </c>
      <c r="T327">
        <v>1</v>
      </c>
      <c r="U327">
        <v>1</v>
      </c>
      <c r="V327">
        <v>0</v>
      </c>
      <c r="W327" t="s">
        <v>106</v>
      </c>
      <c r="X327" t="s">
        <v>1851</v>
      </c>
      <c r="Y327">
        <v>0</v>
      </c>
      <c r="Z327">
        <v>0</v>
      </c>
      <c r="AA327">
        <v>2007</v>
      </c>
      <c r="AB327">
        <v>9999</v>
      </c>
      <c r="AC327" t="s">
        <v>35</v>
      </c>
    </row>
    <row r="328" spans="1:29" x14ac:dyDescent="0.25">
      <c r="A328" s="31" t="s">
        <v>288</v>
      </c>
      <c r="B328" s="23" t="s">
        <v>289</v>
      </c>
      <c r="D328">
        <v>1</v>
      </c>
      <c r="E328" t="s">
        <v>103</v>
      </c>
      <c r="F328">
        <v>9</v>
      </c>
      <c r="G328">
        <v>2025</v>
      </c>
      <c r="I328" s="8">
        <v>427.57</v>
      </c>
      <c r="J328" t="s">
        <v>104</v>
      </c>
      <c r="K328" t="s">
        <v>53</v>
      </c>
      <c r="L328" t="s">
        <v>105</v>
      </c>
      <c r="M328">
        <v>0</v>
      </c>
      <c r="N328">
        <v>0</v>
      </c>
      <c r="O328">
        <v>0</v>
      </c>
      <c r="P328">
        <v>1</v>
      </c>
      <c r="Q328">
        <v>0</v>
      </c>
      <c r="R328">
        <v>0</v>
      </c>
      <c r="S328">
        <v>1</v>
      </c>
      <c r="T328">
        <v>1</v>
      </c>
      <c r="U328">
        <v>1</v>
      </c>
      <c r="V328">
        <v>0</v>
      </c>
      <c r="W328" t="s">
        <v>106</v>
      </c>
      <c r="X328" t="s">
        <v>1851</v>
      </c>
      <c r="Y328">
        <v>0</v>
      </c>
      <c r="Z328">
        <v>0</v>
      </c>
      <c r="AA328">
        <v>2007</v>
      </c>
      <c r="AB328">
        <v>9999</v>
      </c>
      <c r="AC328" t="s">
        <v>35</v>
      </c>
    </row>
    <row r="329" spans="1:29" x14ac:dyDescent="0.25">
      <c r="A329" s="31" t="s">
        <v>1474</v>
      </c>
      <c r="B329" s="23" t="s">
        <v>290</v>
      </c>
      <c r="D329">
        <v>1</v>
      </c>
      <c r="E329" t="s">
        <v>103</v>
      </c>
      <c r="F329">
        <v>9</v>
      </c>
      <c r="G329">
        <v>2025</v>
      </c>
      <c r="I329" s="8">
        <v>543.04</v>
      </c>
      <c r="J329" t="s">
        <v>104</v>
      </c>
      <c r="K329" t="s">
        <v>53</v>
      </c>
      <c r="L329" t="s">
        <v>105</v>
      </c>
      <c r="M329">
        <v>0</v>
      </c>
      <c r="N329">
        <v>0</v>
      </c>
      <c r="O329">
        <v>0</v>
      </c>
      <c r="P329">
        <v>1</v>
      </c>
      <c r="Q329">
        <v>0</v>
      </c>
      <c r="R329">
        <v>0</v>
      </c>
      <c r="S329">
        <v>1</v>
      </c>
      <c r="T329">
        <v>1</v>
      </c>
      <c r="U329">
        <v>1</v>
      </c>
      <c r="V329">
        <v>0</v>
      </c>
      <c r="W329" t="s">
        <v>106</v>
      </c>
      <c r="X329" t="s">
        <v>1851</v>
      </c>
      <c r="Y329">
        <v>0</v>
      </c>
      <c r="Z329">
        <v>0</v>
      </c>
      <c r="AA329">
        <v>2007</v>
      </c>
      <c r="AB329">
        <v>9999</v>
      </c>
      <c r="AC329" t="s">
        <v>1475</v>
      </c>
    </row>
    <row r="330" spans="1:29" x14ac:dyDescent="0.25">
      <c r="A330" s="31" t="s">
        <v>293</v>
      </c>
      <c r="B330" s="23" t="s">
        <v>294</v>
      </c>
      <c r="D330">
        <v>1</v>
      </c>
      <c r="E330" t="s">
        <v>103</v>
      </c>
      <c r="F330">
        <v>9</v>
      </c>
      <c r="G330">
        <v>2025</v>
      </c>
      <c r="I330" s="8">
        <v>590.9</v>
      </c>
      <c r="J330" t="s">
        <v>104</v>
      </c>
      <c r="K330" t="s">
        <v>53</v>
      </c>
      <c r="L330" t="s">
        <v>105</v>
      </c>
      <c r="M330">
        <v>0</v>
      </c>
      <c r="N330">
        <v>0</v>
      </c>
      <c r="O330">
        <v>0</v>
      </c>
      <c r="P330">
        <v>1</v>
      </c>
      <c r="Q330">
        <v>0</v>
      </c>
      <c r="R330">
        <v>0</v>
      </c>
      <c r="S330">
        <v>1</v>
      </c>
      <c r="T330">
        <v>1</v>
      </c>
      <c r="U330">
        <v>1</v>
      </c>
      <c r="V330">
        <v>0</v>
      </c>
      <c r="W330" t="s">
        <v>106</v>
      </c>
      <c r="X330" t="s">
        <v>1851</v>
      </c>
      <c r="Y330">
        <v>0</v>
      </c>
      <c r="Z330">
        <v>0</v>
      </c>
      <c r="AA330">
        <v>2007</v>
      </c>
      <c r="AB330">
        <v>9999</v>
      </c>
      <c r="AC330" t="s">
        <v>35</v>
      </c>
    </row>
    <row r="331" spans="1:29" x14ac:dyDescent="0.25">
      <c r="A331" s="31" t="s">
        <v>295</v>
      </c>
      <c r="B331" s="23" t="s">
        <v>296</v>
      </c>
      <c r="D331">
        <v>1</v>
      </c>
      <c r="E331" t="s">
        <v>128</v>
      </c>
      <c r="F331">
        <v>9</v>
      </c>
      <c r="G331">
        <v>2025</v>
      </c>
      <c r="H331" t="s">
        <v>1428</v>
      </c>
      <c r="I331">
        <v>0.1</v>
      </c>
      <c r="J331" t="s">
        <v>104</v>
      </c>
      <c r="K331" t="s">
        <v>41</v>
      </c>
      <c r="M331">
        <v>0</v>
      </c>
      <c r="N331">
        <v>0</v>
      </c>
      <c r="O331">
        <v>0</v>
      </c>
      <c r="P331">
        <v>0</v>
      </c>
      <c r="Q331">
        <v>0</v>
      </c>
      <c r="R331">
        <v>0</v>
      </c>
      <c r="S331">
        <v>0</v>
      </c>
      <c r="T331">
        <v>0</v>
      </c>
      <c r="U331">
        <v>0</v>
      </c>
      <c r="V331">
        <v>0</v>
      </c>
      <c r="W331" t="s">
        <v>1081</v>
      </c>
      <c r="X331" t="s">
        <v>1679</v>
      </c>
      <c r="Y331">
        <v>0</v>
      </c>
      <c r="Z331">
        <v>0</v>
      </c>
      <c r="AA331">
        <v>2007</v>
      </c>
      <c r="AB331">
        <v>9999</v>
      </c>
      <c r="AC331" t="s">
        <v>35</v>
      </c>
    </row>
    <row r="332" spans="1:29" x14ac:dyDescent="0.25">
      <c r="A332" s="31" t="s">
        <v>153</v>
      </c>
      <c r="B332" s="23" t="s">
        <v>303</v>
      </c>
      <c r="D332">
        <v>1</v>
      </c>
      <c r="E332" t="s">
        <v>155</v>
      </c>
      <c r="F332">
        <v>3</v>
      </c>
      <c r="G332">
        <v>2025</v>
      </c>
      <c r="I332" s="8">
        <v>96.551711553784855</v>
      </c>
      <c r="J332" t="s">
        <v>121</v>
      </c>
      <c r="K332" t="s">
        <v>53</v>
      </c>
      <c r="L332" t="s">
        <v>60</v>
      </c>
      <c r="M332">
        <v>0</v>
      </c>
      <c r="N332">
        <v>0</v>
      </c>
      <c r="O332">
        <v>1</v>
      </c>
      <c r="P332">
        <v>0</v>
      </c>
      <c r="Q332">
        <v>0</v>
      </c>
      <c r="R332">
        <v>0</v>
      </c>
      <c r="S332">
        <v>1</v>
      </c>
      <c r="T332">
        <v>0</v>
      </c>
      <c r="U332">
        <v>0</v>
      </c>
      <c r="V332">
        <v>1</v>
      </c>
      <c r="W332" t="s">
        <v>304</v>
      </c>
      <c r="X332" t="s">
        <v>1680</v>
      </c>
      <c r="Y332">
        <v>0</v>
      </c>
      <c r="Z332">
        <v>0</v>
      </c>
      <c r="AA332">
        <v>2007</v>
      </c>
      <c r="AB332">
        <v>9999</v>
      </c>
      <c r="AC332" t="s">
        <v>35</v>
      </c>
    </row>
    <row r="333" spans="1:29" x14ac:dyDescent="0.25">
      <c r="A333" s="31" t="s">
        <v>153</v>
      </c>
      <c r="B333" s="23" t="s">
        <v>1357</v>
      </c>
      <c r="D333">
        <v>1</v>
      </c>
      <c r="E333" t="s">
        <v>155</v>
      </c>
      <c r="F333">
        <v>3</v>
      </c>
      <c r="G333">
        <v>2025</v>
      </c>
      <c r="I333" s="11">
        <v>79.404558167330677</v>
      </c>
      <c r="J333" t="s">
        <v>121</v>
      </c>
      <c r="K333" t="s">
        <v>53</v>
      </c>
      <c r="L333" t="s">
        <v>60</v>
      </c>
      <c r="M333">
        <v>0</v>
      </c>
      <c r="N333">
        <v>0</v>
      </c>
      <c r="O333">
        <v>1</v>
      </c>
      <c r="P333">
        <v>0</v>
      </c>
      <c r="Q333">
        <v>0</v>
      </c>
      <c r="R333">
        <v>0</v>
      </c>
      <c r="S333">
        <v>1</v>
      </c>
      <c r="T333">
        <v>0</v>
      </c>
      <c r="U333">
        <v>0</v>
      </c>
      <c r="V333">
        <v>1</v>
      </c>
      <c r="W333" t="s">
        <v>645</v>
      </c>
      <c r="X333" t="s">
        <v>1681</v>
      </c>
      <c r="Y333">
        <v>0</v>
      </c>
      <c r="Z333">
        <v>0</v>
      </c>
      <c r="AA333">
        <v>2007</v>
      </c>
      <c r="AB333">
        <v>9999</v>
      </c>
      <c r="AC333" t="s">
        <v>35</v>
      </c>
    </row>
    <row r="334" spans="1:29" x14ac:dyDescent="0.25">
      <c r="A334" s="31" t="s">
        <v>307</v>
      </c>
      <c r="B334" s="23" t="s">
        <v>308</v>
      </c>
      <c r="D334">
        <v>1</v>
      </c>
      <c r="E334" t="s">
        <v>309</v>
      </c>
      <c r="F334">
        <v>10</v>
      </c>
      <c r="G334">
        <v>2025</v>
      </c>
      <c r="I334" s="8">
        <v>62.5</v>
      </c>
      <c r="J334" t="s">
        <v>59</v>
      </c>
      <c r="K334" t="s">
        <v>47</v>
      </c>
      <c r="M334">
        <v>1</v>
      </c>
      <c r="N334">
        <v>0</v>
      </c>
      <c r="O334">
        <v>0</v>
      </c>
      <c r="P334">
        <v>0</v>
      </c>
      <c r="Q334">
        <v>0</v>
      </c>
      <c r="R334">
        <v>0</v>
      </c>
      <c r="S334">
        <v>1</v>
      </c>
      <c r="T334">
        <v>1</v>
      </c>
      <c r="U334">
        <v>1</v>
      </c>
      <c r="V334">
        <v>0</v>
      </c>
      <c r="W334" t="s">
        <v>1083</v>
      </c>
      <c r="X334" t="s">
        <v>1862</v>
      </c>
      <c r="Y334">
        <v>0</v>
      </c>
      <c r="Z334">
        <v>0</v>
      </c>
      <c r="AA334">
        <v>2007</v>
      </c>
      <c r="AB334">
        <v>9999</v>
      </c>
      <c r="AC334" t="s">
        <v>35</v>
      </c>
    </row>
    <row r="335" spans="1:29" x14ac:dyDescent="0.25">
      <c r="A335" s="31" t="s">
        <v>1294</v>
      </c>
      <c r="B335" s="23" t="s">
        <v>1295</v>
      </c>
      <c r="C335" t="s">
        <v>1296</v>
      </c>
      <c r="D335">
        <v>1</v>
      </c>
      <c r="E335" t="s">
        <v>95</v>
      </c>
      <c r="F335">
        <v>10</v>
      </c>
      <c r="G335">
        <v>2025</v>
      </c>
      <c r="I335" s="8">
        <v>48.25</v>
      </c>
      <c r="J335" t="s">
        <v>40</v>
      </c>
      <c r="K335" t="s">
        <v>47</v>
      </c>
      <c r="M335">
        <v>1</v>
      </c>
      <c r="N335">
        <v>0</v>
      </c>
      <c r="O335">
        <v>0</v>
      </c>
      <c r="P335">
        <v>0</v>
      </c>
      <c r="Q335">
        <v>0</v>
      </c>
      <c r="R335">
        <v>0</v>
      </c>
      <c r="S335">
        <v>1</v>
      </c>
      <c r="T335">
        <v>1</v>
      </c>
      <c r="U335">
        <v>1</v>
      </c>
      <c r="V335">
        <v>0</v>
      </c>
      <c r="W335" t="s">
        <v>1297</v>
      </c>
      <c r="X335" t="s">
        <v>1863</v>
      </c>
      <c r="Y335">
        <v>0</v>
      </c>
      <c r="Z335">
        <v>0</v>
      </c>
      <c r="AA335">
        <v>2010</v>
      </c>
      <c r="AB335">
        <v>9999</v>
      </c>
      <c r="AC335" t="s">
        <v>1292</v>
      </c>
    </row>
    <row r="336" spans="1:29" x14ac:dyDescent="0.25">
      <c r="A336" s="31" t="s">
        <v>311</v>
      </c>
      <c r="B336" s="23" t="s">
        <v>312</v>
      </c>
      <c r="C336" t="s">
        <v>313</v>
      </c>
      <c r="D336">
        <v>1</v>
      </c>
      <c r="E336" t="s">
        <v>314</v>
      </c>
      <c r="F336">
        <v>2</v>
      </c>
      <c r="G336">
        <v>2025</v>
      </c>
      <c r="I336" s="8">
        <v>87.4</v>
      </c>
      <c r="J336" t="s">
        <v>176</v>
      </c>
      <c r="K336" t="s">
        <v>47</v>
      </c>
      <c r="M336">
        <v>0</v>
      </c>
      <c r="N336">
        <v>0</v>
      </c>
      <c r="O336">
        <v>0</v>
      </c>
      <c r="P336">
        <v>0</v>
      </c>
      <c r="Q336">
        <v>0</v>
      </c>
      <c r="R336">
        <v>0</v>
      </c>
      <c r="S336">
        <v>1</v>
      </c>
      <c r="T336">
        <v>1</v>
      </c>
      <c r="U336">
        <v>1</v>
      </c>
      <c r="V336">
        <v>0</v>
      </c>
      <c r="W336" t="s">
        <v>1358</v>
      </c>
      <c r="X336" t="s">
        <v>1684</v>
      </c>
      <c r="Y336">
        <v>0</v>
      </c>
      <c r="Z336">
        <v>3</v>
      </c>
      <c r="AA336">
        <v>2007</v>
      </c>
      <c r="AB336">
        <v>9999</v>
      </c>
      <c r="AC336" t="s">
        <v>35</v>
      </c>
    </row>
    <row r="337" spans="1:29" x14ac:dyDescent="0.25">
      <c r="A337" s="31" t="s">
        <v>1457</v>
      </c>
      <c r="B337" s="23" t="s">
        <v>1458</v>
      </c>
      <c r="C337" t="s">
        <v>1459</v>
      </c>
      <c r="D337">
        <v>1</v>
      </c>
      <c r="E337" s="4">
        <v>760</v>
      </c>
      <c r="F337">
        <v>7</v>
      </c>
      <c r="G337">
        <v>2025</v>
      </c>
      <c r="I337" s="8">
        <v>692.52</v>
      </c>
      <c r="J337" t="s">
        <v>40</v>
      </c>
      <c r="K337" t="s">
        <v>47</v>
      </c>
      <c r="M337">
        <v>1</v>
      </c>
      <c r="N337">
        <v>0</v>
      </c>
      <c r="O337">
        <v>0</v>
      </c>
      <c r="P337">
        <v>0</v>
      </c>
      <c r="Q337">
        <v>0</v>
      </c>
      <c r="R337">
        <v>0</v>
      </c>
      <c r="S337">
        <v>1</v>
      </c>
      <c r="T337">
        <v>1</v>
      </c>
      <c r="U337">
        <v>1</v>
      </c>
      <c r="V337">
        <v>0</v>
      </c>
      <c r="W337" t="s">
        <v>1460</v>
      </c>
      <c r="X337" t="s">
        <v>1685</v>
      </c>
      <c r="Y337">
        <v>0</v>
      </c>
      <c r="Z337">
        <v>0</v>
      </c>
      <c r="AA337">
        <v>2014</v>
      </c>
      <c r="AB337">
        <v>9999</v>
      </c>
      <c r="AC337" t="s">
        <v>1449</v>
      </c>
    </row>
    <row r="338" spans="1:29" ht="30" x14ac:dyDescent="0.25">
      <c r="A338" s="31" t="s">
        <v>316</v>
      </c>
      <c r="B338" s="23" t="s">
        <v>1461</v>
      </c>
      <c r="C338" t="s">
        <v>1462</v>
      </c>
      <c r="D338">
        <v>1</v>
      </c>
      <c r="E338" t="s">
        <v>318</v>
      </c>
      <c r="F338">
        <v>4</v>
      </c>
      <c r="G338">
        <v>2025</v>
      </c>
      <c r="I338" s="8">
        <v>39.35</v>
      </c>
      <c r="J338" t="s">
        <v>59</v>
      </c>
      <c r="K338" t="s">
        <v>47</v>
      </c>
      <c r="M338">
        <v>0</v>
      </c>
      <c r="N338">
        <v>0</v>
      </c>
      <c r="O338">
        <v>0</v>
      </c>
      <c r="P338">
        <v>0</v>
      </c>
      <c r="Q338">
        <v>0</v>
      </c>
      <c r="R338">
        <v>0</v>
      </c>
      <c r="S338">
        <v>1</v>
      </c>
      <c r="T338">
        <v>1</v>
      </c>
      <c r="U338">
        <v>1</v>
      </c>
      <c r="V338">
        <v>0</v>
      </c>
      <c r="W338" t="s">
        <v>1085</v>
      </c>
      <c r="X338" t="s">
        <v>1686</v>
      </c>
      <c r="Y338">
        <v>0</v>
      </c>
      <c r="Z338">
        <v>1</v>
      </c>
      <c r="AA338">
        <v>2007</v>
      </c>
      <c r="AB338">
        <v>9999</v>
      </c>
      <c r="AC338" t="s">
        <v>35</v>
      </c>
    </row>
    <row r="339" spans="1:29" x14ac:dyDescent="0.25">
      <c r="A339" s="31" t="s">
        <v>1592</v>
      </c>
      <c r="B339" s="23" t="s">
        <v>1593</v>
      </c>
      <c r="D339">
        <v>1</v>
      </c>
      <c r="E339" s="5" t="s">
        <v>95</v>
      </c>
      <c r="F339">
        <v>10</v>
      </c>
      <c r="G339">
        <v>2025</v>
      </c>
      <c r="I339" s="8">
        <v>33.9</v>
      </c>
      <c r="J339" t="s">
        <v>59</v>
      </c>
      <c r="K339" t="s">
        <v>32</v>
      </c>
      <c r="M339">
        <v>0</v>
      </c>
      <c r="N339">
        <v>0</v>
      </c>
      <c r="O339">
        <v>0</v>
      </c>
      <c r="P339">
        <v>0</v>
      </c>
      <c r="Q339">
        <v>0</v>
      </c>
      <c r="R339">
        <v>0</v>
      </c>
      <c r="S339">
        <v>1</v>
      </c>
      <c r="T339">
        <v>1</v>
      </c>
      <c r="U339">
        <v>1</v>
      </c>
      <c r="V339">
        <v>0</v>
      </c>
      <c r="W339" t="s">
        <v>1594</v>
      </c>
      <c r="X339" t="s">
        <v>1687</v>
      </c>
      <c r="Y339">
        <v>0</v>
      </c>
      <c r="Z339">
        <v>1</v>
      </c>
      <c r="AA339">
        <v>2022</v>
      </c>
      <c r="AB339">
        <v>9999</v>
      </c>
      <c r="AC339" t="s">
        <v>1591</v>
      </c>
    </row>
    <row r="340" spans="1:29" x14ac:dyDescent="0.25">
      <c r="A340" s="31" t="s">
        <v>324</v>
      </c>
      <c r="B340" s="23" t="s">
        <v>325</v>
      </c>
      <c r="D340">
        <v>1</v>
      </c>
      <c r="E340" t="s">
        <v>103</v>
      </c>
      <c r="F340">
        <v>9</v>
      </c>
      <c r="G340">
        <v>2025</v>
      </c>
      <c r="I340" s="8">
        <v>103.17</v>
      </c>
      <c r="J340" t="s">
        <v>104</v>
      </c>
      <c r="K340" t="s">
        <v>47</v>
      </c>
      <c r="M340">
        <v>1</v>
      </c>
      <c r="N340">
        <v>0</v>
      </c>
      <c r="O340">
        <v>0</v>
      </c>
      <c r="P340">
        <v>0</v>
      </c>
      <c r="Q340">
        <v>0</v>
      </c>
      <c r="R340">
        <v>0</v>
      </c>
      <c r="S340">
        <v>1</v>
      </c>
      <c r="T340">
        <v>1</v>
      </c>
      <c r="U340">
        <v>1</v>
      </c>
      <c r="V340">
        <v>0</v>
      </c>
      <c r="W340" t="s">
        <v>1086</v>
      </c>
      <c r="X340" t="s">
        <v>1688</v>
      </c>
      <c r="Y340">
        <v>0</v>
      </c>
      <c r="Z340">
        <v>0</v>
      </c>
      <c r="AA340">
        <v>2007</v>
      </c>
      <c r="AB340">
        <v>9999</v>
      </c>
      <c r="AC340" t="s">
        <v>35</v>
      </c>
    </row>
    <row r="341" spans="1:29" x14ac:dyDescent="0.25">
      <c r="A341" s="31" t="s">
        <v>327</v>
      </c>
      <c r="B341" s="23" t="s">
        <v>328</v>
      </c>
      <c r="D341">
        <v>1</v>
      </c>
      <c r="E341" t="s">
        <v>80</v>
      </c>
      <c r="F341">
        <v>8</v>
      </c>
      <c r="G341">
        <v>2025</v>
      </c>
      <c r="I341" s="8">
        <v>81.67</v>
      </c>
      <c r="J341" t="s">
        <v>81</v>
      </c>
      <c r="K341" t="s">
        <v>47</v>
      </c>
      <c r="M341">
        <v>0</v>
      </c>
      <c r="N341">
        <v>0</v>
      </c>
      <c r="O341">
        <v>0</v>
      </c>
      <c r="P341">
        <v>0</v>
      </c>
      <c r="Q341">
        <v>0</v>
      </c>
      <c r="R341">
        <v>0</v>
      </c>
      <c r="S341">
        <v>1</v>
      </c>
      <c r="T341">
        <v>1</v>
      </c>
      <c r="U341">
        <v>1</v>
      </c>
      <c r="V341">
        <v>0</v>
      </c>
      <c r="W341" t="s">
        <v>1087</v>
      </c>
      <c r="X341" t="s">
        <v>1689</v>
      </c>
      <c r="Y341">
        <v>0</v>
      </c>
      <c r="Z341">
        <v>1</v>
      </c>
      <c r="AA341">
        <v>2007</v>
      </c>
      <c r="AB341">
        <v>9999</v>
      </c>
      <c r="AC341" t="s">
        <v>35</v>
      </c>
    </row>
    <row r="342" spans="1:29" x14ac:dyDescent="0.25">
      <c r="A342" s="31" t="s">
        <v>140</v>
      </c>
      <c r="B342" s="23" t="s">
        <v>1595</v>
      </c>
      <c r="C342" t="s">
        <v>1582</v>
      </c>
      <c r="D342">
        <v>1</v>
      </c>
      <c r="E342" t="s">
        <v>45</v>
      </c>
      <c r="F342">
        <v>4</v>
      </c>
      <c r="G342">
        <v>2025</v>
      </c>
      <c r="I342" s="8">
        <v>136.19999999999999</v>
      </c>
      <c r="J342" t="s">
        <v>121</v>
      </c>
      <c r="K342" t="s">
        <v>47</v>
      </c>
      <c r="M342">
        <v>1</v>
      </c>
      <c r="N342">
        <v>0</v>
      </c>
      <c r="O342">
        <v>0</v>
      </c>
      <c r="P342">
        <v>0</v>
      </c>
      <c r="Q342">
        <v>0</v>
      </c>
      <c r="R342">
        <v>0</v>
      </c>
      <c r="S342">
        <v>1</v>
      </c>
      <c r="T342">
        <v>1</v>
      </c>
      <c r="U342">
        <v>1</v>
      </c>
      <c r="V342">
        <v>0</v>
      </c>
      <c r="W342" t="s">
        <v>1045</v>
      </c>
      <c r="X342" t="s">
        <v>1690</v>
      </c>
      <c r="Y342">
        <v>0</v>
      </c>
      <c r="Z342">
        <v>0</v>
      </c>
      <c r="AA342">
        <v>2007</v>
      </c>
      <c r="AB342">
        <v>9999</v>
      </c>
      <c r="AC342" t="s">
        <v>35</v>
      </c>
    </row>
    <row r="343" spans="1:29" x14ac:dyDescent="0.25">
      <c r="A343" s="31" t="s">
        <v>346</v>
      </c>
      <c r="B343" s="23" t="s">
        <v>347</v>
      </c>
      <c r="D343">
        <v>1</v>
      </c>
      <c r="E343" t="s">
        <v>348</v>
      </c>
      <c r="F343">
        <v>1</v>
      </c>
      <c r="G343">
        <v>2025</v>
      </c>
      <c r="I343" s="8">
        <v>51.4</v>
      </c>
      <c r="J343" t="s">
        <v>121</v>
      </c>
      <c r="K343" t="s">
        <v>47</v>
      </c>
      <c r="M343">
        <v>0</v>
      </c>
      <c r="N343">
        <v>0</v>
      </c>
      <c r="O343">
        <v>0</v>
      </c>
      <c r="P343">
        <v>0</v>
      </c>
      <c r="Q343">
        <v>0</v>
      </c>
      <c r="R343">
        <v>0</v>
      </c>
      <c r="S343">
        <v>1</v>
      </c>
      <c r="T343">
        <v>1</v>
      </c>
      <c r="U343">
        <v>1</v>
      </c>
      <c r="V343">
        <v>0</v>
      </c>
      <c r="W343" t="s">
        <v>349</v>
      </c>
      <c r="X343" t="s">
        <v>1691</v>
      </c>
      <c r="Y343">
        <v>0</v>
      </c>
      <c r="Z343">
        <v>0</v>
      </c>
      <c r="AA343">
        <v>2007</v>
      </c>
      <c r="AB343">
        <v>9999</v>
      </c>
      <c r="AC343" t="s">
        <v>35</v>
      </c>
    </row>
    <row r="344" spans="1:29" x14ac:dyDescent="0.25">
      <c r="A344" s="31" t="s">
        <v>1540</v>
      </c>
      <c r="B344" s="23" t="s">
        <v>1541</v>
      </c>
      <c r="D344">
        <v>1</v>
      </c>
      <c r="E344" t="s">
        <v>58</v>
      </c>
      <c r="F344">
        <v>4</v>
      </c>
      <c r="G344">
        <v>2025</v>
      </c>
      <c r="I344" s="8">
        <v>121.3</v>
      </c>
      <c r="J344" t="s">
        <v>59</v>
      </c>
      <c r="K344" t="s">
        <v>47</v>
      </c>
      <c r="M344">
        <v>1</v>
      </c>
      <c r="N344">
        <v>0</v>
      </c>
      <c r="O344">
        <v>0</v>
      </c>
      <c r="P344">
        <v>0</v>
      </c>
      <c r="Q344">
        <v>0</v>
      </c>
      <c r="R344">
        <v>0</v>
      </c>
      <c r="S344">
        <v>1</v>
      </c>
      <c r="T344">
        <v>1</v>
      </c>
      <c r="U344">
        <v>1</v>
      </c>
      <c r="V344">
        <v>0</v>
      </c>
      <c r="W344" t="s">
        <v>1542</v>
      </c>
      <c r="X344" t="s">
        <v>1864</v>
      </c>
      <c r="Y344">
        <v>0</v>
      </c>
      <c r="Z344">
        <v>0</v>
      </c>
      <c r="AA344">
        <v>2018</v>
      </c>
      <c r="AB344">
        <v>9999</v>
      </c>
      <c r="AC344" t="s">
        <v>1543</v>
      </c>
    </row>
    <row r="345" spans="1:29" x14ac:dyDescent="0.25">
      <c r="A345" s="31" t="s">
        <v>199</v>
      </c>
      <c r="B345" s="23" t="s">
        <v>39</v>
      </c>
      <c r="D345">
        <v>1</v>
      </c>
      <c r="E345" t="s">
        <v>358</v>
      </c>
      <c r="F345">
        <v>1</v>
      </c>
      <c r="G345">
        <v>2025</v>
      </c>
      <c r="I345" s="8">
        <v>345.76</v>
      </c>
      <c r="J345" t="s">
        <v>52</v>
      </c>
      <c r="K345" t="s">
        <v>47</v>
      </c>
      <c r="M345">
        <v>0</v>
      </c>
      <c r="N345">
        <v>0</v>
      </c>
      <c r="O345">
        <v>0</v>
      </c>
      <c r="P345">
        <v>0</v>
      </c>
      <c r="Q345">
        <v>0</v>
      </c>
      <c r="R345">
        <v>0</v>
      </c>
      <c r="S345">
        <v>1</v>
      </c>
      <c r="T345">
        <v>1</v>
      </c>
      <c r="U345">
        <v>1</v>
      </c>
      <c r="V345">
        <v>0</v>
      </c>
      <c r="W345" t="s">
        <v>1094</v>
      </c>
      <c r="X345" t="s">
        <v>1865</v>
      </c>
      <c r="Y345">
        <v>2</v>
      </c>
      <c r="Z345">
        <v>1</v>
      </c>
      <c r="AA345">
        <v>2007</v>
      </c>
      <c r="AB345">
        <v>9999</v>
      </c>
      <c r="AC345" t="s">
        <v>35</v>
      </c>
    </row>
    <row r="346" spans="1:29" x14ac:dyDescent="0.25">
      <c r="A346" s="31" t="s">
        <v>1478</v>
      </c>
      <c r="B346" s="23" t="s">
        <v>360</v>
      </c>
      <c r="D346">
        <v>4</v>
      </c>
      <c r="E346" t="s">
        <v>155</v>
      </c>
      <c r="F346">
        <v>3</v>
      </c>
      <c r="G346">
        <v>2025</v>
      </c>
      <c r="I346" s="16">
        <v>396.90991155378504</v>
      </c>
      <c r="J346" t="s">
        <v>121</v>
      </c>
      <c r="K346" t="s">
        <v>53</v>
      </c>
      <c r="L346" t="s">
        <v>60</v>
      </c>
      <c r="M346">
        <v>0</v>
      </c>
      <c r="N346">
        <v>0</v>
      </c>
      <c r="O346">
        <v>1</v>
      </c>
      <c r="P346">
        <v>0</v>
      </c>
      <c r="Q346">
        <v>0</v>
      </c>
      <c r="R346">
        <v>0</v>
      </c>
      <c r="S346">
        <v>1</v>
      </c>
      <c r="T346">
        <v>0</v>
      </c>
      <c r="U346">
        <v>0</v>
      </c>
      <c r="V346">
        <v>1</v>
      </c>
      <c r="W346" t="s">
        <v>361</v>
      </c>
      <c r="X346" t="s">
        <v>1694</v>
      </c>
      <c r="Y346">
        <v>0</v>
      </c>
      <c r="Z346">
        <v>0</v>
      </c>
      <c r="AA346">
        <v>2007</v>
      </c>
      <c r="AB346">
        <v>9999</v>
      </c>
      <c r="AC346" t="s">
        <v>1475</v>
      </c>
    </row>
    <row r="347" spans="1:29" x14ac:dyDescent="0.25">
      <c r="A347" s="31" t="s">
        <v>362</v>
      </c>
      <c r="B347" s="23" t="s">
        <v>363</v>
      </c>
      <c r="D347">
        <v>1</v>
      </c>
      <c r="E347" t="s">
        <v>103</v>
      </c>
      <c r="F347">
        <v>9</v>
      </c>
      <c r="G347">
        <v>2025</v>
      </c>
      <c r="I347" s="8">
        <v>1215.92</v>
      </c>
      <c r="J347" t="s">
        <v>104</v>
      </c>
      <c r="K347" t="s">
        <v>53</v>
      </c>
      <c r="L347" t="s">
        <v>105</v>
      </c>
      <c r="M347">
        <v>0</v>
      </c>
      <c r="N347">
        <v>0</v>
      </c>
      <c r="O347">
        <v>0</v>
      </c>
      <c r="P347">
        <v>1</v>
      </c>
      <c r="Q347">
        <v>0</v>
      </c>
      <c r="R347">
        <v>0</v>
      </c>
      <c r="S347">
        <v>1</v>
      </c>
      <c r="T347">
        <v>1</v>
      </c>
      <c r="U347">
        <v>1</v>
      </c>
      <c r="V347">
        <v>0</v>
      </c>
      <c r="W347" t="s">
        <v>106</v>
      </c>
      <c r="X347" t="s">
        <v>1851</v>
      </c>
      <c r="Y347">
        <v>0</v>
      </c>
      <c r="Z347">
        <v>0</v>
      </c>
      <c r="AA347">
        <v>2007</v>
      </c>
      <c r="AB347">
        <v>9999</v>
      </c>
      <c r="AC347" t="s">
        <v>35</v>
      </c>
    </row>
    <row r="348" spans="1:29" x14ac:dyDescent="0.25">
      <c r="A348" s="31" t="s">
        <v>364</v>
      </c>
      <c r="B348" s="23" t="s">
        <v>365</v>
      </c>
      <c r="C348" t="s">
        <v>366</v>
      </c>
      <c r="D348">
        <v>1</v>
      </c>
      <c r="E348" t="s">
        <v>103</v>
      </c>
      <c r="F348">
        <v>9</v>
      </c>
      <c r="G348">
        <v>2025</v>
      </c>
      <c r="I348" s="8">
        <v>4987.04</v>
      </c>
      <c r="J348" t="s">
        <v>104</v>
      </c>
      <c r="K348" t="s">
        <v>53</v>
      </c>
      <c r="L348" t="s">
        <v>105</v>
      </c>
      <c r="M348">
        <v>0</v>
      </c>
      <c r="N348">
        <v>0</v>
      </c>
      <c r="O348">
        <v>0</v>
      </c>
      <c r="P348">
        <v>1</v>
      </c>
      <c r="Q348">
        <v>0</v>
      </c>
      <c r="R348">
        <v>0</v>
      </c>
      <c r="S348">
        <v>1</v>
      </c>
      <c r="T348">
        <v>1</v>
      </c>
      <c r="U348">
        <v>1</v>
      </c>
      <c r="V348">
        <v>0</v>
      </c>
      <c r="W348" t="s">
        <v>106</v>
      </c>
      <c r="X348" t="s">
        <v>1851</v>
      </c>
      <c r="Y348">
        <v>0</v>
      </c>
      <c r="Z348">
        <v>0</v>
      </c>
      <c r="AA348">
        <v>2007</v>
      </c>
      <c r="AB348">
        <v>9999</v>
      </c>
      <c r="AC348" t="s">
        <v>35</v>
      </c>
    </row>
    <row r="349" spans="1:29" x14ac:dyDescent="0.25">
      <c r="A349" s="31" t="s">
        <v>367</v>
      </c>
      <c r="B349" s="23" t="s">
        <v>368</v>
      </c>
      <c r="C349" t="s">
        <v>369</v>
      </c>
      <c r="D349">
        <v>1</v>
      </c>
      <c r="E349" t="s">
        <v>370</v>
      </c>
      <c r="F349">
        <v>5</v>
      </c>
      <c r="G349">
        <v>2025</v>
      </c>
      <c r="I349" s="8">
        <v>248.75</v>
      </c>
      <c r="J349" t="s">
        <v>1610</v>
      </c>
      <c r="K349" t="s">
        <v>47</v>
      </c>
      <c r="M349">
        <v>1</v>
      </c>
      <c r="N349">
        <v>0</v>
      </c>
      <c r="O349">
        <v>0</v>
      </c>
      <c r="P349">
        <v>0</v>
      </c>
      <c r="Q349">
        <v>0</v>
      </c>
      <c r="R349">
        <v>0</v>
      </c>
      <c r="S349">
        <v>1</v>
      </c>
      <c r="T349">
        <v>1</v>
      </c>
      <c r="U349">
        <v>1</v>
      </c>
      <c r="V349">
        <v>0</v>
      </c>
      <c r="W349" t="s">
        <v>1298</v>
      </c>
      <c r="X349" t="s">
        <v>1695</v>
      </c>
      <c r="Y349">
        <v>0</v>
      </c>
      <c r="Z349">
        <v>1</v>
      </c>
      <c r="AA349">
        <v>2007</v>
      </c>
      <c r="AB349">
        <v>9999</v>
      </c>
      <c r="AC349" t="s">
        <v>35</v>
      </c>
    </row>
    <row r="350" spans="1:29" x14ac:dyDescent="0.25">
      <c r="A350" s="31" t="s">
        <v>1544</v>
      </c>
      <c r="B350" s="23" t="s">
        <v>1545</v>
      </c>
      <c r="D350">
        <v>1</v>
      </c>
      <c r="E350" s="5" t="s">
        <v>1546</v>
      </c>
      <c r="F350">
        <v>5</v>
      </c>
      <c r="G350">
        <v>2025</v>
      </c>
      <c r="H350" t="s">
        <v>214</v>
      </c>
      <c r="I350" s="8">
        <v>4.75</v>
      </c>
      <c r="J350" t="s">
        <v>1610</v>
      </c>
      <c r="K350" t="s">
        <v>41</v>
      </c>
      <c r="M350">
        <v>0</v>
      </c>
      <c r="N350">
        <v>0</v>
      </c>
      <c r="O350">
        <v>0</v>
      </c>
      <c r="P350">
        <v>0</v>
      </c>
      <c r="Q350">
        <v>0</v>
      </c>
      <c r="R350">
        <v>0</v>
      </c>
      <c r="S350">
        <v>0</v>
      </c>
      <c r="T350">
        <v>0</v>
      </c>
      <c r="U350">
        <v>0</v>
      </c>
      <c r="V350">
        <v>0</v>
      </c>
      <c r="W350" t="s">
        <v>1547</v>
      </c>
      <c r="X350" t="s">
        <v>1696</v>
      </c>
      <c r="Y350">
        <v>0</v>
      </c>
      <c r="Z350">
        <v>0</v>
      </c>
      <c r="AA350">
        <v>2018</v>
      </c>
      <c r="AB350">
        <v>9999</v>
      </c>
      <c r="AC350" t="s">
        <v>1543</v>
      </c>
    </row>
    <row r="351" spans="1:29" x14ac:dyDescent="0.25">
      <c r="A351" s="31" t="s">
        <v>372</v>
      </c>
      <c r="B351" s="23" t="s">
        <v>373</v>
      </c>
      <c r="D351">
        <v>1</v>
      </c>
      <c r="E351" t="s">
        <v>45</v>
      </c>
      <c r="F351">
        <v>4</v>
      </c>
      <c r="G351">
        <v>2025</v>
      </c>
      <c r="I351" s="8">
        <v>90.3</v>
      </c>
      <c r="J351" t="s">
        <v>176</v>
      </c>
      <c r="K351" t="s">
        <v>47</v>
      </c>
      <c r="M351">
        <v>0</v>
      </c>
      <c r="N351">
        <v>0</v>
      </c>
      <c r="O351">
        <v>0</v>
      </c>
      <c r="P351">
        <v>0</v>
      </c>
      <c r="Q351">
        <v>0</v>
      </c>
      <c r="R351">
        <v>0</v>
      </c>
      <c r="S351">
        <v>1</v>
      </c>
      <c r="T351">
        <v>1</v>
      </c>
      <c r="U351">
        <v>1</v>
      </c>
      <c r="V351">
        <v>0</v>
      </c>
      <c r="W351" t="s">
        <v>1429</v>
      </c>
      <c r="X351" t="s">
        <v>1697</v>
      </c>
      <c r="Y351">
        <v>0</v>
      </c>
      <c r="Z351">
        <v>0</v>
      </c>
      <c r="AA351">
        <v>2007</v>
      </c>
      <c r="AB351">
        <v>9999</v>
      </c>
      <c r="AC351" t="s">
        <v>35</v>
      </c>
    </row>
    <row r="352" spans="1:29" x14ac:dyDescent="0.25">
      <c r="A352" s="31" t="s">
        <v>375</v>
      </c>
      <c r="B352" s="23" t="s">
        <v>163</v>
      </c>
      <c r="D352">
        <v>1</v>
      </c>
      <c r="E352" t="s">
        <v>168</v>
      </c>
      <c r="F352">
        <v>1</v>
      </c>
      <c r="G352">
        <v>2025</v>
      </c>
      <c r="I352" s="8">
        <v>52.5</v>
      </c>
      <c r="J352" t="s">
        <v>52</v>
      </c>
      <c r="K352" t="s">
        <v>47</v>
      </c>
      <c r="M352">
        <v>0</v>
      </c>
      <c r="N352">
        <v>0</v>
      </c>
      <c r="O352">
        <v>0</v>
      </c>
      <c r="P352">
        <v>0</v>
      </c>
      <c r="Q352">
        <v>0</v>
      </c>
      <c r="R352">
        <v>0</v>
      </c>
      <c r="S352">
        <v>1</v>
      </c>
      <c r="T352">
        <v>1</v>
      </c>
      <c r="U352">
        <v>1</v>
      </c>
      <c r="V352">
        <v>0</v>
      </c>
      <c r="W352" t="s">
        <v>1097</v>
      </c>
      <c r="X352" t="s">
        <v>1698</v>
      </c>
      <c r="Y352">
        <v>0</v>
      </c>
      <c r="Z352">
        <v>1</v>
      </c>
      <c r="AA352">
        <v>2007</v>
      </c>
      <c r="AB352">
        <v>9999</v>
      </c>
      <c r="AC352" t="s">
        <v>35</v>
      </c>
    </row>
    <row r="353" spans="1:29" x14ac:dyDescent="0.25">
      <c r="A353" s="31" t="s">
        <v>377</v>
      </c>
      <c r="B353" s="23" t="s">
        <v>378</v>
      </c>
      <c r="D353">
        <v>1</v>
      </c>
      <c r="E353" t="s">
        <v>45</v>
      </c>
      <c r="F353">
        <v>4</v>
      </c>
      <c r="G353">
        <v>2025</v>
      </c>
      <c r="I353" s="8">
        <v>189.33</v>
      </c>
      <c r="J353" t="s">
        <v>1610</v>
      </c>
      <c r="K353" t="s">
        <v>47</v>
      </c>
      <c r="M353">
        <v>0</v>
      </c>
      <c r="N353">
        <v>0</v>
      </c>
      <c r="O353">
        <v>0</v>
      </c>
      <c r="P353">
        <v>0</v>
      </c>
      <c r="Q353">
        <v>0</v>
      </c>
      <c r="R353">
        <v>0</v>
      </c>
      <c r="S353">
        <v>1</v>
      </c>
      <c r="T353">
        <v>1</v>
      </c>
      <c r="U353">
        <v>1</v>
      </c>
      <c r="V353">
        <v>0</v>
      </c>
      <c r="W353" t="s">
        <v>1098</v>
      </c>
      <c r="X353" t="s">
        <v>1699</v>
      </c>
      <c r="Y353">
        <v>0</v>
      </c>
      <c r="Z353">
        <v>1</v>
      </c>
      <c r="AA353">
        <v>2007</v>
      </c>
      <c r="AB353">
        <v>9999</v>
      </c>
      <c r="AC353" t="s">
        <v>35</v>
      </c>
    </row>
    <row r="354" spans="1:29" x14ac:dyDescent="0.25">
      <c r="A354" s="31" t="s">
        <v>380</v>
      </c>
      <c r="B354" s="23" t="s">
        <v>381</v>
      </c>
      <c r="D354">
        <v>1</v>
      </c>
      <c r="E354" t="s">
        <v>103</v>
      </c>
      <c r="F354">
        <v>9</v>
      </c>
      <c r="G354">
        <v>2025</v>
      </c>
      <c r="I354" s="8">
        <v>162.07</v>
      </c>
      <c r="J354" t="s">
        <v>104</v>
      </c>
      <c r="K354" t="s">
        <v>53</v>
      </c>
      <c r="L354" t="s">
        <v>105</v>
      </c>
      <c r="M354">
        <v>0</v>
      </c>
      <c r="N354">
        <v>0</v>
      </c>
      <c r="O354">
        <v>0</v>
      </c>
      <c r="P354">
        <v>1</v>
      </c>
      <c r="Q354">
        <v>0</v>
      </c>
      <c r="R354">
        <v>0</v>
      </c>
      <c r="S354">
        <v>1</v>
      </c>
      <c r="T354">
        <v>1</v>
      </c>
      <c r="U354">
        <v>1</v>
      </c>
      <c r="V354">
        <v>0</v>
      </c>
      <c r="W354" t="s">
        <v>106</v>
      </c>
      <c r="X354" t="s">
        <v>1851</v>
      </c>
      <c r="Y354">
        <v>0</v>
      </c>
      <c r="Z354">
        <v>0</v>
      </c>
      <c r="AA354">
        <v>2007</v>
      </c>
      <c r="AB354">
        <v>9999</v>
      </c>
      <c r="AC354" t="s">
        <v>35</v>
      </c>
    </row>
    <row r="355" spans="1:29" x14ac:dyDescent="0.25">
      <c r="A355" s="31" t="s">
        <v>382</v>
      </c>
      <c r="B355" s="23" t="s">
        <v>383</v>
      </c>
      <c r="D355">
        <v>1</v>
      </c>
      <c r="E355" t="s">
        <v>80</v>
      </c>
      <c r="F355">
        <v>8</v>
      </c>
      <c r="G355">
        <v>2025</v>
      </c>
      <c r="I355" s="8">
        <v>33.5</v>
      </c>
      <c r="J355" t="s">
        <v>81</v>
      </c>
      <c r="K355" t="s">
        <v>32</v>
      </c>
      <c r="M355">
        <v>0</v>
      </c>
      <c r="N355">
        <v>0</v>
      </c>
      <c r="O355">
        <v>0</v>
      </c>
      <c r="P355">
        <v>0</v>
      </c>
      <c r="Q355">
        <v>0</v>
      </c>
      <c r="R355">
        <v>0</v>
      </c>
      <c r="S355">
        <v>1</v>
      </c>
      <c r="T355">
        <v>1</v>
      </c>
      <c r="U355">
        <v>1</v>
      </c>
      <c r="V355">
        <v>0</v>
      </c>
      <c r="W355" t="s">
        <v>1099</v>
      </c>
      <c r="X355" t="s">
        <v>1866</v>
      </c>
      <c r="Y355">
        <v>2</v>
      </c>
      <c r="Z355">
        <v>0</v>
      </c>
      <c r="AA355">
        <v>2007</v>
      </c>
      <c r="AB355">
        <v>9999</v>
      </c>
      <c r="AC355" t="s">
        <v>35</v>
      </c>
    </row>
    <row r="356" spans="1:29" x14ac:dyDescent="0.25">
      <c r="A356" s="31" t="s">
        <v>385</v>
      </c>
      <c r="B356" s="23" t="s">
        <v>386</v>
      </c>
      <c r="D356">
        <v>1</v>
      </c>
      <c r="E356" t="s">
        <v>45</v>
      </c>
      <c r="F356">
        <v>4</v>
      </c>
      <c r="G356">
        <v>2025</v>
      </c>
      <c r="I356" s="8">
        <v>173.01</v>
      </c>
      <c r="J356" t="s">
        <v>52</v>
      </c>
      <c r="K356" t="s">
        <v>47</v>
      </c>
      <c r="M356">
        <v>1</v>
      </c>
      <c r="N356">
        <v>0</v>
      </c>
      <c r="O356">
        <v>0</v>
      </c>
      <c r="P356">
        <v>0</v>
      </c>
      <c r="Q356">
        <v>0</v>
      </c>
      <c r="R356">
        <v>0</v>
      </c>
      <c r="S356">
        <v>1</v>
      </c>
      <c r="T356">
        <v>1</v>
      </c>
      <c r="U356">
        <v>1</v>
      </c>
      <c r="V356">
        <v>0</v>
      </c>
      <c r="W356" t="s">
        <v>1300</v>
      </c>
      <c r="X356" t="s">
        <v>1701</v>
      </c>
      <c r="Y356">
        <v>0</v>
      </c>
      <c r="Z356">
        <v>0</v>
      </c>
      <c r="AA356">
        <v>2007</v>
      </c>
      <c r="AB356">
        <v>9999</v>
      </c>
      <c r="AC356" t="s">
        <v>35</v>
      </c>
    </row>
    <row r="357" spans="1:29" x14ac:dyDescent="0.25">
      <c r="A357" s="31" t="s">
        <v>388</v>
      </c>
      <c r="B357" s="23" t="s">
        <v>389</v>
      </c>
      <c r="D357">
        <v>1</v>
      </c>
      <c r="E357" t="s">
        <v>145</v>
      </c>
      <c r="F357">
        <v>2</v>
      </c>
      <c r="G357">
        <v>2025</v>
      </c>
      <c r="H357" t="s">
        <v>185</v>
      </c>
      <c r="I357">
        <v>0.1</v>
      </c>
      <c r="J357" t="s">
        <v>52</v>
      </c>
      <c r="K357" t="s">
        <v>41</v>
      </c>
      <c r="M357">
        <v>0</v>
      </c>
      <c r="N357">
        <v>0</v>
      </c>
      <c r="O357">
        <v>0</v>
      </c>
      <c r="P357">
        <v>0</v>
      </c>
      <c r="Q357">
        <v>0</v>
      </c>
      <c r="R357">
        <v>0</v>
      </c>
      <c r="S357">
        <v>0</v>
      </c>
      <c r="T357">
        <v>0</v>
      </c>
      <c r="U357">
        <v>0</v>
      </c>
      <c r="V357">
        <v>0</v>
      </c>
      <c r="W357" t="s">
        <v>1101</v>
      </c>
      <c r="X357" t="s">
        <v>1702</v>
      </c>
      <c r="Y357">
        <v>0</v>
      </c>
      <c r="Z357">
        <v>0</v>
      </c>
      <c r="AA357">
        <v>2007</v>
      </c>
      <c r="AB357">
        <v>9999</v>
      </c>
      <c r="AC357" t="s">
        <v>35</v>
      </c>
    </row>
    <row r="358" spans="1:29" x14ac:dyDescent="0.25">
      <c r="A358" s="31" t="s">
        <v>391</v>
      </c>
      <c r="B358" s="23" t="s">
        <v>392</v>
      </c>
      <c r="D358">
        <v>1</v>
      </c>
      <c r="E358" t="s">
        <v>393</v>
      </c>
      <c r="F358">
        <v>3</v>
      </c>
      <c r="G358">
        <v>2025</v>
      </c>
      <c r="I358" s="8">
        <v>17158.89</v>
      </c>
      <c r="J358" t="s">
        <v>121</v>
      </c>
      <c r="K358" t="s">
        <v>47</v>
      </c>
      <c r="M358">
        <v>1</v>
      </c>
      <c r="N358">
        <v>1</v>
      </c>
      <c r="O358">
        <v>0</v>
      </c>
      <c r="P358">
        <v>0</v>
      </c>
      <c r="Q358">
        <v>0</v>
      </c>
      <c r="R358">
        <v>0</v>
      </c>
      <c r="S358">
        <v>1</v>
      </c>
      <c r="T358">
        <v>1</v>
      </c>
      <c r="U358">
        <v>1</v>
      </c>
      <c r="V358">
        <v>0</v>
      </c>
      <c r="W358" t="s">
        <v>1703</v>
      </c>
      <c r="X358" t="s">
        <v>1704</v>
      </c>
      <c r="Y358">
        <v>0</v>
      </c>
      <c r="Z358">
        <v>0</v>
      </c>
      <c r="AA358">
        <v>2007</v>
      </c>
      <c r="AB358">
        <v>9999</v>
      </c>
      <c r="AC358" t="s">
        <v>35</v>
      </c>
    </row>
    <row r="359" spans="1:29" x14ac:dyDescent="0.25">
      <c r="A359" s="31" t="s">
        <v>401</v>
      </c>
      <c r="B359" s="23" t="s">
        <v>402</v>
      </c>
      <c r="D359">
        <v>1</v>
      </c>
      <c r="E359" t="s">
        <v>155</v>
      </c>
      <c r="F359">
        <v>3</v>
      </c>
      <c r="G359">
        <v>2025</v>
      </c>
      <c r="I359" s="8">
        <v>1949.69</v>
      </c>
      <c r="J359" t="s">
        <v>52</v>
      </c>
      <c r="K359" t="s">
        <v>47</v>
      </c>
      <c r="M359">
        <v>1</v>
      </c>
      <c r="N359">
        <v>0</v>
      </c>
      <c r="O359">
        <v>0</v>
      </c>
      <c r="P359">
        <v>0</v>
      </c>
      <c r="Q359">
        <v>0</v>
      </c>
      <c r="R359">
        <v>0</v>
      </c>
      <c r="S359">
        <v>1</v>
      </c>
      <c r="T359">
        <v>1</v>
      </c>
      <c r="U359">
        <v>1</v>
      </c>
      <c r="V359">
        <v>0</v>
      </c>
      <c r="W359" t="s">
        <v>1525</v>
      </c>
      <c r="X359" t="s">
        <v>1705</v>
      </c>
      <c r="Y359">
        <v>0</v>
      </c>
      <c r="Z359">
        <v>0</v>
      </c>
      <c r="AA359">
        <v>2007</v>
      </c>
      <c r="AB359">
        <v>9999</v>
      </c>
      <c r="AC359" t="s">
        <v>35</v>
      </c>
    </row>
    <row r="360" spans="1:29" x14ac:dyDescent="0.25">
      <c r="A360" s="31" t="s">
        <v>404</v>
      </c>
      <c r="B360" s="23" t="s">
        <v>405</v>
      </c>
      <c r="C360" t="s">
        <v>406</v>
      </c>
      <c r="D360">
        <v>1</v>
      </c>
      <c r="E360" t="s">
        <v>358</v>
      </c>
      <c r="F360">
        <v>1</v>
      </c>
      <c r="G360">
        <v>2025</v>
      </c>
      <c r="I360" s="8">
        <v>318.31</v>
      </c>
      <c r="J360" t="s">
        <v>104</v>
      </c>
      <c r="K360" t="s">
        <v>47</v>
      </c>
      <c r="M360">
        <v>1</v>
      </c>
      <c r="N360">
        <v>0</v>
      </c>
      <c r="O360">
        <v>0</v>
      </c>
      <c r="P360">
        <v>0</v>
      </c>
      <c r="Q360">
        <v>0</v>
      </c>
      <c r="R360">
        <v>0</v>
      </c>
      <c r="S360">
        <v>1</v>
      </c>
      <c r="T360">
        <v>1</v>
      </c>
      <c r="U360">
        <v>1</v>
      </c>
      <c r="V360">
        <v>0</v>
      </c>
      <c r="W360" t="s">
        <v>1245</v>
      </c>
      <c r="X360" t="s">
        <v>1706</v>
      </c>
      <c r="Y360">
        <v>0</v>
      </c>
      <c r="Z360">
        <v>0</v>
      </c>
      <c r="AA360">
        <v>2007</v>
      </c>
      <c r="AB360">
        <v>9999</v>
      </c>
      <c r="AC360" t="s">
        <v>35</v>
      </c>
    </row>
    <row r="361" spans="1:29" x14ac:dyDescent="0.25">
      <c r="A361" s="31" t="s">
        <v>408</v>
      </c>
      <c r="B361" s="23" t="s">
        <v>409</v>
      </c>
      <c r="D361">
        <v>1</v>
      </c>
      <c r="E361" t="s">
        <v>103</v>
      </c>
      <c r="F361">
        <v>9</v>
      </c>
      <c r="G361">
        <v>2025</v>
      </c>
      <c r="I361" s="8">
        <v>52.58</v>
      </c>
      <c r="J361" t="s">
        <v>104</v>
      </c>
      <c r="K361" t="s">
        <v>53</v>
      </c>
      <c r="L361" t="s">
        <v>105</v>
      </c>
      <c r="M361">
        <v>0</v>
      </c>
      <c r="N361">
        <v>0</v>
      </c>
      <c r="O361">
        <v>0</v>
      </c>
      <c r="P361">
        <v>1</v>
      </c>
      <c r="Q361">
        <v>0</v>
      </c>
      <c r="R361">
        <v>0</v>
      </c>
      <c r="S361">
        <v>1</v>
      </c>
      <c r="T361">
        <v>1</v>
      </c>
      <c r="U361">
        <v>1</v>
      </c>
      <c r="V361">
        <v>0</v>
      </c>
      <c r="W361" t="s">
        <v>106</v>
      </c>
      <c r="X361" t="s">
        <v>1851</v>
      </c>
      <c r="Y361">
        <v>0</v>
      </c>
      <c r="Z361">
        <v>0</v>
      </c>
      <c r="AA361">
        <v>2007</v>
      </c>
      <c r="AB361">
        <v>9999</v>
      </c>
      <c r="AC361" t="s">
        <v>35</v>
      </c>
    </row>
    <row r="362" spans="1:29" x14ac:dyDescent="0.25">
      <c r="A362" s="31" t="s">
        <v>410</v>
      </c>
      <c r="B362" s="23" t="s">
        <v>411</v>
      </c>
      <c r="C362" t="s">
        <v>412</v>
      </c>
      <c r="D362">
        <v>1</v>
      </c>
      <c r="E362" t="s">
        <v>103</v>
      </c>
      <c r="F362">
        <v>9</v>
      </c>
      <c r="G362">
        <v>2025</v>
      </c>
      <c r="I362" s="8">
        <v>137</v>
      </c>
      <c r="J362" t="s">
        <v>104</v>
      </c>
      <c r="K362" t="s">
        <v>53</v>
      </c>
      <c r="L362" t="s">
        <v>105</v>
      </c>
      <c r="M362">
        <v>0</v>
      </c>
      <c r="N362">
        <v>0</v>
      </c>
      <c r="O362">
        <v>0</v>
      </c>
      <c r="P362">
        <v>1</v>
      </c>
      <c r="Q362">
        <v>0</v>
      </c>
      <c r="R362">
        <v>0</v>
      </c>
      <c r="S362">
        <v>1</v>
      </c>
      <c r="T362">
        <v>1</v>
      </c>
      <c r="U362">
        <v>1</v>
      </c>
      <c r="V362">
        <v>0</v>
      </c>
      <c r="W362" t="s">
        <v>106</v>
      </c>
      <c r="X362" t="s">
        <v>1851</v>
      </c>
      <c r="Y362">
        <v>0</v>
      </c>
      <c r="Z362">
        <v>0</v>
      </c>
      <c r="AA362">
        <v>2007</v>
      </c>
      <c r="AB362">
        <v>9999</v>
      </c>
      <c r="AC362" t="s">
        <v>35</v>
      </c>
    </row>
    <row r="363" spans="1:29" x14ac:dyDescent="0.25">
      <c r="A363" s="31" t="s">
        <v>413</v>
      </c>
      <c r="B363" s="23" t="s">
        <v>414</v>
      </c>
      <c r="C363" t="s">
        <v>415</v>
      </c>
      <c r="D363">
        <v>1</v>
      </c>
      <c r="E363" t="s">
        <v>103</v>
      </c>
      <c r="F363">
        <v>9</v>
      </c>
      <c r="G363">
        <v>2025</v>
      </c>
      <c r="I363" s="8">
        <v>4078.09</v>
      </c>
      <c r="J363" t="s">
        <v>104</v>
      </c>
      <c r="K363" t="s">
        <v>53</v>
      </c>
      <c r="L363" t="s">
        <v>105</v>
      </c>
      <c r="M363">
        <v>0</v>
      </c>
      <c r="N363">
        <v>0</v>
      </c>
      <c r="O363">
        <v>0</v>
      </c>
      <c r="P363">
        <v>1</v>
      </c>
      <c r="Q363">
        <v>0</v>
      </c>
      <c r="R363">
        <v>0</v>
      </c>
      <c r="S363">
        <v>1</v>
      </c>
      <c r="T363">
        <v>1</v>
      </c>
      <c r="U363">
        <v>1</v>
      </c>
      <c r="V363">
        <v>0</v>
      </c>
      <c r="W363" t="s">
        <v>106</v>
      </c>
      <c r="X363" t="s">
        <v>1851</v>
      </c>
      <c r="Y363">
        <v>0</v>
      </c>
      <c r="Z363">
        <v>0</v>
      </c>
      <c r="AA363">
        <v>2007</v>
      </c>
      <c r="AB363">
        <v>9999</v>
      </c>
      <c r="AC363" t="s">
        <v>35</v>
      </c>
    </row>
    <row r="364" spans="1:29" x14ac:dyDescent="0.25">
      <c r="A364" s="31" t="s">
        <v>416</v>
      </c>
      <c r="B364" s="23" t="s">
        <v>417</v>
      </c>
      <c r="C364" t="s">
        <v>418</v>
      </c>
      <c r="D364">
        <v>1</v>
      </c>
      <c r="E364" t="s">
        <v>218</v>
      </c>
      <c r="F364">
        <v>2</v>
      </c>
      <c r="G364">
        <v>2025</v>
      </c>
      <c r="I364" s="8">
        <v>958.72</v>
      </c>
      <c r="J364" t="s">
        <v>147</v>
      </c>
      <c r="K364" t="s">
        <v>47</v>
      </c>
      <c r="M364">
        <v>1</v>
      </c>
      <c r="N364">
        <v>1</v>
      </c>
      <c r="O364">
        <v>0</v>
      </c>
      <c r="P364">
        <v>0</v>
      </c>
      <c r="Q364">
        <v>0</v>
      </c>
      <c r="R364">
        <v>0</v>
      </c>
      <c r="S364">
        <v>1</v>
      </c>
      <c r="T364">
        <v>1</v>
      </c>
      <c r="U364">
        <v>1</v>
      </c>
      <c r="V364">
        <v>0</v>
      </c>
      <c r="W364" t="s">
        <v>1574</v>
      </c>
      <c r="X364" t="s">
        <v>1707</v>
      </c>
      <c r="Y364">
        <v>0</v>
      </c>
      <c r="Z364">
        <v>1</v>
      </c>
      <c r="AA364">
        <v>2007</v>
      </c>
      <c r="AB364">
        <v>9999</v>
      </c>
      <c r="AC364" t="s">
        <v>35</v>
      </c>
    </row>
    <row r="365" spans="1:29" x14ac:dyDescent="0.25">
      <c r="A365" s="31" t="s">
        <v>420</v>
      </c>
      <c r="B365" s="23" t="s">
        <v>421</v>
      </c>
      <c r="D365">
        <v>1</v>
      </c>
      <c r="E365" t="s">
        <v>38</v>
      </c>
      <c r="F365">
        <v>4</v>
      </c>
      <c r="G365">
        <v>2025</v>
      </c>
      <c r="H365" t="s">
        <v>39</v>
      </c>
      <c r="I365">
        <v>6.2</v>
      </c>
      <c r="J365" t="s">
        <v>1610</v>
      </c>
      <c r="K365" t="s">
        <v>32</v>
      </c>
      <c r="M365">
        <v>0</v>
      </c>
      <c r="N365">
        <v>0</v>
      </c>
      <c r="O365">
        <v>0</v>
      </c>
      <c r="P365">
        <v>0</v>
      </c>
      <c r="Q365">
        <v>0</v>
      </c>
      <c r="R365">
        <v>0</v>
      </c>
      <c r="S365">
        <v>0</v>
      </c>
      <c r="T365">
        <v>1</v>
      </c>
      <c r="U365">
        <v>0</v>
      </c>
      <c r="V365">
        <v>0</v>
      </c>
      <c r="W365" t="s">
        <v>1108</v>
      </c>
      <c r="X365" t="s">
        <v>1708</v>
      </c>
      <c r="Y365">
        <v>0</v>
      </c>
      <c r="Z365">
        <v>0</v>
      </c>
      <c r="AA365">
        <v>2007</v>
      </c>
      <c r="AB365">
        <v>9999</v>
      </c>
      <c r="AC365" t="s">
        <v>35</v>
      </c>
    </row>
    <row r="366" spans="1:29" x14ac:dyDescent="0.25">
      <c r="A366" s="31" t="s">
        <v>423</v>
      </c>
      <c r="B366" s="23" t="s">
        <v>424</v>
      </c>
      <c r="D366">
        <v>1</v>
      </c>
      <c r="E366" t="s">
        <v>85</v>
      </c>
      <c r="F366">
        <v>1</v>
      </c>
      <c r="G366">
        <v>2025</v>
      </c>
      <c r="H366" t="s">
        <v>303</v>
      </c>
      <c r="I366">
        <v>10</v>
      </c>
      <c r="J366" t="s">
        <v>121</v>
      </c>
      <c r="K366" t="s">
        <v>53</v>
      </c>
      <c r="L366" t="s">
        <v>425</v>
      </c>
      <c r="M366">
        <v>0</v>
      </c>
      <c r="N366">
        <v>0</v>
      </c>
      <c r="O366">
        <v>0</v>
      </c>
      <c r="P366">
        <v>0</v>
      </c>
      <c r="Q366">
        <v>0</v>
      </c>
      <c r="R366">
        <v>0</v>
      </c>
      <c r="S366">
        <v>0</v>
      </c>
      <c r="T366">
        <v>0</v>
      </c>
      <c r="U366">
        <v>0</v>
      </c>
      <c r="V366">
        <v>0</v>
      </c>
      <c r="W366" t="s">
        <v>426</v>
      </c>
      <c r="X366" t="s">
        <v>1709</v>
      </c>
      <c r="Y366">
        <v>0</v>
      </c>
      <c r="Z366">
        <v>0</v>
      </c>
      <c r="AA366">
        <v>2007</v>
      </c>
      <c r="AB366">
        <v>9999</v>
      </c>
      <c r="AC366" t="s">
        <v>35</v>
      </c>
    </row>
    <row r="367" spans="1:29" x14ac:dyDescent="0.25">
      <c r="A367" s="31" t="s">
        <v>427</v>
      </c>
      <c r="B367" s="23" t="s">
        <v>1246</v>
      </c>
      <c r="D367">
        <v>1</v>
      </c>
      <c r="E367" t="s">
        <v>45</v>
      </c>
      <c r="F367">
        <v>4</v>
      </c>
      <c r="G367">
        <v>2025</v>
      </c>
      <c r="I367" s="8">
        <v>1891.51</v>
      </c>
      <c r="J367" t="s">
        <v>1608</v>
      </c>
      <c r="K367" t="s">
        <v>32</v>
      </c>
      <c r="M367">
        <v>0</v>
      </c>
      <c r="N367">
        <v>0</v>
      </c>
      <c r="O367">
        <v>0</v>
      </c>
      <c r="P367">
        <v>0</v>
      </c>
      <c r="Q367">
        <v>0</v>
      </c>
      <c r="R367">
        <v>0</v>
      </c>
      <c r="S367">
        <v>1</v>
      </c>
      <c r="T367">
        <v>1</v>
      </c>
      <c r="U367">
        <v>1</v>
      </c>
      <c r="V367">
        <v>0</v>
      </c>
      <c r="W367" t="s">
        <v>1301</v>
      </c>
      <c r="X367" t="s">
        <v>1867</v>
      </c>
      <c r="Y367">
        <v>0</v>
      </c>
      <c r="Z367">
        <v>2</v>
      </c>
      <c r="AA367">
        <v>2007</v>
      </c>
      <c r="AB367">
        <v>9999</v>
      </c>
      <c r="AC367" t="s">
        <v>35</v>
      </c>
    </row>
    <row r="368" spans="1:29" x14ac:dyDescent="0.25">
      <c r="A368" s="31" t="s">
        <v>430</v>
      </c>
      <c r="B368" s="23" t="s">
        <v>431</v>
      </c>
      <c r="D368">
        <v>1</v>
      </c>
      <c r="E368" t="s">
        <v>103</v>
      </c>
      <c r="F368">
        <v>9</v>
      </c>
      <c r="G368">
        <v>2025</v>
      </c>
      <c r="I368" s="8">
        <v>3762.27</v>
      </c>
      <c r="J368" t="s">
        <v>104</v>
      </c>
      <c r="K368" t="s">
        <v>53</v>
      </c>
      <c r="L368" t="s">
        <v>105</v>
      </c>
      <c r="M368">
        <v>0</v>
      </c>
      <c r="N368">
        <v>0</v>
      </c>
      <c r="O368">
        <v>0</v>
      </c>
      <c r="P368">
        <v>1</v>
      </c>
      <c r="Q368">
        <v>0</v>
      </c>
      <c r="R368">
        <v>0</v>
      </c>
      <c r="S368">
        <v>1</v>
      </c>
      <c r="T368">
        <v>1</v>
      </c>
      <c r="U368">
        <v>1</v>
      </c>
      <c r="V368">
        <v>0</v>
      </c>
      <c r="W368" t="s">
        <v>106</v>
      </c>
      <c r="X368" t="s">
        <v>1851</v>
      </c>
      <c r="Y368">
        <v>0</v>
      </c>
      <c r="Z368">
        <v>0</v>
      </c>
      <c r="AA368">
        <v>2007</v>
      </c>
      <c r="AB368">
        <v>9999</v>
      </c>
      <c r="AC368" t="s">
        <v>35</v>
      </c>
    </row>
    <row r="369" spans="1:29" x14ac:dyDescent="0.25">
      <c r="A369" s="31" t="s">
        <v>1302</v>
      </c>
      <c r="B369" s="23" t="s">
        <v>1303</v>
      </c>
      <c r="D369">
        <v>1</v>
      </c>
      <c r="E369" t="s">
        <v>103</v>
      </c>
      <c r="F369">
        <v>9</v>
      </c>
      <c r="G369">
        <v>2025</v>
      </c>
      <c r="I369" s="8">
        <v>1777.92</v>
      </c>
      <c r="J369" t="s">
        <v>104</v>
      </c>
      <c r="K369" t="s">
        <v>53</v>
      </c>
      <c r="L369" t="s">
        <v>105</v>
      </c>
      <c r="M369">
        <v>0</v>
      </c>
      <c r="N369">
        <v>0</v>
      </c>
      <c r="O369">
        <v>0</v>
      </c>
      <c r="P369">
        <v>1</v>
      </c>
      <c r="Q369">
        <v>0</v>
      </c>
      <c r="R369">
        <v>0</v>
      </c>
      <c r="S369">
        <v>1</v>
      </c>
      <c r="T369">
        <v>1</v>
      </c>
      <c r="U369">
        <v>1</v>
      </c>
      <c r="V369">
        <v>0</v>
      </c>
      <c r="W369" t="s">
        <v>106</v>
      </c>
      <c r="X369" t="s">
        <v>1851</v>
      </c>
      <c r="Y369">
        <v>0</v>
      </c>
      <c r="Z369">
        <v>0</v>
      </c>
      <c r="AA369">
        <v>2010</v>
      </c>
      <c r="AB369">
        <v>9999</v>
      </c>
      <c r="AC369" t="s">
        <v>1292</v>
      </c>
    </row>
    <row r="370" spans="1:29" x14ac:dyDescent="0.25">
      <c r="A370" s="31" t="s">
        <v>439</v>
      </c>
      <c r="B370" s="23" t="s">
        <v>440</v>
      </c>
      <c r="C370" t="s">
        <v>441</v>
      </c>
      <c r="D370">
        <v>1</v>
      </c>
      <c r="E370" t="s">
        <v>442</v>
      </c>
      <c r="F370">
        <v>4</v>
      </c>
      <c r="G370">
        <v>2025</v>
      </c>
      <c r="I370" s="8">
        <v>644.08000000000004</v>
      </c>
      <c r="J370" t="s">
        <v>1608</v>
      </c>
      <c r="K370" t="s">
        <v>47</v>
      </c>
      <c r="M370">
        <v>1</v>
      </c>
      <c r="N370">
        <v>0</v>
      </c>
      <c r="O370">
        <v>0</v>
      </c>
      <c r="P370">
        <v>0</v>
      </c>
      <c r="Q370">
        <v>0</v>
      </c>
      <c r="R370">
        <v>0</v>
      </c>
      <c r="S370">
        <v>1</v>
      </c>
      <c r="T370">
        <v>1</v>
      </c>
      <c r="U370">
        <v>1</v>
      </c>
      <c r="V370">
        <v>0</v>
      </c>
      <c r="W370" t="s">
        <v>1304</v>
      </c>
      <c r="X370" t="s">
        <v>1868</v>
      </c>
      <c r="Y370">
        <v>0</v>
      </c>
      <c r="Z370">
        <v>0</v>
      </c>
      <c r="AA370">
        <v>2007</v>
      </c>
      <c r="AB370">
        <v>9999</v>
      </c>
      <c r="AC370" t="s">
        <v>35</v>
      </c>
    </row>
    <row r="371" spans="1:29" x14ac:dyDescent="0.25">
      <c r="A371" s="31">
        <v>2021006735</v>
      </c>
      <c r="B371" s="23" t="s">
        <v>1869</v>
      </c>
      <c r="D371">
        <v>1</v>
      </c>
      <c r="E371" t="s">
        <v>38</v>
      </c>
      <c r="F371">
        <v>4</v>
      </c>
      <c r="G371">
        <v>2025</v>
      </c>
      <c r="I371">
        <v>0.2</v>
      </c>
      <c r="J371" t="s">
        <v>1610</v>
      </c>
      <c r="K371" t="s">
        <v>41</v>
      </c>
      <c r="M371">
        <v>0</v>
      </c>
      <c r="N371">
        <v>0</v>
      </c>
      <c r="O371">
        <v>0</v>
      </c>
      <c r="P371">
        <v>0</v>
      </c>
      <c r="Q371">
        <v>0</v>
      </c>
      <c r="R371">
        <v>0</v>
      </c>
      <c r="S371">
        <v>0</v>
      </c>
      <c r="T371">
        <v>0</v>
      </c>
      <c r="U371">
        <v>0</v>
      </c>
      <c r="V371">
        <v>0</v>
      </c>
      <c r="W371" t="s">
        <v>1114</v>
      </c>
      <c r="X371" t="s">
        <v>1712</v>
      </c>
      <c r="Y371">
        <v>0</v>
      </c>
      <c r="Z371">
        <v>0</v>
      </c>
      <c r="AA371">
        <v>2007</v>
      </c>
      <c r="AB371">
        <v>9999</v>
      </c>
      <c r="AC371" t="s">
        <v>35</v>
      </c>
    </row>
    <row r="372" spans="1:29" x14ac:dyDescent="0.25">
      <c r="A372" s="31">
        <v>2021006743</v>
      </c>
      <c r="B372" s="23" t="s">
        <v>1870</v>
      </c>
      <c r="D372">
        <v>1</v>
      </c>
      <c r="E372" t="s">
        <v>38</v>
      </c>
      <c r="F372">
        <v>4</v>
      </c>
      <c r="G372">
        <v>2025</v>
      </c>
      <c r="I372">
        <v>0.2</v>
      </c>
      <c r="J372" t="s">
        <v>1610</v>
      </c>
      <c r="K372" t="s">
        <v>41</v>
      </c>
      <c r="M372">
        <v>0</v>
      </c>
      <c r="N372">
        <v>0</v>
      </c>
      <c r="O372">
        <v>0</v>
      </c>
      <c r="P372">
        <v>0</v>
      </c>
      <c r="Q372">
        <v>0</v>
      </c>
      <c r="R372">
        <v>0</v>
      </c>
      <c r="S372">
        <v>0</v>
      </c>
      <c r="T372">
        <v>0</v>
      </c>
      <c r="U372">
        <v>0</v>
      </c>
      <c r="V372">
        <v>0</v>
      </c>
      <c r="W372" t="s">
        <v>1114</v>
      </c>
      <c r="X372" t="s">
        <v>1712</v>
      </c>
      <c r="Y372">
        <v>0</v>
      </c>
      <c r="Z372">
        <v>0</v>
      </c>
      <c r="AA372">
        <v>2007</v>
      </c>
      <c r="AB372">
        <v>9999</v>
      </c>
      <c r="AC372" t="s">
        <v>35</v>
      </c>
    </row>
    <row r="373" spans="1:29" x14ac:dyDescent="0.25">
      <c r="A373" s="31">
        <v>2021006750</v>
      </c>
      <c r="B373" s="23" t="s">
        <v>1871</v>
      </c>
      <c r="D373">
        <v>1</v>
      </c>
      <c r="E373" t="s">
        <v>38</v>
      </c>
      <c r="F373">
        <v>4</v>
      </c>
      <c r="G373">
        <v>2025</v>
      </c>
      <c r="I373">
        <v>0.2</v>
      </c>
      <c r="J373" t="s">
        <v>1610</v>
      </c>
      <c r="K373" t="s">
        <v>41</v>
      </c>
      <c r="M373">
        <v>0</v>
      </c>
      <c r="N373">
        <v>0</v>
      </c>
      <c r="O373">
        <v>0</v>
      </c>
      <c r="P373">
        <v>0</v>
      </c>
      <c r="Q373">
        <v>0</v>
      </c>
      <c r="R373">
        <v>0</v>
      </c>
      <c r="S373">
        <v>0</v>
      </c>
      <c r="T373">
        <v>0</v>
      </c>
      <c r="U373">
        <v>0</v>
      </c>
      <c r="V373">
        <v>0</v>
      </c>
      <c r="W373" t="s">
        <v>1114</v>
      </c>
      <c r="X373" t="s">
        <v>1712</v>
      </c>
      <c r="Y373">
        <v>0</v>
      </c>
      <c r="Z373">
        <v>0</v>
      </c>
      <c r="AA373">
        <v>2007</v>
      </c>
      <c r="AB373">
        <v>9999</v>
      </c>
      <c r="AC373" t="s">
        <v>35</v>
      </c>
    </row>
    <row r="374" spans="1:29" ht="30" x14ac:dyDescent="0.25">
      <c r="B374" s="23" t="s">
        <v>1612</v>
      </c>
      <c r="D374">
        <v>1</v>
      </c>
      <c r="E374" s="5" t="s">
        <v>145</v>
      </c>
      <c r="F374">
        <v>2</v>
      </c>
      <c r="G374">
        <v>2025</v>
      </c>
      <c r="I374">
        <v>0</v>
      </c>
      <c r="J374" t="s">
        <v>147</v>
      </c>
      <c r="K374" t="s">
        <v>41</v>
      </c>
      <c r="M374">
        <v>0</v>
      </c>
      <c r="N374">
        <v>0</v>
      </c>
      <c r="O374">
        <v>0</v>
      </c>
      <c r="P374">
        <v>0</v>
      </c>
      <c r="Q374">
        <v>0</v>
      </c>
      <c r="R374">
        <v>0</v>
      </c>
      <c r="S374">
        <v>0</v>
      </c>
      <c r="T374">
        <v>0</v>
      </c>
      <c r="U374">
        <v>0</v>
      </c>
      <c r="V374">
        <v>0</v>
      </c>
      <c r="W374" t="s">
        <v>1613</v>
      </c>
      <c r="X374" t="s">
        <v>1713</v>
      </c>
      <c r="Y374">
        <v>0</v>
      </c>
      <c r="Z374">
        <v>0</v>
      </c>
      <c r="AA374">
        <v>2007</v>
      </c>
      <c r="AB374">
        <v>9999</v>
      </c>
      <c r="AC374" t="s">
        <v>35</v>
      </c>
    </row>
    <row r="375" spans="1:29" x14ac:dyDescent="0.25">
      <c r="A375" s="31" t="s">
        <v>453</v>
      </c>
      <c r="B375" s="23" t="s">
        <v>454</v>
      </c>
      <c r="C375" t="s">
        <v>455</v>
      </c>
      <c r="D375">
        <v>1</v>
      </c>
      <c r="E375" t="s">
        <v>456</v>
      </c>
      <c r="F375">
        <v>4</v>
      </c>
      <c r="G375">
        <v>2025</v>
      </c>
      <c r="I375" s="8">
        <v>1153.83</v>
      </c>
      <c r="J375" t="s">
        <v>1608</v>
      </c>
      <c r="K375" t="s">
        <v>32</v>
      </c>
      <c r="L375" t="s">
        <v>33</v>
      </c>
      <c r="M375">
        <v>0</v>
      </c>
      <c r="N375">
        <v>1</v>
      </c>
      <c r="O375">
        <v>0</v>
      </c>
      <c r="P375">
        <v>0</v>
      </c>
      <c r="Q375">
        <v>0</v>
      </c>
      <c r="R375">
        <v>1</v>
      </c>
      <c r="S375">
        <v>1</v>
      </c>
      <c r="T375">
        <v>1</v>
      </c>
      <c r="U375">
        <v>1</v>
      </c>
      <c r="V375">
        <v>0</v>
      </c>
      <c r="W375" t="s">
        <v>1360</v>
      </c>
      <c r="X375" t="s">
        <v>1714</v>
      </c>
      <c r="Y375">
        <v>0</v>
      </c>
      <c r="Z375">
        <v>0</v>
      </c>
      <c r="AA375">
        <v>2007</v>
      </c>
      <c r="AB375">
        <v>9999</v>
      </c>
      <c r="AC375" t="s">
        <v>35</v>
      </c>
    </row>
    <row r="376" spans="1:29" x14ac:dyDescent="0.25">
      <c r="A376" s="31" t="s">
        <v>458</v>
      </c>
      <c r="B376" s="23" t="s">
        <v>459</v>
      </c>
      <c r="D376">
        <v>1</v>
      </c>
      <c r="E376" t="s">
        <v>103</v>
      </c>
      <c r="F376">
        <v>9</v>
      </c>
      <c r="G376">
        <v>2025</v>
      </c>
      <c r="I376" s="8">
        <v>1549.95</v>
      </c>
      <c r="J376" t="s">
        <v>104</v>
      </c>
      <c r="K376" t="s">
        <v>53</v>
      </c>
      <c r="L376" t="s">
        <v>105</v>
      </c>
      <c r="M376">
        <v>0</v>
      </c>
      <c r="N376">
        <v>0</v>
      </c>
      <c r="O376">
        <v>0</v>
      </c>
      <c r="P376">
        <v>1</v>
      </c>
      <c r="Q376">
        <v>0</v>
      </c>
      <c r="R376">
        <v>0</v>
      </c>
      <c r="S376">
        <v>1</v>
      </c>
      <c r="T376">
        <v>1</v>
      </c>
      <c r="U376">
        <v>1</v>
      </c>
      <c r="V376">
        <v>0</v>
      </c>
      <c r="W376" t="s">
        <v>106</v>
      </c>
      <c r="X376" t="s">
        <v>1851</v>
      </c>
      <c r="Y376">
        <v>0</v>
      </c>
      <c r="Z376">
        <v>0</v>
      </c>
      <c r="AA376">
        <v>2007</v>
      </c>
      <c r="AB376">
        <v>9999</v>
      </c>
      <c r="AC376" t="s">
        <v>35</v>
      </c>
    </row>
    <row r="377" spans="1:29" x14ac:dyDescent="0.25">
      <c r="A377" s="31" t="s">
        <v>460</v>
      </c>
      <c r="B377" s="23" t="s">
        <v>461</v>
      </c>
      <c r="D377">
        <v>1</v>
      </c>
      <c r="E377" t="s">
        <v>103</v>
      </c>
      <c r="F377">
        <v>9</v>
      </c>
      <c r="G377">
        <v>2025</v>
      </c>
      <c r="I377" s="8">
        <v>7402.51</v>
      </c>
      <c r="J377" t="s">
        <v>104</v>
      </c>
      <c r="K377" t="s">
        <v>53</v>
      </c>
      <c r="L377" t="s">
        <v>105</v>
      </c>
      <c r="M377">
        <v>0</v>
      </c>
      <c r="N377">
        <v>0</v>
      </c>
      <c r="O377">
        <v>0</v>
      </c>
      <c r="P377">
        <v>1</v>
      </c>
      <c r="Q377">
        <v>0</v>
      </c>
      <c r="R377">
        <v>0</v>
      </c>
      <c r="S377">
        <v>1</v>
      </c>
      <c r="T377">
        <v>1</v>
      </c>
      <c r="U377">
        <v>1</v>
      </c>
      <c r="V377">
        <v>0</v>
      </c>
      <c r="W377" t="s">
        <v>106</v>
      </c>
      <c r="X377" t="s">
        <v>1851</v>
      </c>
      <c r="Y377">
        <v>0</v>
      </c>
      <c r="Z377">
        <v>0</v>
      </c>
      <c r="AA377">
        <v>2007</v>
      </c>
      <c r="AB377">
        <v>9999</v>
      </c>
      <c r="AC377" t="s">
        <v>35</v>
      </c>
    </row>
    <row r="378" spans="1:29" x14ac:dyDescent="0.25">
      <c r="A378" s="31" t="s">
        <v>465</v>
      </c>
      <c r="B378" s="23" t="s">
        <v>466</v>
      </c>
      <c r="C378" t="s">
        <v>467</v>
      </c>
      <c r="D378">
        <v>1</v>
      </c>
      <c r="E378" t="s">
        <v>468</v>
      </c>
      <c r="F378">
        <v>7</v>
      </c>
      <c r="G378">
        <v>2025</v>
      </c>
      <c r="I378" s="8">
        <v>952.16</v>
      </c>
      <c r="J378" t="s">
        <v>40</v>
      </c>
      <c r="K378" t="s">
        <v>32</v>
      </c>
      <c r="M378">
        <v>0</v>
      </c>
      <c r="N378">
        <v>0</v>
      </c>
      <c r="O378">
        <v>0</v>
      </c>
      <c r="P378">
        <v>0</v>
      </c>
      <c r="Q378">
        <v>0</v>
      </c>
      <c r="R378">
        <v>0</v>
      </c>
      <c r="S378">
        <v>1</v>
      </c>
      <c r="T378">
        <v>1</v>
      </c>
      <c r="U378">
        <v>1</v>
      </c>
      <c r="V378">
        <v>0</v>
      </c>
      <c r="W378" s="5" t="s">
        <v>1583</v>
      </c>
      <c r="X378" t="s">
        <v>1872</v>
      </c>
      <c r="Y378">
        <v>0</v>
      </c>
      <c r="Z378">
        <v>0</v>
      </c>
      <c r="AA378">
        <v>2007</v>
      </c>
      <c r="AB378">
        <v>9999</v>
      </c>
      <c r="AC378" t="s">
        <v>35</v>
      </c>
    </row>
    <row r="379" spans="1:29" x14ac:dyDescent="0.25">
      <c r="A379" s="31" t="s">
        <v>478</v>
      </c>
      <c r="B379" s="23" t="s">
        <v>479</v>
      </c>
      <c r="D379">
        <v>1</v>
      </c>
      <c r="E379" t="s">
        <v>348</v>
      </c>
      <c r="F379">
        <v>1</v>
      </c>
      <c r="G379">
        <v>2025</v>
      </c>
      <c r="I379" s="8">
        <v>125.13</v>
      </c>
      <c r="J379" t="s">
        <v>52</v>
      </c>
      <c r="K379" t="s">
        <v>47</v>
      </c>
      <c r="M379">
        <v>1</v>
      </c>
      <c r="N379">
        <v>0</v>
      </c>
      <c r="O379">
        <v>0</v>
      </c>
      <c r="P379">
        <v>0</v>
      </c>
      <c r="Q379">
        <v>0</v>
      </c>
      <c r="R379">
        <v>0</v>
      </c>
      <c r="S379">
        <v>1</v>
      </c>
      <c r="T379">
        <v>1</v>
      </c>
      <c r="U379">
        <v>1</v>
      </c>
      <c r="V379">
        <v>0</v>
      </c>
      <c r="W379" t="s">
        <v>1548</v>
      </c>
      <c r="X379" t="s">
        <v>1716</v>
      </c>
      <c r="Y379">
        <v>1</v>
      </c>
      <c r="Z379">
        <v>0</v>
      </c>
      <c r="AA379">
        <v>2007</v>
      </c>
      <c r="AB379">
        <v>9999</v>
      </c>
      <c r="AC379" t="s">
        <v>35</v>
      </c>
    </row>
    <row r="380" spans="1:29" x14ac:dyDescent="0.25">
      <c r="A380" s="31" t="s">
        <v>481</v>
      </c>
      <c r="B380" s="23" t="s">
        <v>482</v>
      </c>
      <c r="D380">
        <v>1</v>
      </c>
      <c r="E380" t="s">
        <v>348</v>
      </c>
      <c r="F380">
        <v>1</v>
      </c>
      <c r="G380">
        <v>2025</v>
      </c>
      <c r="I380" s="8">
        <v>250.96</v>
      </c>
      <c r="J380" t="s">
        <v>52</v>
      </c>
      <c r="K380" t="s">
        <v>47</v>
      </c>
      <c r="M380">
        <v>1</v>
      </c>
      <c r="N380">
        <v>0</v>
      </c>
      <c r="O380">
        <v>0</v>
      </c>
      <c r="P380">
        <v>0</v>
      </c>
      <c r="Q380">
        <v>0</v>
      </c>
      <c r="R380">
        <v>0</v>
      </c>
      <c r="S380">
        <v>1</v>
      </c>
      <c r="T380">
        <v>1</v>
      </c>
      <c r="U380">
        <v>1</v>
      </c>
      <c r="V380">
        <v>0</v>
      </c>
      <c r="W380" t="s">
        <v>1548</v>
      </c>
      <c r="X380" t="s">
        <v>1716</v>
      </c>
      <c r="Y380">
        <v>2</v>
      </c>
      <c r="Z380">
        <v>0</v>
      </c>
      <c r="AA380">
        <v>2007</v>
      </c>
      <c r="AB380">
        <v>9999</v>
      </c>
      <c r="AC380" t="s">
        <v>35</v>
      </c>
    </row>
    <row r="381" spans="1:29" x14ac:dyDescent="0.25">
      <c r="A381" s="31" t="s">
        <v>483</v>
      </c>
      <c r="B381" s="23" t="s">
        <v>484</v>
      </c>
      <c r="D381">
        <v>1</v>
      </c>
      <c r="E381" t="s">
        <v>348</v>
      </c>
      <c r="F381">
        <v>1</v>
      </c>
      <c r="G381">
        <v>2025</v>
      </c>
      <c r="I381" s="8">
        <v>144.09</v>
      </c>
      <c r="J381" t="s">
        <v>52</v>
      </c>
      <c r="K381" t="s">
        <v>47</v>
      </c>
      <c r="M381">
        <v>1</v>
      </c>
      <c r="N381">
        <v>0</v>
      </c>
      <c r="O381">
        <v>0</v>
      </c>
      <c r="P381">
        <v>0</v>
      </c>
      <c r="Q381">
        <v>0</v>
      </c>
      <c r="R381">
        <v>0</v>
      </c>
      <c r="S381">
        <v>1</v>
      </c>
      <c r="T381">
        <v>1</v>
      </c>
      <c r="U381">
        <v>1</v>
      </c>
      <c r="V381">
        <v>0</v>
      </c>
      <c r="W381" t="s">
        <v>1548</v>
      </c>
      <c r="X381" t="s">
        <v>1716</v>
      </c>
      <c r="Y381">
        <v>1</v>
      </c>
      <c r="Z381">
        <v>0</v>
      </c>
      <c r="AA381">
        <v>2007</v>
      </c>
      <c r="AB381">
        <v>9999</v>
      </c>
      <c r="AC381" t="s">
        <v>35</v>
      </c>
    </row>
    <row r="382" spans="1:29" x14ac:dyDescent="0.25">
      <c r="A382" s="31" t="s">
        <v>485</v>
      </c>
      <c r="B382" s="23" t="s">
        <v>486</v>
      </c>
      <c r="D382">
        <v>1</v>
      </c>
      <c r="E382" t="s">
        <v>348</v>
      </c>
      <c r="F382">
        <v>1</v>
      </c>
      <c r="G382">
        <v>2025</v>
      </c>
      <c r="I382" s="8">
        <v>215.71</v>
      </c>
      <c r="J382" t="s">
        <v>52</v>
      </c>
      <c r="K382" t="s">
        <v>47</v>
      </c>
      <c r="M382">
        <v>1</v>
      </c>
      <c r="N382">
        <v>0</v>
      </c>
      <c r="O382">
        <v>0</v>
      </c>
      <c r="P382">
        <v>0</v>
      </c>
      <c r="Q382">
        <v>0</v>
      </c>
      <c r="R382">
        <v>0</v>
      </c>
      <c r="S382">
        <v>1</v>
      </c>
      <c r="T382">
        <v>1</v>
      </c>
      <c r="U382">
        <v>1</v>
      </c>
      <c r="V382">
        <v>0</v>
      </c>
      <c r="W382" t="s">
        <v>1548</v>
      </c>
      <c r="X382" t="s">
        <v>1716</v>
      </c>
      <c r="Y382">
        <v>1</v>
      </c>
      <c r="Z382">
        <v>0</v>
      </c>
      <c r="AA382">
        <v>2007</v>
      </c>
      <c r="AB382">
        <v>9999</v>
      </c>
      <c r="AC382" t="s">
        <v>35</v>
      </c>
    </row>
    <row r="383" spans="1:29" x14ac:dyDescent="0.25">
      <c r="A383" s="31" t="s">
        <v>487</v>
      </c>
      <c r="B383" s="23" t="s">
        <v>488</v>
      </c>
      <c r="D383">
        <v>1</v>
      </c>
      <c r="E383" t="s">
        <v>348</v>
      </c>
      <c r="F383">
        <v>1</v>
      </c>
      <c r="G383">
        <v>2025</v>
      </c>
      <c r="I383" s="8">
        <v>212.57</v>
      </c>
      <c r="J383" t="s">
        <v>52</v>
      </c>
      <c r="K383" t="s">
        <v>47</v>
      </c>
      <c r="M383">
        <v>1</v>
      </c>
      <c r="N383">
        <v>0</v>
      </c>
      <c r="O383">
        <v>0</v>
      </c>
      <c r="P383">
        <v>0</v>
      </c>
      <c r="Q383">
        <v>0</v>
      </c>
      <c r="R383">
        <v>0</v>
      </c>
      <c r="S383">
        <v>1</v>
      </c>
      <c r="T383">
        <v>1</v>
      </c>
      <c r="U383">
        <v>1</v>
      </c>
      <c r="V383">
        <v>0</v>
      </c>
      <c r="W383" t="s">
        <v>1548</v>
      </c>
      <c r="X383" t="s">
        <v>1716</v>
      </c>
      <c r="Y383">
        <v>2</v>
      </c>
      <c r="Z383">
        <v>0</v>
      </c>
      <c r="AA383">
        <v>2007</v>
      </c>
      <c r="AB383">
        <v>9999</v>
      </c>
      <c r="AC383" t="s">
        <v>35</v>
      </c>
    </row>
    <row r="384" spans="1:29" x14ac:dyDescent="0.25">
      <c r="A384" s="31" t="s">
        <v>489</v>
      </c>
      <c r="B384" s="23" t="s">
        <v>490</v>
      </c>
      <c r="D384">
        <v>1</v>
      </c>
      <c r="E384" t="s">
        <v>348</v>
      </c>
      <c r="F384">
        <v>1</v>
      </c>
      <c r="G384">
        <v>2025</v>
      </c>
      <c r="I384" s="8">
        <v>239.37</v>
      </c>
      <c r="J384" t="s">
        <v>52</v>
      </c>
      <c r="K384" t="s">
        <v>47</v>
      </c>
      <c r="M384">
        <v>1</v>
      </c>
      <c r="N384">
        <v>0</v>
      </c>
      <c r="O384">
        <v>0</v>
      </c>
      <c r="P384">
        <v>0</v>
      </c>
      <c r="Q384">
        <v>0</v>
      </c>
      <c r="R384">
        <v>0</v>
      </c>
      <c r="S384">
        <v>1</v>
      </c>
      <c r="T384">
        <v>1</v>
      </c>
      <c r="U384">
        <v>1</v>
      </c>
      <c r="V384">
        <v>0</v>
      </c>
      <c r="W384" t="s">
        <v>1548</v>
      </c>
      <c r="X384" t="s">
        <v>1716</v>
      </c>
      <c r="Y384">
        <v>2</v>
      </c>
      <c r="Z384">
        <v>0</v>
      </c>
      <c r="AA384">
        <v>2007</v>
      </c>
      <c r="AB384">
        <v>9999</v>
      </c>
      <c r="AC384" t="s">
        <v>35</v>
      </c>
    </row>
    <row r="385" spans="1:29" x14ac:dyDescent="0.25">
      <c r="A385" s="31" t="s">
        <v>491</v>
      </c>
      <c r="B385" s="23" t="s">
        <v>492</v>
      </c>
      <c r="D385">
        <v>1</v>
      </c>
      <c r="E385" t="s">
        <v>348</v>
      </c>
      <c r="F385">
        <v>1</v>
      </c>
      <c r="G385">
        <v>2025</v>
      </c>
      <c r="I385" s="8">
        <v>255.58</v>
      </c>
      <c r="J385" t="s">
        <v>52</v>
      </c>
      <c r="K385" t="s">
        <v>47</v>
      </c>
      <c r="M385">
        <v>1</v>
      </c>
      <c r="N385">
        <v>0</v>
      </c>
      <c r="O385">
        <v>0</v>
      </c>
      <c r="P385">
        <v>0</v>
      </c>
      <c r="Q385">
        <v>0</v>
      </c>
      <c r="R385">
        <v>0</v>
      </c>
      <c r="S385">
        <v>1</v>
      </c>
      <c r="T385">
        <v>1</v>
      </c>
      <c r="U385">
        <v>1</v>
      </c>
      <c r="V385">
        <v>0</v>
      </c>
      <c r="W385" t="s">
        <v>1548</v>
      </c>
      <c r="X385" t="s">
        <v>1716</v>
      </c>
      <c r="Y385">
        <v>1</v>
      </c>
      <c r="Z385">
        <v>0</v>
      </c>
      <c r="AA385">
        <v>2007</v>
      </c>
      <c r="AB385">
        <v>9999</v>
      </c>
      <c r="AC385" t="s">
        <v>35</v>
      </c>
    </row>
    <row r="386" spans="1:29" x14ac:dyDescent="0.25">
      <c r="A386" s="31" t="s">
        <v>493</v>
      </c>
      <c r="B386" s="23" t="s">
        <v>494</v>
      </c>
      <c r="D386">
        <v>1</v>
      </c>
      <c r="E386" t="s">
        <v>348</v>
      </c>
      <c r="F386">
        <v>1</v>
      </c>
      <c r="G386">
        <v>2025</v>
      </c>
      <c r="I386" s="8">
        <v>239.48</v>
      </c>
      <c r="J386" t="s">
        <v>52</v>
      </c>
      <c r="K386" t="s">
        <v>47</v>
      </c>
      <c r="M386">
        <v>1</v>
      </c>
      <c r="N386">
        <v>0</v>
      </c>
      <c r="O386">
        <v>0</v>
      </c>
      <c r="P386">
        <v>0</v>
      </c>
      <c r="Q386">
        <v>0</v>
      </c>
      <c r="R386">
        <v>0</v>
      </c>
      <c r="S386">
        <v>1</v>
      </c>
      <c r="T386">
        <v>1</v>
      </c>
      <c r="U386">
        <v>1</v>
      </c>
      <c r="V386">
        <v>0</v>
      </c>
      <c r="W386" t="s">
        <v>1548</v>
      </c>
      <c r="X386" t="s">
        <v>1716</v>
      </c>
      <c r="Y386">
        <v>3</v>
      </c>
      <c r="Z386">
        <v>0</v>
      </c>
      <c r="AA386">
        <v>2007</v>
      </c>
      <c r="AB386">
        <v>9999</v>
      </c>
      <c r="AC386" t="s">
        <v>35</v>
      </c>
    </row>
    <row r="387" spans="1:29" x14ac:dyDescent="0.25">
      <c r="A387" s="31" t="s">
        <v>495</v>
      </c>
      <c r="B387" s="23" t="s">
        <v>496</v>
      </c>
      <c r="D387">
        <v>1</v>
      </c>
      <c r="E387" t="s">
        <v>348</v>
      </c>
      <c r="F387">
        <v>1</v>
      </c>
      <c r="G387">
        <v>2025</v>
      </c>
      <c r="I387" s="8">
        <v>202.02</v>
      </c>
      <c r="J387" t="s">
        <v>52</v>
      </c>
      <c r="K387" t="s">
        <v>47</v>
      </c>
      <c r="M387">
        <v>1</v>
      </c>
      <c r="N387">
        <v>0</v>
      </c>
      <c r="O387">
        <v>0</v>
      </c>
      <c r="P387">
        <v>0</v>
      </c>
      <c r="Q387">
        <v>0</v>
      </c>
      <c r="R387">
        <v>0</v>
      </c>
      <c r="S387">
        <v>1</v>
      </c>
      <c r="T387">
        <v>1</v>
      </c>
      <c r="U387">
        <v>1</v>
      </c>
      <c r="V387">
        <v>0</v>
      </c>
      <c r="W387" t="s">
        <v>1548</v>
      </c>
      <c r="X387" t="s">
        <v>1716</v>
      </c>
      <c r="Y387">
        <v>1</v>
      </c>
      <c r="Z387">
        <v>0</v>
      </c>
      <c r="AA387">
        <v>2007</v>
      </c>
      <c r="AB387">
        <v>9999</v>
      </c>
      <c r="AC387" t="s">
        <v>35</v>
      </c>
    </row>
    <row r="388" spans="1:29" x14ac:dyDescent="0.25">
      <c r="A388" s="31" t="s">
        <v>497</v>
      </c>
      <c r="B388" s="23" t="s">
        <v>498</v>
      </c>
      <c r="D388">
        <v>1</v>
      </c>
      <c r="E388" t="s">
        <v>348</v>
      </c>
      <c r="F388">
        <v>1</v>
      </c>
      <c r="G388">
        <v>2025</v>
      </c>
      <c r="I388" s="8">
        <v>350.99</v>
      </c>
      <c r="J388" t="s">
        <v>52</v>
      </c>
      <c r="K388" t="s">
        <v>47</v>
      </c>
      <c r="M388">
        <v>1</v>
      </c>
      <c r="N388">
        <v>0</v>
      </c>
      <c r="O388">
        <v>0</v>
      </c>
      <c r="P388">
        <v>0</v>
      </c>
      <c r="Q388">
        <v>0</v>
      </c>
      <c r="R388">
        <v>0</v>
      </c>
      <c r="S388">
        <v>1</v>
      </c>
      <c r="T388">
        <v>1</v>
      </c>
      <c r="U388">
        <v>1</v>
      </c>
      <c r="V388">
        <v>0</v>
      </c>
      <c r="W388" t="s">
        <v>1548</v>
      </c>
      <c r="X388" t="s">
        <v>1716</v>
      </c>
      <c r="Y388">
        <v>4</v>
      </c>
      <c r="Z388">
        <v>1</v>
      </c>
      <c r="AA388">
        <v>2007</v>
      </c>
      <c r="AB388">
        <v>9999</v>
      </c>
      <c r="AC388" t="s">
        <v>35</v>
      </c>
    </row>
    <row r="389" spans="1:29" x14ac:dyDescent="0.25">
      <c r="A389" s="31" t="s">
        <v>499</v>
      </c>
      <c r="B389" s="23" t="s">
        <v>500</v>
      </c>
      <c r="D389">
        <v>1</v>
      </c>
      <c r="E389" t="s">
        <v>348</v>
      </c>
      <c r="F389">
        <v>1</v>
      </c>
      <c r="G389">
        <v>2025</v>
      </c>
      <c r="I389" s="8">
        <v>550.38</v>
      </c>
      <c r="J389" t="s">
        <v>52</v>
      </c>
      <c r="K389" t="s">
        <v>47</v>
      </c>
      <c r="M389">
        <v>1</v>
      </c>
      <c r="N389">
        <v>0</v>
      </c>
      <c r="O389">
        <v>0</v>
      </c>
      <c r="P389">
        <v>0</v>
      </c>
      <c r="Q389">
        <v>0</v>
      </c>
      <c r="R389">
        <v>0</v>
      </c>
      <c r="S389">
        <v>1</v>
      </c>
      <c r="T389">
        <v>1</v>
      </c>
      <c r="U389">
        <v>1</v>
      </c>
      <c r="V389">
        <v>0</v>
      </c>
      <c r="W389" t="s">
        <v>1548</v>
      </c>
      <c r="X389" t="s">
        <v>1716</v>
      </c>
      <c r="Y389">
        <v>2</v>
      </c>
      <c r="Z389">
        <v>0</v>
      </c>
      <c r="AA389">
        <v>2007</v>
      </c>
      <c r="AB389">
        <v>9999</v>
      </c>
      <c r="AC389" t="s">
        <v>35</v>
      </c>
    </row>
    <row r="390" spans="1:29" x14ac:dyDescent="0.25">
      <c r="A390" s="31" t="s">
        <v>501</v>
      </c>
      <c r="B390" s="23" t="s">
        <v>502</v>
      </c>
      <c r="D390">
        <v>1</v>
      </c>
      <c r="E390" t="s">
        <v>348</v>
      </c>
      <c r="F390">
        <v>1</v>
      </c>
      <c r="G390">
        <v>2025</v>
      </c>
      <c r="I390" s="8">
        <v>503.38</v>
      </c>
      <c r="J390" t="s">
        <v>52</v>
      </c>
      <c r="K390" t="s">
        <v>47</v>
      </c>
      <c r="M390">
        <v>1</v>
      </c>
      <c r="N390">
        <v>0</v>
      </c>
      <c r="O390">
        <v>0</v>
      </c>
      <c r="P390">
        <v>0</v>
      </c>
      <c r="Q390">
        <v>0</v>
      </c>
      <c r="R390">
        <v>0</v>
      </c>
      <c r="S390">
        <v>1</v>
      </c>
      <c r="T390">
        <v>1</v>
      </c>
      <c r="U390">
        <v>1</v>
      </c>
      <c r="V390">
        <v>0</v>
      </c>
      <c r="W390" t="s">
        <v>1548</v>
      </c>
      <c r="X390" t="s">
        <v>1716</v>
      </c>
      <c r="Y390">
        <v>2</v>
      </c>
      <c r="Z390">
        <v>0</v>
      </c>
      <c r="AA390">
        <v>2007</v>
      </c>
      <c r="AB390">
        <v>9999</v>
      </c>
      <c r="AC390" t="s">
        <v>35</v>
      </c>
    </row>
    <row r="391" spans="1:29" x14ac:dyDescent="0.25">
      <c r="A391" s="31" t="s">
        <v>503</v>
      </c>
      <c r="B391" s="23" t="s">
        <v>504</v>
      </c>
      <c r="D391">
        <v>1</v>
      </c>
      <c r="E391" t="s">
        <v>348</v>
      </c>
      <c r="F391">
        <v>1</v>
      </c>
      <c r="G391">
        <v>2025</v>
      </c>
      <c r="I391" s="8">
        <v>180.69</v>
      </c>
      <c r="J391" t="s">
        <v>52</v>
      </c>
      <c r="K391" t="s">
        <v>47</v>
      </c>
      <c r="M391">
        <v>1</v>
      </c>
      <c r="N391">
        <v>0</v>
      </c>
      <c r="O391">
        <v>0</v>
      </c>
      <c r="P391">
        <v>0</v>
      </c>
      <c r="Q391">
        <v>0</v>
      </c>
      <c r="R391">
        <v>0</v>
      </c>
      <c r="S391">
        <v>1</v>
      </c>
      <c r="T391">
        <v>1</v>
      </c>
      <c r="U391">
        <v>1</v>
      </c>
      <c r="V391">
        <v>0</v>
      </c>
      <c r="W391" t="s">
        <v>1548</v>
      </c>
      <c r="X391" t="s">
        <v>1716</v>
      </c>
      <c r="Y391">
        <v>1</v>
      </c>
      <c r="Z391">
        <v>0</v>
      </c>
      <c r="AA391">
        <v>2007</v>
      </c>
      <c r="AB391">
        <v>9999</v>
      </c>
      <c r="AC391" t="s">
        <v>35</v>
      </c>
    </row>
    <row r="392" spans="1:29" x14ac:dyDescent="0.25">
      <c r="A392" s="31" t="s">
        <v>505</v>
      </c>
      <c r="B392" s="23" t="s">
        <v>506</v>
      </c>
      <c r="D392">
        <v>1</v>
      </c>
      <c r="E392" t="s">
        <v>348</v>
      </c>
      <c r="F392">
        <v>1</v>
      </c>
      <c r="G392">
        <v>2025</v>
      </c>
      <c r="I392" s="8">
        <v>225.33</v>
      </c>
      <c r="J392" t="s">
        <v>52</v>
      </c>
      <c r="K392" t="s">
        <v>47</v>
      </c>
      <c r="M392">
        <v>1</v>
      </c>
      <c r="N392">
        <v>0</v>
      </c>
      <c r="O392">
        <v>0</v>
      </c>
      <c r="P392">
        <v>0</v>
      </c>
      <c r="Q392">
        <v>0</v>
      </c>
      <c r="R392">
        <v>0</v>
      </c>
      <c r="S392">
        <v>1</v>
      </c>
      <c r="T392">
        <v>1</v>
      </c>
      <c r="U392">
        <v>1</v>
      </c>
      <c r="V392">
        <v>0</v>
      </c>
      <c r="W392" t="s">
        <v>1548</v>
      </c>
      <c r="X392" t="s">
        <v>1716</v>
      </c>
      <c r="Y392">
        <v>2</v>
      </c>
      <c r="Z392">
        <v>0</v>
      </c>
      <c r="AA392">
        <v>2007</v>
      </c>
      <c r="AB392">
        <v>9999</v>
      </c>
      <c r="AC392" t="s">
        <v>35</v>
      </c>
    </row>
    <row r="393" spans="1:29" x14ac:dyDescent="0.25">
      <c r="A393" s="31" t="s">
        <v>507</v>
      </c>
      <c r="B393" s="23" t="s">
        <v>508</v>
      </c>
      <c r="D393">
        <v>1</v>
      </c>
      <c r="E393" t="s">
        <v>348</v>
      </c>
      <c r="F393">
        <v>1</v>
      </c>
      <c r="G393">
        <v>2025</v>
      </c>
      <c r="I393" s="8">
        <v>220.6</v>
      </c>
      <c r="J393" t="s">
        <v>52</v>
      </c>
      <c r="K393" t="s">
        <v>47</v>
      </c>
      <c r="M393">
        <v>1</v>
      </c>
      <c r="N393">
        <v>0</v>
      </c>
      <c r="O393">
        <v>0</v>
      </c>
      <c r="P393">
        <v>0</v>
      </c>
      <c r="Q393">
        <v>0</v>
      </c>
      <c r="R393">
        <v>0</v>
      </c>
      <c r="S393">
        <v>1</v>
      </c>
      <c r="T393">
        <v>1</v>
      </c>
      <c r="U393">
        <v>1</v>
      </c>
      <c r="V393">
        <v>0</v>
      </c>
      <c r="W393" t="s">
        <v>1548</v>
      </c>
      <c r="X393" t="s">
        <v>1716</v>
      </c>
      <c r="Y393">
        <v>1</v>
      </c>
      <c r="Z393">
        <v>0</v>
      </c>
      <c r="AA393">
        <v>2007</v>
      </c>
      <c r="AB393">
        <v>9999</v>
      </c>
      <c r="AC393" t="s">
        <v>35</v>
      </c>
    </row>
    <row r="394" spans="1:29" x14ac:dyDescent="0.25">
      <c r="A394" s="31" t="s">
        <v>509</v>
      </c>
      <c r="B394" s="23" t="s">
        <v>510</v>
      </c>
      <c r="D394">
        <v>1</v>
      </c>
      <c r="E394" t="s">
        <v>348</v>
      </c>
      <c r="F394">
        <v>1</v>
      </c>
      <c r="G394">
        <v>2025</v>
      </c>
      <c r="I394" s="8">
        <v>282.31</v>
      </c>
      <c r="J394" t="s">
        <v>52</v>
      </c>
      <c r="K394" t="s">
        <v>47</v>
      </c>
      <c r="M394">
        <v>1</v>
      </c>
      <c r="N394">
        <v>0</v>
      </c>
      <c r="O394">
        <v>0</v>
      </c>
      <c r="P394">
        <v>0</v>
      </c>
      <c r="Q394">
        <v>0</v>
      </c>
      <c r="R394">
        <v>0</v>
      </c>
      <c r="S394">
        <v>1</v>
      </c>
      <c r="T394">
        <v>1</v>
      </c>
      <c r="U394">
        <v>1</v>
      </c>
      <c r="V394">
        <v>0</v>
      </c>
      <c r="W394" t="s">
        <v>1548</v>
      </c>
      <c r="X394" t="s">
        <v>1716</v>
      </c>
      <c r="Y394">
        <v>3</v>
      </c>
      <c r="Z394">
        <v>0</v>
      </c>
      <c r="AA394">
        <v>2007</v>
      </c>
      <c r="AB394">
        <v>9999</v>
      </c>
      <c r="AC394" t="s">
        <v>35</v>
      </c>
    </row>
    <row r="395" spans="1:29" x14ac:dyDescent="0.25">
      <c r="A395" s="31" t="s">
        <v>511</v>
      </c>
      <c r="B395" s="23" t="s">
        <v>512</v>
      </c>
      <c r="D395">
        <v>1</v>
      </c>
      <c r="E395" t="s">
        <v>348</v>
      </c>
      <c r="F395">
        <v>1</v>
      </c>
      <c r="G395">
        <v>2025</v>
      </c>
      <c r="I395" s="8">
        <v>227.7</v>
      </c>
      <c r="J395" t="s">
        <v>52</v>
      </c>
      <c r="K395" t="s">
        <v>47</v>
      </c>
      <c r="M395">
        <v>1</v>
      </c>
      <c r="N395">
        <v>0</v>
      </c>
      <c r="O395">
        <v>0</v>
      </c>
      <c r="P395">
        <v>0</v>
      </c>
      <c r="Q395">
        <v>0</v>
      </c>
      <c r="R395">
        <v>0</v>
      </c>
      <c r="S395">
        <v>1</v>
      </c>
      <c r="T395">
        <v>1</v>
      </c>
      <c r="U395">
        <v>1</v>
      </c>
      <c r="V395">
        <v>0</v>
      </c>
      <c r="W395" t="s">
        <v>1548</v>
      </c>
      <c r="X395" t="s">
        <v>1716</v>
      </c>
      <c r="Y395">
        <v>3</v>
      </c>
      <c r="Z395">
        <v>0</v>
      </c>
      <c r="AA395">
        <v>2007</v>
      </c>
      <c r="AB395">
        <v>9999</v>
      </c>
      <c r="AC395" t="s">
        <v>35</v>
      </c>
    </row>
    <row r="396" spans="1:29" x14ac:dyDescent="0.25">
      <c r="A396" s="31" t="s">
        <v>513</v>
      </c>
      <c r="B396" s="23" t="s">
        <v>514</v>
      </c>
      <c r="D396">
        <v>1</v>
      </c>
      <c r="E396" t="s">
        <v>348</v>
      </c>
      <c r="F396">
        <v>1</v>
      </c>
      <c r="G396">
        <v>2025</v>
      </c>
      <c r="I396" s="8">
        <v>189.36</v>
      </c>
      <c r="J396" t="s">
        <v>52</v>
      </c>
      <c r="K396" t="s">
        <v>47</v>
      </c>
      <c r="M396">
        <v>1</v>
      </c>
      <c r="N396">
        <v>0</v>
      </c>
      <c r="O396">
        <v>0</v>
      </c>
      <c r="P396">
        <v>0</v>
      </c>
      <c r="Q396">
        <v>0</v>
      </c>
      <c r="R396">
        <v>0</v>
      </c>
      <c r="S396">
        <v>1</v>
      </c>
      <c r="T396">
        <v>1</v>
      </c>
      <c r="U396">
        <v>1</v>
      </c>
      <c r="V396">
        <v>0</v>
      </c>
      <c r="W396" t="s">
        <v>1548</v>
      </c>
      <c r="X396" t="s">
        <v>1716</v>
      </c>
      <c r="Y396">
        <v>2</v>
      </c>
      <c r="Z396">
        <v>0</v>
      </c>
      <c r="AA396">
        <v>2007</v>
      </c>
      <c r="AB396">
        <v>9999</v>
      </c>
      <c r="AC396" t="s">
        <v>35</v>
      </c>
    </row>
    <row r="397" spans="1:29" x14ac:dyDescent="0.25">
      <c r="A397" s="31" t="s">
        <v>515</v>
      </c>
      <c r="B397" s="23" t="s">
        <v>516</v>
      </c>
      <c r="D397">
        <v>1</v>
      </c>
      <c r="E397" t="s">
        <v>348</v>
      </c>
      <c r="F397">
        <v>1</v>
      </c>
      <c r="G397">
        <v>2025</v>
      </c>
      <c r="I397" s="8">
        <v>1001.19</v>
      </c>
      <c r="J397" t="s">
        <v>52</v>
      </c>
      <c r="K397" t="s">
        <v>47</v>
      </c>
      <c r="M397">
        <v>1</v>
      </c>
      <c r="N397">
        <v>0</v>
      </c>
      <c r="O397">
        <v>0</v>
      </c>
      <c r="P397">
        <v>0</v>
      </c>
      <c r="Q397">
        <v>0</v>
      </c>
      <c r="R397">
        <v>0</v>
      </c>
      <c r="S397">
        <v>1</v>
      </c>
      <c r="T397">
        <v>1</v>
      </c>
      <c r="U397">
        <v>1</v>
      </c>
      <c r="V397">
        <v>0</v>
      </c>
      <c r="W397" t="s">
        <v>1548</v>
      </c>
      <c r="X397" t="s">
        <v>1716</v>
      </c>
      <c r="Y397">
        <v>3</v>
      </c>
      <c r="Z397">
        <v>0</v>
      </c>
      <c r="AA397">
        <v>2007</v>
      </c>
      <c r="AB397">
        <v>9999</v>
      </c>
      <c r="AC397" t="s">
        <v>35</v>
      </c>
    </row>
    <row r="398" spans="1:29" x14ac:dyDescent="0.25">
      <c r="A398" s="31" t="s">
        <v>517</v>
      </c>
      <c r="B398" s="23" t="s">
        <v>518</v>
      </c>
      <c r="D398">
        <v>1</v>
      </c>
      <c r="E398" t="s">
        <v>348</v>
      </c>
      <c r="F398">
        <v>1</v>
      </c>
      <c r="G398">
        <v>2025</v>
      </c>
      <c r="I398" s="8">
        <v>215.48</v>
      </c>
      <c r="J398" t="s">
        <v>52</v>
      </c>
      <c r="K398" t="s">
        <v>47</v>
      </c>
      <c r="M398">
        <v>1</v>
      </c>
      <c r="N398">
        <v>0</v>
      </c>
      <c r="O398">
        <v>0</v>
      </c>
      <c r="P398">
        <v>0</v>
      </c>
      <c r="Q398">
        <v>0</v>
      </c>
      <c r="R398">
        <v>0</v>
      </c>
      <c r="S398">
        <v>1</v>
      </c>
      <c r="T398">
        <v>1</v>
      </c>
      <c r="U398">
        <v>1</v>
      </c>
      <c r="V398">
        <v>0</v>
      </c>
      <c r="W398" t="s">
        <v>1548</v>
      </c>
      <c r="X398" t="s">
        <v>1716</v>
      </c>
      <c r="Y398">
        <v>3</v>
      </c>
      <c r="Z398">
        <v>0</v>
      </c>
      <c r="AA398">
        <v>2007</v>
      </c>
      <c r="AB398">
        <v>9999</v>
      </c>
      <c r="AC398" t="s">
        <v>35</v>
      </c>
    </row>
    <row r="399" spans="1:29" x14ac:dyDescent="0.25">
      <c r="A399" s="31" t="s">
        <v>519</v>
      </c>
      <c r="B399" s="23" t="s">
        <v>520</v>
      </c>
      <c r="D399">
        <v>1</v>
      </c>
      <c r="E399" t="s">
        <v>348</v>
      </c>
      <c r="F399">
        <v>1</v>
      </c>
      <c r="G399">
        <v>2025</v>
      </c>
      <c r="I399" s="8">
        <v>332.27</v>
      </c>
      <c r="J399" t="s">
        <v>52</v>
      </c>
      <c r="K399" t="s">
        <v>47</v>
      </c>
      <c r="M399">
        <v>1</v>
      </c>
      <c r="N399">
        <v>0</v>
      </c>
      <c r="O399">
        <v>0</v>
      </c>
      <c r="P399">
        <v>0</v>
      </c>
      <c r="Q399">
        <v>0</v>
      </c>
      <c r="R399">
        <v>0</v>
      </c>
      <c r="S399">
        <v>1</v>
      </c>
      <c r="T399">
        <v>1</v>
      </c>
      <c r="U399">
        <v>1</v>
      </c>
      <c r="V399">
        <v>0</v>
      </c>
      <c r="W399" t="s">
        <v>1548</v>
      </c>
      <c r="X399" t="s">
        <v>1716</v>
      </c>
      <c r="Y399">
        <v>2</v>
      </c>
      <c r="Z399">
        <v>0</v>
      </c>
      <c r="AA399">
        <v>2007</v>
      </c>
      <c r="AB399">
        <v>9999</v>
      </c>
      <c r="AC399" t="s">
        <v>35</v>
      </c>
    </row>
    <row r="400" spans="1:29" x14ac:dyDescent="0.25">
      <c r="A400" s="31" t="s">
        <v>523</v>
      </c>
      <c r="B400" s="23" t="s">
        <v>1549</v>
      </c>
      <c r="D400">
        <v>1</v>
      </c>
      <c r="E400" t="s">
        <v>103</v>
      </c>
      <c r="F400">
        <v>9</v>
      </c>
      <c r="G400">
        <v>2025</v>
      </c>
      <c r="I400" s="8">
        <v>1653.95</v>
      </c>
      <c r="J400" t="s">
        <v>104</v>
      </c>
      <c r="K400" t="s">
        <v>53</v>
      </c>
      <c r="L400" t="s">
        <v>105</v>
      </c>
      <c r="M400">
        <v>0</v>
      </c>
      <c r="N400">
        <v>0</v>
      </c>
      <c r="O400">
        <v>0</v>
      </c>
      <c r="P400">
        <v>1</v>
      </c>
      <c r="Q400">
        <v>0</v>
      </c>
      <c r="R400">
        <v>0</v>
      </c>
      <c r="S400">
        <v>1</v>
      </c>
      <c r="T400">
        <v>1</v>
      </c>
      <c r="U400">
        <v>1</v>
      </c>
      <c r="V400">
        <v>0</v>
      </c>
      <c r="W400" t="s">
        <v>106</v>
      </c>
      <c r="X400" t="s">
        <v>1851</v>
      </c>
      <c r="Y400">
        <v>0</v>
      </c>
      <c r="Z400">
        <v>0</v>
      </c>
      <c r="AA400">
        <v>2007</v>
      </c>
      <c r="AB400">
        <v>9999</v>
      </c>
      <c r="AC400" t="s">
        <v>35</v>
      </c>
    </row>
    <row r="401" spans="1:29" x14ac:dyDescent="0.25">
      <c r="A401" s="31" t="s">
        <v>1362</v>
      </c>
      <c r="B401" s="23" t="s">
        <v>1717</v>
      </c>
      <c r="D401">
        <v>1</v>
      </c>
      <c r="E401" s="18" t="s">
        <v>631</v>
      </c>
      <c r="F401">
        <v>8</v>
      </c>
      <c r="G401">
        <v>2025</v>
      </c>
      <c r="I401" s="8">
        <v>60.25</v>
      </c>
      <c r="J401" t="s">
        <v>81</v>
      </c>
      <c r="K401" t="s">
        <v>47</v>
      </c>
      <c r="M401">
        <v>1</v>
      </c>
      <c r="N401">
        <v>0</v>
      </c>
      <c r="O401">
        <v>0</v>
      </c>
      <c r="P401">
        <v>0</v>
      </c>
      <c r="Q401">
        <v>0</v>
      </c>
      <c r="R401">
        <v>0</v>
      </c>
      <c r="S401">
        <v>1</v>
      </c>
      <c r="T401">
        <v>1</v>
      </c>
      <c r="U401">
        <v>1</v>
      </c>
      <c r="V401">
        <v>0</v>
      </c>
      <c r="W401" t="s">
        <v>1718</v>
      </c>
      <c r="X401" t="s">
        <v>1873</v>
      </c>
      <c r="Y401">
        <v>2</v>
      </c>
      <c r="Z401">
        <v>0</v>
      </c>
      <c r="AA401">
        <v>2024</v>
      </c>
      <c r="AB401">
        <v>9999</v>
      </c>
      <c r="AC401" t="s">
        <v>1720</v>
      </c>
    </row>
    <row r="402" spans="1:29" x14ac:dyDescent="0.25">
      <c r="A402" s="31" t="s">
        <v>529</v>
      </c>
      <c r="B402" s="23" t="s">
        <v>530</v>
      </c>
      <c r="D402">
        <v>1</v>
      </c>
      <c r="E402" t="s">
        <v>58</v>
      </c>
      <c r="F402">
        <v>4</v>
      </c>
      <c r="G402">
        <v>2025</v>
      </c>
      <c r="I402" s="8">
        <v>12.5</v>
      </c>
      <c r="J402" t="s">
        <v>59</v>
      </c>
      <c r="K402" t="s">
        <v>47</v>
      </c>
      <c r="M402">
        <v>1</v>
      </c>
      <c r="N402">
        <v>0</v>
      </c>
      <c r="O402">
        <v>0</v>
      </c>
      <c r="P402">
        <v>0</v>
      </c>
      <c r="Q402">
        <v>0</v>
      </c>
      <c r="R402">
        <v>0</v>
      </c>
      <c r="S402">
        <v>1</v>
      </c>
      <c r="T402">
        <v>1</v>
      </c>
      <c r="U402">
        <v>1</v>
      </c>
      <c r="V402">
        <v>0</v>
      </c>
      <c r="W402" t="s">
        <v>1121</v>
      </c>
      <c r="X402" t="s">
        <v>1874</v>
      </c>
      <c r="Y402">
        <v>0</v>
      </c>
      <c r="Z402">
        <v>0</v>
      </c>
      <c r="AA402">
        <v>2007</v>
      </c>
      <c r="AB402">
        <v>9999</v>
      </c>
      <c r="AC402" t="s">
        <v>35</v>
      </c>
    </row>
    <row r="403" spans="1:29" x14ac:dyDescent="0.25">
      <c r="A403" s="31" t="s">
        <v>532</v>
      </c>
      <c r="B403" s="23" t="s">
        <v>533</v>
      </c>
      <c r="D403">
        <v>1</v>
      </c>
      <c r="E403" t="s">
        <v>534</v>
      </c>
      <c r="F403">
        <v>10</v>
      </c>
      <c r="G403">
        <v>2025</v>
      </c>
      <c r="I403" s="8">
        <v>5021.8599999999997</v>
      </c>
      <c r="J403" t="s">
        <v>121</v>
      </c>
      <c r="K403" t="s">
        <v>47</v>
      </c>
      <c r="M403">
        <v>1</v>
      </c>
      <c r="N403">
        <v>1</v>
      </c>
      <c r="O403">
        <v>0</v>
      </c>
      <c r="P403">
        <v>0</v>
      </c>
      <c r="Q403">
        <v>0</v>
      </c>
      <c r="R403">
        <v>0</v>
      </c>
      <c r="S403">
        <v>1</v>
      </c>
      <c r="T403">
        <v>1</v>
      </c>
      <c r="U403">
        <v>1</v>
      </c>
      <c r="V403">
        <v>0</v>
      </c>
      <c r="W403" t="s">
        <v>1575</v>
      </c>
      <c r="X403" t="s">
        <v>1875</v>
      </c>
      <c r="Y403">
        <v>0</v>
      </c>
      <c r="Z403">
        <v>1</v>
      </c>
      <c r="AA403">
        <v>2007</v>
      </c>
      <c r="AB403">
        <v>9999</v>
      </c>
      <c r="AC403" t="s">
        <v>35</v>
      </c>
    </row>
    <row r="404" spans="1:29" x14ac:dyDescent="0.25">
      <c r="A404" s="31" t="s">
        <v>536</v>
      </c>
      <c r="B404" s="23" t="s">
        <v>537</v>
      </c>
      <c r="D404">
        <v>1</v>
      </c>
      <c r="E404" t="s">
        <v>103</v>
      </c>
      <c r="F404">
        <v>9</v>
      </c>
      <c r="G404">
        <v>2025</v>
      </c>
      <c r="I404" s="8">
        <v>958.81</v>
      </c>
      <c r="J404" t="s">
        <v>104</v>
      </c>
      <c r="K404" t="s">
        <v>53</v>
      </c>
      <c r="L404" t="s">
        <v>105</v>
      </c>
      <c r="M404">
        <v>0</v>
      </c>
      <c r="N404">
        <v>0</v>
      </c>
      <c r="O404">
        <v>0</v>
      </c>
      <c r="P404">
        <v>1</v>
      </c>
      <c r="Q404">
        <v>0</v>
      </c>
      <c r="R404">
        <v>0</v>
      </c>
      <c r="S404">
        <v>1</v>
      </c>
      <c r="T404">
        <v>1</v>
      </c>
      <c r="U404">
        <v>1</v>
      </c>
      <c r="V404">
        <v>0</v>
      </c>
      <c r="W404" t="s">
        <v>106</v>
      </c>
      <c r="X404" t="s">
        <v>1851</v>
      </c>
      <c r="Y404">
        <v>0</v>
      </c>
      <c r="Z404">
        <v>0</v>
      </c>
      <c r="AA404">
        <v>2007</v>
      </c>
      <c r="AB404">
        <v>9999</v>
      </c>
      <c r="AC404" t="s">
        <v>35</v>
      </c>
    </row>
    <row r="405" spans="1:29" x14ac:dyDescent="0.25">
      <c r="A405" s="31" t="s">
        <v>538</v>
      </c>
      <c r="B405" s="23" t="s">
        <v>539</v>
      </c>
      <c r="D405">
        <v>1</v>
      </c>
      <c r="E405" t="s">
        <v>80</v>
      </c>
      <c r="F405">
        <v>8</v>
      </c>
      <c r="G405">
        <v>2025</v>
      </c>
      <c r="I405" s="8">
        <v>134.82</v>
      </c>
      <c r="J405" t="s">
        <v>81</v>
      </c>
      <c r="K405" t="s">
        <v>47</v>
      </c>
      <c r="M405">
        <v>0</v>
      </c>
      <c r="N405">
        <v>0</v>
      </c>
      <c r="O405">
        <v>0</v>
      </c>
      <c r="P405">
        <v>0</v>
      </c>
      <c r="Q405">
        <v>0</v>
      </c>
      <c r="R405">
        <v>0</v>
      </c>
      <c r="S405">
        <v>1</v>
      </c>
      <c r="T405">
        <v>1</v>
      </c>
      <c r="U405">
        <v>1</v>
      </c>
      <c r="V405">
        <v>0</v>
      </c>
      <c r="W405" t="s">
        <v>1123</v>
      </c>
      <c r="X405" t="s">
        <v>1723</v>
      </c>
      <c r="Y405">
        <v>0</v>
      </c>
      <c r="Z405">
        <v>0</v>
      </c>
      <c r="AA405">
        <v>2007</v>
      </c>
      <c r="AB405">
        <v>9999</v>
      </c>
      <c r="AC405" t="s">
        <v>35</v>
      </c>
    </row>
    <row r="406" spans="1:29" x14ac:dyDescent="0.25">
      <c r="A406" s="31" t="s">
        <v>1561</v>
      </c>
      <c r="B406" s="23" t="s">
        <v>1562</v>
      </c>
      <c r="C406" t="s">
        <v>1563</v>
      </c>
      <c r="D406">
        <v>1</v>
      </c>
      <c r="E406" s="18"/>
      <c r="F406">
        <v>4</v>
      </c>
      <c r="G406">
        <v>2025</v>
      </c>
      <c r="I406" s="8">
        <v>23.7</v>
      </c>
      <c r="J406" t="s">
        <v>59</v>
      </c>
      <c r="K406" t="s">
        <v>47</v>
      </c>
      <c r="M406">
        <v>1</v>
      </c>
      <c r="N406">
        <v>0</v>
      </c>
      <c r="O406">
        <v>0</v>
      </c>
      <c r="P406">
        <v>0</v>
      </c>
      <c r="Q406">
        <v>0</v>
      </c>
      <c r="R406">
        <v>0</v>
      </c>
      <c r="S406">
        <v>1</v>
      </c>
      <c r="T406">
        <v>1</v>
      </c>
      <c r="U406">
        <v>1</v>
      </c>
      <c r="V406">
        <v>0</v>
      </c>
      <c r="W406" t="s">
        <v>1564</v>
      </c>
      <c r="X406" t="s">
        <v>1724</v>
      </c>
      <c r="Y406">
        <v>0</v>
      </c>
      <c r="Z406">
        <v>0</v>
      </c>
      <c r="AA406">
        <v>2019</v>
      </c>
      <c r="AB406">
        <v>2025</v>
      </c>
      <c r="AC406" t="s">
        <v>2056</v>
      </c>
    </row>
    <row r="407" spans="1:29" x14ac:dyDescent="0.25">
      <c r="A407" s="31" t="s">
        <v>541</v>
      </c>
      <c r="B407" s="23" t="s">
        <v>1479</v>
      </c>
      <c r="D407">
        <v>1</v>
      </c>
      <c r="E407" t="s">
        <v>543</v>
      </c>
      <c r="F407">
        <v>10</v>
      </c>
      <c r="G407">
        <v>2025</v>
      </c>
      <c r="I407" s="8">
        <v>47.75</v>
      </c>
      <c r="J407" t="s">
        <v>40</v>
      </c>
      <c r="K407" t="s">
        <v>47</v>
      </c>
      <c r="M407">
        <v>1</v>
      </c>
      <c r="N407">
        <v>0</v>
      </c>
      <c r="O407">
        <v>0</v>
      </c>
      <c r="P407">
        <v>0</v>
      </c>
      <c r="Q407">
        <v>0</v>
      </c>
      <c r="R407">
        <v>0</v>
      </c>
      <c r="S407">
        <v>1</v>
      </c>
      <c r="T407">
        <v>1</v>
      </c>
      <c r="U407">
        <v>1</v>
      </c>
      <c r="V407">
        <v>0</v>
      </c>
      <c r="W407" t="s">
        <v>1725</v>
      </c>
      <c r="X407" t="s">
        <v>1726</v>
      </c>
      <c r="Y407">
        <v>0</v>
      </c>
      <c r="Z407">
        <v>1</v>
      </c>
      <c r="AA407">
        <v>2007</v>
      </c>
      <c r="AB407">
        <v>9999</v>
      </c>
      <c r="AC407" t="s">
        <v>35</v>
      </c>
    </row>
    <row r="408" spans="1:29" x14ac:dyDescent="0.25">
      <c r="A408" s="31" t="s">
        <v>1565</v>
      </c>
      <c r="B408" s="23" t="s">
        <v>1566</v>
      </c>
      <c r="C408" t="s">
        <v>1567</v>
      </c>
      <c r="D408">
        <v>1</v>
      </c>
      <c r="E408" s="18"/>
      <c r="F408">
        <v>1</v>
      </c>
      <c r="G408">
        <v>2025</v>
      </c>
      <c r="I408" s="8">
        <v>153.6</v>
      </c>
      <c r="J408" t="s">
        <v>52</v>
      </c>
      <c r="K408" t="s">
        <v>47</v>
      </c>
      <c r="M408">
        <v>0</v>
      </c>
      <c r="N408">
        <v>0</v>
      </c>
      <c r="O408">
        <v>0</v>
      </c>
      <c r="P408">
        <v>0</v>
      </c>
      <c r="Q408">
        <v>0</v>
      </c>
      <c r="R408">
        <v>0</v>
      </c>
      <c r="S408">
        <v>1</v>
      </c>
      <c r="T408">
        <v>1</v>
      </c>
      <c r="U408">
        <v>1</v>
      </c>
      <c r="V408">
        <v>0</v>
      </c>
      <c r="W408" t="s">
        <v>1568</v>
      </c>
      <c r="X408" t="s">
        <v>1876</v>
      </c>
      <c r="Y408">
        <v>0</v>
      </c>
      <c r="Z408">
        <v>1</v>
      </c>
      <c r="AA408">
        <v>2019</v>
      </c>
      <c r="AB408">
        <v>9999</v>
      </c>
      <c r="AC408" t="s">
        <v>1560</v>
      </c>
    </row>
    <row r="409" spans="1:29" x14ac:dyDescent="0.25">
      <c r="A409" s="31" t="s">
        <v>545</v>
      </c>
      <c r="B409" s="23" t="s">
        <v>1481</v>
      </c>
      <c r="C409" t="s">
        <v>1482</v>
      </c>
      <c r="D409">
        <v>1</v>
      </c>
      <c r="E409" t="s">
        <v>1361</v>
      </c>
      <c r="F409">
        <v>10</v>
      </c>
      <c r="G409">
        <v>2025</v>
      </c>
      <c r="I409" s="8">
        <v>37.950000000000003</v>
      </c>
      <c r="J409" t="s">
        <v>40</v>
      </c>
      <c r="K409" t="s">
        <v>47</v>
      </c>
      <c r="M409">
        <v>1</v>
      </c>
      <c r="N409">
        <v>0</v>
      </c>
      <c r="O409">
        <v>0</v>
      </c>
      <c r="P409">
        <v>0</v>
      </c>
      <c r="Q409">
        <v>0</v>
      </c>
      <c r="R409">
        <v>0</v>
      </c>
      <c r="S409">
        <v>1</v>
      </c>
      <c r="T409">
        <v>1</v>
      </c>
      <c r="U409">
        <v>1</v>
      </c>
      <c r="V409">
        <v>0</v>
      </c>
      <c r="W409" t="s">
        <v>1550</v>
      </c>
      <c r="X409" t="s">
        <v>1728</v>
      </c>
      <c r="Y409">
        <v>0</v>
      </c>
      <c r="Z409">
        <v>0</v>
      </c>
      <c r="AA409">
        <v>2007</v>
      </c>
      <c r="AB409">
        <v>9999</v>
      </c>
      <c r="AC409" t="s">
        <v>35</v>
      </c>
    </row>
    <row r="410" spans="1:29" x14ac:dyDescent="0.25">
      <c r="A410" s="31" t="s">
        <v>1400</v>
      </c>
      <c r="B410" s="23" t="s">
        <v>1401</v>
      </c>
      <c r="D410">
        <v>1</v>
      </c>
      <c r="E410" t="s">
        <v>80</v>
      </c>
      <c r="F410">
        <v>8</v>
      </c>
      <c r="G410">
        <v>2025</v>
      </c>
      <c r="I410" s="8">
        <v>13.35</v>
      </c>
      <c r="J410" t="s">
        <v>81</v>
      </c>
      <c r="K410" t="s">
        <v>47</v>
      </c>
      <c r="M410">
        <v>1</v>
      </c>
      <c r="N410">
        <v>0</v>
      </c>
      <c r="O410">
        <v>0</v>
      </c>
      <c r="P410">
        <v>0</v>
      </c>
      <c r="Q410">
        <v>0</v>
      </c>
      <c r="R410">
        <v>0</v>
      </c>
      <c r="S410">
        <v>1</v>
      </c>
      <c r="T410">
        <v>1</v>
      </c>
      <c r="U410">
        <v>1</v>
      </c>
      <c r="V410">
        <v>0</v>
      </c>
      <c r="W410" t="s">
        <v>1402</v>
      </c>
      <c r="X410" t="s">
        <v>1729</v>
      </c>
      <c r="Y410">
        <v>0</v>
      </c>
      <c r="Z410">
        <v>0</v>
      </c>
      <c r="AA410">
        <v>2012</v>
      </c>
      <c r="AB410">
        <v>9999</v>
      </c>
      <c r="AC410" t="s">
        <v>1398</v>
      </c>
    </row>
    <row r="411" spans="1:29" x14ac:dyDescent="0.25">
      <c r="A411" s="31" t="s">
        <v>1596</v>
      </c>
      <c r="B411" s="23" t="s">
        <v>1597</v>
      </c>
      <c r="D411">
        <v>1</v>
      </c>
      <c r="E411" t="s">
        <v>1251</v>
      </c>
      <c r="F411">
        <v>2</v>
      </c>
      <c r="G411">
        <v>2025</v>
      </c>
      <c r="I411" s="8">
        <v>70.5</v>
      </c>
      <c r="J411" t="s">
        <v>147</v>
      </c>
      <c r="K411" t="s">
        <v>47</v>
      </c>
      <c r="M411">
        <v>1</v>
      </c>
      <c r="N411">
        <v>0</v>
      </c>
      <c r="O411">
        <v>0</v>
      </c>
      <c r="P411">
        <v>0</v>
      </c>
      <c r="Q411">
        <v>0</v>
      </c>
      <c r="R411">
        <v>0</v>
      </c>
      <c r="S411">
        <v>1</v>
      </c>
      <c r="T411">
        <v>1</v>
      </c>
      <c r="U411">
        <v>1</v>
      </c>
      <c r="V411">
        <v>0</v>
      </c>
      <c r="W411" t="s">
        <v>1598</v>
      </c>
      <c r="X411" t="s">
        <v>1730</v>
      </c>
      <c r="Y411">
        <v>0</v>
      </c>
      <c r="Z411">
        <v>0</v>
      </c>
      <c r="AA411">
        <v>2022</v>
      </c>
      <c r="AB411">
        <v>9999</v>
      </c>
      <c r="AC411" t="s">
        <v>1591</v>
      </c>
    </row>
    <row r="412" spans="1:29" x14ac:dyDescent="0.25">
      <c r="A412" s="31" t="s">
        <v>1248</v>
      </c>
      <c r="B412" s="23" t="s">
        <v>1249</v>
      </c>
      <c r="C412" t="s">
        <v>1250</v>
      </c>
      <c r="D412">
        <v>1</v>
      </c>
      <c r="E412" t="s">
        <v>1251</v>
      </c>
      <c r="F412">
        <v>2</v>
      </c>
      <c r="G412">
        <v>2025</v>
      </c>
      <c r="I412" s="8">
        <v>1275.79</v>
      </c>
      <c r="J412" t="s">
        <v>147</v>
      </c>
      <c r="K412" t="s">
        <v>47</v>
      </c>
      <c r="M412">
        <v>1</v>
      </c>
      <c r="N412">
        <v>1</v>
      </c>
      <c r="O412">
        <v>0</v>
      </c>
      <c r="P412">
        <v>0</v>
      </c>
      <c r="Q412">
        <v>0</v>
      </c>
      <c r="R412">
        <v>0</v>
      </c>
      <c r="S412">
        <v>1</v>
      </c>
      <c r="T412">
        <v>1</v>
      </c>
      <c r="U412">
        <v>1</v>
      </c>
      <c r="V412">
        <v>0</v>
      </c>
      <c r="W412" t="s">
        <v>1252</v>
      </c>
      <c r="X412" t="s">
        <v>1731</v>
      </c>
      <c r="Y412">
        <v>1</v>
      </c>
      <c r="Z412">
        <v>0</v>
      </c>
      <c r="AA412">
        <v>2009</v>
      </c>
      <c r="AB412">
        <v>9999</v>
      </c>
      <c r="AC412" t="s">
        <v>1239</v>
      </c>
    </row>
    <row r="413" spans="1:29" x14ac:dyDescent="0.25">
      <c r="A413" s="31" t="s">
        <v>590</v>
      </c>
      <c r="B413" s="23" t="s">
        <v>1551</v>
      </c>
      <c r="C413" t="s">
        <v>1552</v>
      </c>
      <c r="D413">
        <v>1</v>
      </c>
      <c r="E413" t="s">
        <v>592</v>
      </c>
      <c r="F413">
        <v>8</v>
      </c>
      <c r="G413">
        <v>2025</v>
      </c>
      <c r="I413" s="8">
        <v>18</v>
      </c>
      <c r="J413" t="s">
        <v>40</v>
      </c>
      <c r="K413" t="s">
        <v>47</v>
      </c>
      <c r="M413">
        <v>0</v>
      </c>
      <c r="N413">
        <v>0</v>
      </c>
      <c r="O413">
        <v>0</v>
      </c>
      <c r="P413">
        <v>0</v>
      </c>
      <c r="Q413">
        <v>0</v>
      </c>
      <c r="R413">
        <v>0</v>
      </c>
      <c r="S413">
        <v>1</v>
      </c>
      <c r="T413">
        <v>1</v>
      </c>
      <c r="U413">
        <v>1</v>
      </c>
      <c r="V413">
        <v>0</v>
      </c>
      <c r="W413" t="s">
        <v>1553</v>
      </c>
      <c r="X413" t="s">
        <v>1877</v>
      </c>
      <c r="Y413">
        <v>0</v>
      </c>
      <c r="Z413">
        <v>1</v>
      </c>
      <c r="AA413">
        <v>2007</v>
      </c>
      <c r="AB413">
        <v>2025</v>
      </c>
      <c r="AC413" t="s">
        <v>2057</v>
      </c>
    </row>
    <row r="414" spans="1:29" x14ac:dyDescent="0.25">
      <c r="A414" s="31" t="s">
        <v>939</v>
      </c>
      <c r="B414" s="23" t="s">
        <v>1463</v>
      </c>
      <c r="D414">
        <v>1</v>
      </c>
      <c r="E414" t="s">
        <v>80</v>
      </c>
      <c r="F414">
        <v>8</v>
      </c>
      <c r="G414">
        <v>2025</v>
      </c>
      <c r="I414" s="8">
        <v>85.1</v>
      </c>
      <c r="J414" t="s">
        <v>81</v>
      </c>
      <c r="K414" t="s">
        <v>47</v>
      </c>
      <c r="M414">
        <v>1</v>
      </c>
      <c r="N414">
        <v>0</v>
      </c>
      <c r="O414">
        <v>0</v>
      </c>
      <c r="P414">
        <v>0</v>
      </c>
      <c r="Q414">
        <v>0</v>
      </c>
      <c r="R414">
        <v>0</v>
      </c>
      <c r="S414">
        <v>1</v>
      </c>
      <c r="T414">
        <v>1</v>
      </c>
      <c r="U414">
        <v>1</v>
      </c>
      <c r="V414">
        <v>0</v>
      </c>
      <c r="W414" t="s">
        <v>1464</v>
      </c>
      <c r="X414" t="s">
        <v>1733</v>
      </c>
      <c r="Y414">
        <v>1</v>
      </c>
      <c r="Z414">
        <v>3</v>
      </c>
      <c r="AA414">
        <v>2007</v>
      </c>
      <c r="AB414">
        <v>9999</v>
      </c>
      <c r="AC414" t="s">
        <v>35</v>
      </c>
    </row>
    <row r="415" spans="1:29" ht="30" x14ac:dyDescent="0.25">
      <c r="A415" s="31" t="s">
        <v>1305</v>
      </c>
      <c r="B415" s="23" t="s">
        <v>1306</v>
      </c>
      <c r="C415" t="s">
        <v>1307</v>
      </c>
      <c r="D415">
        <v>1</v>
      </c>
      <c r="E415" t="s">
        <v>45</v>
      </c>
      <c r="F415">
        <v>4</v>
      </c>
      <c r="G415">
        <v>2025</v>
      </c>
      <c r="I415" s="8">
        <v>44.7</v>
      </c>
      <c r="J415" t="s">
        <v>1610</v>
      </c>
      <c r="K415" t="s">
        <v>47</v>
      </c>
      <c r="M415">
        <v>0</v>
      </c>
      <c r="N415">
        <v>0</v>
      </c>
      <c r="O415">
        <v>0</v>
      </c>
      <c r="P415">
        <v>0</v>
      </c>
      <c r="Q415">
        <v>0</v>
      </c>
      <c r="R415">
        <v>0</v>
      </c>
      <c r="S415">
        <v>1</v>
      </c>
      <c r="T415">
        <v>1</v>
      </c>
      <c r="U415">
        <v>1</v>
      </c>
      <c r="V415">
        <v>0</v>
      </c>
      <c r="W415" t="s">
        <v>1526</v>
      </c>
      <c r="X415" t="s">
        <v>1734</v>
      </c>
      <c r="Y415">
        <v>0</v>
      </c>
      <c r="Z415">
        <v>1</v>
      </c>
      <c r="AA415">
        <v>2010</v>
      </c>
      <c r="AB415">
        <v>9999</v>
      </c>
      <c r="AC415" t="s">
        <v>1292</v>
      </c>
    </row>
    <row r="416" spans="1:29" x14ac:dyDescent="0.25">
      <c r="A416" s="31" t="s">
        <v>1614</v>
      </c>
      <c r="B416" s="23" t="s">
        <v>1615</v>
      </c>
      <c r="D416">
        <v>1</v>
      </c>
      <c r="E416" s="5" t="s">
        <v>314</v>
      </c>
      <c r="F416">
        <v>2</v>
      </c>
      <c r="G416">
        <v>2025</v>
      </c>
      <c r="I416" s="8">
        <v>28</v>
      </c>
      <c r="J416" t="s">
        <v>147</v>
      </c>
      <c r="K416" t="s">
        <v>47</v>
      </c>
      <c r="M416">
        <v>0</v>
      </c>
      <c r="N416">
        <v>0</v>
      </c>
      <c r="O416">
        <v>0</v>
      </c>
      <c r="P416">
        <v>0</v>
      </c>
      <c r="Q416">
        <v>0</v>
      </c>
      <c r="R416">
        <v>0</v>
      </c>
      <c r="S416">
        <v>1</v>
      </c>
      <c r="T416">
        <v>0</v>
      </c>
      <c r="U416">
        <v>0</v>
      </c>
      <c r="V416">
        <v>0</v>
      </c>
      <c r="W416" t="s">
        <v>1616</v>
      </c>
      <c r="X416" t="s">
        <v>1735</v>
      </c>
      <c r="Y416">
        <v>0</v>
      </c>
      <c r="Z416">
        <v>1</v>
      </c>
      <c r="AA416">
        <v>2023</v>
      </c>
      <c r="AB416">
        <v>9999</v>
      </c>
      <c r="AC416" t="s">
        <v>1617</v>
      </c>
    </row>
    <row r="417" spans="1:29" x14ac:dyDescent="0.25">
      <c r="A417" s="31" t="s">
        <v>964</v>
      </c>
      <c r="B417" s="23" t="s">
        <v>1484</v>
      </c>
      <c r="C417" t="s">
        <v>1599</v>
      </c>
      <c r="D417">
        <v>1</v>
      </c>
      <c r="E417" t="s">
        <v>80</v>
      </c>
      <c r="F417">
        <v>8</v>
      </c>
      <c r="G417">
        <v>2025</v>
      </c>
      <c r="I417" s="8">
        <v>116.35</v>
      </c>
      <c r="J417" t="s">
        <v>40</v>
      </c>
      <c r="K417" t="s">
        <v>47</v>
      </c>
      <c r="M417">
        <v>1</v>
      </c>
      <c r="N417">
        <v>0</v>
      </c>
      <c r="O417">
        <v>0</v>
      </c>
      <c r="P417">
        <v>0</v>
      </c>
      <c r="Q417">
        <v>0</v>
      </c>
      <c r="R417">
        <v>0</v>
      </c>
      <c r="S417">
        <v>1</v>
      </c>
      <c r="T417">
        <v>1</v>
      </c>
      <c r="U417">
        <v>1</v>
      </c>
      <c r="V417">
        <v>0</v>
      </c>
      <c r="W417" t="s">
        <v>1569</v>
      </c>
      <c r="X417" t="s">
        <v>1736</v>
      </c>
      <c r="Y417">
        <v>0</v>
      </c>
      <c r="Z417">
        <v>0</v>
      </c>
      <c r="AA417">
        <v>2007</v>
      </c>
      <c r="AB417">
        <v>9999</v>
      </c>
      <c r="AC417" t="s">
        <v>35</v>
      </c>
    </row>
    <row r="418" spans="1:29" x14ac:dyDescent="0.25">
      <c r="A418" s="31" t="s">
        <v>1366</v>
      </c>
      <c r="B418" s="23" t="s">
        <v>1487</v>
      </c>
      <c r="C418" t="s">
        <v>1368</v>
      </c>
      <c r="D418">
        <v>1</v>
      </c>
      <c r="E418" t="s">
        <v>468</v>
      </c>
      <c r="F418">
        <v>7</v>
      </c>
      <c r="G418">
        <v>2025</v>
      </c>
      <c r="I418" s="8">
        <v>45.98</v>
      </c>
      <c r="J418" t="s">
        <v>40</v>
      </c>
      <c r="K418" t="s">
        <v>32</v>
      </c>
      <c r="M418">
        <v>0</v>
      </c>
      <c r="N418">
        <v>0</v>
      </c>
      <c r="O418">
        <v>0</v>
      </c>
      <c r="P418">
        <v>0</v>
      </c>
      <c r="Q418">
        <v>0</v>
      </c>
      <c r="R418">
        <v>0</v>
      </c>
      <c r="S418">
        <v>1</v>
      </c>
      <c r="T418">
        <v>1</v>
      </c>
      <c r="U418">
        <v>1</v>
      </c>
      <c r="V418">
        <v>0</v>
      </c>
      <c r="W418" t="s">
        <v>1369</v>
      </c>
      <c r="X418" t="s">
        <v>1737</v>
      </c>
      <c r="Y418">
        <v>0</v>
      </c>
      <c r="Z418">
        <v>1</v>
      </c>
      <c r="AA418">
        <v>2011</v>
      </c>
      <c r="AB418">
        <v>9999</v>
      </c>
      <c r="AC418" t="s">
        <v>1365</v>
      </c>
    </row>
    <row r="419" spans="1:29" x14ac:dyDescent="0.25">
      <c r="A419" s="31" t="s">
        <v>1309</v>
      </c>
      <c r="B419" s="23" t="s">
        <v>1310</v>
      </c>
      <c r="C419" t="s">
        <v>1311</v>
      </c>
      <c r="D419">
        <v>1</v>
      </c>
      <c r="E419" t="s">
        <v>1312</v>
      </c>
      <c r="F419">
        <v>9</v>
      </c>
      <c r="G419">
        <v>2025</v>
      </c>
      <c r="I419" s="8">
        <v>140.41</v>
      </c>
      <c r="J419" t="s">
        <v>104</v>
      </c>
      <c r="K419" t="s">
        <v>47</v>
      </c>
      <c r="M419">
        <v>1</v>
      </c>
      <c r="N419">
        <v>0</v>
      </c>
      <c r="O419">
        <v>0</v>
      </c>
      <c r="P419">
        <v>0</v>
      </c>
      <c r="Q419">
        <v>0</v>
      </c>
      <c r="R419">
        <v>0</v>
      </c>
      <c r="S419">
        <v>1</v>
      </c>
      <c r="T419">
        <v>1</v>
      </c>
      <c r="U419">
        <v>1</v>
      </c>
      <c r="V419">
        <v>0</v>
      </c>
      <c r="W419" t="s">
        <v>1404</v>
      </c>
      <c r="X419" t="s">
        <v>1738</v>
      </c>
      <c r="Y419">
        <v>0</v>
      </c>
      <c r="Z419">
        <v>3</v>
      </c>
      <c r="AA419">
        <v>2010</v>
      </c>
      <c r="AB419">
        <v>9999</v>
      </c>
      <c r="AC419" t="s">
        <v>1292</v>
      </c>
    </row>
    <row r="420" spans="1:29" x14ac:dyDescent="0.25">
      <c r="A420" s="31" t="s">
        <v>559</v>
      </c>
      <c r="B420" s="23" t="s">
        <v>1600</v>
      </c>
      <c r="C420" t="s">
        <v>1601</v>
      </c>
      <c r="D420">
        <v>1</v>
      </c>
      <c r="E420" t="s">
        <v>103</v>
      </c>
      <c r="F420">
        <v>9</v>
      </c>
      <c r="G420">
        <v>2025</v>
      </c>
      <c r="I420" s="8">
        <v>1081.32</v>
      </c>
      <c r="J420" t="s">
        <v>104</v>
      </c>
      <c r="K420" t="s">
        <v>53</v>
      </c>
      <c r="L420" t="s">
        <v>105</v>
      </c>
      <c r="M420">
        <v>0</v>
      </c>
      <c r="N420">
        <v>0</v>
      </c>
      <c r="O420">
        <v>0</v>
      </c>
      <c r="P420">
        <v>1</v>
      </c>
      <c r="Q420">
        <v>0</v>
      </c>
      <c r="R420">
        <v>0</v>
      </c>
      <c r="S420">
        <v>1</v>
      </c>
      <c r="T420">
        <v>1</v>
      </c>
      <c r="U420">
        <v>1</v>
      </c>
      <c r="V420">
        <v>0</v>
      </c>
      <c r="W420" t="s">
        <v>106</v>
      </c>
      <c r="X420" t="s">
        <v>1851</v>
      </c>
      <c r="Y420">
        <v>0</v>
      </c>
      <c r="Z420">
        <v>0</v>
      </c>
      <c r="AA420">
        <v>2007</v>
      </c>
      <c r="AB420">
        <v>9999</v>
      </c>
      <c r="AC420" t="s">
        <v>35</v>
      </c>
    </row>
    <row r="421" spans="1:29" x14ac:dyDescent="0.25">
      <c r="A421" s="31" t="s">
        <v>562</v>
      </c>
      <c r="B421" s="23" t="s">
        <v>1554</v>
      </c>
      <c r="D421">
        <v>1</v>
      </c>
      <c r="E421" t="s">
        <v>80</v>
      </c>
      <c r="F421">
        <v>8</v>
      </c>
      <c r="G421">
        <v>2025</v>
      </c>
      <c r="I421" s="8">
        <v>135.91999999999999</v>
      </c>
      <c r="J421" t="s">
        <v>81</v>
      </c>
      <c r="K421" t="s">
        <v>47</v>
      </c>
      <c r="M421">
        <v>1</v>
      </c>
      <c r="N421">
        <v>0</v>
      </c>
      <c r="O421">
        <v>0</v>
      </c>
      <c r="P421">
        <v>0</v>
      </c>
      <c r="Q421">
        <v>0</v>
      </c>
      <c r="R421">
        <v>0</v>
      </c>
      <c r="S421">
        <v>1</v>
      </c>
      <c r="T421">
        <v>1</v>
      </c>
      <c r="U421">
        <v>1</v>
      </c>
      <c r="V421">
        <v>0</v>
      </c>
      <c r="W421" t="s">
        <v>1128</v>
      </c>
      <c r="X421" t="s">
        <v>1739</v>
      </c>
      <c r="Y421">
        <v>0</v>
      </c>
      <c r="Z421">
        <v>0</v>
      </c>
      <c r="AA421">
        <v>2007</v>
      </c>
      <c r="AB421">
        <v>9999</v>
      </c>
      <c r="AC421" t="s">
        <v>35</v>
      </c>
    </row>
    <row r="422" spans="1:29" x14ac:dyDescent="0.25">
      <c r="A422" s="31" t="s">
        <v>568</v>
      </c>
      <c r="B422" s="23" t="s">
        <v>569</v>
      </c>
      <c r="D422">
        <v>1</v>
      </c>
      <c r="E422" t="s">
        <v>80</v>
      </c>
      <c r="F422">
        <v>8</v>
      </c>
      <c r="G422">
        <v>2025</v>
      </c>
      <c r="I422" s="8">
        <v>229.21</v>
      </c>
      <c r="J422" t="s">
        <v>81</v>
      </c>
      <c r="K422" t="s">
        <v>47</v>
      </c>
      <c r="M422">
        <v>0</v>
      </c>
      <c r="N422">
        <v>0</v>
      </c>
      <c r="O422">
        <v>0</v>
      </c>
      <c r="P422">
        <v>0</v>
      </c>
      <c r="Q422">
        <v>0</v>
      </c>
      <c r="R422">
        <v>0</v>
      </c>
      <c r="S422">
        <v>1</v>
      </c>
      <c r="T422">
        <v>1</v>
      </c>
      <c r="U422">
        <v>1</v>
      </c>
      <c r="V422">
        <v>0</v>
      </c>
      <c r="W422" t="s">
        <v>1129</v>
      </c>
      <c r="X422" t="s">
        <v>1740</v>
      </c>
      <c r="Y422">
        <v>0</v>
      </c>
      <c r="Z422">
        <v>0</v>
      </c>
      <c r="AA422">
        <v>2007</v>
      </c>
      <c r="AB422">
        <v>9999</v>
      </c>
      <c r="AC422" t="s">
        <v>35</v>
      </c>
    </row>
    <row r="423" spans="1:29" x14ac:dyDescent="0.25">
      <c r="A423" s="31" t="s">
        <v>571</v>
      </c>
      <c r="B423" s="23" t="s">
        <v>572</v>
      </c>
      <c r="D423">
        <v>1</v>
      </c>
      <c r="E423" t="s">
        <v>370</v>
      </c>
      <c r="F423">
        <v>5</v>
      </c>
      <c r="G423">
        <v>2025</v>
      </c>
      <c r="I423" s="8">
        <v>671.95</v>
      </c>
      <c r="J423" t="s">
        <v>1610</v>
      </c>
      <c r="K423" t="s">
        <v>47</v>
      </c>
      <c r="M423">
        <v>1</v>
      </c>
      <c r="N423">
        <v>0</v>
      </c>
      <c r="O423">
        <v>0</v>
      </c>
      <c r="P423">
        <v>0</v>
      </c>
      <c r="Q423">
        <v>0</v>
      </c>
      <c r="R423">
        <v>0</v>
      </c>
      <c r="S423">
        <v>1</v>
      </c>
      <c r="T423">
        <v>1</v>
      </c>
      <c r="U423">
        <v>1</v>
      </c>
      <c r="V423">
        <v>0</v>
      </c>
      <c r="W423" t="s">
        <v>1430</v>
      </c>
      <c r="X423" t="s">
        <v>1878</v>
      </c>
      <c r="Y423">
        <v>1</v>
      </c>
      <c r="Z423">
        <v>2</v>
      </c>
      <c r="AA423">
        <v>2007</v>
      </c>
      <c r="AB423">
        <v>9999</v>
      </c>
      <c r="AC423" t="s">
        <v>35</v>
      </c>
    </row>
    <row r="424" spans="1:29" x14ac:dyDescent="0.25">
      <c r="A424" s="31" t="s">
        <v>574</v>
      </c>
      <c r="B424" s="23" t="s">
        <v>575</v>
      </c>
      <c r="D424">
        <v>1</v>
      </c>
      <c r="E424" t="s">
        <v>222</v>
      </c>
      <c r="F424">
        <v>1</v>
      </c>
      <c r="G424">
        <v>2025</v>
      </c>
      <c r="I424" s="8">
        <v>36.799999999999997</v>
      </c>
      <c r="J424" t="s">
        <v>176</v>
      </c>
      <c r="K424" t="s">
        <v>47</v>
      </c>
      <c r="M424">
        <v>0</v>
      </c>
      <c r="N424">
        <v>0</v>
      </c>
      <c r="O424">
        <v>0</v>
      </c>
      <c r="P424">
        <v>0</v>
      </c>
      <c r="Q424">
        <v>0</v>
      </c>
      <c r="R424">
        <v>0</v>
      </c>
      <c r="S424">
        <v>1</v>
      </c>
      <c r="T424">
        <v>1</v>
      </c>
      <c r="U424">
        <v>1</v>
      </c>
      <c r="V424">
        <v>0</v>
      </c>
      <c r="W424" t="s">
        <v>1602</v>
      </c>
      <c r="X424" t="s">
        <v>1742</v>
      </c>
      <c r="Y424">
        <v>0</v>
      </c>
      <c r="Z424">
        <v>1</v>
      </c>
      <c r="AA424">
        <v>2007</v>
      </c>
      <c r="AB424">
        <v>9999</v>
      </c>
      <c r="AC424" t="s">
        <v>35</v>
      </c>
    </row>
    <row r="425" spans="1:29" x14ac:dyDescent="0.25">
      <c r="A425" s="31" t="s">
        <v>577</v>
      </c>
      <c r="B425" s="23" t="s">
        <v>578</v>
      </c>
      <c r="D425">
        <v>1</v>
      </c>
      <c r="E425" t="s">
        <v>396</v>
      </c>
      <c r="F425">
        <v>3</v>
      </c>
      <c r="G425">
        <v>2025</v>
      </c>
      <c r="H425" t="s">
        <v>579</v>
      </c>
      <c r="I425">
        <v>0.2</v>
      </c>
      <c r="J425" t="s">
        <v>121</v>
      </c>
      <c r="K425" t="s">
        <v>41</v>
      </c>
      <c r="M425">
        <v>0</v>
      </c>
      <c r="N425">
        <v>0</v>
      </c>
      <c r="O425">
        <v>0</v>
      </c>
      <c r="P425">
        <v>0</v>
      </c>
      <c r="Q425">
        <v>0</v>
      </c>
      <c r="R425">
        <v>0</v>
      </c>
      <c r="S425">
        <v>0</v>
      </c>
      <c r="T425">
        <v>0</v>
      </c>
      <c r="U425">
        <v>0</v>
      </c>
      <c r="V425">
        <v>0</v>
      </c>
      <c r="W425" t="s">
        <v>1132</v>
      </c>
      <c r="X425" t="s">
        <v>1743</v>
      </c>
      <c r="Y425">
        <v>0</v>
      </c>
      <c r="Z425">
        <v>0</v>
      </c>
      <c r="AA425">
        <v>2007</v>
      </c>
      <c r="AB425">
        <v>9999</v>
      </c>
      <c r="AC425" t="s">
        <v>35</v>
      </c>
    </row>
    <row r="426" spans="1:29" x14ac:dyDescent="0.25">
      <c r="A426" s="31" t="s">
        <v>581</v>
      </c>
      <c r="B426" s="23" t="s">
        <v>582</v>
      </c>
      <c r="D426">
        <v>1</v>
      </c>
      <c r="E426" t="s">
        <v>80</v>
      </c>
      <c r="F426">
        <v>8</v>
      </c>
      <c r="G426">
        <v>2025</v>
      </c>
      <c r="H426" t="s">
        <v>1315</v>
      </c>
      <c r="I426">
        <v>2.8</v>
      </c>
      <c r="J426" t="s">
        <v>81</v>
      </c>
      <c r="K426" t="s">
        <v>41</v>
      </c>
      <c r="M426">
        <v>0</v>
      </c>
      <c r="N426">
        <v>0</v>
      </c>
      <c r="O426">
        <v>0</v>
      </c>
      <c r="P426">
        <v>0</v>
      </c>
      <c r="Q426">
        <v>0</v>
      </c>
      <c r="R426">
        <v>0</v>
      </c>
      <c r="S426">
        <v>0</v>
      </c>
      <c r="T426">
        <v>0</v>
      </c>
      <c r="U426">
        <v>1</v>
      </c>
      <c r="V426">
        <v>0</v>
      </c>
      <c r="W426" t="s">
        <v>1133</v>
      </c>
      <c r="X426" t="s">
        <v>1744</v>
      </c>
      <c r="Y426">
        <v>0</v>
      </c>
      <c r="Z426">
        <v>0</v>
      </c>
      <c r="AA426">
        <v>2007</v>
      </c>
      <c r="AB426">
        <v>2025</v>
      </c>
      <c r="AC426" t="s">
        <v>2057</v>
      </c>
    </row>
    <row r="427" spans="1:29" x14ac:dyDescent="0.25">
      <c r="A427" s="31" t="s">
        <v>1576</v>
      </c>
      <c r="B427" s="23" t="s">
        <v>1577</v>
      </c>
      <c r="D427">
        <v>1</v>
      </c>
      <c r="E427" s="5" t="s">
        <v>358</v>
      </c>
      <c r="F427">
        <v>1</v>
      </c>
      <c r="G427">
        <v>2025</v>
      </c>
      <c r="H427" t="s">
        <v>1558</v>
      </c>
      <c r="I427">
        <v>6</v>
      </c>
      <c r="J427" t="s">
        <v>104</v>
      </c>
      <c r="K427" t="s">
        <v>41</v>
      </c>
      <c r="M427">
        <v>0</v>
      </c>
      <c r="N427">
        <v>0</v>
      </c>
      <c r="O427">
        <v>0</v>
      </c>
      <c r="P427">
        <v>0</v>
      </c>
      <c r="Q427">
        <v>0</v>
      </c>
      <c r="R427">
        <v>0</v>
      </c>
      <c r="S427">
        <v>0</v>
      </c>
      <c r="T427">
        <v>0</v>
      </c>
      <c r="U427">
        <v>0</v>
      </c>
      <c r="V427">
        <v>0</v>
      </c>
      <c r="W427" t="s">
        <v>1578</v>
      </c>
      <c r="X427" t="s">
        <v>1745</v>
      </c>
      <c r="Y427">
        <v>0</v>
      </c>
      <c r="Z427">
        <v>0</v>
      </c>
      <c r="AA427">
        <v>2020</v>
      </c>
      <c r="AB427">
        <v>9999</v>
      </c>
      <c r="AC427" t="s">
        <v>1579</v>
      </c>
    </row>
    <row r="428" spans="1:29" x14ac:dyDescent="0.25">
      <c r="A428" s="31" t="s">
        <v>594</v>
      </c>
      <c r="B428" s="23" t="s">
        <v>595</v>
      </c>
      <c r="D428">
        <v>1</v>
      </c>
      <c r="E428" t="s">
        <v>38</v>
      </c>
      <c r="F428">
        <v>4</v>
      </c>
      <c r="G428">
        <v>2025</v>
      </c>
      <c r="H428" t="s">
        <v>906</v>
      </c>
      <c r="I428">
        <v>0</v>
      </c>
      <c r="J428" t="s">
        <v>59</v>
      </c>
      <c r="K428" t="s">
        <v>41</v>
      </c>
      <c r="M428">
        <v>0</v>
      </c>
      <c r="N428">
        <v>0</v>
      </c>
      <c r="O428">
        <v>0</v>
      </c>
      <c r="P428">
        <v>0</v>
      </c>
      <c r="Q428">
        <v>0</v>
      </c>
      <c r="R428">
        <v>0</v>
      </c>
      <c r="S428">
        <v>0</v>
      </c>
      <c r="T428">
        <v>0</v>
      </c>
      <c r="U428">
        <v>0</v>
      </c>
      <c r="V428">
        <v>0</v>
      </c>
      <c r="W428" t="s">
        <v>1135</v>
      </c>
      <c r="X428" t="s">
        <v>1746</v>
      </c>
      <c r="Y428">
        <v>0</v>
      </c>
      <c r="Z428">
        <v>0</v>
      </c>
      <c r="AA428">
        <v>2007</v>
      </c>
      <c r="AB428">
        <v>9999</v>
      </c>
      <c r="AC428" t="s">
        <v>35</v>
      </c>
    </row>
    <row r="429" spans="1:29" x14ac:dyDescent="0.25">
      <c r="A429" s="31" t="s">
        <v>1253</v>
      </c>
      <c r="B429" s="23" t="s">
        <v>598</v>
      </c>
      <c r="D429">
        <v>1</v>
      </c>
      <c r="E429" t="s">
        <v>38</v>
      </c>
      <c r="F429">
        <v>4</v>
      </c>
      <c r="G429">
        <v>2025</v>
      </c>
      <c r="H429" t="s">
        <v>39</v>
      </c>
      <c r="I429">
        <v>0</v>
      </c>
      <c r="J429" t="s">
        <v>59</v>
      </c>
      <c r="K429" t="s">
        <v>41</v>
      </c>
      <c r="M429">
        <v>0</v>
      </c>
      <c r="N429">
        <v>0</v>
      </c>
      <c r="O429">
        <v>0</v>
      </c>
      <c r="P429">
        <v>0</v>
      </c>
      <c r="Q429">
        <v>0</v>
      </c>
      <c r="R429">
        <v>0</v>
      </c>
      <c r="S429">
        <v>0</v>
      </c>
      <c r="T429">
        <v>0</v>
      </c>
      <c r="U429">
        <v>0</v>
      </c>
      <c r="V429">
        <v>0</v>
      </c>
      <c r="W429" t="s">
        <v>1254</v>
      </c>
      <c r="X429" t="s">
        <v>1747</v>
      </c>
      <c r="Y429">
        <v>0</v>
      </c>
      <c r="Z429">
        <v>0</v>
      </c>
      <c r="AA429">
        <v>2009</v>
      </c>
      <c r="AB429">
        <v>9999</v>
      </c>
      <c r="AC429" t="s">
        <v>1239</v>
      </c>
    </row>
    <row r="430" spans="1:29" x14ac:dyDescent="0.25">
      <c r="A430" s="31" t="s">
        <v>601</v>
      </c>
      <c r="B430" s="23" t="s">
        <v>602</v>
      </c>
      <c r="D430">
        <v>1</v>
      </c>
      <c r="E430" t="s">
        <v>145</v>
      </c>
      <c r="F430">
        <v>2</v>
      </c>
      <c r="G430">
        <v>2025</v>
      </c>
      <c r="H430" t="s">
        <v>1618</v>
      </c>
      <c r="I430">
        <v>2.5000000000000001E-2</v>
      </c>
      <c r="J430" t="s">
        <v>1610</v>
      </c>
      <c r="K430" t="s">
        <v>41</v>
      </c>
      <c r="M430">
        <v>0</v>
      </c>
      <c r="N430">
        <v>0</v>
      </c>
      <c r="O430">
        <v>0</v>
      </c>
      <c r="P430">
        <v>0</v>
      </c>
      <c r="Q430">
        <v>0</v>
      </c>
      <c r="R430">
        <v>0</v>
      </c>
      <c r="S430">
        <v>0</v>
      </c>
      <c r="T430">
        <v>0</v>
      </c>
      <c r="U430">
        <v>0</v>
      </c>
      <c r="V430">
        <v>0</v>
      </c>
      <c r="W430" t="s">
        <v>1137</v>
      </c>
      <c r="X430" t="s">
        <v>1748</v>
      </c>
      <c r="Y430">
        <v>0</v>
      </c>
      <c r="Z430">
        <v>0</v>
      </c>
      <c r="AA430">
        <v>2007</v>
      </c>
      <c r="AB430">
        <v>9999</v>
      </c>
      <c r="AC430" t="s">
        <v>35</v>
      </c>
    </row>
    <row r="431" spans="1:29" x14ac:dyDescent="0.25">
      <c r="A431" s="31" t="s">
        <v>613</v>
      </c>
      <c r="B431" s="23" t="s">
        <v>254</v>
      </c>
      <c r="C431" t="s">
        <v>614</v>
      </c>
      <c r="D431">
        <v>1</v>
      </c>
      <c r="E431" t="s">
        <v>45</v>
      </c>
      <c r="F431">
        <v>4</v>
      </c>
      <c r="G431">
        <v>2025</v>
      </c>
      <c r="I431" s="8">
        <v>275.60000000000002</v>
      </c>
      <c r="J431" t="s">
        <v>1610</v>
      </c>
      <c r="K431" t="s">
        <v>47</v>
      </c>
      <c r="M431">
        <v>1</v>
      </c>
      <c r="N431">
        <v>0</v>
      </c>
      <c r="O431">
        <v>0</v>
      </c>
      <c r="P431">
        <v>0</v>
      </c>
      <c r="Q431">
        <v>0</v>
      </c>
      <c r="R431">
        <v>0</v>
      </c>
      <c r="S431">
        <v>1</v>
      </c>
      <c r="T431">
        <v>1</v>
      </c>
      <c r="U431">
        <v>1</v>
      </c>
      <c r="V431">
        <v>0</v>
      </c>
      <c r="W431" t="s">
        <v>1140</v>
      </c>
      <c r="X431" t="s">
        <v>1879</v>
      </c>
      <c r="Y431">
        <v>0</v>
      </c>
      <c r="Z431">
        <v>0</v>
      </c>
      <c r="AA431">
        <v>2007</v>
      </c>
      <c r="AB431">
        <v>9999</v>
      </c>
      <c r="AC431" t="s">
        <v>35</v>
      </c>
    </row>
    <row r="432" spans="1:29" x14ac:dyDescent="0.25">
      <c r="A432" s="31" t="s">
        <v>1370</v>
      </c>
      <c r="B432" s="23" t="s">
        <v>1371</v>
      </c>
      <c r="D432">
        <v>1</v>
      </c>
      <c r="E432" s="4">
        <v>411</v>
      </c>
      <c r="F432">
        <v>4</v>
      </c>
      <c r="G432">
        <v>2025</v>
      </c>
      <c r="H432" t="s">
        <v>111</v>
      </c>
      <c r="I432">
        <v>0.5</v>
      </c>
      <c r="J432" t="s">
        <v>1610</v>
      </c>
      <c r="K432" t="s">
        <v>41</v>
      </c>
      <c r="M432">
        <v>0</v>
      </c>
      <c r="N432">
        <v>0</v>
      </c>
      <c r="O432">
        <v>0</v>
      </c>
      <c r="P432">
        <v>0</v>
      </c>
      <c r="Q432">
        <v>0</v>
      </c>
      <c r="R432">
        <v>0</v>
      </c>
      <c r="S432">
        <v>0</v>
      </c>
      <c r="T432">
        <v>1</v>
      </c>
      <c r="U432">
        <v>0</v>
      </c>
      <c r="V432">
        <v>0</v>
      </c>
      <c r="W432" t="s">
        <v>1372</v>
      </c>
      <c r="X432" t="s">
        <v>1750</v>
      </c>
      <c r="Y432">
        <v>0</v>
      </c>
      <c r="Z432">
        <v>0</v>
      </c>
      <c r="AA432">
        <v>2011</v>
      </c>
      <c r="AB432">
        <v>9999</v>
      </c>
      <c r="AC432" t="s">
        <v>1365</v>
      </c>
    </row>
    <row r="433" spans="1:29" x14ac:dyDescent="0.25">
      <c r="A433" s="31" t="s">
        <v>1317</v>
      </c>
      <c r="B433" s="23" t="s">
        <v>1318</v>
      </c>
      <c r="D433">
        <v>1</v>
      </c>
      <c r="E433" t="s">
        <v>1319</v>
      </c>
      <c r="F433">
        <v>10</v>
      </c>
      <c r="G433">
        <v>2025</v>
      </c>
      <c r="I433" s="8">
        <v>1498.93</v>
      </c>
      <c r="J433" t="s">
        <v>40</v>
      </c>
      <c r="K433" t="s">
        <v>32</v>
      </c>
      <c r="M433">
        <v>0</v>
      </c>
      <c r="N433">
        <v>0</v>
      </c>
      <c r="O433">
        <v>0</v>
      </c>
      <c r="P433">
        <v>0</v>
      </c>
      <c r="Q433">
        <v>0</v>
      </c>
      <c r="R433">
        <v>0</v>
      </c>
      <c r="S433">
        <v>1</v>
      </c>
      <c r="T433">
        <v>1</v>
      </c>
      <c r="U433">
        <v>1</v>
      </c>
      <c r="V433">
        <v>0</v>
      </c>
      <c r="W433" t="s">
        <v>1320</v>
      </c>
      <c r="X433" t="s">
        <v>1880</v>
      </c>
      <c r="Y433">
        <v>0</v>
      </c>
      <c r="Z433">
        <v>0</v>
      </c>
      <c r="AA433">
        <v>2010</v>
      </c>
      <c r="AB433">
        <v>9999</v>
      </c>
      <c r="AC433" t="s">
        <v>1292</v>
      </c>
    </row>
    <row r="434" spans="1:29" x14ac:dyDescent="0.25">
      <c r="A434" s="31" t="s">
        <v>1489</v>
      </c>
      <c r="B434" s="23" t="s">
        <v>619</v>
      </c>
      <c r="D434">
        <v>1</v>
      </c>
      <c r="E434" t="s">
        <v>620</v>
      </c>
      <c r="F434">
        <v>5</v>
      </c>
      <c r="G434">
        <v>2025</v>
      </c>
      <c r="I434" s="8">
        <v>27.5</v>
      </c>
      <c r="J434" t="s">
        <v>104</v>
      </c>
      <c r="K434" t="s">
        <v>47</v>
      </c>
      <c r="M434">
        <v>1</v>
      </c>
      <c r="N434">
        <v>0</v>
      </c>
      <c r="O434">
        <v>0</v>
      </c>
      <c r="P434">
        <v>0</v>
      </c>
      <c r="Q434">
        <v>0</v>
      </c>
      <c r="R434">
        <v>0</v>
      </c>
      <c r="S434">
        <v>1</v>
      </c>
      <c r="T434">
        <v>1</v>
      </c>
      <c r="U434">
        <v>1</v>
      </c>
      <c r="V434">
        <v>0</v>
      </c>
      <c r="W434" t="s">
        <v>1141</v>
      </c>
      <c r="X434" t="s">
        <v>1752</v>
      </c>
      <c r="Y434">
        <v>0</v>
      </c>
      <c r="Z434">
        <v>0</v>
      </c>
      <c r="AA434">
        <v>2007</v>
      </c>
      <c r="AB434">
        <v>9999</v>
      </c>
      <c r="AC434" t="s">
        <v>1475</v>
      </c>
    </row>
    <row r="435" spans="1:29" x14ac:dyDescent="0.25">
      <c r="A435" s="31" t="s">
        <v>472</v>
      </c>
      <c r="B435" s="23" t="s">
        <v>1490</v>
      </c>
      <c r="D435">
        <v>1</v>
      </c>
      <c r="E435" t="s">
        <v>681</v>
      </c>
      <c r="F435">
        <v>3</v>
      </c>
      <c r="G435">
        <v>2025</v>
      </c>
      <c r="I435" s="8">
        <v>37874.660000000003</v>
      </c>
      <c r="J435" t="s">
        <v>121</v>
      </c>
      <c r="K435" t="s">
        <v>47</v>
      </c>
      <c r="M435">
        <v>1</v>
      </c>
      <c r="N435">
        <v>0</v>
      </c>
      <c r="O435">
        <v>0</v>
      </c>
      <c r="P435">
        <v>0</v>
      </c>
      <c r="Q435">
        <v>0</v>
      </c>
      <c r="R435">
        <v>0</v>
      </c>
      <c r="S435">
        <v>1</v>
      </c>
      <c r="T435">
        <v>1</v>
      </c>
      <c r="U435">
        <v>1</v>
      </c>
      <c r="V435">
        <v>0</v>
      </c>
      <c r="W435" t="s">
        <v>1619</v>
      </c>
      <c r="X435" t="s">
        <v>1881</v>
      </c>
      <c r="Y435">
        <v>0</v>
      </c>
      <c r="Z435">
        <v>9</v>
      </c>
      <c r="AA435">
        <v>2007</v>
      </c>
      <c r="AB435">
        <v>9999</v>
      </c>
      <c r="AC435" t="s">
        <v>35</v>
      </c>
    </row>
    <row r="436" spans="1:29" x14ac:dyDescent="0.25">
      <c r="A436" s="31" t="s">
        <v>622</v>
      </c>
      <c r="B436" s="23" t="s">
        <v>623</v>
      </c>
      <c r="C436" t="s">
        <v>624</v>
      </c>
      <c r="D436">
        <v>1</v>
      </c>
      <c r="E436" t="s">
        <v>625</v>
      </c>
      <c r="F436">
        <v>4</v>
      </c>
      <c r="G436">
        <v>2025</v>
      </c>
      <c r="I436" s="8">
        <v>437.2</v>
      </c>
      <c r="J436" t="s">
        <v>52</v>
      </c>
      <c r="K436" t="s">
        <v>32</v>
      </c>
      <c r="M436">
        <v>0</v>
      </c>
      <c r="N436">
        <v>0</v>
      </c>
      <c r="O436">
        <v>0</v>
      </c>
      <c r="P436">
        <v>0</v>
      </c>
      <c r="Q436">
        <v>0</v>
      </c>
      <c r="R436">
        <v>0</v>
      </c>
      <c r="S436">
        <v>1</v>
      </c>
      <c r="T436">
        <v>1</v>
      </c>
      <c r="U436">
        <v>1</v>
      </c>
      <c r="V436">
        <v>0</v>
      </c>
      <c r="W436" t="s">
        <v>1142</v>
      </c>
      <c r="X436" t="s">
        <v>1754</v>
      </c>
      <c r="Y436">
        <v>0</v>
      </c>
      <c r="Z436">
        <v>0</v>
      </c>
      <c r="AA436">
        <v>2007</v>
      </c>
      <c r="AB436">
        <v>9999</v>
      </c>
      <c r="AC436" t="s">
        <v>35</v>
      </c>
    </row>
    <row r="437" spans="1:29" x14ac:dyDescent="0.25">
      <c r="A437" s="31" t="s">
        <v>641</v>
      </c>
      <c r="B437" s="23" t="s">
        <v>642</v>
      </c>
      <c r="D437">
        <v>1</v>
      </c>
      <c r="E437" t="s">
        <v>348</v>
      </c>
      <c r="F437">
        <v>1</v>
      </c>
      <c r="G437">
        <v>2025</v>
      </c>
      <c r="I437" s="8">
        <v>4171.42</v>
      </c>
      <c r="J437" t="s">
        <v>268</v>
      </c>
      <c r="K437" t="s">
        <v>53</v>
      </c>
      <c r="L437" t="s">
        <v>642</v>
      </c>
      <c r="M437">
        <v>0</v>
      </c>
      <c r="N437">
        <v>0</v>
      </c>
      <c r="O437">
        <v>0</v>
      </c>
      <c r="P437">
        <v>0</v>
      </c>
      <c r="Q437">
        <v>0</v>
      </c>
      <c r="R437">
        <v>0</v>
      </c>
      <c r="S437">
        <v>0</v>
      </c>
      <c r="T437">
        <v>1</v>
      </c>
      <c r="U437">
        <v>1</v>
      </c>
      <c r="V437">
        <v>0</v>
      </c>
      <c r="W437" t="s">
        <v>643</v>
      </c>
      <c r="X437" t="s">
        <v>1755</v>
      </c>
      <c r="Y437">
        <v>0</v>
      </c>
      <c r="Z437">
        <v>0</v>
      </c>
      <c r="AA437">
        <v>2007</v>
      </c>
      <c r="AB437">
        <v>9999</v>
      </c>
      <c r="AC437" t="s">
        <v>35</v>
      </c>
    </row>
    <row r="438" spans="1:29" x14ac:dyDescent="0.25">
      <c r="A438" s="31" t="s">
        <v>667</v>
      </c>
      <c r="B438" s="23" t="s">
        <v>1527</v>
      </c>
      <c r="D438">
        <v>1</v>
      </c>
      <c r="E438" t="s">
        <v>45</v>
      </c>
      <c r="F438">
        <v>4</v>
      </c>
      <c r="G438">
        <v>2025</v>
      </c>
      <c r="I438" s="8">
        <v>22.59</v>
      </c>
      <c r="J438" t="s">
        <v>121</v>
      </c>
      <c r="K438" t="s">
        <v>47</v>
      </c>
      <c r="M438">
        <v>0</v>
      </c>
      <c r="N438">
        <v>0</v>
      </c>
      <c r="O438">
        <v>0</v>
      </c>
      <c r="P438">
        <v>0</v>
      </c>
      <c r="Q438">
        <v>0</v>
      </c>
      <c r="R438">
        <v>0</v>
      </c>
      <c r="S438">
        <v>1</v>
      </c>
      <c r="T438">
        <v>1</v>
      </c>
      <c r="U438">
        <v>1</v>
      </c>
      <c r="V438">
        <v>0</v>
      </c>
      <c r="W438" t="s">
        <v>1149</v>
      </c>
      <c r="X438" t="s">
        <v>1756</v>
      </c>
      <c r="Y438">
        <v>1</v>
      </c>
      <c r="Z438">
        <v>0</v>
      </c>
      <c r="AA438">
        <v>2007</v>
      </c>
      <c r="AB438">
        <v>9999</v>
      </c>
      <c r="AC438" t="s">
        <v>35</v>
      </c>
    </row>
    <row r="439" spans="1:29" x14ac:dyDescent="0.25">
      <c r="A439" s="31" t="s">
        <v>670</v>
      </c>
      <c r="B439" s="23" t="s">
        <v>671</v>
      </c>
      <c r="D439">
        <v>1</v>
      </c>
      <c r="E439" t="s">
        <v>80</v>
      </c>
      <c r="F439">
        <v>8</v>
      </c>
      <c r="G439">
        <v>2025</v>
      </c>
      <c r="I439" s="8">
        <v>226.15</v>
      </c>
      <c r="J439" t="s">
        <v>81</v>
      </c>
      <c r="K439" t="s">
        <v>47</v>
      </c>
      <c r="M439">
        <v>1</v>
      </c>
      <c r="N439">
        <v>0</v>
      </c>
      <c r="O439">
        <v>0</v>
      </c>
      <c r="P439">
        <v>0</v>
      </c>
      <c r="Q439">
        <v>0</v>
      </c>
      <c r="R439">
        <v>0</v>
      </c>
      <c r="S439">
        <v>1</v>
      </c>
      <c r="T439">
        <v>1</v>
      </c>
      <c r="U439">
        <v>1</v>
      </c>
      <c r="V439">
        <v>0</v>
      </c>
      <c r="W439" t="s">
        <v>1498</v>
      </c>
      <c r="X439" t="s">
        <v>1757</v>
      </c>
      <c r="Y439">
        <v>0</v>
      </c>
      <c r="Z439">
        <v>0</v>
      </c>
      <c r="AA439">
        <v>2007</v>
      </c>
      <c r="AB439">
        <v>9999</v>
      </c>
      <c r="AC439" t="s">
        <v>35</v>
      </c>
    </row>
    <row r="440" spans="1:29" x14ac:dyDescent="0.25">
      <c r="A440" s="31" t="s">
        <v>673</v>
      </c>
      <c r="B440" s="23" t="s">
        <v>1321</v>
      </c>
      <c r="D440">
        <v>1</v>
      </c>
      <c r="E440" t="s">
        <v>358</v>
      </c>
      <c r="F440">
        <v>1</v>
      </c>
      <c r="G440">
        <v>2025</v>
      </c>
      <c r="I440" s="8">
        <v>385.7</v>
      </c>
      <c r="J440" t="s">
        <v>81</v>
      </c>
      <c r="K440" t="s">
        <v>47</v>
      </c>
      <c r="M440">
        <v>1</v>
      </c>
      <c r="N440">
        <v>0</v>
      </c>
      <c r="O440">
        <v>0</v>
      </c>
      <c r="P440">
        <v>0</v>
      </c>
      <c r="Q440">
        <v>0</v>
      </c>
      <c r="R440">
        <v>0</v>
      </c>
      <c r="S440">
        <v>1</v>
      </c>
      <c r="T440">
        <v>1</v>
      </c>
      <c r="U440">
        <v>1</v>
      </c>
      <c r="V440">
        <v>0</v>
      </c>
      <c r="W440" t="s">
        <v>1322</v>
      </c>
      <c r="X440" t="s">
        <v>1882</v>
      </c>
      <c r="Y440">
        <v>0</v>
      </c>
      <c r="Z440">
        <v>2</v>
      </c>
      <c r="AA440">
        <v>2007</v>
      </c>
      <c r="AB440">
        <v>9999</v>
      </c>
      <c r="AC440" t="s">
        <v>35</v>
      </c>
    </row>
    <row r="441" spans="1:29" x14ac:dyDescent="0.25">
      <c r="A441" s="31" t="s">
        <v>676</v>
      </c>
      <c r="B441" s="23" t="s">
        <v>677</v>
      </c>
      <c r="C441" t="s">
        <v>678</v>
      </c>
      <c r="D441">
        <v>1</v>
      </c>
      <c r="E441" t="s">
        <v>168</v>
      </c>
      <c r="F441">
        <v>1</v>
      </c>
      <c r="G441">
        <v>2025</v>
      </c>
      <c r="I441" s="8">
        <v>221.84</v>
      </c>
      <c r="J441" t="s">
        <v>52</v>
      </c>
      <c r="K441" t="s">
        <v>32</v>
      </c>
      <c r="M441">
        <v>0</v>
      </c>
      <c r="N441">
        <v>0</v>
      </c>
      <c r="O441">
        <v>0</v>
      </c>
      <c r="P441">
        <v>0</v>
      </c>
      <c r="Q441">
        <v>0</v>
      </c>
      <c r="R441">
        <v>0</v>
      </c>
      <c r="S441">
        <v>1</v>
      </c>
      <c r="T441">
        <v>1</v>
      </c>
      <c r="U441">
        <v>1</v>
      </c>
      <c r="V441">
        <v>0</v>
      </c>
      <c r="W441" t="s">
        <v>1759</v>
      </c>
      <c r="X441" t="s">
        <v>1883</v>
      </c>
      <c r="Y441">
        <v>1</v>
      </c>
      <c r="Z441">
        <v>0</v>
      </c>
      <c r="AA441">
        <v>2007</v>
      </c>
      <c r="AB441">
        <v>9999</v>
      </c>
      <c r="AC441" t="s">
        <v>35</v>
      </c>
    </row>
    <row r="442" spans="1:29" x14ac:dyDescent="0.25">
      <c r="A442" s="31" t="s">
        <v>688</v>
      </c>
      <c r="B442" s="23" t="s">
        <v>689</v>
      </c>
      <c r="D442">
        <v>1</v>
      </c>
      <c r="E442" t="s">
        <v>145</v>
      </c>
      <c r="F442">
        <v>2</v>
      </c>
      <c r="G442">
        <v>2025</v>
      </c>
      <c r="H442" t="s">
        <v>146</v>
      </c>
      <c r="I442">
        <v>0.2</v>
      </c>
      <c r="J442" t="s">
        <v>147</v>
      </c>
      <c r="K442" t="s">
        <v>41</v>
      </c>
      <c r="M442">
        <v>0</v>
      </c>
      <c r="N442">
        <v>0</v>
      </c>
      <c r="O442">
        <v>0</v>
      </c>
      <c r="P442">
        <v>0</v>
      </c>
      <c r="Q442">
        <v>0</v>
      </c>
      <c r="R442">
        <v>0</v>
      </c>
      <c r="S442">
        <v>0</v>
      </c>
      <c r="T442">
        <v>0</v>
      </c>
      <c r="U442">
        <v>0</v>
      </c>
      <c r="V442">
        <v>0</v>
      </c>
      <c r="W442" t="s">
        <v>1154</v>
      </c>
      <c r="X442" t="s">
        <v>1760</v>
      </c>
      <c r="Y442">
        <v>0</v>
      </c>
      <c r="Z442">
        <v>0</v>
      </c>
      <c r="AA442">
        <v>2007</v>
      </c>
      <c r="AB442">
        <v>9999</v>
      </c>
      <c r="AC442" t="s">
        <v>35</v>
      </c>
    </row>
    <row r="443" spans="1:29" x14ac:dyDescent="0.25">
      <c r="A443" s="31" t="s">
        <v>691</v>
      </c>
      <c r="B443" s="23" t="s">
        <v>692</v>
      </c>
      <c r="D443">
        <v>1</v>
      </c>
      <c r="E443" t="s">
        <v>625</v>
      </c>
      <c r="F443">
        <v>4</v>
      </c>
      <c r="G443">
        <v>2025</v>
      </c>
      <c r="I443" s="8">
        <v>27.1</v>
      </c>
      <c r="J443" t="s">
        <v>104</v>
      </c>
      <c r="K443" t="s">
        <v>32</v>
      </c>
      <c r="M443">
        <v>0</v>
      </c>
      <c r="N443">
        <v>0</v>
      </c>
      <c r="O443">
        <v>0</v>
      </c>
      <c r="P443">
        <v>0</v>
      </c>
      <c r="Q443">
        <v>0</v>
      </c>
      <c r="R443">
        <v>0</v>
      </c>
      <c r="S443">
        <v>1</v>
      </c>
      <c r="T443">
        <v>1</v>
      </c>
      <c r="U443">
        <v>1</v>
      </c>
      <c r="V443">
        <v>0</v>
      </c>
      <c r="W443" t="s">
        <v>1155</v>
      </c>
      <c r="X443" t="s">
        <v>1761</v>
      </c>
      <c r="Y443">
        <v>0</v>
      </c>
      <c r="Z443">
        <v>0</v>
      </c>
      <c r="AA443">
        <v>2007</v>
      </c>
      <c r="AB443">
        <v>9999</v>
      </c>
      <c r="AC443" t="s">
        <v>35</v>
      </c>
    </row>
    <row r="444" spans="1:29" x14ac:dyDescent="0.25">
      <c r="A444" s="31" t="s">
        <v>694</v>
      </c>
      <c r="B444" s="23" t="s">
        <v>695</v>
      </c>
      <c r="C444" t="s">
        <v>696</v>
      </c>
      <c r="D444">
        <v>1</v>
      </c>
      <c r="E444" t="s">
        <v>58</v>
      </c>
      <c r="F444">
        <v>4</v>
      </c>
      <c r="G444">
        <v>2025</v>
      </c>
      <c r="I444" s="8">
        <v>133.25</v>
      </c>
      <c r="J444" t="s">
        <v>59</v>
      </c>
      <c r="K444" t="s">
        <v>47</v>
      </c>
      <c r="M444">
        <v>0</v>
      </c>
      <c r="N444">
        <v>0</v>
      </c>
      <c r="O444">
        <v>0</v>
      </c>
      <c r="P444">
        <v>0</v>
      </c>
      <c r="Q444">
        <v>0</v>
      </c>
      <c r="R444">
        <v>0</v>
      </c>
      <c r="S444">
        <v>1</v>
      </c>
      <c r="T444">
        <v>1</v>
      </c>
      <c r="U444">
        <v>1</v>
      </c>
      <c r="V444">
        <v>0</v>
      </c>
      <c r="W444" t="s">
        <v>1156</v>
      </c>
      <c r="X444" t="s">
        <v>1762</v>
      </c>
      <c r="Y444">
        <v>0</v>
      </c>
      <c r="Z444">
        <v>0</v>
      </c>
      <c r="AA444">
        <v>2007</v>
      </c>
      <c r="AB444">
        <v>9999</v>
      </c>
      <c r="AC444" t="s">
        <v>35</v>
      </c>
    </row>
    <row r="445" spans="1:29" x14ac:dyDescent="0.25">
      <c r="A445" s="31" t="s">
        <v>698</v>
      </c>
      <c r="B445" s="23" t="s">
        <v>699</v>
      </c>
      <c r="D445">
        <v>1</v>
      </c>
      <c r="E445" t="s">
        <v>155</v>
      </c>
      <c r="F445">
        <v>3</v>
      </c>
      <c r="G445">
        <v>2025</v>
      </c>
      <c r="H445" t="s">
        <v>700</v>
      </c>
      <c r="I445">
        <v>5.4900398406374498</v>
      </c>
      <c r="J445" t="s">
        <v>121</v>
      </c>
      <c r="K445" t="s">
        <v>47</v>
      </c>
      <c r="M445">
        <v>0</v>
      </c>
      <c r="N445">
        <v>0</v>
      </c>
      <c r="O445">
        <v>0</v>
      </c>
      <c r="P445">
        <v>0</v>
      </c>
      <c r="Q445">
        <v>0</v>
      </c>
      <c r="R445">
        <v>0</v>
      </c>
      <c r="S445">
        <v>1</v>
      </c>
      <c r="T445">
        <v>0</v>
      </c>
      <c r="U445">
        <v>0</v>
      </c>
      <c r="V445">
        <v>1</v>
      </c>
      <c r="W445" t="s">
        <v>1157</v>
      </c>
      <c r="X445" t="s">
        <v>1763</v>
      </c>
      <c r="Y445">
        <v>0</v>
      </c>
      <c r="Z445">
        <v>0</v>
      </c>
      <c r="AA445">
        <v>2007</v>
      </c>
      <c r="AB445">
        <v>9999</v>
      </c>
      <c r="AC445" t="s">
        <v>35</v>
      </c>
    </row>
    <row r="446" spans="1:29" x14ac:dyDescent="0.25">
      <c r="A446" s="31" t="s">
        <v>702</v>
      </c>
      <c r="B446" s="23" t="s">
        <v>703</v>
      </c>
      <c r="D446">
        <v>1</v>
      </c>
      <c r="E446" t="s">
        <v>155</v>
      </c>
      <c r="F446">
        <v>3</v>
      </c>
      <c r="G446">
        <v>2025</v>
      </c>
      <c r="H446" t="s">
        <v>704</v>
      </c>
      <c r="I446">
        <v>0.9</v>
      </c>
      <c r="J446" t="s">
        <v>121</v>
      </c>
      <c r="K446" t="s">
        <v>41</v>
      </c>
      <c r="M446">
        <v>0</v>
      </c>
      <c r="N446">
        <v>0</v>
      </c>
      <c r="O446">
        <v>0</v>
      </c>
      <c r="P446">
        <v>0</v>
      </c>
      <c r="Q446">
        <v>0</v>
      </c>
      <c r="R446">
        <v>0</v>
      </c>
      <c r="S446">
        <v>0</v>
      </c>
      <c r="T446">
        <v>0</v>
      </c>
      <c r="U446">
        <v>0</v>
      </c>
      <c r="V446">
        <v>1</v>
      </c>
      <c r="W446" t="s">
        <v>1158</v>
      </c>
      <c r="X446" t="s">
        <v>1764</v>
      </c>
      <c r="Y446">
        <v>0</v>
      </c>
      <c r="Z446">
        <v>0</v>
      </c>
      <c r="AA446">
        <v>2007</v>
      </c>
      <c r="AB446">
        <v>9999</v>
      </c>
      <c r="AC446" t="s">
        <v>35</v>
      </c>
    </row>
    <row r="447" spans="1:29" x14ac:dyDescent="0.25">
      <c r="A447" s="31" t="s">
        <v>706</v>
      </c>
      <c r="B447" s="23" t="s">
        <v>707</v>
      </c>
      <c r="C447" t="s">
        <v>708</v>
      </c>
      <c r="D447">
        <v>1</v>
      </c>
      <c r="E447" t="s">
        <v>155</v>
      </c>
      <c r="F447">
        <v>3</v>
      </c>
      <c r="G447">
        <v>2025</v>
      </c>
      <c r="I447" s="8">
        <v>515.67999999999995</v>
      </c>
      <c r="J447" t="s">
        <v>121</v>
      </c>
      <c r="K447" t="s">
        <v>47</v>
      </c>
      <c r="M447">
        <v>1</v>
      </c>
      <c r="N447">
        <v>0</v>
      </c>
      <c r="O447">
        <v>0</v>
      </c>
      <c r="P447">
        <v>0</v>
      </c>
      <c r="Q447">
        <v>0</v>
      </c>
      <c r="R447">
        <v>0</v>
      </c>
      <c r="S447">
        <v>1</v>
      </c>
      <c r="T447">
        <v>1</v>
      </c>
      <c r="U447">
        <v>1</v>
      </c>
      <c r="V447">
        <v>0</v>
      </c>
      <c r="W447" t="s">
        <v>1159</v>
      </c>
      <c r="X447" t="s">
        <v>1765</v>
      </c>
      <c r="Y447">
        <v>0</v>
      </c>
      <c r="Z447">
        <v>0</v>
      </c>
      <c r="AA447">
        <v>2007</v>
      </c>
      <c r="AB447">
        <v>9999</v>
      </c>
      <c r="AC447" t="s">
        <v>35</v>
      </c>
    </row>
    <row r="448" spans="1:29" x14ac:dyDescent="0.25">
      <c r="A448" s="31" t="s">
        <v>710</v>
      </c>
      <c r="B448" s="23" t="s">
        <v>711</v>
      </c>
      <c r="D448">
        <v>1</v>
      </c>
      <c r="E448" t="s">
        <v>712</v>
      </c>
      <c r="F448">
        <v>9</v>
      </c>
      <c r="G448">
        <v>2025</v>
      </c>
      <c r="I448" s="8">
        <v>120.31</v>
      </c>
      <c r="J448" t="s">
        <v>104</v>
      </c>
      <c r="K448" t="s">
        <v>41</v>
      </c>
      <c r="M448">
        <v>0</v>
      </c>
      <c r="N448">
        <v>0</v>
      </c>
      <c r="O448">
        <v>0</v>
      </c>
      <c r="P448">
        <v>0</v>
      </c>
      <c r="Q448">
        <v>0</v>
      </c>
      <c r="R448">
        <v>0</v>
      </c>
      <c r="S448">
        <v>0</v>
      </c>
      <c r="T448">
        <v>1</v>
      </c>
      <c r="U448">
        <v>1</v>
      </c>
      <c r="V448">
        <v>0</v>
      </c>
      <c r="W448" t="s">
        <v>1406</v>
      </c>
      <c r="X448" t="s">
        <v>1884</v>
      </c>
      <c r="Y448">
        <v>0</v>
      </c>
      <c r="Z448">
        <v>0</v>
      </c>
      <c r="AA448">
        <v>2007</v>
      </c>
      <c r="AB448">
        <v>9999</v>
      </c>
      <c r="AC448" t="s">
        <v>35</v>
      </c>
    </row>
    <row r="449" spans="1:29" x14ac:dyDescent="0.25">
      <c r="A449" s="31" t="s">
        <v>714</v>
      </c>
      <c r="B449" s="23" t="s">
        <v>715</v>
      </c>
      <c r="D449">
        <v>1</v>
      </c>
      <c r="E449" t="s">
        <v>80</v>
      </c>
      <c r="F449">
        <v>8</v>
      </c>
      <c r="G449">
        <v>2025</v>
      </c>
      <c r="I449">
        <v>58.85</v>
      </c>
      <c r="J449" t="s">
        <v>81</v>
      </c>
      <c r="K449" t="s">
        <v>76</v>
      </c>
      <c r="M449">
        <v>0</v>
      </c>
      <c r="N449">
        <v>0</v>
      </c>
      <c r="O449">
        <v>0</v>
      </c>
      <c r="P449">
        <v>0</v>
      </c>
      <c r="Q449">
        <v>0</v>
      </c>
      <c r="R449">
        <v>0</v>
      </c>
      <c r="S449">
        <v>0</v>
      </c>
      <c r="T449">
        <v>1</v>
      </c>
      <c r="U449">
        <v>1</v>
      </c>
      <c r="V449">
        <v>0</v>
      </c>
      <c r="W449" t="s">
        <v>1323</v>
      </c>
      <c r="X449" t="s">
        <v>1767</v>
      </c>
      <c r="Y449">
        <v>0</v>
      </c>
      <c r="Z449">
        <v>0</v>
      </c>
      <c r="AA449">
        <v>2007</v>
      </c>
      <c r="AB449">
        <v>9999</v>
      </c>
      <c r="AC449" t="s">
        <v>35</v>
      </c>
    </row>
    <row r="450" spans="1:29" x14ac:dyDescent="0.25">
      <c r="A450" s="31" t="s">
        <v>717</v>
      </c>
      <c r="B450" s="23" t="s">
        <v>718</v>
      </c>
      <c r="D450">
        <v>1</v>
      </c>
      <c r="E450" t="s">
        <v>51</v>
      </c>
      <c r="F450">
        <v>1</v>
      </c>
      <c r="G450">
        <v>2025</v>
      </c>
      <c r="I450">
        <v>50</v>
      </c>
      <c r="J450" t="s">
        <v>52</v>
      </c>
      <c r="K450" t="s">
        <v>53</v>
      </c>
      <c r="L450" t="s">
        <v>54</v>
      </c>
      <c r="M450">
        <v>0</v>
      </c>
      <c r="N450">
        <v>0</v>
      </c>
      <c r="O450">
        <v>0</v>
      </c>
      <c r="P450">
        <v>0</v>
      </c>
      <c r="Q450">
        <v>1</v>
      </c>
      <c r="R450">
        <v>0</v>
      </c>
      <c r="S450">
        <v>0</v>
      </c>
      <c r="T450">
        <v>0</v>
      </c>
      <c r="U450">
        <v>1</v>
      </c>
      <c r="V450">
        <v>0</v>
      </c>
      <c r="W450" t="s">
        <v>55</v>
      </c>
      <c r="X450" t="s">
        <v>1768</v>
      </c>
      <c r="Y450">
        <v>0</v>
      </c>
      <c r="Z450">
        <v>0</v>
      </c>
      <c r="AA450">
        <v>2007</v>
      </c>
      <c r="AB450">
        <v>9999</v>
      </c>
      <c r="AC450" t="s">
        <v>35</v>
      </c>
    </row>
    <row r="451" spans="1:29" x14ac:dyDescent="0.25">
      <c r="A451" s="31" t="s">
        <v>719</v>
      </c>
      <c r="B451" s="23" t="s">
        <v>720</v>
      </c>
      <c r="D451">
        <v>1</v>
      </c>
      <c r="E451" t="s">
        <v>51</v>
      </c>
      <c r="F451">
        <v>1</v>
      </c>
      <c r="G451">
        <v>2025</v>
      </c>
      <c r="I451">
        <v>30.4</v>
      </c>
      <c r="J451" t="s">
        <v>52</v>
      </c>
      <c r="K451" t="s">
        <v>53</v>
      </c>
      <c r="L451" t="s">
        <v>54</v>
      </c>
      <c r="M451">
        <v>0</v>
      </c>
      <c r="N451">
        <v>0</v>
      </c>
      <c r="O451">
        <v>0</v>
      </c>
      <c r="P451">
        <v>0</v>
      </c>
      <c r="Q451">
        <v>1</v>
      </c>
      <c r="R451">
        <v>0</v>
      </c>
      <c r="S451">
        <v>0</v>
      </c>
      <c r="T451">
        <v>0</v>
      </c>
      <c r="U451">
        <v>1</v>
      </c>
      <c r="V451">
        <v>0</v>
      </c>
      <c r="W451" t="s">
        <v>721</v>
      </c>
      <c r="X451" t="s">
        <v>1768</v>
      </c>
      <c r="Y451">
        <v>0</v>
      </c>
      <c r="Z451">
        <v>0</v>
      </c>
      <c r="AA451">
        <v>2007</v>
      </c>
      <c r="AB451">
        <v>9999</v>
      </c>
      <c r="AC451" t="s">
        <v>35</v>
      </c>
    </row>
    <row r="452" spans="1:29" x14ac:dyDescent="0.25">
      <c r="A452" s="31" t="s">
        <v>722</v>
      </c>
      <c r="B452" s="23" t="s">
        <v>723</v>
      </c>
      <c r="D452">
        <v>1</v>
      </c>
      <c r="E452" t="s">
        <v>724</v>
      </c>
      <c r="F452">
        <v>4</v>
      </c>
      <c r="G452">
        <v>2025</v>
      </c>
      <c r="I452" s="8">
        <v>1429.85</v>
      </c>
      <c r="J452" t="s">
        <v>1608</v>
      </c>
      <c r="K452" t="s">
        <v>32</v>
      </c>
      <c r="L452" t="s">
        <v>33</v>
      </c>
      <c r="M452">
        <v>0</v>
      </c>
      <c r="N452">
        <v>0</v>
      </c>
      <c r="O452">
        <v>0</v>
      </c>
      <c r="P452">
        <v>0</v>
      </c>
      <c r="Q452">
        <v>0</v>
      </c>
      <c r="R452">
        <v>1</v>
      </c>
      <c r="S452">
        <v>1</v>
      </c>
      <c r="T452">
        <v>1</v>
      </c>
      <c r="U452">
        <v>1</v>
      </c>
      <c r="V452">
        <v>0</v>
      </c>
      <c r="W452" t="s">
        <v>1161</v>
      </c>
      <c r="X452" t="s">
        <v>1769</v>
      </c>
      <c r="Y452">
        <v>0</v>
      </c>
      <c r="Z452">
        <v>0</v>
      </c>
      <c r="AA452">
        <v>2007</v>
      </c>
      <c r="AB452">
        <v>9999</v>
      </c>
      <c r="AC452" t="s">
        <v>35</v>
      </c>
    </row>
    <row r="453" spans="1:29" x14ac:dyDescent="0.25">
      <c r="A453" s="31" t="s">
        <v>726</v>
      </c>
      <c r="B453" s="23" t="s">
        <v>727</v>
      </c>
      <c r="D453">
        <v>1</v>
      </c>
      <c r="E453" t="s">
        <v>85</v>
      </c>
      <c r="F453">
        <v>1</v>
      </c>
      <c r="G453">
        <v>2025</v>
      </c>
      <c r="H453" t="s">
        <v>205</v>
      </c>
      <c r="I453">
        <v>7.5</v>
      </c>
      <c r="J453" t="s">
        <v>52</v>
      </c>
      <c r="K453" t="s">
        <v>41</v>
      </c>
      <c r="M453">
        <v>0</v>
      </c>
      <c r="N453">
        <v>0</v>
      </c>
      <c r="O453">
        <v>0</v>
      </c>
      <c r="P453">
        <v>0</v>
      </c>
      <c r="Q453">
        <v>0</v>
      </c>
      <c r="R453">
        <v>0</v>
      </c>
      <c r="S453">
        <v>0</v>
      </c>
      <c r="T453">
        <v>0</v>
      </c>
      <c r="U453">
        <v>0</v>
      </c>
      <c r="V453">
        <v>0</v>
      </c>
      <c r="W453" t="s">
        <v>1162</v>
      </c>
      <c r="X453" t="s">
        <v>1770</v>
      </c>
      <c r="Y453">
        <v>0</v>
      </c>
      <c r="Z453">
        <v>0</v>
      </c>
      <c r="AA453">
        <v>2007</v>
      </c>
      <c r="AB453">
        <v>9999</v>
      </c>
      <c r="AC453" t="s">
        <v>35</v>
      </c>
    </row>
    <row r="454" spans="1:29" x14ac:dyDescent="0.25">
      <c r="A454" s="31" t="s">
        <v>729</v>
      </c>
      <c r="B454" s="23" t="s">
        <v>205</v>
      </c>
      <c r="D454">
        <v>1</v>
      </c>
      <c r="E454" t="s">
        <v>168</v>
      </c>
      <c r="F454">
        <v>1</v>
      </c>
      <c r="G454">
        <v>2025</v>
      </c>
      <c r="I454" s="8">
        <v>8906.0499999999993</v>
      </c>
      <c r="J454" t="s">
        <v>52</v>
      </c>
      <c r="K454" t="s">
        <v>32</v>
      </c>
      <c r="M454">
        <v>0</v>
      </c>
      <c r="N454">
        <v>1</v>
      </c>
      <c r="O454">
        <v>0</v>
      </c>
      <c r="P454">
        <v>0</v>
      </c>
      <c r="Q454">
        <v>0</v>
      </c>
      <c r="R454">
        <v>0</v>
      </c>
      <c r="S454">
        <v>1</v>
      </c>
      <c r="T454">
        <v>1</v>
      </c>
      <c r="U454">
        <v>1</v>
      </c>
      <c r="V454">
        <v>0</v>
      </c>
      <c r="W454" t="s">
        <v>1555</v>
      </c>
      <c r="X454" t="s">
        <v>1885</v>
      </c>
      <c r="Y454">
        <v>2</v>
      </c>
      <c r="Z454">
        <v>0</v>
      </c>
      <c r="AA454">
        <v>2007</v>
      </c>
      <c r="AB454">
        <v>9999</v>
      </c>
      <c r="AC454" t="s">
        <v>35</v>
      </c>
    </row>
    <row r="455" spans="1:29" x14ac:dyDescent="0.25">
      <c r="A455" s="31" t="s">
        <v>731</v>
      </c>
      <c r="B455" s="23" t="s">
        <v>732</v>
      </c>
      <c r="D455">
        <v>1</v>
      </c>
      <c r="E455" t="s">
        <v>51</v>
      </c>
      <c r="F455">
        <v>10</v>
      </c>
      <c r="G455">
        <v>2025</v>
      </c>
      <c r="H455" t="s">
        <v>39</v>
      </c>
      <c r="I455">
        <v>2</v>
      </c>
      <c r="J455" t="s">
        <v>52</v>
      </c>
      <c r="K455" t="s">
        <v>41</v>
      </c>
      <c r="M455">
        <v>0</v>
      </c>
      <c r="N455">
        <v>0</v>
      </c>
      <c r="O455">
        <v>0</v>
      </c>
      <c r="P455">
        <v>0</v>
      </c>
      <c r="Q455">
        <v>0</v>
      </c>
      <c r="R455">
        <v>0</v>
      </c>
      <c r="S455">
        <v>0</v>
      </c>
      <c r="T455">
        <v>0</v>
      </c>
      <c r="U455">
        <v>0</v>
      </c>
      <c r="V455">
        <v>0</v>
      </c>
      <c r="W455" t="s">
        <v>1164</v>
      </c>
      <c r="X455" t="s">
        <v>1772</v>
      </c>
      <c r="Y455">
        <v>0</v>
      </c>
      <c r="Z455">
        <v>0</v>
      </c>
      <c r="AA455">
        <v>2007</v>
      </c>
      <c r="AB455">
        <v>9999</v>
      </c>
      <c r="AC455" t="s">
        <v>35</v>
      </c>
    </row>
    <row r="456" spans="1:29" x14ac:dyDescent="0.25">
      <c r="A456" s="31" t="s">
        <v>734</v>
      </c>
      <c r="B456" s="23" t="s">
        <v>735</v>
      </c>
      <c r="D456">
        <v>1</v>
      </c>
      <c r="E456" t="s">
        <v>736</v>
      </c>
      <c r="F456">
        <v>4</v>
      </c>
      <c r="G456">
        <v>2025</v>
      </c>
      <c r="I456" s="8">
        <v>635.65</v>
      </c>
      <c r="J456" t="s">
        <v>1608</v>
      </c>
      <c r="K456" t="s">
        <v>32</v>
      </c>
      <c r="M456">
        <v>0</v>
      </c>
      <c r="N456">
        <v>0</v>
      </c>
      <c r="O456">
        <v>0</v>
      </c>
      <c r="P456">
        <v>0</v>
      </c>
      <c r="Q456">
        <v>0</v>
      </c>
      <c r="R456">
        <v>0</v>
      </c>
      <c r="S456">
        <v>1</v>
      </c>
      <c r="T456">
        <v>1</v>
      </c>
      <c r="U456">
        <v>1</v>
      </c>
      <c r="V456">
        <v>0</v>
      </c>
      <c r="W456" t="s">
        <v>1324</v>
      </c>
      <c r="X456" t="s">
        <v>1773</v>
      </c>
      <c r="Y456">
        <v>0</v>
      </c>
      <c r="Z456">
        <v>0</v>
      </c>
      <c r="AA456">
        <v>2007</v>
      </c>
      <c r="AB456">
        <v>9999</v>
      </c>
      <c r="AC456" t="s">
        <v>35</v>
      </c>
    </row>
    <row r="457" spans="1:29" x14ac:dyDescent="0.25">
      <c r="A457" s="31" t="s">
        <v>1499</v>
      </c>
      <c r="B457" s="23" t="s">
        <v>1500</v>
      </c>
      <c r="D457">
        <v>1</v>
      </c>
      <c r="E457" s="4">
        <v>960</v>
      </c>
      <c r="F457">
        <v>9</v>
      </c>
      <c r="G457">
        <v>2025</v>
      </c>
      <c r="I457" s="8">
        <v>20.5</v>
      </c>
      <c r="J457" t="s">
        <v>104</v>
      </c>
      <c r="K457" t="s">
        <v>47</v>
      </c>
      <c r="M457">
        <v>0</v>
      </c>
      <c r="N457">
        <v>0</v>
      </c>
      <c r="O457">
        <v>0</v>
      </c>
      <c r="P457">
        <v>0</v>
      </c>
      <c r="Q457">
        <v>0</v>
      </c>
      <c r="R457">
        <v>0</v>
      </c>
      <c r="S457">
        <v>1</v>
      </c>
      <c r="T457">
        <v>1</v>
      </c>
      <c r="U457">
        <v>1</v>
      </c>
      <c r="V457">
        <v>0</v>
      </c>
      <c r="W457" t="s">
        <v>1501</v>
      </c>
      <c r="X457" t="s">
        <v>1886</v>
      </c>
      <c r="Y457">
        <v>2</v>
      </c>
      <c r="Z457">
        <v>0</v>
      </c>
      <c r="AA457">
        <v>2015</v>
      </c>
      <c r="AB457">
        <v>9999</v>
      </c>
      <c r="AC457" t="s">
        <v>1475</v>
      </c>
    </row>
    <row r="458" spans="1:29" x14ac:dyDescent="0.25">
      <c r="A458" s="31" t="s">
        <v>738</v>
      </c>
      <c r="B458" s="23" t="s">
        <v>739</v>
      </c>
      <c r="D458">
        <v>1</v>
      </c>
      <c r="E458" t="s">
        <v>128</v>
      </c>
      <c r="F458">
        <v>9</v>
      </c>
      <c r="G458">
        <v>2025</v>
      </c>
      <c r="H458" t="s">
        <v>1262</v>
      </c>
      <c r="I458">
        <v>16</v>
      </c>
      <c r="J458" t="s">
        <v>104</v>
      </c>
      <c r="K458" t="s">
        <v>41</v>
      </c>
      <c r="M458">
        <v>0</v>
      </c>
      <c r="N458">
        <v>0</v>
      </c>
      <c r="O458">
        <v>0</v>
      </c>
      <c r="P458">
        <v>0</v>
      </c>
      <c r="Q458">
        <v>0</v>
      </c>
      <c r="R458">
        <v>0</v>
      </c>
      <c r="S458">
        <v>0</v>
      </c>
      <c r="T458">
        <v>0</v>
      </c>
      <c r="U458">
        <v>0</v>
      </c>
      <c r="V458">
        <v>0</v>
      </c>
      <c r="W458" t="s">
        <v>1166</v>
      </c>
      <c r="X458" t="s">
        <v>1775</v>
      </c>
      <c r="Y458">
        <v>0</v>
      </c>
      <c r="Z458">
        <v>0</v>
      </c>
      <c r="AA458">
        <v>2007</v>
      </c>
      <c r="AB458">
        <v>9999</v>
      </c>
      <c r="AC458" t="s">
        <v>35</v>
      </c>
    </row>
    <row r="459" spans="1:29" x14ac:dyDescent="0.25">
      <c r="A459" s="31" t="s">
        <v>745</v>
      </c>
      <c r="B459" s="23" t="s">
        <v>746</v>
      </c>
      <c r="D459">
        <v>1</v>
      </c>
      <c r="E459" t="s">
        <v>468</v>
      </c>
      <c r="F459">
        <v>7</v>
      </c>
      <c r="G459">
        <v>2025</v>
      </c>
      <c r="I459" s="8">
        <v>946.07</v>
      </c>
      <c r="J459" t="s">
        <v>40</v>
      </c>
      <c r="K459" t="s">
        <v>32</v>
      </c>
      <c r="M459">
        <v>0</v>
      </c>
      <c r="N459">
        <v>0</v>
      </c>
      <c r="O459">
        <v>0</v>
      </c>
      <c r="P459">
        <v>0</v>
      </c>
      <c r="Q459">
        <v>0</v>
      </c>
      <c r="R459">
        <v>0</v>
      </c>
      <c r="S459">
        <v>1</v>
      </c>
      <c r="T459">
        <v>1</v>
      </c>
      <c r="U459">
        <v>1</v>
      </c>
      <c r="V459">
        <v>0</v>
      </c>
      <c r="W459" t="s">
        <v>1516</v>
      </c>
      <c r="X459" t="s">
        <v>1887</v>
      </c>
      <c r="Y459">
        <v>2</v>
      </c>
      <c r="Z459">
        <v>2</v>
      </c>
      <c r="AA459">
        <v>2007</v>
      </c>
      <c r="AB459">
        <v>9999</v>
      </c>
      <c r="AC459" t="s">
        <v>35</v>
      </c>
    </row>
    <row r="460" spans="1:29" x14ac:dyDescent="0.25">
      <c r="A460" s="31" t="s">
        <v>1263</v>
      </c>
      <c r="B460" s="23" t="s">
        <v>1264</v>
      </c>
      <c r="C460" t="s">
        <v>1265</v>
      </c>
      <c r="D460">
        <v>1</v>
      </c>
      <c r="E460" t="s">
        <v>712</v>
      </c>
      <c r="F460">
        <v>9</v>
      </c>
      <c r="G460">
        <v>2025</v>
      </c>
      <c r="I460" s="8">
        <v>1062.27</v>
      </c>
      <c r="J460" t="s">
        <v>104</v>
      </c>
      <c r="K460" t="s">
        <v>47</v>
      </c>
      <c r="M460">
        <v>1</v>
      </c>
      <c r="N460">
        <v>0</v>
      </c>
      <c r="O460">
        <v>0</v>
      </c>
      <c r="P460">
        <v>0</v>
      </c>
      <c r="Q460">
        <v>0</v>
      </c>
      <c r="R460">
        <v>0</v>
      </c>
      <c r="S460">
        <v>1</v>
      </c>
      <c r="T460">
        <v>1</v>
      </c>
      <c r="U460">
        <v>1</v>
      </c>
      <c r="V460">
        <v>0</v>
      </c>
      <c r="W460" t="s">
        <v>1407</v>
      </c>
      <c r="X460" t="s">
        <v>1888</v>
      </c>
      <c r="Y460">
        <v>1</v>
      </c>
      <c r="Z460">
        <v>0</v>
      </c>
      <c r="AA460">
        <v>2009</v>
      </c>
      <c r="AB460">
        <v>9999</v>
      </c>
      <c r="AC460" t="s">
        <v>1239</v>
      </c>
    </row>
    <row r="461" spans="1:29" x14ac:dyDescent="0.25">
      <c r="A461" s="31" t="s">
        <v>447</v>
      </c>
      <c r="B461" s="23" t="s">
        <v>1571</v>
      </c>
      <c r="D461">
        <v>1</v>
      </c>
      <c r="E461" t="s">
        <v>45</v>
      </c>
      <c r="F461">
        <v>4</v>
      </c>
      <c r="G461">
        <v>2025</v>
      </c>
      <c r="I461" s="8">
        <v>67.8</v>
      </c>
      <c r="J461" t="s">
        <v>52</v>
      </c>
      <c r="K461" t="s">
        <v>32</v>
      </c>
      <c r="M461">
        <v>0</v>
      </c>
      <c r="N461">
        <v>0</v>
      </c>
      <c r="O461">
        <v>0</v>
      </c>
      <c r="P461">
        <v>0</v>
      </c>
      <c r="Q461">
        <v>0</v>
      </c>
      <c r="R461">
        <v>0</v>
      </c>
      <c r="S461">
        <v>1</v>
      </c>
      <c r="T461">
        <v>1</v>
      </c>
      <c r="U461">
        <v>1</v>
      </c>
      <c r="V461">
        <v>0</v>
      </c>
      <c r="W461" t="s">
        <v>1572</v>
      </c>
      <c r="X461" t="s">
        <v>1889</v>
      </c>
      <c r="Y461">
        <v>0</v>
      </c>
      <c r="Z461">
        <v>2</v>
      </c>
      <c r="AA461">
        <v>2007</v>
      </c>
      <c r="AB461">
        <v>9999</v>
      </c>
      <c r="AC461" t="s">
        <v>35</v>
      </c>
    </row>
    <row r="462" spans="1:29" x14ac:dyDescent="0.25">
      <c r="A462" s="31" t="s">
        <v>754</v>
      </c>
      <c r="B462" s="23" t="s">
        <v>755</v>
      </c>
      <c r="D462">
        <v>1</v>
      </c>
      <c r="E462" t="s">
        <v>85</v>
      </c>
      <c r="F462">
        <v>1</v>
      </c>
      <c r="G462">
        <v>2025</v>
      </c>
      <c r="H462" t="s">
        <v>756</v>
      </c>
      <c r="I462">
        <v>0</v>
      </c>
      <c r="J462" t="s">
        <v>52</v>
      </c>
      <c r="K462" t="s">
        <v>41</v>
      </c>
      <c r="M462">
        <v>0</v>
      </c>
      <c r="N462">
        <v>0</v>
      </c>
      <c r="O462">
        <v>0</v>
      </c>
      <c r="P462">
        <v>0</v>
      </c>
      <c r="Q462">
        <v>0</v>
      </c>
      <c r="R462">
        <v>0</v>
      </c>
      <c r="S462">
        <v>0</v>
      </c>
      <c r="T462">
        <v>0</v>
      </c>
      <c r="U462">
        <v>0</v>
      </c>
      <c r="V462">
        <v>0</v>
      </c>
      <c r="W462" t="s">
        <v>1169</v>
      </c>
      <c r="X462" t="s">
        <v>1779</v>
      </c>
      <c r="Y462">
        <v>0</v>
      </c>
      <c r="Z462">
        <v>0</v>
      </c>
      <c r="AA462">
        <v>2007</v>
      </c>
      <c r="AB462">
        <v>9999</v>
      </c>
      <c r="AC462" t="s">
        <v>35</v>
      </c>
    </row>
    <row r="463" spans="1:29" ht="30" x14ac:dyDescent="0.25">
      <c r="A463" s="31" t="s">
        <v>758</v>
      </c>
      <c r="B463" s="23" t="s">
        <v>1504</v>
      </c>
      <c r="C463" t="s">
        <v>1505</v>
      </c>
      <c r="D463">
        <v>1</v>
      </c>
      <c r="E463" t="s">
        <v>760</v>
      </c>
      <c r="F463">
        <v>7</v>
      </c>
      <c r="G463">
        <v>2025</v>
      </c>
      <c r="I463" s="8">
        <v>82.8</v>
      </c>
      <c r="J463" t="s">
        <v>40</v>
      </c>
      <c r="K463" t="s">
        <v>47</v>
      </c>
      <c r="M463">
        <v>1</v>
      </c>
      <c r="N463">
        <v>0</v>
      </c>
      <c r="O463">
        <v>0</v>
      </c>
      <c r="P463">
        <v>0</v>
      </c>
      <c r="Q463">
        <v>0</v>
      </c>
      <c r="R463">
        <v>0</v>
      </c>
      <c r="S463">
        <v>1</v>
      </c>
      <c r="T463">
        <v>1</v>
      </c>
      <c r="U463">
        <v>1</v>
      </c>
      <c r="V463">
        <v>0</v>
      </c>
      <c r="W463" t="s">
        <v>1170</v>
      </c>
      <c r="X463" t="s">
        <v>1780</v>
      </c>
      <c r="Y463">
        <v>0</v>
      </c>
      <c r="Z463">
        <v>0</v>
      </c>
      <c r="AA463">
        <v>2007</v>
      </c>
      <c r="AB463">
        <v>9999</v>
      </c>
      <c r="AC463" t="s">
        <v>35</v>
      </c>
    </row>
    <row r="464" spans="1:29" x14ac:dyDescent="0.25">
      <c r="A464" s="31" t="s">
        <v>78</v>
      </c>
      <c r="B464" s="23" t="s">
        <v>1465</v>
      </c>
      <c r="C464" t="s">
        <v>1466</v>
      </c>
      <c r="D464">
        <v>1</v>
      </c>
      <c r="E464" t="s">
        <v>80</v>
      </c>
      <c r="F464">
        <v>8</v>
      </c>
      <c r="G464">
        <v>2025</v>
      </c>
      <c r="I464" s="8">
        <v>37.71</v>
      </c>
      <c r="J464" t="s">
        <v>81</v>
      </c>
      <c r="K464" t="s">
        <v>47</v>
      </c>
      <c r="M464">
        <v>1</v>
      </c>
      <c r="N464">
        <v>0</v>
      </c>
      <c r="O464">
        <v>0</v>
      </c>
      <c r="P464">
        <v>0</v>
      </c>
      <c r="Q464">
        <v>0</v>
      </c>
      <c r="R464">
        <v>0</v>
      </c>
      <c r="S464">
        <v>1</v>
      </c>
      <c r="T464">
        <v>1</v>
      </c>
      <c r="U464">
        <v>1</v>
      </c>
      <c r="V464">
        <v>0</v>
      </c>
      <c r="W464" t="s">
        <v>1467</v>
      </c>
      <c r="X464" t="s">
        <v>1781</v>
      </c>
      <c r="Y464">
        <v>0</v>
      </c>
      <c r="Z464">
        <v>0</v>
      </c>
      <c r="AA464">
        <v>2007</v>
      </c>
      <c r="AB464">
        <v>9999</v>
      </c>
      <c r="AC464" t="s">
        <v>35</v>
      </c>
    </row>
    <row r="465" spans="1:29" x14ac:dyDescent="0.25">
      <c r="A465" s="31" t="s">
        <v>768</v>
      </c>
      <c r="B465" s="23" t="s">
        <v>769</v>
      </c>
      <c r="C465" t="s">
        <v>770</v>
      </c>
      <c r="D465">
        <v>1</v>
      </c>
      <c r="E465" t="s">
        <v>30</v>
      </c>
      <c r="F465">
        <v>4</v>
      </c>
      <c r="G465">
        <v>2025</v>
      </c>
      <c r="I465" s="8">
        <v>503.94</v>
      </c>
      <c r="J465" t="s">
        <v>1610</v>
      </c>
      <c r="K465" t="s">
        <v>47</v>
      </c>
      <c r="M465">
        <v>1</v>
      </c>
      <c r="N465">
        <v>0</v>
      </c>
      <c r="O465">
        <v>0</v>
      </c>
      <c r="P465">
        <v>0</v>
      </c>
      <c r="Q465">
        <v>0</v>
      </c>
      <c r="R465">
        <v>0</v>
      </c>
      <c r="S465">
        <v>1</v>
      </c>
      <c r="T465">
        <v>1</v>
      </c>
      <c r="U465">
        <v>1</v>
      </c>
      <c r="V465">
        <v>0</v>
      </c>
      <c r="W465" t="s">
        <v>1506</v>
      </c>
      <c r="X465" t="s">
        <v>1890</v>
      </c>
      <c r="Y465">
        <v>1</v>
      </c>
      <c r="Z465">
        <v>1</v>
      </c>
      <c r="AA465">
        <v>2007</v>
      </c>
      <c r="AB465">
        <v>9999</v>
      </c>
      <c r="AC465" t="s">
        <v>35</v>
      </c>
    </row>
    <row r="466" spans="1:29" x14ac:dyDescent="0.25">
      <c r="A466" s="31" t="s">
        <v>772</v>
      </c>
      <c r="B466" s="23" t="s">
        <v>773</v>
      </c>
      <c r="C466" t="s">
        <v>774</v>
      </c>
      <c r="D466">
        <v>1</v>
      </c>
      <c r="E466" t="s">
        <v>358</v>
      </c>
      <c r="F466">
        <v>1</v>
      </c>
      <c r="G466">
        <v>2025</v>
      </c>
      <c r="I466" s="8">
        <v>571.17999999999995</v>
      </c>
      <c r="J466" t="s">
        <v>52</v>
      </c>
      <c r="K466" t="s">
        <v>32</v>
      </c>
      <c r="M466">
        <v>0</v>
      </c>
      <c r="N466">
        <v>1</v>
      </c>
      <c r="O466">
        <v>0</v>
      </c>
      <c r="P466">
        <v>0</v>
      </c>
      <c r="Q466">
        <v>0</v>
      </c>
      <c r="R466">
        <v>0</v>
      </c>
      <c r="S466">
        <v>1</v>
      </c>
      <c r="T466">
        <v>1</v>
      </c>
      <c r="U466">
        <v>1</v>
      </c>
      <c r="V466">
        <v>0</v>
      </c>
      <c r="W466" t="s">
        <v>1174</v>
      </c>
      <c r="X466" t="s">
        <v>1783</v>
      </c>
      <c r="Y466">
        <v>0</v>
      </c>
      <c r="Z466">
        <v>0</v>
      </c>
      <c r="AA466">
        <v>2007</v>
      </c>
      <c r="AB466">
        <v>9999</v>
      </c>
      <c r="AC466" t="s">
        <v>35</v>
      </c>
    </row>
    <row r="467" spans="1:29" x14ac:dyDescent="0.25">
      <c r="A467" s="31" t="s">
        <v>779</v>
      </c>
      <c r="B467" s="23" t="s">
        <v>780</v>
      </c>
      <c r="D467">
        <v>1</v>
      </c>
      <c r="E467" t="s">
        <v>80</v>
      </c>
      <c r="F467">
        <v>8</v>
      </c>
      <c r="G467">
        <v>2025</v>
      </c>
      <c r="I467" s="8">
        <v>71.12</v>
      </c>
      <c r="J467" t="s">
        <v>81</v>
      </c>
      <c r="K467" t="s">
        <v>47</v>
      </c>
      <c r="M467">
        <v>0</v>
      </c>
      <c r="N467">
        <v>0</v>
      </c>
      <c r="O467">
        <v>0</v>
      </c>
      <c r="P467">
        <v>0</v>
      </c>
      <c r="Q467">
        <v>0</v>
      </c>
      <c r="R467">
        <v>0</v>
      </c>
      <c r="S467">
        <v>1</v>
      </c>
      <c r="T467">
        <v>1</v>
      </c>
      <c r="U467">
        <v>1</v>
      </c>
      <c r="V467">
        <v>0</v>
      </c>
      <c r="W467" t="s">
        <v>1176</v>
      </c>
      <c r="X467" t="s">
        <v>1784</v>
      </c>
      <c r="Y467">
        <v>0</v>
      </c>
      <c r="Z467">
        <v>1</v>
      </c>
      <c r="AA467">
        <v>2007</v>
      </c>
      <c r="AB467">
        <v>9999</v>
      </c>
      <c r="AC467" t="s">
        <v>35</v>
      </c>
    </row>
    <row r="468" spans="1:29" x14ac:dyDescent="0.25">
      <c r="A468" s="31" t="s">
        <v>782</v>
      </c>
      <c r="B468" s="23" t="s">
        <v>783</v>
      </c>
      <c r="D468">
        <v>1</v>
      </c>
      <c r="E468" t="s">
        <v>784</v>
      </c>
      <c r="F468">
        <v>6</v>
      </c>
      <c r="G468">
        <v>2025</v>
      </c>
      <c r="I468" s="8">
        <v>90.13</v>
      </c>
      <c r="J468" t="s">
        <v>1610</v>
      </c>
      <c r="K468" t="s">
        <v>47</v>
      </c>
      <c r="M468">
        <v>0</v>
      </c>
      <c r="N468">
        <v>0</v>
      </c>
      <c r="O468">
        <v>0</v>
      </c>
      <c r="P468">
        <v>0</v>
      </c>
      <c r="Q468">
        <v>0</v>
      </c>
      <c r="R468">
        <v>0</v>
      </c>
      <c r="S468">
        <v>1</v>
      </c>
      <c r="T468">
        <v>1</v>
      </c>
      <c r="U468">
        <v>1</v>
      </c>
      <c r="V468">
        <v>0</v>
      </c>
      <c r="W468" t="s">
        <v>1326</v>
      </c>
      <c r="X468" t="s">
        <v>1785</v>
      </c>
      <c r="Y468">
        <v>0</v>
      </c>
      <c r="Z468">
        <v>2</v>
      </c>
      <c r="AA468">
        <v>2007</v>
      </c>
      <c r="AB468">
        <v>9999</v>
      </c>
      <c r="AC468" t="s">
        <v>35</v>
      </c>
    </row>
    <row r="469" spans="1:29" x14ac:dyDescent="0.25">
      <c r="A469" s="31" t="s">
        <v>786</v>
      </c>
      <c r="B469" s="23" t="s">
        <v>787</v>
      </c>
      <c r="C469" t="s">
        <v>788</v>
      </c>
      <c r="D469">
        <v>1</v>
      </c>
      <c r="E469" t="s">
        <v>120</v>
      </c>
      <c r="F469">
        <v>3</v>
      </c>
      <c r="G469">
        <v>2025</v>
      </c>
      <c r="I469" s="8">
        <v>29.7</v>
      </c>
      <c r="J469" t="s">
        <v>147</v>
      </c>
      <c r="K469" t="s">
        <v>47</v>
      </c>
      <c r="M469">
        <v>0</v>
      </c>
      <c r="N469">
        <v>0</v>
      </c>
      <c r="O469">
        <v>0</v>
      </c>
      <c r="P469">
        <v>0</v>
      </c>
      <c r="Q469">
        <v>0</v>
      </c>
      <c r="R469">
        <v>0</v>
      </c>
      <c r="S469">
        <v>1</v>
      </c>
      <c r="T469">
        <v>1</v>
      </c>
      <c r="U469">
        <v>1</v>
      </c>
      <c r="V469">
        <v>0</v>
      </c>
      <c r="W469" t="s">
        <v>1178</v>
      </c>
      <c r="X469" t="s">
        <v>1786</v>
      </c>
      <c r="Y469">
        <v>0</v>
      </c>
      <c r="Z469">
        <v>0</v>
      </c>
      <c r="AA469">
        <v>2007</v>
      </c>
      <c r="AB469">
        <v>9999</v>
      </c>
      <c r="AC469" t="s">
        <v>35</v>
      </c>
    </row>
    <row r="470" spans="1:29" x14ac:dyDescent="0.25">
      <c r="A470" s="31" t="s">
        <v>790</v>
      </c>
      <c r="B470" s="23" t="s">
        <v>791</v>
      </c>
      <c r="D470">
        <v>1</v>
      </c>
      <c r="E470" t="s">
        <v>80</v>
      </c>
      <c r="F470">
        <v>8</v>
      </c>
      <c r="G470">
        <v>2025</v>
      </c>
      <c r="I470" s="8">
        <v>294.13</v>
      </c>
      <c r="J470" t="s">
        <v>81</v>
      </c>
      <c r="K470" t="s">
        <v>47</v>
      </c>
      <c r="M470">
        <v>1</v>
      </c>
      <c r="N470">
        <v>0</v>
      </c>
      <c r="O470">
        <v>0</v>
      </c>
      <c r="P470">
        <v>0</v>
      </c>
      <c r="Q470">
        <v>0</v>
      </c>
      <c r="R470">
        <v>0</v>
      </c>
      <c r="S470">
        <v>1</v>
      </c>
      <c r="T470">
        <v>1</v>
      </c>
      <c r="U470">
        <v>1</v>
      </c>
      <c r="V470">
        <v>0</v>
      </c>
      <c r="W470" t="s">
        <v>1507</v>
      </c>
      <c r="X470" t="s">
        <v>1787</v>
      </c>
      <c r="Y470">
        <v>0</v>
      </c>
      <c r="Z470">
        <v>0</v>
      </c>
      <c r="AA470">
        <v>2007</v>
      </c>
      <c r="AB470">
        <v>9999</v>
      </c>
      <c r="AC470" t="s">
        <v>35</v>
      </c>
    </row>
    <row r="471" spans="1:29" ht="26.25" x14ac:dyDescent="0.25">
      <c r="A471" s="31" t="s">
        <v>1327</v>
      </c>
      <c r="B471" s="26" t="s">
        <v>1328</v>
      </c>
      <c r="C471" t="s">
        <v>1329</v>
      </c>
      <c r="D471">
        <v>1</v>
      </c>
      <c r="E471" t="s">
        <v>218</v>
      </c>
      <c r="F471">
        <v>2</v>
      </c>
      <c r="G471">
        <v>2025</v>
      </c>
      <c r="I471" s="8">
        <v>6</v>
      </c>
      <c r="J471" t="s">
        <v>147</v>
      </c>
      <c r="K471" t="s">
        <v>41</v>
      </c>
      <c r="M471">
        <v>0</v>
      </c>
      <c r="N471">
        <v>0</v>
      </c>
      <c r="O471">
        <v>0</v>
      </c>
      <c r="P471">
        <v>0</v>
      </c>
      <c r="Q471">
        <v>0</v>
      </c>
      <c r="R471">
        <v>0</v>
      </c>
      <c r="S471">
        <v>0</v>
      </c>
      <c r="T471">
        <v>1</v>
      </c>
      <c r="U471">
        <v>1</v>
      </c>
      <c r="V471">
        <v>0</v>
      </c>
      <c r="W471" t="s">
        <v>1330</v>
      </c>
      <c r="X471" t="s">
        <v>1788</v>
      </c>
      <c r="Y471">
        <v>1</v>
      </c>
      <c r="Z471">
        <v>0</v>
      </c>
      <c r="AA471">
        <v>2010</v>
      </c>
      <c r="AB471">
        <v>9999</v>
      </c>
      <c r="AC471" t="s">
        <v>1292</v>
      </c>
    </row>
    <row r="472" spans="1:29" x14ac:dyDescent="0.25">
      <c r="A472" s="31" t="s">
        <v>796</v>
      </c>
      <c r="B472" s="23" t="s">
        <v>797</v>
      </c>
      <c r="C472" t="s">
        <v>798</v>
      </c>
      <c r="D472">
        <v>1</v>
      </c>
      <c r="E472" t="s">
        <v>534</v>
      </c>
      <c r="F472">
        <v>10</v>
      </c>
      <c r="G472">
        <v>2025</v>
      </c>
      <c r="I472" s="8">
        <v>4167.8100000000004</v>
      </c>
      <c r="J472" t="s">
        <v>40</v>
      </c>
      <c r="K472" t="s">
        <v>47</v>
      </c>
      <c r="M472">
        <v>1</v>
      </c>
      <c r="N472">
        <v>1</v>
      </c>
      <c r="O472">
        <v>0</v>
      </c>
      <c r="P472">
        <v>0</v>
      </c>
      <c r="Q472">
        <v>0</v>
      </c>
      <c r="R472">
        <v>0</v>
      </c>
      <c r="S472">
        <v>1</v>
      </c>
      <c r="T472">
        <v>1</v>
      </c>
      <c r="U472">
        <v>1</v>
      </c>
      <c r="V472">
        <v>0</v>
      </c>
      <c r="W472" t="s">
        <v>1181</v>
      </c>
      <c r="X472" t="s">
        <v>1789</v>
      </c>
      <c r="Y472">
        <v>0</v>
      </c>
      <c r="Z472">
        <v>0</v>
      </c>
      <c r="AA472">
        <v>2007</v>
      </c>
      <c r="AB472">
        <v>9999</v>
      </c>
      <c r="AC472" t="s">
        <v>35</v>
      </c>
    </row>
    <row r="473" spans="1:29" x14ac:dyDescent="0.25">
      <c r="A473" s="31" t="s">
        <v>800</v>
      </c>
      <c r="B473" s="23" t="s">
        <v>801</v>
      </c>
      <c r="C473" t="s">
        <v>802</v>
      </c>
      <c r="D473">
        <v>1</v>
      </c>
      <c r="E473" t="s">
        <v>442</v>
      </c>
      <c r="F473">
        <v>4</v>
      </c>
      <c r="G473">
        <v>2025</v>
      </c>
      <c r="I473" s="8">
        <v>1646.64</v>
      </c>
      <c r="J473" t="s">
        <v>1608</v>
      </c>
      <c r="K473" t="s">
        <v>32</v>
      </c>
      <c r="M473">
        <v>0</v>
      </c>
      <c r="N473">
        <v>1</v>
      </c>
      <c r="O473">
        <v>0</v>
      </c>
      <c r="P473">
        <v>0</v>
      </c>
      <c r="Q473">
        <v>0</v>
      </c>
      <c r="R473">
        <v>0</v>
      </c>
      <c r="S473">
        <v>1</v>
      </c>
      <c r="T473">
        <v>1</v>
      </c>
      <c r="U473">
        <v>1</v>
      </c>
      <c r="V473">
        <v>0</v>
      </c>
      <c r="W473" t="s">
        <v>1331</v>
      </c>
      <c r="X473" t="s">
        <v>1790</v>
      </c>
      <c r="Y473">
        <v>6</v>
      </c>
      <c r="Z473">
        <v>4</v>
      </c>
      <c r="AA473">
        <v>2007</v>
      </c>
      <c r="AB473">
        <v>9999</v>
      </c>
      <c r="AC473" t="s">
        <v>35</v>
      </c>
    </row>
    <row r="474" spans="1:29" x14ac:dyDescent="0.25">
      <c r="A474" s="31" t="s">
        <v>808</v>
      </c>
      <c r="B474" s="23" t="s">
        <v>809</v>
      </c>
      <c r="D474">
        <v>1</v>
      </c>
      <c r="E474" t="s">
        <v>80</v>
      </c>
      <c r="F474">
        <v>8</v>
      </c>
      <c r="G474">
        <v>2025</v>
      </c>
      <c r="I474" s="8">
        <v>19.8</v>
      </c>
      <c r="J474" t="s">
        <v>81</v>
      </c>
      <c r="K474" t="s">
        <v>47</v>
      </c>
      <c r="M474">
        <v>1</v>
      </c>
      <c r="N474">
        <v>0</v>
      </c>
      <c r="O474">
        <v>0</v>
      </c>
      <c r="P474">
        <v>0</v>
      </c>
      <c r="Q474">
        <v>0</v>
      </c>
      <c r="R474">
        <v>0</v>
      </c>
      <c r="S474">
        <v>1</v>
      </c>
      <c r="T474">
        <v>1</v>
      </c>
      <c r="U474">
        <v>1</v>
      </c>
      <c r="V474">
        <v>0</v>
      </c>
      <c r="W474" t="s">
        <v>1184</v>
      </c>
      <c r="X474" t="s">
        <v>1791</v>
      </c>
      <c r="Y474">
        <v>0</v>
      </c>
      <c r="Z474">
        <v>0</v>
      </c>
      <c r="AA474">
        <v>2007</v>
      </c>
      <c r="AB474">
        <v>2025</v>
      </c>
      <c r="AC474" t="s">
        <v>2057</v>
      </c>
    </row>
    <row r="475" spans="1:29" x14ac:dyDescent="0.25">
      <c r="A475" s="31" t="s">
        <v>814</v>
      </c>
      <c r="B475" s="23" t="s">
        <v>815</v>
      </c>
      <c r="D475">
        <v>1</v>
      </c>
      <c r="E475" t="s">
        <v>80</v>
      </c>
      <c r="F475">
        <v>8</v>
      </c>
      <c r="G475">
        <v>2025</v>
      </c>
      <c r="I475" s="8">
        <v>95.2</v>
      </c>
      <c r="J475" t="s">
        <v>81</v>
      </c>
      <c r="K475" t="s">
        <v>32</v>
      </c>
      <c r="M475">
        <v>0</v>
      </c>
      <c r="N475">
        <v>0</v>
      </c>
      <c r="O475">
        <v>0</v>
      </c>
      <c r="P475">
        <v>0</v>
      </c>
      <c r="Q475">
        <v>0</v>
      </c>
      <c r="R475">
        <v>0</v>
      </c>
      <c r="S475">
        <v>1</v>
      </c>
      <c r="T475">
        <v>1</v>
      </c>
      <c r="U475">
        <v>1</v>
      </c>
      <c r="V475">
        <v>0</v>
      </c>
      <c r="W475" t="s">
        <v>1432</v>
      </c>
      <c r="X475" t="s">
        <v>1891</v>
      </c>
      <c r="Y475">
        <v>1</v>
      </c>
      <c r="Z475">
        <v>2</v>
      </c>
      <c r="AA475">
        <v>2007</v>
      </c>
      <c r="AB475">
        <v>9999</v>
      </c>
      <c r="AC475" t="s">
        <v>35</v>
      </c>
    </row>
    <row r="476" spans="1:29" x14ac:dyDescent="0.25">
      <c r="A476" s="31" t="s">
        <v>822</v>
      </c>
      <c r="B476" s="23" t="s">
        <v>1603</v>
      </c>
      <c r="C476" t="s">
        <v>1604</v>
      </c>
      <c r="D476">
        <v>1</v>
      </c>
      <c r="E476" t="s">
        <v>80</v>
      </c>
      <c r="F476">
        <v>8</v>
      </c>
      <c r="G476">
        <v>2025</v>
      </c>
      <c r="I476" s="8">
        <v>271.94</v>
      </c>
      <c r="J476" t="s">
        <v>81</v>
      </c>
      <c r="K476" t="s">
        <v>47</v>
      </c>
      <c r="M476">
        <v>0</v>
      </c>
      <c r="N476">
        <v>0</v>
      </c>
      <c r="O476">
        <v>0</v>
      </c>
      <c r="P476">
        <v>0</v>
      </c>
      <c r="Q476">
        <v>0</v>
      </c>
      <c r="R476">
        <v>0</v>
      </c>
      <c r="S476">
        <v>1</v>
      </c>
      <c r="T476">
        <v>1</v>
      </c>
      <c r="U476">
        <v>1</v>
      </c>
      <c r="V476">
        <v>0</v>
      </c>
      <c r="W476" t="s">
        <v>1187</v>
      </c>
      <c r="X476" t="s">
        <v>1793</v>
      </c>
      <c r="Y476">
        <v>0</v>
      </c>
      <c r="Z476">
        <v>0</v>
      </c>
      <c r="AA476">
        <v>2007</v>
      </c>
      <c r="AB476">
        <v>2025</v>
      </c>
      <c r="AC476" t="s">
        <v>2057</v>
      </c>
    </row>
    <row r="477" spans="1:29" x14ac:dyDescent="0.25">
      <c r="A477" s="31" t="s">
        <v>825</v>
      </c>
      <c r="B477" s="23" t="s">
        <v>826</v>
      </c>
      <c r="D477">
        <v>1</v>
      </c>
      <c r="E477" t="s">
        <v>80</v>
      </c>
      <c r="F477">
        <v>8</v>
      </c>
      <c r="G477">
        <v>2025</v>
      </c>
      <c r="I477" s="8">
        <v>131.71</v>
      </c>
      <c r="J477" t="s">
        <v>81</v>
      </c>
      <c r="K477" t="s">
        <v>47</v>
      </c>
      <c r="M477">
        <v>0</v>
      </c>
      <c r="N477">
        <v>0</v>
      </c>
      <c r="O477">
        <v>0</v>
      </c>
      <c r="P477">
        <v>0</v>
      </c>
      <c r="Q477">
        <v>0</v>
      </c>
      <c r="R477">
        <v>0</v>
      </c>
      <c r="S477">
        <v>1</v>
      </c>
      <c r="T477">
        <v>1</v>
      </c>
      <c r="U477">
        <v>1</v>
      </c>
      <c r="V477">
        <v>0</v>
      </c>
      <c r="W477" t="s">
        <v>1188</v>
      </c>
      <c r="X477" t="s">
        <v>1794</v>
      </c>
      <c r="Y477">
        <v>0</v>
      </c>
      <c r="Z477">
        <v>0</v>
      </c>
      <c r="AA477">
        <v>2007</v>
      </c>
      <c r="AB477">
        <v>9999</v>
      </c>
      <c r="AC477" t="s">
        <v>35</v>
      </c>
    </row>
    <row r="478" spans="1:29" x14ac:dyDescent="0.25">
      <c r="A478" s="31" t="s">
        <v>828</v>
      </c>
      <c r="B478" s="23" t="s">
        <v>1408</v>
      </c>
      <c r="C478" t="s">
        <v>1409</v>
      </c>
      <c r="D478">
        <v>1</v>
      </c>
      <c r="E478" t="s">
        <v>80</v>
      </c>
      <c r="F478">
        <v>8</v>
      </c>
      <c r="G478">
        <v>2025</v>
      </c>
      <c r="I478" s="8">
        <v>66.55</v>
      </c>
      <c r="J478" t="s">
        <v>81</v>
      </c>
      <c r="K478" t="s">
        <v>47</v>
      </c>
      <c r="M478">
        <v>1</v>
      </c>
      <c r="N478">
        <v>0</v>
      </c>
      <c r="O478">
        <v>0</v>
      </c>
      <c r="P478">
        <v>0</v>
      </c>
      <c r="Q478">
        <v>0</v>
      </c>
      <c r="R478">
        <v>0</v>
      </c>
      <c r="S478">
        <v>1</v>
      </c>
      <c r="T478">
        <v>1</v>
      </c>
      <c r="U478">
        <v>1</v>
      </c>
      <c r="V478">
        <v>0</v>
      </c>
      <c r="W478" t="s">
        <v>1410</v>
      </c>
      <c r="X478" t="s">
        <v>1795</v>
      </c>
      <c r="Y478">
        <v>0</v>
      </c>
      <c r="Z478">
        <v>0</v>
      </c>
      <c r="AA478">
        <v>2007</v>
      </c>
      <c r="AB478">
        <v>9999</v>
      </c>
      <c r="AC478" t="s">
        <v>35</v>
      </c>
    </row>
    <row r="479" spans="1:29" x14ac:dyDescent="0.25">
      <c r="A479" s="31" t="s">
        <v>831</v>
      </c>
      <c r="B479" s="23" t="s">
        <v>832</v>
      </c>
      <c r="C479" t="s">
        <v>833</v>
      </c>
      <c r="D479">
        <v>1</v>
      </c>
      <c r="E479" t="s">
        <v>38</v>
      </c>
      <c r="F479">
        <v>4</v>
      </c>
      <c r="G479">
        <v>2025</v>
      </c>
      <c r="H479" t="s">
        <v>906</v>
      </c>
      <c r="I479">
        <v>0.04</v>
      </c>
      <c r="J479" t="s">
        <v>59</v>
      </c>
      <c r="K479" t="s">
        <v>41</v>
      </c>
      <c r="M479">
        <v>0</v>
      </c>
      <c r="N479">
        <v>0</v>
      </c>
      <c r="O479">
        <v>0</v>
      </c>
      <c r="P479">
        <v>0</v>
      </c>
      <c r="Q479">
        <v>0</v>
      </c>
      <c r="R479">
        <v>0</v>
      </c>
      <c r="S479">
        <v>0</v>
      </c>
      <c r="T479">
        <v>0</v>
      </c>
      <c r="U479">
        <v>0</v>
      </c>
      <c r="V479">
        <v>0</v>
      </c>
      <c r="W479" t="s">
        <v>1190</v>
      </c>
      <c r="X479" t="s">
        <v>1796</v>
      </c>
      <c r="Y479">
        <v>0</v>
      </c>
      <c r="Z479">
        <v>0</v>
      </c>
      <c r="AA479">
        <v>2007</v>
      </c>
      <c r="AB479">
        <v>9999</v>
      </c>
      <c r="AC479" t="s">
        <v>35</v>
      </c>
    </row>
    <row r="480" spans="1:29" x14ac:dyDescent="0.25">
      <c r="A480" s="31" t="s">
        <v>1433</v>
      </c>
      <c r="B480" s="23" t="s">
        <v>1434</v>
      </c>
      <c r="D480">
        <v>1</v>
      </c>
      <c r="E480" s="4">
        <v>133</v>
      </c>
      <c r="F480">
        <v>1</v>
      </c>
      <c r="G480">
        <v>2025</v>
      </c>
      <c r="I480" s="8">
        <v>1400.32</v>
      </c>
      <c r="J480" t="s">
        <v>52</v>
      </c>
      <c r="K480" t="s">
        <v>32</v>
      </c>
      <c r="M480">
        <v>0</v>
      </c>
      <c r="N480">
        <v>0</v>
      </c>
      <c r="O480">
        <v>0</v>
      </c>
      <c r="P480">
        <v>0</v>
      </c>
      <c r="Q480">
        <v>0</v>
      </c>
      <c r="R480">
        <v>0</v>
      </c>
      <c r="S480">
        <v>1</v>
      </c>
      <c r="T480">
        <v>1</v>
      </c>
      <c r="U480">
        <v>1</v>
      </c>
      <c r="V480">
        <v>0</v>
      </c>
      <c r="W480" t="s">
        <v>1435</v>
      </c>
      <c r="X480" t="s">
        <v>1797</v>
      </c>
      <c r="Y480">
        <v>0</v>
      </c>
      <c r="Z480">
        <v>0</v>
      </c>
      <c r="AA480">
        <v>2013</v>
      </c>
      <c r="AB480">
        <v>9999</v>
      </c>
      <c r="AC480" t="s">
        <v>1419</v>
      </c>
    </row>
    <row r="481" spans="1:29" x14ac:dyDescent="0.25">
      <c r="A481" s="31" t="s">
        <v>1194</v>
      </c>
      <c r="B481" s="23" t="s">
        <v>1195</v>
      </c>
      <c r="D481">
        <v>1</v>
      </c>
      <c r="E481" t="s">
        <v>85</v>
      </c>
      <c r="F481">
        <v>1</v>
      </c>
      <c r="G481">
        <v>2025</v>
      </c>
      <c r="H481" t="s">
        <v>39</v>
      </c>
      <c r="I481">
        <v>0.25</v>
      </c>
      <c r="J481" t="s">
        <v>52</v>
      </c>
      <c r="K481" t="s">
        <v>41</v>
      </c>
      <c r="M481">
        <v>0</v>
      </c>
      <c r="N481">
        <v>0</v>
      </c>
      <c r="O481">
        <v>0</v>
      </c>
      <c r="P481">
        <v>0</v>
      </c>
      <c r="Q481">
        <v>0</v>
      </c>
      <c r="R481">
        <v>0</v>
      </c>
      <c r="S481">
        <v>0</v>
      </c>
      <c r="T481">
        <v>0</v>
      </c>
      <c r="U481">
        <v>0</v>
      </c>
      <c r="V481">
        <v>0</v>
      </c>
      <c r="W481" t="s">
        <v>1267</v>
      </c>
      <c r="X481" t="s">
        <v>1798</v>
      </c>
      <c r="Y481">
        <v>0</v>
      </c>
      <c r="Z481">
        <v>0</v>
      </c>
      <c r="AA481">
        <v>2008</v>
      </c>
      <c r="AB481">
        <v>9999</v>
      </c>
      <c r="AC481" t="s">
        <v>1054</v>
      </c>
    </row>
    <row r="482" spans="1:29" x14ac:dyDescent="0.25">
      <c r="A482" s="31" t="s">
        <v>1268</v>
      </c>
      <c r="B482" s="23" t="s">
        <v>1262</v>
      </c>
      <c r="C482" t="s">
        <v>1605</v>
      </c>
      <c r="D482">
        <v>1</v>
      </c>
      <c r="E482" t="s">
        <v>300</v>
      </c>
      <c r="F482">
        <v>9</v>
      </c>
      <c r="G482">
        <v>2025</v>
      </c>
      <c r="I482" s="8">
        <v>508.85</v>
      </c>
      <c r="J482" t="s">
        <v>104</v>
      </c>
      <c r="K482" t="s">
        <v>47</v>
      </c>
      <c r="M482">
        <v>1</v>
      </c>
      <c r="N482">
        <v>0</v>
      </c>
      <c r="O482">
        <v>0</v>
      </c>
      <c r="P482">
        <v>0</v>
      </c>
      <c r="Q482">
        <v>0</v>
      </c>
      <c r="R482">
        <v>0</v>
      </c>
      <c r="S482">
        <v>1</v>
      </c>
      <c r="T482">
        <v>1</v>
      </c>
      <c r="U482">
        <v>1</v>
      </c>
      <c r="V482">
        <v>0</v>
      </c>
      <c r="W482" t="s">
        <v>1411</v>
      </c>
      <c r="X482" t="s">
        <v>1892</v>
      </c>
      <c r="Y482">
        <v>0</v>
      </c>
      <c r="Z482">
        <v>1</v>
      </c>
      <c r="AA482">
        <v>2009</v>
      </c>
      <c r="AB482">
        <v>9999</v>
      </c>
      <c r="AC482" t="s">
        <v>1239</v>
      </c>
    </row>
    <row r="483" spans="1:29" x14ac:dyDescent="0.25">
      <c r="A483" s="31" t="s">
        <v>845</v>
      </c>
      <c r="B483" s="23" t="s">
        <v>846</v>
      </c>
      <c r="C483" t="s">
        <v>847</v>
      </c>
      <c r="D483">
        <v>1</v>
      </c>
      <c r="E483" t="s">
        <v>300</v>
      </c>
      <c r="F483">
        <v>9</v>
      </c>
      <c r="G483">
        <v>2025</v>
      </c>
      <c r="I483" s="8">
        <v>871.37</v>
      </c>
      <c r="J483" t="s">
        <v>104</v>
      </c>
      <c r="K483" t="s">
        <v>47</v>
      </c>
      <c r="M483">
        <v>1</v>
      </c>
      <c r="N483">
        <v>1</v>
      </c>
      <c r="O483">
        <v>0</v>
      </c>
      <c r="P483">
        <v>0</v>
      </c>
      <c r="Q483">
        <v>0</v>
      </c>
      <c r="R483">
        <v>0</v>
      </c>
      <c r="S483">
        <v>1</v>
      </c>
      <c r="T483">
        <v>1</v>
      </c>
      <c r="U483">
        <v>1</v>
      </c>
      <c r="V483">
        <v>0</v>
      </c>
      <c r="W483" t="s">
        <v>1517</v>
      </c>
      <c r="X483" t="s">
        <v>1893</v>
      </c>
      <c r="Y483">
        <v>2</v>
      </c>
      <c r="Z483">
        <v>2</v>
      </c>
      <c r="AA483">
        <v>2007</v>
      </c>
      <c r="AB483">
        <v>9999</v>
      </c>
      <c r="AC483" t="s">
        <v>35</v>
      </c>
    </row>
    <row r="484" spans="1:29" x14ac:dyDescent="0.25">
      <c r="A484" s="31" t="s">
        <v>852</v>
      </c>
      <c r="B484" s="23" t="s">
        <v>853</v>
      </c>
      <c r="D484">
        <v>1</v>
      </c>
      <c r="E484" t="s">
        <v>85</v>
      </c>
      <c r="F484">
        <v>1</v>
      </c>
      <c r="G484">
        <v>2025</v>
      </c>
      <c r="H484" t="s">
        <v>837</v>
      </c>
      <c r="I484">
        <v>2.5999999999999999E-2</v>
      </c>
      <c r="J484" t="s">
        <v>52</v>
      </c>
      <c r="K484" t="s">
        <v>41</v>
      </c>
      <c r="M484">
        <v>0</v>
      </c>
      <c r="N484">
        <v>0</v>
      </c>
      <c r="O484">
        <v>0</v>
      </c>
      <c r="P484">
        <v>0</v>
      </c>
      <c r="Q484">
        <v>0</v>
      </c>
      <c r="R484">
        <v>0</v>
      </c>
      <c r="S484">
        <v>0</v>
      </c>
      <c r="T484">
        <v>0</v>
      </c>
      <c r="U484">
        <v>0</v>
      </c>
      <c r="V484">
        <v>0</v>
      </c>
      <c r="W484" t="s">
        <v>1191</v>
      </c>
      <c r="X484" t="s">
        <v>1801</v>
      </c>
      <c r="Y484">
        <v>0</v>
      </c>
      <c r="Z484">
        <v>0</v>
      </c>
      <c r="AA484">
        <v>2007</v>
      </c>
      <c r="AB484">
        <v>9999</v>
      </c>
      <c r="AC484" t="s">
        <v>35</v>
      </c>
    </row>
    <row r="485" spans="1:29" x14ac:dyDescent="0.25">
      <c r="A485" s="31" t="s">
        <v>836</v>
      </c>
      <c r="B485" s="23" t="s">
        <v>1413</v>
      </c>
      <c r="D485">
        <v>1</v>
      </c>
      <c r="E485" t="s">
        <v>64</v>
      </c>
      <c r="F485">
        <v>1</v>
      </c>
      <c r="G485">
        <v>2025</v>
      </c>
      <c r="I485" s="8">
        <v>231.87</v>
      </c>
      <c r="J485" t="s">
        <v>52</v>
      </c>
      <c r="K485" t="s">
        <v>32</v>
      </c>
      <c r="M485">
        <v>0</v>
      </c>
      <c r="N485">
        <v>0</v>
      </c>
      <c r="O485">
        <v>0</v>
      </c>
      <c r="P485">
        <v>0</v>
      </c>
      <c r="Q485">
        <v>0</v>
      </c>
      <c r="R485">
        <v>0</v>
      </c>
      <c r="S485">
        <v>1</v>
      </c>
      <c r="T485">
        <v>1</v>
      </c>
      <c r="U485">
        <v>1</v>
      </c>
      <c r="V485">
        <v>0</v>
      </c>
      <c r="W485" t="s">
        <v>1191</v>
      </c>
      <c r="X485" t="s">
        <v>1802</v>
      </c>
      <c r="Y485">
        <v>0</v>
      </c>
      <c r="Z485">
        <v>0</v>
      </c>
      <c r="AA485">
        <v>2007</v>
      </c>
      <c r="AB485">
        <v>9999</v>
      </c>
      <c r="AC485" t="s">
        <v>35</v>
      </c>
    </row>
    <row r="486" spans="1:29" x14ac:dyDescent="0.25">
      <c r="A486" s="31" t="s">
        <v>862</v>
      </c>
      <c r="B486" s="23" t="s">
        <v>863</v>
      </c>
      <c r="C486" t="s">
        <v>864</v>
      </c>
      <c r="D486">
        <v>1</v>
      </c>
      <c r="E486" t="s">
        <v>442</v>
      </c>
      <c r="F486">
        <v>4</v>
      </c>
      <c r="G486">
        <v>2025</v>
      </c>
      <c r="I486" s="8">
        <v>357.53</v>
      </c>
      <c r="J486" t="s">
        <v>1608</v>
      </c>
      <c r="K486" t="s">
        <v>47</v>
      </c>
      <c r="M486">
        <v>1</v>
      </c>
      <c r="N486">
        <v>0</v>
      </c>
      <c r="O486">
        <v>0</v>
      </c>
      <c r="P486">
        <v>0</v>
      </c>
      <c r="Q486">
        <v>0</v>
      </c>
      <c r="R486">
        <v>0</v>
      </c>
      <c r="S486">
        <v>1</v>
      </c>
      <c r="T486">
        <v>1</v>
      </c>
      <c r="U486">
        <v>1</v>
      </c>
      <c r="V486">
        <v>0</v>
      </c>
      <c r="W486" t="s">
        <v>1334</v>
      </c>
      <c r="X486" t="s">
        <v>1803</v>
      </c>
      <c r="Y486">
        <v>0</v>
      </c>
      <c r="Z486">
        <v>0</v>
      </c>
      <c r="AA486">
        <v>2007</v>
      </c>
      <c r="AB486">
        <v>9999</v>
      </c>
      <c r="AC486" t="s">
        <v>35</v>
      </c>
    </row>
    <row r="487" spans="1:29" x14ac:dyDescent="0.25">
      <c r="A487" s="31" t="s">
        <v>866</v>
      </c>
      <c r="B487" s="23" t="s">
        <v>867</v>
      </c>
      <c r="C487" t="s">
        <v>868</v>
      </c>
      <c r="D487">
        <v>1</v>
      </c>
      <c r="E487" t="s">
        <v>869</v>
      </c>
      <c r="F487">
        <v>4</v>
      </c>
      <c r="G487">
        <v>2025</v>
      </c>
      <c r="I487" s="8">
        <v>223.93</v>
      </c>
      <c r="J487" t="s">
        <v>1608</v>
      </c>
      <c r="K487" t="s">
        <v>32</v>
      </c>
      <c r="M487">
        <v>0</v>
      </c>
      <c r="N487">
        <v>0</v>
      </c>
      <c r="O487">
        <v>0</v>
      </c>
      <c r="P487">
        <v>0</v>
      </c>
      <c r="Q487">
        <v>0</v>
      </c>
      <c r="R487">
        <v>0</v>
      </c>
      <c r="S487">
        <v>1</v>
      </c>
      <c r="T487">
        <v>1</v>
      </c>
      <c r="U487">
        <v>1</v>
      </c>
      <c r="V487">
        <v>0</v>
      </c>
      <c r="W487" t="s">
        <v>1199</v>
      </c>
      <c r="X487" t="s">
        <v>1804</v>
      </c>
      <c r="Y487">
        <v>0</v>
      </c>
      <c r="Z487">
        <v>0</v>
      </c>
      <c r="AA487">
        <v>2007</v>
      </c>
      <c r="AB487">
        <v>9999</v>
      </c>
      <c r="AC487" t="s">
        <v>35</v>
      </c>
    </row>
    <row r="488" spans="1:29" x14ac:dyDescent="0.25">
      <c r="A488" s="31" t="s">
        <v>1023</v>
      </c>
      <c r="B488" s="23" t="s">
        <v>1200</v>
      </c>
      <c r="D488">
        <v>1</v>
      </c>
      <c r="E488" t="s">
        <v>85</v>
      </c>
      <c r="F488">
        <v>1</v>
      </c>
      <c r="G488">
        <v>2025</v>
      </c>
      <c r="H488" t="s">
        <v>39</v>
      </c>
      <c r="I488">
        <v>3.5</v>
      </c>
      <c r="J488" t="s">
        <v>52</v>
      </c>
      <c r="K488" t="s">
        <v>41</v>
      </c>
      <c r="M488">
        <v>0</v>
      </c>
      <c r="N488">
        <v>0</v>
      </c>
      <c r="O488">
        <v>0</v>
      </c>
      <c r="P488">
        <v>0</v>
      </c>
      <c r="Q488">
        <v>0</v>
      </c>
      <c r="R488">
        <v>0</v>
      </c>
      <c r="S488">
        <v>0</v>
      </c>
      <c r="T488">
        <v>0</v>
      </c>
      <c r="U488">
        <v>0</v>
      </c>
      <c r="V488">
        <v>0</v>
      </c>
      <c r="W488" t="s">
        <v>1271</v>
      </c>
      <c r="X488" t="s">
        <v>1805</v>
      </c>
      <c r="Y488">
        <v>0</v>
      </c>
      <c r="Z488">
        <v>0</v>
      </c>
      <c r="AA488">
        <v>2007</v>
      </c>
      <c r="AB488">
        <v>9999</v>
      </c>
      <c r="AC488" t="s">
        <v>35</v>
      </c>
    </row>
    <row r="489" spans="1:29" x14ac:dyDescent="0.25">
      <c r="A489" s="31" t="s">
        <v>871</v>
      </c>
      <c r="B489" s="23" t="s">
        <v>872</v>
      </c>
      <c r="C489" t="s">
        <v>873</v>
      </c>
      <c r="D489">
        <v>1</v>
      </c>
      <c r="E489" t="s">
        <v>874</v>
      </c>
      <c r="F489">
        <v>1</v>
      </c>
      <c r="G489">
        <v>2025</v>
      </c>
      <c r="I489" s="8">
        <v>996.9</v>
      </c>
      <c r="J489" t="s">
        <v>52</v>
      </c>
      <c r="K489" t="s">
        <v>47</v>
      </c>
      <c r="M489">
        <v>1</v>
      </c>
      <c r="N489">
        <v>0</v>
      </c>
      <c r="O489">
        <v>0</v>
      </c>
      <c r="P489">
        <v>0</v>
      </c>
      <c r="Q489">
        <v>0</v>
      </c>
      <c r="R489">
        <v>0</v>
      </c>
      <c r="S489">
        <v>1</v>
      </c>
      <c r="T489">
        <v>1</v>
      </c>
      <c r="U489">
        <v>1</v>
      </c>
      <c r="V489">
        <v>0</v>
      </c>
      <c r="W489" t="s">
        <v>1528</v>
      </c>
      <c r="X489" t="s">
        <v>1806</v>
      </c>
      <c r="Y489">
        <v>0</v>
      </c>
      <c r="Z489">
        <v>2</v>
      </c>
      <c r="AA489">
        <v>2007</v>
      </c>
      <c r="AB489">
        <v>9999</v>
      </c>
      <c r="AC489" t="s">
        <v>35</v>
      </c>
    </row>
    <row r="490" spans="1:29" x14ac:dyDescent="0.25">
      <c r="A490" s="31" t="s">
        <v>876</v>
      </c>
      <c r="B490" s="23" t="s">
        <v>877</v>
      </c>
      <c r="C490" t="s">
        <v>878</v>
      </c>
      <c r="D490">
        <v>1</v>
      </c>
      <c r="E490" t="s">
        <v>168</v>
      </c>
      <c r="F490">
        <v>1</v>
      </c>
      <c r="G490">
        <v>2025</v>
      </c>
      <c r="I490" s="8">
        <v>77.03</v>
      </c>
      <c r="J490" t="s">
        <v>52</v>
      </c>
      <c r="K490" t="s">
        <v>47</v>
      </c>
      <c r="M490">
        <v>0</v>
      </c>
      <c r="N490">
        <v>0</v>
      </c>
      <c r="O490">
        <v>0</v>
      </c>
      <c r="P490">
        <v>0</v>
      </c>
      <c r="Q490">
        <v>0</v>
      </c>
      <c r="R490">
        <v>0</v>
      </c>
      <c r="S490">
        <v>1</v>
      </c>
      <c r="T490">
        <v>1</v>
      </c>
      <c r="U490">
        <v>1</v>
      </c>
      <c r="V490">
        <v>0</v>
      </c>
      <c r="W490" t="s">
        <v>1202</v>
      </c>
      <c r="X490" t="s">
        <v>1807</v>
      </c>
      <c r="Y490">
        <v>0</v>
      </c>
      <c r="Z490">
        <v>0</v>
      </c>
      <c r="AA490">
        <v>2007</v>
      </c>
      <c r="AB490">
        <v>9999</v>
      </c>
      <c r="AC490" t="s">
        <v>35</v>
      </c>
    </row>
    <row r="491" spans="1:29" x14ac:dyDescent="0.25">
      <c r="A491" s="31" t="s">
        <v>1468</v>
      </c>
      <c r="B491" s="23" t="s">
        <v>1469</v>
      </c>
      <c r="D491">
        <v>1</v>
      </c>
      <c r="E491" s="4">
        <v>941</v>
      </c>
      <c r="F491">
        <v>9</v>
      </c>
      <c r="G491">
        <v>2025</v>
      </c>
      <c r="I491" s="8">
        <v>194.97</v>
      </c>
      <c r="J491" t="s">
        <v>104</v>
      </c>
      <c r="K491" t="s">
        <v>53</v>
      </c>
      <c r="L491" t="s">
        <v>105</v>
      </c>
      <c r="M491">
        <v>0</v>
      </c>
      <c r="N491">
        <v>0</v>
      </c>
      <c r="O491">
        <v>0</v>
      </c>
      <c r="P491">
        <v>1</v>
      </c>
      <c r="Q491">
        <v>0</v>
      </c>
      <c r="R491">
        <v>0</v>
      </c>
      <c r="S491">
        <v>1</v>
      </c>
      <c r="T491">
        <v>1</v>
      </c>
      <c r="U491">
        <v>1</v>
      </c>
      <c r="V491">
        <v>0</v>
      </c>
      <c r="W491" t="s">
        <v>106</v>
      </c>
      <c r="X491" t="s">
        <v>1851</v>
      </c>
      <c r="Y491">
        <v>0</v>
      </c>
      <c r="Z491">
        <v>0</v>
      </c>
      <c r="AA491">
        <v>2014</v>
      </c>
      <c r="AB491">
        <v>9999</v>
      </c>
      <c r="AC491" t="s">
        <v>1449</v>
      </c>
    </row>
    <row r="492" spans="1:29" x14ac:dyDescent="0.25">
      <c r="A492" s="31" t="s">
        <v>880</v>
      </c>
      <c r="B492" s="23" t="s">
        <v>881</v>
      </c>
      <c r="C492" t="s">
        <v>882</v>
      </c>
      <c r="D492">
        <v>1</v>
      </c>
      <c r="E492" t="s">
        <v>103</v>
      </c>
      <c r="F492">
        <v>9</v>
      </c>
      <c r="G492">
        <v>2025</v>
      </c>
      <c r="I492" s="8">
        <v>4807.8900000000003</v>
      </c>
      <c r="J492" t="s">
        <v>104</v>
      </c>
      <c r="K492" t="s">
        <v>53</v>
      </c>
      <c r="L492" t="s">
        <v>105</v>
      </c>
      <c r="M492">
        <v>0</v>
      </c>
      <c r="N492">
        <v>0</v>
      </c>
      <c r="O492">
        <v>0</v>
      </c>
      <c r="P492">
        <v>1</v>
      </c>
      <c r="Q492">
        <v>0</v>
      </c>
      <c r="R492">
        <v>0</v>
      </c>
      <c r="S492">
        <v>1</v>
      </c>
      <c r="T492">
        <v>1</v>
      </c>
      <c r="U492">
        <v>1</v>
      </c>
      <c r="V492">
        <v>0</v>
      </c>
      <c r="W492" t="s">
        <v>106</v>
      </c>
      <c r="X492" t="s">
        <v>1851</v>
      </c>
      <c r="Y492">
        <v>0</v>
      </c>
      <c r="Z492">
        <v>0</v>
      </c>
      <c r="AA492">
        <v>2007</v>
      </c>
      <c r="AB492">
        <v>9999</v>
      </c>
      <c r="AC492" t="s">
        <v>35</v>
      </c>
    </row>
    <row r="493" spans="1:29" x14ac:dyDescent="0.25">
      <c r="A493" s="31" t="s">
        <v>1272</v>
      </c>
      <c r="B493" s="23" t="s">
        <v>1273</v>
      </c>
      <c r="D493">
        <v>1</v>
      </c>
      <c r="E493" t="s">
        <v>1274</v>
      </c>
      <c r="F493">
        <v>4</v>
      </c>
      <c r="G493">
        <v>2025</v>
      </c>
      <c r="I493" s="8">
        <v>332.37</v>
      </c>
      <c r="J493" t="s">
        <v>1610</v>
      </c>
      <c r="K493" t="s">
        <v>47</v>
      </c>
      <c r="M493">
        <v>1</v>
      </c>
      <c r="N493">
        <v>0</v>
      </c>
      <c r="O493">
        <v>0</v>
      </c>
      <c r="P493">
        <v>0</v>
      </c>
      <c r="Q493">
        <v>0</v>
      </c>
      <c r="R493">
        <v>0</v>
      </c>
      <c r="S493">
        <v>1</v>
      </c>
      <c r="T493">
        <v>1</v>
      </c>
      <c r="U493">
        <v>1</v>
      </c>
      <c r="V493">
        <v>0</v>
      </c>
      <c r="W493" t="s">
        <v>1275</v>
      </c>
      <c r="X493" t="s">
        <v>1808</v>
      </c>
      <c r="Y493">
        <v>0</v>
      </c>
      <c r="Z493">
        <v>3</v>
      </c>
      <c r="AA493">
        <v>2009</v>
      </c>
      <c r="AB493">
        <v>9999</v>
      </c>
      <c r="AC493" t="s">
        <v>1239</v>
      </c>
    </row>
    <row r="494" spans="1:29" x14ac:dyDescent="0.25">
      <c r="A494" s="31" t="s">
        <v>883</v>
      </c>
      <c r="B494" s="23" t="s">
        <v>884</v>
      </c>
      <c r="C494" t="s">
        <v>885</v>
      </c>
      <c r="D494">
        <v>1</v>
      </c>
      <c r="E494" s="18" t="s">
        <v>45</v>
      </c>
      <c r="F494">
        <v>4</v>
      </c>
      <c r="G494">
        <v>2025</v>
      </c>
      <c r="I494" s="8">
        <v>104.85</v>
      </c>
      <c r="J494" t="s">
        <v>176</v>
      </c>
      <c r="K494" t="s">
        <v>47</v>
      </c>
      <c r="M494">
        <v>1</v>
      </c>
      <c r="N494">
        <v>0</v>
      </c>
      <c r="O494">
        <v>0</v>
      </c>
      <c r="P494">
        <v>0</v>
      </c>
      <c r="Q494">
        <v>0</v>
      </c>
      <c r="R494">
        <v>0</v>
      </c>
      <c r="S494">
        <v>1</v>
      </c>
      <c r="T494">
        <v>1</v>
      </c>
      <c r="U494">
        <v>1</v>
      </c>
      <c r="V494">
        <v>0</v>
      </c>
      <c r="W494" t="s">
        <v>1606</v>
      </c>
      <c r="X494" t="s">
        <v>1809</v>
      </c>
      <c r="Y494">
        <v>0</v>
      </c>
      <c r="Z494">
        <v>1</v>
      </c>
      <c r="AA494">
        <v>2007</v>
      </c>
      <c r="AB494">
        <v>9999</v>
      </c>
      <c r="AC494" t="s">
        <v>35</v>
      </c>
    </row>
    <row r="495" spans="1:29" x14ac:dyDescent="0.25">
      <c r="A495" s="31" t="s">
        <v>887</v>
      </c>
      <c r="B495" s="23" t="s">
        <v>888</v>
      </c>
      <c r="C495" t="s">
        <v>889</v>
      </c>
      <c r="D495">
        <v>1</v>
      </c>
      <c r="E495" t="s">
        <v>335</v>
      </c>
      <c r="F495">
        <v>1</v>
      </c>
      <c r="G495">
        <v>2025</v>
      </c>
      <c r="I495" s="8">
        <v>597.83000000000004</v>
      </c>
      <c r="J495" t="s">
        <v>176</v>
      </c>
      <c r="K495" t="s">
        <v>32</v>
      </c>
      <c r="M495">
        <v>0</v>
      </c>
      <c r="N495">
        <v>1</v>
      </c>
      <c r="O495">
        <v>0</v>
      </c>
      <c r="P495">
        <v>0</v>
      </c>
      <c r="Q495">
        <v>0</v>
      </c>
      <c r="R495">
        <v>0</v>
      </c>
      <c r="S495">
        <v>1</v>
      </c>
      <c r="T495">
        <v>1</v>
      </c>
      <c r="U495">
        <v>1</v>
      </c>
      <c r="V495">
        <v>0</v>
      </c>
      <c r="W495" t="s">
        <v>1381</v>
      </c>
      <c r="X495" t="s">
        <v>1810</v>
      </c>
      <c r="Y495">
        <v>0</v>
      </c>
      <c r="Z495">
        <v>1</v>
      </c>
      <c r="AA495">
        <v>2007</v>
      </c>
      <c r="AB495">
        <v>9999</v>
      </c>
      <c r="AC495" t="s">
        <v>35</v>
      </c>
    </row>
    <row r="496" spans="1:29" x14ac:dyDescent="0.25">
      <c r="A496" s="31" t="s">
        <v>894</v>
      </c>
      <c r="B496" s="23" t="s">
        <v>895</v>
      </c>
      <c r="D496">
        <v>1</v>
      </c>
      <c r="E496" t="s">
        <v>38</v>
      </c>
      <c r="F496">
        <v>4</v>
      </c>
      <c r="G496">
        <v>2025</v>
      </c>
      <c r="H496" t="s">
        <v>715</v>
      </c>
      <c r="I496">
        <v>0</v>
      </c>
      <c r="J496" t="s">
        <v>1608</v>
      </c>
      <c r="K496" t="s">
        <v>53</v>
      </c>
      <c r="L496" t="s">
        <v>53</v>
      </c>
      <c r="M496">
        <v>0</v>
      </c>
      <c r="N496">
        <v>0</v>
      </c>
      <c r="O496">
        <v>0</v>
      </c>
      <c r="P496">
        <v>0</v>
      </c>
      <c r="Q496">
        <v>0</v>
      </c>
      <c r="R496">
        <v>0</v>
      </c>
      <c r="S496">
        <v>0</v>
      </c>
      <c r="T496">
        <v>0</v>
      </c>
      <c r="U496">
        <v>0</v>
      </c>
      <c r="V496">
        <v>0</v>
      </c>
      <c r="W496" t="s">
        <v>897</v>
      </c>
      <c r="X496" t="s">
        <v>1811</v>
      </c>
      <c r="Y496">
        <v>0</v>
      </c>
      <c r="Z496">
        <v>0</v>
      </c>
      <c r="AA496">
        <v>2007</v>
      </c>
      <c r="AB496">
        <v>9999</v>
      </c>
      <c r="AC496" t="s">
        <v>35</v>
      </c>
    </row>
    <row r="497" spans="1:29" x14ac:dyDescent="0.25">
      <c r="A497" s="31" t="s">
        <v>900</v>
      </c>
      <c r="B497" s="23" t="s">
        <v>901</v>
      </c>
      <c r="D497">
        <v>1</v>
      </c>
      <c r="E497" t="s">
        <v>38</v>
      </c>
      <c r="F497">
        <v>4</v>
      </c>
      <c r="G497">
        <v>2025</v>
      </c>
      <c r="H497" t="s">
        <v>596</v>
      </c>
      <c r="I497">
        <v>0.2</v>
      </c>
      <c r="J497" t="s">
        <v>1608</v>
      </c>
      <c r="K497" t="s">
        <v>53</v>
      </c>
      <c r="L497" t="s">
        <v>902</v>
      </c>
      <c r="M497">
        <v>0</v>
      </c>
      <c r="N497">
        <v>0</v>
      </c>
      <c r="O497">
        <v>0</v>
      </c>
      <c r="P497">
        <v>0</v>
      </c>
      <c r="Q497">
        <v>0</v>
      </c>
      <c r="R497">
        <v>0</v>
      </c>
      <c r="S497">
        <v>0</v>
      </c>
      <c r="T497">
        <v>0</v>
      </c>
      <c r="U497">
        <v>0</v>
      </c>
      <c r="V497">
        <v>0</v>
      </c>
      <c r="W497" t="s">
        <v>903</v>
      </c>
      <c r="X497" t="s">
        <v>1812</v>
      </c>
      <c r="Y497">
        <v>0</v>
      </c>
      <c r="Z497">
        <v>0</v>
      </c>
      <c r="AA497">
        <v>2007</v>
      </c>
      <c r="AB497">
        <v>9999</v>
      </c>
      <c r="AC497" t="s">
        <v>35</v>
      </c>
    </row>
    <row r="498" spans="1:29" x14ac:dyDescent="0.25">
      <c r="A498" s="31" t="s">
        <v>904</v>
      </c>
      <c r="B498" s="23" t="s">
        <v>1436</v>
      </c>
      <c r="D498">
        <v>1</v>
      </c>
      <c r="E498" t="s">
        <v>38</v>
      </c>
      <c r="F498">
        <v>4</v>
      </c>
      <c r="G498">
        <v>2025</v>
      </c>
      <c r="H498" t="s">
        <v>906</v>
      </c>
      <c r="I498">
        <v>0.5</v>
      </c>
      <c r="J498" t="s">
        <v>59</v>
      </c>
      <c r="K498" t="s">
        <v>53</v>
      </c>
      <c r="L498" t="s">
        <v>902</v>
      </c>
      <c r="M498">
        <v>0</v>
      </c>
      <c r="N498">
        <v>0</v>
      </c>
      <c r="O498">
        <v>0</v>
      </c>
      <c r="P498">
        <v>0</v>
      </c>
      <c r="Q498">
        <v>0</v>
      </c>
      <c r="R498">
        <v>0</v>
      </c>
      <c r="S498">
        <v>0</v>
      </c>
      <c r="T498">
        <v>0</v>
      </c>
      <c r="U498">
        <v>0</v>
      </c>
      <c r="V498">
        <v>0</v>
      </c>
      <c r="W498" t="s">
        <v>907</v>
      </c>
      <c r="X498" t="s">
        <v>1813</v>
      </c>
      <c r="Y498">
        <v>0</v>
      </c>
      <c r="Z498">
        <v>0</v>
      </c>
      <c r="AA498">
        <v>2007</v>
      </c>
      <c r="AB498">
        <v>9999</v>
      </c>
      <c r="AC498" t="s">
        <v>35</v>
      </c>
    </row>
    <row r="499" spans="1:29" x14ac:dyDescent="0.25">
      <c r="A499" s="31" t="s">
        <v>908</v>
      </c>
      <c r="B499" s="23" t="s">
        <v>909</v>
      </c>
      <c r="C499" t="s">
        <v>910</v>
      </c>
      <c r="D499">
        <v>1</v>
      </c>
      <c r="E499" t="s">
        <v>911</v>
      </c>
      <c r="F499">
        <v>1</v>
      </c>
      <c r="G499">
        <v>2025</v>
      </c>
      <c r="I499" s="8">
        <v>108.75</v>
      </c>
      <c r="J499" t="s">
        <v>176</v>
      </c>
      <c r="K499" t="s">
        <v>47</v>
      </c>
      <c r="M499">
        <v>1</v>
      </c>
      <c r="N499">
        <v>0</v>
      </c>
      <c r="O499">
        <v>0</v>
      </c>
      <c r="P499">
        <v>0</v>
      </c>
      <c r="Q499">
        <v>0</v>
      </c>
      <c r="R499">
        <v>0</v>
      </c>
      <c r="S499">
        <v>1</v>
      </c>
      <c r="T499">
        <v>1</v>
      </c>
      <c r="U499">
        <v>1</v>
      </c>
      <c r="V499">
        <v>0</v>
      </c>
      <c r="W499" t="s">
        <v>1518</v>
      </c>
      <c r="X499" t="s">
        <v>1894</v>
      </c>
      <c r="Y499">
        <v>0</v>
      </c>
      <c r="Z499">
        <v>0</v>
      </c>
      <c r="AA499">
        <v>2007</v>
      </c>
      <c r="AB499">
        <v>9999</v>
      </c>
      <c r="AC499" t="s">
        <v>35</v>
      </c>
    </row>
    <row r="500" spans="1:29" x14ac:dyDescent="0.25">
      <c r="A500" s="31" t="s">
        <v>913</v>
      </c>
      <c r="B500" s="23" t="s">
        <v>914</v>
      </c>
      <c r="C500" t="s">
        <v>915</v>
      </c>
      <c r="D500">
        <v>1</v>
      </c>
      <c r="E500" t="s">
        <v>911</v>
      </c>
      <c r="F500">
        <v>1</v>
      </c>
      <c r="G500">
        <v>2025</v>
      </c>
      <c r="I500" s="8">
        <v>12</v>
      </c>
      <c r="J500" t="s">
        <v>268</v>
      </c>
      <c r="K500" t="s">
        <v>47</v>
      </c>
      <c r="M500">
        <v>1</v>
      </c>
      <c r="N500">
        <v>0</v>
      </c>
      <c r="O500">
        <v>0</v>
      </c>
      <c r="P500">
        <v>0</v>
      </c>
      <c r="Q500">
        <v>0</v>
      </c>
      <c r="R500">
        <v>0</v>
      </c>
      <c r="S500">
        <v>1</v>
      </c>
      <c r="T500">
        <v>1</v>
      </c>
      <c r="U500">
        <v>1</v>
      </c>
      <c r="V500">
        <v>0</v>
      </c>
      <c r="W500" t="s">
        <v>1276</v>
      </c>
      <c r="X500" t="s">
        <v>1815</v>
      </c>
      <c r="Y500">
        <v>0</v>
      </c>
      <c r="Z500">
        <v>0</v>
      </c>
      <c r="AA500">
        <v>2007</v>
      </c>
      <c r="AB500">
        <v>9999</v>
      </c>
      <c r="AC500" t="s">
        <v>35</v>
      </c>
    </row>
    <row r="501" spans="1:29" x14ac:dyDescent="0.25">
      <c r="A501" s="31" t="s">
        <v>1529</v>
      </c>
      <c r="B501" s="23" t="s">
        <v>1530</v>
      </c>
      <c r="D501">
        <v>1</v>
      </c>
      <c r="E501" s="18"/>
      <c r="F501">
        <v>8</v>
      </c>
      <c r="G501">
        <v>2025</v>
      </c>
      <c r="I501">
        <v>5</v>
      </c>
      <c r="J501" t="s">
        <v>81</v>
      </c>
      <c r="K501" t="s">
        <v>32</v>
      </c>
      <c r="M501">
        <v>0</v>
      </c>
      <c r="N501">
        <v>0</v>
      </c>
      <c r="O501">
        <v>0</v>
      </c>
      <c r="P501">
        <v>0</v>
      </c>
      <c r="Q501">
        <v>0</v>
      </c>
      <c r="R501">
        <v>0</v>
      </c>
      <c r="S501">
        <v>0</v>
      </c>
      <c r="T501">
        <v>0</v>
      </c>
      <c r="U501">
        <v>1</v>
      </c>
      <c r="V501">
        <v>0</v>
      </c>
      <c r="W501" t="s">
        <v>1531</v>
      </c>
      <c r="X501" t="s">
        <v>1816</v>
      </c>
      <c r="Y501">
        <v>1</v>
      </c>
      <c r="Z501">
        <v>0</v>
      </c>
      <c r="AA501">
        <v>2017</v>
      </c>
      <c r="AB501">
        <v>9999</v>
      </c>
      <c r="AC501" t="s">
        <v>1532</v>
      </c>
    </row>
    <row r="502" spans="1:29" x14ac:dyDescent="0.25">
      <c r="A502" s="31" t="s">
        <v>97</v>
      </c>
      <c r="B502" s="23" t="s">
        <v>99</v>
      </c>
      <c r="C502" t="s">
        <v>923</v>
      </c>
      <c r="D502">
        <v>1</v>
      </c>
      <c r="E502" t="s">
        <v>45</v>
      </c>
      <c r="F502">
        <v>4</v>
      </c>
      <c r="G502">
        <v>2025</v>
      </c>
      <c r="I502" s="8">
        <v>306.92</v>
      </c>
      <c r="J502" t="s">
        <v>1610</v>
      </c>
      <c r="K502" t="s">
        <v>47</v>
      </c>
      <c r="M502">
        <v>1</v>
      </c>
      <c r="N502">
        <v>0</v>
      </c>
      <c r="O502">
        <v>0</v>
      </c>
      <c r="P502">
        <v>0</v>
      </c>
      <c r="Q502">
        <v>0</v>
      </c>
      <c r="R502">
        <v>0</v>
      </c>
      <c r="S502">
        <v>1</v>
      </c>
      <c r="T502">
        <v>1</v>
      </c>
      <c r="U502">
        <v>1</v>
      </c>
      <c r="V502">
        <v>0</v>
      </c>
      <c r="W502" t="s">
        <v>1277</v>
      </c>
      <c r="X502" t="s">
        <v>1817</v>
      </c>
      <c r="Y502">
        <v>1</v>
      </c>
      <c r="Z502">
        <v>0</v>
      </c>
      <c r="AA502">
        <v>2007</v>
      </c>
      <c r="AB502">
        <v>9999</v>
      </c>
      <c r="AC502" t="s">
        <v>35</v>
      </c>
    </row>
    <row r="503" spans="1:29" x14ac:dyDescent="0.25">
      <c r="A503" s="31" t="s">
        <v>925</v>
      </c>
      <c r="B503" s="23" t="s">
        <v>926</v>
      </c>
      <c r="C503" t="s">
        <v>927</v>
      </c>
      <c r="D503">
        <v>1</v>
      </c>
      <c r="E503" t="s">
        <v>103</v>
      </c>
      <c r="F503">
        <v>9</v>
      </c>
      <c r="G503">
        <v>2025</v>
      </c>
      <c r="I503" s="8">
        <v>3320.4</v>
      </c>
      <c r="J503" t="s">
        <v>1608</v>
      </c>
      <c r="K503" t="s">
        <v>53</v>
      </c>
      <c r="L503" t="s">
        <v>105</v>
      </c>
      <c r="M503">
        <v>0</v>
      </c>
      <c r="N503">
        <v>0</v>
      </c>
      <c r="O503">
        <v>0</v>
      </c>
      <c r="P503">
        <v>1</v>
      </c>
      <c r="Q503">
        <v>0</v>
      </c>
      <c r="R503">
        <v>0</v>
      </c>
      <c r="S503">
        <v>1</v>
      </c>
      <c r="T503">
        <v>1</v>
      </c>
      <c r="U503">
        <v>1</v>
      </c>
      <c r="V503">
        <v>0</v>
      </c>
      <c r="W503" t="s">
        <v>928</v>
      </c>
      <c r="X503" t="s">
        <v>1895</v>
      </c>
      <c r="Y503">
        <v>0</v>
      </c>
      <c r="Z503">
        <v>0</v>
      </c>
      <c r="AA503">
        <v>2007</v>
      </c>
      <c r="AB503">
        <v>9999</v>
      </c>
      <c r="AC503" t="s">
        <v>35</v>
      </c>
    </row>
    <row r="504" spans="1:29" x14ac:dyDescent="0.25">
      <c r="A504" s="31" t="s">
        <v>929</v>
      </c>
      <c r="B504" s="23" t="s">
        <v>930</v>
      </c>
      <c r="C504" t="s">
        <v>931</v>
      </c>
      <c r="D504">
        <v>1</v>
      </c>
      <c r="E504" t="s">
        <v>45</v>
      </c>
      <c r="F504">
        <v>4</v>
      </c>
      <c r="G504">
        <v>2025</v>
      </c>
      <c r="I504" s="8">
        <v>604.35</v>
      </c>
      <c r="J504" t="s">
        <v>1610</v>
      </c>
      <c r="K504" t="s">
        <v>47</v>
      </c>
      <c r="M504">
        <v>1</v>
      </c>
      <c r="N504">
        <v>0</v>
      </c>
      <c r="O504">
        <v>0</v>
      </c>
      <c r="P504">
        <v>0</v>
      </c>
      <c r="Q504">
        <v>0</v>
      </c>
      <c r="R504">
        <v>0</v>
      </c>
      <c r="S504">
        <v>1</v>
      </c>
      <c r="T504">
        <v>1</v>
      </c>
      <c r="U504">
        <v>1</v>
      </c>
      <c r="V504">
        <v>0</v>
      </c>
      <c r="W504" t="s">
        <v>1336</v>
      </c>
      <c r="X504" t="s">
        <v>1819</v>
      </c>
      <c r="Y504">
        <v>1</v>
      </c>
      <c r="Z504">
        <v>0</v>
      </c>
      <c r="AA504">
        <v>2007</v>
      </c>
      <c r="AB504">
        <v>9999</v>
      </c>
      <c r="AC504" t="s">
        <v>35</v>
      </c>
    </row>
    <row r="505" spans="1:29" x14ac:dyDescent="0.25">
      <c r="A505" s="31" t="s">
        <v>1212</v>
      </c>
      <c r="B505" s="23" t="s">
        <v>1213</v>
      </c>
      <c r="D505">
        <v>1</v>
      </c>
      <c r="E505" t="s">
        <v>681</v>
      </c>
      <c r="F505">
        <v>3</v>
      </c>
      <c r="G505">
        <v>2025</v>
      </c>
      <c r="I505" s="8">
        <v>18</v>
      </c>
      <c r="J505" t="s">
        <v>121</v>
      </c>
      <c r="K505" t="s">
        <v>41</v>
      </c>
      <c r="M505">
        <v>0</v>
      </c>
      <c r="N505">
        <v>0</v>
      </c>
      <c r="O505">
        <v>0</v>
      </c>
      <c r="P505">
        <v>0</v>
      </c>
      <c r="Q505">
        <v>0</v>
      </c>
      <c r="R505">
        <v>0</v>
      </c>
      <c r="S505">
        <v>0</v>
      </c>
      <c r="T505">
        <v>1</v>
      </c>
      <c r="U505">
        <v>1</v>
      </c>
      <c r="V505">
        <v>0</v>
      </c>
      <c r="W505" t="s">
        <v>1278</v>
      </c>
      <c r="X505" t="s">
        <v>1820</v>
      </c>
      <c r="Y505">
        <v>2</v>
      </c>
      <c r="Z505">
        <v>0</v>
      </c>
      <c r="AA505">
        <v>2008</v>
      </c>
      <c r="AB505">
        <v>9999</v>
      </c>
      <c r="AC505" t="s">
        <v>1054</v>
      </c>
    </row>
    <row r="506" spans="1:29" x14ac:dyDescent="0.25">
      <c r="A506" s="31" t="s">
        <v>933</v>
      </c>
      <c r="B506" s="23" t="s">
        <v>934</v>
      </c>
      <c r="C506" t="s">
        <v>935</v>
      </c>
      <c r="D506">
        <v>1</v>
      </c>
      <c r="E506" t="s">
        <v>681</v>
      </c>
      <c r="F506">
        <v>3</v>
      </c>
      <c r="G506">
        <v>2025</v>
      </c>
      <c r="J506" t="s">
        <v>121</v>
      </c>
      <c r="K506" t="s">
        <v>47</v>
      </c>
      <c r="M506">
        <v>1</v>
      </c>
      <c r="N506">
        <v>0</v>
      </c>
      <c r="O506">
        <v>0</v>
      </c>
      <c r="P506">
        <v>0</v>
      </c>
      <c r="Q506">
        <v>0</v>
      </c>
      <c r="R506">
        <v>0</v>
      </c>
      <c r="S506">
        <v>1</v>
      </c>
      <c r="T506">
        <v>1</v>
      </c>
      <c r="U506">
        <v>1</v>
      </c>
      <c r="V506">
        <v>0</v>
      </c>
      <c r="W506" t="s">
        <v>1620</v>
      </c>
      <c r="X506" t="s">
        <v>1896</v>
      </c>
      <c r="Y506">
        <v>0</v>
      </c>
      <c r="Z506">
        <v>0</v>
      </c>
      <c r="AA506">
        <v>2007</v>
      </c>
      <c r="AB506">
        <v>9999</v>
      </c>
      <c r="AC506" t="s">
        <v>35</v>
      </c>
    </row>
    <row r="507" spans="1:29" x14ac:dyDescent="0.25">
      <c r="A507" s="31" t="s">
        <v>937</v>
      </c>
      <c r="B507" s="23" t="s">
        <v>938</v>
      </c>
      <c r="D507">
        <v>1</v>
      </c>
      <c r="E507" t="s">
        <v>103</v>
      </c>
      <c r="F507">
        <v>9</v>
      </c>
      <c r="G507">
        <v>2025</v>
      </c>
      <c r="I507" s="8">
        <v>852.62</v>
      </c>
      <c r="J507" t="s">
        <v>104</v>
      </c>
      <c r="K507" t="s">
        <v>53</v>
      </c>
      <c r="L507" t="s">
        <v>105</v>
      </c>
      <c r="M507">
        <v>0</v>
      </c>
      <c r="N507">
        <v>0</v>
      </c>
      <c r="O507">
        <v>0</v>
      </c>
      <c r="P507">
        <v>1</v>
      </c>
      <c r="Q507">
        <v>0</v>
      </c>
      <c r="R507">
        <v>0</v>
      </c>
      <c r="S507">
        <v>1</v>
      </c>
      <c r="T507">
        <v>1</v>
      </c>
      <c r="U507">
        <v>1</v>
      </c>
      <c r="V507">
        <v>0</v>
      </c>
      <c r="W507" t="s">
        <v>106</v>
      </c>
      <c r="X507" t="s">
        <v>1851</v>
      </c>
      <c r="Y507">
        <v>0</v>
      </c>
      <c r="Z507">
        <v>0</v>
      </c>
      <c r="AA507">
        <v>2007</v>
      </c>
      <c r="AB507">
        <v>9999</v>
      </c>
      <c r="AC507" t="s">
        <v>35</v>
      </c>
    </row>
    <row r="508" spans="1:29" x14ac:dyDescent="0.25">
      <c r="A508" s="31" t="s">
        <v>462</v>
      </c>
      <c r="B508" s="23" t="s">
        <v>1414</v>
      </c>
      <c r="C508" t="s">
        <v>1280</v>
      </c>
      <c r="D508">
        <v>1</v>
      </c>
      <c r="E508" t="s">
        <v>468</v>
      </c>
      <c r="F508">
        <v>7</v>
      </c>
      <c r="G508">
        <v>2025</v>
      </c>
      <c r="I508" s="8">
        <v>151.63</v>
      </c>
      <c r="J508" t="s">
        <v>40</v>
      </c>
      <c r="K508" t="s">
        <v>47</v>
      </c>
      <c r="M508">
        <v>1</v>
      </c>
      <c r="N508">
        <v>0</v>
      </c>
      <c r="O508">
        <v>0</v>
      </c>
      <c r="P508">
        <v>0</v>
      </c>
      <c r="Q508">
        <v>0</v>
      </c>
      <c r="R508">
        <v>0</v>
      </c>
      <c r="S508">
        <v>1</v>
      </c>
      <c r="T508">
        <v>1</v>
      </c>
      <c r="U508">
        <v>1</v>
      </c>
      <c r="V508">
        <v>0</v>
      </c>
      <c r="W508" t="s">
        <v>1118</v>
      </c>
      <c r="X508" t="s">
        <v>1822</v>
      </c>
      <c r="Y508">
        <v>2</v>
      </c>
      <c r="Z508">
        <v>0</v>
      </c>
      <c r="AA508">
        <v>2007</v>
      </c>
      <c r="AB508">
        <v>9999</v>
      </c>
      <c r="AC508" t="s">
        <v>35</v>
      </c>
    </row>
    <row r="509" spans="1:29" x14ac:dyDescent="0.25">
      <c r="A509" s="31" t="s">
        <v>1337</v>
      </c>
      <c r="B509" s="23" t="s">
        <v>1315</v>
      </c>
      <c r="D509">
        <v>1</v>
      </c>
      <c r="E509" t="s">
        <v>45</v>
      </c>
      <c r="F509">
        <v>4</v>
      </c>
      <c r="G509">
        <v>2025</v>
      </c>
      <c r="I509" s="8">
        <v>457.92</v>
      </c>
      <c r="J509" t="s">
        <v>1610</v>
      </c>
      <c r="K509" t="s">
        <v>32</v>
      </c>
      <c r="M509">
        <v>0</v>
      </c>
      <c r="N509">
        <v>1</v>
      </c>
      <c r="O509">
        <v>0</v>
      </c>
      <c r="P509">
        <v>0</v>
      </c>
      <c r="Q509">
        <v>0</v>
      </c>
      <c r="R509">
        <v>0</v>
      </c>
      <c r="S509">
        <v>1</v>
      </c>
      <c r="T509">
        <v>1</v>
      </c>
      <c r="U509">
        <v>1</v>
      </c>
      <c r="V509">
        <v>0</v>
      </c>
      <c r="W509" t="s">
        <v>1338</v>
      </c>
      <c r="X509" t="s">
        <v>1823</v>
      </c>
      <c r="Y509">
        <v>2</v>
      </c>
      <c r="Z509">
        <v>0</v>
      </c>
      <c r="AA509">
        <v>2010</v>
      </c>
      <c r="AB509">
        <v>9999</v>
      </c>
      <c r="AC509" t="s">
        <v>1292</v>
      </c>
    </row>
    <row r="510" spans="1:29" x14ac:dyDescent="0.25">
      <c r="A510" s="31" t="s">
        <v>1509</v>
      </c>
      <c r="B510" s="23" t="s">
        <v>946</v>
      </c>
      <c r="D510">
        <v>48</v>
      </c>
      <c r="E510" t="s">
        <v>155</v>
      </c>
      <c r="F510">
        <v>3</v>
      </c>
      <c r="G510">
        <v>2025</v>
      </c>
      <c r="I510">
        <v>3113.076903386454</v>
      </c>
      <c r="J510" t="s">
        <v>121</v>
      </c>
      <c r="K510" t="s">
        <v>53</v>
      </c>
      <c r="L510" t="s">
        <v>60</v>
      </c>
      <c r="M510">
        <v>0</v>
      </c>
      <c r="N510">
        <v>0</v>
      </c>
      <c r="O510">
        <v>1</v>
      </c>
      <c r="P510">
        <v>0</v>
      </c>
      <c r="Q510">
        <v>0</v>
      </c>
      <c r="R510">
        <v>0</v>
      </c>
      <c r="S510">
        <v>1</v>
      </c>
      <c r="T510">
        <v>0</v>
      </c>
      <c r="U510">
        <v>0</v>
      </c>
      <c r="V510">
        <v>1</v>
      </c>
      <c r="W510" t="s">
        <v>947</v>
      </c>
      <c r="X510" t="s">
        <v>1824</v>
      </c>
      <c r="Y510">
        <v>0</v>
      </c>
      <c r="Z510">
        <v>0</v>
      </c>
      <c r="AA510">
        <v>2007</v>
      </c>
      <c r="AB510">
        <v>9999</v>
      </c>
      <c r="AC510" t="s">
        <v>35</v>
      </c>
    </row>
    <row r="511" spans="1:29" x14ac:dyDescent="0.25">
      <c r="A511" s="31" t="s">
        <v>950</v>
      </c>
      <c r="B511" s="23" t="s">
        <v>951</v>
      </c>
      <c r="C511" t="s">
        <v>952</v>
      </c>
      <c r="D511">
        <v>1</v>
      </c>
      <c r="E511" t="s">
        <v>218</v>
      </c>
      <c r="F511">
        <v>2</v>
      </c>
      <c r="G511">
        <v>2025</v>
      </c>
      <c r="I511" s="8">
        <v>1363.18</v>
      </c>
      <c r="J511" t="s">
        <v>147</v>
      </c>
      <c r="K511" t="s">
        <v>32</v>
      </c>
      <c r="M511">
        <v>0</v>
      </c>
      <c r="N511">
        <v>1</v>
      </c>
      <c r="O511">
        <v>0</v>
      </c>
      <c r="P511">
        <v>0</v>
      </c>
      <c r="Q511">
        <v>0</v>
      </c>
      <c r="R511">
        <v>0</v>
      </c>
      <c r="S511">
        <v>1</v>
      </c>
      <c r="T511">
        <v>1</v>
      </c>
      <c r="U511">
        <v>1</v>
      </c>
      <c r="V511">
        <v>0</v>
      </c>
      <c r="W511" t="s">
        <v>1897</v>
      </c>
      <c r="X511" t="s">
        <v>1898</v>
      </c>
      <c r="Y511">
        <v>0</v>
      </c>
      <c r="Z511">
        <v>0</v>
      </c>
      <c r="AA511">
        <v>2007</v>
      </c>
      <c r="AB511">
        <v>9999</v>
      </c>
      <c r="AC511" t="s">
        <v>35</v>
      </c>
    </row>
    <row r="512" spans="1:29" x14ac:dyDescent="0.25">
      <c r="A512" s="31" t="s">
        <v>954</v>
      </c>
      <c r="B512" s="23" t="s">
        <v>1585</v>
      </c>
      <c r="C512" t="s">
        <v>956</v>
      </c>
      <c r="D512">
        <v>1</v>
      </c>
      <c r="E512" t="s">
        <v>218</v>
      </c>
      <c r="F512">
        <v>2</v>
      </c>
      <c r="G512">
        <v>2025</v>
      </c>
      <c r="I512" s="8">
        <v>336.53</v>
      </c>
      <c r="J512" t="s">
        <v>147</v>
      </c>
      <c r="K512" t="s">
        <v>47</v>
      </c>
      <c r="M512">
        <v>1</v>
      </c>
      <c r="N512">
        <v>0</v>
      </c>
      <c r="O512">
        <v>0</v>
      </c>
      <c r="P512">
        <v>0</v>
      </c>
      <c r="Q512">
        <v>0</v>
      </c>
      <c r="R512">
        <v>0</v>
      </c>
      <c r="S512">
        <v>1</v>
      </c>
      <c r="T512">
        <v>1</v>
      </c>
      <c r="U512">
        <v>1</v>
      </c>
      <c r="V512">
        <v>0</v>
      </c>
      <c r="W512" t="s">
        <v>1384</v>
      </c>
      <c r="X512" t="s">
        <v>1826</v>
      </c>
      <c r="Y512">
        <v>0</v>
      </c>
      <c r="Z512">
        <v>0</v>
      </c>
      <c r="AA512">
        <v>2007</v>
      </c>
      <c r="AB512">
        <v>9999</v>
      </c>
      <c r="AC512" t="s">
        <v>35</v>
      </c>
    </row>
    <row r="513" spans="1:29" x14ac:dyDescent="0.25">
      <c r="A513" s="31" t="s">
        <v>1385</v>
      </c>
      <c r="B513" s="23" t="s">
        <v>1386</v>
      </c>
      <c r="D513">
        <v>1</v>
      </c>
      <c r="E513" t="s">
        <v>874</v>
      </c>
      <c r="F513">
        <v>1</v>
      </c>
      <c r="G513">
        <v>2025</v>
      </c>
      <c r="I513" s="8">
        <v>37.11</v>
      </c>
      <c r="J513" t="s">
        <v>1608</v>
      </c>
      <c r="K513" t="s">
        <v>47</v>
      </c>
      <c r="M513">
        <v>0</v>
      </c>
      <c r="N513">
        <v>0</v>
      </c>
      <c r="O513">
        <v>0</v>
      </c>
      <c r="P513">
        <v>0</v>
      </c>
      <c r="Q513">
        <v>0</v>
      </c>
      <c r="R513">
        <v>0</v>
      </c>
      <c r="S513">
        <v>1</v>
      </c>
      <c r="T513">
        <v>1</v>
      </c>
      <c r="U513">
        <v>1</v>
      </c>
      <c r="V513">
        <v>0</v>
      </c>
      <c r="W513" t="s">
        <v>1387</v>
      </c>
      <c r="X513" t="s">
        <v>1827</v>
      </c>
      <c r="Y513">
        <v>0</v>
      </c>
      <c r="Z513">
        <v>1</v>
      </c>
      <c r="AA513">
        <v>2011</v>
      </c>
      <c r="AB513">
        <v>9999</v>
      </c>
      <c r="AC513" t="s">
        <v>1365</v>
      </c>
    </row>
    <row r="514" spans="1:29" x14ac:dyDescent="0.25">
      <c r="A514" s="31" t="s">
        <v>1388</v>
      </c>
      <c r="B514" s="23" t="s">
        <v>1389</v>
      </c>
      <c r="D514">
        <v>1</v>
      </c>
      <c r="E514" t="s">
        <v>1390</v>
      </c>
      <c r="F514">
        <v>4</v>
      </c>
      <c r="G514">
        <v>2025</v>
      </c>
      <c r="I514" s="8">
        <v>10507.41</v>
      </c>
      <c r="J514" t="s">
        <v>1608</v>
      </c>
      <c r="K514" t="s">
        <v>32</v>
      </c>
      <c r="M514">
        <v>0</v>
      </c>
      <c r="N514">
        <v>1</v>
      </c>
      <c r="O514">
        <v>0</v>
      </c>
      <c r="P514">
        <v>0</v>
      </c>
      <c r="Q514">
        <v>0</v>
      </c>
      <c r="R514">
        <v>0</v>
      </c>
      <c r="S514">
        <v>1</v>
      </c>
      <c r="T514">
        <v>1</v>
      </c>
      <c r="U514">
        <v>1</v>
      </c>
      <c r="V514">
        <v>0</v>
      </c>
      <c r="W514" t="s">
        <v>1391</v>
      </c>
      <c r="X514" t="s">
        <v>1899</v>
      </c>
      <c r="Y514">
        <v>1</v>
      </c>
      <c r="Z514">
        <v>0</v>
      </c>
      <c r="AA514">
        <v>2011</v>
      </c>
      <c r="AB514">
        <v>9999</v>
      </c>
      <c r="AC514" t="s">
        <v>1365</v>
      </c>
    </row>
    <row r="515" spans="1:29" x14ac:dyDescent="0.25">
      <c r="A515" s="31" t="s">
        <v>1281</v>
      </c>
      <c r="B515" s="23" t="s">
        <v>1282</v>
      </c>
      <c r="D515">
        <v>1</v>
      </c>
      <c r="E515" t="s">
        <v>625</v>
      </c>
      <c r="F515">
        <v>4</v>
      </c>
      <c r="G515">
        <v>2025</v>
      </c>
      <c r="I515" s="8">
        <v>2104.42</v>
      </c>
      <c r="J515" t="s">
        <v>1608</v>
      </c>
      <c r="K515" t="s">
        <v>32</v>
      </c>
      <c r="M515">
        <v>0</v>
      </c>
      <c r="N515">
        <v>1</v>
      </c>
      <c r="O515">
        <v>0</v>
      </c>
      <c r="P515">
        <v>0</v>
      </c>
      <c r="Q515">
        <v>0</v>
      </c>
      <c r="R515">
        <v>0</v>
      </c>
      <c r="S515">
        <v>1</v>
      </c>
      <c r="T515">
        <v>1</v>
      </c>
      <c r="U515">
        <v>1</v>
      </c>
      <c r="V515">
        <v>0</v>
      </c>
      <c r="W515" t="s">
        <v>1283</v>
      </c>
      <c r="X515" t="s">
        <v>1900</v>
      </c>
      <c r="Y515">
        <v>0</v>
      </c>
      <c r="Z515">
        <v>0</v>
      </c>
      <c r="AA515">
        <v>2009</v>
      </c>
      <c r="AB515">
        <v>9999</v>
      </c>
      <c r="AC515" t="s">
        <v>1239</v>
      </c>
    </row>
    <row r="516" spans="1:29" x14ac:dyDescent="0.25">
      <c r="A516" s="31" t="s">
        <v>958</v>
      </c>
      <c r="B516" s="23" t="s">
        <v>959</v>
      </c>
      <c r="D516">
        <v>1</v>
      </c>
      <c r="E516" t="s">
        <v>51</v>
      </c>
      <c r="F516">
        <v>1</v>
      </c>
      <c r="G516">
        <v>2025</v>
      </c>
      <c r="I516">
        <v>72</v>
      </c>
      <c r="J516" t="s">
        <v>52</v>
      </c>
      <c r="K516" t="s">
        <v>53</v>
      </c>
      <c r="L516" t="s">
        <v>54</v>
      </c>
      <c r="M516">
        <v>0</v>
      </c>
      <c r="N516">
        <v>0</v>
      </c>
      <c r="O516">
        <v>0</v>
      </c>
      <c r="P516">
        <v>0</v>
      </c>
      <c r="Q516">
        <v>1</v>
      </c>
      <c r="R516">
        <v>0</v>
      </c>
      <c r="S516">
        <v>0</v>
      </c>
      <c r="T516">
        <v>0</v>
      </c>
      <c r="U516">
        <v>1</v>
      </c>
      <c r="V516">
        <v>0</v>
      </c>
      <c r="W516" t="s">
        <v>1901</v>
      </c>
      <c r="X516" t="s">
        <v>1768</v>
      </c>
      <c r="Y516">
        <v>0</v>
      </c>
      <c r="Z516">
        <v>0</v>
      </c>
      <c r="AA516">
        <v>2007</v>
      </c>
      <c r="AB516">
        <v>9999</v>
      </c>
      <c r="AC516" t="s">
        <v>35</v>
      </c>
    </row>
    <row r="517" spans="1:29" x14ac:dyDescent="0.25">
      <c r="A517" s="31" t="s">
        <v>960</v>
      </c>
      <c r="B517" s="23" t="s">
        <v>961</v>
      </c>
      <c r="D517">
        <v>1</v>
      </c>
      <c r="E517" t="s">
        <v>168</v>
      </c>
      <c r="F517">
        <v>1</v>
      </c>
      <c r="G517">
        <v>2025</v>
      </c>
      <c r="I517" s="8">
        <v>2428.7399999999998</v>
      </c>
      <c r="J517" t="s">
        <v>52</v>
      </c>
      <c r="K517" t="s">
        <v>47</v>
      </c>
      <c r="M517">
        <v>1</v>
      </c>
      <c r="N517">
        <v>1</v>
      </c>
      <c r="O517">
        <v>0</v>
      </c>
      <c r="P517">
        <v>0</v>
      </c>
      <c r="Q517">
        <v>0</v>
      </c>
      <c r="R517">
        <v>0</v>
      </c>
      <c r="S517">
        <v>1</v>
      </c>
      <c r="T517">
        <v>1</v>
      </c>
      <c r="U517">
        <v>1</v>
      </c>
      <c r="V517">
        <v>0</v>
      </c>
      <c r="W517" t="s">
        <v>1533</v>
      </c>
      <c r="X517" t="s">
        <v>1902</v>
      </c>
      <c r="Y517">
        <v>0</v>
      </c>
      <c r="Z517">
        <v>0</v>
      </c>
      <c r="AA517">
        <v>2007</v>
      </c>
      <c r="AB517">
        <v>9999</v>
      </c>
      <c r="AC517" t="s">
        <v>35</v>
      </c>
    </row>
    <row r="518" spans="1:29" x14ac:dyDescent="0.25">
      <c r="A518" s="31" t="s">
        <v>963</v>
      </c>
      <c r="B518" s="23" t="s">
        <v>658</v>
      </c>
      <c r="D518">
        <v>1</v>
      </c>
      <c r="E518" t="s">
        <v>103</v>
      </c>
      <c r="F518">
        <v>9</v>
      </c>
      <c r="G518">
        <v>2025</v>
      </c>
      <c r="I518" s="8">
        <v>3993.66</v>
      </c>
      <c r="J518" t="s">
        <v>104</v>
      </c>
      <c r="K518" t="s">
        <v>53</v>
      </c>
      <c r="L518" t="s">
        <v>105</v>
      </c>
      <c r="M518">
        <v>0</v>
      </c>
      <c r="N518">
        <v>0</v>
      </c>
      <c r="O518">
        <v>0</v>
      </c>
      <c r="P518">
        <v>1</v>
      </c>
      <c r="Q518">
        <v>0</v>
      </c>
      <c r="R518">
        <v>0</v>
      </c>
      <c r="S518">
        <v>1</v>
      </c>
      <c r="T518">
        <v>1</v>
      </c>
      <c r="U518">
        <v>1</v>
      </c>
      <c r="V518">
        <v>0</v>
      </c>
      <c r="W518" t="s">
        <v>106</v>
      </c>
      <c r="X518" t="s">
        <v>1851</v>
      </c>
      <c r="Y518">
        <v>0</v>
      </c>
      <c r="Z518">
        <v>0</v>
      </c>
      <c r="AA518">
        <v>2007</v>
      </c>
      <c r="AB518">
        <v>9999</v>
      </c>
      <c r="AC518" t="s">
        <v>35</v>
      </c>
    </row>
    <row r="519" spans="1:29" x14ac:dyDescent="0.25">
      <c r="A519" s="31" t="s">
        <v>1437</v>
      </c>
      <c r="B519" s="23" t="s">
        <v>1438</v>
      </c>
      <c r="C519" t="s">
        <v>1439</v>
      </c>
      <c r="D519">
        <v>1</v>
      </c>
      <c r="E519" t="s">
        <v>103</v>
      </c>
      <c r="F519">
        <v>9</v>
      </c>
      <c r="G519">
        <v>2025</v>
      </c>
      <c r="I519" s="8">
        <v>312.44</v>
      </c>
      <c r="J519" t="s">
        <v>104</v>
      </c>
      <c r="K519" t="s">
        <v>32</v>
      </c>
      <c r="M519">
        <v>0</v>
      </c>
      <c r="N519">
        <v>0</v>
      </c>
      <c r="O519">
        <v>0</v>
      </c>
      <c r="P519">
        <v>0</v>
      </c>
      <c r="Q519">
        <v>0</v>
      </c>
      <c r="R519">
        <v>0</v>
      </c>
      <c r="S519">
        <v>1</v>
      </c>
      <c r="T519">
        <v>1</v>
      </c>
      <c r="U519">
        <v>1</v>
      </c>
      <c r="V519">
        <v>0</v>
      </c>
      <c r="W519" t="s">
        <v>1440</v>
      </c>
      <c r="X519" t="s">
        <v>1831</v>
      </c>
      <c r="Y519">
        <v>0</v>
      </c>
      <c r="Z519">
        <v>0</v>
      </c>
      <c r="AA519">
        <v>2013</v>
      </c>
      <c r="AB519">
        <v>9999</v>
      </c>
      <c r="AC519" t="s">
        <v>1419</v>
      </c>
    </row>
    <row r="520" spans="1:29" x14ac:dyDescent="0.25">
      <c r="A520" s="31" t="s">
        <v>1441</v>
      </c>
      <c r="B520" s="23" t="s">
        <v>1442</v>
      </c>
      <c r="C520" t="s">
        <v>1443</v>
      </c>
      <c r="D520">
        <v>1</v>
      </c>
      <c r="E520" t="s">
        <v>103</v>
      </c>
      <c r="F520">
        <v>9</v>
      </c>
      <c r="G520">
        <v>2025</v>
      </c>
      <c r="I520" s="8">
        <v>107.16</v>
      </c>
      <c r="J520" t="s">
        <v>104</v>
      </c>
      <c r="K520" t="s">
        <v>47</v>
      </c>
      <c r="M520">
        <v>1</v>
      </c>
      <c r="N520">
        <v>0</v>
      </c>
      <c r="O520">
        <v>0</v>
      </c>
      <c r="P520">
        <v>0</v>
      </c>
      <c r="Q520">
        <v>0</v>
      </c>
      <c r="R520">
        <v>0</v>
      </c>
      <c r="S520">
        <v>1</v>
      </c>
      <c r="T520">
        <v>1</v>
      </c>
      <c r="U520">
        <v>1</v>
      </c>
      <c r="V520">
        <v>0</v>
      </c>
      <c r="W520" t="s">
        <v>1444</v>
      </c>
      <c r="X520" t="s">
        <v>1832</v>
      </c>
      <c r="Y520">
        <v>0</v>
      </c>
      <c r="Z520">
        <v>0</v>
      </c>
      <c r="AA520">
        <v>2013</v>
      </c>
      <c r="AB520">
        <v>9999</v>
      </c>
      <c r="AC520" t="s">
        <v>1419</v>
      </c>
    </row>
    <row r="521" spans="1:29" x14ac:dyDescent="0.25">
      <c r="A521" s="31" t="s">
        <v>1510</v>
      </c>
      <c r="B521" s="23" t="s">
        <v>1511</v>
      </c>
      <c r="D521">
        <v>1</v>
      </c>
      <c r="E521" s="4">
        <v>411</v>
      </c>
      <c r="F521">
        <v>4</v>
      </c>
      <c r="G521">
        <v>2025</v>
      </c>
      <c r="I521" s="8">
        <v>61.98</v>
      </c>
      <c r="J521" t="s">
        <v>52</v>
      </c>
      <c r="K521" t="s">
        <v>47</v>
      </c>
      <c r="M521">
        <v>1</v>
      </c>
      <c r="N521">
        <v>0</v>
      </c>
      <c r="O521">
        <v>0</v>
      </c>
      <c r="P521">
        <v>0</v>
      </c>
      <c r="Q521">
        <v>0</v>
      </c>
      <c r="R521">
        <v>0</v>
      </c>
      <c r="S521">
        <v>1</v>
      </c>
      <c r="T521">
        <v>1</v>
      </c>
      <c r="U521">
        <v>1</v>
      </c>
      <c r="V521">
        <v>0</v>
      </c>
      <c r="W521" t="s">
        <v>1512</v>
      </c>
      <c r="X521" t="s">
        <v>1833</v>
      </c>
      <c r="Y521">
        <v>0</v>
      </c>
      <c r="Z521">
        <v>0</v>
      </c>
      <c r="AA521">
        <v>2015</v>
      </c>
      <c r="AB521">
        <v>9999</v>
      </c>
      <c r="AC521" t="s">
        <v>1475</v>
      </c>
    </row>
    <row r="522" spans="1:29" x14ac:dyDescent="0.25">
      <c r="A522" s="31" t="s">
        <v>967</v>
      </c>
      <c r="B522" s="23" t="s">
        <v>661</v>
      </c>
      <c r="D522">
        <v>1</v>
      </c>
      <c r="E522" t="s">
        <v>103</v>
      </c>
      <c r="F522">
        <v>9</v>
      </c>
      <c r="G522">
        <v>2025</v>
      </c>
      <c r="I522" s="8">
        <v>6694.71</v>
      </c>
      <c r="J522" t="s">
        <v>104</v>
      </c>
      <c r="K522" t="s">
        <v>53</v>
      </c>
      <c r="L522" t="s">
        <v>105</v>
      </c>
      <c r="M522">
        <v>0</v>
      </c>
      <c r="N522">
        <v>0</v>
      </c>
      <c r="O522">
        <v>0</v>
      </c>
      <c r="P522">
        <v>1</v>
      </c>
      <c r="Q522">
        <v>0</v>
      </c>
      <c r="R522">
        <v>0</v>
      </c>
      <c r="S522">
        <v>1</v>
      </c>
      <c r="T522">
        <v>1</v>
      </c>
      <c r="U522">
        <v>1</v>
      </c>
      <c r="V522">
        <v>0</v>
      </c>
      <c r="W522" t="s">
        <v>106</v>
      </c>
      <c r="X522" t="s">
        <v>1851</v>
      </c>
      <c r="Y522">
        <v>0</v>
      </c>
      <c r="Z522">
        <v>0</v>
      </c>
      <c r="AA522">
        <v>2007</v>
      </c>
      <c r="AB522">
        <v>9999</v>
      </c>
      <c r="AC522" t="s">
        <v>35</v>
      </c>
    </row>
    <row r="523" spans="1:29" x14ac:dyDescent="0.25">
      <c r="A523" s="31" t="s">
        <v>1834</v>
      </c>
      <c r="B523" s="23" t="s">
        <v>1835</v>
      </c>
      <c r="D523">
        <v>1</v>
      </c>
      <c r="E523" s="18" t="s">
        <v>168</v>
      </c>
      <c r="F523">
        <v>1</v>
      </c>
      <c r="G523">
        <v>2025</v>
      </c>
      <c r="I523" s="8">
        <v>78.8</v>
      </c>
      <c r="J523" t="s">
        <v>52</v>
      </c>
      <c r="K523" t="s">
        <v>32</v>
      </c>
      <c r="M523">
        <v>0</v>
      </c>
      <c r="N523">
        <v>0</v>
      </c>
      <c r="O523">
        <v>0</v>
      </c>
      <c r="P523">
        <v>0</v>
      </c>
      <c r="Q523">
        <v>0</v>
      </c>
      <c r="R523">
        <v>0</v>
      </c>
      <c r="S523">
        <v>1</v>
      </c>
      <c r="T523">
        <v>1</v>
      </c>
      <c r="U523">
        <v>1</v>
      </c>
      <c r="V523">
        <v>0</v>
      </c>
      <c r="W523" t="s">
        <v>1836</v>
      </c>
      <c r="X523" t="s">
        <v>1837</v>
      </c>
      <c r="Y523">
        <v>0</v>
      </c>
      <c r="Z523">
        <v>1</v>
      </c>
      <c r="AA523">
        <v>2024</v>
      </c>
      <c r="AB523">
        <v>9999</v>
      </c>
      <c r="AC523" t="s">
        <v>1720</v>
      </c>
    </row>
    <row r="524" spans="1:29" x14ac:dyDescent="0.25">
      <c r="A524" s="31" t="s">
        <v>968</v>
      </c>
      <c r="B524" s="23" t="s">
        <v>969</v>
      </c>
      <c r="D524">
        <v>1</v>
      </c>
      <c r="E524" t="s">
        <v>85</v>
      </c>
      <c r="F524">
        <v>1</v>
      </c>
      <c r="G524">
        <v>2025</v>
      </c>
      <c r="H524" t="s">
        <v>970</v>
      </c>
      <c r="I524">
        <v>0.2</v>
      </c>
      <c r="J524" t="s">
        <v>176</v>
      </c>
      <c r="K524" t="s">
        <v>41</v>
      </c>
      <c r="M524">
        <v>0</v>
      </c>
      <c r="N524">
        <v>0</v>
      </c>
      <c r="O524">
        <v>0</v>
      </c>
      <c r="P524">
        <v>0</v>
      </c>
      <c r="Q524">
        <v>0</v>
      </c>
      <c r="R524">
        <v>0</v>
      </c>
      <c r="S524">
        <v>0</v>
      </c>
      <c r="T524">
        <v>0</v>
      </c>
      <c r="U524">
        <v>0</v>
      </c>
      <c r="V524">
        <v>0</v>
      </c>
      <c r="W524" t="s">
        <v>971</v>
      </c>
      <c r="X524" t="s">
        <v>1838</v>
      </c>
      <c r="Y524">
        <v>0</v>
      </c>
      <c r="Z524">
        <v>0</v>
      </c>
      <c r="AA524">
        <v>2007</v>
      </c>
      <c r="AB524">
        <v>9999</v>
      </c>
      <c r="AC524" t="s">
        <v>35</v>
      </c>
    </row>
    <row r="525" spans="1:29" x14ac:dyDescent="0.25">
      <c r="A525" s="31" t="s">
        <v>975</v>
      </c>
      <c r="B525" s="23" t="s">
        <v>976</v>
      </c>
      <c r="D525">
        <v>1</v>
      </c>
      <c r="E525" t="s">
        <v>977</v>
      </c>
      <c r="F525">
        <v>1</v>
      </c>
      <c r="G525">
        <v>2025</v>
      </c>
      <c r="H525" t="s">
        <v>205</v>
      </c>
      <c r="I525">
        <v>38</v>
      </c>
      <c r="J525" t="s">
        <v>81</v>
      </c>
      <c r="K525" t="s">
        <v>41</v>
      </c>
      <c r="M525">
        <v>0</v>
      </c>
      <c r="N525">
        <v>0</v>
      </c>
      <c r="O525">
        <v>0</v>
      </c>
      <c r="P525">
        <v>0</v>
      </c>
      <c r="Q525">
        <v>0</v>
      </c>
      <c r="R525">
        <v>0</v>
      </c>
      <c r="S525">
        <v>0</v>
      </c>
      <c r="T525">
        <v>0</v>
      </c>
      <c r="U525">
        <v>0</v>
      </c>
      <c r="V525">
        <v>0</v>
      </c>
      <c r="W525" t="s">
        <v>1220</v>
      </c>
      <c r="X525" t="s">
        <v>1839</v>
      </c>
      <c r="Y525">
        <v>0</v>
      </c>
      <c r="Z525">
        <v>0</v>
      </c>
      <c r="AA525">
        <v>2007</v>
      </c>
      <c r="AB525">
        <v>9999</v>
      </c>
      <c r="AC525" t="s">
        <v>35</v>
      </c>
    </row>
    <row r="526" spans="1:29" x14ac:dyDescent="0.25">
      <c r="A526" s="31" t="s">
        <v>985</v>
      </c>
      <c r="B526" s="23" t="s">
        <v>986</v>
      </c>
      <c r="C526" t="s">
        <v>987</v>
      </c>
      <c r="D526">
        <v>1</v>
      </c>
      <c r="E526" t="s">
        <v>988</v>
      </c>
      <c r="F526">
        <v>4</v>
      </c>
      <c r="G526">
        <v>2025</v>
      </c>
      <c r="I526" s="8">
        <v>221.01</v>
      </c>
      <c r="J526" t="s">
        <v>1610</v>
      </c>
      <c r="K526" t="s">
        <v>32</v>
      </c>
      <c r="M526">
        <v>0</v>
      </c>
      <c r="N526">
        <v>0</v>
      </c>
      <c r="O526">
        <v>0</v>
      </c>
      <c r="P526">
        <v>0</v>
      </c>
      <c r="Q526">
        <v>0</v>
      </c>
      <c r="R526">
        <v>0</v>
      </c>
      <c r="S526">
        <v>1</v>
      </c>
      <c r="T526">
        <v>1</v>
      </c>
      <c r="U526">
        <v>1</v>
      </c>
      <c r="V526">
        <v>0</v>
      </c>
      <c r="W526" t="s">
        <v>1339</v>
      </c>
      <c r="X526" t="s">
        <v>1840</v>
      </c>
      <c r="Y526">
        <v>0</v>
      </c>
      <c r="Z526">
        <v>0</v>
      </c>
      <c r="AA526">
        <v>2007</v>
      </c>
      <c r="AB526">
        <v>9999</v>
      </c>
      <c r="AC526" t="s">
        <v>35</v>
      </c>
    </row>
    <row r="527" spans="1:29" x14ac:dyDescent="0.25">
      <c r="A527" s="31" t="s">
        <v>993</v>
      </c>
      <c r="B527" s="23" t="s">
        <v>129</v>
      </c>
      <c r="D527">
        <v>1</v>
      </c>
      <c r="E527" t="s">
        <v>103</v>
      </c>
      <c r="F527">
        <v>1</v>
      </c>
      <c r="G527">
        <v>2025</v>
      </c>
      <c r="I527" s="8">
        <v>255.78</v>
      </c>
      <c r="J527" t="s">
        <v>104</v>
      </c>
      <c r="K527" t="s">
        <v>32</v>
      </c>
      <c r="M527">
        <v>0</v>
      </c>
      <c r="N527">
        <v>0</v>
      </c>
      <c r="O527">
        <v>0</v>
      </c>
      <c r="P527">
        <v>0</v>
      </c>
      <c r="Q527">
        <v>0</v>
      </c>
      <c r="R527">
        <v>0</v>
      </c>
      <c r="S527">
        <v>1</v>
      </c>
      <c r="T527">
        <v>1</v>
      </c>
      <c r="U527">
        <v>1</v>
      </c>
      <c r="V527">
        <v>0</v>
      </c>
      <c r="W527" t="s">
        <v>1340</v>
      </c>
      <c r="X527" t="s">
        <v>1903</v>
      </c>
      <c r="Y527">
        <v>7</v>
      </c>
      <c r="Z527">
        <v>0</v>
      </c>
      <c r="AA527">
        <v>2007</v>
      </c>
      <c r="AB527">
        <v>9999</v>
      </c>
      <c r="AC527" t="s">
        <v>35</v>
      </c>
    </row>
    <row r="528" spans="1:29" x14ac:dyDescent="0.25">
      <c r="A528" s="31" t="s">
        <v>1008</v>
      </c>
      <c r="B528" s="23" t="s">
        <v>1009</v>
      </c>
      <c r="D528">
        <v>1</v>
      </c>
      <c r="E528" t="s">
        <v>155</v>
      </c>
      <c r="F528">
        <v>3</v>
      </c>
      <c r="G528">
        <v>2025</v>
      </c>
      <c r="I528" s="8">
        <v>1296.0999999999999</v>
      </c>
      <c r="J528" t="s">
        <v>121</v>
      </c>
      <c r="K528" t="s">
        <v>47</v>
      </c>
      <c r="M528">
        <v>1</v>
      </c>
      <c r="N528">
        <v>0</v>
      </c>
      <c r="O528">
        <v>0</v>
      </c>
      <c r="P528">
        <v>0</v>
      </c>
      <c r="Q528">
        <v>0</v>
      </c>
      <c r="R528">
        <v>0</v>
      </c>
      <c r="S528">
        <v>1</v>
      </c>
      <c r="T528">
        <v>1</v>
      </c>
      <c r="U528">
        <v>1</v>
      </c>
      <c r="V528">
        <v>0</v>
      </c>
      <c r="W528" t="s">
        <v>1519</v>
      </c>
      <c r="X528" t="s">
        <v>1904</v>
      </c>
      <c r="Y528">
        <v>0</v>
      </c>
      <c r="Z528">
        <v>1</v>
      </c>
      <c r="AA528">
        <v>2007</v>
      </c>
      <c r="AB528">
        <v>9999</v>
      </c>
      <c r="AC528" t="s">
        <v>35</v>
      </c>
    </row>
    <row r="529" spans="1:29" x14ac:dyDescent="0.25">
      <c r="A529" s="31" t="s">
        <v>1011</v>
      </c>
      <c r="B529" s="23" t="s">
        <v>1012</v>
      </c>
      <c r="D529">
        <v>1</v>
      </c>
      <c r="E529" t="s">
        <v>103</v>
      </c>
      <c r="F529">
        <v>9</v>
      </c>
      <c r="G529">
        <v>2025</v>
      </c>
      <c r="I529" s="8">
        <v>1217.1199999999999</v>
      </c>
      <c r="J529" t="s">
        <v>104</v>
      </c>
      <c r="K529" t="s">
        <v>53</v>
      </c>
      <c r="L529" t="s">
        <v>105</v>
      </c>
      <c r="M529">
        <v>0</v>
      </c>
      <c r="N529">
        <v>0</v>
      </c>
      <c r="O529">
        <v>0</v>
      </c>
      <c r="P529">
        <v>1</v>
      </c>
      <c r="Q529">
        <v>0</v>
      </c>
      <c r="R529">
        <v>0</v>
      </c>
      <c r="S529">
        <v>1</v>
      </c>
      <c r="T529">
        <v>1</v>
      </c>
      <c r="U529">
        <v>1</v>
      </c>
      <c r="V529">
        <v>0</v>
      </c>
      <c r="W529" t="s">
        <v>106</v>
      </c>
      <c r="X529" t="s">
        <v>1851</v>
      </c>
      <c r="Y529">
        <v>0</v>
      </c>
      <c r="Z529">
        <v>0</v>
      </c>
      <c r="AA529">
        <v>2007</v>
      </c>
      <c r="AB529">
        <v>9999</v>
      </c>
      <c r="AC529" t="s">
        <v>35</v>
      </c>
    </row>
    <row r="530" spans="1:29" x14ac:dyDescent="0.25">
      <c r="A530" s="31" t="s">
        <v>126</v>
      </c>
      <c r="B530" s="23" t="s">
        <v>1573</v>
      </c>
      <c r="C530" t="s">
        <v>1607</v>
      </c>
      <c r="D530">
        <v>1</v>
      </c>
      <c r="E530" s="5" t="s">
        <v>128</v>
      </c>
      <c r="F530">
        <v>9</v>
      </c>
      <c r="G530">
        <v>2025</v>
      </c>
      <c r="H530" t="s">
        <v>129</v>
      </c>
      <c r="I530">
        <v>3</v>
      </c>
      <c r="J530" t="s">
        <v>104</v>
      </c>
      <c r="K530" t="s">
        <v>41</v>
      </c>
      <c r="M530">
        <v>0</v>
      </c>
      <c r="N530">
        <v>0</v>
      </c>
      <c r="O530">
        <v>0</v>
      </c>
      <c r="P530">
        <v>0</v>
      </c>
      <c r="Q530">
        <v>0</v>
      </c>
      <c r="R530">
        <v>0</v>
      </c>
      <c r="S530">
        <v>0</v>
      </c>
      <c r="T530">
        <v>1</v>
      </c>
      <c r="U530">
        <v>0</v>
      </c>
      <c r="V530">
        <v>0</v>
      </c>
      <c r="W530" t="s">
        <v>1043</v>
      </c>
      <c r="X530" t="s">
        <v>1843</v>
      </c>
      <c r="Y530">
        <v>0</v>
      </c>
      <c r="Z530">
        <v>0</v>
      </c>
      <c r="AA530">
        <v>2007</v>
      </c>
      <c r="AB530">
        <v>9999</v>
      </c>
      <c r="AC530" t="s">
        <v>35</v>
      </c>
    </row>
    <row r="531" spans="1:29" x14ac:dyDescent="0.25">
      <c r="A531" s="31" t="s">
        <v>1013</v>
      </c>
      <c r="B531" s="23" t="s">
        <v>1014</v>
      </c>
      <c r="D531">
        <v>1</v>
      </c>
      <c r="E531" t="s">
        <v>128</v>
      </c>
      <c r="F531">
        <v>9</v>
      </c>
      <c r="G531">
        <v>2025</v>
      </c>
      <c r="H531" t="s">
        <v>1513</v>
      </c>
      <c r="I531">
        <v>7.5</v>
      </c>
      <c r="J531" t="s">
        <v>104</v>
      </c>
      <c r="K531" t="s">
        <v>41</v>
      </c>
      <c r="M531">
        <v>0</v>
      </c>
      <c r="N531">
        <v>0</v>
      </c>
      <c r="O531">
        <v>0</v>
      </c>
      <c r="P531">
        <v>0</v>
      </c>
      <c r="Q531">
        <v>0</v>
      </c>
      <c r="R531">
        <v>0</v>
      </c>
      <c r="S531">
        <v>0</v>
      </c>
      <c r="T531">
        <v>0</v>
      </c>
      <c r="U531">
        <v>0</v>
      </c>
      <c r="V531">
        <v>0</v>
      </c>
      <c r="W531" t="s">
        <v>1229</v>
      </c>
      <c r="X531" t="s">
        <v>1844</v>
      </c>
      <c r="Y531">
        <v>0</v>
      </c>
      <c r="Z531">
        <v>0</v>
      </c>
      <c r="AA531">
        <v>2007</v>
      </c>
      <c r="AB531">
        <v>9999</v>
      </c>
      <c r="AC531" t="s">
        <v>35</v>
      </c>
    </row>
    <row r="532" spans="1:29" x14ac:dyDescent="0.25">
      <c r="A532" s="31" t="s">
        <v>1016</v>
      </c>
      <c r="B532" s="23" t="s">
        <v>1017</v>
      </c>
      <c r="D532">
        <v>1</v>
      </c>
      <c r="E532" t="s">
        <v>396</v>
      </c>
      <c r="F532">
        <v>3</v>
      </c>
      <c r="G532">
        <v>2025</v>
      </c>
      <c r="H532" t="s">
        <v>1018</v>
      </c>
      <c r="I532">
        <v>0</v>
      </c>
      <c r="J532" t="s">
        <v>121</v>
      </c>
      <c r="K532" t="s">
        <v>41</v>
      </c>
      <c r="M532">
        <v>0</v>
      </c>
      <c r="N532">
        <v>0</v>
      </c>
      <c r="O532">
        <v>0</v>
      </c>
      <c r="P532">
        <v>0</v>
      </c>
      <c r="Q532">
        <v>0</v>
      </c>
      <c r="R532">
        <v>0</v>
      </c>
      <c r="S532">
        <v>0</v>
      </c>
      <c r="T532">
        <v>0</v>
      </c>
      <c r="U532">
        <v>0</v>
      </c>
      <c r="V532">
        <v>0</v>
      </c>
      <c r="W532" t="s">
        <v>1230</v>
      </c>
      <c r="X532" t="s">
        <v>1845</v>
      </c>
      <c r="Y532">
        <v>0</v>
      </c>
      <c r="Z532">
        <v>0</v>
      </c>
      <c r="AA532">
        <v>2007</v>
      </c>
      <c r="AB532">
        <v>9999</v>
      </c>
      <c r="AC532" t="s">
        <v>35</v>
      </c>
    </row>
    <row r="533" spans="1:29" x14ac:dyDescent="0.25">
      <c r="A533" s="31" t="s">
        <v>1020</v>
      </c>
      <c r="B533" s="23" t="s">
        <v>1021</v>
      </c>
      <c r="D533">
        <v>1</v>
      </c>
      <c r="E533" t="s">
        <v>103</v>
      </c>
      <c r="F533">
        <v>9</v>
      </c>
      <c r="G533">
        <v>2025</v>
      </c>
      <c r="I533" s="8">
        <v>17.25</v>
      </c>
      <c r="J533" t="s">
        <v>104</v>
      </c>
      <c r="K533" t="s">
        <v>47</v>
      </c>
      <c r="M533">
        <v>0</v>
      </c>
      <c r="N533">
        <v>0</v>
      </c>
      <c r="O533">
        <v>0</v>
      </c>
      <c r="P533">
        <v>0</v>
      </c>
      <c r="Q533">
        <v>0</v>
      </c>
      <c r="R533">
        <v>0</v>
      </c>
      <c r="S533">
        <v>0</v>
      </c>
      <c r="T533">
        <v>1</v>
      </c>
      <c r="U533">
        <v>1</v>
      </c>
      <c r="V533">
        <v>0</v>
      </c>
      <c r="W533" t="s">
        <v>1231</v>
      </c>
      <c r="X533" t="s">
        <v>1846</v>
      </c>
      <c r="Y533">
        <v>1</v>
      </c>
      <c r="Z533">
        <v>0</v>
      </c>
      <c r="AA533">
        <v>2007</v>
      </c>
      <c r="AB533">
        <v>9999</v>
      </c>
      <c r="AC533" t="s">
        <v>35</v>
      </c>
    </row>
    <row r="534" spans="1:29" x14ac:dyDescent="0.25">
      <c r="B534" s="23" t="s">
        <v>1026</v>
      </c>
      <c r="D534">
        <v>24</v>
      </c>
      <c r="E534" s="18"/>
      <c r="F534">
        <v>3</v>
      </c>
      <c r="G534">
        <v>2025</v>
      </c>
      <c r="H534" t="s">
        <v>392</v>
      </c>
      <c r="I534">
        <v>10.14</v>
      </c>
      <c r="J534" t="s">
        <v>121</v>
      </c>
      <c r="K534" t="s">
        <v>41</v>
      </c>
      <c r="M534">
        <v>0</v>
      </c>
      <c r="N534">
        <v>0</v>
      </c>
      <c r="O534">
        <v>0</v>
      </c>
      <c r="P534">
        <v>0</v>
      </c>
      <c r="Q534">
        <v>0</v>
      </c>
      <c r="R534">
        <v>0</v>
      </c>
      <c r="S534">
        <v>0</v>
      </c>
      <c r="T534">
        <v>0</v>
      </c>
      <c r="U534">
        <v>0</v>
      </c>
      <c r="V534">
        <v>0</v>
      </c>
      <c r="W534" t="s">
        <v>1232</v>
      </c>
      <c r="X534" t="s">
        <v>1847</v>
      </c>
      <c r="Y534">
        <v>0</v>
      </c>
      <c r="Z534">
        <v>0</v>
      </c>
      <c r="AA534">
        <v>2007</v>
      </c>
      <c r="AB534">
        <v>9999</v>
      </c>
      <c r="AC534" t="s">
        <v>35</v>
      </c>
    </row>
    <row r="535" spans="1:29" x14ac:dyDescent="0.25">
      <c r="A535" s="31" t="s">
        <v>28</v>
      </c>
      <c r="B535" s="23" t="s">
        <v>29</v>
      </c>
      <c r="D535">
        <v>1</v>
      </c>
      <c r="E535" t="s">
        <v>30</v>
      </c>
      <c r="F535">
        <v>4</v>
      </c>
      <c r="G535">
        <v>2024</v>
      </c>
      <c r="I535" s="8">
        <v>1350.35</v>
      </c>
      <c r="J535" t="s">
        <v>1610</v>
      </c>
      <c r="K535" t="s">
        <v>32</v>
      </c>
      <c r="L535" t="s">
        <v>33</v>
      </c>
      <c r="M535">
        <v>1</v>
      </c>
      <c r="N535">
        <v>0</v>
      </c>
      <c r="O535">
        <v>0</v>
      </c>
      <c r="P535">
        <v>0</v>
      </c>
      <c r="Q535">
        <v>0</v>
      </c>
      <c r="R535">
        <v>1</v>
      </c>
      <c r="S535">
        <v>1</v>
      </c>
      <c r="T535">
        <v>1</v>
      </c>
      <c r="U535">
        <v>1</v>
      </c>
      <c r="V535">
        <v>0</v>
      </c>
      <c r="W535" t="s">
        <v>1029</v>
      </c>
      <c r="X535" t="s">
        <v>1621</v>
      </c>
      <c r="Y535">
        <v>0</v>
      </c>
      <c r="Z535">
        <v>2</v>
      </c>
      <c r="AA535">
        <v>2007</v>
      </c>
      <c r="AB535">
        <v>9999</v>
      </c>
      <c r="AC535" t="s">
        <v>35</v>
      </c>
    </row>
    <row r="536" spans="1:29" x14ac:dyDescent="0.25">
      <c r="A536" s="31" t="s">
        <v>36</v>
      </c>
      <c r="B536" s="23" t="s">
        <v>1445</v>
      </c>
      <c r="D536">
        <v>1</v>
      </c>
      <c r="E536" s="18"/>
      <c r="F536">
        <v>4</v>
      </c>
      <c r="G536">
        <v>2024</v>
      </c>
      <c r="H536" t="s">
        <v>39</v>
      </c>
      <c r="I536">
        <v>0.25</v>
      </c>
      <c r="J536" t="s">
        <v>40</v>
      </c>
      <c r="K536" t="s">
        <v>41</v>
      </c>
      <c r="M536">
        <v>0</v>
      </c>
      <c r="N536">
        <v>0</v>
      </c>
      <c r="O536">
        <v>0</v>
      </c>
      <c r="P536">
        <v>0</v>
      </c>
      <c r="Q536">
        <v>0</v>
      </c>
      <c r="R536">
        <v>0</v>
      </c>
      <c r="S536">
        <v>0</v>
      </c>
      <c r="T536">
        <v>0</v>
      </c>
      <c r="U536">
        <v>0</v>
      </c>
      <c r="V536">
        <v>0</v>
      </c>
      <c r="W536" t="s">
        <v>1030</v>
      </c>
      <c r="X536" t="s">
        <v>1622</v>
      </c>
      <c r="Y536">
        <v>0</v>
      </c>
      <c r="Z536">
        <v>0</v>
      </c>
      <c r="AA536">
        <v>2007</v>
      </c>
      <c r="AB536">
        <v>9999</v>
      </c>
      <c r="AC536" t="s">
        <v>35</v>
      </c>
    </row>
    <row r="537" spans="1:29" x14ac:dyDescent="0.25">
      <c r="A537" s="31" t="s">
        <v>43</v>
      </c>
      <c r="B537" s="23" t="s">
        <v>44</v>
      </c>
      <c r="D537">
        <v>1</v>
      </c>
      <c r="E537" t="s">
        <v>45</v>
      </c>
      <c r="F537">
        <v>4</v>
      </c>
      <c r="G537">
        <v>2024</v>
      </c>
      <c r="I537" s="8">
        <v>56.77</v>
      </c>
      <c r="J537" t="s">
        <v>52</v>
      </c>
      <c r="K537" t="s">
        <v>47</v>
      </c>
      <c r="M537">
        <v>1</v>
      </c>
      <c r="N537">
        <v>0</v>
      </c>
      <c r="O537">
        <v>0</v>
      </c>
      <c r="P537">
        <v>0</v>
      </c>
      <c r="Q537">
        <v>0</v>
      </c>
      <c r="R537">
        <v>0</v>
      </c>
      <c r="S537">
        <v>1</v>
      </c>
      <c r="T537">
        <v>1</v>
      </c>
      <c r="U537">
        <v>1</v>
      </c>
      <c r="V537">
        <v>0</v>
      </c>
      <c r="W537" t="s">
        <v>1514</v>
      </c>
      <c r="X537" t="s">
        <v>1623</v>
      </c>
      <c r="Y537">
        <v>0</v>
      </c>
      <c r="Z537">
        <v>0</v>
      </c>
      <c r="AA537">
        <v>2007</v>
      </c>
      <c r="AB537">
        <v>9999</v>
      </c>
      <c r="AC537" t="s">
        <v>35</v>
      </c>
    </row>
    <row r="538" spans="1:29" x14ac:dyDescent="0.25">
      <c r="A538" s="31" t="s">
        <v>49</v>
      </c>
      <c r="B538" s="23" t="s">
        <v>50</v>
      </c>
      <c r="D538">
        <v>1</v>
      </c>
      <c r="E538" t="s">
        <v>51</v>
      </c>
      <c r="F538">
        <v>1</v>
      </c>
      <c r="G538">
        <v>2024</v>
      </c>
      <c r="I538">
        <v>68</v>
      </c>
      <c r="J538" t="s">
        <v>52</v>
      </c>
      <c r="K538" t="s">
        <v>53</v>
      </c>
      <c r="L538" t="s">
        <v>54</v>
      </c>
      <c r="M538">
        <v>0</v>
      </c>
      <c r="N538">
        <v>0</v>
      </c>
      <c r="O538">
        <v>0</v>
      </c>
      <c r="P538">
        <v>0</v>
      </c>
      <c r="Q538">
        <v>1</v>
      </c>
      <c r="R538">
        <v>0</v>
      </c>
      <c r="S538">
        <v>0</v>
      </c>
      <c r="T538">
        <v>0</v>
      </c>
      <c r="U538">
        <v>1</v>
      </c>
      <c r="V538">
        <v>0</v>
      </c>
      <c r="W538" t="s">
        <v>55</v>
      </c>
      <c r="X538" t="s">
        <v>1624</v>
      </c>
      <c r="Y538">
        <v>0</v>
      </c>
      <c r="Z538">
        <v>0</v>
      </c>
      <c r="AA538">
        <v>2007</v>
      </c>
      <c r="AB538">
        <v>9999</v>
      </c>
      <c r="AC538" t="s">
        <v>35</v>
      </c>
    </row>
    <row r="539" spans="1:29" x14ac:dyDescent="0.25">
      <c r="A539" s="31" t="s">
        <v>996</v>
      </c>
      <c r="B539" s="23" t="s">
        <v>1342</v>
      </c>
      <c r="D539">
        <v>1</v>
      </c>
      <c r="E539" t="s">
        <v>38</v>
      </c>
      <c r="F539">
        <v>4</v>
      </c>
      <c r="G539">
        <v>2024</v>
      </c>
      <c r="H539" t="s">
        <v>998</v>
      </c>
      <c r="I539">
        <v>2.5</v>
      </c>
      <c r="J539" t="s">
        <v>1608</v>
      </c>
      <c r="K539" t="s">
        <v>41</v>
      </c>
      <c r="M539">
        <v>0</v>
      </c>
      <c r="N539">
        <v>0</v>
      </c>
      <c r="O539">
        <v>0</v>
      </c>
      <c r="P539">
        <v>0</v>
      </c>
      <c r="Q539">
        <v>0</v>
      </c>
      <c r="R539">
        <v>0</v>
      </c>
      <c r="S539">
        <v>0</v>
      </c>
      <c r="T539">
        <v>0</v>
      </c>
      <c r="U539">
        <v>0</v>
      </c>
      <c r="V539">
        <v>0</v>
      </c>
      <c r="W539" t="s">
        <v>1344</v>
      </c>
      <c r="X539" t="s">
        <v>1625</v>
      </c>
      <c r="Y539">
        <v>0</v>
      </c>
      <c r="Z539">
        <v>0</v>
      </c>
      <c r="AA539">
        <v>2007</v>
      </c>
      <c r="AB539">
        <v>9999</v>
      </c>
      <c r="AC539" t="s">
        <v>35</v>
      </c>
    </row>
    <row r="540" spans="1:29" x14ac:dyDescent="0.25">
      <c r="A540" s="31" t="s">
        <v>56</v>
      </c>
      <c r="B540" s="23" t="s">
        <v>57</v>
      </c>
      <c r="D540">
        <v>1</v>
      </c>
      <c r="E540" t="s">
        <v>58</v>
      </c>
      <c r="F540">
        <v>4</v>
      </c>
      <c r="G540">
        <v>2024</v>
      </c>
      <c r="I540" s="8">
        <v>15.76</v>
      </c>
      <c r="J540" t="s">
        <v>59</v>
      </c>
      <c r="K540" t="s">
        <v>53</v>
      </c>
      <c r="L540" t="s">
        <v>60</v>
      </c>
      <c r="M540">
        <v>0</v>
      </c>
      <c r="N540">
        <v>0</v>
      </c>
      <c r="O540">
        <v>1</v>
      </c>
      <c r="P540">
        <v>0</v>
      </c>
      <c r="Q540">
        <v>0</v>
      </c>
      <c r="R540">
        <v>0</v>
      </c>
      <c r="S540">
        <v>1</v>
      </c>
      <c r="T540">
        <v>1</v>
      </c>
      <c r="U540">
        <v>1</v>
      </c>
      <c r="V540">
        <v>0</v>
      </c>
      <c r="W540" t="s">
        <v>61</v>
      </c>
      <c r="X540" t="s">
        <v>1626</v>
      </c>
      <c r="Y540">
        <v>0</v>
      </c>
      <c r="Z540">
        <v>0</v>
      </c>
      <c r="AA540">
        <v>2007</v>
      </c>
      <c r="AB540">
        <v>9999</v>
      </c>
      <c r="AC540" t="s">
        <v>35</v>
      </c>
    </row>
    <row r="541" spans="1:29" x14ac:dyDescent="0.25">
      <c r="A541" s="31" t="s">
        <v>71</v>
      </c>
      <c r="B541" s="23" t="s">
        <v>1032</v>
      </c>
      <c r="D541">
        <v>1</v>
      </c>
      <c r="E541" t="s">
        <v>309</v>
      </c>
      <c r="F541">
        <v>10</v>
      </c>
      <c r="G541">
        <v>2024</v>
      </c>
      <c r="I541" s="8">
        <v>9763.2800000000007</v>
      </c>
      <c r="J541" t="s">
        <v>59</v>
      </c>
      <c r="K541" t="s">
        <v>32</v>
      </c>
      <c r="M541">
        <v>0</v>
      </c>
      <c r="N541">
        <v>1</v>
      </c>
      <c r="O541">
        <v>0</v>
      </c>
      <c r="P541">
        <v>0</v>
      </c>
      <c r="Q541">
        <v>0</v>
      </c>
      <c r="R541">
        <v>0</v>
      </c>
      <c r="S541">
        <v>1</v>
      </c>
      <c r="T541">
        <v>1</v>
      </c>
      <c r="U541">
        <v>1</v>
      </c>
      <c r="V541">
        <v>0</v>
      </c>
      <c r="W541" t="s">
        <v>1609</v>
      </c>
      <c r="X541" t="s">
        <v>1627</v>
      </c>
      <c r="Y541">
        <v>0</v>
      </c>
      <c r="Z541">
        <v>1</v>
      </c>
      <c r="AA541">
        <v>2007</v>
      </c>
      <c r="AB541">
        <v>9999</v>
      </c>
      <c r="AC541" t="s">
        <v>35</v>
      </c>
    </row>
    <row r="542" spans="1:29" x14ac:dyDescent="0.25">
      <c r="A542" s="31" t="s">
        <v>62</v>
      </c>
      <c r="B542" s="23" t="s">
        <v>63</v>
      </c>
      <c r="D542">
        <v>1</v>
      </c>
      <c r="E542" t="s">
        <v>64</v>
      </c>
      <c r="F542">
        <v>1</v>
      </c>
      <c r="G542">
        <v>2024</v>
      </c>
      <c r="I542" s="8">
        <v>69.25</v>
      </c>
      <c r="J542" t="s">
        <v>52</v>
      </c>
      <c r="K542" t="s">
        <v>53</v>
      </c>
      <c r="L542" t="s">
        <v>65</v>
      </c>
      <c r="M542">
        <v>0</v>
      </c>
      <c r="N542">
        <v>0</v>
      </c>
      <c r="O542">
        <v>0</v>
      </c>
      <c r="P542">
        <v>0</v>
      </c>
      <c r="Q542">
        <v>0</v>
      </c>
      <c r="R542">
        <v>0</v>
      </c>
      <c r="S542">
        <v>1</v>
      </c>
      <c r="T542">
        <v>1</v>
      </c>
      <c r="U542">
        <v>1</v>
      </c>
      <c r="V542">
        <v>0</v>
      </c>
      <c r="W542" t="s">
        <v>1034</v>
      </c>
      <c r="X542" t="s">
        <v>1628</v>
      </c>
      <c r="Y542">
        <v>0</v>
      </c>
      <c r="Z542">
        <v>0</v>
      </c>
      <c r="AA542">
        <v>2007</v>
      </c>
      <c r="AB542">
        <v>9999</v>
      </c>
      <c r="AC542" t="s">
        <v>35</v>
      </c>
    </row>
    <row r="543" spans="1:29" x14ac:dyDescent="0.25">
      <c r="A543" s="31" t="s">
        <v>74</v>
      </c>
      <c r="B543" s="23" t="s">
        <v>75</v>
      </c>
      <c r="D543">
        <v>1</v>
      </c>
      <c r="E543" t="s">
        <v>58</v>
      </c>
      <c r="F543">
        <v>4</v>
      </c>
      <c r="G543">
        <v>2024</v>
      </c>
      <c r="I543" s="8">
        <v>665.9</v>
      </c>
      <c r="J543" t="s">
        <v>59</v>
      </c>
      <c r="K543" t="s">
        <v>47</v>
      </c>
      <c r="M543">
        <v>1</v>
      </c>
      <c r="N543">
        <v>0</v>
      </c>
      <c r="O543">
        <v>0</v>
      </c>
      <c r="P543">
        <v>0</v>
      </c>
      <c r="Q543">
        <v>0</v>
      </c>
      <c r="R543">
        <v>0</v>
      </c>
      <c r="S543">
        <v>1</v>
      </c>
      <c r="T543">
        <v>1</v>
      </c>
      <c r="U543">
        <v>1</v>
      </c>
      <c r="V543">
        <v>0</v>
      </c>
      <c r="W543" t="s">
        <v>1035</v>
      </c>
      <c r="X543" t="s">
        <v>1629</v>
      </c>
      <c r="Y543">
        <v>0</v>
      </c>
      <c r="Z543">
        <v>1</v>
      </c>
      <c r="AA543">
        <v>2007</v>
      </c>
      <c r="AB543">
        <v>9999</v>
      </c>
      <c r="AC543" t="s">
        <v>35</v>
      </c>
    </row>
    <row r="544" spans="1:29" x14ac:dyDescent="0.25">
      <c r="A544" s="31" t="s">
        <v>83</v>
      </c>
      <c r="B544" s="23" t="s">
        <v>84</v>
      </c>
      <c r="D544">
        <v>1</v>
      </c>
      <c r="E544" t="s">
        <v>85</v>
      </c>
      <c r="F544">
        <v>1</v>
      </c>
      <c r="G544">
        <v>2024</v>
      </c>
      <c r="H544" t="s">
        <v>39</v>
      </c>
      <c r="I544">
        <v>33.200000000000003</v>
      </c>
      <c r="J544" t="s">
        <v>40</v>
      </c>
      <c r="K544" t="s">
        <v>41</v>
      </c>
      <c r="M544">
        <v>0</v>
      </c>
      <c r="N544">
        <v>0</v>
      </c>
      <c r="O544">
        <v>0</v>
      </c>
      <c r="P544">
        <v>0</v>
      </c>
      <c r="Q544">
        <v>0</v>
      </c>
      <c r="R544">
        <v>0</v>
      </c>
      <c r="S544">
        <v>0</v>
      </c>
      <c r="T544">
        <v>0</v>
      </c>
      <c r="U544">
        <v>0</v>
      </c>
      <c r="V544">
        <v>0</v>
      </c>
      <c r="W544" t="s">
        <v>1630</v>
      </c>
      <c r="X544" t="s">
        <v>1631</v>
      </c>
      <c r="Y544">
        <v>0</v>
      </c>
      <c r="Z544">
        <v>0</v>
      </c>
      <c r="AA544">
        <v>2007</v>
      </c>
      <c r="AB544">
        <v>9999</v>
      </c>
      <c r="AC544" t="s">
        <v>35</v>
      </c>
    </row>
    <row r="545" spans="1:29" x14ac:dyDescent="0.25">
      <c r="A545" s="31" t="s">
        <v>92</v>
      </c>
      <c r="B545" s="23" t="s">
        <v>93</v>
      </c>
      <c r="C545" t="s">
        <v>94</v>
      </c>
      <c r="D545">
        <v>1</v>
      </c>
      <c r="E545" t="s">
        <v>95</v>
      </c>
      <c r="F545">
        <v>10</v>
      </c>
      <c r="G545">
        <v>2024</v>
      </c>
      <c r="I545" s="8">
        <v>25.55</v>
      </c>
      <c r="J545" t="s">
        <v>40</v>
      </c>
      <c r="K545" t="s">
        <v>47</v>
      </c>
      <c r="M545">
        <v>0</v>
      </c>
      <c r="N545">
        <v>0</v>
      </c>
      <c r="O545">
        <v>0</v>
      </c>
      <c r="P545">
        <v>0</v>
      </c>
      <c r="Q545">
        <v>0</v>
      </c>
      <c r="R545">
        <v>0</v>
      </c>
      <c r="S545">
        <v>1</v>
      </c>
      <c r="T545">
        <v>1</v>
      </c>
      <c r="U545">
        <v>1</v>
      </c>
      <c r="V545">
        <v>0</v>
      </c>
      <c r="W545" t="s">
        <v>96</v>
      </c>
      <c r="X545" t="s">
        <v>1632</v>
      </c>
      <c r="Y545">
        <v>0</v>
      </c>
      <c r="Z545">
        <v>0</v>
      </c>
      <c r="AA545">
        <v>2007</v>
      </c>
      <c r="AB545">
        <v>9999</v>
      </c>
      <c r="AC545" t="s">
        <v>35</v>
      </c>
    </row>
    <row r="546" spans="1:29" x14ac:dyDescent="0.25">
      <c r="A546" s="31" t="s">
        <v>101</v>
      </c>
      <c r="B546" s="23" t="s">
        <v>102</v>
      </c>
      <c r="D546">
        <v>1</v>
      </c>
      <c r="E546" t="s">
        <v>103</v>
      </c>
      <c r="F546">
        <v>9</v>
      </c>
      <c r="G546">
        <v>2024</v>
      </c>
      <c r="I546" s="8">
        <v>455.7</v>
      </c>
      <c r="J546" t="s">
        <v>104</v>
      </c>
      <c r="K546" t="s">
        <v>53</v>
      </c>
      <c r="L546" t="s">
        <v>105</v>
      </c>
      <c r="M546">
        <v>0</v>
      </c>
      <c r="N546">
        <v>0</v>
      </c>
      <c r="O546">
        <v>0</v>
      </c>
      <c r="P546">
        <v>1</v>
      </c>
      <c r="Q546">
        <v>0</v>
      </c>
      <c r="R546">
        <v>0</v>
      </c>
      <c r="S546">
        <v>1</v>
      </c>
      <c r="T546">
        <v>1</v>
      </c>
      <c r="U546">
        <v>1</v>
      </c>
      <c r="V546">
        <v>0</v>
      </c>
      <c r="W546" t="s">
        <v>106</v>
      </c>
      <c r="X546" t="s">
        <v>1633</v>
      </c>
      <c r="Y546">
        <v>0</v>
      </c>
      <c r="Z546">
        <v>0</v>
      </c>
      <c r="AA546">
        <v>2007</v>
      </c>
      <c r="AB546">
        <v>9999</v>
      </c>
      <c r="AC546" t="s">
        <v>35</v>
      </c>
    </row>
    <row r="547" spans="1:29" x14ac:dyDescent="0.25">
      <c r="A547" s="31" t="s">
        <v>107</v>
      </c>
      <c r="B547" s="23" t="s">
        <v>108</v>
      </c>
      <c r="D547">
        <v>1</v>
      </c>
      <c r="E547" t="s">
        <v>45</v>
      </c>
      <c r="F547">
        <v>4</v>
      </c>
      <c r="G547">
        <v>2024</v>
      </c>
      <c r="I547" s="8">
        <v>5.5</v>
      </c>
      <c r="J547" t="s">
        <v>52</v>
      </c>
      <c r="K547" t="s">
        <v>41</v>
      </c>
      <c r="M547">
        <v>0</v>
      </c>
      <c r="N547">
        <v>0</v>
      </c>
      <c r="O547">
        <v>0</v>
      </c>
      <c r="P547">
        <v>0</v>
      </c>
      <c r="Q547">
        <v>0</v>
      </c>
      <c r="R547">
        <v>0</v>
      </c>
      <c r="S547">
        <v>0</v>
      </c>
      <c r="T547">
        <v>1</v>
      </c>
      <c r="U547">
        <v>1</v>
      </c>
      <c r="V547">
        <v>0</v>
      </c>
      <c r="W547" t="s">
        <v>1520</v>
      </c>
      <c r="X547" t="s">
        <v>1634</v>
      </c>
      <c r="Y547">
        <v>0</v>
      </c>
      <c r="Z547">
        <v>0</v>
      </c>
      <c r="AA547">
        <v>2007</v>
      </c>
      <c r="AB547">
        <v>9999</v>
      </c>
      <c r="AC547" t="s">
        <v>35</v>
      </c>
    </row>
    <row r="548" spans="1:29" x14ac:dyDescent="0.25">
      <c r="A548" s="31" t="s">
        <v>110</v>
      </c>
      <c r="B548" s="23" t="s">
        <v>111</v>
      </c>
      <c r="D548">
        <v>1</v>
      </c>
      <c r="E548" t="s">
        <v>45</v>
      </c>
      <c r="F548">
        <v>4</v>
      </c>
      <c r="G548">
        <v>2024</v>
      </c>
      <c r="I548" s="8">
        <v>545.84</v>
      </c>
      <c r="J548" t="s">
        <v>1610</v>
      </c>
      <c r="K548" t="s">
        <v>47</v>
      </c>
      <c r="M548">
        <v>1</v>
      </c>
      <c r="N548">
        <v>0</v>
      </c>
      <c r="O548">
        <v>0</v>
      </c>
      <c r="P548">
        <v>0</v>
      </c>
      <c r="Q548">
        <v>0</v>
      </c>
      <c r="R548">
        <v>0</v>
      </c>
      <c r="S548">
        <v>1</v>
      </c>
      <c r="T548">
        <v>1</v>
      </c>
      <c r="U548">
        <v>1</v>
      </c>
      <c r="V548">
        <v>0</v>
      </c>
      <c r="W548" t="s">
        <v>1039</v>
      </c>
      <c r="X548" t="s">
        <v>1635</v>
      </c>
      <c r="Y548">
        <v>0</v>
      </c>
      <c r="Z548">
        <v>0</v>
      </c>
      <c r="AA548">
        <v>2007</v>
      </c>
      <c r="AB548">
        <v>9999</v>
      </c>
      <c r="AC548" t="s">
        <v>35</v>
      </c>
    </row>
    <row r="549" spans="1:29" x14ac:dyDescent="0.25">
      <c r="A549" s="31" t="s">
        <v>113</v>
      </c>
      <c r="B549" s="23" t="s">
        <v>114</v>
      </c>
      <c r="D549">
        <v>1</v>
      </c>
      <c r="E549" t="s">
        <v>115</v>
      </c>
      <c r="F549">
        <v>6</v>
      </c>
      <c r="G549">
        <v>2024</v>
      </c>
      <c r="I549" s="8">
        <v>219.47</v>
      </c>
      <c r="J549" t="s">
        <v>1608</v>
      </c>
      <c r="K549" t="s">
        <v>47</v>
      </c>
      <c r="M549">
        <v>1</v>
      </c>
      <c r="N549">
        <v>0</v>
      </c>
      <c r="O549">
        <v>0</v>
      </c>
      <c r="P549">
        <v>0</v>
      </c>
      <c r="Q549">
        <v>0</v>
      </c>
      <c r="R549">
        <v>0</v>
      </c>
      <c r="S549">
        <v>1</v>
      </c>
      <c r="T549">
        <v>1</v>
      </c>
      <c r="U549">
        <v>1</v>
      </c>
      <c r="V549">
        <v>0</v>
      </c>
      <c r="W549" t="s">
        <v>1586</v>
      </c>
      <c r="X549" t="s">
        <v>1636</v>
      </c>
      <c r="Y549">
        <v>1</v>
      </c>
      <c r="Z549">
        <v>0</v>
      </c>
      <c r="AA549">
        <v>2007</v>
      </c>
      <c r="AB549">
        <v>9999</v>
      </c>
      <c r="AC549" t="s">
        <v>35</v>
      </c>
    </row>
    <row r="550" spans="1:29" x14ac:dyDescent="0.25">
      <c r="A550" s="31" t="s">
        <v>117</v>
      </c>
      <c r="B550" s="23" t="s">
        <v>118</v>
      </c>
      <c r="C550" t="s">
        <v>119</v>
      </c>
      <c r="D550">
        <v>1</v>
      </c>
      <c r="E550" t="s">
        <v>120</v>
      </c>
      <c r="F550">
        <v>3</v>
      </c>
      <c r="G550">
        <v>2024</v>
      </c>
      <c r="I550" s="8">
        <v>154.5</v>
      </c>
      <c r="J550" t="s">
        <v>121</v>
      </c>
      <c r="K550" t="s">
        <v>47</v>
      </c>
      <c r="M550">
        <v>1</v>
      </c>
      <c r="N550">
        <v>0</v>
      </c>
      <c r="O550">
        <v>0</v>
      </c>
      <c r="P550">
        <v>0</v>
      </c>
      <c r="Q550">
        <v>0</v>
      </c>
      <c r="R550">
        <v>0</v>
      </c>
      <c r="S550">
        <v>1</v>
      </c>
      <c r="T550">
        <v>1</v>
      </c>
      <c r="U550">
        <v>1</v>
      </c>
      <c r="V550">
        <v>0</v>
      </c>
      <c r="W550" t="s">
        <v>1521</v>
      </c>
      <c r="X550" t="s">
        <v>1637</v>
      </c>
      <c r="Y550">
        <v>0</v>
      </c>
      <c r="Z550">
        <v>1</v>
      </c>
      <c r="AA550">
        <v>2007</v>
      </c>
      <c r="AB550">
        <v>9999</v>
      </c>
      <c r="AC550" t="s">
        <v>35</v>
      </c>
    </row>
    <row r="551" spans="1:29" x14ac:dyDescent="0.25">
      <c r="A551" s="31" t="s">
        <v>123</v>
      </c>
      <c r="B551" s="23" t="s">
        <v>124</v>
      </c>
      <c r="D551">
        <v>1</v>
      </c>
      <c r="E551" t="s">
        <v>120</v>
      </c>
      <c r="F551">
        <v>3</v>
      </c>
      <c r="G551">
        <v>2024</v>
      </c>
      <c r="I551" s="8">
        <v>58.5</v>
      </c>
      <c r="J551" t="s">
        <v>121</v>
      </c>
      <c r="K551" t="s">
        <v>47</v>
      </c>
      <c r="M551">
        <v>0</v>
      </c>
      <c r="N551">
        <v>0</v>
      </c>
      <c r="O551">
        <v>0</v>
      </c>
      <c r="P551">
        <v>0</v>
      </c>
      <c r="Q551">
        <v>0</v>
      </c>
      <c r="R551">
        <v>0</v>
      </c>
      <c r="S551">
        <v>1</v>
      </c>
      <c r="T551">
        <v>1</v>
      </c>
      <c r="U551">
        <v>1</v>
      </c>
      <c r="V551">
        <v>0</v>
      </c>
      <c r="W551" t="s">
        <v>1042</v>
      </c>
      <c r="X551" t="s">
        <v>1638</v>
      </c>
      <c r="Y551">
        <v>2</v>
      </c>
      <c r="Z551">
        <v>0</v>
      </c>
      <c r="AA551">
        <v>2007</v>
      </c>
      <c r="AB551">
        <v>9999</v>
      </c>
      <c r="AC551" t="s">
        <v>35</v>
      </c>
    </row>
    <row r="552" spans="1:29" x14ac:dyDescent="0.25">
      <c r="A552" s="31" t="s">
        <v>1416</v>
      </c>
      <c r="B552" s="23" t="s">
        <v>1417</v>
      </c>
      <c r="D552">
        <v>1</v>
      </c>
      <c r="E552" s="5" t="s">
        <v>38</v>
      </c>
      <c r="F552">
        <v>4</v>
      </c>
      <c r="G552">
        <v>2024</v>
      </c>
      <c r="H552" t="s">
        <v>998</v>
      </c>
      <c r="I552">
        <v>0</v>
      </c>
      <c r="J552" t="s">
        <v>1608</v>
      </c>
      <c r="K552" t="s">
        <v>41</v>
      </c>
      <c r="M552">
        <v>0</v>
      </c>
      <c r="N552">
        <v>0</v>
      </c>
      <c r="O552">
        <v>0</v>
      </c>
      <c r="P552">
        <v>0</v>
      </c>
      <c r="Q552">
        <v>0</v>
      </c>
      <c r="R552">
        <v>0</v>
      </c>
      <c r="S552">
        <v>0</v>
      </c>
      <c r="T552">
        <v>0</v>
      </c>
      <c r="U552">
        <v>0</v>
      </c>
      <c r="V552">
        <v>0</v>
      </c>
      <c r="W552" t="s">
        <v>1534</v>
      </c>
      <c r="X552" t="s">
        <v>1639</v>
      </c>
      <c r="Y552">
        <v>0</v>
      </c>
      <c r="Z552">
        <v>0</v>
      </c>
      <c r="AA552">
        <v>2013</v>
      </c>
      <c r="AB552">
        <v>9999</v>
      </c>
      <c r="AC552" t="s">
        <v>1419</v>
      </c>
    </row>
    <row r="553" spans="1:29" x14ac:dyDescent="0.25">
      <c r="A553" s="31" t="s">
        <v>131</v>
      </c>
      <c r="B553" s="23" t="s">
        <v>132</v>
      </c>
      <c r="C553" t="s">
        <v>133</v>
      </c>
      <c r="D553">
        <v>1</v>
      </c>
      <c r="E553" t="s">
        <v>134</v>
      </c>
      <c r="F553">
        <v>9</v>
      </c>
      <c r="G553">
        <v>2024</v>
      </c>
      <c r="I553" s="8">
        <v>1203.5</v>
      </c>
      <c r="J553" t="s">
        <v>104</v>
      </c>
      <c r="K553" t="s">
        <v>47</v>
      </c>
      <c r="M553">
        <v>1</v>
      </c>
      <c r="N553">
        <v>0</v>
      </c>
      <c r="O553">
        <v>0</v>
      </c>
      <c r="P553">
        <v>0</v>
      </c>
      <c r="Q553">
        <v>0</v>
      </c>
      <c r="R553">
        <v>0</v>
      </c>
      <c r="S553">
        <v>1</v>
      </c>
      <c r="T553">
        <v>1</v>
      </c>
      <c r="U553">
        <v>1</v>
      </c>
      <c r="V553">
        <v>0</v>
      </c>
      <c r="W553" t="s">
        <v>1522</v>
      </c>
      <c r="X553" t="s">
        <v>1640</v>
      </c>
      <c r="Y553">
        <v>0</v>
      </c>
      <c r="Z553">
        <v>0</v>
      </c>
      <c r="AA553">
        <v>2007</v>
      </c>
      <c r="AB553">
        <v>9999</v>
      </c>
      <c r="AC553" t="s">
        <v>35</v>
      </c>
    </row>
    <row r="554" spans="1:29" ht="30" x14ac:dyDescent="0.25">
      <c r="A554" s="31" t="s">
        <v>143</v>
      </c>
      <c r="B554" s="23" t="s">
        <v>144</v>
      </c>
      <c r="D554">
        <v>1</v>
      </c>
      <c r="E554" t="s">
        <v>145</v>
      </c>
      <c r="F554">
        <v>2</v>
      </c>
      <c r="G554">
        <v>2024</v>
      </c>
      <c r="H554" t="s">
        <v>146</v>
      </c>
      <c r="I554">
        <v>1.2500000000000001E-2</v>
      </c>
      <c r="J554" s="2" t="s">
        <v>147</v>
      </c>
      <c r="K554" t="s">
        <v>41</v>
      </c>
      <c r="M554">
        <v>0</v>
      </c>
      <c r="N554">
        <v>0</v>
      </c>
      <c r="O554">
        <v>0</v>
      </c>
      <c r="P554">
        <v>0</v>
      </c>
      <c r="Q554">
        <v>0</v>
      </c>
      <c r="R554">
        <v>0</v>
      </c>
      <c r="S554">
        <v>0</v>
      </c>
      <c r="T554">
        <v>0</v>
      </c>
      <c r="U554">
        <v>0</v>
      </c>
      <c r="V554">
        <v>0</v>
      </c>
      <c r="W554" t="s">
        <v>1046</v>
      </c>
      <c r="X554" t="s">
        <v>1641</v>
      </c>
      <c r="Y554">
        <v>0</v>
      </c>
      <c r="Z554">
        <v>0</v>
      </c>
      <c r="AA554">
        <v>2007</v>
      </c>
      <c r="AB554">
        <v>9999</v>
      </c>
      <c r="AC554" t="s">
        <v>35</v>
      </c>
    </row>
    <row r="555" spans="1:29" x14ac:dyDescent="0.25">
      <c r="A555" s="31" t="s">
        <v>353</v>
      </c>
      <c r="B555" s="23" t="s">
        <v>1233</v>
      </c>
      <c r="C555" t="s">
        <v>1234</v>
      </c>
      <c r="D555">
        <v>1</v>
      </c>
      <c r="E555" t="s">
        <v>58</v>
      </c>
      <c r="F555">
        <v>4</v>
      </c>
      <c r="G555">
        <v>2024</v>
      </c>
      <c r="I555" s="8">
        <v>94.8</v>
      </c>
      <c r="J555" t="s">
        <v>59</v>
      </c>
      <c r="K555" t="s">
        <v>47</v>
      </c>
      <c r="M555">
        <v>0</v>
      </c>
      <c r="N555">
        <v>0</v>
      </c>
      <c r="O555">
        <v>0</v>
      </c>
      <c r="P555">
        <v>0</v>
      </c>
      <c r="Q555">
        <v>0</v>
      </c>
      <c r="R555">
        <v>0</v>
      </c>
      <c r="S555">
        <v>1</v>
      </c>
      <c r="T555">
        <v>1</v>
      </c>
      <c r="U555">
        <v>1</v>
      </c>
      <c r="V555">
        <v>0</v>
      </c>
      <c r="W555" t="s">
        <v>1235</v>
      </c>
      <c r="X555" t="s">
        <v>1642</v>
      </c>
      <c r="Y555">
        <v>0</v>
      </c>
      <c r="Z555">
        <v>1</v>
      </c>
      <c r="AA555">
        <v>2007</v>
      </c>
      <c r="AB555">
        <v>9999</v>
      </c>
      <c r="AC555" t="s">
        <v>35</v>
      </c>
    </row>
    <row r="556" spans="1:29" x14ac:dyDescent="0.25">
      <c r="A556" s="31" t="s">
        <v>1236</v>
      </c>
      <c r="B556" s="23" t="s">
        <v>1237</v>
      </c>
      <c r="D556">
        <v>1</v>
      </c>
      <c r="E556" t="s">
        <v>155</v>
      </c>
      <c r="F556">
        <v>3</v>
      </c>
      <c r="G556">
        <v>2024</v>
      </c>
      <c r="H556" t="s">
        <v>154</v>
      </c>
      <c r="I556" s="8">
        <v>8</v>
      </c>
      <c r="J556" t="s">
        <v>121</v>
      </c>
      <c r="K556" t="s">
        <v>41</v>
      </c>
      <c r="M556">
        <v>0</v>
      </c>
      <c r="N556">
        <v>0</v>
      </c>
      <c r="O556">
        <v>0</v>
      </c>
      <c r="P556">
        <v>0</v>
      </c>
      <c r="Q556">
        <v>0</v>
      </c>
      <c r="R556">
        <v>0</v>
      </c>
      <c r="S556">
        <v>0</v>
      </c>
      <c r="T556">
        <v>1</v>
      </c>
      <c r="U556">
        <v>1</v>
      </c>
      <c r="V556">
        <v>0</v>
      </c>
      <c r="W556" t="s">
        <v>1347</v>
      </c>
      <c r="X556" t="s">
        <v>1643</v>
      </c>
      <c r="Y556">
        <v>0</v>
      </c>
      <c r="Z556">
        <v>0</v>
      </c>
      <c r="AA556">
        <v>2009</v>
      </c>
      <c r="AB556">
        <v>9999</v>
      </c>
      <c r="AC556" t="s">
        <v>1239</v>
      </c>
    </row>
    <row r="557" spans="1:29" x14ac:dyDescent="0.25">
      <c r="A557" s="31" t="s">
        <v>153</v>
      </c>
      <c r="B557" s="23" t="s">
        <v>154</v>
      </c>
      <c r="D557">
        <v>1</v>
      </c>
      <c r="E557" t="s">
        <v>155</v>
      </c>
      <c r="F557">
        <v>3</v>
      </c>
      <c r="G557">
        <v>2024</v>
      </c>
      <c r="I557" s="8">
        <v>421.55</v>
      </c>
      <c r="J557" t="s">
        <v>121</v>
      </c>
      <c r="K557" t="s">
        <v>47</v>
      </c>
      <c r="M557">
        <v>1</v>
      </c>
      <c r="N557">
        <v>0</v>
      </c>
      <c r="O557">
        <v>0</v>
      </c>
      <c r="P557">
        <v>0</v>
      </c>
      <c r="Q557">
        <v>0</v>
      </c>
      <c r="R557">
        <v>0</v>
      </c>
      <c r="S557">
        <v>1</v>
      </c>
      <c r="T557">
        <v>1</v>
      </c>
      <c r="U557">
        <v>1</v>
      </c>
      <c r="V557">
        <v>1</v>
      </c>
      <c r="W557" t="s">
        <v>1047</v>
      </c>
      <c r="X557" t="s">
        <v>1644</v>
      </c>
      <c r="Y557">
        <v>0</v>
      </c>
      <c r="Z557">
        <v>0</v>
      </c>
      <c r="AA557">
        <v>2007</v>
      </c>
      <c r="AB557">
        <v>9999</v>
      </c>
      <c r="AC557" t="s">
        <v>35</v>
      </c>
    </row>
    <row r="558" spans="1:29" x14ac:dyDescent="0.25">
      <c r="A558" s="31" t="s">
        <v>1446</v>
      </c>
      <c r="B558" s="23" t="s">
        <v>1447</v>
      </c>
      <c r="D558">
        <v>1</v>
      </c>
      <c r="E558" s="4">
        <v>711</v>
      </c>
      <c r="F558">
        <v>7</v>
      </c>
      <c r="G558">
        <v>2024</v>
      </c>
      <c r="I558" s="8">
        <v>349.25</v>
      </c>
      <c r="J558" t="s">
        <v>40</v>
      </c>
      <c r="K558" t="s">
        <v>32</v>
      </c>
      <c r="M558">
        <v>0</v>
      </c>
      <c r="N558">
        <v>0</v>
      </c>
      <c r="O558">
        <v>0</v>
      </c>
      <c r="P558">
        <v>0</v>
      </c>
      <c r="Q558">
        <v>0</v>
      </c>
      <c r="R558">
        <v>0</v>
      </c>
      <c r="S558">
        <v>1</v>
      </c>
      <c r="T558">
        <v>1</v>
      </c>
      <c r="U558">
        <v>1</v>
      </c>
      <c r="V558">
        <v>0</v>
      </c>
      <c r="W558" t="s">
        <v>1448</v>
      </c>
      <c r="X558" t="s">
        <v>1645</v>
      </c>
      <c r="Y558">
        <v>0</v>
      </c>
      <c r="Z558">
        <v>0</v>
      </c>
      <c r="AA558">
        <v>2014</v>
      </c>
      <c r="AB558">
        <v>9999</v>
      </c>
      <c r="AC558" t="s">
        <v>1449</v>
      </c>
    </row>
    <row r="559" spans="1:29" x14ac:dyDescent="0.25">
      <c r="A559" s="31" t="s">
        <v>159</v>
      </c>
      <c r="B559" s="23" t="s">
        <v>160</v>
      </c>
      <c r="D559">
        <v>1</v>
      </c>
      <c r="E559" t="s">
        <v>155</v>
      </c>
      <c r="F559">
        <v>3</v>
      </c>
      <c r="G559">
        <v>2024</v>
      </c>
      <c r="I559" s="8">
        <v>447.45</v>
      </c>
      <c r="J559" t="s">
        <v>121</v>
      </c>
      <c r="K559" t="s">
        <v>47</v>
      </c>
      <c r="M559">
        <v>1</v>
      </c>
      <c r="N559">
        <v>0</v>
      </c>
      <c r="O559">
        <v>0</v>
      </c>
      <c r="P559">
        <v>0</v>
      </c>
      <c r="Q559">
        <v>0</v>
      </c>
      <c r="R559">
        <v>0</v>
      </c>
      <c r="S559">
        <v>1</v>
      </c>
      <c r="T559">
        <v>1</v>
      </c>
      <c r="U559">
        <v>1</v>
      </c>
      <c r="V559">
        <v>0</v>
      </c>
      <c r="W559" t="s">
        <v>1515</v>
      </c>
      <c r="X559" t="s">
        <v>1646</v>
      </c>
      <c r="Y559">
        <v>0</v>
      </c>
      <c r="Z559">
        <v>0</v>
      </c>
      <c r="AA559">
        <v>2007</v>
      </c>
      <c r="AB559">
        <v>9999</v>
      </c>
      <c r="AC559" t="s">
        <v>35</v>
      </c>
    </row>
    <row r="560" spans="1:29" x14ac:dyDescent="0.25">
      <c r="A560" s="31" t="s">
        <v>165</v>
      </c>
      <c r="B560" s="23" t="s">
        <v>166</v>
      </c>
      <c r="C560" t="s">
        <v>167</v>
      </c>
      <c r="D560">
        <v>1</v>
      </c>
      <c r="E560" t="s">
        <v>168</v>
      </c>
      <c r="F560">
        <v>1</v>
      </c>
      <c r="G560">
        <v>2024</v>
      </c>
      <c r="I560" s="8">
        <v>147.66999999999999</v>
      </c>
      <c r="J560" t="s">
        <v>52</v>
      </c>
      <c r="K560" t="s">
        <v>47</v>
      </c>
      <c r="M560">
        <v>0</v>
      </c>
      <c r="N560">
        <v>1</v>
      </c>
      <c r="O560">
        <v>0</v>
      </c>
      <c r="P560">
        <v>0</v>
      </c>
      <c r="Q560">
        <v>0</v>
      </c>
      <c r="R560">
        <v>0</v>
      </c>
      <c r="S560">
        <v>1</v>
      </c>
      <c r="T560">
        <v>1</v>
      </c>
      <c r="U560">
        <v>1</v>
      </c>
      <c r="V560">
        <v>0</v>
      </c>
      <c r="W560" t="s">
        <v>1523</v>
      </c>
      <c r="X560" t="s">
        <v>1647</v>
      </c>
      <c r="Y560">
        <v>0</v>
      </c>
      <c r="Z560">
        <v>2</v>
      </c>
      <c r="AA560">
        <v>2007</v>
      </c>
      <c r="AB560">
        <v>9999</v>
      </c>
      <c r="AC560" t="s">
        <v>35</v>
      </c>
    </row>
    <row r="561" spans="1:29" x14ac:dyDescent="0.25">
      <c r="A561" s="31" t="s">
        <v>170</v>
      </c>
      <c r="B561" s="23" t="s">
        <v>171</v>
      </c>
      <c r="D561">
        <v>1</v>
      </c>
      <c r="E561" t="s">
        <v>30</v>
      </c>
      <c r="F561">
        <v>4</v>
      </c>
      <c r="G561">
        <v>2024</v>
      </c>
      <c r="I561" s="8">
        <v>53.35</v>
      </c>
      <c r="J561" t="s">
        <v>1610</v>
      </c>
      <c r="K561" t="s">
        <v>47</v>
      </c>
      <c r="M561">
        <v>0</v>
      </c>
      <c r="N561">
        <v>0</v>
      </c>
      <c r="O561">
        <v>0</v>
      </c>
      <c r="P561">
        <v>0</v>
      </c>
      <c r="Q561">
        <v>0</v>
      </c>
      <c r="R561">
        <v>0</v>
      </c>
      <c r="S561">
        <v>1</v>
      </c>
      <c r="T561">
        <v>1</v>
      </c>
      <c r="U561">
        <v>1</v>
      </c>
      <c r="V561">
        <v>0</v>
      </c>
      <c r="W561" t="s">
        <v>1050</v>
      </c>
      <c r="X561" t="s">
        <v>1648</v>
      </c>
      <c r="Y561">
        <v>0</v>
      </c>
      <c r="Z561">
        <v>1</v>
      </c>
      <c r="AA561">
        <v>2007</v>
      </c>
      <c r="AB561">
        <v>9999</v>
      </c>
      <c r="AC561" t="s">
        <v>35</v>
      </c>
    </row>
    <row r="562" spans="1:29" x14ac:dyDescent="0.25">
      <c r="A562" s="31" t="s">
        <v>1051</v>
      </c>
      <c r="B562" s="23" t="s">
        <v>1052</v>
      </c>
      <c r="D562">
        <v>1</v>
      </c>
      <c r="E562" t="s">
        <v>30</v>
      </c>
      <c r="F562">
        <v>4</v>
      </c>
      <c r="G562">
        <v>2024</v>
      </c>
      <c r="I562" s="8">
        <v>199.61</v>
      </c>
      <c r="J562" t="s">
        <v>1610</v>
      </c>
      <c r="K562" t="s">
        <v>47</v>
      </c>
      <c r="M562">
        <v>1</v>
      </c>
      <c r="N562">
        <v>0</v>
      </c>
      <c r="O562">
        <v>0</v>
      </c>
      <c r="P562">
        <v>0</v>
      </c>
      <c r="Q562">
        <v>0</v>
      </c>
      <c r="R562">
        <v>0</v>
      </c>
      <c r="S562">
        <v>1</v>
      </c>
      <c r="T562">
        <v>1</v>
      </c>
      <c r="U562">
        <v>1</v>
      </c>
      <c r="V562">
        <v>0</v>
      </c>
      <c r="W562" t="s">
        <v>1524</v>
      </c>
      <c r="X562" t="s">
        <v>1649</v>
      </c>
      <c r="Y562">
        <v>0</v>
      </c>
      <c r="Z562">
        <v>0</v>
      </c>
      <c r="AA562">
        <v>2008</v>
      </c>
      <c r="AB562">
        <v>9999</v>
      </c>
      <c r="AC562" t="s">
        <v>1054</v>
      </c>
    </row>
    <row r="563" spans="1:29" x14ac:dyDescent="0.25">
      <c r="A563" s="31" t="s">
        <v>1557</v>
      </c>
      <c r="B563" s="23" t="s">
        <v>1558</v>
      </c>
      <c r="D563">
        <v>1</v>
      </c>
      <c r="E563" s="5" t="s">
        <v>358</v>
      </c>
      <c r="F563">
        <v>1</v>
      </c>
      <c r="G563">
        <v>2024</v>
      </c>
      <c r="I563" s="8">
        <v>30.35</v>
      </c>
      <c r="J563" t="s">
        <v>104</v>
      </c>
      <c r="K563" t="s">
        <v>47</v>
      </c>
      <c r="M563">
        <v>0</v>
      </c>
      <c r="N563">
        <v>0</v>
      </c>
      <c r="O563">
        <v>0</v>
      </c>
      <c r="P563">
        <v>0</v>
      </c>
      <c r="Q563">
        <v>0</v>
      </c>
      <c r="R563">
        <v>0</v>
      </c>
      <c r="S563">
        <v>1</v>
      </c>
      <c r="T563">
        <v>0</v>
      </c>
      <c r="U563">
        <v>1</v>
      </c>
      <c r="V563">
        <v>0</v>
      </c>
      <c r="W563" t="s">
        <v>1559</v>
      </c>
      <c r="X563" t="s">
        <v>1650</v>
      </c>
      <c r="Y563">
        <v>1</v>
      </c>
      <c r="Z563">
        <v>0</v>
      </c>
      <c r="AA563">
        <v>2019</v>
      </c>
      <c r="AB563">
        <v>9999</v>
      </c>
      <c r="AC563" t="s">
        <v>1560</v>
      </c>
    </row>
    <row r="564" spans="1:29" x14ac:dyDescent="0.25">
      <c r="A564" s="31" t="s">
        <v>173</v>
      </c>
      <c r="B564" s="23" t="s">
        <v>174</v>
      </c>
      <c r="C564" t="s">
        <v>175</v>
      </c>
      <c r="D564">
        <v>1</v>
      </c>
      <c r="E564" t="s">
        <v>45</v>
      </c>
      <c r="F564">
        <v>4</v>
      </c>
      <c r="G564">
        <v>2024</v>
      </c>
      <c r="I564" s="8">
        <v>160.69999999999999</v>
      </c>
      <c r="J564" t="s">
        <v>176</v>
      </c>
      <c r="K564" t="s">
        <v>32</v>
      </c>
      <c r="M564">
        <v>0</v>
      </c>
      <c r="N564">
        <v>0</v>
      </c>
      <c r="O564">
        <v>0</v>
      </c>
      <c r="P564">
        <v>0</v>
      </c>
      <c r="Q564">
        <v>0</v>
      </c>
      <c r="R564">
        <v>0</v>
      </c>
      <c r="S564">
        <v>1</v>
      </c>
      <c r="T564">
        <v>1</v>
      </c>
      <c r="U564">
        <v>1</v>
      </c>
      <c r="V564">
        <v>0</v>
      </c>
      <c r="W564" t="s">
        <v>1055</v>
      </c>
      <c r="X564" t="s">
        <v>1651</v>
      </c>
      <c r="Y564">
        <v>0</v>
      </c>
      <c r="Z564">
        <v>0</v>
      </c>
      <c r="AA564">
        <v>2007</v>
      </c>
      <c r="AB564">
        <v>9999</v>
      </c>
      <c r="AC564" t="s">
        <v>35</v>
      </c>
    </row>
    <row r="565" spans="1:29" x14ac:dyDescent="0.25">
      <c r="A565" s="31" t="s">
        <v>178</v>
      </c>
      <c r="B565" s="23" t="s">
        <v>1424</v>
      </c>
      <c r="C565" t="s">
        <v>1425</v>
      </c>
      <c r="D565">
        <v>1</v>
      </c>
      <c r="E565" t="s">
        <v>45</v>
      </c>
      <c r="F565">
        <v>4</v>
      </c>
      <c r="G565">
        <v>2024</v>
      </c>
      <c r="I565" s="8">
        <v>26.25</v>
      </c>
      <c r="J565" t="s">
        <v>52</v>
      </c>
      <c r="K565" t="s">
        <v>47</v>
      </c>
      <c r="M565">
        <v>0</v>
      </c>
      <c r="N565">
        <v>0</v>
      </c>
      <c r="O565">
        <v>0</v>
      </c>
      <c r="P565">
        <v>0</v>
      </c>
      <c r="Q565">
        <v>0</v>
      </c>
      <c r="R565">
        <v>0</v>
      </c>
      <c r="S565">
        <v>1</v>
      </c>
      <c r="T565">
        <v>1</v>
      </c>
      <c r="U565">
        <v>1</v>
      </c>
      <c r="V565">
        <v>0</v>
      </c>
      <c r="W565" t="s">
        <v>1240</v>
      </c>
      <c r="X565" t="s">
        <v>1652</v>
      </c>
      <c r="Y565">
        <v>1</v>
      </c>
      <c r="Z565">
        <v>0</v>
      </c>
      <c r="AA565">
        <v>2007</v>
      </c>
      <c r="AB565">
        <v>9999</v>
      </c>
      <c r="AC565" t="s">
        <v>35</v>
      </c>
    </row>
    <row r="566" spans="1:29" x14ac:dyDescent="0.25">
      <c r="A566" s="31" t="s">
        <v>181</v>
      </c>
      <c r="B566" s="23" t="s">
        <v>182</v>
      </c>
      <c r="D566">
        <v>1</v>
      </c>
      <c r="E566" t="s">
        <v>38</v>
      </c>
      <c r="F566">
        <v>4</v>
      </c>
      <c r="G566">
        <v>2024</v>
      </c>
      <c r="H566" t="s">
        <v>39</v>
      </c>
      <c r="I566">
        <v>0.25</v>
      </c>
      <c r="J566" t="s">
        <v>121</v>
      </c>
      <c r="K566" t="s">
        <v>41</v>
      </c>
      <c r="M566">
        <v>0</v>
      </c>
      <c r="N566">
        <v>0</v>
      </c>
      <c r="O566">
        <v>0</v>
      </c>
      <c r="P566">
        <v>0</v>
      </c>
      <c r="Q566">
        <v>0</v>
      </c>
      <c r="R566">
        <v>0</v>
      </c>
      <c r="S566">
        <v>0</v>
      </c>
      <c r="T566">
        <v>0</v>
      </c>
      <c r="U566">
        <v>0</v>
      </c>
      <c r="V566">
        <v>0</v>
      </c>
      <c r="W566" t="s">
        <v>1057</v>
      </c>
      <c r="X566" t="s">
        <v>1653</v>
      </c>
      <c r="Y566">
        <v>0</v>
      </c>
      <c r="Z566">
        <v>0</v>
      </c>
      <c r="AA566">
        <v>2007</v>
      </c>
      <c r="AB566">
        <v>9999</v>
      </c>
      <c r="AC566" t="s">
        <v>35</v>
      </c>
    </row>
    <row r="567" spans="1:29" x14ac:dyDescent="0.25">
      <c r="A567" s="31" t="s">
        <v>184</v>
      </c>
      <c r="B567" s="23" t="s">
        <v>185</v>
      </c>
      <c r="C567" t="s">
        <v>186</v>
      </c>
      <c r="D567">
        <v>1</v>
      </c>
      <c r="E567" t="s">
        <v>45</v>
      </c>
      <c r="F567">
        <v>4</v>
      </c>
      <c r="G567">
        <v>2024</v>
      </c>
      <c r="I567" s="8">
        <v>619.16999999999996</v>
      </c>
      <c r="J567" t="s">
        <v>52</v>
      </c>
      <c r="K567" t="s">
        <v>32</v>
      </c>
      <c r="M567">
        <v>0</v>
      </c>
      <c r="N567">
        <v>0</v>
      </c>
      <c r="O567">
        <v>0</v>
      </c>
      <c r="P567">
        <v>0</v>
      </c>
      <c r="Q567">
        <v>0</v>
      </c>
      <c r="R567">
        <v>0</v>
      </c>
      <c r="S567">
        <v>1</v>
      </c>
      <c r="T567">
        <v>1</v>
      </c>
      <c r="U567">
        <v>1</v>
      </c>
      <c r="V567">
        <v>0</v>
      </c>
      <c r="W567" t="s">
        <v>1654</v>
      </c>
      <c r="X567" t="s">
        <v>1655</v>
      </c>
      <c r="Y567">
        <v>0</v>
      </c>
      <c r="Z567">
        <v>0</v>
      </c>
      <c r="AA567">
        <v>2007</v>
      </c>
      <c r="AB567">
        <v>9999</v>
      </c>
      <c r="AC567" t="s">
        <v>35</v>
      </c>
    </row>
    <row r="568" spans="1:29" x14ac:dyDescent="0.25">
      <c r="A568" s="31" t="s">
        <v>1059</v>
      </c>
      <c r="B568" s="23" t="s">
        <v>1060</v>
      </c>
      <c r="D568">
        <v>1</v>
      </c>
      <c r="E568" t="s">
        <v>874</v>
      </c>
      <c r="F568">
        <v>1</v>
      </c>
      <c r="G568">
        <v>2024</v>
      </c>
      <c r="I568" s="8">
        <v>4</v>
      </c>
      <c r="J568" t="s">
        <v>52</v>
      </c>
      <c r="K568" t="s">
        <v>47</v>
      </c>
      <c r="M568">
        <v>0</v>
      </c>
      <c r="N568">
        <v>0</v>
      </c>
      <c r="O568">
        <v>0</v>
      </c>
      <c r="P568">
        <v>0</v>
      </c>
      <c r="Q568">
        <v>0</v>
      </c>
      <c r="R568">
        <v>0</v>
      </c>
      <c r="S568">
        <v>1</v>
      </c>
      <c r="T568">
        <v>1</v>
      </c>
      <c r="U568">
        <v>1</v>
      </c>
      <c r="V568">
        <v>0</v>
      </c>
      <c r="W568" t="s">
        <v>1392</v>
      </c>
      <c r="X568" t="s">
        <v>1656</v>
      </c>
      <c r="Y568">
        <v>1</v>
      </c>
      <c r="Z568">
        <v>0</v>
      </c>
      <c r="AA568">
        <v>2008</v>
      </c>
      <c r="AB568">
        <v>9999</v>
      </c>
      <c r="AC568" t="s">
        <v>1054</v>
      </c>
    </row>
    <row r="569" spans="1:29" x14ac:dyDescent="0.25">
      <c r="A569" s="31" t="s">
        <v>192</v>
      </c>
      <c r="B569" s="23" t="s">
        <v>193</v>
      </c>
      <c r="D569">
        <v>1</v>
      </c>
      <c r="E569" t="s">
        <v>51</v>
      </c>
      <c r="F569">
        <v>1</v>
      </c>
      <c r="G569">
        <v>2024</v>
      </c>
      <c r="I569">
        <v>66</v>
      </c>
      <c r="J569" t="s">
        <v>52</v>
      </c>
      <c r="K569" t="s">
        <v>53</v>
      </c>
      <c r="L569" t="s">
        <v>54</v>
      </c>
      <c r="M569">
        <v>0</v>
      </c>
      <c r="N569">
        <v>0</v>
      </c>
      <c r="O569">
        <v>0</v>
      </c>
      <c r="P569">
        <v>0</v>
      </c>
      <c r="Q569">
        <v>1</v>
      </c>
      <c r="R569">
        <v>0</v>
      </c>
      <c r="S569">
        <v>0</v>
      </c>
      <c r="T569">
        <v>0</v>
      </c>
      <c r="U569">
        <v>1</v>
      </c>
      <c r="V569">
        <v>0</v>
      </c>
      <c r="W569" t="s">
        <v>55</v>
      </c>
      <c r="X569" t="s">
        <v>1624</v>
      </c>
      <c r="Y569">
        <v>0</v>
      </c>
      <c r="Z569">
        <v>0</v>
      </c>
      <c r="AA569">
        <v>2007</v>
      </c>
      <c r="AB569">
        <v>9999</v>
      </c>
      <c r="AC569" t="s">
        <v>35</v>
      </c>
    </row>
    <row r="570" spans="1:29" x14ac:dyDescent="0.25">
      <c r="A570" s="31" t="s">
        <v>194</v>
      </c>
      <c r="B570" s="23" t="s">
        <v>195</v>
      </c>
      <c r="C570" t="s">
        <v>196</v>
      </c>
      <c r="D570">
        <v>1</v>
      </c>
      <c r="E570" t="s">
        <v>197</v>
      </c>
      <c r="F570">
        <v>2</v>
      </c>
      <c r="G570">
        <v>2024</v>
      </c>
      <c r="I570" s="8">
        <v>189.93</v>
      </c>
      <c r="J570" t="s">
        <v>176</v>
      </c>
      <c r="K570" t="s">
        <v>47</v>
      </c>
      <c r="M570">
        <v>1</v>
      </c>
      <c r="N570">
        <v>0</v>
      </c>
      <c r="O570">
        <v>0</v>
      </c>
      <c r="P570">
        <v>0</v>
      </c>
      <c r="Q570">
        <v>0</v>
      </c>
      <c r="R570">
        <v>0</v>
      </c>
      <c r="S570">
        <v>1</v>
      </c>
      <c r="T570">
        <v>1</v>
      </c>
      <c r="U570">
        <v>1</v>
      </c>
      <c r="V570">
        <v>0</v>
      </c>
      <c r="W570" t="s">
        <v>1580</v>
      </c>
      <c r="X570" t="s">
        <v>1657</v>
      </c>
      <c r="Y570">
        <v>0</v>
      </c>
      <c r="Z570">
        <v>0</v>
      </c>
      <c r="AA570">
        <v>2007</v>
      </c>
      <c r="AB570">
        <v>9999</v>
      </c>
      <c r="AC570" t="s">
        <v>35</v>
      </c>
    </row>
    <row r="571" spans="1:29" x14ac:dyDescent="0.25">
      <c r="A571" s="31" t="s">
        <v>1451</v>
      </c>
      <c r="B571" s="23" t="s">
        <v>1452</v>
      </c>
      <c r="D571">
        <v>1</v>
      </c>
      <c r="E571" s="4">
        <v>760</v>
      </c>
      <c r="F571">
        <v>7</v>
      </c>
      <c r="G571">
        <v>2024</v>
      </c>
      <c r="I571" s="8">
        <v>550.74</v>
      </c>
      <c r="J571" t="s">
        <v>40</v>
      </c>
      <c r="K571" t="s">
        <v>47</v>
      </c>
      <c r="M571">
        <v>1</v>
      </c>
      <c r="N571">
        <v>0</v>
      </c>
      <c r="O571">
        <v>0</v>
      </c>
      <c r="P571">
        <v>0</v>
      </c>
      <c r="Q571">
        <v>0</v>
      </c>
      <c r="R571">
        <v>0</v>
      </c>
      <c r="S571">
        <v>1</v>
      </c>
      <c r="T571">
        <v>1</v>
      </c>
      <c r="U571">
        <v>1</v>
      </c>
      <c r="V571">
        <v>0</v>
      </c>
      <c r="W571" t="s">
        <v>1587</v>
      </c>
      <c r="X571" t="s">
        <v>1658</v>
      </c>
      <c r="Y571">
        <v>0</v>
      </c>
      <c r="Z571">
        <v>0</v>
      </c>
      <c r="AA571">
        <v>2014</v>
      </c>
      <c r="AB571">
        <v>9999</v>
      </c>
      <c r="AC571" t="s">
        <v>1449</v>
      </c>
    </row>
    <row r="572" spans="1:29" x14ac:dyDescent="0.25">
      <c r="A572" s="31" t="s">
        <v>1588</v>
      </c>
      <c r="B572" s="23" t="s">
        <v>1589</v>
      </c>
      <c r="D572">
        <v>1</v>
      </c>
      <c r="E572" s="5" t="s">
        <v>38</v>
      </c>
      <c r="F572">
        <v>4</v>
      </c>
      <c r="G572">
        <v>2024</v>
      </c>
      <c r="H572" t="s">
        <v>837</v>
      </c>
      <c r="I572">
        <v>30</v>
      </c>
      <c r="J572" t="s">
        <v>40</v>
      </c>
      <c r="K572" t="s">
        <v>41</v>
      </c>
      <c r="M572">
        <v>0</v>
      </c>
      <c r="N572">
        <v>0</v>
      </c>
      <c r="O572">
        <v>0</v>
      </c>
      <c r="P572">
        <v>0</v>
      </c>
      <c r="Q572">
        <v>0</v>
      </c>
      <c r="R572">
        <v>0</v>
      </c>
      <c r="S572">
        <v>0</v>
      </c>
      <c r="T572">
        <v>0</v>
      </c>
      <c r="U572">
        <v>0</v>
      </c>
      <c r="V572">
        <v>0</v>
      </c>
      <c r="W572" t="s">
        <v>1590</v>
      </c>
      <c r="X572" t="s">
        <v>1659</v>
      </c>
      <c r="Y572">
        <v>0</v>
      </c>
      <c r="Z572">
        <v>0</v>
      </c>
      <c r="AA572">
        <v>2022</v>
      </c>
      <c r="AB572">
        <v>9999</v>
      </c>
      <c r="AC572" t="s">
        <v>1591</v>
      </c>
    </row>
    <row r="573" spans="1:29" x14ac:dyDescent="0.25">
      <c r="A573" s="31" t="s">
        <v>203</v>
      </c>
      <c r="B573" s="23" t="s">
        <v>204</v>
      </c>
      <c r="D573">
        <v>1</v>
      </c>
      <c r="E573" t="s">
        <v>201</v>
      </c>
      <c r="F573">
        <v>1</v>
      </c>
      <c r="G573">
        <v>2024</v>
      </c>
      <c r="H573" t="s">
        <v>205</v>
      </c>
      <c r="I573">
        <v>3.5</v>
      </c>
      <c r="J573" t="s">
        <v>52</v>
      </c>
      <c r="K573" t="s">
        <v>41</v>
      </c>
      <c r="M573">
        <v>0</v>
      </c>
      <c r="N573">
        <v>0</v>
      </c>
      <c r="O573">
        <v>0</v>
      </c>
      <c r="P573">
        <v>0</v>
      </c>
      <c r="Q573">
        <v>0</v>
      </c>
      <c r="R573">
        <v>0</v>
      </c>
      <c r="S573">
        <v>0</v>
      </c>
      <c r="T573">
        <v>0</v>
      </c>
      <c r="U573">
        <v>0</v>
      </c>
      <c r="V573">
        <v>0</v>
      </c>
      <c r="W573" t="s">
        <v>1064</v>
      </c>
      <c r="X573" t="s">
        <v>1660</v>
      </c>
      <c r="Y573">
        <v>0</v>
      </c>
      <c r="Z573">
        <v>0</v>
      </c>
      <c r="AA573">
        <v>2007</v>
      </c>
      <c r="AB573">
        <v>9999</v>
      </c>
      <c r="AC573" t="s">
        <v>35</v>
      </c>
    </row>
    <row r="574" spans="1:29" x14ac:dyDescent="0.25">
      <c r="A574" s="31" t="s">
        <v>207</v>
      </c>
      <c r="B574" s="23" t="s">
        <v>1472</v>
      </c>
      <c r="C574" t="s">
        <v>209</v>
      </c>
      <c r="D574">
        <v>1</v>
      </c>
      <c r="E574" t="s">
        <v>210</v>
      </c>
      <c r="F574">
        <v>10</v>
      </c>
      <c r="G574">
        <v>2024</v>
      </c>
      <c r="I574" s="8">
        <v>35.200000000000003</v>
      </c>
      <c r="J574" t="s">
        <v>40</v>
      </c>
      <c r="K574" t="s">
        <v>32</v>
      </c>
      <c r="M574">
        <v>0</v>
      </c>
      <c r="N574">
        <v>0</v>
      </c>
      <c r="O574">
        <v>0</v>
      </c>
      <c r="P574">
        <v>0</v>
      </c>
      <c r="Q574">
        <v>0</v>
      </c>
      <c r="R574">
        <v>0</v>
      </c>
      <c r="S574">
        <v>1</v>
      </c>
      <c r="T574">
        <v>1</v>
      </c>
      <c r="U574">
        <v>1</v>
      </c>
      <c r="V574">
        <v>0</v>
      </c>
      <c r="W574" t="s">
        <v>1065</v>
      </c>
      <c r="X574" t="s">
        <v>1661</v>
      </c>
      <c r="Y574">
        <v>0</v>
      </c>
      <c r="Z574">
        <v>0</v>
      </c>
      <c r="AA574">
        <v>2007</v>
      </c>
      <c r="AB574">
        <v>9999</v>
      </c>
      <c r="AC574" t="s">
        <v>35</v>
      </c>
    </row>
    <row r="575" spans="1:29" ht="30" x14ac:dyDescent="0.25">
      <c r="A575" s="31" t="s">
        <v>212</v>
      </c>
      <c r="B575" s="23" t="s">
        <v>213</v>
      </c>
      <c r="C575" t="s">
        <v>214</v>
      </c>
      <c r="D575">
        <v>1</v>
      </c>
      <c r="E575" s="4">
        <v>550</v>
      </c>
      <c r="F575">
        <v>5</v>
      </c>
      <c r="G575">
        <v>2024</v>
      </c>
      <c r="I575" s="8">
        <v>108.35</v>
      </c>
      <c r="J575" t="s">
        <v>1610</v>
      </c>
      <c r="K575" t="s">
        <v>47</v>
      </c>
      <c r="M575">
        <v>0</v>
      </c>
      <c r="N575">
        <v>0</v>
      </c>
      <c r="O575">
        <v>0</v>
      </c>
      <c r="P575">
        <v>0</v>
      </c>
      <c r="Q575">
        <v>0</v>
      </c>
      <c r="R575">
        <v>0</v>
      </c>
      <c r="S575">
        <v>1</v>
      </c>
      <c r="T575">
        <v>1</v>
      </c>
      <c r="U575">
        <v>1</v>
      </c>
      <c r="V575">
        <v>0</v>
      </c>
      <c r="W575" t="s">
        <v>1288</v>
      </c>
      <c r="X575" t="s">
        <v>1662</v>
      </c>
      <c r="Y575">
        <v>2</v>
      </c>
      <c r="Z575">
        <v>0</v>
      </c>
      <c r="AA575">
        <v>2007</v>
      </c>
      <c r="AB575">
        <v>9999</v>
      </c>
      <c r="AC575" t="s">
        <v>35</v>
      </c>
    </row>
    <row r="576" spans="1:29" x14ac:dyDescent="0.25">
      <c r="A576" s="31" t="s">
        <v>216</v>
      </c>
      <c r="B576" s="23" t="s">
        <v>217</v>
      </c>
      <c r="D576">
        <v>1</v>
      </c>
      <c r="E576" t="s">
        <v>218</v>
      </c>
      <c r="F576">
        <v>2</v>
      </c>
      <c r="G576">
        <v>2024</v>
      </c>
      <c r="I576" s="8">
        <v>1031.03</v>
      </c>
      <c r="J576" t="s">
        <v>52</v>
      </c>
      <c r="K576" t="s">
        <v>32</v>
      </c>
      <c r="M576">
        <v>0</v>
      </c>
      <c r="N576">
        <v>0</v>
      </c>
      <c r="O576">
        <v>0</v>
      </c>
      <c r="P576">
        <v>0</v>
      </c>
      <c r="Q576">
        <v>0</v>
      </c>
      <c r="R576">
        <v>0</v>
      </c>
      <c r="S576">
        <v>1</v>
      </c>
      <c r="T576">
        <v>1</v>
      </c>
      <c r="U576">
        <v>1</v>
      </c>
      <c r="V576">
        <v>0</v>
      </c>
      <c r="W576" t="s">
        <v>1067</v>
      </c>
      <c r="X576" t="s">
        <v>1663</v>
      </c>
      <c r="Y576">
        <v>0</v>
      </c>
      <c r="Z576">
        <v>0</v>
      </c>
      <c r="AA576">
        <v>2007</v>
      </c>
      <c r="AB576">
        <v>9999</v>
      </c>
      <c r="AC576" t="s">
        <v>35</v>
      </c>
    </row>
    <row r="577" spans="1:29" x14ac:dyDescent="0.25">
      <c r="A577" s="31" t="s">
        <v>220</v>
      </c>
      <c r="B577" s="23" t="s">
        <v>221</v>
      </c>
      <c r="D577">
        <v>1</v>
      </c>
      <c r="E577" t="s">
        <v>222</v>
      </c>
      <c r="F577">
        <v>8</v>
      </c>
      <c r="G577">
        <v>2024</v>
      </c>
      <c r="I577" s="8">
        <v>45.22</v>
      </c>
      <c r="J577" t="s">
        <v>81</v>
      </c>
      <c r="K577" t="s">
        <v>47</v>
      </c>
      <c r="M577">
        <v>0</v>
      </c>
      <c r="N577">
        <v>0</v>
      </c>
      <c r="O577">
        <v>0</v>
      </c>
      <c r="P577">
        <v>0</v>
      </c>
      <c r="Q577">
        <v>0</v>
      </c>
      <c r="R577">
        <v>0</v>
      </c>
      <c r="S577">
        <v>1</v>
      </c>
      <c r="T577">
        <v>1</v>
      </c>
      <c r="U577">
        <v>1</v>
      </c>
      <c r="V577">
        <v>0</v>
      </c>
      <c r="W577" t="s">
        <v>1068</v>
      </c>
      <c r="X577" t="s">
        <v>1664</v>
      </c>
      <c r="Y577">
        <v>0</v>
      </c>
      <c r="Z577">
        <v>0</v>
      </c>
      <c r="AA577">
        <v>2007</v>
      </c>
      <c r="AB577">
        <v>9999</v>
      </c>
      <c r="AC577" t="s">
        <v>35</v>
      </c>
    </row>
    <row r="578" spans="1:29" x14ac:dyDescent="0.25">
      <c r="A578" s="31" t="s">
        <v>224</v>
      </c>
      <c r="B578" s="23" t="s">
        <v>225</v>
      </c>
      <c r="D578">
        <v>1</v>
      </c>
      <c r="E578" t="s">
        <v>51</v>
      </c>
      <c r="F578">
        <v>1</v>
      </c>
      <c r="G578">
        <v>2024</v>
      </c>
      <c r="I578">
        <v>67</v>
      </c>
      <c r="J578" t="s">
        <v>52</v>
      </c>
      <c r="K578" t="s">
        <v>53</v>
      </c>
      <c r="L578" t="s">
        <v>54</v>
      </c>
      <c r="M578">
        <v>0</v>
      </c>
      <c r="N578">
        <v>0</v>
      </c>
      <c r="O578">
        <v>0</v>
      </c>
      <c r="P578">
        <v>0</v>
      </c>
      <c r="Q578">
        <v>1</v>
      </c>
      <c r="R578">
        <v>0</v>
      </c>
      <c r="S578">
        <v>0</v>
      </c>
      <c r="T578">
        <v>0</v>
      </c>
      <c r="U578">
        <v>1</v>
      </c>
      <c r="V578">
        <v>0</v>
      </c>
      <c r="W578" t="s">
        <v>55</v>
      </c>
      <c r="X578" t="s">
        <v>1624</v>
      </c>
      <c r="Y578">
        <v>0</v>
      </c>
      <c r="Z578">
        <v>0</v>
      </c>
      <c r="AA578">
        <v>2007</v>
      </c>
      <c r="AB578">
        <v>9999</v>
      </c>
      <c r="AC578" t="s">
        <v>35</v>
      </c>
    </row>
    <row r="579" spans="1:29" x14ac:dyDescent="0.25">
      <c r="A579" s="31" t="s">
        <v>226</v>
      </c>
      <c r="B579" s="23" t="s">
        <v>227</v>
      </c>
      <c r="C579" t="s">
        <v>228</v>
      </c>
      <c r="D579">
        <v>1</v>
      </c>
      <c r="E579" t="s">
        <v>218</v>
      </c>
      <c r="F579">
        <v>2</v>
      </c>
      <c r="G579">
        <v>2024</v>
      </c>
      <c r="I579" s="8">
        <v>2586.54</v>
      </c>
      <c r="J579" t="s">
        <v>147</v>
      </c>
      <c r="K579" t="s">
        <v>32</v>
      </c>
      <c r="M579">
        <v>0</v>
      </c>
      <c r="N579">
        <v>1</v>
      </c>
      <c r="O579">
        <v>0</v>
      </c>
      <c r="P579">
        <v>0</v>
      </c>
      <c r="Q579">
        <v>0</v>
      </c>
      <c r="R579">
        <v>0</v>
      </c>
      <c r="S579">
        <v>1</v>
      </c>
      <c r="T579">
        <v>1</v>
      </c>
      <c r="U579">
        <v>1</v>
      </c>
      <c r="V579">
        <v>0</v>
      </c>
      <c r="W579" t="s">
        <v>1069</v>
      </c>
      <c r="X579" t="s">
        <v>1665</v>
      </c>
      <c r="Y579">
        <v>0</v>
      </c>
      <c r="Z579">
        <v>0</v>
      </c>
      <c r="AA579">
        <v>2007</v>
      </c>
      <c r="AB579">
        <v>9999</v>
      </c>
      <c r="AC579" t="s">
        <v>35</v>
      </c>
    </row>
    <row r="580" spans="1:29" x14ac:dyDescent="0.25">
      <c r="A580" s="31" t="s">
        <v>230</v>
      </c>
      <c r="B580" s="23" t="s">
        <v>231</v>
      </c>
      <c r="C580" t="s">
        <v>232</v>
      </c>
      <c r="D580">
        <v>1</v>
      </c>
      <c r="E580" t="s">
        <v>145</v>
      </c>
      <c r="F580">
        <v>2</v>
      </c>
      <c r="G580">
        <v>2024</v>
      </c>
      <c r="J580" t="s">
        <v>147</v>
      </c>
      <c r="K580" t="s">
        <v>47</v>
      </c>
      <c r="M580">
        <v>0</v>
      </c>
      <c r="N580">
        <v>1</v>
      </c>
      <c r="O580">
        <v>0</v>
      </c>
      <c r="P580">
        <v>0</v>
      </c>
      <c r="Q580">
        <v>0</v>
      </c>
      <c r="R580">
        <v>0</v>
      </c>
      <c r="S580">
        <v>1</v>
      </c>
      <c r="T580">
        <v>1</v>
      </c>
      <c r="U580">
        <v>1</v>
      </c>
      <c r="V580">
        <v>0</v>
      </c>
      <c r="W580" t="s">
        <v>1070</v>
      </c>
      <c r="X580" t="s">
        <v>1666</v>
      </c>
      <c r="Y580">
        <v>0</v>
      </c>
      <c r="Z580">
        <v>1</v>
      </c>
      <c r="AA580">
        <v>2007</v>
      </c>
      <c r="AB580">
        <v>9999</v>
      </c>
      <c r="AC580" t="s">
        <v>35</v>
      </c>
    </row>
    <row r="581" spans="1:29" x14ac:dyDescent="0.25">
      <c r="A581" s="31" t="s">
        <v>237</v>
      </c>
      <c r="B581" s="23" t="s">
        <v>238</v>
      </c>
      <c r="D581">
        <v>1</v>
      </c>
      <c r="E581" t="s">
        <v>218</v>
      </c>
      <c r="F581">
        <v>2</v>
      </c>
      <c r="G581">
        <v>2024</v>
      </c>
      <c r="I581" s="8">
        <v>452.32</v>
      </c>
      <c r="J581" t="s">
        <v>104</v>
      </c>
      <c r="K581" t="s">
        <v>53</v>
      </c>
      <c r="L581" t="s">
        <v>105</v>
      </c>
      <c r="M581">
        <v>0</v>
      </c>
      <c r="N581">
        <v>0</v>
      </c>
      <c r="O581">
        <v>0</v>
      </c>
      <c r="P581">
        <v>1</v>
      </c>
      <c r="Q581">
        <v>0</v>
      </c>
      <c r="R581">
        <v>0</v>
      </c>
      <c r="S581">
        <v>1</v>
      </c>
      <c r="T581">
        <v>1</v>
      </c>
      <c r="U581">
        <v>1</v>
      </c>
      <c r="V581">
        <v>0</v>
      </c>
      <c r="W581" t="s">
        <v>1072</v>
      </c>
      <c r="X581" t="s">
        <v>1667</v>
      </c>
      <c r="Y581">
        <v>0</v>
      </c>
      <c r="Z581">
        <v>0</v>
      </c>
      <c r="AA581">
        <v>2007</v>
      </c>
      <c r="AB581">
        <v>9999</v>
      </c>
      <c r="AC581" t="s">
        <v>35</v>
      </c>
    </row>
    <row r="582" spans="1:29" x14ac:dyDescent="0.25">
      <c r="A582" s="31" t="s">
        <v>240</v>
      </c>
      <c r="B582" s="23" t="s">
        <v>241</v>
      </c>
      <c r="D582">
        <v>1</v>
      </c>
      <c r="E582" t="s">
        <v>218</v>
      </c>
      <c r="F582">
        <v>2</v>
      </c>
      <c r="G582">
        <v>2024</v>
      </c>
      <c r="I582" s="8">
        <v>24535.66</v>
      </c>
      <c r="J582" t="s">
        <v>147</v>
      </c>
      <c r="K582" t="s">
        <v>47</v>
      </c>
      <c r="M582">
        <v>1</v>
      </c>
      <c r="N582">
        <v>0</v>
      </c>
      <c r="O582">
        <v>0</v>
      </c>
      <c r="P582">
        <v>0</v>
      </c>
      <c r="Q582">
        <v>0</v>
      </c>
      <c r="R582">
        <v>0</v>
      </c>
      <c r="S582">
        <v>1</v>
      </c>
      <c r="T582">
        <v>1</v>
      </c>
      <c r="U582">
        <v>1</v>
      </c>
      <c r="V582">
        <v>0</v>
      </c>
      <c r="W582" t="s">
        <v>1073</v>
      </c>
      <c r="X582" t="s">
        <v>1668</v>
      </c>
      <c r="Y582">
        <v>3</v>
      </c>
      <c r="Z582">
        <v>1</v>
      </c>
      <c r="AA582">
        <v>2007</v>
      </c>
      <c r="AB582">
        <v>9999</v>
      </c>
      <c r="AC582" t="s">
        <v>35</v>
      </c>
    </row>
    <row r="583" spans="1:29" x14ac:dyDescent="0.25">
      <c r="A583" s="31" t="s">
        <v>1289</v>
      </c>
      <c r="B583" s="23" t="s">
        <v>1290</v>
      </c>
      <c r="D583">
        <v>1</v>
      </c>
      <c r="E583" t="s">
        <v>218</v>
      </c>
      <c r="F583">
        <v>2</v>
      </c>
      <c r="G583">
        <v>2024</v>
      </c>
      <c r="I583" s="8">
        <v>4</v>
      </c>
      <c r="J583" t="s">
        <v>147</v>
      </c>
      <c r="K583" t="s">
        <v>53</v>
      </c>
      <c r="L583" t="s">
        <v>60</v>
      </c>
      <c r="M583">
        <v>0</v>
      </c>
      <c r="N583">
        <v>0</v>
      </c>
      <c r="O583">
        <v>1</v>
      </c>
      <c r="P583">
        <v>0</v>
      </c>
      <c r="Q583">
        <v>0</v>
      </c>
      <c r="R583">
        <v>0</v>
      </c>
      <c r="S583">
        <v>1</v>
      </c>
      <c r="T583">
        <v>1</v>
      </c>
      <c r="U583">
        <v>1</v>
      </c>
      <c r="V583">
        <v>0</v>
      </c>
      <c r="W583" t="s">
        <v>1291</v>
      </c>
      <c r="X583" t="s">
        <v>1669</v>
      </c>
      <c r="Y583">
        <v>0</v>
      </c>
      <c r="Z583">
        <v>0</v>
      </c>
      <c r="AA583">
        <v>2010</v>
      </c>
      <c r="AB583">
        <v>9999</v>
      </c>
      <c r="AC583" t="s">
        <v>1292</v>
      </c>
    </row>
    <row r="584" spans="1:29" x14ac:dyDescent="0.25">
      <c r="A584" s="31" t="s">
        <v>243</v>
      </c>
      <c r="B584" s="23" t="s">
        <v>244</v>
      </c>
      <c r="D584">
        <v>1</v>
      </c>
      <c r="E584" t="s">
        <v>210</v>
      </c>
      <c r="F584">
        <v>10</v>
      </c>
      <c r="G584">
        <v>2024</v>
      </c>
      <c r="I584" s="8">
        <v>11624.58</v>
      </c>
      <c r="J584" t="s">
        <v>40</v>
      </c>
      <c r="K584" t="s">
        <v>32</v>
      </c>
      <c r="M584">
        <v>0</v>
      </c>
      <c r="N584">
        <v>1</v>
      </c>
      <c r="O584">
        <v>0</v>
      </c>
      <c r="P584">
        <v>0</v>
      </c>
      <c r="Q584">
        <v>0</v>
      </c>
      <c r="R584">
        <v>0</v>
      </c>
      <c r="S584">
        <v>1</v>
      </c>
      <c r="T584">
        <v>1</v>
      </c>
      <c r="U584">
        <v>1</v>
      </c>
      <c r="V584">
        <v>0</v>
      </c>
      <c r="W584" t="s">
        <v>1293</v>
      </c>
      <c r="X584" t="s">
        <v>1670</v>
      </c>
      <c r="Y584">
        <v>0</v>
      </c>
      <c r="Z584">
        <v>0</v>
      </c>
      <c r="AA584">
        <v>2007</v>
      </c>
      <c r="AB584">
        <v>9999</v>
      </c>
      <c r="AC584" t="s">
        <v>35</v>
      </c>
    </row>
    <row r="585" spans="1:29" x14ac:dyDescent="0.25">
      <c r="A585" s="31" t="s">
        <v>153</v>
      </c>
      <c r="B585" s="23" t="s">
        <v>1356</v>
      </c>
      <c r="D585">
        <v>12</v>
      </c>
      <c r="E585" t="s">
        <v>155</v>
      </c>
      <c r="F585">
        <v>3</v>
      </c>
      <c r="G585">
        <v>2024</v>
      </c>
      <c r="I585" s="15">
        <v>1341.8300000000002</v>
      </c>
      <c r="J585" t="s">
        <v>121</v>
      </c>
      <c r="K585" t="s">
        <v>53</v>
      </c>
      <c r="L585" t="s">
        <v>60</v>
      </c>
      <c r="M585">
        <v>0</v>
      </c>
      <c r="N585">
        <v>0</v>
      </c>
      <c r="O585">
        <v>1</v>
      </c>
      <c r="P585">
        <v>0</v>
      </c>
      <c r="Q585">
        <v>0</v>
      </c>
      <c r="R585">
        <v>0</v>
      </c>
      <c r="S585">
        <v>1</v>
      </c>
      <c r="T585">
        <v>0</v>
      </c>
      <c r="U585">
        <v>0</v>
      </c>
      <c r="V585">
        <v>1</v>
      </c>
      <c r="W585" t="s">
        <v>477</v>
      </c>
      <c r="X585" t="s">
        <v>1671</v>
      </c>
      <c r="Y585">
        <v>0</v>
      </c>
      <c r="Z585">
        <v>0</v>
      </c>
      <c r="AA585">
        <v>2007</v>
      </c>
      <c r="AB585">
        <v>9999</v>
      </c>
      <c r="AC585" t="s">
        <v>35</v>
      </c>
    </row>
    <row r="586" spans="1:29" x14ac:dyDescent="0.25">
      <c r="A586" s="31" t="s">
        <v>246</v>
      </c>
      <c r="B586" s="23" t="s">
        <v>247</v>
      </c>
      <c r="D586">
        <v>1</v>
      </c>
      <c r="E586" t="s">
        <v>120</v>
      </c>
      <c r="F586">
        <v>3</v>
      </c>
      <c r="G586">
        <v>2024</v>
      </c>
      <c r="H586" t="s">
        <v>129</v>
      </c>
      <c r="I586">
        <v>2</v>
      </c>
      <c r="J586" t="s">
        <v>104</v>
      </c>
      <c r="K586" t="s">
        <v>41</v>
      </c>
      <c r="M586">
        <v>0</v>
      </c>
      <c r="N586">
        <v>0</v>
      </c>
      <c r="O586">
        <v>0</v>
      </c>
      <c r="P586">
        <v>0</v>
      </c>
      <c r="Q586">
        <v>0</v>
      </c>
      <c r="R586">
        <v>0</v>
      </c>
      <c r="S586">
        <v>0</v>
      </c>
      <c r="T586">
        <v>1</v>
      </c>
      <c r="U586">
        <v>1</v>
      </c>
      <c r="V586">
        <v>0</v>
      </c>
      <c r="W586" t="s">
        <v>1075</v>
      </c>
      <c r="X586" t="s">
        <v>1672</v>
      </c>
      <c r="Y586">
        <v>0</v>
      </c>
      <c r="Z586">
        <v>0</v>
      </c>
      <c r="AA586">
        <v>2007</v>
      </c>
      <c r="AB586">
        <v>9999</v>
      </c>
      <c r="AC586" t="s">
        <v>35</v>
      </c>
    </row>
    <row r="587" spans="1:29" x14ac:dyDescent="0.25">
      <c r="A587" s="31" t="s">
        <v>252</v>
      </c>
      <c r="B587" s="23" t="s">
        <v>253</v>
      </c>
      <c r="D587">
        <v>1</v>
      </c>
      <c r="E587" t="s">
        <v>145</v>
      </c>
      <c r="F587">
        <v>2</v>
      </c>
      <c r="G587">
        <v>2024</v>
      </c>
      <c r="H587" t="s">
        <v>254</v>
      </c>
      <c r="I587">
        <v>0.1</v>
      </c>
      <c r="J587" t="s">
        <v>147</v>
      </c>
      <c r="K587" t="s">
        <v>41</v>
      </c>
      <c r="M587">
        <v>0</v>
      </c>
      <c r="N587">
        <v>0</v>
      </c>
      <c r="O587">
        <v>0</v>
      </c>
      <c r="P587">
        <v>0</v>
      </c>
      <c r="Q587">
        <v>0</v>
      </c>
      <c r="R587">
        <v>0</v>
      </c>
      <c r="S587">
        <v>0</v>
      </c>
      <c r="T587">
        <v>0</v>
      </c>
      <c r="U587">
        <v>0</v>
      </c>
      <c r="V587">
        <v>0</v>
      </c>
      <c r="W587" t="s">
        <v>1077</v>
      </c>
      <c r="X587" t="s">
        <v>1673</v>
      </c>
      <c r="Y587">
        <v>0</v>
      </c>
      <c r="Z587">
        <v>0</v>
      </c>
      <c r="AA587">
        <v>2007</v>
      </c>
      <c r="AB587">
        <v>9999</v>
      </c>
      <c r="AC587" t="s">
        <v>35</v>
      </c>
    </row>
    <row r="588" spans="1:29" x14ac:dyDescent="0.25">
      <c r="A588" s="31" t="s">
        <v>305</v>
      </c>
      <c r="B588" s="23" t="s">
        <v>1455</v>
      </c>
      <c r="C588" t="s">
        <v>1456</v>
      </c>
      <c r="D588">
        <v>1</v>
      </c>
      <c r="E588" t="s">
        <v>103</v>
      </c>
      <c r="F588">
        <v>9</v>
      </c>
      <c r="G588">
        <v>2024</v>
      </c>
      <c r="I588" s="8">
        <v>160.38999999999999</v>
      </c>
      <c r="J588" t="s">
        <v>104</v>
      </c>
      <c r="K588" t="s">
        <v>53</v>
      </c>
      <c r="L588" t="s">
        <v>105</v>
      </c>
      <c r="M588">
        <v>0</v>
      </c>
      <c r="N588">
        <v>0</v>
      </c>
      <c r="O588">
        <v>0</v>
      </c>
      <c r="P588">
        <v>1</v>
      </c>
      <c r="Q588">
        <v>0</v>
      </c>
      <c r="R588">
        <v>0</v>
      </c>
      <c r="S588">
        <v>1</v>
      </c>
      <c r="T588">
        <v>1</v>
      </c>
      <c r="U588">
        <v>1</v>
      </c>
      <c r="V588">
        <v>0</v>
      </c>
      <c r="W588" t="s">
        <v>106</v>
      </c>
      <c r="X588" t="s">
        <v>1633</v>
      </c>
      <c r="Y588">
        <v>0</v>
      </c>
      <c r="Z588">
        <v>0</v>
      </c>
      <c r="AA588">
        <v>2007</v>
      </c>
      <c r="AB588">
        <v>9999</v>
      </c>
      <c r="AC588" t="s">
        <v>35</v>
      </c>
    </row>
    <row r="589" spans="1:29" x14ac:dyDescent="0.25">
      <c r="A589" s="31" t="s">
        <v>259</v>
      </c>
      <c r="B589" s="23" t="s">
        <v>260</v>
      </c>
      <c r="C589" t="s">
        <v>261</v>
      </c>
      <c r="D589">
        <v>1</v>
      </c>
      <c r="E589" t="s">
        <v>103</v>
      </c>
      <c r="F589">
        <v>9</v>
      </c>
      <c r="G589">
        <v>2024</v>
      </c>
      <c r="I589" s="8">
        <v>5809.7</v>
      </c>
      <c r="J589" t="s">
        <v>104</v>
      </c>
      <c r="K589" t="s">
        <v>53</v>
      </c>
      <c r="L589" t="s">
        <v>105</v>
      </c>
      <c r="M589">
        <v>0</v>
      </c>
      <c r="N589">
        <v>0</v>
      </c>
      <c r="O589">
        <v>0</v>
      </c>
      <c r="P589">
        <v>1</v>
      </c>
      <c r="Q589">
        <v>0</v>
      </c>
      <c r="R589">
        <v>0</v>
      </c>
      <c r="S589">
        <v>1</v>
      </c>
      <c r="T589">
        <v>1</v>
      </c>
      <c r="U589">
        <v>1</v>
      </c>
      <c r="V589">
        <v>0</v>
      </c>
      <c r="W589" t="s">
        <v>106</v>
      </c>
      <c r="X589" t="s">
        <v>1633</v>
      </c>
      <c r="Y589">
        <v>0</v>
      </c>
      <c r="Z589">
        <v>0</v>
      </c>
      <c r="AA589">
        <v>2007</v>
      </c>
      <c r="AB589">
        <v>9999</v>
      </c>
      <c r="AC589" t="s">
        <v>35</v>
      </c>
    </row>
    <row r="590" spans="1:29" x14ac:dyDescent="0.25">
      <c r="A590" s="31" t="s">
        <v>266</v>
      </c>
      <c r="B590" s="23" t="s">
        <v>267</v>
      </c>
      <c r="D590">
        <v>1</v>
      </c>
      <c r="E590" t="s">
        <v>85</v>
      </c>
      <c r="F590">
        <v>4</v>
      </c>
      <c r="G590">
        <v>2024</v>
      </c>
      <c r="I590">
        <v>10</v>
      </c>
      <c r="J590" t="s">
        <v>268</v>
      </c>
      <c r="K590" t="s">
        <v>41</v>
      </c>
      <c r="M590">
        <v>0</v>
      </c>
      <c r="N590">
        <v>0</v>
      </c>
      <c r="O590">
        <v>0</v>
      </c>
      <c r="P590">
        <v>0</v>
      </c>
      <c r="Q590">
        <v>0</v>
      </c>
      <c r="R590">
        <v>0</v>
      </c>
      <c r="S590">
        <v>0</v>
      </c>
      <c r="T590">
        <v>0</v>
      </c>
      <c r="U590">
        <v>0</v>
      </c>
      <c r="V590">
        <v>0</v>
      </c>
      <c r="W590" t="s">
        <v>1079</v>
      </c>
      <c r="X590" t="s">
        <v>1674</v>
      </c>
      <c r="Y590">
        <v>0</v>
      </c>
      <c r="Z590">
        <v>0</v>
      </c>
      <c r="AA590">
        <v>2007</v>
      </c>
      <c r="AB590">
        <v>9999</v>
      </c>
      <c r="AC590" t="s">
        <v>35</v>
      </c>
    </row>
    <row r="591" spans="1:29" x14ac:dyDescent="0.25">
      <c r="A591" s="31" t="s">
        <v>1393</v>
      </c>
      <c r="B591" s="23" t="s">
        <v>1394</v>
      </c>
      <c r="C591" t="s">
        <v>1395</v>
      </c>
      <c r="D591">
        <v>1</v>
      </c>
      <c r="E591" t="s">
        <v>1396</v>
      </c>
      <c r="F591">
        <v>5</v>
      </c>
      <c r="G591">
        <v>2024</v>
      </c>
      <c r="I591" s="8">
        <v>312.35000000000002</v>
      </c>
      <c r="J591" t="s">
        <v>1610</v>
      </c>
      <c r="K591" t="s">
        <v>47</v>
      </c>
      <c r="M591">
        <v>1</v>
      </c>
      <c r="N591">
        <v>0</v>
      </c>
      <c r="O591">
        <v>0</v>
      </c>
      <c r="P591">
        <v>0</v>
      </c>
      <c r="Q591">
        <v>0</v>
      </c>
      <c r="R591">
        <v>0</v>
      </c>
      <c r="S591">
        <v>1</v>
      </c>
      <c r="T591">
        <v>1</v>
      </c>
      <c r="U591">
        <v>1</v>
      </c>
      <c r="V591">
        <v>0</v>
      </c>
      <c r="W591" t="s">
        <v>1397</v>
      </c>
      <c r="X591" t="s">
        <v>1675</v>
      </c>
      <c r="Y591">
        <v>0</v>
      </c>
      <c r="Z591">
        <v>0</v>
      </c>
      <c r="AA591">
        <v>2012</v>
      </c>
      <c r="AB591">
        <v>9999</v>
      </c>
      <c r="AC591" t="s">
        <v>1398</v>
      </c>
    </row>
    <row r="592" spans="1:29" x14ac:dyDescent="0.25">
      <c r="A592" s="31" t="s">
        <v>153</v>
      </c>
      <c r="B592" s="23" t="s">
        <v>270</v>
      </c>
      <c r="D592">
        <v>6</v>
      </c>
      <c r="E592" t="s">
        <v>155</v>
      </c>
      <c r="F592">
        <v>3</v>
      </c>
      <c r="G592">
        <v>2024</v>
      </c>
      <c r="I592" s="15">
        <v>742.18000000000006</v>
      </c>
      <c r="J592" t="s">
        <v>121</v>
      </c>
      <c r="K592" t="s">
        <v>53</v>
      </c>
      <c r="L592" t="s">
        <v>60</v>
      </c>
      <c r="M592">
        <v>0</v>
      </c>
      <c r="N592">
        <v>0</v>
      </c>
      <c r="O592">
        <v>1</v>
      </c>
      <c r="P592">
        <v>0</v>
      </c>
      <c r="Q592">
        <v>0</v>
      </c>
      <c r="R592">
        <v>0</v>
      </c>
      <c r="S592">
        <v>1</v>
      </c>
      <c r="T592">
        <v>0</v>
      </c>
      <c r="U592">
        <v>0</v>
      </c>
      <c r="V592">
        <v>1</v>
      </c>
      <c r="W592" t="s">
        <v>271</v>
      </c>
      <c r="X592" t="s">
        <v>1676</v>
      </c>
      <c r="Y592">
        <v>0</v>
      </c>
      <c r="Z592">
        <v>0</v>
      </c>
      <c r="AA592">
        <v>2007</v>
      </c>
      <c r="AB592">
        <v>9999</v>
      </c>
      <c r="AC592" t="s">
        <v>35</v>
      </c>
    </row>
    <row r="593" spans="1:29" x14ac:dyDescent="0.25">
      <c r="A593" s="31" t="s">
        <v>153</v>
      </c>
      <c r="B593" s="23" t="s">
        <v>272</v>
      </c>
      <c r="D593">
        <v>8</v>
      </c>
      <c r="E593" t="s">
        <v>155</v>
      </c>
      <c r="F593">
        <v>3</v>
      </c>
      <c r="G593">
        <v>2024</v>
      </c>
      <c r="I593">
        <v>90.17</v>
      </c>
      <c r="J593" s="2" t="s">
        <v>121</v>
      </c>
      <c r="K593" t="s">
        <v>53</v>
      </c>
      <c r="L593" t="s">
        <v>60</v>
      </c>
      <c r="M593">
        <v>0</v>
      </c>
      <c r="N593">
        <v>0</v>
      </c>
      <c r="O593">
        <v>1</v>
      </c>
      <c r="P593">
        <v>0</v>
      </c>
      <c r="Q593">
        <v>0</v>
      </c>
      <c r="R593">
        <v>0</v>
      </c>
      <c r="S593">
        <v>0</v>
      </c>
      <c r="T593">
        <v>0</v>
      </c>
      <c r="U593">
        <v>0</v>
      </c>
      <c r="V593">
        <v>1</v>
      </c>
      <c r="W593" t="s">
        <v>273</v>
      </c>
      <c r="X593" t="s">
        <v>1677</v>
      </c>
      <c r="Y593">
        <v>0</v>
      </c>
      <c r="Z593">
        <v>0</v>
      </c>
      <c r="AA593">
        <v>2007</v>
      </c>
      <c r="AB593">
        <v>9999</v>
      </c>
      <c r="AC593" t="s">
        <v>35</v>
      </c>
    </row>
    <row r="594" spans="1:29" x14ac:dyDescent="0.25">
      <c r="A594" s="31" t="s">
        <v>274</v>
      </c>
      <c r="B594" s="23" t="s">
        <v>275</v>
      </c>
      <c r="C594" t="s">
        <v>276</v>
      </c>
      <c r="D594">
        <v>1</v>
      </c>
      <c r="E594" t="s">
        <v>51</v>
      </c>
      <c r="F594">
        <v>7</v>
      </c>
      <c r="G594">
        <v>2024</v>
      </c>
      <c r="H594" t="s">
        <v>746</v>
      </c>
      <c r="I594">
        <v>8</v>
      </c>
      <c r="J594" t="s">
        <v>40</v>
      </c>
      <c r="K594" t="s">
        <v>41</v>
      </c>
      <c r="M594">
        <v>0</v>
      </c>
      <c r="N594">
        <v>0</v>
      </c>
      <c r="O594">
        <v>0</v>
      </c>
      <c r="P594">
        <v>0</v>
      </c>
      <c r="Q594">
        <v>0</v>
      </c>
      <c r="R594">
        <v>0</v>
      </c>
      <c r="S594">
        <v>0</v>
      </c>
      <c r="T594">
        <v>0</v>
      </c>
      <c r="U594">
        <v>0</v>
      </c>
      <c r="V594">
        <v>0</v>
      </c>
      <c r="W594" t="s">
        <v>1399</v>
      </c>
      <c r="X594" t="s">
        <v>1678</v>
      </c>
      <c r="Y594">
        <v>0</v>
      </c>
      <c r="Z594">
        <v>0</v>
      </c>
      <c r="AA594">
        <v>2007</v>
      </c>
      <c r="AB594">
        <v>9999</v>
      </c>
      <c r="AC594" t="s">
        <v>35</v>
      </c>
    </row>
    <row r="595" spans="1:29" x14ac:dyDescent="0.25">
      <c r="A595" s="31" t="s">
        <v>278</v>
      </c>
      <c r="B595" s="23" t="s">
        <v>279</v>
      </c>
      <c r="D595">
        <v>1</v>
      </c>
      <c r="E595" t="s">
        <v>103</v>
      </c>
      <c r="F595">
        <v>9</v>
      </c>
      <c r="G595">
        <v>2024</v>
      </c>
      <c r="I595" s="8">
        <v>681.53</v>
      </c>
      <c r="J595" t="s">
        <v>104</v>
      </c>
      <c r="K595" t="s">
        <v>53</v>
      </c>
      <c r="L595" t="s">
        <v>105</v>
      </c>
      <c r="M595">
        <v>0</v>
      </c>
      <c r="N595">
        <v>0</v>
      </c>
      <c r="O595">
        <v>0</v>
      </c>
      <c r="P595">
        <v>1</v>
      </c>
      <c r="Q595">
        <v>0</v>
      </c>
      <c r="R595">
        <v>0</v>
      </c>
      <c r="S595">
        <v>1</v>
      </c>
      <c r="T595">
        <v>1</v>
      </c>
      <c r="U595">
        <v>1</v>
      </c>
      <c r="V595">
        <v>0</v>
      </c>
      <c r="W595" t="s">
        <v>106</v>
      </c>
      <c r="X595" t="s">
        <v>1427</v>
      </c>
      <c r="Y595">
        <v>0</v>
      </c>
      <c r="Z595">
        <v>0</v>
      </c>
      <c r="AA595">
        <v>2007</v>
      </c>
      <c r="AB595">
        <v>9999</v>
      </c>
      <c r="AC595" t="s">
        <v>35</v>
      </c>
    </row>
    <row r="596" spans="1:29" x14ac:dyDescent="0.25">
      <c r="A596" s="31" t="s">
        <v>280</v>
      </c>
      <c r="B596" s="23" t="s">
        <v>281</v>
      </c>
      <c r="D596">
        <v>1</v>
      </c>
      <c r="E596" t="s">
        <v>103</v>
      </c>
      <c r="F596">
        <v>9</v>
      </c>
      <c r="G596">
        <v>2024</v>
      </c>
      <c r="I596" s="8">
        <v>753.23</v>
      </c>
      <c r="J596" t="s">
        <v>104</v>
      </c>
      <c r="K596" t="s">
        <v>53</v>
      </c>
      <c r="L596" t="s">
        <v>105</v>
      </c>
      <c r="M596">
        <v>0</v>
      </c>
      <c r="N596">
        <v>0</v>
      </c>
      <c r="O596">
        <v>0</v>
      </c>
      <c r="P596">
        <v>1</v>
      </c>
      <c r="Q596">
        <v>0</v>
      </c>
      <c r="R596">
        <v>0</v>
      </c>
      <c r="S596">
        <v>1</v>
      </c>
      <c r="T596">
        <v>1</v>
      </c>
      <c r="U596">
        <v>1</v>
      </c>
      <c r="V596">
        <v>0</v>
      </c>
      <c r="W596" t="s">
        <v>106</v>
      </c>
      <c r="X596" t="s">
        <v>1427</v>
      </c>
      <c r="Y596">
        <v>0</v>
      </c>
      <c r="Z596">
        <v>0</v>
      </c>
      <c r="AA596">
        <v>2007</v>
      </c>
      <c r="AB596">
        <v>9999</v>
      </c>
      <c r="AC596" t="s">
        <v>35</v>
      </c>
    </row>
    <row r="597" spans="1:29" x14ac:dyDescent="0.25">
      <c r="A597" s="31" t="s">
        <v>282</v>
      </c>
      <c r="B597" s="23" t="s">
        <v>283</v>
      </c>
      <c r="D597">
        <v>1</v>
      </c>
      <c r="E597" t="s">
        <v>103</v>
      </c>
      <c r="F597">
        <v>9</v>
      </c>
      <c r="G597">
        <v>2024</v>
      </c>
      <c r="I597" s="8">
        <v>661.57</v>
      </c>
      <c r="J597" t="s">
        <v>104</v>
      </c>
      <c r="K597" t="s">
        <v>53</v>
      </c>
      <c r="L597" t="s">
        <v>105</v>
      </c>
      <c r="M597">
        <v>0</v>
      </c>
      <c r="N597">
        <v>0</v>
      </c>
      <c r="O597">
        <v>0</v>
      </c>
      <c r="P597">
        <v>1</v>
      </c>
      <c r="Q597">
        <v>0</v>
      </c>
      <c r="R597">
        <v>0</v>
      </c>
      <c r="S597">
        <v>1</v>
      </c>
      <c r="T597">
        <v>1</v>
      </c>
      <c r="U597">
        <v>1</v>
      </c>
      <c r="V597">
        <v>0</v>
      </c>
      <c r="W597" t="s">
        <v>106</v>
      </c>
      <c r="X597" t="s">
        <v>1427</v>
      </c>
      <c r="Y597">
        <v>0</v>
      </c>
      <c r="Z597">
        <v>0</v>
      </c>
      <c r="AA597">
        <v>2007</v>
      </c>
      <c r="AB597">
        <v>9999</v>
      </c>
      <c r="AC597" t="s">
        <v>35</v>
      </c>
    </row>
    <row r="598" spans="1:29" x14ac:dyDescent="0.25">
      <c r="A598" s="31" t="s">
        <v>284</v>
      </c>
      <c r="B598" s="23" t="s">
        <v>285</v>
      </c>
      <c r="D598">
        <v>1</v>
      </c>
      <c r="E598" t="s">
        <v>103</v>
      </c>
      <c r="F598">
        <v>9</v>
      </c>
      <c r="G598">
        <v>2024</v>
      </c>
      <c r="I598" s="8">
        <v>602.30999999999995</v>
      </c>
      <c r="J598" t="s">
        <v>104</v>
      </c>
      <c r="K598" t="s">
        <v>53</v>
      </c>
      <c r="L598" t="s">
        <v>105</v>
      </c>
      <c r="M598">
        <v>0</v>
      </c>
      <c r="N598">
        <v>0</v>
      </c>
      <c r="O598">
        <v>0</v>
      </c>
      <c r="P598">
        <v>1</v>
      </c>
      <c r="Q598">
        <v>0</v>
      </c>
      <c r="R598">
        <v>0</v>
      </c>
      <c r="S598">
        <v>1</v>
      </c>
      <c r="T598">
        <v>1</v>
      </c>
      <c r="U598">
        <v>1</v>
      </c>
      <c r="V598">
        <v>0</v>
      </c>
      <c r="W598" t="s">
        <v>106</v>
      </c>
      <c r="X598" t="s">
        <v>1427</v>
      </c>
      <c r="Y598">
        <v>0</v>
      </c>
      <c r="Z598">
        <v>0</v>
      </c>
      <c r="AA598">
        <v>2007</v>
      </c>
      <c r="AB598">
        <v>9999</v>
      </c>
      <c r="AC598" t="s">
        <v>35</v>
      </c>
    </row>
    <row r="599" spans="1:29" x14ac:dyDescent="0.25">
      <c r="A599" s="31" t="s">
        <v>288</v>
      </c>
      <c r="B599" s="23" t="s">
        <v>289</v>
      </c>
      <c r="D599">
        <v>1</v>
      </c>
      <c r="E599" t="s">
        <v>103</v>
      </c>
      <c r="F599">
        <v>9</v>
      </c>
      <c r="G599">
        <v>2024</v>
      </c>
      <c r="I599" s="8">
        <v>442.25</v>
      </c>
      <c r="J599" t="s">
        <v>104</v>
      </c>
      <c r="K599" t="s">
        <v>53</v>
      </c>
      <c r="L599" t="s">
        <v>105</v>
      </c>
      <c r="M599">
        <v>0</v>
      </c>
      <c r="N599">
        <v>0</v>
      </c>
      <c r="O599">
        <v>0</v>
      </c>
      <c r="P599">
        <v>1</v>
      </c>
      <c r="Q599">
        <v>0</v>
      </c>
      <c r="R599">
        <v>0</v>
      </c>
      <c r="S599">
        <v>1</v>
      </c>
      <c r="T599">
        <v>1</v>
      </c>
      <c r="U599">
        <v>1</v>
      </c>
      <c r="V599">
        <v>0</v>
      </c>
      <c r="W599" t="s">
        <v>106</v>
      </c>
      <c r="X599" t="s">
        <v>1427</v>
      </c>
      <c r="Y599">
        <v>0</v>
      </c>
      <c r="Z599">
        <v>0</v>
      </c>
      <c r="AA599">
        <v>2007</v>
      </c>
      <c r="AB599">
        <v>9999</v>
      </c>
      <c r="AC599" t="s">
        <v>35</v>
      </c>
    </row>
    <row r="600" spans="1:29" x14ac:dyDescent="0.25">
      <c r="A600" s="31" t="s">
        <v>1474</v>
      </c>
      <c r="B600" s="23" t="s">
        <v>290</v>
      </c>
      <c r="D600">
        <v>1</v>
      </c>
      <c r="E600" t="s">
        <v>103</v>
      </c>
      <c r="F600">
        <v>9</v>
      </c>
      <c r="G600">
        <v>2024</v>
      </c>
      <c r="I600" s="8">
        <v>529.67999999999995</v>
      </c>
      <c r="J600" t="s">
        <v>104</v>
      </c>
      <c r="K600" t="s">
        <v>53</v>
      </c>
      <c r="L600" t="s">
        <v>105</v>
      </c>
      <c r="M600">
        <v>0</v>
      </c>
      <c r="N600">
        <v>0</v>
      </c>
      <c r="O600">
        <v>0</v>
      </c>
      <c r="P600">
        <v>1</v>
      </c>
      <c r="Q600">
        <v>0</v>
      </c>
      <c r="R600">
        <v>0</v>
      </c>
      <c r="S600">
        <v>1</v>
      </c>
      <c r="T600">
        <v>1</v>
      </c>
      <c r="U600">
        <v>1</v>
      </c>
      <c r="V600">
        <v>0</v>
      </c>
      <c r="W600" t="s">
        <v>106</v>
      </c>
      <c r="X600" t="s">
        <v>1427</v>
      </c>
      <c r="Y600">
        <v>0</v>
      </c>
      <c r="Z600">
        <v>0</v>
      </c>
      <c r="AA600">
        <v>2007</v>
      </c>
      <c r="AB600">
        <v>9999</v>
      </c>
      <c r="AC600" t="s">
        <v>1475</v>
      </c>
    </row>
    <row r="601" spans="1:29" x14ac:dyDescent="0.25">
      <c r="A601" s="31" t="s">
        <v>293</v>
      </c>
      <c r="B601" s="23" t="s">
        <v>294</v>
      </c>
      <c r="D601">
        <v>1</v>
      </c>
      <c r="E601" t="s">
        <v>103</v>
      </c>
      <c r="F601">
        <v>9</v>
      </c>
      <c r="G601">
        <v>2024</v>
      </c>
      <c r="I601" s="8">
        <v>616.98</v>
      </c>
      <c r="J601" t="s">
        <v>104</v>
      </c>
      <c r="K601" t="s">
        <v>53</v>
      </c>
      <c r="L601" t="s">
        <v>105</v>
      </c>
      <c r="M601">
        <v>0</v>
      </c>
      <c r="N601">
        <v>0</v>
      </c>
      <c r="O601">
        <v>0</v>
      </c>
      <c r="P601">
        <v>1</v>
      </c>
      <c r="Q601">
        <v>0</v>
      </c>
      <c r="R601">
        <v>0</v>
      </c>
      <c r="S601">
        <v>1</v>
      </c>
      <c r="T601">
        <v>1</v>
      </c>
      <c r="U601">
        <v>1</v>
      </c>
      <c r="V601">
        <v>0</v>
      </c>
      <c r="W601" t="s">
        <v>106</v>
      </c>
      <c r="X601" t="s">
        <v>1427</v>
      </c>
      <c r="Y601">
        <v>0</v>
      </c>
      <c r="Z601">
        <v>0</v>
      </c>
      <c r="AA601">
        <v>2007</v>
      </c>
      <c r="AB601">
        <v>9999</v>
      </c>
      <c r="AC601" t="s">
        <v>35</v>
      </c>
    </row>
    <row r="602" spans="1:29" x14ac:dyDescent="0.25">
      <c r="A602" s="31" t="s">
        <v>295</v>
      </c>
      <c r="B602" s="23" t="s">
        <v>296</v>
      </c>
      <c r="D602">
        <v>1</v>
      </c>
      <c r="E602" t="s">
        <v>128</v>
      </c>
      <c r="F602">
        <v>9</v>
      </c>
      <c r="G602">
        <v>2024</v>
      </c>
      <c r="H602" t="s">
        <v>1428</v>
      </c>
      <c r="I602">
        <v>0.1</v>
      </c>
      <c r="J602" t="s">
        <v>104</v>
      </c>
      <c r="K602" t="s">
        <v>41</v>
      </c>
      <c r="M602">
        <v>0</v>
      </c>
      <c r="N602">
        <v>0</v>
      </c>
      <c r="O602">
        <v>0</v>
      </c>
      <c r="P602">
        <v>0</v>
      </c>
      <c r="Q602">
        <v>0</v>
      </c>
      <c r="R602">
        <v>0</v>
      </c>
      <c r="S602">
        <v>0</v>
      </c>
      <c r="T602">
        <v>0</v>
      </c>
      <c r="U602">
        <v>0</v>
      </c>
      <c r="V602">
        <v>0</v>
      </c>
      <c r="W602" t="s">
        <v>1081</v>
      </c>
      <c r="X602" t="s">
        <v>1679</v>
      </c>
      <c r="Y602">
        <v>0</v>
      </c>
      <c r="Z602">
        <v>0</v>
      </c>
      <c r="AA602">
        <v>2007</v>
      </c>
      <c r="AB602">
        <v>9999</v>
      </c>
      <c r="AC602" t="s">
        <v>35</v>
      </c>
    </row>
    <row r="603" spans="1:29" x14ac:dyDescent="0.25">
      <c r="A603" s="31" t="s">
        <v>153</v>
      </c>
      <c r="B603" s="23" t="s">
        <v>303</v>
      </c>
      <c r="D603">
        <v>1</v>
      </c>
      <c r="E603" t="s">
        <v>155</v>
      </c>
      <c r="F603">
        <v>3</v>
      </c>
      <c r="G603">
        <v>2024</v>
      </c>
      <c r="I603" s="8">
        <v>92.96</v>
      </c>
      <c r="J603" t="s">
        <v>121</v>
      </c>
      <c r="K603" t="s">
        <v>53</v>
      </c>
      <c r="L603" t="s">
        <v>60</v>
      </c>
      <c r="M603">
        <v>0</v>
      </c>
      <c r="N603">
        <v>0</v>
      </c>
      <c r="O603">
        <v>1</v>
      </c>
      <c r="P603">
        <v>0</v>
      </c>
      <c r="Q603">
        <v>0</v>
      </c>
      <c r="R603">
        <v>0</v>
      </c>
      <c r="S603">
        <v>1</v>
      </c>
      <c r="T603">
        <v>0</v>
      </c>
      <c r="U603">
        <v>0</v>
      </c>
      <c r="V603">
        <v>1</v>
      </c>
      <c r="W603" t="s">
        <v>304</v>
      </c>
      <c r="X603" t="s">
        <v>1680</v>
      </c>
      <c r="Y603">
        <v>0</v>
      </c>
      <c r="Z603">
        <v>0</v>
      </c>
      <c r="AA603">
        <v>2007</v>
      </c>
      <c r="AB603">
        <v>9999</v>
      </c>
      <c r="AC603" t="s">
        <v>35</v>
      </c>
    </row>
    <row r="604" spans="1:29" x14ac:dyDescent="0.25">
      <c r="A604" s="31" t="s">
        <v>153</v>
      </c>
      <c r="B604" s="23" t="s">
        <v>1357</v>
      </c>
      <c r="D604">
        <v>1</v>
      </c>
      <c r="E604" t="s">
        <v>155</v>
      </c>
      <c r="F604">
        <v>3</v>
      </c>
      <c r="G604">
        <v>2024</v>
      </c>
      <c r="I604" s="11">
        <v>77.72</v>
      </c>
      <c r="J604" t="s">
        <v>121</v>
      </c>
      <c r="K604" t="s">
        <v>53</v>
      </c>
      <c r="L604" t="s">
        <v>60</v>
      </c>
      <c r="M604">
        <v>0</v>
      </c>
      <c r="N604">
        <v>0</v>
      </c>
      <c r="O604">
        <v>1</v>
      </c>
      <c r="P604">
        <v>0</v>
      </c>
      <c r="Q604">
        <v>0</v>
      </c>
      <c r="R604">
        <v>0</v>
      </c>
      <c r="S604">
        <v>1</v>
      </c>
      <c r="T604">
        <v>0</v>
      </c>
      <c r="U604">
        <v>0</v>
      </c>
      <c r="V604">
        <v>1</v>
      </c>
      <c r="W604" t="s">
        <v>645</v>
      </c>
      <c r="X604" t="s">
        <v>1681</v>
      </c>
      <c r="Y604">
        <v>0</v>
      </c>
      <c r="Z604">
        <v>0</v>
      </c>
      <c r="AA604">
        <v>2007</v>
      </c>
      <c r="AB604">
        <v>9999</v>
      </c>
      <c r="AC604" t="s">
        <v>35</v>
      </c>
    </row>
    <row r="605" spans="1:29" x14ac:dyDescent="0.25">
      <c r="A605" s="31" t="s">
        <v>307</v>
      </c>
      <c r="B605" s="23" t="s">
        <v>308</v>
      </c>
      <c r="D605">
        <v>1</v>
      </c>
      <c r="E605" t="s">
        <v>309</v>
      </c>
      <c r="F605">
        <v>10</v>
      </c>
      <c r="G605">
        <v>2024</v>
      </c>
      <c r="I605" s="8">
        <v>68.05</v>
      </c>
      <c r="J605" t="s">
        <v>59</v>
      </c>
      <c r="K605" t="s">
        <v>47</v>
      </c>
      <c r="M605">
        <v>1</v>
      </c>
      <c r="N605">
        <v>0</v>
      </c>
      <c r="O605">
        <v>0</v>
      </c>
      <c r="P605">
        <v>0</v>
      </c>
      <c r="Q605">
        <v>0</v>
      </c>
      <c r="R605">
        <v>0</v>
      </c>
      <c r="S605">
        <v>1</v>
      </c>
      <c r="T605">
        <v>1</v>
      </c>
      <c r="U605">
        <v>1</v>
      </c>
      <c r="V605">
        <v>0</v>
      </c>
      <c r="W605" t="s">
        <v>1083</v>
      </c>
      <c r="X605" t="s">
        <v>1682</v>
      </c>
      <c r="Y605">
        <v>0</v>
      </c>
      <c r="Z605">
        <v>0</v>
      </c>
      <c r="AA605">
        <v>2007</v>
      </c>
      <c r="AB605">
        <v>9999</v>
      </c>
      <c r="AC605" t="s">
        <v>35</v>
      </c>
    </row>
    <row r="606" spans="1:29" x14ac:dyDescent="0.25">
      <c r="A606" s="31" t="s">
        <v>1294</v>
      </c>
      <c r="B606" s="23" t="s">
        <v>1295</v>
      </c>
      <c r="C606" t="s">
        <v>1296</v>
      </c>
      <c r="D606">
        <v>1</v>
      </c>
      <c r="E606" t="s">
        <v>95</v>
      </c>
      <c r="F606">
        <v>10</v>
      </c>
      <c r="G606">
        <v>2024</v>
      </c>
      <c r="I606" s="8">
        <v>47.1</v>
      </c>
      <c r="J606" t="s">
        <v>40</v>
      </c>
      <c r="K606" t="s">
        <v>47</v>
      </c>
      <c r="M606">
        <v>1</v>
      </c>
      <c r="N606">
        <v>0</v>
      </c>
      <c r="O606">
        <v>0</v>
      </c>
      <c r="P606">
        <v>0</v>
      </c>
      <c r="Q606">
        <v>0</v>
      </c>
      <c r="R606">
        <v>0</v>
      </c>
      <c r="S606">
        <v>1</v>
      </c>
      <c r="T606">
        <v>1</v>
      </c>
      <c r="U606">
        <v>1</v>
      </c>
      <c r="V606">
        <v>0</v>
      </c>
      <c r="W606" t="s">
        <v>1297</v>
      </c>
      <c r="X606" t="s">
        <v>1683</v>
      </c>
      <c r="Y606">
        <v>0</v>
      </c>
      <c r="Z606">
        <v>0</v>
      </c>
      <c r="AA606">
        <v>2010</v>
      </c>
      <c r="AB606">
        <v>9999</v>
      </c>
      <c r="AC606" t="s">
        <v>1292</v>
      </c>
    </row>
    <row r="607" spans="1:29" x14ac:dyDescent="0.25">
      <c r="A607" s="31" t="s">
        <v>311</v>
      </c>
      <c r="B607" s="23" t="s">
        <v>312</v>
      </c>
      <c r="C607" t="s">
        <v>313</v>
      </c>
      <c r="D607">
        <v>1</v>
      </c>
      <c r="E607" t="s">
        <v>314</v>
      </c>
      <c r="F607">
        <v>2</v>
      </c>
      <c r="G607">
        <v>2024</v>
      </c>
      <c r="I607" s="8">
        <v>74</v>
      </c>
      <c r="J607" t="s">
        <v>176</v>
      </c>
      <c r="K607" t="s">
        <v>47</v>
      </c>
      <c r="M607">
        <v>0</v>
      </c>
      <c r="N607">
        <v>0</v>
      </c>
      <c r="O607">
        <v>0</v>
      </c>
      <c r="P607">
        <v>0</v>
      </c>
      <c r="Q607">
        <v>0</v>
      </c>
      <c r="R607">
        <v>0</v>
      </c>
      <c r="S607">
        <v>1</v>
      </c>
      <c r="T607">
        <v>1</v>
      </c>
      <c r="U607">
        <v>1</v>
      </c>
      <c r="V607">
        <v>0</v>
      </c>
      <c r="W607" t="s">
        <v>1358</v>
      </c>
      <c r="X607" t="s">
        <v>1684</v>
      </c>
      <c r="Y607">
        <v>0</v>
      </c>
      <c r="Z607">
        <v>3</v>
      </c>
      <c r="AA607">
        <v>2007</v>
      </c>
      <c r="AB607">
        <v>9999</v>
      </c>
      <c r="AC607" t="s">
        <v>35</v>
      </c>
    </row>
    <row r="608" spans="1:29" x14ac:dyDescent="0.25">
      <c r="A608" s="31" t="s">
        <v>1457</v>
      </c>
      <c r="B608" s="23" t="s">
        <v>1458</v>
      </c>
      <c r="C608" t="s">
        <v>1459</v>
      </c>
      <c r="D608">
        <v>1</v>
      </c>
      <c r="E608" s="4">
        <v>760</v>
      </c>
      <c r="F608">
        <v>7</v>
      </c>
      <c r="G608">
        <v>2024</v>
      </c>
      <c r="I608" s="8">
        <v>741.7</v>
      </c>
      <c r="J608" t="s">
        <v>40</v>
      </c>
      <c r="K608" t="s">
        <v>47</v>
      </c>
      <c r="M608">
        <v>1</v>
      </c>
      <c r="N608">
        <v>0</v>
      </c>
      <c r="O608">
        <v>0</v>
      </c>
      <c r="P608">
        <v>0</v>
      </c>
      <c r="Q608">
        <v>0</v>
      </c>
      <c r="R608">
        <v>0</v>
      </c>
      <c r="S608">
        <v>1</v>
      </c>
      <c r="T608">
        <v>1</v>
      </c>
      <c r="U608">
        <v>1</v>
      </c>
      <c r="V608">
        <v>0</v>
      </c>
      <c r="W608" t="s">
        <v>1460</v>
      </c>
      <c r="X608" t="s">
        <v>1685</v>
      </c>
      <c r="Y608">
        <v>0</v>
      </c>
      <c r="Z608">
        <v>0</v>
      </c>
      <c r="AA608">
        <v>2014</v>
      </c>
      <c r="AB608">
        <v>9999</v>
      </c>
      <c r="AC608" t="s">
        <v>1449</v>
      </c>
    </row>
    <row r="609" spans="1:29" ht="30" x14ac:dyDescent="0.25">
      <c r="A609" s="31" t="s">
        <v>316</v>
      </c>
      <c r="B609" s="23" t="s">
        <v>1461</v>
      </c>
      <c r="C609" t="s">
        <v>1462</v>
      </c>
      <c r="D609">
        <v>1</v>
      </c>
      <c r="E609" t="s">
        <v>318</v>
      </c>
      <c r="F609">
        <v>4</v>
      </c>
      <c r="G609">
        <v>2024</v>
      </c>
      <c r="I609" s="8">
        <v>39.6</v>
      </c>
      <c r="J609" t="s">
        <v>59</v>
      </c>
      <c r="K609" t="s">
        <v>47</v>
      </c>
      <c r="M609">
        <v>0</v>
      </c>
      <c r="N609">
        <v>0</v>
      </c>
      <c r="O609">
        <v>0</v>
      </c>
      <c r="P609">
        <v>0</v>
      </c>
      <c r="Q609">
        <v>0</v>
      </c>
      <c r="R609">
        <v>0</v>
      </c>
      <c r="S609">
        <v>1</v>
      </c>
      <c r="T609">
        <v>1</v>
      </c>
      <c r="U609">
        <v>1</v>
      </c>
      <c r="V609">
        <v>0</v>
      </c>
      <c r="W609" t="s">
        <v>1085</v>
      </c>
      <c r="X609" t="s">
        <v>1686</v>
      </c>
      <c r="Y609">
        <v>0</v>
      </c>
      <c r="Z609">
        <v>1</v>
      </c>
      <c r="AA609">
        <v>2007</v>
      </c>
      <c r="AB609">
        <v>9999</v>
      </c>
      <c r="AC609" t="s">
        <v>35</v>
      </c>
    </row>
    <row r="610" spans="1:29" x14ac:dyDescent="0.25">
      <c r="A610" s="31" t="s">
        <v>1592</v>
      </c>
      <c r="B610" s="23" t="s">
        <v>1593</v>
      </c>
      <c r="D610">
        <v>1</v>
      </c>
      <c r="E610" s="5" t="s">
        <v>95</v>
      </c>
      <c r="F610">
        <v>10</v>
      </c>
      <c r="G610">
        <v>2024</v>
      </c>
      <c r="I610" s="8">
        <v>29</v>
      </c>
      <c r="J610" t="s">
        <v>59</v>
      </c>
      <c r="K610" t="s">
        <v>32</v>
      </c>
      <c r="M610">
        <v>0</v>
      </c>
      <c r="N610">
        <v>0</v>
      </c>
      <c r="O610">
        <v>0</v>
      </c>
      <c r="P610">
        <v>0</v>
      </c>
      <c r="Q610">
        <v>0</v>
      </c>
      <c r="R610">
        <v>0</v>
      </c>
      <c r="S610">
        <v>1</v>
      </c>
      <c r="T610">
        <v>1</v>
      </c>
      <c r="U610">
        <v>1</v>
      </c>
      <c r="V610">
        <v>0</v>
      </c>
      <c r="W610" t="s">
        <v>1594</v>
      </c>
      <c r="X610" t="s">
        <v>1687</v>
      </c>
      <c r="Y610">
        <v>0</v>
      </c>
      <c r="Z610">
        <v>1</v>
      </c>
      <c r="AA610">
        <v>2022</v>
      </c>
      <c r="AB610">
        <v>9999</v>
      </c>
      <c r="AC610" t="s">
        <v>1591</v>
      </c>
    </row>
    <row r="611" spans="1:29" x14ac:dyDescent="0.25">
      <c r="A611" s="31" t="s">
        <v>324</v>
      </c>
      <c r="B611" s="23" t="s">
        <v>325</v>
      </c>
      <c r="D611">
        <v>1</v>
      </c>
      <c r="E611" t="s">
        <v>103</v>
      </c>
      <c r="F611">
        <v>9</v>
      </c>
      <c r="G611">
        <v>2024</v>
      </c>
      <c r="I611" s="8">
        <v>102.22</v>
      </c>
      <c r="J611" t="s">
        <v>104</v>
      </c>
      <c r="K611" t="s">
        <v>47</v>
      </c>
      <c r="M611">
        <v>1</v>
      </c>
      <c r="N611">
        <v>0</v>
      </c>
      <c r="O611">
        <v>0</v>
      </c>
      <c r="P611">
        <v>0</v>
      </c>
      <c r="Q611">
        <v>0</v>
      </c>
      <c r="R611">
        <v>0</v>
      </c>
      <c r="S611">
        <v>1</v>
      </c>
      <c r="T611">
        <v>1</v>
      </c>
      <c r="U611">
        <v>1</v>
      </c>
      <c r="V611">
        <v>0</v>
      </c>
      <c r="W611" t="s">
        <v>1086</v>
      </c>
      <c r="X611" t="s">
        <v>1688</v>
      </c>
      <c r="Y611">
        <v>0</v>
      </c>
      <c r="Z611">
        <v>0</v>
      </c>
      <c r="AA611">
        <v>2007</v>
      </c>
      <c r="AB611">
        <v>9999</v>
      </c>
      <c r="AC611" t="s">
        <v>35</v>
      </c>
    </row>
    <row r="612" spans="1:29" x14ac:dyDescent="0.25">
      <c r="A612" s="31" t="s">
        <v>327</v>
      </c>
      <c r="B612" s="23" t="s">
        <v>328</v>
      </c>
      <c r="D612">
        <v>1</v>
      </c>
      <c r="E612" t="s">
        <v>80</v>
      </c>
      <c r="F612">
        <v>8</v>
      </c>
      <c r="G612">
        <v>2024</v>
      </c>
      <c r="I612" s="8">
        <v>97.75</v>
      </c>
      <c r="J612" t="s">
        <v>81</v>
      </c>
      <c r="K612" t="s">
        <v>47</v>
      </c>
      <c r="M612">
        <v>0</v>
      </c>
      <c r="N612">
        <v>0</v>
      </c>
      <c r="O612">
        <v>0</v>
      </c>
      <c r="P612">
        <v>0</v>
      </c>
      <c r="Q612">
        <v>0</v>
      </c>
      <c r="R612">
        <v>0</v>
      </c>
      <c r="S612">
        <v>1</v>
      </c>
      <c r="T612">
        <v>1</v>
      </c>
      <c r="U612">
        <v>1</v>
      </c>
      <c r="V612">
        <v>0</v>
      </c>
      <c r="W612" t="s">
        <v>1087</v>
      </c>
      <c r="X612" t="s">
        <v>1689</v>
      </c>
      <c r="Y612">
        <v>0</v>
      </c>
      <c r="Z612">
        <v>1</v>
      </c>
      <c r="AA612">
        <v>2007</v>
      </c>
      <c r="AB612">
        <v>9999</v>
      </c>
      <c r="AC612" t="s">
        <v>35</v>
      </c>
    </row>
    <row r="613" spans="1:29" x14ac:dyDescent="0.25">
      <c r="A613" s="31" t="s">
        <v>140</v>
      </c>
      <c r="B613" s="23" t="s">
        <v>1595</v>
      </c>
      <c r="C613" t="s">
        <v>1582</v>
      </c>
      <c r="D613">
        <v>1</v>
      </c>
      <c r="E613" t="s">
        <v>45</v>
      </c>
      <c r="F613">
        <v>4</v>
      </c>
      <c r="G613">
        <v>2024</v>
      </c>
      <c r="I613" s="8">
        <v>113.55</v>
      </c>
      <c r="J613" t="s">
        <v>121</v>
      </c>
      <c r="K613" t="s">
        <v>47</v>
      </c>
      <c r="M613">
        <v>1</v>
      </c>
      <c r="N613">
        <v>0</v>
      </c>
      <c r="O613">
        <v>0</v>
      </c>
      <c r="P613">
        <v>0</v>
      </c>
      <c r="Q613">
        <v>0</v>
      </c>
      <c r="R613">
        <v>0</v>
      </c>
      <c r="S613">
        <v>1</v>
      </c>
      <c r="T613">
        <v>1</v>
      </c>
      <c r="U613">
        <v>1</v>
      </c>
      <c r="V613">
        <v>0</v>
      </c>
      <c r="W613" t="s">
        <v>1045</v>
      </c>
      <c r="X613" t="s">
        <v>1690</v>
      </c>
      <c r="Y613">
        <v>0</v>
      </c>
      <c r="Z613">
        <v>0</v>
      </c>
      <c r="AA613">
        <v>2007</v>
      </c>
      <c r="AB613">
        <v>9999</v>
      </c>
      <c r="AC613" t="s">
        <v>35</v>
      </c>
    </row>
    <row r="614" spans="1:29" x14ac:dyDescent="0.25">
      <c r="A614" s="31" t="s">
        <v>346</v>
      </c>
      <c r="B614" s="23" t="s">
        <v>347</v>
      </c>
      <c r="D614">
        <v>1</v>
      </c>
      <c r="E614" t="s">
        <v>348</v>
      </c>
      <c r="F614">
        <v>1</v>
      </c>
      <c r="G614">
        <v>2024</v>
      </c>
      <c r="I614" s="8">
        <v>47.66</v>
      </c>
      <c r="J614" t="s">
        <v>121</v>
      </c>
      <c r="K614" t="s">
        <v>47</v>
      </c>
      <c r="M614">
        <v>0</v>
      </c>
      <c r="N614">
        <v>0</v>
      </c>
      <c r="O614">
        <v>0</v>
      </c>
      <c r="P614">
        <v>0</v>
      </c>
      <c r="Q614">
        <v>0</v>
      </c>
      <c r="R614">
        <v>0</v>
      </c>
      <c r="S614">
        <v>1</v>
      </c>
      <c r="T614">
        <v>1</v>
      </c>
      <c r="U614">
        <v>1</v>
      </c>
      <c r="V614">
        <v>0</v>
      </c>
      <c r="W614" t="s">
        <v>349</v>
      </c>
      <c r="X614" t="s">
        <v>1691</v>
      </c>
      <c r="Y614">
        <v>0</v>
      </c>
      <c r="Z614">
        <v>0</v>
      </c>
      <c r="AA614">
        <v>2007</v>
      </c>
      <c r="AB614">
        <v>9999</v>
      </c>
      <c r="AC614" t="s">
        <v>35</v>
      </c>
    </row>
    <row r="615" spans="1:29" x14ac:dyDescent="0.25">
      <c r="A615" s="31" t="s">
        <v>1540</v>
      </c>
      <c r="B615" s="23" t="s">
        <v>1541</v>
      </c>
      <c r="D615">
        <v>1</v>
      </c>
      <c r="E615" t="s">
        <v>58</v>
      </c>
      <c r="F615">
        <v>4</v>
      </c>
      <c r="G615">
        <v>2024</v>
      </c>
      <c r="I615" s="8">
        <v>127.25</v>
      </c>
      <c r="J615" t="s">
        <v>59</v>
      </c>
      <c r="K615" t="s">
        <v>47</v>
      </c>
      <c r="M615">
        <v>1</v>
      </c>
      <c r="N615">
        <v>0</v>
      </c>
      <c r="O615">
        <v>0</v>
      </c>
      <c r="P615">
        <v>0</v>
      </c>
      <c r="Q615">
        <v>0</v>
      </c>
      <c r="R615">
        <v>0</v>
      </c>
      <c r="S615">
        <v>1</v>
      </c>
      <c r="T615">
        <v>1</v>
      </c>
      <c r="U615">
        <v>1</v>
      </c>
      <c r="V615">
        <v>0</v>
      </c>
      <c r="W615" t="s">
        <v>1542</v>
      </c>
      <c r="X615" t="s">
        <v>1692</v>
      </c>
      <c r="Y615">
        <v>0</v>
      </c>
      <c r="Z615">
        <v>0</v>
      </c>
      <c r="AA615">
        <v>2018</v>
      </c>
      <c r="AB615">
        <v>9999</v>
      </c>
      <c r="AC615" t="s">
        <v>1543</v>
      </c>
    </row>
    <row r="616" spans="1:29" x14ac:dyDescent="0.25">
      <c r="A616" s="31" t="s">
        <v>199</v>
      </c>
      <c r="B616" s="23" t="s">
        <v>39</v>
      </c>
      <c r="D616">
        <v>1</v>
      </c>
      <c r="E616" t="s">
        <v>358</v>
      </c>
      <c r="F616">
        <v>1</v>
      </c>
      <c r="G616">
        <v>2024</v>
      </c>
      <c r="I616" s="8">
        <v>339.28</v>
      </c>
      <c r="J616" t="s">
        <v>52</v>
      </c>
      <c r="K616" t="s">
        <v>47</v>
      </c>
      <c r="M616">
        <v>0</v>
      </c>
      <c r="N616">
        <v>0</v>
      </c>
      <c r="O616">
        <v>0</v>
      </c>
      <c r="P616">
        <v>0</v>
      </c>
      <c r="Q616">
        <v>0</v>
      </c>
      <c r="R616">
        <v>0</v>
      </c>
      <c r="S616">
        <v>1</v>
      </c>
      <c r="T616">
        <v>1</v>
      </c>
      <c r="U616">
        <v>1</v>
      </c>
      <c r="V616">
        <v>0</v>
      </c>
      <c r="W616" t="s">
        <v>1094</v>
      </c>
      <c r="X616" t="s">
        <v>1693</v>
      </c>
      <c r="Y616">
        <v>2</v>
      </c>
      <c r="Z616">
        <v>1</v>
      </c>
      <c r="AA616">
        <v>2007</v>
      </c>
      <c r="AB616">
        <v>9999</v>
      </c>
      <c r="AC616" t="s">
        <v>35</v>
      </c>
    </row>
    <row r="617" spans="1:29" x14ac:dyDescent="0.25">
      <c r="A617" s="31" t="s">
        <v>1478</v>
      </c>
      <c r="B617" s="23" t="s">
        <v>360</v>
      </c>
      <c r="D617">
        <v>4</v>
      </c>
      <c r="E617" t="s">
        <v>155</v>
      </c>
      <c r="F617">
        <v>3</v>
      </c>
      <c r="G617">
        <v>2024</v>
      </c>
      <c r="I617" s="16">
        <v>399.57000000000005</v>
      </c>
      <c r="J617" t="s">
        <v>121</v>
      </c>
      <c r="K617" t="s">
        <v>53</v>
      </c>
      <c r="L617" t="s">
        <v>60</v>
      </c>
      <c r="M617">
        <v>0</v>
      </c>
      <c r="N617">
        <v>0</v>
      </c>
      <c r="O617">
        <v>1</v>
      </c>
      <c r="P617">
        <v>0</v>
      </c>
      <c r="Q617">
        <v>0</v>
      </c>
      <c r="R617">
        <v>0</v>
      </c>
      <c r="S617">
        <v>1</v>
      </c>
      <c r="T617">
        <v>0</v>
      </c>
      <c r="U617">
        <v>0</v>
      </c>
      <c r="V617">
        <v>1</v>
      </c>
      <c r="W617" t="s">
        <v>361</v>
      </c>
      <c r="X617" t="s">
        <v>1694</v>
      </c>
      <c r="Y617">
        <v>0</v>
      </c>
      <c r="Z617">
        <v>0</v>
      </c>
      <c r="AA617">
        <v>2007</v>
      </c>
      <c r="AB617">
        <v>9999</v>
      </c>
      <c r="AC617" t="s">
        <v>35</v>
      </c>
    </row>
    <row r="618" spans="1:29" x14ac:dyDescent="0.25">
      <c r="A618" s="31" t="s">
        <v>362</v>
      </c>
      <c r="B618" s="23" t="s">
        <v>363</v>
      </c>
      <c r="D618">
        <v>1</v>
      </c>
      <c r="E618" t="s">
        <v>103</v>
      </c>
      <c r="F618">
        <v>9</v>
      </c>
      <c r="G618">
        <v>2024</v>
      </c>
      <c r="I618" s="8">
        <v>1213.92</v>
      </c>
      <c r="J618" t="s">
        <v>104</v>
      </c>
      <c r="K618" t="s">
        <v>53</v>
      </c>
      <c r="L618" t="s">
        <v>105</v>
      </c>
      <c r="M618">
        <v>0</v>
      </c>
      <c r="N618">
        <v>0</v>
      </c>
      <c r="O618">
        <v>0</v>
      </c>
      <c r="P618">
        <v>1</v>
      </c>
      <c r="Q618">
        <v>0</v>
      </c>
      <c r="R618">
        <v>0</v>
      </c>
      <c r="S618">
        <v>1</v>
      </c>
      <c r="T618">
        <v>1</v>
      </c>
      <c r="U618">
        <v>1</v>
      </c>
      <c r="V618">
        <v>0</v>
      </c>
      <c r="W618" t="s">
        <v>106</v>
      </c>
      <c r="X618" t="s">
        <v>1427</v>
      </c>
      <c r="Y618">
        <v>0</v>
      </c>
      <c r="Z618">
        <v>0</v>
      </c>
      <c r="AA618">
        <v>2007</v>
      </c>
      <c r="AB618">
        <v>9999</v>
      </c>
      <c r="AC618" t="s">
        <v>35</v>
      </c>
    </row>
    <row r="619" spans="1:29" x14ac:dyDescent="0.25">
      <c r="A619" s="31" t="s">
        <v>364</v>
      </c>
      <c r="B619" s="23" t="s">
        <v>365</v>
      </c>
      <c r="C619" t="s">
        <v>366</v>
      </c>
      <c r="D619">
        <v>1</v>
      </c>
      <c r="E619" t="s">
        <v>103</v>
      </c>
      <c r="F619">
        <v>9</v>
      </c>
      <c r="G619">
        <v>2024</v>
      </c>
      <c r="I619" s="8">
        <v>5006.3900000000003</v>
      </c>
      <c r="J619" t="s">
        <v>104</v>
      </c>
      <c r="K619" t="s">
        <v>53</v>
      </c>
      <c r="L619" t="s">
        <v>105</v>
      </c>
      <c r="M619">
        <v>0</v>
      </c>
      <c r="N619">
        <v>0</v>
      </c>
      <c r="O619">
        <v>0</v>
      </c>
      <c r="P619">
        <v>1</v>
      </c>
      <c r="Q619">
        <v>0</v>
      </c>
      <c r="R619">
        <v>0</v>
      </c>
      <c r="S619">
        <v>1</v>
      </c>
      <c r="T619">
        <v>1</v>
      </c>
      <c r="U619">
        <v>1</v>
      </c>
      <c r="V619">
        <v>0</v>
      </c>
      <c r="W619" t="s">
        <v>106</v>
      </c>
      <c r="X619" t="s">
        <v>1427</v>
      </c>
      <c r="Y619">
        <v>0</v>
      </c>
      <c r="Z619">
        <v>0</v>
      </c>
      <c r="AA619">
        <v>2007</v>
      </c>
      <c r="AB619">
        <v>9999</v>
      </c>
      <c r="AC619" t="s">
        <v>35</v>
      </c>
    </row>
    <row r="620" spans="1:29" x14ac:dyDescent="0.25">
      <c r="A620" s="31" t="s">
        <v>367</v>
      </c>
      <c r="B620" s="23" t="s">
        <v>368</v>
      </c>
      <c r="C620" t="s">
        <v>369</v>
      </c>
      <c r="D620">
        <v>1</v>
      </c>
      <c r="E620" t="s">
        <v>370</v>
      </c>
      <c r="F620">
        <v>5</v>
      </c>
      <c r="G620">
        <v>2024</v>
      </c>
      <c r="I620" s="8">
        <v>279.68</v>
      </c>
      <c r="J620" t="s">
        <v>1610</v>
      </c>
      <c r="K620" t="s">
        <v>47</v>
      </c>
      <c r="M620">
        <v>1</v>
      </c>
      <c r="N620">
        <v>0</v>
      </c>
      <c r="O620">
        <v>0</v>
      </c>
      <c r="P620">
        <v>0</v>
      </c>
      <c r="Q620">
        <v>0</v>
      </c>
      <c r="R620">
        <v>0</v>
      </c>
      <c r="S620">
        <v>1</v>
      </c>
      <c r="T620">
        <v>1</v>
      </c>
      <c r="U620">
        <v>1</v>
      </c>
      <c r="V620">
        <v>0</v>
      </c>
      <c r="W620" t="s">
        <v>1298</v>
      </c>
      <c r="X620" t="s">
        <v>1695</v>
      </c>
      <c r="Y620">
        <v>0</v>
      </c>
      <c r="Z620">
        <v>1</v>
      </c>
      <c r="AA620">
        <v>2007</v>
      </c>
      <c r="AB620">
        <v>9999</v>
      </c>
      <c r="AC620" t="s">
        <v>35</v>
      </c>
    </row>
    <row r="621" spans="1:29" x14ac:dyDescent="0.25">
      <c r="A621" s="31" t="s">
        <v>1544</v>
      </c>
      <c r="B621" s="23" t="s">
        <v>1545</v>
      </c>
      <c r="D621">
        <v>1</v>
      </c>
      <c r="E621" s="5" t="s">
        <v>1546</v>
      </c>
      <c r="F621">
        <v>5</v>
      </c>
      <c r="G621">
        <v>2024</v>
      </c>
      <c r="H621" t="s">
        <v>214</v>
      </c>
      <c r="I621" s="8">
        <v>4.75</v>
      </c>
      <c r="J621" t="s">
        <v>1610</v>
      </c>
      <c r="K621" t="s">
        <v>41</v>
      </c>
      <c r="M621">
        <v>0</v>
      </c>
      <c r="N621">
        <v>0</v>
      </c>
      <c r="O621">
        <v>0</v>
      </c>
      <c r="P621">
        <v>0</v>
      </c>
      <c r="Q621">
        <v>0</v>
      </c>
      <c r="R621">
        <v>0</v>
      </c>
      <c r="S621">
        <v>0</v>
      </c>
      <c r="T621">
        <v>0</v>
      </c>
      <c r="U621">
        <v>0</v>
      </c>
      <c r="V621">
        <v>0</v>
      </c>
      <c r="W621" t="s">
        <v>1547</v>
      </c>
      <c r="X621" t="s">
        <v>1696</v>
      </c>
      <c r="Y621">
        <v>0</v>
      </c>
      <c r="Z621">
        <v>0</v>
      </c>
      <c r="AA621">
        <v>2018</v>
      </c>
      <c r="AB621">
        <v>9999</v>
      </c>
      <c r="AC621" t="s">
        <v>1543</v>
      </c>
    </row>
    <row r="622" spans="1:29" x14ac:dyDescent="0.25">
      <c r="A622" s="31" t="s">
        <v>372</v>
      </c>
      <c r="B622" s="23" t="s">
        <v>373</v>
      </c>
      <c r="D622">
        <v>1</v>
      </c>
      <c r="E622" t="s">
        <v>45</v>
      </c>
      <c r="F622">
        <v>4</v>
      </c>
      <c r="G622">
        <v>2024</v>
      </c>
      <c r="I622" s="8">
        <v>83</v>
      </c>
      <c r="J622" t="s">
        <v>176</v>
      </c>
      <c r="K622" t="s">
        <v>47</v>
      </c>
      <c r="M622">
        <v>0</v>
      </c>
      <c r="N622">
        <v>0</v>
      </c>
      <c r="O622">
        <v>0</v>
      </c>
      <c r="P622">
        <v>0</v>
      </c>
      <c r="Q622">
        <v>0</v>
      </c>
      <c r="R622">
        <v>0</v>
      </c>
      <c r="S622">
        <v>1</v>
      </c>
      <c r="T622">
        <v>1</v>
      </c>
      <c r="U622">
        <v>1</v>
      </c>
      <c r="V622">
        <v>0</v>
      </c>
      <c r="W622" t="s">
        <v>1429</v>
      </c>
      <c r="X622" t="s">
        <v>1697</v>
      </c>
      <c r="Y622">
        <v>0</v>
      </c>
      <c r="Z622">
        <v>0</v>
      </c>
      <c r="AA622">
        <v>2007</v>
      </c>
      <c r="AB622">
        <v>9999</v>
      </c>
      <c r="AC622" t="s">
        <v>35</v>
      </c>
    </row>
    <row r="623" spans="1:29" x14ac:dyDescent="0.25">
      <c r="A623" s="31" t="s">
        <v>375</v>
      </c>
      <c r="B623" s="23" t="s">
        <v>163</v>
      </c>
      <c r="D623">
        <v>1</v>
      </c>
      <c r="E623" t="s">
        <v>168</v>
      </c>
      <c r="F623">
        <v>1</v>
      </c>
      <c r="G623">
        <v>2024</v>
      </c>
      <c r="I623" s="8">
        <v>53.1</v>
      </c>
      <c r="J623" t="s">
        <v>52</v>
      </c>
      <c r="K623" t="s">
        <v>47</v>
      </c>
      <c r="M623">
        <v>0</v>
      </c>
      <c r="N623">
        <v>0</v>
      </c>
      <c r="O623">
        <v>0</v>
      </c>
      <c r="P623">
        <v>0</v>
      </c>
      <c r="Q623">
        <v>0</v>
      </c>
      <c r="R623">
        <v>0</v>
      </c>
      <c r="S623">
        <v>1</v>
      </c>
      <c r="T623">
        <v>1</v>
      </c>
      <c r="U623">
        <v>1</v>
      </c>
      <c r="V623">
        <v>0</v>
      </c>
      <c r="W623" t="s">
        <v>1097</v>
      </c>
      <c r="X623" t="s">
        <v>1698</v>
      </c>
      <c r="Y623">
        <v>0</v>
      </c>
      <c r="Z623">
        <v>1</v>
      </c>
      <c r="AA623">
        <v>2007</v>
      </c>
      <c r="AB623">
        <v>9999</v>
      </c>
      <c r="AC623" t="s">
        <v>35</v>
      </c>
    </row>
    <row r="624" spans="1:29" x14ac:dyDescent="0.25">
      <c r="A624" s="31" t="s">
        <v>377</v>
      </c>
      <c r="B624" s="23" t="s">
        <v>378</v>
      </c>
      <c r="D624">
        <v>1</v>
      </c>
      <c r="E624" t="s">
        <v>45</v>
      </c>
      <c r="F624">
        <v>4</v>
      </c>
      <c r="G624">
        <v>2024</v>
      </c>
      <c r="I624" s="8">
        <v>164.16</v>
      </c>
      <c r="J624" t="s">
        <v>1610</v>
      </c>
      <c r="K624" t="s">
        <v>47</v>
      </c>
      <c r="M624">
        <v>0</v>
      </c>
      <c r="N624">
        <v>0</v>
      </c>
      <c r="O624">
        <v>0</v>
      </c>
      <c r="P624">
        <v>0</v>
      </c>
      <c r="Q624">
        <v>0</v>
      </c>
      <c r="R624">
        <v>0</v>
      </c>
      <c r="S624">
        <v>1</v>
      </c>
      <c r="T624">
        <v>1</v>
      </c>
      <c r="U624">
        <v>1</v>
      </c>
      <c r="V624">
        <v>0</v>
      </c>
      <c r="W624" t="s">
        <v>1098</v>
      </c>
      <c r="X624" t="s">
        <v>1699</v>
      </c>
      <c r="Y624">
        <v>0</v>
      </c>
      <c r="Z624">
        <v>1</v>
      </c>
      <c r="AA624">
        <v>2007</v>
      </c>
      <c r="AB624">
        <v>9999</v>
      </c>
      <c r="AC624" t="s">
        <v>35</v>
      </c>
    </row>
    <row r="625" spans="1:29" x14ac:dyDescent="0.25">
      <c r="A625" s="31" t="s">
        <v>380</v>
      </c>
      <c r="B625" s="23" t="s">
        <v>381</v>
      </c>
      <c r="D625">
        <v>1</v>
      </c>
      <c r="E625" t="s">
        <v>103</v>
      </c>
      <c r="F625">
        <v>9</v>
      </c>
      <c r="G625">
        <v>2024</v>
      </c>
      <c r="I625" s="8">
        <v>158.87</v>
      </c>
      <c r="J625" t="s">
        <v>104</v>
      </c>
      <c r="K625" t="s">
        <v>53</v>
      </c>
      <c r="L625" t="s">
        <v>105</v>
      </c>
      <c r="M625">
        <v>0</v>
      </c>
      <c r="N625">
        <v>0</v>
      </c>
      <c r="O625">
        <v>0</v>
      </c>
      <c r="P625">
        <v>1</v>
      </c>
      <c r="Q625">
        <v>0</v>
      </c>
      <c r="R625">
        <v>0</v>
      </c>
      <c r="S625">
        <v>1</v>
      </c>
      <c r="T625">
        <v>1</v>
      </c>
      <c r="U625">
        <v>1</v>
      </c>
      <c r="V625">
        <v>0</v>
      </c>
      <c r="W625" t="s">
        <v>106</v>
      </c>
      <c r="X625" t="s">
        <v>1427</v>
      </c>
      <c r="Y625">
        <v>0</v>
      </c>
      <c r="Z625">
        <v>0</v>
      </c>
      <c r="AA625">
        <v>2007</v>
      </c>
      <c r="AB625">
        <v>9999</v>
      </c>
      <c r="AC625" t="s">
        <v>35</v>
      </c>
    </row>
    <row r="626" spans="1:29" x14ac:dyDescent="0.25">
      <c r="A626" s="31" t="s">
        <v>382</v>
      </c>
      <c r="B626" s="23" t="s">
        <v>383</v>
      </c>
      <c r="D626">
        <v>1</v>
      </c>
      <c r="E626" t="s">
        <v>80</v>
      </c>
      <c r="F626">
        <v>8</v>
      </c>
      <c r="G626">
        <v>2024</v>
      </c>
      <c r="I626" s="8">
        <v>35.15</v>
      </c>
      <c r="J626" t="s">
        <v>81</v>
      </c>
      <c r="K626" t="s">
        <v>32</v>
      </c>
      <c r="M626">
        <v>0</v>
      </c>
      <c r="N626">
        <v>0</v>
      </c>
      <c r="O626">
        <v>0</v>
      </c>
      <c r="P626">
        <v>0</v>
      </c>
      <c r="Q626">
        <v>0</v>
      </c>
      <c r="R626">
        <v>0</v>
      </c>
      <c r="S626">
        <v>1</v>
      </c>
      <c r="T626">
        <v>1</v>
      </c>
      <c r="U626">
        <v>1</v>
      </c>
      <c r="V626">
        <v>0</v>
      </c>
      <c r="W626" t="s">
        <v>1099</v>
      </c>
      <c r="X626" t="s">
        <v>1700</v>
      </c>
      <c r="Y626">
        <v>2</v>
      </c>
      <c r="Z626">
        <v>0</v>
      </c>
      <c r="AA626">
        <v>2007</v>
      </c>
      <c r="AB626">
        <v>9999</v>
      </c>
      <c r="AC626" t="s">
        <v>35</v>
      </c>
    </row>
    <row r="627" spans="1:29" x14ac:dyDescent="0.25">
      <c r="A627" s="31" t="s">
        <v>385</v>
      </c>
      <c r="B627" s="23" t="s">
        <v>386</v>
      </c>
      <c r="D627">
        <v>1</v>
      </c>
      <c r="E627" t="s">
        <v>45</v>
      </c>
      <c r="F627">
        <v>4</v>
      </c>
      <c r="G627">
        <v>2024</v>
      </c>
      <c r="I627" s="8">
        <v>173.75</v>
      </c>
      <c r="J627" t="s">
        <v>52</v>
      </c>
      <c r="K627" t="s">
        <v>47</v>
      </c>
      <c r="M627">
        <v>1</v>
      </c>
      <c r="N627">
        <v>0</v>
      </c>
      <c r="O627">
        <v>0</v>
      </c>
      <c r="P627">
        <v>0</v>
      </c>
      <c r="Q627">
        <v>0</v>
      </c>
      <c r="R627">
        <v>0</v>
      </c>
      <c r="S627">
        <v>1</v>
      </c>
      <c r="T627">
        <v>1</v>
      </c>
      <c r="U627">
        <v>1</v>
      </c>
      <c r="V627">
        <v>0</v>
      </c>
      <c r="W627" t="s">
        <v>1300</v>
      </c>
      <c r="X627" t="s">
        <v>1701</v>
      </c>
      <c r="Y627">
        <v>0</v>
      </c>
      <c r="Z627">
        <v>0</v>
      </c>
      <c r="AA627">
        <v>2007</v>
      </c>
      <c r="AB627">
        <v>9999</v>
      </c>
      <c r="AC627" t="s">
        <v>35</v>
      </c>
    </row>
    <row r="628" spans="1:29" x14ac:dyDescent="0.25">
      <c r="A628" s="31" t="s">
        <v>388</v>
      </c>
      <c r="B628" s="23" t="s">
        <v>389</v>
      </c>
      <c r="D628">
        <v>1</v>
      </c>
      <c r="E628" t="s">
        <v>145</v>
      </c>
      <c r="F628">
        <v>2</v>
      </c>
      <c r="G628">
        <v>2024</v>
      </c>
      <c r="H628" t="s">
        <v>185</v>
      </c>
      <c r="I628">
        <v>0.1</v>
      </c>
      <c r="J628" t="s">
        <v>52</v>
      </c>
      <c r="K628" t="s">
        <v>41</v>
      </c>
      <c r="M628">
        <v>0</v>
      </c>
      <c r="N628">
        <v>0</v>
      </c>
      <c r="O628">
        <v>0</v>
      </c>
      <c r="P628">
        <v>0</v>
      </c>
      <c r="Q628">
        <v>0</v>
      </c>
      <c r="R628">
        <v>0</v>
      </c>
      <c r="S628">
        <v>0</v>
      </c>
      <c r="T628">
        <v>0</v>
      </c>
      <c r="U628">
        <v>0</v>
      </c>
      <c r="V628">
        <v>0</v>
      </c>
      <c r="W628" t="s">
        <v>1101</v>
      </c>
      <c r="X628" t="s">
        <v>1702</v>
      </c>
      <c r="Y628">
        <v>0</v>
      </c>
      <c r="Z628">
        <v>0</v>
      </c>
      <c r="AA628">
        <v>2007</v>
      </c>
      <c r="AB628">
        <v>9999</v>
      </c>
      <c r="AC628" t="s">
        <v>35</v>
      </c>
    </row>
    <row r="629" spans="1:29" x14ac:dyDescent="0.25">
      <c r="A629" s="31" t="s">
        <v>391</v>
      </c>
      <c r="B629" s="23" t="s">
        <v>392</v>
      </c>
      <c r="D629">
        <v>1</v>
      </c>
      <c r="E629" t="s">
        <v>393</v>
      </c>
      <c r="F629">
        <v>3</v>
      </c>
      <c r="G629">
        <v>2024</v>
      </c>
      <c r="I629" s="8">
        <v>15328.39</v>
      </c>
      <c r="J629" t="s">
        <v>121</v>
      </c>
      <c r="K629" t="s">
        <v>47</v>
      </c>
      <c r="M629">
        <v>1</v>
      </c>
      <c r="N629">
        <v>1</v>
      </c>
      <c r="O629">
        <v>0</v>
      </c>
      <c r="P629">
        <v>0</v>
      </c>
      <c r="Q629">
        <v>0</v>
      </c>
      <c r="R629">
        <v>0</v>
      </c>
      <c r="S629">
        <v>1</v>
      </c>
      <c r="T629">
        <v>1</v>
      </c>
      <c r="U629">
        <v>1</v>
      </c>
      <c r="V629">
        <v>0</v>
      </c>
      <c r="W629" t="s">
        <v>1703</v>
      </c>
      <c r="X629" t="s">
        <v>1704</v>
      </c>
      <c r="Y629">
        <v>0</v>
      </c>
      <c r="Z629">
        <v>0</v>
      </c>
      <c r="AA629">
        <v>2007</v>
      </c>
      <c r="AB629">
        <v>9999</v>
      </c>
      <c r="AC629" t="s">
        <v>35</v>
      </c>
    </row>
    <row r="630" spans="1:29" x14ac:dyDescent="0.25">
      <c r="A630" s="31" t="s">
        <v>401</v>
      </c>
      <c r="B630" s="23" t="s">
        <v>402</v>
      </c>
      <c r="D630">
        <v>1</v>
      </c>
      <c r="E630" t="s">
        <v>155</v>
      </c>
      <c r="F630">
        <v>3</v>
      </c>
      <c r="G630">
        <v>2024</v>
      </c>
      <c r="I630" s="8">
        <v>2016.28</v>
      </c>
      <c r="J630" t="s">
        <v>52</v>
      </c>
      <c r="K630" t="s">
        <v>47</v>
      </c>
      <c r="M630">
        <v>1</v>
      </c>
      <c r="N630">
        <v>0</v>
      </c>
      <c r="O630">
        <v>0</v>
      </c>
      <c r="P630">
        <v>0</v>
      </c>
      <c r="Q630">
        <v>0</v>
      </c>
      <c r="R630">
        <v>0</v>
      </c>
      <c r="S630">
        <v>1</v>
      </c>
      <c r="T630">
        <v>1</v>
      </c>
      <c r="U630">
        <v>1</v>
      </c>
      <c r="V630">
        <v>0</v>
      </c>
      <c r="W630" t="s">
        <v>1525</v>
      </c>
      <c r="X630" t="s">
        <v>1705</v>
      </c>
      <c r="Y630">
        <v>0</v>
      </c>
      <c r="Z630">
        <v>0</v>
      </c>
      <c r="AA630">
        <v>2007</v>
      </c>
      <c r="AB630">
        <v>9999</v>
      </c>
      <c r="AC630" t="s">
        <v>35</v>
      </c>
    </row>
    <row r="631" spans="1:29" x14ac:dyDescent="0.25">
      <c r="A631" s="31" t="s">
        <v>404</v>
      </c>
      <c r="B631" s="23" t="s">
        <v>405</v>
      </c>
      <c r="C631" t="s">
        <v>406</v>
      </c>
      <c r="D631">
        <v>1</v>
      </c>
      <c r="E631" t="s">
        <v>358</v>
      </c>
      <c r="F631">
        <v>1</v>
      </c>
      <c r="G631">
        <v>2024</v>
      </c>
      <c r="I631" s="8">
        <v>314.11</v>
      </c>
      <c r="J631" t="s">
        <v>104</v>
      </c>
      <c r="K631" t="s">
        <v>47</v>
      </c>
      <c r="M631">
        <v>1</v>
      </c>
      <c r="N631">
        <v>0</v>
      </c>
      <c r="O631">
        <v>0</v>
      </c>
      <c r="P631">
        <v>0</v>
      </c>
      <c r="Q631">
        <v>0</v>
      </c>
      <c r="R631">
        <v>0</v>
      </c>
      <c r="S631">
        <v>1</v>
      </c>
      <c r="T631">
        <v>1</v>
      </c>
      <c r="U631">
        <v>1</v>
      </c>
      <c r="V631">
        <v>0</v>
      </c>
      <c r="W631" t="s">
        <v>1245</v>
      </c>
      <c r="X631" t="s">
        <v>1706</v>
      </c>
      <c r="Y631">
        <v>0</v>
      </c>
      <c r="Z631">
        <v>0</v>
      </c>
      <c r="AA631">
        <v>2007</v>
      </c>
      <c r="AB631">
        <v>9999</v>
      </c>
      <c r="AC631" t="s">
        <v>35</v>
      </c>
    </row>
    <row r="632" spans="1:29" x14ac:dyDescent="0.25">
      <c r="A632" s="31" t="s">
        <v>408</v>
      </c>
      <c r="B632" s="23" t="s">
        <v>409</v>
      </c>
      <c r="D632">
        <v>1</v>
      </c>
      <c r="E632" t="s">
        <v>103</v>
      </c>
      <c r="F632">
        <v>9</v>
      </c>
      <c r="G632">
        <v>2024</v>
      </c>
      <c r="I632" s="8">
        <v>54.52</v>
      </c>
      <c r="J632" t="s">
        <v>104</v>
      </c>
      <c r="K632" t="s">
        <v>53</v>
      </c>
      <c r="L632" t="s">
        <v>105</v>
      </c>
      <c r="M632">
        <v>0</v>
      </c>
      <c r="N632">
        <v>0</v>
      </c>
      <c r="O632">
        <v>0</v>
      </c>
      <c r="P632">
        <v>1</v>
      </c>
      <c r="Q632">
        <v>0</v>
      </c>
      <c r="R632">
        <v>0</v>
      </c>
      <c r="S632">
        <v>1</v>
      </c>
      <c r="T632">
        <v>1</v>
      </c>
      <c r="U632">
        <v>1</v>
      </c>
      <c r="V632">
        <v>0</v>
      </c>
      <c r="W632" t="s">
        <v>106</v>
      </c>
      <c r="X632" t="s">
        <v>1427</v>
      </c>
      <c r="Y632">
        <v>0</v>
      </c>
      <c r="Z632">
        <v>0</v>
      </c>
      <c r="AA632">
        <v>2007</v>
      </c>
      <c r="AB632">
        <v>9999</v>
      </c>
      <c r="AC632" t="s">
        <v>35</v>
      </c>
    </row>
    <row r="633" spans="1:29" x14ac:dyDescent="0.25">
      <c r="A633" s="31" t="s">
        <v>410</v>
      </c>
      <c r="B633" s="23" t="s">
        <v>411</v>
      </c>
      <c r="C633" t="s">
        <v>412</v>
      </c>
      <c r="D633">
        <v>1</v>
      </c>
      <c r="E633" t="s">
        <v>103</v>
      </c>
      <c r="F633">
        <v>9</v>
      </c>
      <c r="G633">
        <v>2024</v>
      </c>
      <c r="I633" s="8">
        <v>140.46</v>
      </c>
      <c r="J633" t="s">
        <v>104</v>
      </c>
      <c r="K633" t="s">
        <v>53</v>
      </c>
      <c r="L633" t="s">
        <v>105</v>
      </c>
      <c r="M633">
        <v>0</v>
      </c>
      <c r="N633">
        <v>0</v>
      </c>
      <c r="O633">
        <v>0</v>
      </c>
      <c r="P633">
        <v>1</v>
      </c>
      <c r="Q633">
        <v>0</v>
      </c>
      <c r="R633">
        <v>0</v>
      </c>
      <c r="S633">
        <v>1</v>
      </c>
      <c r="T633">
        <v>1</v>
      </c>
      <c r="U633">
        <v>1</v>
      </c>
      <c r="V633">
        <v>0</v>
      </c>
      <c r="W633" t="s">
        <v>106</v>
      </c>
      <c r="X633" t="s">
        <v>1427</v>
      </c>
      <c r="Y633">
        <v>0</v>
      </c>
      <c r="Z633">
        <v>0</v>
      </c>
      <c r="AA633">
        <v>2007</v>
      </c>
      <c r="AB633">
        <v>9999</v>
      </c>
      <c r="AC633" t="s">
        <v>35</v>
      </c>
    </row>
    <row r="634" spans="1:29" x14ac:dyDescent="0.25">
      <c r="A634" s="31" t="s">
        <v>413</v>
      </c>
      <c r="B634" s="23" t="s">
        <v>414</v>
      </c>
      <c r="C634" t="s">
        <v>415</v>
      </c>
      <c r="D634">
        <v>1</v>
      </c>
      <c r="E634" t="s">
        <v>103</v>
      </c>
      <c r="F634">
        <v>9</v>
      </c>
      <c r="G634">
        <v>2024</v>
      </c>
      <c r="I634" s="8">
        <v>4098.1400000000003</v>
      </c>
      <c r="J634" t="s">
        <v>104</v>
      </c>
      <c r="K634" t="s">
        <v>53</v>
      </c>
      <c r="L634" t="s">
        <v>105</v>
      </c>
      <c r="M634">
        <v>0</v>
      </c>
      <c r="N634">
        <v>0</v>
      </c>
      <c r="O634">
        <v>0</v>
      </c>
      <c r="P634">
        <v>1</v>
      </c>
      <c r="Q634">
        <v>0</v>
      </c>
      <c r="R634">
        <v>0</v>
      </c>
      <c r="S634">
        <v>1</v>
      </c>
      <c r="T634">
        <v>1</v>
      </c>
      <c r="U634">
        <v>1</v>
      </c>
      <c r="V634">
        <v>0</v>
      </c>
      <c r="W634" t="s">
        <v>106</v>
      </c>
      <c r="X634" t="s">
        <v>1427</v>
      </c>
      <c r="Y634">
        <v>0</v>
      </c>
      <c r="Z634">
        <v>0</v>
      </c>
      <c r="AA634">
        <v>2007</v>
      </c>
      <c r="AB634">
        <v>9999</v>
      </c>
      <c r="AC634" t="s">
        <v>35</v>
      </c>
    </row>
    <row r="635" spans="1:29" x14ac:dyDescent="0.25">
      <c r="A635" s="31" t="s">
        <v>416</v>
      </c>
      <c r="B635" s="23" t="s">
        <v>417</v>
      </c>
      <c r="C635" t="s">
        <v>418</v>
      </c>
      <c r="D635">
        <v>1</v>
      </c>
      <c r="E635" t="s">
        <v>218</v>
      </c>
      <c r="F635">
        <v>2</v>
      </c>
      <c r="G635">
        <v>2024</v>
      </c>
      <c r="I635" s="8">
        <v>895.79</v>
      </c>
      <c r="J635" t="s">
        <v>147</v>
      </c>
      <c r="K635" t="s">
        <v>47</v>
      </c>
      <c r="M635">
        <v>1</v>
      </c>
      <c r="N635">
        <v>1</v>
      </c>
      <c r="O635">
        <v>0</v>
      </c>
      <c r="P635">
        <v>0</v>
      </c>
      <c r="Q635">
        <v>0</v>
      </c>
      <c r="R635">
        <v>0</v>
      </c>
      <c r="S635">
        <v>1</v>
      </c>
      <c r="T635">
        <v>1</v>
      </c>
      <c r="U635">
        <v>1</v>
      </c>
      <c r="V635">
        <v>0</v>
      </c>
      <c r="W635" t="s">
        <v>1574</v>
      </c>
      <c r="X635" t="s">
        <v>1707</v>
      </c>
      <c r="Y635">
        <v>0</v>
      </c>
      <c r="Z635">
        <v>1</v>
      </c>
      <c r="AA635">
        <v>2007</v>
      </c>
      <c r="AB635">
        <v>9999</v>
      </c>
      <c r="AC635" t="s">
        <v>35</v>
      </c>
    </row>
    <row r="636" spans="1:29" x14ac:dyDescent="0.25">
      <c r="A636" s="31" t="s">
        <v>420</v>
      </c>
      <c r="B636" s="23" t="s">
        <v>421</v>
      </c>
      <c r="D636">
        <v>1</v>
      </c>
      <c r="E636" t="s">
        <v>38</v>
      </c>
      <c r="F636">
        <v>4</v>
      </c>
      <c r="G636">
        <v>2024</v>
      </c>
      <c r="H636" t="s">
        <v>39</v>
      </c>
      <c r="I636">
        <v>6.2</v>
      </c>
      <c r="J636" t="s">
        <v>1610</v>
      </c>
      <c r="K636" t="s">
        <v>32</v>
      </c>
      <c r="M636">
        <v>0</v>
      </c>
      <c r="N636">
        <v>0</v>
      </c>
      <c r="O636">
        <v>0</v>
      </c>
      <c r="P636">
        <v>0</v>
      </c>
      <c r="Q636">
        <v>0</v>
      </c>
      <c r="R636">
        <v>0</v>
      </c>
      <c r="S636">
        <v>0</v>
      </c>
      <c r="T636">
        <v>1</v>
      </c>
      <c r="U636">
        <v>0</v>
      </c>
      <c r="V636">
        <v>0</v>
      </c>
      <c r="W636" t="s">
        <v>1108</v>
      </c>
      <c r="X636" t="s">
        <v>1708</v>
      </c>
      <c r="Y636">
        <v>0</v>
      </c>
      <c r="Z636">
        <v>0</v>
      </c>
      <c r="AA636">
        <v>2007</v>
      </c>
      <c r="AB636">
        <v>9999</v>
      </c>
      <c r="AC636" t="s">
        <v>35</v>
      </c>
    </row>
    <row r="637" spans="1:29" x14ac:dyDescent="0.25">
      <c r="A637" s="31" t="s">
        <v>423</v>
      </c>
      <c r="B637" s="23" t="s">
        <v>424</v>
      </c>
      <c r="D637">
        <v>1</v>
      </c>
      <c r="E637" t="s">
        <v>85</v>
      </c>
      <c r="F637">
        <v>1</v>
      </c>
      <c r="G637">
        <v>2024</v>
      </c>
      <c r="H637" t="s">
        <v>303</v>
      </c>
      <c r="I637">
        <v>10</v>
      </c>
      <c r="J637" t="s">
        <v>121</v>
      </c>
      <c r="K637" t="s">
        <v>53</v>
      </c>
      <c r="L637" t="s">
        <v>425</v>
      </c>
      <c r="M637">
        <v>0</v>
      </c>
      <c r="N637">
        <v>0</v>
      </c>
      <c r="O637">
        <v>0</v>
      </c>
      <c r="P637">
        <v>0</v>
      </c>
      <c r="Q637">
        <v>0</v>
      </c>
      <c r="R637">
        <v>0</v>
      </c>
      <c r="S637">
        <v>0</v>
      </c>
      <c r="T637">
        <v>0</v>
      </c>
      <c r="U637">
        <v>0</v>
      </c>
      <c r="V637">
        <v>0</v>
      </c>
      <c r="W637" t="s">
        <v>426</v>
      </c>
      <c r="X637" t="s">
        <v>1709</v>
      </c>
      <c r="Y637">
        <v>0</v>
      </c>
      <c r="Z637">
        <v>0</v>
      </c>
      <c r="AA637">
        <v>2007</v>
      </c>
      <c r="AB637">
        <v>9999</v>
      </c>
      <c r="AC637" t="s">
        <v>35</v>
      </c>
    </row>
    <row r="638" spans="1:29" x14ac:dyDescent="0.25">
      <c r="A638" s="31" t="s">
        <v>427</v>
      </c>
      <c r="B638" s="23" t="s">
        <v>1246</v>
      </c>
      <c r="D638">
        <v>1</v>
      </c>
      <c r="E638" t="s">
        <v>45</v>
      </c>
      <c r="F638">
        <v>4</v>
      </c>
      <c r="G638">
        <v>2024</v>
      </c>
      <c r="I638" s="8">
        <v>1952.27</v>
      </c>
      <c r="J638" t="s">
        <v>1608</v>
      </c>
      <c r="K638" t="s">
        <v>32</v>
      </c>
      <c r="M638">
        <v>0</v>
      </c>
      <c r="N638">
        <v>0</v>
      </c>
      <c r="O638">
        <v>0</v>
      </c>
      <c r="P638">
        <v>0</v>
      </c>
      <c r="Q638">
        <v>0</v>
      </c>
      <c r="R638">
        <v>0</v>
      </c>
      <c r="S638">
        <v>1</v>
      </c>
      <c r="T638">
        <v>1</v>
      </c>
      <c r="U638">
        <v>1</v>
      </c>
      <c r="V638">
        <v>0</v>
      </c>
      <c r="W638" t="s">
        <v>1301</v>
      </c>
      <c r="X638" t="s">
        <v>1710</v>
      </c>
      <c r="Y638">
        <v>0</v>
      </c>
      <c r="Z638">
        <v>2</v>
      </c>
      <c r="AA638">
        <v>2007</v>
      </c>
      <c r="AB638">
        <v>9999</v>
      </c>
      <c r="AC638" t="s">
        <v>35</v>
      </c>
    </row>
    <row r="639" spans="1:29" x14ac:dyDescent="0.25">
      <c r="A639" s="31" t="s">
        <v>430</v>
      </c>
      <c r="B639" s="23" t="s">
        <v>431</v>
      </c>
      <c r="D639">
        <v>1</v>
      </c>
      <c r="E639" t="s">
        <v>103</v>
      </c>
      <c r="F639">
        <v>9</v>
      </c>
      <c r="G639">
        <v>2024</v>
      </c>
      <c r="I639" s="8">
        <v>3701.3</v>
      </c>
      <c r="J639" t="s">
        <v>104</v>
      </c>
      <c r="K639" t="s">
        <v>53</v>
      </c>
      <c r="L639" t="s">
        <v>105</v>
      </c>
      <c r="M639">
        <v>0</v>
      </c>
      <c r="N639">
        <v>0</v>
      </c>
      <c r="O639">
        <v>0</v>
      </c>
      <c r="P639">
        <v>1</v>
      </c>
      <c r="Q639">
        <v>0</v>
      </c>
      <c r="R639">
        <v>0</v>
      </c>
      <c r="S639">
        <v>1</v>
      </c>
      <c r="T639">
        <v>1</v>
      </c>
      <c r="U639">
        <v>1</v>
      </c>
      <c r="V639">
        <v>0</v>
      </c>
      <c r="W639" t="s">
        <v>106</v>
      </c>
      <c r="X639" t="s">
        <v>1427</v>
      </c>
      <c r="Y639">
        <v>0</v>
      </c>
      <c r="Z639">
        <v>0</v>
      </c>
      <c r="AA639">
        <v>2007</v>
      </c>
      <c r="AB639">
        <v>9999</v>
      </c>
      <c r="AC639" t="s">
        <v>35</v>
      </c>
    </row>
    <row r="640" spans="1:29" x14ac:dyDescent="0.25">
      <c r="A640" s="31" t="s">
        <v>1302</v>
      </c>
      <c r="B640" s="23" t="s">
        <v>1303</v>
      </c>
      <c r="D640">
        <v>1</v>
      </c>
      <c r="E640" t="s">
        <v>103</v>
      </c>
      <c r="F640">
        <v>9</v>
      </c>
      <c r="G640">
        <v>2024</v>
      </c>
      <c r="I640" s="8">
        <v>1813.76</v>
      </c>
      <c r="J640" t="s">
        <v>104</v>
      </c>
      <c r="K640" t="s">
        <v>53</v>
      </c>
      <c r="L640" t="s">
        <v>105</v>
      </c>
      <c r="M640">
        <v>0</v>
      </c>
      <c r="N640">
        <v>0</v>
      </c>
      <c r="O640">
        <v>0</v>
      </c>
      <c r="P640">
        <v>1</v>
      </c>
      <c r="Q640">
        <v>0</v>
      </c>
      <c r="R640">
        <v>0</v>
      </c>
      <c r="S640">
        <v>1</v>
      </c>
      <c r="T640">
        <v>1</v>
      </c>
      <c r="U640">
        <v>1</v>
      </c>
      <c r="V640">
        <v>0</v>
      </c>
      <c r="W640" t="s">
        <v>106</v>
      </c>
      <c r="X640" t="s">
        <v>1427</v>
      </c>
      <c r="Y640">
        <v>0</v>
      </c>
      <c r="Z640">
        <v>0</v>
      </c>
      <c r="AA640">
        <v>2010</v>
      </c>
      <c r="AB640">
        <v>9999</v>
      </c>
      <c r="AC640" t="s">
        <v>1292</v>
      </c>
    </row>
    <row r="641" spans="1:29" x14ac:dyDescent="0.25">
      <c r="A641" s="31" t="s">
        <v>439</v>
      </c>
      <c r="B641" s="23" t="s">
        <v>440</v>
      </c>
      <c r="C641" t="s">
        <v>441</v>
      </c>
      <c r="D641">
        <v>1</v>
      </c>
      <c r="E641" t="s">
        <v>442</v>
      </c>
      <c r="F641">
        <v>4</v>
      </c>
      <c r="G641">
        <v>2024</v>
      </c>
      <c r="I641" s="8">
        <v>620.69000000000005</v>
      </c>
      <c r="J641" t="s">
        <v>1608</v>
      </c>
      <c r="K641" t="s">
        <v>47</v>
      </c>
      <c r="M641">
        <v>1</v>
      </c>
      <c r="N641">
        <v>0</v>
      </c>
      <c r="O641">
        <v>0</v>
      </c>
      <c r="P641">
        <v>0</v>
      </c>
      <c r="Q641">
        <v>0</v>
      </c>
      <c r="R641">
        <v>0</v>
      </c>
      <c r="S641">
        <v>1</v>
      </c>
      <c r="T641">
        <v>1</v>
      </c>
      <c r="U641">
        <v>1</v>
      </c>
      <c r="V641">
        <v>0</v>
      </c>
      <c r="W641" t="s">
        <v>1304</v>
      </c>
      <c r="X641" t="s">
        <v>1711</v>
      </c>
      <c r="Y641">
        <v>0</v>
      </c>
      <c r="Z641">
        <v>0</v>
      </c>
      <c r="AA641">
        <v>2007</v>
      </c>
      <c r="AB641">
        <v>9999</v>
      </c>
      <c r="AC641" t="s">
        <v>35</v>
      </c>
    </row>
    <row r="642" spans="1:29" ht="30" x14ac:dyDescent="0.25">
      <c r="B642" s="23" t="s">
        <v>444</v>
      </c>
      <c r="C642" t="s">
        <v>1611</v>
      </c>
      <c r="D642">
        <v>3</v>
      </c>
      <c r="E642" t="s">
        <v>38</v>
      </c>
      <c r="F642">
        <v>4</v>
      </c>
      <c r="G642">
        <v>2024</v>
      </c>
      <c r="I642">
        <v>0.6</v>
      </c>
      <c r="J642" t="s">
        <v>1610</v>
      </c>
      <c r="K642" t="s">
        <v>41</v>
      </c>
      <c r="M642">
        <v>0</v>
      </c>
      <c r="N642">
        <v>0</v>
      </c>
      <c r="O642">
        <v>0</v>
      </c>
      <c r="P642">
        <v>0</v>
      </c>
      <c r="Q642">
        <v>0</v>
      </c>
      <c r="R642">
        <v>0</v>
      </c>
      <c r="S642">
        <v>0</v>
      </c>
      <c r="T642">
        <v>0</v>
      </c>
      <c r="U642">
        <v>0</v>
      </c>
      <c r="V642">
        <v>0</v>
      </c>
      <c r="W642" t="s">
        <v>1114</v>
      </c>
      <c r="X642" t="s">
        <v>1712</v>
      </c>
      <c r="Y642">
        <v>0</v>
      </c>
      <c r="Z642">
        <v>0</v>
      </c>
      <c r="AA642">
        <v>2007</v>
      </c>
      <c r="AB642">
        <v>9999</v>
      </c>
      <c r="AC642" t="s">
        <v>35</v>
      </c>
    </row>
    <row r="643" spans="1:29" ht="30" x14ac:dyDescent="0.25">
      <c r="B643" s="23" t="s">
        <v>1612</v>
      </c>
      <c r="D643">
        <v>1</v>
      </c>
      <c r="E643" s="5" t="s">
        <v>145</v>
      </c>
      <c r="F643">
        <v>2</v>
      </c>
      <c r="G643">
        <v>2024</v>
      </c>
      <c r="I643">
        <v>0</v>
      </c>
      <c r="J643" t="s">
        <v>147</v>
      </c>
      <c r="K643" t="s">
        <v>41</v>
      </c>
      <c r="M643">
        <v>0</v>
      </c>
      <c r="N643">
        <v>0</v>
      </c>
      <c r="O643">
        <v>0</v>
      </c>
      <c r="P643">
        <v>0</v>
      </c>
      <c r="Q643">
        <v>0</v>
      </c>
      <c r="R643">
        <v>0</v>
      </c>
      <c r="S643">
        <v>0</v>
      </c>
      <c r="T643">
        <v>0</v>
      </c>
      <c r="U643">
        <v>0</v>
      </c>
      <c r="V643">
        <v>0</v>
      </c>
      <c r="W643" t="s">
        <v>1613</v>
      </c>
      <c r="X643" t="s">
        <v>1713</v>
      </c>
      <c r="Y643">
        <v>0</v>
      </c>
      <c r="Z643">
        <v>0</v>
      </c>
      <c r="AA643">
        <v>2007</v>
      </c>
      <c r="AB643">
        <v>9999</v>
      </c>
      <c r="AC643" t="s">
        <v>35</v>
      </c>
    </row>
    <row r="644" spans="1:29" x14ac:dyDescent="0.25">
      <c r="A644" s="31" t="s">
        <v>453</v>
      </c>
      <c r="B644" s="23" t="s">
        <v>454</v>
      </c>
      <c r="C644" t="s">
        <v>455</v>
      </c>
      <c r="D644">
        <v>1</v>
      </c>
      <c r="E644" t="s">
        <v>456</v>
      </c>
      <c r="F644">
        <v>4</v>
      </c>
      <c r="G644">
        <v>2024</v>
      </c>
      <c r="I644" s="8">
        <v>1135.19</v>
      </c>
      <c r="J644" t="s">
        <v>1608</v>
      </c>
      <c r="K644" t="s">
        <v>32</v>
      </c>
      <c r="L644" t="s">
        <v>33</v>
      </c>
      <c r="M644">
        <v>0</v>
      </c>
      <c r="N644">
        <v>1</v>
      </c>
      <c r="O644">
        <v>0</v>
      </c>
      <c r="P644">
        <v>0</v>
      </c>
      <c r="Q644">
        <v>0</v>
      </c>
      <c r="R644">
        <v>1</v>
      </c>
      <c r="S644">
        <v>1</v>
      </c>
      <c r="T644">
        <v>1</v>
      </c>
      <c r="U644">
        <v>1</v>
      </c>
      <c r="V644">
        <v>0</v>
      </c>
      <c r="W644" t="s">
        <v>1360</v>
      </c>
      <c r="X644" t="s">
        <v>1714</v>
      </c>
      <c r="Y644">
        <v>0</v>
      </c>
      <c r="Z644">
        <v>0</v>
      </c>
      <c r="AA644">
        <v>2007</v>
      </c>
      <c r="AB644">
        <v>9999</v>
      </c>
      <c r="AC644" t="s">
        <v>35</v>
      </c>
    </row>
    <row r="645" spans="1:29" x14ac:dyDescent="0.25">
      <c r="A645" s="31" t="s">
        <v>458</v>
      </c>
      <c r="B645" s="23" t="s">
        <v>459</v>
      </c>
      <c r="D645">
        <v>1</v>
      </c>
      <c r="E645" t="s">
        <v>103</v>
      </c>
      <c r="F645">
        <v>9</v>
      </c>
      <c r="G645">
        <v>2024</v>
      </c>
      <c r="I645" s="8">
        <v>1555.2</v>
      </c>
      <c r="J645" t="s">
        <v>104</v>
      </c>
      <c r="K645" t="s">
        <v>53</v>
      </c>
      <c r="L645" t="s">
        <v>105</v>
      </c>
      <c r="M645">
        <v>0</v>
      </c>
      <c r="N645">
        <v>0</v>
      </c>
      <c r="O645">
        <v>0</v>
      </c>
      <c r="P645">
        <v>1</v>
      </c>
      <c r="Q645">
        <v>0</v>
      </c>
      <c r="R645">
        <v>0</v>
      </c>
      <c r="S645">
        <v>1</v>
      </c>
      <c r="T645">
        <v>1</v>
      </c>
      <c r="U645">
        <v>1</v>
      </c>
      <c r="V645">
        <v>0</v>
      </c>
      <c r="W645" t="s">
        <v>106</v>
      </c>
      <c r="X645" t="s">
        <v>1427</v>
      </c>
      <c r="Y645">
        <v>0</v>
      </c>
      <c r="Z645">
        <v>0</v>
      </c>
      <c r="AA645">
        <v>2007</v>
      </c>
      <c r="AB645">
        <v>9999</v>
      </c>
      <c r="AC645" t="s">
        <v>35</v>
      </c>
    </row>
    <row r="646" spans="1:29" x14ac:dyDescent="0.25">
      <c r="A646" s="31" t="s">
        <v>460</v>
      </c>
      <c r="B646" s="23" t="s">
        <v>461</v>
      </c>
      <c r="D646">
        <v>1</v>
      </c>
      <c r="E646" t="s">
        <v>103</v>
      </c>
      <c r="F646">
        <v>9</v>
      </c>
      <c r="G646">
        <v>2024</v>
      </c>
      <c r="I646" s="8">
        <v>7499.85</v>
      </c>
      <c r="J646" t="s">
        <v>104</v>
      </c>
      <c r="K646" t="s">
        <v>53</v>
      </c>
      <c r="L646" t="s">
        <v>105</v>
      </c>
      <c r="M646">
        <v>0</v>
      </c>
      <c r="N646">
        <v>0</v>
      </c>
      <c r="O646">
        <v>0</v>
      </c>
      <c r="P646">
        <v>1</v>
      </c>
      <c r="Q646">
        <v>0</v>
      </c>
      <c r="R646">
        <v>0</v>
      </c>
      <c r="S646">
        <v>1</v>
      </c>
      <c r="T646">
        <v>1</v>
      </c>
      <c r="U646">
        <v>1</v>
      </c>
      <c r="V646">
        <v>0</v>
      </c>
      <c r="W646" t="s">
        <v>106</v>
      </c>
      <c r="X646" t="s">
        <v>1427</v>
      </c>
      <c r="Y646">
        <v>0</v>
      </c>
      <c r="Z646">
        <v>0</v>
      </c>
      <c r="AA646">
        <v>2007</v>
      </c>
      <c r="AB646">
        <v>9999</v>
      </c>
      <c r="AC646" t="s">
        <v>35</v>
      </c>
    </row>
    <row r="647" spans="1:29" x14ac:dyDescent="0.25">
      <c r="A647" s="31" t="s">
        <v>465</v>
      </c>
      <c r="B647" s="23" t="s">
        <v>466</v>
      </c>
      <c r="C647" t="s">
        <v>467</v>
      </c>
      <c r="D647">
        <v>1</v>
      </c>
      <c r="E647" t="s">
        <v>468</v>
      </c>
      <c r="F647">
        <v>7</v>
      </c>
      <c r="G647">
        <v>2024</v>
      </c>
      <c r="I647" s="8">
        <v>939.67</v>
      </c>
      <c r="J647" t="s">
        <v>40</v>
      </c>
      <c r="K647" t="s">
        <v>32</v>
      </c>
      <c r="M647">
        <v>0</v>
      </c>
      <c r="N647">
        <v>0</v>
      </c>
      <c r="O647">
        <v>0</v>
      </c>
      <c r="P647">
        <v>0</v>
      </c>
      <c r="Q647">
        <v>0</v>
      </c>
      <c r="R647">
        <v>0</v>
      </c>
      <c r="S647">
        <v>1</v>
      </c>
      <c r="T647">
        <v>1</v>
      </c>
      <c r="U647">
        <v>1</v>
      </c>
      <c r="V647">
        <v>0</v>
      </c>
      <c r="W647" s="5" t="s">
        <v>1583</v>
      </c>
      <c r="X647" t="s">
        <v>1715</v>
      </c>
      <c r="Y647">
        <v>0</v>
      </c>
      <c r="Z647">
        <v>0</v>
      </c>
      <c r="AA647">
        <v>2007</v>
      </c>
      <c r="AB647">
        <v>9999</v>
      </c>
      <c r="AC647" t="s">
        <v>35</v>
      </c>
    </row>
    <row r="648" spans="1:29" x14ac:dyDescent="0.25">
      <c r="A648" s="31" t="s">
        <v>478</v>
      </c>
      <c r="B648" s="23" t="s">
        <v>479</v>
      </c>
      <c r="D648">
        <v>1</v>
      </c>
      <c r="E648" t="s">
        <v>348</v>
      </c>
      <c r="F648">
        <v>1</v>
      </c>
      <c r="G648">
        <v>2024</v>
      </c>
      <c r="I648" s="8">
        <v>139.51</v>
      </c>
      <c r="J648" t="s">
        <v>52</v>
      </c>
      <c r="K648" t="s">
        <v>47</v>
      </c>
      <c r="M648">
        <v>1</v>
      </c>
      <c r="N648">
        <v>0</v>
      </c>
      <c r="O648">
        <v>0</v>
      </c>
      <c r="P648">
        <v>0</v>
      </c>
      <c r="Q648">
        <v>0</v>
      </c>
      <c r="R648">
        <v>0</v>
      </c>
      <c r="S648">
        <v>1</v>
      </c>
      <c r="T648">
        <v>1</v>
      </c>
      <c r="U648">
        <v>1</v>
      </c>
      <c r="V648">
        <v>0</v>
      </c>
      <c r="W648" t="s">
        <v>1548</v>
      </c>
      <c r="X648" t="s">
        <v>1716</v>
      </c>
      <c r="Y648">
        <v>1</v>
      </c>
      <c r="Z648">
        <v>0</v>
      </c>
      <c r="AA648">
        <v>2007</v>
      </c>
      <c r="AB648">
        <v>9999</v>
      </c>
      <c r="AC648" t="s">
        <v>35</v>
      </c>
    </row>
    <row r="649" spans="1:29" x14ac:dyDescent="0.25">
      <c r="A649" s="31" t="s">
        <v>481</v>
      </c>
      <c r="B649" s="23" t="s">
        <v>482</v>
      </c>
      <c r="D649">
        <v>1</v>
      </c>
      <c r="E649" t="s">
        <v>348</v>
      </c>
      <c r="F649">
        <v>1</v>
      </c>
      <c r="G649">
        <v>2024</v>
      </c>
      <c r="I649" s="8">
        <v>257.56</v>
      </c>
      <c r="J649" t="s">
        <v>52</v>
      </c>
      <c r="K649" t="s">
        <v>47</v>
      </c>
      <c r="M649">
        <v>1</v>
      </c>
      <c r="N649">
        <v>0</v>
      </c>
      <c r="O649">
        <v>0</v>
      </c>
      <c r="P649">
        <v>0</v>
      </c>
      <c r="Q649">
        <v>0</v>
      </c>
      <c r="R649">
        <v>0</v>
      </c>
      <c r="S649">
        <v>1</v>
      </c>
      <c r="T649">
        <v>1</v>
      </c>
      <c r="U649">
        <v>1</v>
      </c>
      <c r="V649">
        <v>0</v>
      </c>
      <c r="W649" t="s">
        <v>1548</v>
      </c>
      <c r="X649" t="s">
        <v>1716</v>
      </c>
      <c r="Y649">
        <v>2</v>
      </c>
      <c r="Z649">
        <v>0</v>
      </c>
      <c r="AA649">
        <v>2007</v>
      </c>
      <c r="AB649">
        <v>9999</v>
      </c>
      <c r="AC649" t="s">
        <v>35</v>
      </c>
    </row>
    <row r="650" spans="1:29" x14ac:dyDescent="0.25">
      <c r="A650" s="31" t="s">
        <v>483</v>
      </c>
      <c r="B650" s="23" t="s">
        <v>484</v>
      </c>
      <c r="D650">
        <v>1</v>
      </c>
      <c r="E650" t="s">
        <v>348</v>
      </c>
      <c r="F650">
        <v>1</v>
      </c>
      <c r="G650">
        <v>2024</v>
      </c>
      <c r="I650" s="8">
        <v>142.78</v>
      </c>
      <c r="J650" t="s">
        <v>52</v>
      </c>
      <c r="K650" t="s">
        <v>47</v>
      </c>
      <c r="M650">
        <v>1</v>
      </c>
      <c r="N650">
        <v>0</v>
      </c>
      <c r="O650">
        <v>0</v>
      </c>
      <c r="P650">
        <v>0</v>
      </c>
      <c r="Q650">
        <v>0</v>
      </c>
      <c r="R650">
        <v>0</v>
      </c>
      <c r="S650">
        <v>1</v>
      </c>
      <c r="T650">
        <v>1</v>
      </c>
      <c r="U650">
        <v>1</v>
      </c>
      <c r="V650">
        <v>0</v>
      </c>
      <c r="W650" t="s">
        <v>1548</v>
      </c>
      <c r="X650" t="s">
        <v>1716</v>
      </c>
      <c r="Y650">
        <v>1</v>
      </c>
      <c r="Z650">
        <v>0</v>
      </c>
      <c r="AA650">
        <v>2007</v>
      </c>
      <c r="AB650">
        <v>9999</v>
      </c>
      <c r="AC650" t="s">
        <v>35</v>
      </c>
    </row>
    <row r="651" spans="1:29" x14ac:dyDescent="0.25">
      <c r="A651" s="31" t="s">
        <v>485</v>
      </c>
      <c r="B651" s="23" t="s">
        <v>486</v>
      </c>
      <c r="D651">
        <v>1</v>
      </c>
      <c r="E651" t="s">
        <v>348</v>
      </c>
      <c r="F651">
        <v>1</v>
      </c>
      <c r="G651">
        <v>2024</v>
      </c>
      <c r="I651" s="8">
        <v>223.11</v>
      </c>
      <c r="J651" t="s">
        <v>52</v>
      </c>
      <c r="K651" t="s">
        <v>47</v>
      </c>
      <c r="M651">
        <v>1</v>
      </c>
      <c r="N651">
        <v>0</v>
      </c>
      <c r="O651">
        <v>0</v>
      </c>
      <c r="P651">
        <v>0</v>
      </c>
      <c r="Q651">
        <v>0</v>
      </c>
      <c r="R651">
        <v>0</v>
      </c>
      <c r="S651">
        <v>1</v>
      </c>
      <c r="T651">
        <v>1</v>
      </c>
      <c r="U651">
        <v>1</v>
      </c>
      <c r="V651">
        <v>0</v>
      </c>
      <c r="W651" t="s">
        <v>1548</v>
      </c>
      <c r="X651" t="s">
        <v>1716</v>
      </c>
      <c r="Y651">
        <v>1</v>
      </c>
      <c r="Z651">
        <v>0</v>
      </c>
      <c r="AA651">
        <v>2007</v>
      </c>
      <c r="AB651">
        <v>9999</v>
      </c>
      <c r="AC651" t="s">
        <v>35</v>
      </c>
    </row>
    <row r="652" spans="1:29" x14ac:dyDescent="0.25">
      <c r="A652" s="31" t="s">
        <v>487</v>
      </c>
      <c r="B652" s="23" t="s">
        <v>488</v>
      </c>
      <c r="D652">
        <v>1</v>
      </c>
      <c r="E652" t="s">
        <v>348</v>
      </c>
      <c r="F652">
        <v>1</v>
      </c>
      <c r="G652">
        <v>2024</v>
      </c>
      <c r="I652" s="8">
        <v>210.76</v>
      </c>
      <c r="J652" t="s">
        <v>52</v>
      </c>
      <c r="K652" t="s">
        <v>47</v>
      </c>
      <c r="M652">
        <v>1</v>
      </c>
      <c r="N652">
        <v>0</v>
      </c>
      <c r="O652">
        <v>0</v>
      </c>
      <c r="P652">
        <v>0</v>
      </c>
      <c r="Q652">
        <v>0</v>
      </c>
      <c r="R652">
        <v>0</v>
      </c>
      <c r="S652">
        <v>1</v>
      </c>
      <c r="T652">
        <v>1</v>
      </c>
      <c r="U652">
        <v>1</v>
      </c>
      <c r="V652">
        <v>0</v>
      </c>
      <c r="W652" t="s">
        <v>1548</v>
      </c>
      <c r="X652" t="s">
        <v>1716</v>
      </c>
      <c r="Y652">
        <v>2</v>
      </c>
      <c r="Z652">
        <v>0</v>
      </c>
      <c r="AA652">
        <v>2007</v>
      </c>
      <c r="AB652">
        <v>9999</v>
      </c>
      <c r="AC652" t="s">
        <v>35</v>
      </c>
    </row>
    <row r="653" spans="1:29" x14ac:dyDescent="0.25">
      <c r="A653" s="31" t="s">
        <v>489</v>
      </c>
      <c r="B653" s="23" t="s">
        <v>490</v>
      </c>
      <c r="D653">
        <v>1</v>
      </c>
      <c r="E653" t="s">
        <v>348</v>
      </c>
      <c r="F653">
        <v>1</v>
      </c>
      <c r="G653">
        <v>2024</v>
      </c>
      <c r="I653" s="8">
        <v>248.81</v>
      </c>
      <c r="J653" t="s">
        <v>52</v>
      </c>
      <c r="K653" t="s">
        <v>47</v>
      </c>
      <c r="M653">
        <v>1</v>
      </c>
      <c r="N653">
        <v>0</v>
      </c>
      <c r="O653">
        <v>0</v>
      </c>
      <c r="P653">
        <v>0</v>
      </c>
      <c r="Q653">
        <v>0</v>
      </c>
      <c r="R653">
        <v>0</v>
      </c>
      <c r="S653">
        <v>1</v>
      </c>
      <c r="T653">
        <v>1</v>
      </c>
      <c r="U653">
        <v>1</v>
      </c>
      <c r="V653">
        <v>0</v>
      </c>
      <c r="W653" t="s">
        <v>1548</v>
      </c>
      <c r="X653" t="s">
        <v>1716</v>
      </c>
      <c r="Y653">
        <v>2</v>
      </c>
      <c r="Z653">
        <v>0</v>
      </c>
      <c r="AA653">
        <v>2007</v>
      </c>
      <c r="AB653">
        <v>9999</v>
      </c>
      <c r="AC653" t="s">
        <v>35</v>
      </c>
    </row>
    <row r="654" spans="1:29" x14ac:dyDescent="0.25">
      <c r="A654" s="31" t="s">
        <v>491</v>
      </c>
      <c r="B654" s="23" t="s">
        <v>492</v>
      </c>
      <c r="D654">
        <v>1</v>
      </c>
      <c r="E654" t="s">
        <v>348</v>
      </c>
      <c r="F654">
        <v>1</v>
      </c>
      <c r="G654">
        <v>2024</v>
      </c>
      <c r="I654" s="8">
        <v>258.64999999999998</v>
      </c>
      <c r="J654" t="s">
        <v>52</v>
      </c>
      <c r="K654" t="s">
        <v>47</v>
      </c>
      <c r="M654">
        <v>1</v>
      </c>
      <c r="N654">
        <v>0</v>
      </c>
      <c r="O654">
        <v>0</v>
      </c>
      <c r="P654">
        <v>0</v>
      </c>
      <c r="Q654">
        <v>0</v>
      </c>
      <c r="R654">
        <v>0</v>
      </c>
      <c r="S654">
        <v>1</v>
      </c>
      <c r="T654">
        <v>1</v>
      </c>
      <c r="U654">
        <v>1</v>
      </c>
      <c r="V654">
        <v>0</v>
      </c>
      <c r="W654" t="s">
        <v>1548</v>
      </c>
      <c r="X654" t="s">
        <v>1716</v>
      </c>
      <c r="Y654">
        <v>1</v>
      </c>
      <c r="Z654">
        <v>0</v>
      </c>
      <c r="AA654">
        <v>2007</v>
      </c>
      <c r="AB654">
        <v>9999</v>
      </c>
      <c r="AC654" t="s">
        <v>35</v>
      </c>
    </row>
    <row r="655" spans="1:29" x14ac:dyDescent="0.25">
      <c r="A655" s="31" t="s">
        <v>493</v>
      </c>
      <c r="B655" s="23" t="s">
        <v>494</v>
      </c>
      <c r="D655">
        <v>1</v>
      </c>
      <c r="E655" t="s">
        <v>348</v>
      </c>
      <c r="F655">
        <v>1</v>
      </c>
      <c r="G655">
        <v>2024</v>
      </c>
      <c r="I655" s="8">
        <v>239.86</v>
      </c>
      <c r="J655" t="s">
        <v>52</v>
      </c>
      <c r="K655" t="s">
        <v>47</v>
      </c>
      <c r="M655">
        <v>1</v>
      </c>
      <c r="N655">
        <v>0</v>
      </c>
      <c r="O655">
        <v>0</v>
      </c>
      <c r="P655">
        <v>0</v>
      </c>
      <c r="Q655">
        <v>0</v>
      </c>
      <c r="R655">
        <v>0</v>
      </c>
      <c r="S655">
        <v>1</v>
      </c>
      <c r="T655">
        <v>1</v>
      </c>
      <c r="U655">
        <v>1</v>
      </c>
      <c r="V655">
        <v>0</v>
      </c>
      <c r="W655" t="s">
        <v>1548</v>
      </c>
      <c r="X655" t="s">
        <v>1716</v>
      </c>
      <c r="Y655">
        <v>3</v>
      </c>
      <c r="Z655">
        <v>0</v>
      </c>
      <c r="AA655">
        <v>2007</v>
      </c>
      <c r="AB655">
        <v>9999</v>
      </c>
      <c r="AC655" t="s">
        <v>35</v>
      </c>
    </row>
    <row r="656" spans="1:29" x14ac:dyDescent="0.25">
      <c r="A656" s="31" t="s">
        <v>495</v>
      </c>
      <c r="B656" s="23" t="s">
        <v>496</v>
      </c>
      <c r="D656">
        <v>1</v>
      </c>
      <c r="E656" t="s">
        <v>348</v>
      </c>
      <c r="F656">
        <v>1</v>
      </c>
      <c r="G656">
        <v>2024</v>
      </c>
      <c r="I656" s="8">
        <v>196.27</v>
      </c>
      <c r="J656" t="s">
        <v>52</v>
      </c>
      <c r="K656" t="s">
        <v>47</v>
      </c>
      <c r="M656">
        <v>1</v>
      </c>
      <c r="N656">
        <v>0</v>
      </c>
      <c r="O656">
        <v>0</v>
      </c>
      <c r="P656">
        <v>0</v>
      </c>
      <c r="Q656">
        <v>0</v>
      </c>
      <c r="R656">
        <v>0</v>
      </c>
      <c r="S656">
        <v>1</v>
      </c>
      <c r="T656">
        <v>1</v>
      </c>
      <c r="U656">
        <v>1</v>
      </c>
      <c r="V656">
        <v>0</v>
      </c>
      <c r="W656" t="s">
        <v>1548</v>
      </c>
      <c r="X656" t="s">
        <v>1716</v>
      </c>
      <c r="Y656">
        <v>1</v>
      </c>
      <c r="Z656">
        <v>0</v>
      </c>
      <c r="AA656">
        <v>2007</v>
      </c>
      <c r="AB656">
        <v>9999</v>
      </c>
      <c r="AC656" t="s">
        <v>35</v>
      </c>
    </row>
    <row r="657" spans="1:29" x14ac:dyDescent="0.25">
      <c r="A657" s="31" t="s">
        <v>497</v>
      </c>
      <c r="B657" s="23" t="s">
        <v>498</v>
      </c>
      <c r="D657">
        <v>1</v>
      </c>
      <c r="E657" t="s">
        <v>348</v>
      </c>
      <c r="F657">
        <v>1</v>
      </c>
      <c r="G657">
        <v>2024</v>
      </c>
      <c r="I657" s="8">
        <v>332.43</v>
      </c>
      <c r="J657" t="s">
        <v>52</v>
      </c>
      <c r="K657" t="s">
        <v>47</v>
      </c>
      <c r="M657">
        <v>1</v>
      </c>
      <c r="N657">
        <v>0</v>
      </c>
      <c r="O657">
        <v>0</v>
      </c>
      <c r="P657">
        <v>0</v>
      </c>
      <c r="Q657">
        <v>0</v>
      </c>
      <c r="R657">
        <v>0</v>
      </c>
      <c r="S657">
        <v>1</v>
      </c>
      <c r="T657">
        <v>1</v>
      </c>
      <c r="U657">
        <v>1</v>
      </c>
      <c r="V657">
        <v>0</v>
      </c>
      <c r="W657" t="s">
        <v>1548</v>
      </c>
      <c r="X657" t="s">
        <v>1716</v>
      </c>
      <c r="Y657">
        <v>4</v>
      </c>
      <c r="Z657">
        <v>1</v>
      </c>
      <c r="AA657">
        <v>2007</v>
      </c>
      <c r="AB657">
        <v>9999</v>
      </c>
      <c r="AC657" t="s">
        <v>35</v>
      </c>
    </row>
    <row r="658" spans="1:29" x14ac:dyDescent="0.25">
      <c r="A658" s="31" t="s">
        <v>499</v>
      </c>
      <c r="B658" s="23" t="s">
        <v>500</v>
      </c>
      <c r="D658">
        <v>1</v>
      </c>
      <c r="E658" t="s">
        <v>348</v>
      </c>
      <c r="F658">
        <v>1</v>
      </c>
      <c r="G658">
        <v>2024</v>
      </c>
      <c r="I658" s="8">
        <v>579.75</v>
      </c>
      <c r="J658" t="s">
        <v>52</v>
      </c>
      <c r="K658" t="s">
        <v>47</v>
      </c>
      <c r="M658">
        <v>1</v>
      </c>
      <c r="N658">
        <v>0</v>
      </c>
      <c r="O658">
        <v>0</v>
      </c>
      <c r="P658">
        <v>0</v>
      </c>
      <c r="Q658">
        <v>0</v>
      </c>
      <c r="R658">
        <v>0</v>
      </c>
      <c r="S658">
        <v>1</v>
      </c>
      <c r="T658">
        <v>1</v>
      </c>
      <c r="U658">
        <v>1</v>
      </c>
      <c r="V658">
        <v>0</v>
      </c>
      <c r="W658" t="s">
        <v>1548</v>
      </c>
      <c r="X658" t="s">
        <v>1716</v>
      </c>
      <c r="Y658">
        <v>2</v>
      </c>
      <c r="Z658">
        <v>0</v>
      </c>
      <c r="AA658">
        <v>2007</v>
      </c>
      <c r="AB658">
        <v>9999</v>
      </c>
      <c r="AC658" t="s">
        <v>35</v>
      </c>
    </row>
    <row r="659" spans="1:29" x14ac:dyDescent="0.25">
      <c r="A659" s="31" t="s">
        <v>501</v>
      </c>
      <c r="B659" s="23" t="s">
        <v>502</v>
      </c>
      <c r="D659">
        <v>1</v>
      </c>
      <c r="E659" t="s">
        <v>348</v>
      </c>
      <c r="F659">
        <v>1</v>
      </c>
      <c r="G659">
        <v>2024</v>
      </c>
      <c r="I659" s="8">
        <v>538.37</v>
      </c>
      <c r="J659" t="s">
        <v>52</v>
      </c>
      <c r="K659" t="s">
        <v>47</v>
      </c>
      <c r="M659">
        <v>1</v>
      </c>
      <c r="N659">
        <v>0</v>
      </c>
      <c r="O659">
        <v>0</v>
      </c>
      <c r="P659">
        <v>0</v>
      </c>
      <c r="Q659">
        <v>0</v>
      </c>
      <c r="R659">
        <v>0</v>
      </c>
      <c r="S659">
        <v>1</v>
      </c>
      <c r="T659">
        <v>1</v>
      </c>
      <c r="U659">
        <v>1</v>
      </c>
      <c r="V659">
        <v>0</v>
      </c>
      <c r="W659" t="s">
        <v>1548</v>
      </c>
      <c r="X659" t="s">
        <v>1716</v>
      </c>
      <c r="Y659">
        <v>2</v>
      </c>
      <c r="Z659">
        <v>0</v>
      </c>
      <c r="AA659">
        <v>2007</v>
      </c>
      <c r="AB659">
        <v>9999</v>
      </c>
      <c r="AC659" t="s">
        <v>35</v>
      </c>
    </row>
    <row r="660" spans="1:29" x14ac:dyDescent="0.25">
      <c r="A660" s="31" t="s">
        <v>503</v>
      </c>
      <c r="B660" s="23" t="s">
        <v>504</v>
      </c>
      <c r="D660">
        <v>1</v>
      </c>
      <c r="E660" t="s">
        <v>348</v>
      </c>
      <c r="F660">
        <v>1</v>
      </c>
      <c r="G660">
        <v>2024</v>
      </c>
      <c r="I660" s="8">
        <v>177.09</v>
      </c>
      <c r="J660" t="s">
        <v>52</v>
      </c>
      <c r="K660" t="s">
        <v>47</v>
      </c>
      <c r="M660">
        <v>1</v>
      </c>
      <c r="N660">
        <v>0</v>
      </c>
      <c r="O660">
        <v>0</v>
      </c>
      <c r="P660">
        <v>0</v>
      </c>
      <c r="Q660">
        <v>0</v>
      </c>
      <c r="R660">
        <v>0</v>
      </c>
      <c r="S660">
        <v>1</v>
      </c>
      <c r="T660">
        <v>1</v>
      </c>
      <c r="U660">
        <v>1</v>
      </c>
      <c r="V660">
        <v>0</v>
      </c>
      <c r="W660" t="s">
        <v>1548</v>
      </c>
      <c r="X660" t="s">
        <v>1716</v>
      </c>
      <c r="Y660">
        <v>1</v>
      </c>
      <c r="Z660">
        <v>0</v>
      </c>
      <c r="AA660">
        <v>2007</v>
      </c>
      <c r="AB660">
        <v>9999</v>
      </c>
      <c r="AC660" t="s">
        <v>35</v>
      </c>
    </row>
    <row r="661" spans="1:29" x14ac:dyDescent="0.25">
      <c r="A661" s="31" t="s">
        <v>505</v>
      </c>
      <c r="B661" s="23" t="s">
        <v>506</v>
      </c>
      <c r="D661">
        <v>1</v>
      </c>
      <c r="E661" t="s">
        <v>348</v>
      </c>
      <c r="F661">
        <v>1</v>
      </c>
      <c r="G661">
        <v>2024</v>
      </c>
      <c r="I661" s="8">
        <v>218.57</v>
      </c>
      <c r="J661" t="s">
        <v>52</v>
      </c>
      <c r="K661" t="s">
        <v>47</v>
      </c>
      <c r="M661">
        <v>1</v>
      </c>
      <c r="N661">
        <v>0</v>
      </c>
      <c r="O661">
        <v>0</v>
      </c>
      <c r="P661">
        <v>0</v>
      </c>
      <c r="Q661">
        <v>0</v>
      </c>
      <c r="R661">
        <v>0</v>
      </c>
      <c r="S661">
        <v>1</v>
      </c>
      <c r="T661">
        <v>1</v>
      </c>
      <c r="U661">
        <v>1</v>
      </c>
      <c r="V661">
        <v>0</v>
      </c>
      <c r="W661" t="s">
        <v>1548</v>
      </c>
      <c r="X661" t="s">
        <v>1716</v>
      </c>
      <c r="Y661">
        <v>2</v>
      </c>
      <c r="Z661">
        <v>0</v>
      </c>
      <c r="AA661">
        <v>2007</v>
      </c>
      <c r="AB661">
        <v>9999</v>
      </c>
      <c r="AC661" t="s">
        <v>35</v>
      </c>
    </row>
    <row r="662" spans="1:29" x14ac:dyDescent="0.25">
      <c r="A662" s="31" t="s">
        <v>507</v>
      </c>
      <c r="B662" s="23" t="s">
        <v>508</v>
      </c>
      <c r="D662">
        <v>1</v>
      </c>
      <c r="E662" t="s">
        <v>348</v>
      </c>
      <c r="F662">
        <v>1</v>
      </c>
      <c r="G662">
        <v>2024</v>
      </c>
      <c r="I662" s="8">
        <v>226.13</v>
      </c>
      <c r="J662" t="s">
        <v>52</v>
      </c>
      <c r="K662" t="s">
        <v>47</v>
      </c>
      <c r="M662">
        <v>1</v>
      </c>
      <c r="N662">
        <v>0</v>
      </c>
      <c r="O662">
        <v>0</v>
      </c>
      <c r="P662">
        <v>0</v>
      </c>
      <c r="Q662">
        <v>0</v>
      </c>
      <c r="R662">
        <v>0</v>
      </c>
      <c r="S662">
        <v>1</v>
      </c>
      <c r="T662">
        <v>1</v>
      </c>
      <c r="U662">
        <v>1</v>
      </c>
      <c r="V662">
        <v>0</v>
      </c>
      <c r="W662" t="s">
        <v>1548</v>
      </c>
      <c r="X662" t="s">
        <v>1716</v>
      </c>
      <c r="Y662">
        <v>1</v>
      </c>
      <c r="Z662">
        <v>0</v>
      </c>
      <c r="AA662">
        <v>2007</v>
      </c>
      <c r="AB662">
        <v>9999</v>
      </c>
      <c r="AC662" t="s">
        <v>35</v>
      </c>
    </row>
    <row r="663" spans="1:29" x14ac:dyDescent="0.25">
      <c r="A663" s="31" t="s">
        <v>509</v>
      </c>
      <c r="B663" s="23" t="s">
        <v>510</v>
      </c>
      <c r="D663">
        <v>1</v>
      </c>
      <c r="E663" t="s">
        <v>348</v>
      </c>
      <c r="F663">
        <v>1</v>
      </c>
      <c r="G663">
        <v>2024</v>
      </c>
      <c r="I663" s="8">
        <v>286.49</v>
      </c>
      <c r="J663" t="s">
        <v>52</v>
      </c>
      <c r="K663" t="s">
        <v>47</v>
      </c>
      <c r="M663">
        <v>1</v>
      </c>
      <c r="N663">
        <v>0</v>
      </c>
      <c r="O663">
        <v>0</v>
      </c>
      <c r="P663">
        <v>0</v>
      </c>
      <c r="Q663">
        <v>0</v>
      </c>
      <c r="R663">
        <v>0</v>
      </c>
      <c r="S663">
        <v>1</v>
      </c>
      <c r="T663">
        <v>1</v>
      </c>
      <c r="U663">
        <v>1</v>
      </c>
      <c r="V663">
        <v>0</v>
      </c>
      <c r="W663" t="s">
        <v>1548</v>
      </c>
      <c r="X663" t="s">
        <v>1716</v>
      </c>
      <c r="Y663">
        <v>3</v>
      </c>
      <c r="Z663">
        <v>0</v>
      </c>
      <c r="AA663">
        <v>2007</v>
      </c>
      <c r="AB663">
        <v>9999</v>
      </c>
      <c r="AC663" t="s">
        <v>35</v>
      </c>
    </row>
    <row r="664" spans="1:29" x14ac:dyDescent="0.25">
      <c r="A664" s="31" t="s">
        <v>511</v>
      </c>
      <c r="B664" s="23" t="s">
        <v>512</v>
      </c>
      <c r="D664">
        <v>1</v>
      </c>
      <c r="E664" t="s">
        <v>348</v>
      </c>
      <c r="F664">
        <v>1</v>
      </c>
      <c r="G664">
        <v>2024</v>
      </c>
      <c r="I664" s="8">
        <v>223.35</v>
      </c>
      <c r="J664" t="s">
        <v>52</v>
      </c>
      <c r="K664" t="s">
        <v>47</v>
      </c>
      <c r="M664">
        <v>1</v>
      </c>
      <c r="N664">
        <v>0</v>
      </c>
      <c r="O664">
        <v>0</v>
      </c>
      <c r="P664">
        <v>0</v>
      </c>
      <c r="Q664">
        <v>0</v>
      </c>
      <c r="R664">
        <v>0</v>
      </c>
      <c r="S664">
        <v>1</v>
      </c>
      <c r="T664">
        <v>1</v>
      </c>
      <c r="U664">
        <v>1</v>
      </c>
      <c r="V664">
        <v>0</v>
      </c>
      <c r="W664" t="s">
        <v>1548</v>
      </c>
      <c r="X664" t="s">
        <v>1716</v>
      </c>
      <c r="Y664">
        <v>3</v>
      </c>
      <c r="Z664">
        <v>0</v>
      </c>
      <c r="AA664">
        <v>2007</v>
      </c>
      <c r="AB664">
        <v>9999</v>
      </c>
      <c r="AC664" t="s">
        <v>35</v>
      </c>
    </row>
    <row r="665" spans="1:29" x14ac:dyDescent="0.25">
      <c r="A665" s="31" t="s">
        <v>513</v>
      </c>
      <c r="B665" s="23" t="s">
        <v>514</v>
      </c>
      <c r="D665">
        <v>1</v>
      </c>
      <c r="E665" t="s">
        <v>348</v>
      </c>
      <c r="F665">
        <v>1</v>
      </c>
      <c r="G665">
        <v>2024</v>
      </c>
      <c r="I665" s="8">
        <v>185.55</v>
      </c>
      <c r="J665" t="s">
        <v>52</v>
      </c>
      <c r="K665" t="s">
        <v>47</v>
      </c>
      <c r="M665">
        <v>1</v>
      </c>
      <c r="N665">
        <v>0</v>
      </c>
      <c r="O665">
        <v>0</v>
      </c>
      <c r="P665">
        <v>0</v>
      </c>
      <c r="Q665">
        <v>0</v>
      </c>
      <c r="R665">
        <v>0</v>
      </c>
      <c r="S665">
        <v>1</v>
      </c>
      <c r="T665">
        <v>1</v>
      </c>
      <c r="U665">
        <v>1</v>
      </c>
      <c r="V665">
        <v>0</v>
      </c>
      <c r="W665" t="s">
        <v>1548</v>
      </c>
      <c r="X665" t="s">
        <v>1716</v>
      </c>
      <c r="Y665">
        <v>2</v>
      </c>
      <c r="Z665">
        <v>0</v>
      </c>
      <c r="AA665">
        <v>2007</v>
      </c>
      <c r="AB665">
        <v>9999</v>
      </c>
      <c r="AC665" t="s">
        <v>35</v>
      </c>
    </row>
    <row r="666" spans="1:29" x14ac:dyDescent="0.25">
      <c r="A666" s="31" t="s">
        <v>515</v>
      </c>
      <c r="B666" s="23" t="s">
        <v>516</v>
      </c>
      <c r="D666">
        <v>1</v>
      </c>
      <c r="E666" t="s">
        <v>348</v>
      </c>
      <c r="F666">
        <v>1</v>
      </c>
      <c r="G666">
        <v>2024</v>
      </c>
      <c r="I666" s="8">
        <v>981.12</v>
      </c>
      <c r="J666" t="s">
        <v>52</v>
      </c>
      <c r="K666" t="s">
        <v>47</v>
      </c>
      <c r="M666">
        <v>1</v>
      </c>
      <c r="N666">
        <v>0</v>
      </c>
      <c r="O666">
        <v>0</v>
      </c>
      <c r="P666">
        <v>0</v>
      </c>
      <c r="Q666">
        <v>0</v>
      </c>
      <c r="R666">
        <v>0</v>
      </c>
      <c r="S666">
        <v>1</v>
      </c>
      <c r="T666">
        <v>1</v>
      </c>
      <c r="U666">
        <v>1</v>
      </c>
      <c r="V666">
        <v>0</v>
      </c>
      <c r="W666" t="s">
        <v>1548</v>
      </c>
      <c r="X666" t="s">
        <v>1716</v>
      </c>
      <c r="Y666">
        <v>3</v>
      </c>
      <c r="Z666">
        <v>0</v>
      </c>
      <c r="AA666">
        <v>2007</v>
      </c>
      <c r="AB666">
        <v>9999</v>
      </c>
      <c r="AC666" t="s">
        <v>35</v>
      </c>
    </row>
    <row r="667" spans="1:29" x14ac:dyDescent="0.25">
      <c r="A667" s="31" t="s">
        <v>517</v>
      </c>
      <c r="B667" s="23" t="s">
        <v>518</v>
      </c>
      <c r="D667">
        <v>1</v>
      </c>
      <c r="E667" t="s">
        <v>348</v>
      </c>
      <c r="F667">
        <v>1</v>
      </c>
      <c r="G667">
        <v>2024</v>
      </c>
      <c r="I667" s="8">
        <v>206.16</v>
      </c>
      <c r="J667" t="s">
        <v>52</v>
      </c>
      <c r="K667" t="s">
        <v>47</v>
      </c>
      <c r="M667">
        <v>1</v>
      </c>
      <c r="N667">
        <v>0</v>
      </c>
      <c r="O667">
        <v>0</v>
      </c>
      <c r="P667">
        <v>0</v>
      </c>
      <c r="Q667">
        <v>0</v>
      </c>
      <c r="R667">
        <v>0</v>
      </c>
      <c r="S667">
        <v>1</v>
      </c>
      <c r="T667">
        <v>1</v>
      </c>
      <c r="U667">
        <v>1</v>
      </c>
      <c r="V667">
        <v>0</v>
      </c>
      <c r="W667" t="s">
        <v>1548</v>
      </c>
      <c r="X667" t="s">
        <v>1716</v>
      </c>
      <c r="Y667">
        <v>3</v>
      </c>
      <c r="Z667">
        <v>0</v>
      </c>
      <c r="AA667">
        <v>2007</v>
      </c>
      <c r="AB667">
        <v>9999</v>
      </c>
      <c r="AC667" t="s">
        <v>35</v>
      </c>
    </row>
    <row r="668" spans="1:29" x14ac:dyDescent="0.25">
      <c r="A668" s="31" t="s">
        <v>519</v>
      </c>
      <c r="B668" s="23" t="s">
        <v>520</v>
      </c>
      <c r="D668">
        <v>1</v>
      </c>
      <c r="E668" t="s">
        <v>348</v>
      </c>
      <c r="F668">
        <v>1</v>
      </c>
      <c r="G668">
        <v>2024</v>
      </c>
      <c r="I668" s="8">
        <v>333.73</v>
      </c>
      <c r="J668" t="s">
        <v>52</v>
      </c>
      <c r="K668" t="s">
        <v>47</v>
      </c>
      <c r="M668">
        <v>1</v>
      </c>
      <c r="N668">
        <v>0</v>
      </c>
      <c r="O668">
        <v>0</v>
      </c>
      <c r="P668">
        <v>0</v>
      </c>
      <c r="Q668">
        <v>0</v>
      </c>
      <c r="R668">
        <v>0</v>
      </c>
      <c r="S668">
        <v>1</v>
      </c>
      <c r="T668">
        <v>1</v>
      </c>
      <c r="U668">
        <v>1</v>
      </c>
      <c r="V668">
        <v>0</v>
      </c>
      <c r="W668" t="s">
        <v>1548</v>
      </c>
      <c r="X668" t="s">
        <v>1716</v>
      </c>
      <c r="Y668">
        <v>2</v>
      </c>
      <c r="Z668">
        <v>0</v>
      </c>
      <c r="AA668">
        <v>2007</v>
      </c>
      <c r="AB668">
        <v>9999</v>
      </c>
      <c r="AC668" t="s">
        <v>35</v>
      </c>
    </row>
    <row r="669" spans="1:29" x14ac:dyDescent="0.25">
      <c r="A669" s="31" t="s">
        <v>523</v>
      </c>
      <c r="B669" s="23" t="s">
        <v>1549</v>
      </c>
      <c r="D669">
        <v>1</v>
      </c>
      <c r="E669" t="s">
        <v>103</v>
      </c>
      <c r="F669">
        <v>9</v>
      </c>
      <c r="G669">
        <v>2024</v>
      </c>
      <c r="I669" s="8">
        <v>1658.01</v>
      </c>
      <c r="J669" t="s">
        <v>104</v>
      </c>
      <c r="K669" t="s">
        <v>53</v>
      </c>
      <c r="L669" t="s">
        <v>105</v>
      </c>
      <c r="M669">
        <v>0</v>
      </c>
      <c r="N669">
        <v>0</v>
      </c>
      <c r="O669">
        <v>0</v>
      </c>
      <c r="P669">
        <v>1</v>
      </c>
      <c r="Q669">
        <v>0</v>
      </c>
      <c r="R669">
        <v>0</v>
      </c>
      <c r="S669">
        <v>1</v>
      </c>
      <c r="T669">
        <v>1</v>
      </c>
      <c r="U669">
        <v>1</v>
      </c>
      <c r="V669">
        <v>0</v>
      </c>
      <c r="W669" t="s">
        <v>106</v>
      </c>
      <c r="X669" t="s">
        <v>1427</v>
      </c>
      <c r="Y669">
        <v>0</v>
      </c>
      <c r="Z669">
        <v>0</v>
      </c>
      <c r="AA669">
        <v>2007</v>
      </c>
      <c r="AB669">
        <v>9999</v>
      </c>
      <c r="AC669" t="s">
        <v>35</v>
      </c>
    </row>
    <row r="670" spans="1:29" x14ac:dyDescent="0.25">
      <c r="A670" s="31" t="s">
        <v>1362</v>
      </c>
      <c r="B670" s="23" t="s">
        <v>1717</v>
      </c>
      <c r="D670">
        <v>1</v>
      </c>
      <c r="E670" s="18" t="s">
        <v>631</v>
      </c>
      <c r="F670">
        <v>8</v>
      </c>
      <c r="G670">
        <v>2024</v>
      </c>
      <c r="I670" s="8">
        <v>59.95</v>
      </c>
      <c r="J670" t="s">
        <v>81</v>
      </c>
      <c r="K670" t="s">
        <v>47</v>
      </c>
      <c r="M670">
        <v>1</v>
      </c>
      <c r="N670">
        <v>0</v>
      </c>
      <c r="O670">
        <v>0</v>
      </c>
      <c r="P670">
        <v>0</v>
      </c>
      <c r="Q670">
        <v>0</v>
      </c>
      <c r="R670">
        <v>0</v>
      </c>
      <c r="S670">
        <v>1</v>
      </c>
      <c r="T670">
        <v>1</v>
      </c>
      <c r="U670">
        <v>1</v>
      </c>
      <c r="V670">
        <v>0</v>
      </c>
      <c r="W670" t="s">
        <v>1718</v>
      </c>
      <c r="X670" t="s">
        <v>1719</v>
      </c>
      <c r="Y670">
        <v>2</v>
      </c>
      <c r="Z670">
        <v>0</v>
      </c>
      <c r="AA670">
        <v>2024</v>
      </c>
      <c r="AB670">
        <v>9999</v>
      </c>
      <c r="AC670" t="s">
        <v>1720</v>
      </c>
    </row>
    <row r="671" spans="1:29" x14ac:dyDescent="0.25">
      <c r="A671" s="31" t="s">
        <v>529</v>
      </c>
      <c r="B671" s="23" t="s">
        <v>530</v>
      </c>
      <c r="D671">
        <v>1</v>
      </c>
      <c r="E671" t="s">
        <v>58</v>
      </c>
      <c r="F671">
        <v>4</v>
      </c>
      <c r="G671">
        <v>2024</v>
      </c>
      <c r="I671" s="8">
        <v>13</v>
      </c>
      <c r="J671" t="s">
        <v>59</v>
      </c>
      <c r="K671" t="s">
        <v>47</v>
      </c>
      <c r="M671">
        <v>1</v>
      </c>
      <c r="N671">
        <v>0</v>
      </c>
      <c r="O671">
        <v>0</v>
      </c>
      <c r="P671">
        <v>0</v>
      </c>
      <c r="Q671">
        <v>0</v>
      </c>
      <c r="R671">
        <v>0</v>
      </c>
      <c r="S671">
        <v>1</v>
      </c>
      <c r="T671">
        <v>1</v>
      </c>
      <c r="U671">
        <v>1</v>
      </c>
      <c r="V671">
        <v>0</v>
      </c>
      <c r="W671" t="s">
        <v>1121</v>
      </c>
      <c r="X671" t="s">
        <v>1721</v>
      </c>
      <c r="Y671">
        <v>0</v>
      </c>
      <c r="Z671">
        <v>0</v>
      </c>
      <c r="AA671">
        <v>2007</v>
      </c>
      <c r="AB671">
        <v>9999</v>
      </c>
      <c r="AC671" t="s">
        <v>35</v>
      </c>
    </row>
    <row r="672" spans="1:29" x14ac:dyDescent="0.25">
      <c r="A672" s="31" t="s">
        <v>532</v>
      </c>
      <c r="B672" s="23" t="s">
        <v>533</v>
      </c>
      <c r="D672">
        <v>1</v>
      </c>
      <c r="E672" t="s">
        <v>534</v>
      </c>
      <c r="F672">
        <v>10</v>
      </c>
      <c r="G672">
        <v>2024</v>
      </c>
      <c r="I672" s="8">
        <v>5080.57</v>
      </c>
      <c r="J672" t="s">
        <v>121</v>
      </c>
      <c r="K672" t="s">
        <v>47</v>
      </c>
      <c r="M672">
        <v>1</v>
      </c>
      <c r="N672">
        <v>1</v>
      </c>
      <c r="O672">
        <v>0</v>
      </c>
      <c r="P672">
        <v>0</v>
      </c>
      <c r="Q672">
        <v>0</v>
      </c>
      <c r="R672">
        <v>0</v>
      </c>
      <c r="S672">
        <v>1</v>
      </c>
      <c r="T672">
        <v>1</v>
      </c>
      <c r="U672">
        <v>1</v>
      </c>
      <c r="V672">
        <v>0</v>
      </c>
      <c r="W672" t="s">
        <v>1575</v>
      </c>
      <c r="X672" t="s">
        <v>1722</v>
      </c>
      <c r="Y672">
        <v>0</v>
      </c>
      <c r="Z672">
        <v>1</v>
      </c>
      <c r="AA672">
        <v>2007</v>
      </c>
      <c r="AB672">
        <v>9999</v>
      </c>
      <c r="AC672" t="s">
        <v>35</v>
      </c>
    </row>
    <row r="673" spans="1:29" x14ac:dyDescent="0.25">
      <c r="A673" s="31" t="s">
        <v>536</v>
      </c>
      <c r="B673" s="23" t="s">
        <v>537</v>
      </c>
      <c r="D673">
        <v>1</v>
      </c>
      <c r="E673" t="s">
        <v>103</v>
      </c>
      <c r="F673">
        <v>9</v>
      </c>
      <c r="G673">
        <v>2024</v>
      </c>
      <c r="I673" s="8">
        <v>950.43</v>
      </c>
      <c r="J673" t="s">
        <v>104</v>
      </c>
      <c r="K673" t="s">
        <v>53</v>
      </c>
      <c r="L673" t="s">
        <v>105</v>
      </c>
      <c r="M673">
        <v>0</v>
      </c>
      <c r="N673">
        <v>0</v>
      </c>
      <c r="O673">
        <v>0</v>
      </c>
      <c r="P673">
        <v>1</v>
      </c>
      <c r="Q673">
        <v>0</v>
      </c>
      <c r="R673">
        <v>0</v>
      </c>
      <c r="S673">
        <v>1</v>
      </c>
      <c r="T673">
        <v>1</v>
      </c>
      <c r="U673">
        <v>1</v>
      </c>
      <c r="V673">
        <v>0</v>
      </c>
      <c r="W673" t="s">
        <v>106</v>
      </c>
      <c r="X673" t="s">
        <v>1427</v>
      </c>
      <c r="Y673">
        <v>0</v>
      </c>
      <c r="Z673">
        <v>0</v>
      </c>
      <c r="AA673">
        <v>2007</v>
      </c>
      <c r="AB673">
        <v>9999</v>
      </c>
      <c r="AC673" t="s">
        <v>35</v>
      </c>
    </row>
    <row r="674" spans="1:29" x14ac:dyDescent="0.25">
      <c r="A674" s="31" t="s">
        <v>538</v>
      </c>
      <c r="B674" s="23" t="s">
        <v>539</v>
      </c>
      <c r="D674">
        <v>1</v>
      </c>
      <c r="E674" t="s">
        <v>80</v>
      </c>
      <c r="F674">
        <v>8</v>
      </c>
      <c r="G674">
        <v>2024</v>
      </c>
      <c r="I674" s="8">
        <v>127.78</v>
      </c>
      <c r="J674" t="s">
        <v>81</v>
      </c>
      <c r="K674" t="s">
        <v>47</v>
      </c>
      <c r="M674">
        <v>0</v>
      </c>
      <c r="N674">
        <v>0</v>
      </c>
      <c r="O674">
        <v>0</v>
      </c>
      <c r="P674">
        <v>0</v>
      </c>
      <c r="Q674">
        <v>0</v>
      </c>
      <c r="R674">
        <v>0</v>
      </c>
      <c r="S674">
        <v>1</v>
      </c>
      <c r="T674">
        <v>1</v>
      </c>
      <c r="U674">
        <v>1</v>
      </c>
      <c r="V674">
        <v>0</v>
      </c>
      <c r="W674" t="s">
        <v>1123</v>
      </c>
      <c r="X674" t="s">
        <v>1723</v>
      </c>
      <c r="Y674">
        <v>0</v>
      </c>
      <c r="Z674">
        <v>0</v>
      </c>
      <c r="AA674">
        <v>2007</v>
      </c>
      <c r="AB674">
        <v>9999</v>
      </c>
      <c r="AC674" t="s">
        <v>35</v>
      </c>
    </row>
    <row r="675" spans="1:29" x14ac:dyDescent="0.25">
      <c r="A675" s="31" t="s">
        <v>1561</v>
      </c>
      <c r="B675" s="23" t="s">
        <v>1562</v>
      </c>
      <c r="C675" t="s">
        <v>1563</v>
      </c>
      <c r="D675">
        <v>1</v>
      </c>
      <c r="E675" s="18"/>
      <c r="F675">
        <v>4</v>
      </c>
      <c r="G675">
        <v>2024</v>
      </c>
      <c r="I675" s="8">
        <v>25.2</v>
      </c>
      <c r="J675" t="s">
        <v>59</v>
      </c>
      <c r="K675" t="s">
        <v>47</v>
      </c>
      <c r="M675">
        <v>1</v>
      </c>
      <c r="N675">
        <v>0</v>
      </c>
      <c r="O675">
        <v>0</v>
      </c>
      <c r="P675">
        <v>0</v>
      </c>
      <c r="Q675">
        <v>0</v>
      </c>
      <c r="R675">
        <v>0</v>
      </c>
      <c r="S675">
        <v>1</v>
      </c>
      <c r="T675">
        <v>1</v>
      </c>
      <c r="U675">
        <v>1</v>
      </c>
      <c r="V675">
        <v>0</v>
      </c>
      <c r="W675" t="s">
        <v>1564</v>
      </c>
      <c r="X675" t="s">
        <v>1724</v>
      </c>
      <c r="Y675">
        <v>0</v>
      </c>
      <c r="Z675">
        <v>0</v>
      </c>
      <c r="AA675">
        <v>2019</v>
      </c>
      <c r="AB675">
        <v>9999</v>
      </c>
      <c r="AC675" t="s">
        <v>1560</v>
      </c>
    </row>
    <row r="676" spans="1:29" x14ac:dyDescent="0.25">
      <c r="A676" s="31" t="s">
        <v>541</v>
      </c>
      <c r="B676" s="23" t="s">
        <v>1479</v>
      </c>
      <c r="D676">
        <v>1</v>
      </c>
      <c r="E676" t="s">
        <v>543</v>
      </c>
      <c r="F676">
        <v>10</v>
      </c>
      <c r="G676">
        <v>2024</v>
      </c>
      <c r="I676" s="8">
        <v>39.75</v>
      </c>
      <c r="J676" t="s">
        <v>40</v>
      </c>
      <c r="K676" t="s">
        <v>47</v>
      </c>
      <c r="M676">
        <v>1</v>
      </c>
      <c r="N676">
        <v>0</v>
      </c>
      <c r="O676">
        <v>0</v>
      </c>
      <c r="P676">
        <v>0</v>
      </c>
      <c r="Q676">
        <v>0</v>
      </c>
      <c r="R676">
        <v>0</v>
      </c>
      <c r="S676">
        <v>1</v>
      </c>
      <c r="T676">
        <v>1</v>
      </c>
      <c r="U676">
        <v>1</v>
      </c>
      <c r="V676">
        <v>0</v>
      </c>
      <c r="W676" t="s">
        <v>1725</v>
      </c>
      <c r="X676" t="s">
        <v>1726</v>
      </c>
      <c r="Y676">
        <v>0</v>
      </c>
      <c r="Z676">
        <v>1</v>
      </c>
      <c r="AA676">
        <v>2007</v>
      </c>
      <c r="AB676">
        <v>9999</v>
      </c>
      <c r="AC676" t="s">
        <v>35</v>
      </c>
    </row>
    <row r="677" spans="1:29" x14ac:dyDescent="0.25">
      <c r="A677" s="31" t="s">
        <v>1565</v>
      </c>
      <c r="B677" s="23" t="s">
        <v>1566</v>
      </c>
      <c r="C677" t="s">
        <v>1567</v>
      </c>
      <c r="D677">
        <v>1</v>
      </c>
      <c r="E677" s="18"/>
      <c r="F677">
        <v>1</v>
      </c>
      <c r="G677">
        <v>2024</v>
      </c>
      <c r="I677" s="8">
        <v>129.5</v>
      </c>
      <c r="J677" t="s">
        <v>52</v>
      </c>
      <c r="K677" t="s">
        <v>47</v>
      </c>
      <c r="M677">
        <v>0</v>
      </c>
      <c r="N677">
        <v>0</v>
      </c>
      <c r="O677">
        <v>0</v>
      </c>
      <c r="P677">
        <v>0</v>
      </c>
      <c r="Q677">
        <v>0</v>
      </c>
      <c r="R677">
        <v>0</v>
      </c>
      <c r="S677">
        <v>1</v>
      </c>
      <c r="T677">
        <v>1</v>
      </c>
      <c r="U677">
        <v>1</v>
      </c>
      <c r="V677">
        <v>0</v>
      </c>
      <c r="W677" t="s">
        <v>1568</v>
      </c>
      <c r="X677" t="s">
        <v>1727</v>
      </c>
      <c r="Y677">
        <v>0</v>
      </c>
      <c r="Z677">
        <v>1</v>
      </c>
      <c r="AA677">
        <v>2019</v>
      </c>
      <c r="AB677">
        <v>9999</v>
      </c>
      <c r="AC677" t="s">
        <v>1560</v>
      </c>
    </row>
    <row r="678" spans="1:29" x14ac:dyDescent="0.25">
      <c r="A678" s="31" t="s">
        <v>545</v>
      </c>
      <c r="B678" s="23" t="s">
        <v>1481</v>
      </c>
      <c r="C678" t="s">
        <v>1482</v>
      </c>
      <c r="D678">
        <v>1</v>
      </c>
      <c r="E678" t="s">
        <v>1361</v>
      </c>
      <c r="F678">
        <v>10</v>
      </c>
      <c r="G678">
        <v>2024</v>
      </c>
      <c r="I678" s="8">
        <v>39.549999999999997</v>
      </c>
      <c r="J678" t="s">
        <v>40</v>
      </c>
      <c r="K678" t="s">
        <v>47</v>
      </c>
      <c r="M678">
        <v>1</v>
      </c>
      <c r="N678">
        <v>0</v>
      </c>
      <c r="O678">
        <v>0</v>
      </c>
      <c r="P678">
        <v>0</v>
      </c>
      <c r="Q678">
        <v>0</v>
      </c>
      <c r="R678">
        <v>0</v>
      </c>
      <c r="S678">
        <v>1</v>
      </c>
      <c r="T678">
        <v>1</v>
      </c>
      <c r="U678">
        <v>1</v>
      </c>
      <c r="V678">
        <v>0</v>
      </c>
      <c r="W678" t="s">
        <v>1550</v>
      </c>
      <c r="X678" t="s">
        <v>1728</v>
      </c>
      <c r="Y678">
        <v>0</v>
      </c>
      <c r="Z678">
        <v>0</v>
      </c>
      <c r="AA678">
        <v>2007</v>
      </c>
      <c r="AB678">
        <v>9999</v>
      </c>
      <c r="AC678" t="s">
        <v>35</v>
      </c>
    </row>
    <row r="679" spans="1:29" x14ac:dyDescent="0.25">
      <c r="A679" s="31" t="s">
        <v>1400</v>
      </c>
      <c r="B679" s="23" t="s">
        <v>1401</v>
      </c>
      <c r="D679">
        <v>1</v>
      </c>
      <c r="E679" t="s">
        <v>80</v>
      </c>
      <c r="F679">
        <v>8</v>
      </c>
      <c r="G679">
        <v>2024</v>
      </c>
      <c r="I679" s="8">
        <v>13.4</v>
      </c>
      <c r="J679" t="s">
        <v>81</v>
      </c>
      <c r="K679" t="s">
        <v>47</v>
      </c>
      <c r="M679">
        <v>1</v>
      </c>
      <c r="N679">
        <v>0</v>
      </c>
      <c r="O679">
        <v>0</v>
      </c>
      <c r="P679">
        <v>0</v>
      </c>
      <c r="Q679">
        <v>0</v>
      </c>
      <c r="R679">
        <v>0</v>
      </c>
      <c r="S679">
        <v>1</v>
      </c>
      <c r="T679">
        <v>1</v>
      </c>
      <c r="U679">
        <v>1</v>
      </c>
      <c r="V679">
        <v>0</v>
      </c>
      <c r="W679" t="s">
        <v>1402</v>
      </c>
      <c r="X679" t="s">
        <v>1729</v>
      </c>
      <c r="Y679">
        <v>0</v>
      </c>
      <c r="Z679">
        <v>0</v>
      </c>
      <c r="AA679">
        <v>2012</v>
      </c>
      <c r="AB679">
        <v>9999</v>
      </c>
      <c r="AC679" t="s">
        <v>1398</v>
      </c>
    </row>
    <row r="680" spans="1:29" x14ac:dyDescent="0.25">
      <c r="A680" s="31" t="s">
        <v>1596</v>
      </c>
      <c r="B680" s="23" t="s">
        <v>1597</v>
      </c>
      <c r="D680">
        <v>1</v>
      </c>
      <c r="E680" t="s">
        <v>1251</v>
      </c>
      <c r="F680">
        <v>2</v>
      </c>
      <c r="G680">
        <v>2024</v>
      </c>
      <c r="I680" s="8">
        <v>54.5</v>
      </c>
      <c r="J680" t="s">
        <v>147</v>
      </c>
      <c r="K680" t="s">
        <v>47</v>
      </c>
      <c r="M680">
        <v>1</v>
      </c>
      <c r="N680">
        <v>0</v>
      </c>
      <c r="O680">
        <v>0</v>
      </c>
      <c r="P680">
        <v>0</v>
      </c>
      <c r="Q680">
        <v>0</v>
      </c>
      <c r="R680">
        <v>0</v>
      </c>
      <c r="S680">
        <v>1</v>
      </c>
      <c r="T680">
        <v>1</v>
      </c>
      <c r="U680">
        <v>1</v>
      </c>
      <c r="V680">
        <v>0</v>
      </c>
      <c r="W680" t="s">
        <v>1598</v>
      </c>
      <c r="X680" t="s">
        <v>1730</v>
      </c>
      <c r="Y680">
        <v>0</v>
      </c>
      <c r="Z680">
        <v>0</v>
      </c>
      <c r="AA680">
        <v>2022</v>
      </c>
      <c r="AB680">
        <v>9999</v>
      </c>
      <c r="AC680" t="s">
        <v>1591</v>
      </c>
    </row>
    <row r="681" spans="1:29" x14ac:dyDescent="0.25">
      <c r="A681" s="31" t="s">
        <v>1248</v>
      </c>
      <c r="B681" s="23" t="s">
        <v>1249</v>
      </c>
      <c r="C681" t="s">
        <v>1250</v>
      </c>
      <c r="D681">
        <v>1</v>
      </c>
      <c r="E681" t="s">
        <v>1251</v>
      </c>
      <c r="F681">
        <v>2</v>
      </c>
      <c r="G681">
        <v>2024</v>
      </c>
      <c r="I681" s="8">
        <v>1190.22</v>
      </c>
      <c r="J681" t="s">
        <v>147</v>
      </c>
      <c r="K681" t="s">
        <v>47</v>
      </c>
      <c r="M681">
        <v>1</v>
      </c>
      <c r="N681">
        <v>1</v>
      </c>
      <c r="O681">
        <v>0</v>
      </c>
      <c r="P681">
        <v>0</v>
      </c>
      <c r="Q681">
        <v>0</v>
      </c>
      <c r="R681">
        <v>0</v>
      </c>
      <c r="S681">
        <v>1</v>
      </c>
      <c r="T681">
        <v>1</v>
      </c>
      <c r="U681">
        <v>1</v>
      </c>
      <c r="V681">
        <v>0</v>
      </c>
      <c r="W681" t="s">
        <v>1252</v>
      </c>
      <c r="X681" t="s">
        <v>1731</v>
      </c>
      <c r="Y681">
        <v>1</v>
      </c>
      <c r="Z681">
        <v>0</v>
      </c>
      <c r="AA681">
        <v>2009</v>
      </c>
      <c r="AB681">
        <v>9999</v>
      </c>
      <c r="AC681" t="s">
        <v>1239</v>
      </c>
    </row>
    <row r="682" spans="1:29" x14ac:dyDescent="0.25">
      <c r="A682" s="31" t="s">
        <v>590</v>
      </c>
      <c r="B682" s="23" t="s">
        <v>1551</v>
      </c>
      <c r="C682" t="s">
        <v>1552</v>
      </c>
      <c r="D682">
        <v>1</v>
      </c>
      <c r="E682" t="s">
        <v>592</v>
      </c>
      <c r="F682">
        <v>8</v>
      </c>
      <c r="G682">
        <v>2024</v>
      </c>
      <c r="I682" s="8">
        <v>16.8</v>
      </c>
      <c r="J682" t="s">
        <v>40</v>
      </c>
      <c r="K682" t="s">
        <v>47</v>
      </c>
      <c r="M682">
        <v>0</v>
      </c>
      <c r="N682">
        <v>0</v>
      </c>
      <c r="O682">
        <v>0</v>
      </c>
      <c r="P682">
        <v>0</v>
      </c>
      <c r="Q682">
        <v>0</v>
      </c>
      <c r="R682">
        <v>0</v>
      </c>
      <c r="S682">
        <v>1</v>
      </c>
      <c r="T682">
        <v>1</v>
      </c>
      <c r="U682">
        <v>1</v>
      </c>
      <c r="V682">
        <v>0</v>
      </c>
      <c r="W682" t="s">
        <v>1553</v>
      </c>
      <c r="X682" t="s">
        <v>1732</v>
      </c>
      <c r="Y682">
        <v>1</v>
      </c>
      <c r="Z682">
        <v>1</v>
      </c>
      <c r="AA682">
        <v>2007</v>
      </c>
      <c r="AB682">
        <v>9999</v>
      </c>
      <c r="AC682" t="s">
        <v>35</v>
      </c>
    </row>
    <row r="683" spans="1:29" x14ac:dyDescent="0.25">
      <c r="A683" s="31" t="s">
        <v>939</v>
      </c>
      <c r="B683" s="23" t="s">
        <v>1463</v>
      </c>
      <c r="D683">
        <v>1</v>
      </c>
      <c r="E683" t="s">
        <v>80</v>
      </c>
      <c r="F683">
        <v>8</v>
      </c>
      <c r="G683">
        <v>2024</v>
      </c>
      <c r="I683" s="8">
        <v>81.650000000000006</v>
      </c>
      <c r="J683" t="s">
        <v>81</v>
      </c>
      <c r="K683" t="s">
        <v>47</v>
      </c>
      <c r="M683">
        <v>1</v>
      </c>
      <c r="N683">
        <v>0</v>
      </c>
      <c r="O683">
        <v>0</v>
      </c>
      <c r="P683">
        <v>0</v>
      </c>
      <c r="Q683">
        <v>0</v>
      </c>
      <c r="R683">
        <v>0</v>
      </c>
      <c r="S683">
        <v>1</v>
      </c>
      <c r="T683">
        <v>1</v>
      </c>
      <c r="U683">
        <v>1</v>
      </c>
      <c r="V683">
        <v>0</v>
      </c>
      <c r="W683" t="s">
        <v>1464</v>
      </c>
      <c r="X683" t="s">
        <v>1733</v>
      </c>
      <c r="Y683">
        <v>1</v>
      </c>
      <c r="Z683">
        <v>3</v>
      </c>
      <c r="AA683">
        <v>2007</v>
      </c>
      <c r="AB683">
        <v>9999</v>
      </c>
      <c r="AC683" t="s">
        <v>35</v>
      </c>
    </row>
    <row r="684" spans="1:29" ht="30" x14ac:dyDescent="0.25">
      <c r="A684" s="31" t="s">
        <v>1305</v>
      </c>
      <c r="B684" s="23" t="s">
        <v>1306</v>
      </c>
      <c r="C684" t="s">
        <v>1307</v>
      </c>
      <c r="D684">
        <v>1</v>
      </c>
      <c r="E684" t="s">
        <v>45</v>
      </c>
      <c r="F684">
        <v>4</v>
      </c>
      <c r="G684">
        <v>2024</v>
      </c>
      <c r="I684" s="8">
        <v>44.35</v>
      </c>
      <c r="J684" t="s">
        <v>1610</v>
      </c>
      <c r="K684" t="s">
        <v>47</v>
      </c>
      <c r="M684">
        <v>0</v>
      </c>
      <c r="N684">
        <v>0</v>
      </c>
      <c r="O684">
        <v>0</v>
      </c>
      <c r="P684">
        <v>0</v>
      </c>
      <c r="Q684">
        <v>0</v>
      </c>
      <c r="R684">
        <v>0</v>
      </c>
      <c r="S684">
        <v>1</v>
      </c>
      <c r="T684">
        <v>1</v>
      </c>
      <c r="U684">
        <v>1</v>
      </c>
      <c r="V684">
        <v>0</v>
      </c>
      <c r="W684" t="s">
        <v>1526</v>
      </c>
      <c r="X684" t="s">
        <v>1734</v>
      </c>
      <c r="Y684">
        <v>0</v>
      </c>
      <c r="Z684">
        <v>1</v>
      </c>
      <c r="AA684">
        <v>2010</v>
      </c>
      <c r="AB684">
        <v>9999</v>
      </c>
      <c r="AC684" t="s">
        <v>1292</v>
      </c>
    </row>
    <row r="685" spans="1:29" x14ac:dyDescent="0.25">
      <c r="A685" s="31" t="s">
        <v>1614</v>
      </c>
      <c r="B685" s="23" t="s">
        <v>1615</v>
      </c>
      <c r="D685">
        <v>1</v>
      </c>
      <c r="E685" s="5" t="s">
        <v>314</v>
      </c>
      <c r="F685">
        <v>2</v>
      </c>
      <c r="G685">
        <v>2024</v>
      </c>
      <c r="I685" s="8">
        <v>24</v>
      </c>
      <c r="J685" t="s">
        <v>147</v>
      </c>
      <c r="K685" t="s">
        <v>47</v>
      </c>
      <c r="M685">
        <v>0</v>
      </c>
      <c r="N685">
        <v>0</v>
      </c>
      <c r="O685">
        <v>0</v>
      </c>
      <c r="P685">
        <v>0</v>
      </c>
      <c r="Q685">
        <v>0</v>
      </c>
      <c r="R685">
        <v>0</v>
      </c>
      <c r="S685">
        <v>1</v>
      </c>
      <c r="T685">
        <v>0</v>
      </c>
      <c r="U685">
        <v>0</v>
      </c>
      <c r="V685">
        <v>0</v>
      </c>
      <c r="W685" t="s">
        <v>1616</v>
      </c>
      <c r="X685" t="s">
        <v>1735</v>
      </c>
      <c r="Y685">
        <v>0</v>
      </c>
      <c r="Z685">
        <v>1</v>
      </c>
      <c r="AA685">
        <v>2023</v>
      </c>
      <c r="AB685">
        <v>9999</v>
      </c>
      <c r="AC685" t="s">
        <v>1617</v>
      </c>
    </row>
    <row r="686" spans="1:29" x14ac:dyDescent="0.25">
      <c r="A686" s="31" t="s">
        <v>964</v>
      </c>
      <c r="B686" s="23" t="s">
        <v>1484</v>
      </c>
      <c r="C686" t="s">
        <v>1599</v>
      </c>
      <c r="D686">
        <v>1</v>
      </c>
      <c r="E686" t="s">
        <v>80</v>
      </c>
      <c r="F686">
        <v>8</v>
      </c>
      <c r="G686">
        <v>2024</v>
      </c>
      <c r="I686" s="8">
        <v>115.47</v>
      </c>
      <c r="J686" t="s">
        <v>40</v>
      </c>
      <c r="K686" t="s">
        <v>47</v>
      </c>
      <c r="M686">
        <v>1</v>
      </c>
      <c r="N686">
        <v>0</v>
      </c>
      <c r="O686">
        <v>0</v>
      </c>
      <c r="P686">
        <v>0</v>
      </c>
      <c r="Q686">
        <v>0</v>
      </c>
      <c r="R686">
        <v>0</v>
      </c>
      <c r="S686">
        <v>1</v>
      </c>
      <c r="T686">
        <v>1</v>
      </c>
      <c r="U686">
        <v>1</v>
      </c>
      <c r="V686">
        <v>0</v>
      </c>
      <c r="W686" t="s">
        <v>1569</v>
      </c>
      <c r="X686" t="s">
        <v>1736</v>
      </c>
      <c r="Y686">
        <v>0</v>
      </c>
      <c r="Z686">
        <v>0</v>
      </c>
      <c r="AA686">
        <v>2007</v>
      </c>
      <c r="AB686">
        <v>9999</v>
      </c>
      <c r="AC686" t="s">
        <v>35</v>
      </c>
    </row>
    <row r="687" spans="1:29" x14ac:dyDescent="0.25">
      <c r="A687" s="31" t="s">
        <v>1366</v>
      </c>
      <c r="B687" s="23" t="s">
        <v>1487</v>
      </c>
      <c r="C687" t="s">
        <v>1368</v>
      </c>
      <c r="D687">
        <v>1</v>
      </c>
      <c r="E687" t="s">
        <v>468</v>
      </c>
      <c r="F687">
        <v>7</v>
      </c>
      <c r="G687">
        <v>2024</v>
      </c>
      <c r="I687" s="8">
        <v>41.8</v>
      </c>
      <c r="J687" t="s">
        <v>40</v>
      </c>
      <c r="K687" t="s">
        <v>32</v>
      </c>
      <c r="M687">
        <v>0</v>
      </c>
      <c r="N687">
        <v>0</v>
      </c>
      <c r="O687">
        <v>0</v>
      </c>
      <c r="P687">
        <v>0</v>
      </c>
      <c r="Q687">
        <v>0</v>
      </c>
      <c r="R687">
        <v>0</v>
      </c>
      <c r="S687">
        <v>1</v>
      </c>
      <c r="T687">
        <v>1</v>
      </c>
      <c r="U687">
        <v>1</v>
      </c>
      <c r="V687">
        <v>0</v>
      </c>
      <c r="W687" t="s">
        <v>1369</v>
      </c>
      <c r="X687" t="s">
        <v>1737</v>
      </c>
      <c r="Y687">
        <v>0</v>
      </c>
      <c r="Z687">
        <v>1</v>
      </c>
      <c r="AA687">
        <v>2011</v>
      </c>
      <c r="AB687">
        <v>9999</v>
      </c>
      <c r="AC687" t="s">
        <v>1365</v>
      </c>
    </row>
    <row r="688" spans="1:29" x14ac:dyDescent="0.25">
      <c r="A688" s="31" t="s">
        <v>1309</v>
      </c>
      <c r="B688" s="23" t="s">
        <v>1310</v>
      </c>
      <c r="C688" t="s">
        <v>1311</v>
      </c>
      <c r="D688">
        <v>1</v>
      </c>
      <c r="E688" t="s">
        <v>1312</v>
      </c>
      <c r="F688">
        <v>9</v>
      </c>
      <c r="G688">
        <v>2024</v>
      </c>
      <c r="I688" s="8">
        <v>128.25</v>
      </c>
      <c r="J688" t="s">
        <v>104</v>
      </c>
      <c r="K688" t="s">
        <v>47</v>
      </c>
      <c r="M688">
        <v>1</v>
      </c>
      <c r="N688">
        <v>0</v>
      </c>
      <c r="O688">
        <v>0</v>
      </c>
      <c r="P688">
        <v>0</v>
      </c>
      <c r="Q688">
        <v>0</v>
      </c>
      <c r="R688">
        <v>0</v>
      </c>
      <c r="S688">
        <v>1</v>
      </c>
      <c r="T688">
        <v>1</v>
      </c>
      <c r="U688">
        <v>1</v>
      </c>
      <c r="V688">
        <v>0</v>
      </c>
      <c r="W688" t="s">
        <v>1404</v>
      </c>
      <c r="X688" t="s">
        <v>1738</v>
      </c>
      <c r="Y688">
        <v>0</v>
      </c>
      <c r="Z688">
        <v>3</v>
      </c>
      <c r="AA688">
        <v>2010</v>
      </c>
      <c r="AB688">
        <v>9999</v>
      </c>
      <c r="AC688" t="s">
        <v>1292</v>
      </c>
    </row>
    <row r="689" spans="1:29" x14ac:dyDescent="0.25">
      <c r="A689" s="31" t="s">
        <v>559</v>
      </c>
      <c r="B689" s="23" t="s">
        <v>1600</v>
      </c>
      <c r="C689" t="s">
        <v>1601</v>
      </c>
      <c r="D689">
        <v>1</v>
      </c>
      <c r="E689" t="s">
        <v>103</v>
      </c>
      <c r="F689">
        <v>9</v>
      </c>
      <c r="G689">
        <v>2024</v>
      </c>
      <c r="I689" s="8">
        <v>1061.96</v>
      </c>
      <c r="J689" t="s">
        <v>104</v>
      </c>
      <c r="K689" t="s">
        <v>53</v>
      </c>
      <c r="L689" t="s">
        <v>105</v>
      </c>
      <c r="M689">
        <v>0</v>
      </c>
      <c r="N689">
        <v>0</v>
      </c>
      <c r="O689">
        <v>0</v>
      </c>
      <c r="P689">
        <v>1</v>
      </c>
      <c r="Q689">
        <v>0</v>
      </c>
      <c r="R689">
        <v>0</v>
      </c>
      <c r="S689">
        <v>1</v>
      </c>
      <c r="T689">
        <v>1</v>
      </c>
      <c r="U689">
        <v>1</v>
      </c>
      <c r="V689">
        <v>0</v>
      </c>
      <c r="W689" t="s">
        <v>106</v>
      </c>
      <c r="X689" t="s">
        <v>1427</v>
      </c>
      <c r="Y689">
        <v>0</v>
      </c>
      <c r="Z689">
        <v>0</v>
      </c>
      <c r="AA689">
        <v>2007</v>
      </c>
      <c r="AB689">
        <v>9999</v>
      </c>
      <c r="AC689" t="s">
        <v>35</v>
      </c>
    </row>
    <row r="690" spans="1:29" x14ac:dyDescent="0.25">
      <c r="A690" s="31" t="s">
        <v>562</v>
      </c>
      <c r="B690" s="23" t="s">
        <v>1554</v>
      </c>
      <c r="D690">
        <v>1</v>
      </c>
      <c r="E690" t="s">
        <v>80</v>
      </c>
      <c r="F690">
        <v>8</v>
      </c>
      <c r="G690">
        <v>2024</v>
      </c>
      <c r="I690" s="8">
        <v>130.51</v>
      </c>
      <c r="J690" t="s">
        <v>81</v>
      </c>
      <c r="K690" t="s">
        <v>47</v>
      </c>
      <c r="M690">
        <v>1</v>
      </c>
      <c r="N690">
        <v>0</v>
      </c>
      <c r="O690">
        <v>0</v>
      </c>
      <c r="P690">
        <v>0</v>
      </c>
      <c r="Q690">
        <v>0</v>
      </c>
      <c r="R690">
        <v>0</v>
      </c>
      <c r="S690">
        <v>1</v>
      </c>
      <c r="T690">
        <v>1</v>
      </c>
      <c r="U690">
        <v>1</v>
      </c>
      <c r="V690">
        <v>0</v>
      </c>
      <c r="W690" t="s">
        <v>1128</v>
      </c>
      <c r="X690" t="s">
        <v>1739</v>
      </c>
      <c r="Y690">
        <v>0</v>
      </c>
      <c r="Z690">
        <v>0</v>
      </c>
      <c r="AA690">
        <v>2007</v>
      </c>
      <c r="AB690">
        <v>9999</v>
      </c>
      <c r="AC690" t="s">
        <v>35</v>
      </c>
    </row>
    <row r="691" spans="1:29" x14ac:dyDescent="0.25">
      <c r="A691" s="31" t="s">
        <v>568</v>
      </c>
      <c r="B691" s="23" t="s">
        <v>569</v>
      </c>
      <c r="D691">
        <v>1</v>
      </c>
      <c r="E691" t="s">
        <v>80</v>
      </c>
      <c r="F691">
        <v>8</v>
      </c>
      <c r="G691">
        <v>2024</v>
      </c>
      <c r="I691" s="8">
        <v>224.45</v>
      </c>
      <c r="J691" t="s">
        <v>81</v>
      </c>
      <c r="K691" t="s">
        <v>47</v>
      </c>
      <c r="M691">
        <v>0</v>
      </c>
      <c r="N691">
        <v>0</v>
      </c>
      <c r="O691">
        <v>0</v>
      </c>
      <c r="P691">
        <v>0</v>
      </c>
      <c r="Q691">
        <v>0</v>
      </c>
      <c r="R691">
        <v>0</v>
      </c>
      <c r="S691">
        <v>1</v>
      </c>
      <c r="T691">
        <v>1</v>
      </c>
      <c r="U691">
        <v>1</v>
      </c>
      <c r="V691">
        <v>0</v>
      </c>
      <c r="W691" t="s">
        <v>1129</v>
      </c>
      <c r="X691" t="s">
        <v>1740</v>
      </c>
      <c r="Y691">
        <v>0</v>
      </c>
      <c r="Z691">
        <v>0</v>
      </c>
      <c r="AA691">
        <v>2007</v>
      </c>
      <c r="AB691">
        <v>9999</v>
      </c>
      <c r="AC691" t="s">
        <v>35</v>
      </c>
    </row>
    <row r="692" spans="1:29" x14ac:dyDescent="0.25">
      <c r="A692" s="31" t="s">
        <v>571</v>
      </c>
      <c r="B692" s="23" t="s">
        <v>572</v>
      </c>
      <c r="D692">
        <v>1</v>
      </c>
      <c r="E692" t="s">
        <v>370</v>
      </c>
      <c r="F692">
        <v>5</v>
      </c>
      <c r="G692">
        <v>2024</v>
      </c>
      <c r="I692" s="8">
        <v>688.25</v>
      </c>
      <c r="J692" t="s">
        <v>1610</v>
      </c>
      <c r="K692" t="s">
        <v>47</v>
      </c>
      <c r="M692">
        <v>1</v>
      </c>
      <c r="N692">
        <v>0</v>
      </c>
      <c r="O692">
        <v>0</v>
      </c>
      <c r="P692">
        <v>0</v>
      </c>
      <c r="Q692">
        <v>0</v>
      </c>
      <c r="R692">
        <v>0</v>
      </c>
      <c r="S692">
        <v>1</v>
      </c>
      <c r="T692">
        <v>1</v>
      </c>
      <c r="U692">
        <v>1</v>
      </c>
      <c r="V692">
        <v>0</v>
      </c>
      <c r="W692" t="s">
        <v>1430</v>
      </c>
      <c r="X692" t="s">
        <v>1741</v>
      </c>
      <c r="Y692">
        <v>1</v>
      </c>
      <c r="Z692">
        <v>2</v>
      </c>
      <c r="AA692">
        <v>2007</v>
      </c>
      <c r="AB692">
        <v>9999</v>
      </c>
      <c r="AC692" t="s">
        <v>35</v>
      </c>
    </row>
    <row r="693" spans="1:29" x14ac:dyDescent="0.25">
      <c r="A693" s="31" t="s">
        <v>574</v>
      </c>
      <c r="B693" s="23" t="s">
        <v>575</v>
      </c>
      <c r="D693">
        <v>1</v>
      </c>
      <c r="E693" t="s">
        <v>222</v>
      </c>
      <c r="F693">
        <v>1</v>
      </c>
      <c r="G693">
        <v>2024</v>
      </c>
      <c r="I693" s="8">
        <v>34.450000000000003</v>
      </c>
      <c r="J693" t="s">
        <v>176</v>
      </c>
      <c r="K693" t="s">
        <v>47</v>
      </c>
      <c r="M693">
        <v>0</v>
      </c>
      <c r="N693">
        <v>0</v>
      </c>
      <c r="O693">
        <v>0</v>
      </c>
      <c r="P693">
        <v>0</v>
      </c>
      <c r="Q693">
        <v>0</v>
      </c>
      <c r="R693">
        <v>0</v>
      </c>
      <c r="S693">
        <v>1</v>
      </c>
      <c r="T693">
        <v>1</v>
      </c>
      <c r="U693">
        <v>1</v>
      </c>
      <c r="V693">
        <v>0</v>
      </c>
      <c r="W693" t="s">
        <v>1602</v>
      </c>
      <c r="X693" t="s">
        <v>1742</v>
      </c>
      <c r="Y693">
        <v>0</v>
      </c>
      <c r="Z693">
        <v>1</v>
      </c>
      <c r="AA693">
        <v>2007</v>
      </c>
      <c r="AB693">
        <v>9999</v>
      </c>
      <c r="AC693" t="s">
        <v>35</v>
      </c>
    </row>
    <row r="694" spans="1:29" x14ac:dyDescent="0.25">
      <c r="A694" s="31" t="s">
        <v>577</v>
      </c>
      <c r="B694" s="23" t="s">
        <v>578</v>
      </c>
      <c r="D694">
        <v>1</v>
      </c>
      <c r="E694" t="s">
        <v>396</v>
      </c>
      <c r="F694">
        <v>3</v>
      </c>
      <c r="G694">
        <v>2024</v>
      </c>
      <c r="H694" t="s">
        <v>579</v>
      </c>
      <c r="I694">
        <v>0.2</v>
      </c>
      <c r="J694" t="s">
        <v>121</v>
      </c>
      <c r="K694" t="s">
        <v>41</v>
      </c>
      <c r="M694">
        <v>0</v>
      </c>
      <c r="N694">
        <v>0</v>
      </c>
      <c r="O694">
        <v>0</v>
      </c>
      <c r="P694">
        <v>0</v>
      </c>
      <c r="Q694">
        <v>0</v>
      </c>
      <c r="R694">
        <v>0</v>
      </c>
      <c r="S694">
        <v>0</v>
      </c>
      <c r="T694">
        <v>0</v>
      </c>
      <c r="U694">
        <v>0</v>
      </c>
      <c r="V694">
        <v>0</v>
      </c>
      <c r="W694" t="s">
        <v>1132</v>
      </c>
      <c r="X694" t="s">
        <v>1743</v>
      </c>
      <c r="Y694">
        <v>0</v>
      </c>
      <c r="Z694">
        <v>0</v>
      </c>
      <c r="AA694">
        <v>2007</v>
      </c>
      <c r="AB694">
        <v>9999</v>
      </c>
      <c r="AC694" t="s">
        <v>35</v>
      </c>
    </row>
    <row r="695" spans="1:29" x14ac:dyDescent="0.25">
      <c r="A695" s="31" t="s">
        <v>581</v>
      </c>
      <c r="B695" s="23" t="s">
        <v>582</v>
      </c>
      <c r="D695">
        <v>1</v>
      </c>
      <c r="E695" t="s">
        <v>80</v>
      </c>
      <c r="F695">
        <v>8</v>
      </c>
      <c r="G695">
        <v>2024</v>
      </c>
      <c r="H695" t="s">
        <v>1315</v>
      </c>
      <c r="I695">
        <v>2.8</v>
      </c>
      <c r="J695" t="s">
        <v>81</v>
      </c>
      <c r="K695" t="s">
        <v>41</v>
      </c>
      <c r="M695">
        <v>0</v>
      </c>
      <c r="N695">
        <v>0</v>
      </c>
      <c r="O695">
        <v>0</v>
      </c>
      <c r="P695">
        <v>0</v>
      </c>
      <c r="Q695">
        <v>0</v>
      </c>
      <c r="R695">
        <v>0</v>
      </c>
      <c r="S695">
        <v>0</v>
      </c>
      <c r="T695">
        <v>0</v>
      </c>
      <c r="U695">
        <v>1</v>
      </c>
      <c r="V695">
        <v>0</v>
      </c>
      <c r="W695" t="s">
        <v>1133</v>
      </c>
      <c r="X695" t="s">
        <v>1744</v>
      </c>
      <c r="Y695">
        <v>0</v>
      </c>
      <c r="Z695">
        <v>0</v>
      </c>
      <c r="AA695">
        <v>2007</v>
      </c>
      <c r="AB695">
        <v>9999</v>
      </c>
      <c r="AC695" t="s">
        <v>35</v>
      </c>
    </row>
    <row r="696" spans="1:29" x14ac:dyDescent="0.25">
      <c r="A696" s="31" t="s">
        <v>1576</v>
      </c>
      <c r="B696" s="23" t="s">
        <v>1577</v>
      </c>
      <c r="D696">
        <v>1</v>
      </c>
      <c r="E696" s="5" t="s">
        <v>358</v>
      </c>
      <c r="F696">
        <v>1</v>
      </c>
      <c r="G696">
        <v>2024</v>
      </c>
      <c r="H696" t="s">
        <v>1558</v>
      </c>
      <c r="I696">
        <v>6</v>
      </c>
      <c r="J696" t="s">
        <v>104</v>
      </c>
      <c r="K696" t="s">
        <v>41</v>
      </c>
      <c r="M696">
        <v>0</v>
      </c>
      <c r="N696">
        <v>0</v>
      </c>
      <c r="O696">
        <v>0</v>
      </c>
      <c r="P696">
        <v>0</v>
      </c>
      <c r="Q696">
        <v>0</v>
      </c>
      <c r="R696">
        <v>0</v>
      </c>
      <c r="S696">
        <v>0</v>
      </c>
      <c r="T696">
        <v>0</v>
      </c>
      <c r="U696">
        <v>0</v>
      </c>
      <c r="V696">
        <v>0</v>
      </c>
      <c r="W696" t="s">
        <v>1578</v>
      </c>
      <c r="X696" t="s">
        <v>1745</v>
      </c>
      <c r="Y696">
        <v>0</v>
      </c>
      <c r="Z696">
        <v>0</v>
      </c>
      <c r="AA696">
        <v>2020</v>
      </c>
      <c r="AB696">
        <v>9999</v>
      </c>
      <c r="AC696" t="s">
        <v>1579</v>
      </c>
    </row>
    <row r="697" spans="1:29" x14ac:dyDescent="0.25">
      <c r="A697" s="31" t="s">
        <v>594</v>
      </c>
      <c r="B697" s="23" t="s">
        <v>595</v>
      </c>
      <c r="D697">
        <v>1</v>
      </c>
      <c r="E697" t="s">
        <v>38</v>
      </c>
      <c r="F697">
        <v>4</v>
      </c>
      <c r="G697">
        <v>2024</v>
      </c>
      <c r="H697" t="s">
        <v>906</v>
      </c>
      <c r="I697">
        <v>0</v>
      </c>
      <c r="J697" t="s">
        <v>59</v>
      </c>
      <c r="K697" t="s">
        <v>41</v>
      </c>
      <c r="M697">
        <v>0</v>
      </c>
      <c r="N697">
        <v>0</v>
      </c>
      <c r="O697">
        <v>0</v>
      </c>
      <c r="P697">
        <v>0</v>
      </c>
      <c r="Q697">
        <v>0</v>
      </c>
      <c r="R697">
        <v>0</v>
      </c>
      <c r="S697">
        <v>0</v>
      </c>
      <c r="T697">
        <v>0</v>
      </c>
      <c r="U697">
        <v>0</v>
      </c>
      <c r="V697">
        <v>0</v>
      </c>
      <c r="W697" t="s">
        <v>1135</v>
      </c>
      <c r="X697" t="s">
        <v>1746</v>
      </c>
      <c r="Y697">
        <v>0</v>
      </c>
      <c r="Z697">
        <v>0</v>
      </c>
      <c r="AA697">
        <v>2007</v>
      </c>
      <c r="AB697">
        <v>9999</v>
      </c>
      <c r="AC697" t="s">
        <v>35</v>
      </c>
    </row>
    <row r="698" spans="1:29" x14ac:dyDescent="0.25">
      <c r="A698" s="31" t="s">
        <v>1253</v>
      </c>
      <c r="B698" s="23" t="s">
        <v>598</v>
      </c>
      <c r="D698">
        <v>1</v>
      </c>
      <c r="E698" t="s">
        <v>38</v>
      </c>
      <c r="F698">
        <v>4</v>
      </c>
      <c r="G698">
        <v>2024</v>
      </c>
      <c r="H698" t="s">
        <v>39</v>
      </c>
      <c r="I698">
        <v>0</v>
      </c>
      <c r="J698" t="s">
        <v>59</v>
      </c>
      <c r="K698" t="s">
        <v>41</v>
      </c>
      <c r="M698">
        <v>0</v>
      </c>
      <c r="N698">
        <v>0</v>
      </c>
      <c r="O698">
        <v>0</v>
      </c>
      <c r="P698">
        <v>0</v>
      </c>
      <c r="Q698">
        <v>0</v>
      </c>
      <c r="R698">
        <v>0</v>
      </c>
      <c r="S698">
        <v>0</v>
      </c>
      <c r="T698">
        <v>0</v>
      </c>
      <c r="U698">
        <v>0</v>
      </c>
      <c r="V698">
        <v>0</v>
      </c>
      <c r="W698" t="s">
        <v>1254</v>
      </c>
      <c r="X698" t="s">
        <v>1747</v>
      </c>
      <c r="Y698">
        <v>0</v>
      </c>
      <c r="Z698">
        <v>0</v>
      </c>
      <c r="AA698">
        <v>2009</v>
      </c>
      <c r="AB698">
        <v>9999</v>
      </c>
      <c r="AC698" t="s">
        <v>1239</v>
      </c>
    </row>
    <row r="699" spans="1:29" x14ac:dyDescent="0.25">
      <c r="A699" s="31" t="s">
        <v>601</v>
      </c>
      <c r="B699" s="23" t="s">
        <v>602</v>
      </c>
      <c r="D699">
        <v>1</v>
      </c>
      <c r="E699" t="s">
        <v>145</v>
      </c>
      <c r="F699">
        <v>2</v>
      </c>
      <c r="G699">
        <v>2024</v>
      </c>
      <c r="H699" t="s">
        <v>1618</v>
      </c>
      <c r="I699">
        <v>2.5000000000000001E-2</v>
      </c>
      <c r="J699" t="s">
        <v>1610</v>
      </c>
      <c r="K699" t="s">
        <v>41</v>
      </c>
      <c r="M699">
        <v>0</v>
      </c>
      <c r="N699">
        <v>0</v>
      </c>
      <c r="O699">
        <v>0</v>
      </c>
      <c r="P699">
        <v>0</v>
      </c>
      <c r="Q699">
        <v>0</v>
      </c>
      <c r="R699">
        <v>0</v>
      </c>
      <c r="S699">
        <v>0</v>
      </c>
      <c r="T699">
        <v>0</v>
      </c>
      <c r="U699">
        <v>0</v>
      </c>
      <c r="V699">
        <v>0</v>
      </c>
      <c r="W699" t="s">
        <v>1137</v>
      </c>
      <c r="X699" t="s">
        <v>1748</v>
      </c>
      <c r="Y699">
        <v>0</v>
      </c>
      <c r="Z699">
        <v>0</v>
      </c>
      <c r="AA699">
        <v>2007</v>
      </c>
      <c r="AB699">
        <v>9999</v>
      </c>
      <c r="AC699" t="s">
        <v>35</v>
      </c>
    </row>
    <row r="700" spans="1:29" x14ac:dyDescent="0.25">
      <c r="A700" s="31" t="s">
        <v>613</v>
      </c>
      <c r="B700" s="23" t="s">
        <v>254</v>
      </c>
      <c r="C700" t="s">
        <v>614</v>
      </c>
      <c r="D700">
        <v>1</v>
      </c>
      <c r="E700" t="s">
        <v>45</v>
      </c>
      <c r="F700">
        <v>4</v>
      </c>
      <c r="G700">
        <v>2024</v>
      </c>
      <c r="I700" s="8">
        <v>292.45</v>
      </c>
      <c r="J700" t="s">
        <v>1610</v>
      </c>
      <c r="K700" t="s">
        <v>47</v>
      </c>
      <c r="M700">
        <v>1</v>
      </c>
      <c r="N700">
        <v>0</v>
      </c>
      <c r="O700">
        <v>0</v>
      </c>
      <c r="P700">
        <v>0</v>
      </c>
      <c r="Q700">
        <v>0</v>
      </c>
      <c r="R700">
        <v>0</v>
      </c>
      <c r="S700">
        <v>1</v>
      </c>
      <c r="T700">
        <v>1</v>
      </c>
      <c r="U700">
        <v>1</v>
      </c>
      <c r="V700">
        <v>0</v>
      </c>
      <c r="W700" t="s">
        <v>1140</v>
      </c>
      <c r="X700" t="s">
        <v>1749</v>
      </c>
      <c r="Y700">
        <v>0</v>
      </c>
      <c r="Z700">
        <v>0</v>
      </c>
      <c r="AA700">
        <v>2007</v>
      </c>
      <c r="AB700">
        <v>9999</v>
      </c>
      <c r="AC700" t="s">
        <v>35</v>
      </c>
    </row>
    <row r="701" spans="1:29" x14ac:dyDescent="0.25">
      <c r="A701" s="31" t="s">
        <v>1370</v>
      </c>
      <c r="B701" s="23" t="s">
        <v>1371</v>
      </c>
      <c r="D701">
        <v>1</v>
      </c>
      <c r="E701" s="4">
        <v>411</v>
      </c>
      <c r="F701">
        <v>4</v>
      </c>
      <c r="G701">
        <v>2024</v>
      </c>
      <c r="H701" t="s">
        <v>111</v>
      </c>
      <c r="I701">
        <v>0.5</v>
      </c>
      <c r="J701" t="s">
        <v>1610</v>
      </c>
      <c r="K701" t="s">
        <v>41</v>
      </c>
      <c r="M701">
        <v>0</v>
      </c>
      <c r="N701">
        <v>0</v>
      </c>
      <c r="O701">
        <v>0</v>
      </c>
      <c r="P701">
        <v>0</v>
      </c>
      <c r="Q701">
        <v>0</v>
      </c>
      <c r="R701">
        <v>0</v>
      </c>
      <c r="S701">
        <v>0</v>
      </c>
      <c r="T701">
        <v>1</v>
      </c>
      <c r="U701">
        <v>0</v>
      </c>
      <c r="V701">
        <v>0</v>
      </c>
      <c r="W701" t="s">
        <v>1372</v>
      </c>
      <c r="X701" t="s">
        <v>1750</v>
      </c>
      <c r="Y701">
        <v>0</v>
      </c>
      <c r="Z701">
        <v>0</v>
      </c>
      <c r="AA701">
        <v>2011</v>
      </c>
      <c r="AB701">
        <v>9999</v>
      </c>
      <c r="AC701" t="s">
        <v>1365</v>
      </c>
    </row>
    <row r="702" spans="1:29" x14ac:dyDescent="0.25">
      <c r="A702" s="31" t="s">
        <v>1317</v>
      </c>
      <c r="B702" s="23" t="s">
        <v>1318</v>
      </c>
      <c r="D702">
        <v>1</v>
      </c>
      <c r="E702" t="s">
        <v>1319</v>
      </c>
      <c r="F702">
        <v>10</v>
      </c>
      <c r="G702">
        <v>2024</v>
      </c>
      <c r="I702" s="8">
        <v>1497.42</v>
      </c>
      <c r="J702" t="s">
        <v>40</v>
      </c>
      <c r="K702" t="s">
        <v>32</v>
      </c>
      <c r="M702">
        <v>0</v>
      </c>
      <c r="N702">
        <v>0</v>
      </c>
      <c r="O702">
        <v>0</v>
      </c>
      <c r="P702">
        <v>0</v>
      </c>
      <c r="Q702">
        <v>0</v>
      </c>
      <c r="R702">
        <v>0</v>
      </c>
      <c r="S702">
        <v>1</v>
      </c>
      <c r="T702">
        <v>1</v>
      </c>
      <c r="U702">
        <v>1</v>
      </c>
      <c r="V702">
        <v>0</v>
      </c>
      <c r="W702" t="s">
        <v>1320</v>
      </c>
      <c r="X702" t="s">
        <v>1751</v>
      </c>
      <c r="Y702">
        <v>0</v>
      </c>
      <c r="Z702">
        <v>0</v>
      </c>
      <c r="AA702">
        <v>2010</v>
      </c>
      <c r="AB702">
        <v>9999</v>
      </c>
      <c r="AC702" t="s">
        <v>1292</v>
      </c>
    </row>
    <row r="703" spans="1:29" x14ac:dyDescent="0.25">
      <c r="A703" s="31" t="s">
        <v>1489</v>
      </c>
      <c r="B703" s="23" t="s">
        <v>619</v>
      </c>
      <c r="D703">
        <v>1</v>
      </c>
      <c r="E703" t="s">
        <v>620</v>
      </c>
      <c r="F703">
        <v>5</v>
      </c>
      <c r="G703">
        <v>2024</v>
      </c>
      <c r="I703" s="8">
        <v>32</v>
      </c>
      <c r="J703" t="s">
        <v>104</v>
      </c>
      <c r="K703" t="s">
        <v>47</v>
      </c>
      <c r="M703">
        <v>1</v>
      </c>
      <c r="N703">
        <v>0</v>
      </c>
      <c r="O703">
        <v>0</v>
      </c>
      <c r="P703">
        <v>0</v>
      </c>
      <c r="Q703">
        <v>0</v>
      </c>
      <c r="R703">
        <v>0</v>
      </c>
      <c r="S703">
        <v>1</v>
      </c>
      <c r="T703">
        <v>1</v>
      </c>
      <c r="U703">
        <v>1</v>
      </c>
      <c r="V703">
        <v>0</v>
      </c>
      <c r="W703" t="s">
        <v>1141</v>
      </c>
      <c r="X703" t="s">
        <v>1752</v>
      </c>
      <c r="Y703">
        <v>0</v>
      </c>
      <c r="Z703">
        <v>0</v>
      </c>
      <c r="AA703">
        <v>2007</v>
      </c>
      <c r="AB703">
        <v>9999</v>
      </c>
      <c r="AC703" t="s">
        <v>1475</v>
      </c>
    </row>
    <row r="704" spans="1:29" x14ac:dyDescent="0.25">
      <c r="A704" s="31" t="s">
        <v>472</v>
      </c>
      <c r="B704" s="23" t="s">
        <v>1490</v>
      </c>
      <c r="D704">
        <v>1</v>
      </c>
      <c r="E704" t="s">
        <v>681</v>
      </c>
      <c r="F704">
        <v>3</v>
      </c>
      <c r="G704">
        <v>2024</v>
      </c>
      <c r="I704" s="8">
        <v>35620.910000000003</v>
      </c>
      <c r="J704" t="s">
        <v>121</v>
      </c>
      <c r="K704" t="s">
        <v>47</v>
      </c>
      <c r="M704">
        <v>1</v>
      </c>
      <c r="N704">
        <v>0</v>
      </c>
      <c r="O704">
        <v>0</v>
      </c>
      <c r="P704">
        <v>0</v>
      </c>
      <c r="Q704">
        <v>0</v>
      </c>
      <c r="R704">
        <v>0</v>
      </c>
      <c r="S704">
        <v>1</v>
      </c>
      <c r="T704">
        <v>1</v>
      </c>
      <c r="U704">
        <v>1</v>
      </c>
      <c r="V704">
        <v>0</v>
      </c>
      <c r="W704" t="s">
        <v>1619</v>
      </c>
      <c r="X704" t="s">
        <v>1753</v>
      </c>
      <c r="Y704">
        <v>0</v>
      </c>
      <c r="Z704">
        <v>9</v>
      </c>
      <c r="AA704">
        <v>2007</v>
      </c>
      <c r="AB704">
        <v>9999</v>
      </c>
      <c r="AC704" t="s">
        <v>35</v>
      </c>
    </row>
    <row r="705" spans="1:29" x14ac:dyDescent="0.25">
      <c r="A705" s="31" t="s">
        <v>622</v>
      </c>
      <c r="B705" s="23" t="s">
        <v>623</v>
      </c>
      <c r="C705" t="s">
        <v>624</v>
      </c>
      <c r="D705">
        <v>1</v>
      </c>
      <c r="E705" t="s">
        <v>625</v>
      </c>
      <c r="F705">
        <v>4</v>
      </c>
      <c r="G705">
        <v>2024</v>
      </c>
      <c r="I705" s="8">
        <v>398.11</v>
      </c>
      <c r="J705" t="s">
        <v>52</v>
      </c>
      <c r="K705" t="s">
        <v>32</v>
      </c>
      <c r="M705">
        <v>0</v>
      </c>
      <c r="N705">
        <v>0</v>
      </c>
      <c r="O705">
        <v>0</v>
      </c>
      <c r="P705">
        <v>0</v>
      </c>
      <c r="Q705">
        <v>0</v>
      </c>
      <c r="R705">
        <v>0</v>
      </c>
      <c r="S705">
        <v>1</v>
      </c>
      <c r="T705">
        <v>1</v>
      </c>
      <c r="U705">
        <v>1</v>
      </c>
      <c r="V705">
        <v>0</v>
      </c>
      <c r="W705" t="s">
        <v>1142</v>
      </c>
      <c r="X705" t="s">
        <v>1754</v>
      </c>
      <c r="Y705">
        <v>0</v>
      </c>
      <c r="Z705">
        <v>0</v>
      </c>
      <c r="AA705">
        <v>2007</v>
      </c>
      <c r="AB705">
        <v>9999</v>
      </c>
      <c r="AC705" t="s">
        <v>35</v>
      </c>
    </row>
    <row r="706" spans="1:29" x14ac:dyDescent="0.25">
      <c r="A706" s="31" t="s">
        <v>641</v>
      </c>
      <c r="B706" s="23" t="s">
        <v>642</v>
      </c>
      <c r="D706">
        <v>1</v>
      </c>
      <c r="E706" t="s">
        <v>348</v>
      </c>
      <c r="F706">
        <v>1</v>
      </c>
      <c r="G706">
        <v>2024</v>
      </c>
      <c r="I706" s="8">
        <v>4177.62</v>
      </c>
      <c r="J706" t="s">
        <v>268</v>
      </c>
      <c r="K706" t="s">
        <v>53</v>
      </c>
      <c r="L706" t="s">
        <v>642</v>
      </c>
      <c r="M706">
        <v>0</v>
      </c>
      <c r="N706">
        <v>0</v>
      </c>
      <c r="O706">
        <v>0</v>
      </c>
      <c r="P706">
        <v>0</v>
      </c>
      <c r="Q706">
        <v>0</v>
      </c>
      <c r="R706">
        <v>0</v>
      </c>
      <c r="S706">
        <v>0</v>
      </c>
      <c r="T706">
        <v>1</v>
      </c>
      <c r="U706">
        <v>1</v>
      </c>
      <c r="V706">
        <v>0</v>
      </c>
      <c r="W706" t="s">
        <v>643</v>
      </c>
      <c r="X706" t="s">
        <v>1755</v>
      </c>
      <c r="Y706">
        <v>0</v>
      </c>
      <c r="Z706">
        <v>0</v>
      </c>
      <c r="AA706">
        <v>2007</v>
      </c>
      <c r="AB706">
        <v>9999</v>
      </c>
      <c r="AC706" t="s">
        <v>35</v>
      </c>
    </row>
    <row r="707" spans="1:29" x14ac:dyDescent="0.25">
      <c r="A707" s="31" t="s">
        <v>667</v>
      </c>
      <c r="B707" s="23" t="s">
        <v>1527</v>
      </c>
      <c r="D707">
        <v>1</v>
      </c>
      <c r="E707" t="s">
        <v>45</v>
      </c>
      <c r="F707">
        <v>4</v>
      </c>
      <c r="G707">
        <v>2024</v>
      </c>
      <c r="I707" s="8">
        <v>23</v>
      </c>
      <c r="J707" t="s">
        <v>121</v>
      </c>
      <c r="K707" t="s">
        <v>47</v>
      </c>
      <c r="M707">
        <v>0</v>
      </c>
      <c r="N707">
        <v>0</v>
      </c>
      <c r="O707">
        <v>0</v>
      </c>
      <c r="P707">
        <v>0</v>
      </c>
      <c r="Q707">
        <v>0</v>
      </c>
      <c r="R707">
        <v>0</v>
      </c>
      <c r="S707">
        <v>1</v>
      </c>
      <c r="T707">
        <v>1</v>
      </c>
      <c r="U707">
        <v>1</v>
      </c>
      <c r="V707">
        <v>0</v>
      </c>
      <c r="W707" t="s">
        <v>1149</v>
      </c>
      <c r="X707" t="s">
        <v>1756</v>
      </c>
      <c r="Y707">
        <v>1</v>
      </c>
      <c r="Z707">
        <v>0</v>
      </c>
      <c r="AA707">
        <v>2007</v>
      </c>
      <c r="AB707">
        <v>9999</v>
      </c>
      <c r="AC707" t="s">
        <v>35</v>
      </c>
    </row>
    <row r="708" spans="1:29" x14ac:dyDescent="0.25">
      <c r="A708" s="31" t="s">
        <v>670</v>
      </c>
      <c r="B708" s="23" t="s">
        <v>671</v>
      </c>
      <c r="D708">
        <v>1</v>
      </c>
      <c r="E708" t="s">
        <v>80</v>
      </c>
      <c r="F708">
        <v>8</v>
      </c>
      <c r="G708">
        <v>2024</v>
      </c>
      <c r="I708" s="8">
        <v>232.84</v>
      </c>
      <c r="J708" t="s">
        <v>81</v>
      </c>
      <c r="K708" t="s">
        <v>47</v>
      </c>
      <c r="M708">
        <v>1</v>
      </c>
      <c r="N708">
        <v>0</v>
      </c>
      <c r="O708">
        <v>0</v>
      </c>
      <c r="P708">
        <v>0</v>
      </c>
      <c r="Q708">
        <v>0</v>
      </c>
      <c r="R708">
        <v>0</v>
      </c>
      <c r="S708">
        <v>1</v>
      </c>
      <c r="T708">
        <v>1</v>
      </c>
      <c r="U708">
        <v>1</v>
      </c>
      <c r="V708">
        <v>0</v>
      </c>
      <c r="W708" t="s">
        <v>1498</v>
      </c>
      <c r="X708" t="s">
        <v>1757</v>
      </c>
      <c r="Y708">
        <v>0</v>
      </c>
      <c r="Z708">
        <v>0</v>
      </c>
      <c r="AA708">
        <v>2007</v>
      </c>
      <c r="AB708">
        <v>9999</v>
      </c>
      <c r="AC708" t="s">
        <v>35</v>
      </c>
    </row>
    <row r="709" spans="1:29" x14ac:dyDescent="0.25">
      <c r="A709" s="31" t="s">
        <v>673</v>
      </c>
      <c r="B709" s="23" t="s">
        <v>1321</v>
      </c>
      <c r="D709">
        <v>1</v>
      </c>
      <c r="E709" t="s">
        <v>358</v>
      </c>
      <c r="F709">
        <v>1</v>
      </c>
      <c r="G709">
        <v>2024</v>
      </c>
      <c r="I709" s="8">
        <v>398.38</v>
      </c>
      <c r="J709" t="s">
        <v>81</v>
      </c>
      <c r="K709" t="s">
        <v>47</v>
      </c>
      <c r="M709">
        <v>1</v>
      </c>
      <c r="N709">
        <v>0</v>
      </c>
      <c r="O709">
        <v>0</v>
      </c>
      <c r="P709">
        <v>0</v>
      </c>
      <c r="Q709">
        <v>0</v>
      </c>
      <c r="R709">
        <v>0</v>
      </c>
      <c r="S709">
        <v>1</v>
      </c>
      <c r="T709">
        <v>1</v>
      </c>
      <c r="U709">
        <v>1</v>
      </c>
      <c r="V709">
        <v>0</v>
      </c>
      <c r="W709" t="s">
        <v>1322</v>
      </c>
      <c r="X709" t="s">
        <v>1758</v>
      </c>
      <c r="Y709">
        <v>0</v>
      </c>
      <c r="Z709">
        <v>2</v>
      </c>
      <c r="AA709">
        <v>2007</v>
      </c>
      <c r="AB709">
        <v>9999</v>
      </c>
      <c r="AC709" t="s">
        <v>35</v>
      </c>
    </row>
    <row r="710" spans="1:29" x14ac:dyDescent="0.25">
      <c r="A710" s="31" t="s">
        <v>676</v>
      </c>
      <c r="B710" s="23" t="s">
        <v>677</v>
      </c>
      <c r="C710" t="s">
        <v>678</v>
      </c>
      <c r="D710">
        <v>1</v>
      </c>
      <c r="E710" t="s">
        <v>168</v>
      </c>
      <c r="F710">
        <v>1</v>
      </c>
      <c r="G710">
        <v>2024</v>
      </c>
      <c r="I710" s="8">
        <v>222.5</v>
      </c>
      <c r="J710" t="s">
        <v>52</v>
      </c>
      <c r="K710" t="s">
        <v>32</v>
      </c>
      <c r="M710">
        <v>0</v>
      </c>
      <c r="N710">
        <v>0</v>
      </c>
      <c r="O710">
        <v>0</v>
      </c>
      <c r="P710">
        <v>0</v>
      </c>
      <c r="Q710">
        <v>0</v>
      </c>
      <c r="R710">
        <v>0</v>
      </c>
      <c r="S710">
        <v>1</v>
      </c>
      <c r="T710">
        <v>1</v>
      </c>
      <c r="U710">
        <v>1</v>
      </c>
      <c r="V710">
        <v>0</v>
      </c>
      <c r="W710" t="s">
        <v>1759</v>
      </c>
      <c r="X710" t="s">
        <v>1759</v>
      </c>
      <c r="Y710">
        <v>1</v>
      </c>
      <c r="Z710">
        <v>0</v>
      </c>
      <c r="AA710">
        <v>2007</v>
      </c>
      <c r="AB710">
        <v>9999</v>
      </c>
      <c r="AC710" t="s">
        <v>35</v>
      </c>
    </row>
    <row r="711" spans="1:29" x14ac:dyDescent="0.25">
      <c r="A711" s="31" t="s">
        <v>688</v>
      </c>
      <c r="B711" s="23" t="s">
        <v>689</v>
      </c>
      <c r="D711">
        <v>1</v>
      </c>
      <c r="E711" t="s">
        <v>145</v>
      </c>
      <c r="F711">
        <v>2</v>
      </c>
      <c r="G711">
        <v>2024</v>
      </c>
      <c r="H711" t="s">
        <v>146</v>
      </c>
      <c r="I711">
        <v>0.2</v>
      </c>
      <c r="J711" t="s">
        <v>147</v>
      </c>
      <c r="K711" t="s">
        <v>41</v>
      </c>
      <c r="M711">
        <v>0</v>
      </c>
      <c r="N711">
        <v>0</v>
      </c>
      <c r="O711">
        <v>0</v>
      </c>
      <c r="P711">
        <v>0</v>
      </c>
      <c r="Q711">
        <v>0</v>
      </c>
      <c r="R711">
        <v>0</v>
      </c>
      <c r="S711">
        <v>0</v>
      </c>
      <c r="T711">
        <v>0</v>
      </c>
      <c r="U711">
        <v>0</v>
      </c>
      <c r="V711">
        <v>0</v>
      </c>
      <c r="W711" t="s">
        <v>1154</v>
      </c>
      <c r="X711" t="s">
        <v>1760</v>
      </c>
      <c r="Y711">
        <v>0</v>
      </c>
      <c r="Z711">
        <v>0</v>
      </c>
      <c r="AA711">
        <v>2007</v>
      </c>
      <c r="AB711">
        <v>9999</v>
      </c>
      <c r="AC711" t="s">
        <v>35</v>
      </c>
    </row>
    <row r="712" spans="1:29" x14ac:dyDescent="0.25">
      <c r="A712" s="31" t="s">
        <v>691</v>
      </c>
      <c r="B712" s="23" t="s">
        <v>692</v>
      </c>
      <c r="D712">
        <v>1</v>
      </c>
      <c r="E712" t="s">
        <v>625</v>
      </c>
      <c r="F712">
        <v>4</v>
      </c>
      <c r="G712">
        <v>2024</v>
      </c>
      <c r="I712" s="8">
        <v>27</v>
      </c>
      <c r="J712" t="s">
        <v>104</v>
      </c>
      <c r="K712" t="s">
        <v>32</v>
      </c>
      <c r="M712">
        <v>0</v>
      </c>
      <c r="N712">
        <v>0</v>
      </c>
      <c r="O712">
        <v>0</v>
      </c>
      <c r="P712">
        <v>0</v>
      </c>
      <c r="Q712">
        <v>0</v>
      </c>
      <c r="R712">
        <v>0</v>
      </c>
      <c r="S712">
        <v>1</v>
      </c>
      <c r="T712">
        <v>1</v>
      </c>
      <c r="U712">
        <v>1</v>
      </c>
      <c r="V712">
        <v>0</v>
      </c>
      <c r="W712" t="s">
        <v>1155</v>
      </c>
      <c r="X712" t="s">
        <v>1761</v>
      </c>
      <c r="Y712">
        <v>0</v>
      </c>
      <c r="Z712">
        <v>0</v>
      </c>
      <c r="AA712">
        <v>2007</v>
      </c>
      <c r="AB712">
        <v>9999</v>
      </c>
      <c r="AC712" t="s">
        <v>35</v>
      </c>
    </row>
    <row r="713" spans="1:29" x14ac:dyDescent="0.25">
      <c r="A713" s="31" t="s">
        <v>694</v>
      </c>
      <c r="B713" s="23" t="s">
        <v>695</v>
      </c>
      <c r="C713" t="s">
        <v>696</v>
      </c>
      <c r="D713">
        <v>1</v>
      </c>
      <c r="E713" t="s">
        <v>58</v>
      </c>
      <c r="F713">
        <v>4</v>
      </c>
      <c r="G713">
        <v>2024</v>
      </c>
      <c r="I713" s="8">
        <v>134.35</v>
      </c>
      <c r="J713" t="s">
        <v>59</v>
      </c>
      <c r="K713" t="s">
        <v>47</v>
      </c>
      <c r="M713">
        <v>0</v>
      </c>
      <c r="N713">
        <v>0</v>
      </c>
      <c r="O713">
        <v>0</v>
      </c>
      <c r="P713">
        <v>0</v>
      </c>
      <c r="Q713">
        <v>0</v>
      </c>
      <c r="R713">
        <v>0</v>
      </c>
      <c r="S713">
        <v>1</v>
      </c>
      <c r="T713">
        <v>1</v>
      </c>
      <c r="U713">
        <v>1</v>
      </c>
      <c r="V713">
        <v>0</v>
      </c>
      <c r="W713" t="s">
        <v>1156</v>
      </c>
      <c r="X713" t="s">
        <v>1762</v>
      </c>
      <c r="Y713">
        <v>0</v>
      </c>
      <c r="Z713">
        <v>0</v>
      </c>
      <c r="AA713">
        <v>2007</v>
      </c>
      <c r="AB713">
        <v>9999</v>
      </c>
      <c r="AC713" t="s">
        <v>35</v>
      </c>
    </row>
    <row r="714" spans="1:29" x14ac:dyDescent="0.25">
      <c r="A714" s="31" t="s">
        <v>698</v>
      </c>
      <c r="B714" s="23" t="s">
        <v>699</v>
      </c>
      <c r="D714">
        <v>1</v>
      </c>
      <c r="E714" t="s">
        <v>155</v>
      </c>
      <c r="F714">
        <v>3</v>
      </c>
      <c r="G714">
        <v>2024</v>
      </c>
      <c r="H714" t="s">
        <v>700</v>
      </c>
      <c r="I714">
        <v>6.26</v>
      </c>
      <c r="J714" t="s">
        <v>121</v>
      </c>
      <c r="K714" t="s">
        <v>47</v>
      </c>
      <c r="M714">
        <v>0</v>
      </c>
      <c r="N714">
        <v>0</v>
      </c>
      <c r="O714">
        <v>0</v>
      </c>
      <c r="P714">
        <v>0</v>
      </c>
      <c r="Q714">
        <v>0</v>
      </c>
      <c r="R714">
        <v>0</v>
      </c>
      <c r="S714">
        <v>1</v>
      </c>
      <c r="T714">
        <v>0</v>
      </c>
      <c r="U714">
        <v>0</v>
      </c>
      <c r="V714">
        <v>1</v>
      </c>
      <c r="W714" t="s">
        <v>1157</v>
      </c>
      <c r="X714" t="s">
        <v>1763</v>
      </c>
      <c r="Y714">
        <v>0</v>
      </c>
      <c r="Z714">
        <v>0</v>
      </c>
      <c r="AA714">
        <v>2007</v>
      </c>
      <c r="AB714">
        <v>9999</v>
      </c>
      <c r="AC714" t="s">
        <v>35</v>
      </c>
    </row>
    <row r="715" spans="1:29" x14ac:dyDescent="0.25">
      <c r="A715" s="31" t="s">
        <v>702</v>
      </c>
      <c r="B715" s="23" t="s">
        <v>703</v>
      </c>
      <c r="D715">
        <v>1</v>
      </c>
      <c r="E715" t="s">
        <v>155</v>
      </c>
      <c r="F715">
        <v>3</v>
      </c>
      <c r="G715">
        <v>2024</v>
      </c>
      <c r="H715" t="s">
        <v>704</v>
      </c>
      <c r="I715">
        <v>0.4</v>
      </c>
      <c r="J715" t="s">
        <v>121</v>
      </c>
      <c r="K715" t="s">
        <v>41</v>
      </c>
      <c r="M715">
        <v>0</v>
      </c>
      <c r="N715">
        <v>0</v>
      </c>
      <c r="O715">
        <v>0</v>
      </c>
      <c r="P715">
        <v>0</v>
      </c>
      <c r="Q715">
        <v>0</v>
      </c>
      <c r="R715">
        <v>0</v>
      </c>
      <c r="S715">
        <v>0</v>
      </c>
      <c r="T715">
        <v>0</v>
      </c>
      <c r="U715">
        <v>0</v>
      </c>
      <c r="V715">
        <v>1</v>
      </c>
      <c r="W715" t="s">
        <v>1158</v>
      </c>
      <c r="X715" t="s">
        <v>1764</v>
      </c>
      <c r="Y715">
        <v>0</v>
      </c>
      <c r="Z715">
        <v>0</v>
      </c>
      <c r="AA715">
        <v>2007</v>
      </c>
      <c r="AB715">
        <v>9999</v>
      </c>
      <c r="AC715" t="s">
        <v>35</v>
      </c>
    </row>
    <row r="716" spans="1:29" x14ac:dyDescent="0.25">
      <c r="A716" s="31" t="s">
        <v>706</v>
      </c>
      <c r="B716" s="23" t="s">
        <v>707</v>
      </c>
      <c r="C716" t="s">
        <v>708</v>
      </c>
      <c r="D716">
        <v>1</v>
      </c>
      <c r="E716" t="s">
        <v>155</v>
      </c>
      <c r="F716">
        <v>3</v>
      </c>
      <c r="G716">
        <v>2024</v>
      </c>
      <c r="I716" s="8">
        <v>529.79999999999995</v>
      </c>
      <c r="J716" t="s">
        <v>121</v>
      </c>
      <c r="K716" t="s">
        <v>47</v>
      </c>
      <c r="M716">
        <v>1</v>
      </c>
      <c r="N716">
        <v>0</v>
      </c>
      <c r="O716">
        <v>0</v>
      </c>
      <c r="P716">
        <v>0</v>
      </c>
      <c r="Q716">
        <v>0</v>
      </c>
      <c r="R716">
        <v>0</v>
      </c>
      <c r="S716">
        <v>1</v>
      </c>
      <c r="T716">
        <v>1</v>
      </c>
      <c r="U716">
        <v>1</v>
      </c>
      <c r="V716">
        <v>0</v>
      </c>
      <c r="W716" t="s">
        <v>1159</v>
      </c>
      <c r="X716" t="s">
        <v>1765</v>
      </c>
      <c r="Y716">
        <v>0</v>
      </c>
      <c r="Z716">
        <v>0</v>
      </c>
      <c r="AA716">
        <v>2007</v>
      </c>
      <c r="AB716">
        <v>9999</v>
      </c>
      <c r="AC716" t="s">
        <v>35</v>
      </c>
    </row>
    <row r="717" spans="1:29" x14ac:dyDescent="0.25">
      <c r="A717" s="31" t="s">
        <v>710</v>
      </c>
      <c r="B717" s="23" t="s">
        <v>711</v>
      </c>
      <c r="D717">
        <v>1</v>
      </c>
      <c r="E717" t="s">
        <v>712</v>
      </c>
      <c r="F717">
        <v>9</v>
      </c>
      <c r="G717">
        <v>2024</v>
      </c>
      <c r="I717" s="8">
        <v>122.38</v>
      </c>
      <c r="J717" t="s">
        <v>104</v>
      </c>
      <c r="K717" t="s">
        <v>41</v>
      </c>
      <c r="M717">
        <v>0</v>
      </c>
      <c r="N717">
        <v>0</v>
      </c>
      <c r="O717">
        <v>0</v>
      </c>
      <c r="P717">
        <v>0</v>
      </c>
      <c r="Q717">
        <v>0</v>
      </c>
      <c r="R717">
        <v>0</v>
      </c>
      <c r="S717">
        <v>0</v>
      </c>
      <c r="T717">
        <v>1</v>
      </c>
      <c r="U717">
        <v>1</v>
      </c>
      <c r="V717">
        <v>0</v>
      </c>
      <c r="W717" t="s">
        <v>1406</v>
      </c>
      <c r="X717" t="s">
        <v>1766</v>
      </c>
      <c r="Y717">
        <v>0</v>
      </c>
      <c r="Z717">
        <v>0</v>
      </c>
      <c r="AA717">
        <v>2007</v>
      </c>
      <c r="AB717">
        <v>9999</v>
      </c>
      <c r="AC717" t="s">
        <v>35</v>
      </c>
    </row>
    <row r="718" spans="1:29" x14ac:dyDescent="0.25">
      <c r="A718" s="31" t="s">
        <v>714</v>
      </c>
      <c r="B718" s="23" t="s">
        <v>715</v>
      </c>
      <c r="D718">
        <v>1</v>
      </c>
      <c r="E718" t="s">
        <v>80</v>
      </c>
      <c r="F718">
        <v>8</v>
      </c>
      <c r="G718">
        <v>2024</v>
      </c>
      <c r="I718">
        <v>59.36</v>
      </c>
      <c r="J718" t="s">
        <v>81</v>
      </c>
      <c r="K718" t="s">
        <v>76</v>
      </c>
      <c r="M718">
        <v>0</v>
      </c>
      <c r="N718">
        <v>0</v>
      </c>
      <c r="O718">
        <v>0</v>
      </c>
      <c r="P718">
        <v>0</v>
      </c>
      <c r="Q718">
        <v>0</v>
      </c>
      <c r="R718">
        <v>0</v>
      </c>
      <c r="S718">
        <v>0</v>
      </c>
      <c r="T718">
        <v>1</v>
      </c>
      <c r="U718">
        <v>1</v>
      </c>
      <c r="V718">
        <v>0</v>
      </c>
      <c r="W718" t="s">
        <v>1323</v>
      </c>
      <c r="X718" t="s">
        <v>1767</v>
      </c>
      <c r="Y718">
        <v>0</v>
      </c>
      <c r="Z718">
        <v>0</v>
      </c>
      <c r="AA718">
        <v>2007</v>
      </c>
      <c r="AB718">
        <v>9999</v>
      </c>
      <c r="AC718" t="s">
        <v>35</v>
      </c>
    </row>
    <row r="719" spans="1:29" x14ac:dyDescent="0.25">
      <c r="A719" s="31" t="s">
        <v>717</v>
      </c>
      <c r="B719" s="23" t="s">
        <v>718</v>
      </c>
      <c r="D719">
        <v>1</v>
      </c>
      <c r="E719" t="s">
        <v>51</v>
      </c>
      <c r="F719">
        <v>1</v>
      </c>
      <c r="G719">
        <v>2024</v>
      </c>
      <c r="I719">
        <v>46</v>
      </c>
      <c r="J719" t="s">
        <v>52</v>
      </c>
      <c r="K719" t="s">
        <v>53</v>
      </c>
      <c r="L719" t="s">
        <v>54</v>
      </c>
      <c r="M719">
        <v>0</v>
      </c>
      <c r="N719">
        <v>0</v>
      </c>
      <c r="O719">
        <v>0</v>
      </c>
      <c r="P719">
        <v>0</v>
      </c>
      <c r="Q719">
        <v>1</v>
      </c>
      <c r="R719">
        <v>0</v>
      </c>
      <c r="S719">
        <v>0</v>
      </c>
      <c r="T719">
        <v>0</v>
      </c>
      <c r="U719">
        <v>1</v>
      </c>
      <c r="V719">
        <v>0</v>
      </c>
      <c r="W719" t="s">
        <v>55</v>
      </c>
      <c r="X719" t="s">
        <v>1768</v>
      </c>
      <c r="Y719">
        <v>0</v>
      </c>
      <c r="Z719">
        <v>0</v>
      </c>
      <c r="AA719">
        <v>2007</v>
      </c>
      <c r="AB719">
        <v>9999</v>
      </c>
      <c r="AC719" t="s">
        <v>35</v>
      </c>
    </row>
    <row r="720" spans="1:29" x14ac:dyDescent="0.25">
      <c r="A720" s="31" t="s">
        <v>719</v>
      </c>
      <c r="B720" s="23" t="s">
        <v>720</v>
      </c>
      <c r="D720">
        <v>1</v>
      </c>
      <c r="E720" t="s">
        <v>51</v>
      </c>
      <c r="F720">
        <v>1</v>
      </c>
      <c r="G720">
        <v>2024</v>
      </c>
      <c r="I720">
        <v>32</v>
      </c>
      <c r="J720" t="s">
        <v>52</v>
      </c>
      <c r="K720" t="s">
        <v>53</v>
      </c>
      <c r="L720" t="s">
        <v>54</v>
      </c>
      <c r="M720">
        <v>0</v>
      </c>
      <c r="N720">
        <v>0</v>
      </c>
      <c r="O720">
        <v>0</v>
      </c>
      <c r="P720">
        <v>0</v>
      </c>
      <c r="Q720">
        <v>1</v>
      </c>
      <c r="R720">
        <v>0</v>
      </c>
      <c r="S720">
        <v>0</v>
      </c>
      <c r="T720">
        <v>0</v>
      </c>
      <c r="U720">
        <v>1</v>
      </c>
      <c r="V720">
        <v>0</v>
      </c>
      <c r="W720" t="s">
        <v>721</v>
      </c>
      <c r="X720" t="s">
        <v>1768</v>
      </c>
      <c r="Y720">
        <v>0</v>
      </c>
      <c r="Z720">
        <v>0</v>
      </c>
      <c r="AA720">
        <v>2007</v>
      </c>
      <c r="AB720">
        <v>9999</v>
      </c>
      <c r="AC720" t="s">
        <v>35</v>
      </c>
    </row>
    <row r="721" spans="1:29" x14ac:dyDescent="0.25">
      <c r="A721" s="31" t="s">
        <v>722</v>
      </c>
      <c r="B721" s="23" t="s">
        <v>723</v>
      </c>
      <c r="D721">
        <v>1</v>
      </c>
      <c r="E721" t="s">
        <v>724</v>
      </c>
      <c r="F721">
        <v>4</v>
      </c>
      <c r="G721">
        <v>2024</v>
      </c>
      <c r="I721" s="8">
        <v>1392.62</v>
      </c>
      <c r="J721" t="s">
        <v>1608</v>
      </c>
      <c r="K721" t="s">
        <v>32</v>
      </c>
      <c r="L721" t="s">
        <v>33</v>
      </c>
      <c r="M721">
        <v>0</v>
      </c>
      <c r="N721">
        <v>0</v>
      </c>
      <c r="O721">
        <v>0</v>
      </c>
      <c r="P721">
        <v>0</v>
      </c>
      <c r="Q721">
        <v>0</v>
      </c>
      <c r="R721">
        <v>1</v>
      </c>
      <c r="S721">
        <v>1</v>
      </c>
      <c r="T721">
        <v>1</v>
      </c>
      <c r="U721">
        <v>1</v>
      </c>
      <c r="V721">
        <v>0</v>
      </c>
      <c r="W721" t="s">
        <v>1161</v>
      </c>
      <c r="X721" t="s">
        <v>1769</v>
      </c>
      <c r="Y721">
        <v>0</v>
      </c>
      <c r="Z721">
        <v>0</v>
      </c>
      <c r="AA721">
        <v>2007</v>
      </c>
      <c r="AB721">
        <v>9999</v>
      </c>
      <c r="AC721" t="s">
        <v>35</v>
      </c>
    </row>
    <row r="722" spans="1:29" x14ac:dyDescent="0.25">
      <c r="A722" s="31" t="s">
        <v>726</v>
      </c>
      <c r="B722" s="23" t="s">
        <v>727</v>
      </c>
      <c r="D722">
        <v>1</v>
      </c>
      <c r="E722" t="s">
        <v>85</v>
      </c>
      <c r="F722">
        <v>1</v>
      </c>
      <c r="G722">
        <v>2024</v>
      </c>
      <c r="H722" t="s">
        <v>205</v>
      </c>
      <c r="I722">
        <v>7.5</v>
      </c>
      <c r="J722" t="s">
        <v>52</v>
      </c>
      <c r="K722" t="s">
        <v>41</v>
      </c>
      <c r="M722">
        <v>0</v>
      </c>
      <c r="N722">
        <v>0</v>
      </c>
      <c r="O722">
        <v>0</v>
      </c>
      <c r="P722">
        <v>0</v>
      </c>
      <c r="Q722">
        <v>0</v>
      </c>
      <c r="R722">
        <v>0</v>
      </c>
      <c r="S722">
        <v>0</v>
      </c>
      <c r="T722">
        <v>0</v>
      </c>
      <c r="U722">
        <v>0</v>
      </c>
      <c r="V722">
        <v>0</v>
      </c>
      <c r="W722" t="s">
        <v>1162</v>
      </c>
      <c r="X722" t="s">
        <v>1770</v>
      </c>
      <c r="Y722">
        <v>0</v>
      </c>
      <c r="Z722">
        <v>0</v>
      </c>
      <c r="AA722">
        <v>2007</v>
      </c>
      <c r="AB722">
        <v>9999</v>
      </c>
      <c r="AC722" t="s">
        <v>35</v>
      </c>
    </row>
    <row r="723" spans="1:29" x14ac:dyDescent="0.25">
      <c r="A723" s="31" t="s">
        <v>729</v>
      </c>
      <c r="B723" s="23" t="s">
        <v>205</v>
      </c>
      <c r="D723">
        <v>1</v>
      </c>
      <c r="E723" t="s">
        <v>168</v>
      </c>
      <c r="F723">
        <v>1</v>
      </c>
      <c r="G723">
        <v>2024</v>
      </c>
      <c r="I723" s="8">
        <v>9301.65</v>
      </c>
      <c r="J723" t="s">
        <v>52</v>
      </c>
      <c r="K723" t="s">
        <v>32</v>
      </c>
      <c r="M723">
        <v>0</v>
      </c>
      <c r="N723">
        <v>1</v>
      </c>
      <c r="O723">
        <v>0</v>
      </c>
      <c r="P723">
        <v>0</v>
      </c>
      <c r="Q723">
        <v>0</v>
      </c>
      <c r="R723">
        <v>0</v>
      </c>
      <c r="S723">
        <v>1</v>
      </c>
      <c r="T723">
        <v>1</v>
      </c>
      <c r="U723">
        <v>1</v>
      </c>
      <c r="V723">
        <v>0</v>
      </c>
      <c r="W723" t="s">
        <v>1555</v>
      </c>
      <c r="X723" t="s">
        <v>1771</v>
      </c>
      <c r="Y723">
        <v>2</v>
      </c>
      <c r="Z723">
        <v>0</v>
      </c>
      <c r="AA723">
        <v>2007</v>
      </c>
      <c r="AB723">
        <v>9999</v>
      </c>
      <c r="AC723" t="s">
        <v>35</v>
      </c>
    </row>
    <row r="724" spans="1:29" x14ac:dyDescent="0.25">
      <c r="A724" s="31" t="s">
        <v>731</v>
      </c>
      <c r="B724" s="23" t="s">
        <v>732</v>
      </c>
      <c r="D724">
        <v>1</v>
      </c>
      <c r="E724" t="s">
        <v>51</v>
      </c>
      <c r="F724">
        <v>10</v>
      </c>
      <c r="G724">
        <v>2024</v>
      </c>
      <c r="H724" t="s">
        <v>39</v>
      </c>
      <c r="I724">
        <v>2</v>
      </c>
      <c r="J724" t="s">
        <v>52</v>
      </c>
      <c r="K724" t="s">
        <v>41</v>
      </c>
      <c r="M724">
        <v>0</v>
      </c>
      <c r="N724">
        <v>0</v>
      </c>
      <c r="O724">
        <v>0</v>
      </c>
      <c r="P724">
        <v>0</v>
      </c>
      <c r="Q724">
        <v>0</v>
      </c>
      <c r="R724">
        <v>0</v>
      </c>
      <c r="S724">
        <v>0</v>
      </c>
      <c r="T724">
        <v>0</v>
      </c>
      <c r="U724">
        <v>0</v>
      </c>
      <c r="V724">
        <v>0</v>
      </c>
      <c r="W724" t="s">
        <v>1164</v>
      </c>
      <c r="X724" t="s">
        <v>1772</v>
      </c>
      <c r="Y724">
        <v>0</v>
      </c>
      <c r="Z724">
        <v>0</v>
      </c>
      <c r="AA724">
        <v>2007</v>
      </c>
      <c r="AB724">
        <v>9999</v>
      </c>
      <c r="AC724" t="s">
        <v>35</v>
      </c>
    </row>
    <row r="725" spans="1:29" x14ac:dyDescent="0.25">
      <c r="A725" s="31" t="s">
        <v>734</v>
      </c>
      <c r="B725" s="23" t="s">
        <v>735</v>
      </c>
      <c r="D725">
        <v>1</v>
      </c>
      <c r="E725" t="s">
        <v>736</v>
      </c>
      <c r="F725">
        <v>4</v>
      </c>
      <c r="G725">
        <v>2024</v>
      </c>
      <c r="I725" s="8">
        <v>693.55</v>
      </c>
      <c r="J725" t="s">
        <v>1608</v>
      </c>
      <c r="K725" t="s">
        <v>32</v>
      </c>
      <c r="M725">
        <v>0</v>
      </c>
      <c r="N725">
        <v>0</v>
      </c>
      <c r="O725">
        <v>0</v>
      </c>
      <c r="P725">
        <v>0</v>
      </c>
      <c r="Q725">
        <v>0</v>
      </c>
      <c r="R725">
        <v>0</v>
      </c>
      <c r="S725">
        <v>1</v>
      </c>
      <c r="T725">
        <v>1</v>
      </c>
      <c r="U725">
        <v>1</v>
      </c>
      <c r="V725">
        <v>0</v>
      </c>
      <c r="W725" t="s">
        <v>1324</v>
      </c>
      <c r="X725" t="s">
        <v>1773</v>
      </c>
      <c r="Y725">
        <v>0</v>
      </c>
      <c r="Z725">
        <v>0</v>
      </c>
      <c r="AA725">
        <v>2007</v>
      </c>
      <c r="AB725">
        <v>9999</v>
      </c>
      <c r="AC725" t="s">
        <v>35</v>
      </c>
    </row>
    <row r="726" spans="1:29" x14ac:dyDescent="0.25">
      <c r="A726" s="31" t="s">
        <v>1499</v>
      </c>
      <c r="B726" s="23" t="s">
        <v>1500</v>
      </c>
      <c r="D726">
        <v>1</v>
      </c>
      <c r="E726" s="4">
        <v>960</v>
      </c>
      <c r="F726">
        <v>9</v>
      </c>
      <c r="G726">
        <v>2024</v>
      </c>
      <c r="I726" s="8">
        <v>15</v>
      </c>
      <c r="J726" t="s">
        <v>104</v>
      </c>
      <c r="K726" t="s">
        <v>47</v>
      </c>
      <c r="M726">
        <v>0</v>
      </c>
      <c r="N726">
        <v>0</v>
      </c>
      <c r="O726">
        <v>0</v>
      </c>
      <c r="P726">
        <v>0</v>
      </c>
      <c r="Q726">
        <v>0</v>
      </c>
      <c r="R726">
        <v>0</v>
      </c>
      <c r="S726">
        <v>1</v>
      </c>
      <c r="T726">
        <v>1</v>
      </c>
      <c r="U726">
        <v>1</v>
      </c>
      <c r="V726">
        <v>0</v>
      </c>
      <c r="W726" t="s">
        <v>1501</v>
      </c>
      <c r="X726" t="s">
        <v>1774</v>
      </c>
      <c r="Y726">
        <v>2</v>
      </c>
      <c r="Z726">
        <v>0</v>
      </c>
      <c r="AA726">
        <v>2015</v>
      </c>
      <c r="AB726">
        <v>9999</v>
      </c>
      <c r="AC726" t="s">
        <v>1475</v>
      </c>
    </row>
    <row r="727" spans="1:29" x14ac:dyDescent="0.25">
      <c r="A727" s="31" t="s">
        <v>738</v>
      </c>
      <c r="B727" s="23" t="s">
        <v>739</v>
      </c>
      <c r="D727">
        <v>1</v>
      </c>
      <c r="E727" t="s">
        <v>128</v>
      </c>
      <c r="F727">
        <v>9</v>
      </c>
      <c r="G727">
        <v>2024</v>
      </c>
      <c r="H727" t="s">
        <v>1262</v>
      </c>
      <c r="I727">
        <v>16</v>
      </c>
      <c r="J727" t="s">
        <v>104</v>
      </c>
      <c r="K727" t="s">
        <v>41</v>
      </c>
      <c r="M727">
        <v>0</v>
      </c>
      <c r="N727">
        <v>0</v>
      </c>
      <c r="O727">
        <v>0</v>
      </c>
      <c r="P727">
        <v>0</v>
      </c>
      <c r="Q727">
        <v>0</v>
      </c>
      <c r="R727">
        <v>0</v>
      </c>
      <c r="S727">
        <v>0</v>
      </c>
      <c r="T727">
        <v>0</v>
      </c>
      <c r="U727">
        <v>0</v>
      </c>
      <c r="V727">
        <v>0</v>
      </c>
      <c r="W727" t="s">
        <v>1166</v>
      </c>
      <c r="X727" t="s">
        <v>1775</v>
      </c>
      <c r="Y727">
        <v>0</v>
      </c>
      <c r="Z727">
        <v>0</v>
      </c>
      <c r="AA727">
        <v>2007</v>
      </c>
      <c r="AB727">
        <v>9999</v>
      </c>
      <c r="AC727" t="s">
        <v>35</v>
      </c>
    </row>
    <row r="728" spans="1:29" x14ac:dyDescent="0.25">
      <c r="A728" s="31" t="s">
        <v>745</v>
      </c>
      <c r="B728" s="23" t="s">
        <v>746</v>
      </c>
      <c r="D728">
        <v>1</v>
      </c>
      <c r="E728" t="s">
        <v>468</v>
      </c>
      <c r="F728">
        <v>7</v>
      </c>
      <c r="G728">
        <v>2024</v>
      </c>
      <c r="I728" s="8">
        <v>898.85</v>
      </c>
      <c r="J728" t="s">
        <v>40</v>
      </c>
      <c r="K728" t="s">
        <v>32</v>
      </c>
      <c r="M728">
        <v>0</v>
      </c>
      <c r="N728">
        <v>0</v>
      </c>
      <c r="O728">
        <v>0</v>
      </c>
      <c r="P728">
        <v>0</v>
      </c>
      <c r="Q728">
        <v>0</v>
      </c>
      <c r="R728">
        <v>0</v>
      </c>
      <c r="S728">
        <v>1</v>
      </c>
      <c r="T728">
        <v>1</v>
      </c>
      <c r="U728">
        <v>1</v>
      </c>
      <c r="V728">
        <v>0</v>
      </c>
      <c r="W728" t="s">
        <v>1516</v>
      </c>
      <c r="X728" t="s">
        <v>1776</v>
      </c>
      <c r="Y728">
        <v>2</v>
      </c>
      <c r="Z728">
        <v>2</v>
      </c>
      <c r="AA728">
        <v>2007</v>
      </c>
      <c r="AB728">
        <v>9999</v>
      </c>
      <c r="AC728" t="s">
        <v>35</v>
      </c>
    </row>
    <row r="729" spans="1:29" x14ac:dyDescent="0.25">
      <c r="A729" s="31" t="s">
        <v>1263</v>
      </c>
      <c r="B729" s="23" t="s">
        <v>1264</v>
      </c>
      <c r="C729" t="s">
        <v>1265</v>
      </c>
      <c r="D729">
        <v>1</v>
      </c>
      <c r="E729" t="s">
        <v>712</v>
      </c>
      <c r="F729">
        <v>9</v>
      </c>
      <c r="G729">
        <v>2024</v>
      </c>
      <c r="I729" s="8">
        <v>1130.26</v>
      </c>
      <c r="J729" t="s">
        <v>104</v>
      </c>
      <c r="K729" t="s">
        <v>47</v>
      </c>
      <c r="M729">
        <v>1</v>
      </c>
      <c r="N729">
        <v>0</v>
      </c>
      <c r="O729">
        <v>0</v>
      </c>
      <c r="P729">
        <v>0</v>
      </c>
      <c r="Q729">
        <v>0</v>
      </c>
      <c r="R729">
        <v>0</v>
      </c>
      <c r="S729">
        <v>1</v>
      </c>
      <c r="T729">
        <v>1</v>
      </c>
      <c r="U729">
        <v>1</v>
      </c>
      <c r="V729">
        <v>0</v>
      </c>
      <c r="W729" t="s">
        <v>1407</v>
      </c>
      <c r="X729" t="s">
        <v>1777</v>
      </c>
      <c r="Y729">
        <v>1</v>
      </c>
      <c r="Z729">
        <v>0</v>
      </c>
      <c r="AA729">
        <v>2009</v>
      </c>
      <c r="AB729">
        <v>9999</v>
      </c>
      <c r="AC729" t="s">
        <v>1239</v>
      </c>
    </row>
    <row r="730" spans="1:29" x14ac:dyDescent="0.25">
      <c r="A730" s="31" t="s">
        <v>447</v>
      </c>
      <c r="B730" s="23" t="s">
        <v>1571</v>
      </c>
      <c r="D730">
        <v>1</v>
      </c>
      <c r="E730" t="s">
        <v>45</v>
      </c>
      <c r="F730">
        <v>4</v>
      </c>
      <c r="G730">
        <v>2024</v>
      </c>
      <c r="I730" s="8">
        <v>60.05</v>
      </c>
      <c r="J730" t="s">
        <v>52</v>
      </c>
      <c r="K730" t="s">
        <v>32</v>
      </c>
      <c r="M730">
        <v>0</v>
      </c>
      <c r="N730">
        <v>0</v>
      </c>
      <c r="O730">
        <v>0</v>
      </c>
      <c r="P730">
        <v>0</v>
      </c>
      <c r="Q730">
        <v>0</v>
      </c>
      <c r="R730">
        <v>0</v>
      </c>
      <c r="S730">
        <v>1</v>
      </c>
      <c r="T730">
        <v>1</v>
      </c>
      <c r="U730">
        <v>1</v>
      </c>
      <c r="V730">
        <v>0</v>
      </c>
      <c r="W730" t="s">
        <v>1572</v>
      </c>
      <c r="X730" t="s">
        <v>1778</v>
      </c>
      <c r="Y730">
        <v>0</v>
      </c>
      <c r="Z730">
        <v>2</v>
      </c>
      <c r="AA730">
        <v>2007</v>
      </c>
      <c r="AB730">
        <v>9999</v>
      </c>
      <c r="AC730" t="s">
        <v>35</v>
      </c>
    </row>
    <row r="731" spans="1:29" x14ac:dyDescent="0.25">
      <c r="A731" s="31" t="s">
        <v>754</v>
      </c>
      <c r="B731" s="23" t="s">
        <v>755</v>
      </c>
      <c r="D731">
        <v>1</v>
      </c>
      <c r="E731" t="s">
        <v>85</v>
      </c>
      <c r="F731">
        <v>1</v>
      </c>
      <c r="G731">
        <v>2024</v>
      </c>
      <c r="H731" t="s">
        <v>756</v>
      </c>
      <c r="I731">
        <v>0</v>
      </c>
      <c r="J731" t="s">
        <v>52</v>
      </c>
      <c r="K731" t="s">
        <v>41</v>
      </c>
      <c r="M731">
        <v>0</v>
      </c>
      <c r="N731">
        <v>0</v>
      </c>
      <c r="O731">
        <v>0</v>
      </c>
      <c r="P731">
        <v>0</v>
      </c>
      <c r="Q731">
        <v>0</v>
      </c>
      <c r="R731">
        <v>0</v>
      </c>
      <c r="S731">
        <v>0</v>
      </c>
      <c r="T731">
        <v>0</v>
      </c>
      <c r="U731">
        <v>0</v>
      </c>
      <c r="V731">
        <v>0</v>
      </c>
      <c r="W731" t="s">
        <v>1169</v>
      </c>
      <c r="X731" t="s">
        <v>1779</v>
      </c>
      <c r="Y731">
        <v>0</v>
      </c>
      <c r="Z731">
        <v>0</v>
      </c>
      <c r="AA731">
        <v>2007</v>
      </c>
      <c r="AB731">
        <v>9999</v>
      </c>
      <c r="AC731" t="s">
        <v>35</v>
      </c>
    </row>
    <row r="732" spans="1:29" ht="30" x14ac:dyDescent="0.25">
      <c r="A732" s="31" t="s">
        <v>758</v>
      </c>
      <c r="B732" s="23" t="s">
        <v>1504</v>
      </c>
      <c r="C732" t="s">
        <v>1505</v>
      </c>
      <c r="D732">
        <v>1</v>
      </c>
      <c r="E732" t="s">
        <v>760</v>
      </c>
      <c r="F732">
        <v>7</v>
      </c>
      <c r="G732">
        <v>2024</v>
      </c>
      <c r="I732" s="8">
        <v>78.150000000000006</v>
      </c>
      <c r="J732" t="s">
        <v>40</v>
      </c>
      <c r="K732" t="s">
        <v>47</v>
      </c>
      <c r="M732">
        <v>1</v>
      </c>
      <c r="N732">
        <v>0</v>
      </c>
      <c r="O732">
        <v>0</v>
      </c>
      <c r="P732">
        <v>0</v>
      </c>
      <c r="Q732">
        <v>0</v>
      </c>
      <c r="R732">
        <v>0</v>
      </c>
      <c r="S732">
        <v>1</v>
      </c>
      <c r="T732">
        <v>1</v>
      </c>
      <c r="U732">
        <v>1</v>
      </c>
      <c r="V732">
        <v>0</v>
      </c>
      <c r="W732" t="s">
        <v>1170</v>
      </c>
      <c r="X732" t="s">
        <v>1780</v>
      </c>
      <c r="Y732">
        <v>1</v>
      </c>
      <c r="Z732">
        <v>0</v>
      </c>
      <c r="AA732">
        <v>2007</v>
      </c>
      <c r="AB732">
        <v>9999</v>
      </c>
      <c r="AC732" t="s">
        <v>35</v>
      </c>
    </row>
    <row r="733" spans="1:29" x14ac:dyDescent="0.25">
      <c r="A733" s="31" t="s">
        <v>78</v>
      </c>
      <c r="B733" s="23" t="s">
        <v>1465</v>
      </c>
      <c r="C733" t="s">
        <v>1466</v>
      </c>
      <c r="D733">
        <v>1</v>
      </c>
      <c r="E733" t="s">
        <v>80</v>
      </c>
      <c r="F733">
        <v>8</v>
      </c>
      <c r="G733">
        <v>2024</v>
      </c>
      <c r="I733" s="8">
        <v>35.26</v>
      </c>
      <c r="J733" t="s">
        <v>81</v>
      </c>
      <c r="K733" t="s">
        <v>47</v>
      </c>
      <c r="M733">
        <v>1</v>
      </c>
      <c r="N733">
        <v>0</v>
      </c>
      <c r="O733">
        <v>0</v>
      </c>
      <c r="P733">
        <v>0</v>
      </c>
      <c r="Q733">
        <v>0</v>
      </c>
      <c r="R733">
        <v>0</v>
      </c>
      <c r="S733">
        <v>1</v>
      </c>
      <c r="T733">
        <v>1</v>
      </c>
      <c r="U733">
        <v>1</v>
      </c>
      <c r="V733">
        <v>0</v>
      </c>
      <c r="W733" t="s">
        <v>1467</v>
      </c>
      <c r="X733" t="s">
        <v>1781</v>
      </c>
      <c r="Y733">
        <v>0</v>
      </c>
      <c r="Z733">
        <v>0</v>
      </c>
      <c r="AA733">
        <v>2007</v>
      </c>
      <c r="AB733">
        <v>9999</v>
      </c>
      <c r="AC733" t="s">
        <v>35</v>
      </c>
    </row>
    <row r="734" spans="1:29" x14ac:dyDescent="0.25">
      <c r="A734" s="31" t="s">
        <v>768</v>
      </c>
      <c r="B734" s="23" t="s">
        <v>769</v>
      </c>
      <c r="C734" t="s">
        <v>770</v>
      </c>
      <c r="D734">
        <v>1</v>
      </c>
      <c r="E734" t="s">
        <v>30</v>
      </c>
      <c r="F734">
        <v>4</v>
      </c>
      <c r="G734">
        <v>2024</v>
      </c>
      <c r="I734" s="8">
        <v>468.77</v>
      </c>
      <c r="J734" t="s">
        <v>1610</v>
      </c>
      <c r="K734" t="s">
        <v>47</v>
      </c>
      <c r="M734">
        <v>1</v>
      </c>
      <c r="N734">
        <v>0</v>
      </c>
      <c r="O734">
        <v>0</v>
      </c>
      <c r="P734">
        <v>0</v>
      </c>
      <c r="Q734">
        <v>0</v>
      </c>
      <c r="R734">
        <v>0</v>
      </c>
      <c r="S734">
        <v>1</v>
      </c>
      <c r="T734">
        <v>1</v>
      </c>
      <c r="U734">
        <v>1</v>
      </c>
      <c r="V734">
        <v>0</v>
      </c>
      <c r="W734" t="s">
        <v>1506</v>
      </c>
      <c r="X734" t="s">
        <v>1782</v>
      </c>
      <c r="Y734">
        <v>1</v>
      </c>
      <c r="Z734">
        <v>1</v>
      </c>
      <c r="AA734">
        <v>2007</v>
      </c>
      <c r="AB734">
        <v>9999</v>
      </c>
      <c r="AC734" t="s">
        <v>35</v>
      </c>
    </row>
    <row r="735" spans="1:29" x14ac:dyDescent="0.25">
      <c r="A735" s="31" t="s">
        <v>772</v>
      </c>
      <c r="B735" s="23" t="s">
        <v>773</v>
      </c>
      <c r="C735" t="s">
        <v>774</v>
      </c>
      <c r="D735">
        <v>1</v>
      </c>
      <c r="E735" t="s">
        <v>358</v>
      </c>
      <c r="F735">
        <v>1</v>
      </c>
      <c r="G735">
        <v>2024</v>
      </c>
      <c r="I735" s="8">
        <v>540.69000000000005</v>
      </c>
      <c r="J735" t="s">
        <v>52</v>
      </c>
      <c r="K735" t="s">
        <v>32</v>
      </c>
      <c r="M735">
        <v>0</v>
      </c>
      <c r="N735">
        <v>1</v>
      </c>
      <c r="O735">
        <v>0</v>
      </c>
      <c r="P735">
        <v>0</v>
      </c>
      <c r="Q735">
        <v>0</v>
      </c>
      <c r="R735">
        <v>0</v>
      </c>
      <c r="S735">
        <v>1</v>
      </c>
      <c r="T735">
        <v>1</v>
      </c>
      <c r="U735">
        <v>1</v>
      </c>
      <c r="V735">
        <v>0</v>
      </c>
      <c r="W735" t="s">
        <v>1174</v>
      </c>
      <c r="X735" t="s">
        <v>1783</v>
      </c>
      <c r="Y735">
        <v>0</v>
      </c>
      <c r="Z735">
        <v>0</v>
      </c>
      <c r="AA735">
        <v>2007</v>
      </c>
      <c r="AB735">
        <v>9999</v>
      </c>
      <c r="AC735" t="s">
        <v>35</v>
      </c>
    </row>
    <row r="736" spans="1:29" x14ac:dyDescent="0.25">
      <c r="A736" s="31" t="s">
        <v>779</v>
      </c>
      <c r="B736" s="23" t="s">
        <v>780</v>
      </c>
      <c r="D736">
        <v>1</v>
      </c>
      <c r="E736" t="s">
        <v>80</v>
      </c>
      <c r="F736">
        <v>8</v>
      </c>
      <c r="G736">
        <v>2024</v>
      </c>
      <c r="I736" s="8">
        <v>72.97</v>
      </c>
      <c r="J736" t="s">
        <v>81</v>
      </c>
      <c r="K736" t="s">
        <v>47</v>
      </c>
      <c r="M736">
        <v>0</v>
      </c>
      <c r="N736">
        <v>0</v>
      </c>
      <c r="O736">
        <v>0</v>
      </c>
      <c r="P736">
        <v>0</v>
      </c>
      <c r="Q736">
        <v>0</v>
      </c>
      <c r="R736">
        <v>0</v>
      </c>
      <c r="S736">
        <v>1</v>
      </c>
      <c r="T736">
        <v>1</v>
      </c>
      <c r="U736">
        <v>1</v>
      </c>
      <c r="V736">
        <v>0</v>
      </c>
      <c r="W736" t="s">
        <v>1176</v>
      </c>
      <c r="X736" t="s">
        <v>1784</v>
      </c>
      <c r="Y736">
        <v>0</v>
      </c>
      <c r="Z736">
        <v>1</v>
      </c>
      <c r="AA736">
        <v>2007</v>
      </c>
      <c r="AB736">
        <v>2025</v>
      </c>
      <c r="AC736" t="s">
        <v>2057</v>
      </c>
    </row>
    <row r="737" spans="1:29" x14ac:dyDescent="0.25">
      <c r="A737" s="31" t="s">
        <v>782</v>
      </c>
      <c r="B737" s="23" t="s">
        <v>783</v>
      </c>
      <c r="D737">
        <v>1</v>
      </c>
      <c r="E737" t="s">
        <v>784</v>
      </c>
      <c r="F737">
        <v>6</v>
      </c>
      <c r="G737">
        <v>2024</v>
      </c>
      <c r="I737" s="8">
        <v>94.51</v>
      </c>
      <c r="J737" t="s">
        <v>1610</v>
      </c>
      <c r="K737" t="s">
        <v>47</v>
      </c>
      <c r="M737">
        <v>0</v>
      </c>
      <c r="N737">
        <v>0</v>
      </c>
      <c r="O737">
        <v>0</v>
      </c>
      <c r="P737">
        <v>0</v>
      </c>
      <c r="Q737">
        <v>0</v>
      </c>
      <c r="R737">
        <v>0</v>
      </c>
      <c r="S737">
        <v>1</v>
      </c>
      <c r="T737">
        <v>1</v>
      </c>
      <c r="U737">
        <v>1</v>
      </c>
      <c r="V737">
        <v>0</v>
      </c>
      <c r="W737" t="s">
        <v>1326</v>
      </c>
      <c r="X737" t="s">
        <v>1785</v>
      </c>
      <c r="Y737">
        <v>0</v>
      </c>
      <c r="Z737">
        <v>2</v>
      </c>
      <c r="AA737">
        <v>2007</v>
      </c>
      <c r="AB737">
        <v>9999</v>
      </c>
      <c r="AC737" t="s">
        <v>35</v>
      </c>
    </row>
    <row r="738" spans="1:29" x14ac:dyDescent="0.25">
      <c r="A738" s="31" t="s">
        <v>786</v>
      </c>
      <c r="B738" s="23" t="s">
        <v>787</v>
      </c>
      <c r="C738" t="s">
        <v>788</v>
      </c>
      <c r="D738">
        <v>1</v>
      </c>
      <c r="E738" t="s">
        <v>120</v>
      </c>
      <c r="F738">
        <v>3</v>
      </c>
      <c r="G738">
        <v>2024</v>
      </c>
      <c r="I738" s="8">
        <v>28.2</v>
      </c>
      <c r="J738" t="s">
        <v>147</v>
      </c>
      <c r="K738" t="s">
        <v>47</v>
      </c>
      <c r="M738">
        <v>0</v>
      </c>
      <c r="N738">
        <v>0</v>
      </c>
      <c r="O738">
        <v>0</v>
      </c>
      <c r="P738">
        <v>0</v>
      </c>
      <c r="Q738">
        <v>0</v>
      </c>
      <c r="R738">
        <v>0</v>
      </c>
      <c r="S738">
        <v>1</v>
      </c>
      <c r="T738">
        <v>1</v>
      </c>
      <c r="U738">
        <v>1</v>
      </c>
      <c r="V738">
        <v>0</v>
      </c>
      <c r="W738" t="s">
        <v>1178</v>
      </c>
      <c r="X738" t="s">
        <v>1786</v>
      </c>
      <c r="Y738">
        <v>0</v>
      </c>
      <c r="Z738">
        <v>0</v>
      </c>
      <c r="AA738">
        <v>2007</v>
      </c>
      <c r="AB738">
        <v>9999</v>
      </c>
      <c r="AC738" t="s">
        <v>35</v>
      </c>
    </row>
    <row r="739" spans="1:29" x14ac:dyDescent="0.25">
      <c r="A739" s="31" t="s">
        <v>790</v>
      </c>
      <c r="B739" s="23" t="s">
        <v>791</v>
      </c>
      <c r="D739">
        <v>1</v>
      </c>
      <c r="E739" t="s">
        <v>80</v>
      </c>
      <c r="F739">
        <v>8</v>
      </c>
      <c r="G739">
        <v>2024</v>
      </c>
      <c r="I739" s="8">
        <v>299.83999999999997</v>
      </c>
      <c r="J739" t="s">
        <v>81</v>
      </c>
      <c r="K739" t="s">
        <v>47</v>
      </c>
      <c r="M739">
        <v>1</v>
      </c>
      <c r="N739">
        <v>0</v>
      </c>
      <c r="O739">
        <v>0</v>
      </c>
      <c r="P739">
        <v>0</v>
      </c>
      <c r="Q739">
        <v>0</v>
      </c>
      <c r="R739">
        <v>0</v>
      </c>
      <c r="S739">
        <v>1</v>
      </c>
      <c r="T739">
        <v>1</v>
      </c>
      <c r="U739">
        <v>1</v>
      </c>
      <c r="V739">
        <v>0</v>
      </c>
      <c r="W739" t="s">
        <v>1507</v>
      </c>
      <c r="X739" t="s">
        <v>1787</v>
      </c>
      <c r="Y739">
        <v>0</v>
      </c>
      <c r="Z739">
        <v>0</v>
      </c>
      <c r="AA739">
        <v>2007</v>
      </c>
      <c r="AB739">
        <v>9999</v>
      </c>
      <c r="AC739" t="s">
        <v>35</v>
      </c>
    </row>
    <row r="740" spans="1:29" ht="26.25" x14ac:dyDescent="0.25">
      <c r="A740" s="31" t="s">
        <v>1327</v>
      </c>
      <c r="B740" s="26" t="s">
        <v>1328</v>
      </c>
      <c r="C740" t="s">
        <v>1329</v>
      </c>
      <c r="D740">
        <v>1</v>
      </c>
      <c r="E740" t="s">
        <v>218</v>
      </c>
      <c r="F740">
        <v>2</v>
      </c>
      <c r="G740">
        <v>2024</v>
      </c>
      <c r="I740" s="8">
        <v>6</v>
      </c>
      <c r="J740" t="s">
        <v>147</v>
      </c>
      <c r="K740" t="s">
        <v>41</v>
      </c>
      <c r="M740">
        <v>0</v>
      </c>
      <c r="N740">
        <v>0</v>
      </c>
      <c r="O740">
        <v>0</v>
      </c>
      <c r="P740">
        <v>0</v>
      </c>
      <c r="Q740">
        <v>0</v>
      </c>
      <c r="R740">
        <v>0</v>
      </c>
      <c r="S740">
        <v>0</v>
      </c>
      <c r="T740">
        <v>1</v>
      </c>
      <c r="U740">
        <v>1</v>
      </c>
      <c r="V740">
        <v>0</v>
      </c>
      <c r="W740" t="s">
        <v>1330</v>
      </c>
      <c r="X740" t="s">
        <v>1788</v>
      </c>
      <c r="Y740">
        <v>0</v>
      </c>
      <c r="Z740">
        <v>0</v>
      </c>
      <c r="AA740">
        <v>2010</v>
      </c>
      <c r="AB740">
        <v>9999</v>
      </c>
      <c r="AC740" t="s">
        <v>1292</v>
      </c>
    </row>
    <row r="741" spans="1:29" x14ac:dyDescent="0.25">
      <c r="A741" s="31" t="s">
        <v>796</v>
      </c>
      <c r="B741" s="23" t="s">
        <v>797</v>
      </c>
      <c r="C741" t="s">
        <v>798</v>
      </c>
      <c r="D741">
        <v>1</v>
      </c>
      <c r="E741" t="s">
        <v>534</v>
      </c>
      <c r="F741">
        <v>10</v>
      </c>
      <c r="G741">
        <v>2024</v>
      </c>
      <c r="I741" s="8">
        <v>4063.9</v>
      </c>
      <c r="J741" t="s">
        <v>40</v>
      </c>
      <c r="K741" t="s">
        <v>47</v>
      </c>
      <c r="M741">
        <v>1</v>
      </c>
      <c r="N741">
        <v>0</v>
      </c>
      <c r="O741">
        <v>0</v>
      </c>
      <c r="P741">
        <v>0</v>
      </c>
      <c r="Q741">
        <v>0</v>
      </c>
      <c r="R741">
        <v>0</v>
      </c>
      <c r="S741">
        <v>1</v>
      </c>
      <c r="T741">
        <v>1</v>
      </c>
      <c r="U741">
        <v>1</v>
      </c>
      <c r="V741">
        <v>0</v>
      </c>
      <c r="W741" t="s">
        <v>1181</v>
      </c>
      <c r="X741" t="s">
        <v>1789</v>
      </c>
      <c r="Y741">
        <v>0</v>
      </c>
      <c r="Z741">
        <v>0</v>
      </c>
      <c r="AA741">
        <v>2007</v>
      </c>
      <c r="AB741">
        <v>9999</v>
      </c>
      <c r="AC741" t="s">
        <v>35</v>
      </c>
    </row>
    <row r="742" spans="1:29" x14ac:dyDescent="0.25">
      <c r="A742" s="31" t="s">
        <v>800</v>
      </c>
      <c r="B742" s="23" t="s">
        <v>801</v>
      </c>
      <c r="C742" t="s">
        <v>802</v>
      </c>
      <c r="D742">
        <v>1</v>
      </c>
      <c r="E742" t="s">
        <v>442</v>
      </c>
      <c r="F742">
        <v>4</v>
      </c>
      <c r="G742">
        <v>2024</v>
      </c>
      <c r="I742" s="19">
        <v>1636.76</v>
      </c>
      <c r="J742" t="s">
        <v>1608</v>
      </c>
      <c r="K742" t="s">
        <v>32</v>
      </c>
      <c r="M742">
        <v>0</v>
      </c>
      <c r="N742">
        <v>1</v>
      </c>
      <c r="O742">
        <v>0</v>
      </c>
      <c r="P742">
        <v>0</v>
      </c>
      <c r="Q742">
        <v>0</v>
      </c>
      <c r="R742">
        <v>0</v>
      </c>
      <c r="S742">
        <v>1</v>
      </c>
      <c r="T742">
        <v>1</v>
      </c>
      <c r="U742">
        <v>1</v>
      </c>
      <c r="V742">
        <v>0</v>
      </c>
      <c r="W742" t="s">
        <v>1331</v>
      </c>
      <c r="X742" t="s">
        <v>1790</v>
      </c>
      <c r="Y742">
        <v>6</v>
      </c>
      <c r="Z742">
        <v>4</v>
      </c>
      <c r="AA742">
        <v>2007</v>
      </c>
      <c r="AB742">
        <v>9999</v>
      </c>
      <c r="AC742" t="s">
        <v>35</v>
      </c>
    </row>
    <row r="743" spans="1:29" x14ac:dyDescent="0.25">
      <c r="A743" s="31" t="s">
        <v>808</v>
      </c>
      <c r="B743" s="23" t="s">
        <v>809</v>
      </c>
      <c r="D743">
        <v>1</v>
      </c>
      <c r="E743" t="s">
        <v>80</v>
      </c>
      <c r="F743">
        <v>8</v>
      </c>
      <c r="G743">
        <v>2024</v>
      </c>
      <c r="I743" s="8">
        <v>18.399999999999999</v>
      </c>
      <c r="J743" t="s">
        <v>81</v>
      </c>
      <c r="K743" t="s">
        <v>47</v>
      </c>
      <c r="M743">
        <v>1</v>
      </c>
      <c r="N743">
        <v>0</v>
      </c>
      <c r="O743">
        <v>0</v>
      </c>
      <c r="P743">
        <v>0</v>
      </c>
      <c r="Q743">
        <v>0</v>
      </c>
      <c r="R743">
        <v>0</v>
      </c>
      <c r="S743">
        <v>1</v>
      </c>
      <c r="T743">
        <v>1</v>
      </c>
      <c r="U743">
        <v>1</v>
      </c>
      <c r="V743">
        <v>0</v>
      </c>
      <c r="W743" t="s">
        <v>1184</v>
      </c>
      <c r="X743" t="s">
        <v>1791</v>
      </c>
      <c r="Y743">
        <v>0</v>
      </c>
      <c r="Z743">
        <v>0</v>
      </c>
      <c r="AA743">
        <v>2007</v>
      </c>
      <c r="AB743">
        <v>9999</v>
      </c>
      <c r="AC743" t="s">
        <v>35</v>
      </c>
    </row>
    <row r="744" spans="1:29" x14ac:dyDescent="0.25">
      <c r="A744" s="31" t="s">
        <v>814</v>
      </c>
      <c r="B744" s="23" t="s">
        <v>815</v>
      </c>
      <c r="D744">
        <v>1</v>
      </c>
      <c r="E744" t="s">
        <v>80</v>
      </c>
      <c r="F744">
        <v>8</v>
      </c>
      <c r="G744">
        <v>2024</v>
      </c>
      <c r="I744" s="8">
        <v>92.3</v>
      </c>
      <c r="J744" t="s">
        <v>81</v>
      </c>
      <c r="K744" t="s">
        <v>32</v>
      </c>
      <c r="M744">
        <v>0</v>
      </c>
      <c r="N744">
        <v>0</v>
      </c>
      <c r="O744">
        <v>0</v>
      </c>
      <c r="P744">
        <v>0</v>
      </c>
      <c r="Q744">
        <v>0</v>
      </c>
      <c r="R744">
        <v>0</v>
      </c>
      <c r="S744">
        <v>1</v>
      </c>
      <c r="T744">
        <v>1</v>
      </c>
      <c r="U744">
        <v>1</v>
      </c>
      <c r="V744">
        <v>0</v>
      </c>
      <c r="W744" t="s">
        <v>1432</v>
      </c>
      <c r="X744" t="s">
        <v>1792</v>
      </c>
      <c r="Y744">
        <v>1</v>
      </c>
      <c r="Z744">
        <v>2</v>
      </c>
      <c r="AA744">
        <v>2007</v>
      </c>
      <c r="AB744">
        <v>9999</v>
      </c>
      <c r="AC744" t="s">
        <v>35</v>
      </c>
    </row>
    <row r="745" spans="1:29" x14ac:dyDescent="0.25">
      <c r="A745" s="31" t="s">
        <v>822</v>
      </c>
      <c r="B745" s="23" t="s">
        <v>1603</v>
      </c>
      <c r="C745" t="s">
        <v>1604</v>
      </c>
      <c r="D745">
        <v>1</v>
      </c>
      <c r="E745" t="s">
        <v>80</v>
      </c>
      <c r="F745">
        <v>8</v>
      </c>
      <c r="G745">
        <v>2024</v>
      </c>
      <c r="I745" s="8">
        <v>260.69</v>
      </c>
      <c r="J745" t="s">
        <v>81</v>
      </c>
      <c r="K745" t="s">
        <v>47</v>
      </c>
      <c r="M745">
        <v>0</v>
      </c>
      <c r="N745">
        <v>0</v>
      </c>
      <c r="O745">
        <v>0</v>
      </c>
      <c r="P745">
        <v>0</v>
      </c>
      <c r="Q745">
        <v>0</v>
      </c>
      <c r="R745">
        <v>0</v>
      </c>
      <c r="S745">
        <v>1</v>
      </c>
      <c r="T745">
        <v>1</v>
      </c>
      <c r="U745">
        <v>1</v>
      </c>
      <c r="V745">
        <v>0</v>
      </c>
      <c r="W745" t="s">
        <v>1187</v>
      </c>
      <c r="X745" t="s">
        <v>1793</v>
      </c>
      <c r="Y745">
        <v>0</v>
      </c>
      <c r="Z745">
        <v>0</v>
      </c>
      <c r="AA745">
        <v>2007</v>
      </c>
      <c r="AB745">
        <v>9999</v>
      </c>
      <c r="AC745" t="s">
        <v>35</v>
      </c>
    </row>
    <row r="746" spans="1:29" x14ac:dyDescent="0.25">
      <c r="A746" s="31" t="s">
        <v>825</v>
      </c>
      <c r="B746" s="23" t="s">
        <v>826</v>
      </c>
      <c r="D746">
        <v>1</v>
      </c>
      <c r="E746" t="s">
        <v>80</v>
      </c>
      <c r="F746">
        <v>8</v>
      </c>
      <c r="G746">
        <v>2024</v>
      </c>
      <c r="I746" s="8">
        <v>131.9</v>
      </c>
      <c r="J746" t="s">
        <v>81</v>
      </c>
      <c r="K746" t="s">
        <v>47</v>
      </c>
      <c r="M746">
        <v>0</v>
      </c>
      <c r="N746">
        <v>0</v>
      </c>
      <c r="O746">
        <v>0</v>
      </c>
      <c r="P746">
        <v>0</v>
      </c>
      <c r="Q746">
        <v>0</v>
      </c>
      <c r="R746">
        <v>0</v>
      </c>
      <c r="S746">
        <v>1</v>
      </c>
      <c r="T746">
        <v>1</v>
      </c>
      <c r="U746">
        <v>1</v>
      </c>
      <c r="V746">
        <v>0</v>
      </c>
      <c r="W746" t="s">
        <v>1188</v>
      </c>
      <c r="X746" t="s">
        <v>1794</v>
      </c>
      <c r="Y746">
        <v>0</v>
      </c>
      <c r="Z746">
        <v>0</v>
      </c>
      <c r="AA746">
        <v>2007</v>
      </c>
      <c r="AB746">
        <v>9999</v>
      </c>
      <c r="AC746" t="s">
        <v>35</v>
      </c>
    </row>
    <row r="747" spans="1:29" x14ac:dyDescent="0.25">
      <c r="A747" s="31" t="s">
        <v>828</v>
      </c>
      <c r="B747" s="23" t="s">
        <v>1408</v>
      </c>
      <c r="C747" t="s">
        <v>1409</v>
      </c>
      <c r="D747">
        <v>1</v>
      </c>
      <c r="E747" t="s">
        <v>80</v>
      </c>
      <c r="F747">
        <v>8</v>
      </c>
      <c r="G747">
        <v>2024</v>
      </c>
      <c r="I747" s="8">
        <v>68.010000000000005</v>
      </c>
      <c r="J747" t="s">
        <v>81</v>
      </c>
      <c r="K747" t="s">
        <v>47</v>
      </c>
      <c r="M747">
        <v>1</v>
      </c>
      <c r="N747">
        <v>0</v>
      </c>
      <c r="O747">
        <v>0</v>
      </c>
      <c r="P747">
        <v>0</v>
      </c>
      <c r="Q747">
        <v>0</v>
      </c>
      <c r="R747">
        <v>0</v>
      </c>
      <c r="S747">
        <v>1</v>
      </c>
      <c r="T747">
        <v>1</v>
      </c>
      <c r="U747">
        <v>1</v>
      </c>
      <c r="V747">
        <v>0</v>
      </c>
      <c r="W747" t="s">
        <v>1410</v>
      </c>
      <c r="X747" t="s">
        <v>1795</v>
      </c>
      <c r="Y747">
        <v>0</v>
      </c>
      <c r="Z747">
        <v>0</v>
      </c>
      <c r="AA747">
        <v>2007</v>
      </c>
      <c r="AB747">
        <v>9999</v>
      </c>
      <c r="AC747" t="s">
        <v>35</v>
      </c>
    </row>
    <row r="748" spans="1:29" x14ac:dyDescent="0.25">
      <c r="A748" s="31" t="s">
        <v>831</v>
      </c>
      <c r="B748" s="23" t="s">
        <v>832</v>
      </c>
      <c r="C748" t="s">
        <v>833</v>
      </c>
      <c r="D748">
        <v>1</v>
      </c>
      <c r="E748" t="s">
        <v>38</v>
      </c>
      <c r="F748">
        <v>4</v>
      </c>
      <c r="G748">
        <v>2024</v>
      </c>
      <c r="H748" t="s">
        <v>906</v>
      </c>
      <c r="I748">
        <v>0.04</v>
      </c>
      <c r="J748" t="s">
        <v>59</v>
      </c>
      <c r="K748" t="s">
        <v>41</v>
      </c>
      <c r="M748">
        <v>0</v>
      </c>
      <c r="N748">
        <v>0</v>
      </c>
      <c r="O748">
        <v>0</v>
      </c>
      <c r="P748">
        <v>0</v>
      </c>
      <c r="Q748">
        <v>0</v>
      </c>
      <c r="R748">
        <v>0</v>
      </c>
      <c r="S748">
        <v>0</v>
      </c>
      <c r="T748">
        <v>0</v>
      </c>
      <c r="U748">
        <v>0</v>
      </c>
      <c r="V748">
        <v>0</v>
      </c>
      <c r="W748" t="s">
        <v>1190</v>
      </c>
      <c r="X748" t="s">
        <v>1796</v>
      </c>
      <c r="Y748">
        <v>0</v>
      </c>
      <c r="Z748">
        <v>0</v>
      </c>
      <c r="AA748">
        <v>2007</v>
      </c>
      <c r="AB748">
        <v>9999</v>
      </c>
      <c r="AC748" t="s">
        <v>35</v>
      </c>
    </row>
    <row r="749" spans="1:29" x14ac:dyDescent="0.25">
      <c r="A749" s="31" t="s">
        <v>1433</v>
      </c>
      <c r="B749" s="23" t="s">
        <v>1434</v>
      </c>
      <c r="D749">
        <v>1</v>
      </c>
      <c r="E749" s="4">
        <v>133</v>
      </c>
      <c r="F749">
        <v>1</v>
      </c>
      <c r="G749">
        <v>2024</v>
      </c>
      <c r="I749" s="8">
        <v>1423</v>
      </c>
      <c r="J749" t="s">
        <v>52</v>
      </c>
      <c r="K749" t="s">
        <v>32</v>
      </c>
      <c r="M749">
        <v>0</v>
      </c>
      <c r="N749">
        <v>0</v>
      </c>
      <c r="O749">
        <v>0</v>
      </c>
      <c r="P749">
        <v>0</v>
      </c>
      <c r="Q749">
        <v>0</v>
      </c>
      <c r="R749">
        <v>0</v>
      </c>
      <c r="S749">
        <v>1</v>
      </c>
      <c r="T749">
        <v>1</v>
      </c>
      <c r="U749">
        <v>1</v>
      </c>
      <c r="V749">
        <v>0</v>
      </c>
      <c r="W749" t="s">
        <v>1435</v>
      </c>
      <c r="X749" t="s">
        <v>1797</v>
      </c>
      <c r="Y749">
        <v>0</v>
      </c>
      <c r="Z749">
        <v>0</v>
      </c>
      <c r="AA749">
        <v>2013</v>
      </c>
      <c r="AB749">
        <v>9999</v>
      </c>
      <c r="AC749" t="s">
        <v>1419</v>
      </c>
    </row>
    <row r="750" spans="1:29" x14ac:dyDescent="0.25">
      <c r="A750" s="31" t="s">
        <v>1194</v>
      </c>
      <c r="B750" s="23" t="s">
        <v>1195</v>
      </c>
      <c r="D750">
        <v>1</v>
      </c>
      <c r="E750" t="s">
        <v>85</v>
      </c>
      <c r="F750">
        <v>1</v>
      </c>
      <c r="G750">
        <v>2024</v>
      </c>
      <c r="H750" t="s">
        <v>39</v>
      </c>
      <c r="I750">
        <v>0.25</v>
      </c>
      <c r="J750" t="s">
        <v>52</v>
      </c>
      <c r="K750" t="s">
        <v>41</v>
      </c>
      <c r="M750">
        <v>0</v>
      </c>
      <c r="N750">
        <v>0</v>
      </c>
      <c r="O750">
        <v>0</v>
      </c>
      <c r="P750">
        <v>0</v>
      </c>
      <c r="Q750">
        <v>0</v>
      </c>
      <c r="R750">
        <v>0</v>
      </c>
      <c r="S750">
        <v>0</v>
      </c>
      <c r="T750">
        <v>0</v>
      </c>
      <c r="U750">
        <v>0</v>
      </c>
      <c r="V750">
        <v>0</v>
      </c>
      <c r="W750" t="s">
        <v>1267</v>
      </c>
      <c r="X750" t="s">
        <v>1798</v>
      </c>
      <c r="Y750">
        <v>0</v>
      </c>
      <c r="Z750">
        <v>0</v>
      </c>
      <c r="AA750">
        <v>2008</v>
      </c>
      <c r="AB750">
        <v>9999</v>
      </c>
      <c r="AC750" t="s">
        <v>1054</v>
      </c>
    </row>
    <row r="751" spans="1:29" x14ac:dyDescent="0.25">
      <c r="A751" s="31" t="s">
        <v>1268</v>
      </c>
      <c r="B751" s="23" t="s">
        <v>1262</v>
      </c>
      <c r="C751" t="s">
        <v>1605</v>
      </c>
      <c r="D751">
        <v>1</v>
      </c>
      <c r="E751" t="s">
        <v>300</v>
      </c>
      <c r="F751">
        <v>9</v>
      </c>
      <c r="G751">
        <v>2024</v>
      </c>
      <c r="I751" s="8">
        <v>484.83</v>
      </c>
      <c r="J751" t="s">
        <v>104</v>
      </c>
      <c r="K751" t="s">
        <v>47</v>
      </c>
      <c r="M751">
        <v>1</v>
      </c>
      <c r="N751">
        <v>0</v>
      </c>
      <c r="O751">
        <v>0</v>
      </c>
      <c r="P751">
        <v>0</v>
      </c>
      <c r="Q751">
        <v>0</v>
      </c>
      <c r="R751">
        <v>0</v>
      </c>
      <c r="S751">
        <v>1</v>
      </c>
      <c r="T751">
        <v>1</v>
      </c>
      <c r="U751">
        <v>1</v>
      </c>
      <c r="V751">
        <v>0</v>
      </c>
      <c r="W751" t="s">
        <v>1411</v>
      </c>
      <c r="X751" t="s">
        <v>1799</v>
      </c>
      <c r="Y751">
        <v>0</v>
      </c>
      <c r="Z751">
        <v>1</v>
      </c>
      <c r="AA751">
        <v>2009</v>
      </c>
      <c r="AB751">
        <v>9999</v>
      </c>
      <c r="AC751" t="s">
        <v>1239</v>
      </c>
    </row>
    <row r="752" spans="1:29" x14ac:dyDescent="0.25">
      <c r="A752" s="31" t="s">
        <v>845</v>
      </c>
      <c r="B752" s="23" t="s">
        <v>846</v>
      </c>
      <c r="C752" t="s">
        <v>847</v>
      </c>
      <c r="D752">
        <v>1</v>
      </c>
      <c r="E752" t="s">
        <v>300</v>
      </c>
      <c r="F752">
        <v>9</v>
      </c>
      <c r="G752">
        <v>2024</v>
      </c>
      <c r="I752" s="8">
        <v>851.56</v>
      </c>
      <c r="J752" t="s">
        <v>104</v>
      </c>
      <c r="K752" t="s">
        <v>47</v>
      </c>
      <c r="M752">
        <v>1</v>
      </c>
      <c r="N752">
        <v>0</v>
      </c>
      <c r="O752">
        <v>0</v>
      </c>
      <c r="P752">
        <v>0</v>
      </c>
      <c r="Q752">
        <v>0</v>
      </c>
      <c r="R752">
        <v>0</v>
      </c>
      <c r="S752">
        <v>1</v>
      </c>
      <c r="T752">
        <v>1</v>
      </c>
      <c r="U752">
        <v>1</v>
      </c>
      <c r="V752">
        <v>0</v>
      </c>
      <c r="W752" t="s">
        <v>1517</v>
      </c>
      <c r="X752" t="s">
        <v>1800</v>
      </c>
      <c r="Y752">
        <v>2</v>
      </c>
      <c r="Z752">
        <v>1</v>
      </c>
      <c r="AA752">
        <v>2007</v>
      </c>
      <c r="AB752">
        <v>9999</v>
      </c>
      <c r="AC752" t="s">
        <v>35</v>
      </c>
    </row>
    <row r="753" spans="1:29" x14ac:dyDescent="0.25">
      <c r="A753" s="31" t="s">
        <v>852</v>
      </c>
      <c r="B753" s="23" t="s">
        <v>853</v>
      </c>
      <c r="D753">
        <v>1</v>
      </c>
      <c r="E753" t="s">
        <v>85</v>
      </c>
      <c r="F753">
        <v>1</v>
      </c>
      <c r="G753">
        <v>2024</v>
      </c>
      <c r="H753" t="s">
        <v>837</v>
      </c>
      <c r="I753">
        <v>2.5999999999999999E-2</v>
      </c>
      <c r="J753" t="s">
        <v>52</v>
      </c>
      <c r="K753" t="s">
        <v>41</v>
      </c>
      <c r="M753">
        <v>0</v>
      </c>
      <c r="N753">
        <v>0</v>
      </c>
      <c r="O753">
        <v>0</v>
      </c>
      <c r="P753">
        <v>0</v>
      </c>
      <c r="Q753">
        <v>0</v>
      </c>
      <c r="R753">
        <v>0</v>
      </c>
      <c r="S753">
        <v>0</v>
      </c>
      <c r="T753">
        <v>0</v>
      </c>
      <c r="U753">
        <v>0</v>
      </c>
      <c r="V753">
        <v>0</v>
      </c>
      <c r="W753" t="s">
        <v>1191</v>
      </c>
      <c r="X753" t="s">
        <v>1801</v>
      </c>
      <c r="Y753">
        <v>0</v>
      </c>
      <c r="Z753">
        <v>0</v>
      </c>
      <c r="AA753">
        <v>2007</v>
      </c>
      <c r="AB753">
        <v>9999</v>
      </c>
      <c r="AC753" t="s">
        <v>35</v>
      </c>
    </row>
    <row r="754" spans="1:29" x14ac:dyDescent="0.25">
      <c r="A754" s="31" t="s">
        <v>836</v>
      </c>
      <c r="B754" s="23" t="s">
        <v>1413</v>
      </c>
      <c r="D754">
        <v>1</v>
      </c>
      <c r="E754" t="s">
        <v>64</v>
      </c>
      <c r="F754">
        <v>1</v>
      </c>
      <c r="G754">
        <v>2024</v>
      </c>
      <c r="I754" s="8">
        <v>222.71</v>
      </c>
      <c r="J754" t="s">
        <v>52</v>
      </c>
      <c r="K754" t="s">
        <v>32</v>
      </c>
      <c r="M754">
        <v>0</v>
      </c>
      <c r="N754">
        <v>0</v>
      </c>
      <c r="O754">
        <v>0</v>
      </c>
      <c r="P754">
        <v>0</v>
      </c>
      <c r="Q754">
        <v>0</v>
      </c>
      <c r="R754">
        <v>0</v>
      </c>
      <c r="S754">
        <v>1</v>
      </c>
      <c r="T754">
        <v>1</v>
      </c>
      <c r="U754">
        <v>1</v>
      </c>
      <c r="V754">
        <v>0</v>
      </c>
      <c r="W754" t="s">
        <v>1191</v>
      </c>
      <c r="X754" t="s">
        <v>1802</v>
      </c>
      <c r="Y754">
        <v>0</v>
      </c>
      <c r="Z754">
        <v>0</v>
      </c>
      <c r="AA754">
        <v>2007</v>
      </c>
      <c r="AB754">
        <v>9999</v>
      </c>
      <c r="AC754" t="s">
        <v>35</v>
      </c>
    </row>
    <row r="755" spans="1:29" x14ac:dyDescent="0.25">
      <c r="A755" s="31" t="s">
        <v>862</v>
      </c>
      <c r="B755" s="23" t="s">
        <v>863</v>
      </c>
      <c r="C755" t="s">
        <v>864</v>
      </c>
      <c r="D755">
        <v>1</v>
      </c>
      <c r="E755" t="s">
        <v>442</v>
      </c>
      <c r="F755">
        <v>4</v>
      </c>
      <c r="G755">
        <v>2024</v>
      </c>
      <c r="I755" s="8">
        <v>349.99</v>
      </c>
      <c r="J755" t="s">
        <v>1608</v>
      </c>
      <c r="K755" t="s">
        <v>47</v>
      </c>
      <c r="M755">
        <v>1</v>
      </c>
      <c r="N755">
        <v>0</v>
      </c>
      <c r="O755">
        <v>0</v>
      </c>
      <c r="P755">
        <v>0</v>
      </c>
      <c r="Q755">
        <v>0</v>
      </c>
      <c r="R755">
        <v>0</v>
      </c>
      <c r="S755">
        <v>1</v>
      </c>
      <c r="T755">
        <v>1</v>
      </c>
      <c r="U755">
        <v>1</v>
      </c>
      <c r="V755">
        <v>0</v>
      </c>
      <c r="W755" t="s">
        <v>1334</v>
      </c>
      <c r="X755" t="s">
        <v>1803</v>
      </c>
      <c r="Y755">
        <v>0</v>
      </c>
      <c r="Z755">
        <v>0</v>
      </c>
      <c r="AA755">
        <v>2007</v>
      </c>
      <c r="AB755">
        <v>9999</v>
      </c>
      <c r="AC755" t="s">
        <v>35</v>
      </c>
    </row>
    <row r="756" spans="1:29" x14ac:dyDescent="0.25">
      <c r="A756" s="31" t="s">
        <v>866</v>
      </c>
      <c r="B756" s="23" t="s">
        <v>867</v>
      </c>
      <c r="C756" t="s">
        <v>868</v>
      </c>
      <c r="D756">
        <v>1</v>
      </c>
      <c r="E756" t="s">
        <v>869</v>
      </c>
      <c r="F756">
        <v>4</v>
      </c>
      <c r="G756">
        <v>2024</v>
      </c>
      <c r="I756" s="8">
        <v>221.09</v>
      </c>
      <c r="J756" t="s">
        <v>1608</v>
      </c>
      <c r="K756" t="s">
        <v>32</v>
      </c>
      <c r="M756">
        <v>0</v>
      </c>
      <c r="N756">
        <v>0</v>
      </c>
      <c r="O756">
        <v>0</v>
      </c>
      <c r="P756">
        <v>0</v>
      </c>
      <c r="Q756">
        <v>0</v>
      </c>
      <c r="R756">
        <v>0</v>
      </c>
      <c r="S756">
        <v>1</v>
      </c>
      <c r="T756">
        <v>1</v>
      </c>
      <c r="U756">
        <v>1</v>
      </c>
      <c r="V756">
        <v>0</v>
      </c>
      <c r="W756" t="s">
        <v>1199</v>
      </c>
      <c r="X756" t="s">
        <v>1804</v>
      </c>
      <c r="Y756">
        <v>0</v>
      </c>
      <c r="Z756">
        <v>0</v>
      </c>
      <c r="AA756">
        <v>2007</v>
      </c>
      <c r="AB756">
        <v>9999</v>
      </c>
      <c r="AC756" t="s">
        <v>35</v>
      </c>
    </row>
    <row r="757" spans="1:29" x14ac:dyDescent="0.25">
      <c r="A757" s="31" t="s">
        <v>1023</v>
      </c>
      <c r="B757" s="23" t="s">
        <v>1200</v>
      </c>
      <c r="D757">
        <v>1</v>
      </c>
      <c r="E757" t="s">
        <v>85</v>
      </c>
      <c r="F757">
        <v>1</v>
      </c>
      <c r="G757">
        <v>2024</v>
      </c>
      <c r="H757" t="s">
        <v>39</v>
      </c>
      <c r="I757">
        <v>3.5</v>
      </c>
      <c r="J757" t="s">
        <v>52</v>
      </c>
      <c r="K757" t="s">
        <v>41</v>
      </c>
      <c r="M757">
        <v>0</v>
      </c>
      <c r="N757">
        <v>0</v>
      </c>
      <c r="O757">
        <v>0</v>
      </c>
      <c r="P757">
        <v>0</v>
      </c>
      <c r="Q757">
        <v>0</v>
      </c>
      <c r="R757">
        <v>0</v>
      </c>
      <c r="S757">
        <v>0</v>
      </c>
      <c r="T757">
        <v>0</v>
      </c>
      <c r="U757">
        <v>0</v>
      </c>
      <c r="V757">
        <v>0</v>
      </c>
      <c r="W757" t="s">
        <v>1271</v>
      </c>
      <c r="X757" t="s">
        <v>1805</v>
      </c>
      <c r="Y757">
        <v>0</v>
      </c>
      <c r="Z757">
        <v>0</v>
      </c>
      <c r="AA757">
        <v>2007</v>
      </c>
      <c r="AB757">
        <v>9999</v>
      </c>
      <c r="AC757" t="s">
        <v>35</v>
      </c>
    </row>
    <row r="758" spans="1:29" x14ac:dyDescent="0.25">
      <c r="A758" s="31" t="s">
        <v>871</v>
      </c>
      <c r="B758" s="23" t="s">
        <v>872</v>
      </c>
      <c r="C758" t="s">
        <v>873</v>
      </c>
      <c r="D758">
        <v>1</v>
      </c>
      <c r="E758" t="s">
        <v>874</v>
      </c>
      <c r="F758">
        <v>1</v>
      </c>
      <c r="G758">
        <v>2024</v>
      </c>
      <c r="I758" s="8">
        <v>967.04</v>
      </c>
      <c r="J758" t="s">
        <v>52</v>
      </c>
      <c r="K758" t="s">
        <v>47</v>
      </c>
      <c r="M758">
        <v>1</v>
      </c>
      <c r="N758">
        <v>0</v>
      </c>
      <c r="O758">
        <v>0</v>
      </c>
      <c r="P758">
        <v>0</v>
      </c>
      <c r="Q758">
        <v>0</v>
      </c>
      <c r="R758">
        <v>0</v>
      </c>
      <c r="S758">
        <v>1</v>
      </c>
      <c r="T758">
        <v>1</v>
      </c>
      <c r="U758">
        <v>1</v>
      </c>
      <c r="V758">
        <v>0</v>
      </c>
      <c r="W758" t="s">
        <v>1528</v>
      </c>
      <c r="X758" t="s">
        <v>1806</v>
      </c>
      <c r="Y758">
        <v>0</v>
      </c>
      <c r="Z758">
        <v>2</v>
      </c>
      <c r="AA758">
        <v>2007</v>
      </c>
      <c r="AB758">
        <v>9999</v>
      </c>
      <c r="AC758" t="s">
        <v>35</v>
      </c>
    </row>
    <row r="759" spans="1:29" x14ac:dyDescent="0.25">
      <c r="A759" s="31" t="s">
        <v>876</v>
      </c>
      <c r="B759" s="23" t="s">
        <v>877</v>
      </c>
      <c r="C759" t="s">
        <v>878</v>
      </c>
      <c r="D759">
        <v>1</v>
      </c>
      <c r="E759" t="s">
        <v>168</v>
      </c>
      <c r="F759">
        <v>1</v>
      </c>
      <c r="G759">
        <v>2024</v>
      </c>
      <c r="I759" s="8">
        <v>75.099999999999994</v>
      </c>
      <c r="J759" t="s">
        <v>52</v>
      </c>
      <c r="K759" t="s">
        <v>47</v>
      </c>
      <c r="M759">
        <v>0</v>
      </c>
      <c r="N759">
        <v>0</v>
      </c>
      <c r="O759">
        <v>0</v>
      </c>
      <c r="P759">
        <v>0</v>
      </c>
      <c r="Q759">
        <v>0</v>
      </c>
      <c r="R759">
        <v>0</v>
      </c>
      <c r="S759">
        <v>1</v>
      </c>
      <c r="T759">
        <v>1</v>
      </c>
      <c r="U759">
        <v>1</v>
      </c>
      <c r="V759">
        <v>0</v>
      </c>
      <c r="W759" t="s">
        <v>1202</v>
      </c>
      <c r="X759" t="s">
        <v>1807</v>
      </c>
      <c r="Y759">
        <v>0</v>
      </c>
      <c r="Z759">
        <v>0</v>
      </c>
      <c r="AA759">
        <v>2007</v>
      </c>
      <c r="AB759">
        <v>9999</v>
      </c>
      <c r="AC759" t="s">
        <v>35</v>
      </c>
    </row>
    <row r="760" spans="1:29" x14ac:dyDescent="0.25">
      <c r="A760" s="31" t="s">
        <v>1468</v>
      </c>
      <c r="B760" s="23" t="s">
        <v>1469</v>
      </c>
      <c r="D760">
        <v>1</v>
      </c>
      <c r="E760" s="4">
        <v>941</v>
      </c>
      <c r="F760">
        <v>9</v>
      </c>
      <c r="G760">
        <v>2024</v>
      </c>
      <c r="I760" s="8">
        <v>195.08</v>
      </c>
      <c r="J760" t="s">
        <v>104</v>
      </c>
      <c r="K760" t="s">
        <v>53</v>
      </c>
      <c r="L760" t="s">
        <v>105</v>
      </c>
      <c r="M760">
        <v>0</v>
      </c>
      <c r="N760">
        <v>0</v>
      </c>
      <c r="O760">
        <v>0</v>
      </c>
      <c r="P760">
        <v>1</v>
      </c>
      <c r="Q760">
        <v>0</v>
      </c>
      <c r="R760">
        <v>0</v>
      </c>
      <c r="S760">
        <v>1</v>
      </c>
      <c r="T760">
        <v>1</v>
      </c>
      <c r="U760">
        <v>1</v>
      </c>
      <c r="V760">
        <v>0</v>
      </c>
      <c r="W760" t="s">
        <v>106</v>
      </c>
      <c r="X760" t="s">
        <v>1427</v>
      </c>
      <c r="Y760">
        <v>0</v>
      </c>
      <c r="Z760">
        <v>0</v>
      </c>
      <c r="AA760">
        <v>2014</v>
      </c>
      <c r="AB760">
        <v>9999</v>
      </c>
      <c r="AC760" t="s">
        <v>1449</v>
      </c>
    </row>
    <row r="761" spans="1:29" x14ac:dyDescent="0.25">
      <c r="A761" s="31" t="s">
        <v>880</v>
      </c>
      <c r="B761" s="23" t="s">
        <v>881</v>
      </c>
      <c r="C761" t="s">
        <v>882</v>
      </c>
      <c r="D761">
        <v>1</v>
      </c>
      <c r="E761" t="s">
        <v>103</v>
      </c>
      <c r="F761">
        <v>9</v>
      </c>
      <c r="G761">
        <v>2024</v>
      </c>
      <c r="I761" s="8">
        <v>4813.63</v>
      </c>
      <c r="J761" t="s">
        <v>104</v>
      </c>
      <c r="K761" t="s">
        <v>53</v>
      </c>
      <c r="L761" t="s">
        <v>105</v>
      </c>
      <c r="M761">
        <v>0</v>
      </c>
      <c r="N761">
        <v>0</v>
      </c>
      <c r="O761">
        <v>0</v>
      </c>
      <c r="P761">
        <v>1</v>
      </c>
      <c r="Q761">
        <v>0</v>
      </c>
      <c r="R761">
        <v>0</v>
      </c>
      <c r="S761">
        <v>1</v>
      </c>
      <c r="T761">
        <v>1</v>
      </c>
      <c r="U761">
        <v>1</v>
      </c>
      <c r="V761">
        <v>0</v>
      </c>
      <c r="W761" t="s">
        <v>106</v>
      </c>
      <c r="X761" t="s">
        <v>1427</v>
      </c>
      <c r="Y761">
        <v>0</v>
      </c>
      <c r="Z761">
        <v>0</v>
      </c>
      <c r="AA761">
        <v>2007</v>
      </c>
      <c r="AB761">
        <v>9999</v>
      </c>
      <c r="AC761" t="s">
        <v>35</v>
      </c>
    </row>
    <row r="762" spans="1:29" x14ac:dyDescent="0.25">
      <c r="A762" s="31" t="s">
        <v>1272</v>
      </c>
      <c r="B762" s="23" t="s">
        <v>1273</v>
      </c>
      <c r="D762">
        <v>1</v>
      </c>
      <c r="E762" t="s">
        <v>1274</v>
      </c>
      <c r="F762">
        <v>4</v>
      </c>
      <c r="G762">
        <v>2024</v>
      </c>
      <c r="I762" s="8">
        <v>290.14</v>
      </c>
      <c r="J762" t="s">
        <v>1610</v>
      </c>
      <c r="K762" t="s">
        <v>47</v>
      </c>
      <c r="M762">
        <v>1</v>
      </c>
      <c r="N762">
        <v>0</v>
      </c>
      <c r="O762">
        <v>0</v>
      </c>
      <c r="P762">
        <v>0</v>
      </c>
      <c r="Q762">
        <v>0</v>
      </c>
      <c r="R762">
        <v>0</v>
      </c>
      <c r="S762">
        <v>1</v>
      </c>
      <c r="T762">
        <v>1</v>
      </c>
      <c r="U762">
        <v>1</v>
      </c>
      <c r="V762">
        <v>0</v>
      </c>
      <c r="W762" t="s">
        <v>1275</v>
      </c>
      <c r="X762" t="s">
        <v>1808</v>
      </c>
      <c r="Y762">
        <v>0</v>
      </c>
      <c r="Z762">
        <v>3</v>
      </c>
      <c r="AA762">
        <v>2009</v>
      </c>
      <c r="AB762">
        <v>9999</v>
      </c>
      <c r="AC762" t="s">
        <v>1239</v>
      </c>
    </row>
    <row r="763" spans="1:29" x14ac:dyDescent="0.25">
      <c r="A763" s="31" t="s">
        <v>883</v>
      </c>
      <c r="B763" s="23" t="s">
        <v>884</v>
      </c>
      <c r="C763" t="s">
        <v>885</v>
      </c>
      <c r="D763">
        <v>1</v>
      </c>
      <c r="E763" s="20" t="s">
        <v>45</v>
      </c>
      <c r="F763">
        <v>4</v>
      </c>
      <c r="G763">
        <v>2024</v>
      </c>
      <c r="I763" s="8">
        <v>104.68</v>
      </c>
      <c r="J763" t="s">
        <v>176</v>
      </c>
      <c r="K763" t="s">
        <v>47</v>
      </c>
      <c r="M763">
        <v>1</v>
      </c>
      <c r="N763">
        <v>0</v>
      </c>
      <c r="O763">
        <v>0</v>
      </c>
      <c r="P763">
        <v>0</v>
      </c>
      <c r="Q763">
        <v>0</v>
      </c>
      <c r="R763">
        <v>0</v>
      </c>
      <c r="S763">
        <v>1</v>
      </c>
      <c r="T763">
        <v>1</v>
      </c>
      <c r="U763">
        <v>1</v>
      </c>
      <c r="V763">
        <v>0</v>
      </c>
      <c r="W763" t="s">
        <v>1606</v>
      </c>
      <c r="X763" t="s">
        <v>1809</v>
      </c>
      <c r="Y763">
        <v>0</v>
      </c>
      <c r="Z763">
        <v>1</v>
      </c>
      <c r="AA763">
        <v>2007</v>
      </c>
      <c r="AB763">
        <v>9999</v>
      </c>
      <c r="AC763" t="s">
        <v>35</v>
      </c>
    </row>
    <row r="764" spans="1:29" x14ac:dyDescent="0.25">
      <c r="A764" s="31" t="s">
        <v>887</v>
      </c>
      <c r="B764" s="23" t="s">
        <v>888</v>
      </c>
      <c r="C764" t="s">
        <v>889</v>
      </c>
      <c r="D764">
        <v>1</v>
      </c>
      <c r="E764" t="s">
        <v>335</v>
      </c>
      <c r="F764">
        <v>1</v>
      </c>
      <c r="G764">
        <v>2024</v>
      </c>
      <c r="I764" s="8">
        <v>625.02</v>
      </c>
      <c r="J764" t="s">
        <v>176</v>
      </c>
      <c r="K764" t="s">
        <v>32</v>
      </c>
      <c r="M764">
        <v>0</v>
      </c>
      <c r="N764">
        <v>1</v>
      </c>
      <c r="O764">
        <v>0</v>
      </c>
      <c r="P764">
        <v>0</v>
      </c>
      <c r="Q764">
        <v>0</v>
      </c>
      <c r="R764">
        <v>0</v>
      </c>
      <c r="S764">
        <v>1</v>
      </c>
      <c r="T764">
        <v>1</v>
      </c>
      <c r="U764">
        <v>1</v>
      </c>
      <c r="V764">
        <v>0</v>
      </c>
      <c r="W764" t="s">
        <v>1381</v>
      </c>
      <c r="X764" t="s">
        <v>1810</v>
      </c>
      <c r="Y764">
        <v>0</v>
      </c>
      <c r="Z764">
        <v>1</v>
      </c>
      <c r="AA764">
        <v>2007</v>
      </c>
      <c r="AB764">
        <v>9999</v>
      </c>
      <c r="AC764" t="s">
        <v>35</v>
      </c>
    </row>
    <row r="765" spans="1:29" x14ac:dyDescent="0.25">
      <c r="A765" s="31" t="s">
        <v>894</v>
      </c>
      <c r="B765" s="23" t="s">
        <v>895</v>
      </c>
      <c r="D765">
        <v>1</v>
      </c>
      <c r="E765" t="s">
        <v>38</v>
      </c>
      <c r="F765">
        <v>4</v>
      </c>
      <c r="G765">
        <v>2024</v>
      </c>
      <c r="H765" t="s">
        <v>715</v>
      </c>
      <c r="I765">
        <v>0</v>
      </c>
      <c r="J765" t="s">
        <v>1608</v>
      </c>
      <c r="K765" t="s">
        <v>53</v>
      </c>
      <c r="L765" t="s">
        <v>53</v>
      </c>
      <c r="M765">
        <v>0</v>
      </c>
      <c r="N765">
        <v>0</v>
      </c>
      <c r="O765">
        <v>0</v>
      </c>
      <c r="P765">
        <v>0</v>
      </c>
      <c r="Q765">
        <v>0</v>
      </c>
      <c r="R765">
        <v>0</v>
      </c>
      <c r="S765">
        <v>0</v>
      </c>
      <c r="T765">
        <v>0</v>
      </c>
      <c r="U765">
        <v>0</v>
      </c>
      <c r="V765">
        <v>0</v>
      </c>
      <c r="W765" t="s">
        <v>897</v>
      </c>
      <c r="X765" t="s">
        <v>1811</v>
      </c>
      <c r="Y765">
        <v>0</v>
      </c>
      <c r="Z765">
        <v>0</v>
      </c>
      <c r="AA765">
        <v>2007</v>
      </c>
      <c r="AB765">
        <v>9999</v>
      </c>
      <c r="AC765" t="s">
        <v>35</v>
      </c>
    </row>
    <row r="766" spans="1:29" x14ac:dyDescent="0.25">
      <c r="A766" s="31" t="s">
        <v>900</v>
      </c>
      <c r="B766" s="23" t="s">
        <v>901</v>
      </c>
      <c r="D766">
        <v>1</v>
      </c>
      <c r="E766" t="s">
        <v>38</v>
      </c>
      <c r="F766">
        <v>4</v>
      </c>
      <c r="G766">
        <v>2024</v>
      </c>
      <c r="H766" t="s">
        <v>596</v>
      </c>
      <c r="I766">
        <v>0.2</v>
      </c>
      <c r="J766" t="s">
        <v>1608</v>
      </c>
      <c r="K766" t="s">
        <v>53</v>
      </c>
      <c r="L766" t="s">
        <v>902</v>
      </c>
      <c r="M766">
        <v>0</v>
      </c>
      <c r="N766">
        <v>0</v>
      </c>
      <c r="O766">
        <v>0</v>
      </c>
      <c r="P766">
        <v>0</v>
      </c>
      <c r="Q766">
        <v>0</v>
      </c>
      <c r="R766">
        <v>0</v>
      </c>
      <c r="S766">
        <v>0</v>
      </c>
      <c r="T766">
        <v>0</v>
      </c>
      <c r="U766">
        <v>0</v>
      </c>
      <c r="V766">
        <v>0</v>
      </c>
      <c r="W766" t="s">
        <v>903</v>
      </c>
      <c r="X766" t="s">
        <v>1812</v>
      </c>
      <c r="Y766">
        <v>0</v>
      </c>
      <c r="Z766">
        <v>0</v>
      </c>
      <c r="AA766">
        <v>2007</v>
      </c>
      <c r="AB766">
        <v>9999</v>
      </c>
      <c r="AC766" t="s">
        <v>35</v>
      </c>
    </row>
    <row r="767" spans="1:29" x14ac:dyDescent="0.25">
      <c r="A767" s="31" t="s">
        <v>904</v>
      </c>
      <c r="B767" s="23" t="s">
        <v>1436</v>
      </c>
      <c r="D767">
        <v>1</v>
      </c>
      <c r="E767" t="s">
        <v>38</v>
      </c>
      <c r="F767">
        <v>4</v>
      </c>
      <c r="G767">
        <v>2024</v>
      </c>
      <c r="H767" t="s">
        <v>906</v>
      </c>
      <c r="I767">
        <v>0.5</v>
      </c>
      <c r="J767" t="s">
        <v>59</v>
      </c>
      <c r="K767" t="s">
        <v>53</v>
      </c>
      <c r="L767" t="s">
        <v>902</v>
      </c>
      <c r="M767">
        <v>0</v>
      </c>
      <c r="N767">
        <v>0</v>
      </c>
      <c r="O767">
        <v>0</v>
      </c>
      <c r="P767">
        <v>0</v>
      </c>
      <c r="Q767">
        <v>0</v>
      </c>
      <c r="R767">
        <v>0</v>
      </c>
      <c r="S767">
        <v>0</v>
      </c>
      <c r="T767">
        <v>0</v>
      </c>
      <c r="U767">
        <v>0</v>
      </c>
      <c r="V767">
        <v>0</v>
      </c>
      <c r="W767" t="s">
        <v>907</v>
      </c>
      <c r="X767" t="s">
        <v>1813</v>
      </c>
      <c r="Y767">
        <v>0</v>
      </c>
      <c r="Z767">
        <v>0</v>
      </c>
      <c r="AA767">
        <v>2007</v>
      </c>
      <c r="AB767">
        <v>9999</v>
      </c>
      <c r="AC767" t="s">
        <v>35</v>
      </c>
    </row>
    <row r="768" spans="1:29" x14ac:dyDescent="0.25">
      <c r="A768" s="31" t="s">
        <v>908</v>
      </c>
      <c r="B768" s="23" t="s">
        <v>909</v>
      </c>
      <c r="C768" t="s">
        <v>910</v>
      </c>
      <c r="D768">
        <v>1</v>
      </c>
      <c r="E768" t="s">
        <v>911</v>
      </c>
      <c r="F768">
        <v>1</v>
      </c>
      <c r="G768">
        <v>2024</v>
      </c>
      <c r="I768" s="8">
        <v>108.75</v>
      </c>
      <c r="J768" t="s">
        <v>176</v>
      </c>
      <c r="K768" t="s">
        <v>47</v>
      </c>
      <c r="M768">
        <v>1</v>
      </c>
      <c r="N768">
        <v>0</v>
      </c>
      <c r="O768">
        <v>0</v>
      </c>
      <c r="P768">
        <v>0</v>
      </c>
      <c r="Q768">
        <v>0</v>
      </c>
      <c r="R768">
        <v>0</v>
      </c>
      <c r="S768">
        <v>1</v>
      </c>
      <c r="T768">
        <v>1</v>
      </c>
      <c r="U768">
        <v>1</v>
      </c>
      <c r="V768">
        <v>0</v>
      </c>
      <c r="W768" t="s">
        <v>1518</v>
      </c>
      <c r="X768" t="s">
        <v>1814</v>
      </c>
      <c r="Y768">
        <v>0</v>
      </c>
      <c r="Z768">
        <v>0</v>
      </c>
      <c r="AA768">
        <v>2007</v>
      </c>
      <c r="AB768">
        <v>9999</v>
      </c>
      <c r="AC768" t="s">
        <v>35</v>
      </c>
    </row>
    <row r="769" spans="1:29" x14ac:dyDescent="0.25">
      <c r="A769" s="31" t="s">
        <v>913</v>
      </c>
      <c r="B769" s="23" t="s">
        <v>914</v>
      </c>
      <c r="C769" t="s">
        <v>915</v>
      </c>
      <c r="D769">
        <v>1</v>
      </c>
      <c r="E769" t="s">
        <v>911</v>
      </c>
      <c r="F769">
        <v>1</v>
      </c>
      <c r="G769">
        <v>2024</v>
      </c>
      <c r="I769" s="8">
        <v>13.1</v>
      </c>
      <c r="J769" t="s">
        <v>268</v>
      </c>
      <c r="K769" t="s">
        <v>47</v>
      </c>
      <c r="M769">
        <v>1</v>
      </c>
      <c r="N769">
        <v>0</v>
      </c>
      <c r="O769">
        <v>0</v>
      </c>
      <c r="P769">
        <v>0</v>
      </c>
      <c r="Q769">
        <v>0</v>
      </c>
      <c r="R769">
        <v>0</v>
      </c>
      <c r="S769">
        <v>1</v>
      </c>
      <c r="T769">
        <v>1</v>
      </c>
      <c r="U769">
        <v>1</v>
      </c>
      <c r="V769">
        <v>0</v>
      </c>
      <c r="W769" t="s">
        <v>1276</v>
      </c>
      <c r="X769" t="s">
        <v>1815</v>
      </c>
      <c r="Y769">
        <v>0</v>
      </c>
      <c r="Z769">
        <v>0</v>
      </c>
      <c r="AA769">
        <v>2007</v>
      </c>
      <c r="AB769">
        <v>9999</v>
      </c>
      <c r="AC769" t="s">
        <v>35</v>
      </c>
    </row>
    <row r="770" spans="1:29" x14ac:dyDescent="0.25">
      <c r="A770" s="31" t="s">
        <v>1529</v>
      </c>
      <c r="B770" s="23" t="s">
        <v>1530</v>
      </c>
      <c r="D770">
        <v>1</v>
      </c>
      <c r="E770" s="18"/>
      <c r="F770">
        <v>8</v>
      </c>
      <c r="G770">
        <v>2024</v>
      </c>
      <c r="I770">
        <v>5</v>
      </c>
      <c r="J770" t="s">
        <v>81</v>
      </c>
      <c r="K770" t="s">
        <v>32</v>
      </c>
      <c r="M770">
        <v>0</v>
      </c>
      <c r="N770">
        <v>0</v>
      </c>
      <c r="O770">
        <v>0</v>
      </c>
      <c r="P770">
        <v>0</v>
      </c>
      <c r="Q770">
        <v>0</v>
      </c>
      <c r="R770">
        <v>0</v>
      </c>
      <c r="S770">
        <v>0</v>
      </c>
      <c r="T770">
        <v>0</v>
      </c>
      <c r="U770">
        <v>1</v>
      </c>
      <c r="V770">
        <v>0</v>
      </c>
      <c r="W770" t="s">
        <v>1531</v>
      </c>
      <c r="X770" t="s">
        <v>1816</v>
      </c>
      <c r="Y770">
        <v>1</v>
      </c>
      <c r="Z770">
        <v>0</v>
      </c>
      <c r="AA770">
        <v>2017</v>
      </c>
      <c r="AB770">
        <v>9999</v>
      </c>
      <c r="AC770" t="s">
        <v>1532</v>
      </c>
    </row>
    <row r="771" spans="1:29" x14ac:dyDescent="0.25">
      <c r="A771" s="31" t="s">
        <v>97</v>
      </c>
      <c r="B771" s="23" t="s">
        <v>99</v>
      </c>
      <c r="C771" t="s">
        <v>923</v>
      </c>
      <c r="D771">
        <v>1</v>
      </c>
      <c r="E771" t="s">
        <v>45</v>
      </c>
      <c r="F771">
        <v>4</v>
      </c>
      <c r="G771">
        <v>2024</v>
      </c>
      <c r="I771" s="8">
        <v>277.06</v>
      </c>
      <c r="J771" t="s">
        <v>1610</v>
      </c>
      <c r="K771" t="s">
        <v>47</v>
      </c>
      <c r="M771">
        <v>1</v>
      </c>
      <c r="N771">
        <v>0</v>
      </c>
      <c r="O771">
        <v>0</v>
      </c>
      <c r="P771">
        <v>0</v>
      </c>
      <c r="Q771">
        <v>0</v>
      </c>
      <c r="R771">
        <v>0</v>
      </c>
      <c r="S771">
        <v>1</v>
      </c>
      <c r="T771">
        <v>1</v>
      </c>
      <c r="U771">
        <v>1</v>
      </c>
      <c r="V771">
        <v>0</v>
      </c>
      <c r="W771" t="s">
        <v>1277</v>
      </c>
      <c r="X771" t="s">
        <v>1817</v>
      </c>
      <c r="Y771">
        <v>1</v>
      </c>
      <c r="Z771">
        <v>0</v>
      </c>
      <c r="AA771">
        <v>2007</v>
      </c>
      <c r="AB771">
        <v>9999</v>
      </c>
      <c r="AC771" t="s">
        <v>35</v>
      </c>
    </row>
    <row r="772" spans="1:29" x14ac:dyDescent="0.25">
      <c r="A772" s="31" t="s">
        <v>925</v>
      </c>
      <c r="B772" s="23" t="s">
        <v>926</v>
      </c>
      <c r="C772" t="s">
        <v>927</v>
      </c>
      <c r="D772">
        <v>1</v>
      </c>
      <c r="E772" t="s">
        <v>103</v>
      </c>
      <c r="F772">
        <v>9</v>
      </c>
      <c r="G772">
        <v>2024</v>
      </c>
      <c r="I772" s="8">
        <v>3230.35</v>
      </c>
      <c r="J772" t="s">
        <v>1608</v>
      </c>
      <c r="K772" t="s">
        <v>53</v>
      </c>
      <c r="L772" t="s">
        <v>105</v>
      </c>
      <c r="M772">
        <v>0</v>
      </c>
      <c r="N772">
        <v>0</v>
      </c>
      <c r="O772">
        <v>0</v>
      </c>
      <c r="P772">
        <v>1</v>
      </c>
      <c r="Q772">
        <v>0</v>
      </c>
      <c r="R772">
        <v>0</v>
      </c>
      <c r="S772">
        <v>1</v>
      </c>
      <c r="T772">
        <v>1</v>
      </c>
      <c r="U772">
        <v>1</v>
      </c>
      <c r="V772">
        <v>0</v>
      </c>
      <c r="W772" t="s">
        <v>928</v>
      </c>
      <c r="X772" t="s">
        <v>1818</v>
      </c>
      <c r="Y772">
        <v>0</v>
      </c>
      <c r="Z772">
        <v>0</v>
      </c>
      <c r="AA772">
        <v>2007</v>
      </c>
      <c r="AB772">
        <v>9999</v>
      </c>
      <c r="AC772" t="s">
        <v>35</v>
      </c>
    </row>
    <row r="773" spans="1:29" x14ac:dyDescent="0.25">
      <c r="A773" s="31" t="s">
        <v>929</v>
      </c>
      <c r="B773" s="23" t="s">
        <v>930</v>
      </c>
      <c r="C773" t="s">
        <v>931</v>
      </c>
      <c r="D773">
        <v>1</v>
      </c>
      <c r="E773" t="s">
        <v>45</v>
      </c>
      <c r="F773">
        <v>4</v>
      </c>
      <c r="G773">
        <v>2024</v>
      </c>
      <c r="I773" s="8">
        <v>588.45000000000005</v>
      </c>
      <c r="J773" t="s">
        <v>1610</v>
      </c>
      <c r="K773" t="s">
        <v>47</v>
      </c>
      <c r="M773">
        <v>1</v>
      </c>
      <c r="N773">
        <v>0</v>
      </c>
      <c r="O773">
        <v>0</v>
      </c>
      <c r="P773">
        <v>0</v>
      </c>
      <c r="Q773">
        <v>0</v>
      </c>
      <c r="R773">
        <v>0</v>
      </c>
      <c r="S773">
        <v>1</v>
      </c>
      <c r="T773">
        <v>1</v>
      </c>
      <c r="U773">
        <v>1</v>
      </c>
      <c r="V773">
        <v>0</v>
      </c>
      <c r="W773" t="s">
        <v>1336</v>
      </c>
      <c r="X773" t="s">
        <v>1819</v>
      </c>
      <c r="Y773">
        <v>1</v>
      </c>
      <c r="Z773">
        <v>0</v>
      </c>
      <c r="AA773">
        <v>2007</v>
      </c>
      <c r="AB773">
        <v>9999</v>
      </c>
      <c r="AC773" t="s">
        <v>35</v>
      </c>
    </row>
    <row r="774" spans="1:29" x14ac:dyDescent="0.25">
      <c r="A774" s="31" t="s">
        <v>1212</v>
      </c>
      <c r="B774" s="23" t="s">
        <v>1213</v>
      </c>
      <c r="D774">
        <v>1</v>
      </c>
      <c r="E774" t="s">
        <v>681</v>
      </c>
      <c r="F774">
        <v>3</v>
      </c>
      <c r="G774">
        <v>2024</v>
      </c>
      <c r="I774" s="8">
        <v>17</v>
      </c>
      <c r="J774" t="s">
        <v>121</v>
      </c>
      <c r="K774" t="s">
        <v>41</v>
      </c>
      <c r="M774">
        <v>0</v>
      </c>
      <c r="N774">
        <v>0</v>
      </c>
      <c r="O774">
        <v>0</v>
      </c>
      <c r="P774">
        <v>0</v>
      </c>
      <c r="Q774">
        <v>0</v>
      </c>
      <c r="R774">
        <v>0</v>
      </c>
      <c r="S774">
        <v>0</v>
      </c>
      <c r="T774">
        <v>1</v>
      </c>
      <c r="U774">
        <v>1</v>
      </c>
      <c r="V774">
        <v>0</v>
      </c>
      <c r="W774" t="s">
        <v>1278</v>
      </c>
      <c r="X774" t="s">
        <v>1820</v>
      </c>
      <c r="Y774">
        <v>2</v>
      </c>
      <c r="Z774">
        <v>0</v>
      </c>
      <c r="AA774">
        <v>2008</v>
      </c>
      <c r="AB774">
        <v>9999</v>
      </c>
      <c r="AC774" t="s">
        <v>1054</v>
      </c>
    </row>
    <row r="775" spans="1:29" x14ac:dyDescent="0.25">
      <c r="A775" s="31" t="s">
        <v>933</v>
      </c>
      <c r="B775" s="23" t="s">
        <v>934</v>
      </c>
      <c r="C775" t="s">
        <v>935</v>
      </c>
      <c r="D775">
        <v>1</v>
      </c>
      <c r="E775" t="s">
        <v>681</v>
      </c>
      <c r="F775">
        <v>3</v>
      </c>
      <c r="G775">
        <v>2024</v>
      </c>
      <c r="J775" t="s">
        <v>121</v>
      </c>
      <c r="K775" t="s">
        <v>47</v>
      </c>
      <c r="M775">
        <v>1</v>
      </c>
      <c r="N775">
        <v>0</v>
      </c>
      <c r="O775">
        <v>0</v>
      </c>
      <c r="P775">
        <v>0</v>
      </c>
      <c r="Q775">
        <v>0</v>
      </c>
      <c r="R775">
        <v>0</v>
      </c>
      <c r="S775">
        <v>1</v>
      </c>
      <c r="T775">
        <v>1</v>
      </c>
      <c r="U775">
        <v>1</v>
      </c>
      <c r="V775">
        <v>0</v>
      </c>
      <c r="W775" t="s">
        <v>1620</v>
      </c>
      <c r="X775" t="s">
        <v>1821</v>
      </c>
      <c r="Y775">
        <v>0</v>
      </c>
      <c r="Z775">
        <v>0</v>
      </c>
      <c r="AA775">
        <v>2007</v>
      </c>
      <c r="AB775">
        <v>9999</v>
      </c>
      <c r="AC775" t="s">
        <v>35</v>
      </c>
    </row>
    <row r="776" spans="1:29" x14ac:dyDescent="0.25">
      <c r="A776" s="31" t="s">
        <v>937</v>
      </c>
      <c r="B776" s="23" t="s">
        <v>938</v>
      </c>
      <c r="D776">
        <v>1</v>
      </c>
      <c r="E776" t="s">
        <v>103</v>
      </c>
      <c r="F776">
        <v>9</v>
      </c>
      <c r="G776">
        <v>2024</v>
      </c>
      <c r="I776" s="8">
        <v>827.82</v>
      </c>
      <c r="J776" t="s">
        <v>104</v>
      </c>
      <c r="K776" t="s">
        <v>53</v>
      </c>
      <c r="L776" t="s">
        <v>105</v>
      </c>
      <c r="M776">
        <v>0</v>
      </c>
      <c r="N776">
        <v>0</v>
      </c>
      <c r="O776">
        <v>0</v>
      </c>
      <c r="P776">
        <v>1</v>
      </c>
      <c r="Q776">
        <v>0</v>
      </c>
      <c r="R776">
        <v>0</v>
      </c>
      <c r="S776">
        <v>1</v>
      </c>
      <c r="T776">
        <v>1</v>
      </c>
      <c r="U776">
        <v>1</v>
      </c>
      <c r="V776">
        <v>0</v>
      </c>
      <c r="W776" t="s">
        <v>106</v>
      </c>
      <c r="X776" t="s">
        <v>1427</v>
      </c>
      <c r="Y776">
        <v>0</v>
      </c>
      <c r="Z776">
        <v>0</v>
      </c>
      <c r="AA776">
        <v>2007</v>
      </c>
      <c r="AB776">
        <v>9999</v>
      </c>
      <c r="AC776" t="s">
        <v>35</v>
      </c>
    </row>
    <row r="777" spans="1:29" x14ac:dyDescent="0.25">
      <c r="A777" s="31" t="s">
        <v>462</v>
      </c>
      <c r="B777" s="23" t="s">
        <v>1414</v>
      </c>
      <c r="C777" t="s">
        <v>1280</v>
      </c>
      <c r="D777">
        <v>1</v>
      </c>
      <c r="E777" t="s">
        <v>468</v>
      </c>
      <c r="F777">
        <v>7</v>
      </c>
      <c r="G777">
        <v>2024</v>
      </c>
      <c r="I777" s="8">
        <v>153.1</v>
      </c>
      <c r="J777" t="s">
        <v>40</v>
      </c>
      <c r="K777" t="s">
        <v>47</v>
      </c>
      <c r="M777">
        <v>1</v>
      </c>
      <c r="N777">
        <v>0</v>
      </c>
      <c r="O777">
        <v>0</v>
      </c>
      <c r="P777">
        <v>0</v>
      </c>
      <c r="Q777">
        <v>0</v>
      </c>
      <c r="R777">
        <v>0</v>
      </c>
      <c r="S777">
        <v>1</v>
      </c>
      <c r="T777">
        <v>1</v>
      </c>
      <c r="U777">
        <v>1</v>
      </c>
      <c r="V777">
        <v>0</v>
      </c>
      <c r="W777" t="s">
        <v>1118</v>
      </c>
      <c r="X777" t="s">
        <v>1822</v>
      </c>
      <c r="Y777">
        <v>2</v>
      </c>
      <c r="Z777">
        <v>0</v>
      </c>
      <c r="AA777">
        <v>2007</v>
      </c>
      <c r="AB777">
        <v>9999</v>
      </c>
      <c r="AC777" t="s">
        <v>35</v>
      </c>
    </row>
    <row r="778" spans="1:29" x14ac:dyDescent="0.25">
      <c r="A778" s="31" t="s">
        <v>1337</v>
      </c>
      <c r="B778" s="23" t="s">
        <v>1315</v>
      </c>
      <c r="D778">
        <v>1</v>
      </c>
      <c r="E778" t="s">
        <v>45</v>
      </c>
      <c r="F778">
        <v>4</v>
      </c>
      <c r="G778">
        <v>2024</v>
      </c>
      <c r="I778" s="8">
        <v>494.12</v>
      </c>
      <c r="J778" t="s">
        <v>1610</v>
      </c>
      <c r="K778" t="s">
        <v>32</v>
      </c>
      <c r="M778">
        <v>0</v>
      </c>
      <c r="N778">
        <v>1</v>
      </c>
      <c r="O778">
        <v>0</v>
      </c>
      <c r="P778">
        <v>0</v>
      </c>
      <c r="Q778">
        <v>0</v>
      </c>
      <c r="R778">
        <v>0</v>
      </c>
      <c r="S778">
        <v>1</v>
      </c>
      <c r="T778">
        <v>1</v>
      </c>
      <c r="U778">
        <v>1</v>
      </c>
      <c r="V778">
        <v>0</v>
      </c>
      <c r="W778" t="s">
        <v>1338</v>
      </c>
      <c r="X778" t="s">
        <v>1823</v>
      </c>
      <c r="Y778">
        <v>2</v>
      </c>
      <c r="Z778">
        <v>0</v>
      </c>
      <c r="AA778">
        <v>2010</v>
      </c>
      <c r="AB778">
        <v>9999</v>
      </c>
      <c r="AC778" t="s">
        <v>1292</v>
      </c>
    </row>
    <row r="779" spans="1:29" x14ac:dyDescent="0.25">
      <c r="A779" s="31" t="s">
        <v>1509</v>
      </c>
      <c r="B779" s="23" t="s">
        <v>946</v>
      </c>
      <c r="D779">
        <v>48</v>
      </c>
      <c r="E779" t="s">
        <v>155</v>
      </c>
      <c r="F779">
        <v>3</v>
      </c>
      <c r="G779">
        <v>2024</v>
      </c>
      <c r="I779">
        <v>2966.42</v>
      </c>
      <c r="J779" t="s">
        <v>121</v>
      </c>
      <c r="K779" t="s">
        <v>53</v>
      </c>
      <c r="L779" t="s">
        <v>60</v>
      </c>
      <c r="M779">
        <v>0</v>
      </c>
      <c r="N779">
        <v>0</v>
      </c>
      <c r="O779">
        <v>1</v>
      </c>
      <c r="P779">
        <v>0</v>
      </c>
      <c r="Q779">
        <v>0</v>
      </c>
      <c r="R779">
        <v>0</v>
      </c>
      <c r="S779">
        <v>1</v>
      </c>
      <c r="T779">
        <v>0</v>
      </c>
      <c r="U779">
        <v>0</v>
      </c>
      <c r="V779">
        <v>1</v>
      </c>
      <c r="W779" t="s">
        <v>947</v>
      </c>
      <c r="X779" t="s">
        <v>1824</v>
      </c>
      <c r="Y779">
        <v>0</v>
      </c>
      <c r="Z779">
        <v>0</v>
      </c>
      <c r="AA779">
        <v>2007</v>
      </c>
      <c r="AB779">
        <v>9999</v>
      </c>
      <c r="AC779" t="s">
        <v>35</v>
      </c>
    </row>
    <row r="780" spans="1:29" x14ac:dyDescent="0.25">
      <c r="A780" s="31" t="s">
        <v>950</v>
      </c>
      <c r="B780" s="23" t="s">
        <v>951</v>
      </c>
      <c r="C780" t="s">
        <v>952</v>
      </c>
      <c r="D780">
        <v>1</v>
      </c>
      <c r="E780" t="s">
        <v>218</v>
      </c>
      <c r="F780">
        <v>2</v>
      </c>
      <c r="G780">
        <v>2024</v>
      </c>
      <c r="I780" s="8">
        <v>1202.97</v>
      </c>
      <c r="J780" t="s">
        <v>147</v>
      </c>
      <c r="K780" t="s">
        <v>32</v>
      </c>
      <c r="M780">
        <v>0</v>
      </c>
      <c r="N780">
        <v>1</v>
      </c>
      <c r="O780">
        <v>0</v>
      </c>
      <c r="P780">
        <v>0</v>
      </c>
      <c r="Q780">
        <v>0</v>
      </c>
      <c r="R780">
        <v>0</v>
      </c>
      <c r="S780">
        <v>1</v>
      </c>
      <c r="T780">
        <v>1</v>
      </c>
      <c r="U780">
        <v>1</v>
      </c>
      <c r="V780">
        <v>0</v>
      </c>
      <c r="W780" t="s">
        <v>1216</v>
      </c>
      <c r="X780" t="s">
        <v>1825</v>
      </c>
      <c r="Y780">
        <v>0</v>
      </c>
      <c r="Z780">
        <v>0</v>
      </c>
      <c r="AA780">
        <v>2007</v>
      </c>
      <c r="AB780">
        <v>9999</v>
      </c>
      <c r="AC780" t="s">
        <v>35</v>
      </c>
    </row>
    <row r="781" spans="1:29" x14ac:dyDescent="0.25">
      <c r="A781" s="31" t="s">
        <v>954</v>
      </c>
      <c r="B781" s="23" t="s">
        <v>1585</v>
      </c>
      <c r="C781" t="s">
        <v>956</v>
      </c>
      <c r="D781">
        <v>1</v>
      </c>
      <c r="E781" t="s">
        <v>218</v>
      </c>
      <c r="F781">
        <v>2</v>
      </c>
      <c r="G781">
        <v>2024</v>
      </c>
      <c r="I781" s="8">
        <v>329.15</v>
      </c>
      <c r="J781" t="s">
        <v>147</v>
      </c>
      <c r="K781" t="s">
        <v>47</v>
      </c>
      <c r="M781">
        <v>1</v>
      </c>
      <c r="N781">
        <v>0</v>
      </c>
      <c r="O781">
        <v>0</v>
      </c>
      <c r="P781">
        <v>0</v>
      </c>
      <c r="Q781">
        <v>0</v>
      </c>
      <c r="R781">
        <v>0</v>
      </c>
      <c r="S781">
        <v>1</v>
      </c>
      <c r="T781">
        <v>1</v>
      </c>
      <c r="U781">
        <v>1</v>
      </c>
      <c r="V781">
        <v>0</v>
      </c>
      <c r="W781" t="s">
        <v>1384</v>
      </c>
      <c r="X781" t="s">
        <v>1826</v>
      </c>
      <c r="Y781">
        <v>0</v>
      </c>
      <c r="Z781">
        <v>0</v>
      </c>
      <c r="AA781">
        <v>2007</v>
      </c>
      <c r="AB781">
        <v>9999</v>
      </c>
      <c r="AC781" t="s">
        <v>35</v>
      </c>
    </row>
    <row r="782" spans="1:29" x14ac:dyDescent="0.25">
      <c r="A782" s="31" t="s">
        <v>1385</v>
      </c>
      <c r="B782" s="23" t="s">
        <v>1386</v>
      </c>
      <c r="D782">
        <v>1</v>
      </c>
      <c r="E782" t="s">
        <v>874</v>
      </c>
      <c r="F782">
        <v>1</v>
      </c>
      <c r="G782">
        <v>2024</v>
      </c>
      <c r="I782" s="8">
        <v>40</v>
      </c>
      <c r="J782" t="s">
        <v>1608</v>
      </c>
      <c r="K782" t="s">
        <v>47</v>
      </c>
      <c r="M782">
        <v>0</v>
      </c>
      <c r="N782">
        <v>0</v>
      </c>
      <c r="O782">
        <v>0</v>
      </c>
      <c r="P782">
        <v>0</v>
      </c>
      <c r="Q782">
        <v>0</v>
      </c>
      <c r="R782">
        <v>0</v>
      </c>
      <c r="S782">
        <v>1</v>
      </c>
      <c r="T782">
        <v>1</v>
      </c>
      <c r="U782">
        <v>1</v>
      </c>
      <c r="V782">
        <v>0</v>
      </c>
      <c r="W782" t="s">
        <v>1387</v>
      </c>
      <c r="X782" t="s">
        <v>1827</v>
      </c>
      <c r="Y782">
        <v>0</v>
      </c>
      <c r="Z782">
        <v>1</v>
      </c>
      <c r="AA782">
        <v>2011</v>
      </c>
      <c r="AB782">
        <v>9999</v>
      </c>
      <c r="AC782" t="s">
        <v>1365</v>
      </c>
    </row>
    <row r="783" spans="1:29" x14ac:dyDescent="0.25">
      <c r="A783" s="31" t="s">
        <v>1388</v>
      </c>
      <c r="B783" s="23" t="s">
        <v>1389</v>
      </c>
      <c r="D783">
        <v>1</v>
      </c>
      <c r="E783" t="s">
        <v>1390</v>
      </c>
      <c r="F783">
        <v>4</v>
      </c>
      <c r="G783">
        <v>2024</v>
      </c>
      <c r="I783" s="8">
        <v>10267.66</v>
      </c>
      <c r="J783" t="s">
        <v>1608</v>
      </c>
      <c r="K783" t="s">
        <v>32</v>
      </c>
      <c r="M783">
        <v>0</v>
      </c>
      <c r="N783">
        <v>1</v>
      </c>
      <c r="O783">
        <v>0</v>
      </c>
      <c r="P783">
        <v>0</v>
      </c>
      <c r="Q783">
        <v>0</v>
      </c>
      <c r="R783">
        <v>0</v>
      </c>
      <c r="S783">
        <v>1</v>
      </c>
      <c r="T783">
        <v>1</v>
      </c>
      <c r="U783">
        <v>1</v>
      </c>
      <c r="V783">
        <v>0</v>
      </c>
      <c r="W783" t="s">
        <v>1391</v>
      </c>
      <c r="X783" t="s">
        <v>1828</v>
      </c>
      <c r="Y783">
        <v>1</v>
      </c>
      <c r="Z783">
        <v>0</v>
      </c>
      <c r="AA783">
        <v>2011</v>
      </c>
      <c r="AB783">
        <v>9999</v>
      </c>
      <c r="AC783" t="s">
        <v>1365</v>
      </c>
    </row>
    <row r="784" spans="1:29" x14ac:dyDescent="0.25">
      <c r="A784" s="31" t="s">
        <v>1281</v>
      </c>
      <c r="B784" s="23" t="s">
        <v>1282</v>
      </c>
      <c r="D784">
        <v>1</v>
      </c>
      <c r="E784" t="s">
        <v>625</v>
      </c>
      <c r="F784">
        <v>4</v>
      </c>
      <c r="G784">
        <v>2024</v>
      </c>
      <c r="I784" s="8">
        <v>2179.6799999999998</v>
      </c>
      <c r="J784" t="s">
        <v>1608</v>
      </c>
      <c r="K784" t="s">
        <v>32</v>
      </c>
      <c r="M784">
        <v>0</v>
      </c>
      <c r="N784">
        <v>1</v>
      </c>
      <c r="O784">
        <v>0</v>
      </c>
      <c r="P784">
        <v>0</v>
      </c>
      <c r="Q784">
        <v>0</v>
      </c>
      <c r="R784">
        <v>0</v>
      </c>
      <c r="S784">
        <v>1</v>
      </c>
      <c r="T784">
        <v>1</v>
      </c>
      <c r="U784">
        <v>1</v>
      </c>
      <c r="V784">
        <v>0</v>
      </c>
      <c r="W784" t="s">
        <v>1283</v>
      </c>
      <c r="X784" t="s">
        <v>1829</v>
      </c>
      <c r="Y784">
        <v>0</v>
      </c>
      <c r="Z784">
        <v>0</v>
      </c>
      <c r="AA784">
        <v>2009</v>
      </c>
      <c r="AB784">
        <v>9999</v>
      </c>
      <c r="AC784" t="s">
        <v>1239</v>
      </c>
    </row>
    <row r="785" spans="1:29" x14ac:dyDescent="0.25">
      <c r="A785" s="31" t="s">
        <v>958</v>
      </c>
      <c r="B785" s="23" t="s">
        <v>959</v>
      </c>
      <c r="D785">
        <v>1</v>
      </c>
      <c r="E785" t="s">
        <v>51</v>
      </c>
      <c r="F785">
        <v>1</v>
      </c>
      <c r="G785">
        <v>2024</v>
      </c>
      <c r="I785">
        <v>69</v>
      </c>
      <c r="J785" t="s">
        <v>52</v>
      </c>
      <c r="K785" t="s">
        <v>53</v>
      </c>
      <c r="L785" t="s">
        <v>54</v>
      </c>
      <c r="M785">
        <v>0</v>
      </c>
      <c r="N785">
        <v>0</v>
      </c>
      <c r="O785">
        <v>0</v>
      </c>
      <c r="P785">
        <v>0</v>
      </c>
      <c r="Q785">
        <v>1</v>
      </c>
      <c r="R785">
        <v>0</v>
      </c>
      <c r="S785">
        <v>0</v>
      </c>
      <c r="T785">
        <v>0</v>
      </c>
      <c r="U785">
        <v>1</v>
      </c>
      <c r="V785">
        <v>0</v>
      </c>
      <c r="W785" t="s">
        <v>55</v>
      </c>
      <c r="X785" t="s">
        <v>1768</v>
      </c>
      <c r="Y785">
        <v>0</v>
      </c>
      <c r="Z785">
        <v>0</v>
      </c>
      <c r="AA785">
        <v>2007</v>
      </c>
      <c r="AB785">
        <v>9999</v>
      </c>
      <c r="AC785" t="s">
        <v>35</v>
      </c>
    </row>
    <row r="786" spans="1:29" x14ac:dyDescent="0.25">
      <c r="A786" s="31" t="s">
        <v>960</v>
      </c>
      <c r="B786" s="23" t="s">
        <v>961</v>
      </c>
      <c r="D786">
        <v>1</v>
      </c>
      <c r="E786" t="s">
        <v>168</v>
      </c>
      <c r="F786">
        <v>1</v>
      </c>
      <c r="G786">
        <v>2024</v>
      </c>
      <c r="I786" s="8">
        <v>2416.98</v>
      </c>
      <c r="J786" t="s">
        <v>52</v>
      </c>
      <c r="K786" t="s">
        <v>47</v>
      </c>
      <c r="M786">
        <v>1</v>
      </c>
      <c r="N786">
        <v>1</v>
      </c>
      <c r="O786">
        <v>0</v>
      </c>
      <c r="P786">
        <v>0</v>
      </c>
      <c r="Q786">
        <v>0</v>
      </c>
      <c r="R786">
        <v>0</v>
      </c>
      <c r="S786">
        <v>1</v>
      </c>
      <c r="T786">
        <v>1</v>
      </c>
      <c r="U786">
        <v>1</v>
      </c>
      <c r="V786">
        <v>0</v>
      </c>
      <c r="W786" t="s">
        <v>1533</v>
      </c>
      <c r="X786" t="s">
        <v>1830</v>
      </c>
      <c r="Y786">
        <v>0</v>
      </c>
      <c r="Z786">
        <v>0</v>
      </c>
      <c r="AA786">
        <v>2007</v>
      </c>
      <c r="AB786">
        <v>9999</v>
      </c>
      <c r="AC786" t="s">
        <v>35</v>
      </c>
    </row>
    <row r="787" spans="1:29" x14ac:dyDescent="0.25">
      <c r="A787" s="31" t="s">
        <v>963</v>
      </c>
      <c r="B787" s="23" t="s">
        <v>658</v>
      </c>
      <c r="D787">
        <v>1</v>
      </c>
      <c r="E787" t="s">
        <v>103</v>
      </c>
      <c r="F787">
        <v>9</v>
      </c>
      <c r="G787">
        <v>2024</v>
      </c>
      <c r="I787" s="8">
        <v>3992.94</v>
      </c>
      <c r="J787" t="s">
        <v>104</v>
      </c>
      <c r="K787" t="s">
        <v>53</v>
      </c>
      <c r="L787" t="s">
        <v>105</v>
      </c>
      <c r="M787">
        <v>0</v>
      </c>
      <c r="N787">
        <v>0</v>
      </c>
      <c r="O787">
        <v>0</v>
      </c>
      <c r="P787">
        <v>1</v>
      </c>
      <c r="Q787">
        <v>0</v>
      </c>
      <c r="R787">
        <v>0</v>
      </c>
      <c r="S787">
        <v>1</v>
      </c>
      <c r="T787">
        <v>1</v>
      </c>
      <c r="U787">
        <v>1</v>
      </c>
      <c r="V787">
        <v>0</v>
      </c>
      <c r="W787" t="s">
        <v>106</v>
      </c>
      <c r="X787" t="s">
        <v>1427</v>
      </c>
      <c r="Y787">
        <v>0</v>
      </c>
      <c r="Z787">
        <v>0</v>
      </c>
      <c r="AA787">
        <v>2007</v>
      </c>
      <c r="AB787">
        <v>9999</v>
      </c>
      <c r="AC787" t="s">
        <v>35</v>
      </c>
    </row>
    <row r="788" spans="1:29" x14ac:dyDescent="0.25">
      <c r="A788" s="31" t="s">
        <v>1437</v>
      </c>
      <c r="B788" s="23" t="s">
        <v>1438</v>
      </c>
      <c r="C788" t="s">
        <v>1439</v>
      </c>
      <c r="D788">
        <v>1</v>
      </c>
      <c r="E788" t="s">
        <v>103</v>
      </c>
      <c r="F788">
        <v>9</v>
      </c>
      <c r="G788">
        <v>2024</v>
      </c>
      <c r="I788" s="8">
        <v>327.43</v>
      </c>
      <c r="J788" t="s">
        <v>104</v>
      </c>
      <c r="K788" t="s">
        <v>32</v>
      </c>
      <c r="M788">
        <v>0</v>
      </c>
      <c r="N788">
        <v>0</v>
      </c>
      <c r="O788">
        <v>0</v>
      </c>
      <c r="P788">
        <v>0</v>
      </c>
      <c r="Q788">
        <v>0</v>
      </c>
      <c r="R788">
        <v>0</v>
      </c>
      <c r="S788">
        <v>1</v>
      </c>
      <c r="T788">
        <v>1</v>
      </c>
      <c r="U788">
        <v>1</v>
      </c>
      <c r="V788">
        <v>0</v>
      </c>
      <c r="W788" t="s">
        <v>1440</v>
      </c>
      <c r="X788" t="s">
        <v>1831</v>
      </c>
      <c r="Y788">
        <v>0</v>
      </c>
      <c r="Z788">
        <v>0</v>
      </c>
      <c r="AA788">
        <v>2013</v>
      </c>
      <c r="AB788">
        <v>9999</v>
      </c>
      <c r="AC788" t="s">
        <v>1419</v>
      </c>
    </row>
    <row r="789" spans="1:29" x14ac:dyDescent="0.25">
      <c r="A789" s="31" t="s">
        <v>1441</v>
      </c>
      <c r="B789" s="23" t="s">
        <v>1442</v>
      </c>
      <c r="C789" t="s">
        <v>1443</v>
      </c>
      <c r="D789">
        <v>1</v>
      </c>
      <c r="E789" t="s">
        <v>103</v>
      </c>
      <c r="F789">
        <v>9</v>
      </c>
      <c r="G789">
        <v>2024</v>
      </c>
      <c r="I789" s="8">
        <v>116.93</v>
      </c>
      <c r="J789" t="s">
        <v>104</v>
      </c>
      <c r="K789" t="s">
        <v>47</v>
      </c>
      <c r="M789">
        <v>1</v>
      </c>
      <c r="N789">
        <v>0</v>
      </c>
      <c r="O789">
        <v>0</v>
      </c>
      <c r="P789">
        <v>0</v>
      </c>
      <c r="Q789">
        <v>0</v>
      </c>
      <c r="R789">
        <v>0</v>
      </c>
      <c r="S789">
        <v>1</v>
      </c>
      <c r="T789">
        <v>1</v>
      </c>
      <c r="U789">
        <v>1</v>
      </c>
      <c r="V789">
        <v>0</v>
      </c>
      <c r="W789" t="s">
        <v>1444</v>
      </c>
      <c r="X789" t="s">
        <v>1832</v>
      </c>
      <c r="Y789">
        <v>0</v>
      </c>
      <c r="Z789">
        <v>0</v>
      </c>
      <c r="AA789">
        <v>2013</v>
      </c>
      <c r="AB789">
        <v>9999</v>
      </c>
      <c r="AC789" t="s">
        <v>1419</v>
      </c>
    </row>
    <row r="790" spans="1:29" x14ac:dyDescent="0.25">
      <c r="A790" s="31" t="s">
        <v>1510</v>
      </c>
      <c r="B790" s="23" t="s">
        <v>1511</v>
      </c>
      <c r="D790">
        <v>1</v>
      </c>
      <c r="E790" s="4">
        <v>411</v>
      </c>
      <c r="F790">
        <v>4</v>
      </c>
      <c r="G790">
        <v>2024</v>
      </c>
      <c r="I790" s="8">
        <v>65.28</v>
      </c>
      <c r="J790" t="s">
        <v>52</v>
      </c>
      <c r="K790" t="s">
        <v>47</v>
      </c>
      <c r="M790">
        <v>1</v>
      </c>
      <c r="N790">
        <v>0</v>
      </c>
      <c r="O790">
        <v>0</v>
      </c>
      <c r="P790">
        <v>0</v>
      </c>
      <c r="Q790">
        <v>0</v>
      </c>
      <c r="R790">
        <v>0</v>
      </c>
      <c r="S790">
        <v>1</v>
      </c>
      <c r="T790">
        <v>1</v>
      </c>
      <c r="U790">
        <v>1</v>
      </c>
      <c r="V790">
        <v>0</v>
      </c>
      <c r="W790" t="s">
        <v>1512</v>
      </c>
      <c r="X790" t="s">
        <v>1833</v>
      </c>
      <c r="Y790">
        <v>0</v>
      </c>
      <c r="Z790">
        <v>0</v>
      </c>
      <c r="AA790">
        <v>2015</v>
      </c>
      <c r="AB790">
        <v>9999</v>
      </c>
      <c r="AC790" t="s">
        <v>1475</v>
      </c>
    </row>
    <row r="791" spans="1:29" x14ac:dyDescent="0.25">
      <c r="A791" s="31" t="s">
        <v>967</v>
      </c>
      <c r="B791" s="23" t="s">
        <v>661</v>
      </c>
      <c r="D791">
        <v>1</v>
      </c>
      <c r="E791" t="s">
        <v>103</v>
      </c>
      <c r="F791">
        <v>9</v>
      </c>
      <c r="G791">
        <v>2024</v>
      </c>
      <c r="I791" s="8">
        <v>6674.49</v>
      </c>
      <c r="J791" t="s">
        <v>104</v>
      </c>
      <c r="K791" t="s">
        <v>53</v>
      </c>
      <c r="L791" t="s">
        <v>105</v>
      </c>
      <c r="M791">
        <v>0</v>
      </c>
      <c r="N791">
        <v>0</v>
      </c>
      <c r="O791">
        <v>0</v>
      </c>
      <c r="P791">
        <v>1</v>
      </c>
      <c r="Q791">
        <v>0</v>
      </c>
      <c r="R791">
        <v>0</v>
      </c>
      <c r="S791">
        <v>1</v>
      </c>
      <c r="T791">
        <v>1</v>
      </c>
      <c r="U791">
        <v>1</v>
      </c>
      <c r="V791">
        <v>0</v>
      </c>
      <c r="W791" t="s">
        <v>106</v>
      </c>
      <c r="X791" t="s">
        <v>1427</v>
      </c>
      <c r="Y791">
        <v>0</v>
      </c>
      <c r="Z791">
        <v>0</v>
      </c>
      <c r="AA791">
        <v>2007</v>
      </c>
      <c r="AB791">
        <v>9999</v>
      </c>
      <c r="AC791" t="s">
        <v>35</v>
      </c>
    </row>
    <row r="792" spans="1:29" x14ac:dyDescent="0.25">
      <c r="A792" s="31" t="s">
        <v>1834</v>
      </c>
      <c r="B792" s="23" t="s">
        <v>1835</v>
      </c>
      <c r="D792">
        <v>1</v>
      </c>
      <c r="E792" s="20" t="s">
        <v>168</v>
      </c>
      <c r="F792">
        <v>1</v>
      </c>
      <c r="G792">
        <v>2024</v>
      </c>
      <c r="I792" s="8">
        <v>47</v>
      </c>
      <c r="J792" t="s">
        <v>52</v>
      </c>
      <c r="K792" t="s">
        <v>32</v>
      </c>
      <c r="M792">
        <v>0</v>
      </c>
      <c r="N792">
        <v>0</v>
      </c>
      <c r="O792">
        <v>0</v>
      </c>
      <c r="P792">
        <v>0</v>
      </c>
      <c r="Q792">
        <v>0</v>
      </c>
      <c r="R792">
        <v>0</v>
      </c>
      <c r="S792">
        <v>1</v>
      </c>
      <c r="T792">
        <v>1</v>
      </c>
      <c r="U792">
        <v>1</v>
      </c>
      <c r="V792">
        <v>0</v>
      </c>
      <c r="W792" t="s">
        <v>1836</v>
      </c>
      <c r="X792" t="s">
        <v>1837</v>
      </c>
      <c r="Y792">
        <v>0</v>
      </c>
      <c r="Z792">
        <v>1</v>
      </c>
      <c r="AA792">
        <v>2024</v>
      </c>
      <c r="AB792">
        <v>9999</v>
      </c>
      <c r="AC792" t="s">
        <v>1720</v>
      </c>
    </row>
    <row r="793" spans="1:29" x14ac:dyDescent="0.25">
      <c r="A793" s="31" t="s">
        <v>968</v>
      </c>
      <c r="B793" s="23" t="s">
        <v>969</v>
      </c>
      <c r="D793">
        <v>1</v>
      </c>
      <c r="E793" t="s">
        <v>85</v>
      </c>
      <c r="F793">
        <v>1</v>
      </c>
      <c r="G793">
        <v>2024</v>
      </c>
      <c r="H793" t="s">
        <v>970</v>
      </c>
      <c r="I793">
        <v>0.2</v>
      </c>
      <c r="J793" t="s">
        <v>176</v>
      </c>
      <c r="K793" t="s">
        <v>41</v>
      </c>
      <c r="M793">
        <v>0</v>
      </c>
      <c r="N793">
        <v>0</v>
      </c>
      <c r="O793">
        <v>0</v>
      </c>
      <c r="P793">
        <v>0</v>
      </c>
      <c r="Q793">
        <v>0</v>
      </c>
      <c r="R793">
        <v>0</v>
      </c>
      <c r="S793">
        <v>0</v>
      </c>
      <c r="T793">
        <v>0</v>
      </c>
      <c r="U793">
        <v>0</v>
      </c>
      <c r="V793">
        <v>0</v>
      </c>
      <c r="W793" t="s">
        <v>971</v>
      </c>
      <c r="X793" t="s">
        <v>1838</v>
      </c>
      <c r="Y793">
        <v>0</v>
      </c>
      <c r="Z793">
        <v>0</v>
      </c>
      <c r="AA793">
        <v>2007</v>
      </c>
      <c r="AB793">
        <v>9999</v>
      </c>
      <c r="AC793" t="s">
        <v>35</v>
      </c>
    </row>
    <row r="794" spans="1:29" x14ac:dyDescent="0.25">
      <c r="A794" s="31" t="s">
        <v>975</v>
      </c>
      <c r="B794" s="23" t="s">
        <v>976</v>
      </c>
      <c r="D794">
        <v>1</v>
      </c>
      <c r="E794" t="s">
        <v>977</v>
      </c>
      <c r="F794">
        <v>1</v>
      </c>
      <c r="G794">
        <v>2024</v>
      </c>
      <c r="H794" t="s">
        <v>205</v>
      </c>
      <c r="I794">
        <v>38</v>
      </c>
      <c r="J794" t="s">
        <v>81</v>
      </c>
      <c r="K794" t="s">
        <v>41</v>
      </c>
      <c r="M794">
        <v>0</v>
      </c>
      <c r="N794">
        <v>0</v>
      </c>
      <c r="O794">
        <v>0</v>
      </c>
      <c r="P794">
        <v>0</v>
      </c>
      <c r="Q794">
        <v>0</v>
      </c>
      <c r="R794">
        <v>0</v>
      </c>
      <c r="S794">
        <v>0</v>
      </c>
      <c r="T794">
        <v>0</v>
      </c>
      <c r="U794">
        <v>0</v>
      </c>
      <c r="V794">
        <v>0</v>
      </c>
      <c r="W794" t="s">
        <v>1220</v>
      </c>
      <c r="X794" t="s">
        <v>1839</v>
      </c>
      <c r="Y794">
        <v>0</v>
      </c>
      <c r="Z794">
        <v>0</v>
      </c>
      <c r="AA794">
        <v>2007</v>
      </c>
      <c r="AB794">
        <v>9999</v>
      </c>
      <c r="AC794" t="s">
        <v>35</v>
      </c>
    </row>
    <row r="795" spans="1:29" x14ac:dyDescent="0.25">
      <c r="A795" s="31" t="s">
        <v>985</v>
      </c>
      <c r="B795" s="23" t="s">
        <v>986</v>
      </c>
      <c r="C795" t="s">
        <v>987</v>
      </c>
      <c r="D795">
        <v>1</v>
      </c>
      <c r="E795" t="s">
        <v>988</v>
      </c>
      <c r="F795">
        <v>4</v>
      </c>
      <c r="G795">
        <v>2024</v>
      </c>
      <c r="I795" s="8">
        <v>222.75</v>
      </c>
      <c r="J795" t="s">
        <v>1610</v>
      </c>
      <c r="K795" t="s">
        <v>32</v>
      </c>
      <c r="M795">
        <v>0</v>
      </c>
      <c r="N795">
        <v>0</v>
      </c>
      <c r="O795">
        <v>0</v>
      </c>
      <c r="P795">
        <v>0</v>
      </c>
      <c r="Q795">
        <v>0</v>
      </c>
      <c r="R795">
        <v>0</v>
      </c>
      <c r="S795">
        <v>1</v>
      </c>
      <c r="T795">
        <v>1</v>
      </c>
      <c r="U795">
        <v>1</v>
      </c>
      <c r="V795">
        <v>0</v>
      </c>
      <c r="W795" t="s">
        <v>1339</v>
      </c>
      <c r="X795" t="s">
        <v>1840</v>
      </c>
      <c r="Y795">
        <v>0</v>
      </c>
      <c r="Z795">
        <v>0</v>
      </c>
      <c r="AA795">
        <v>2007</v>
      </c>
      <c r="AB795">
        <v>9999</v>
      </c>
      <c r="AC795" t="s">
        <v>35</v>
      </c>
    </row>
    <row r="796" spans="1:29" x14ac:dyDescent="0.25">
      <c r="A796" s="31" t="s">
        <v>993</v>
      </c>
      <c r="B796" s="23" t="s">
        <v>129</v>
      </c>
      <c r="D796">
        <v>1</v>
      </c>
      <c r="E796" t="s">
        <v>103</v>
      </c>
      <c r="F796">
        <v>1</v>
      </c>
      <c r="G796">
        <v>2024</v>
      </c>
      <c r="I796" s="8">
        <v>253.98</v>
      </c>
      <c r="J796" t="s">
        <v>104</v>
      </c>
      <c r="K796" t="s">
        <v>32</v>
      </c>
      <c r="M796">
        <v>0</v>
      </c>
      <c r="N796">
        <v>0</v>
      </c>
      <c r="O796">
        <v>0</v>
      </c>
      <c r="P796">
        <v>0</v>
      </c>
      <c r="Q796">
        <v>0</v>
      </c>
      <c r="R796">
        <v>0</v>
      </c>
      <c r="S796">
        <v>1</v>
      </c>
      <c r="T796">
        <v>1</v>
      </c>
      <c r="U796">
        <v>1</v>
      </c>
      <c r="V796">
        <v>0</v>
      </c>
      <c r="W796" t="s">
        <v>1340</v>
      </c>
      <c r="X796" t="s">
        <v>1841</v>
      </c>
      <c r="Y796">
        <v>7</v>
      </c>
      <c r="Z796">
        <v>0</v>
      </c>
      <c r="AA796">
        <v>2007</v>
      </c>
      <c r="AB796">
        <v>9999</v>
      </c>
      <c r="AC796" t="s">
        <v>35</v>
      </c>
    </row>
    <row r="797" spans="1:29" x14ac:dyDescent="0.25">
      <c r="A797" s="31" t="s">
        <v>1008</v>
      </c>
      <c r="B797" s="23" t="s">
        <v>1009</v>
      </c>
      <c r="D797">
        <v>1</v>
      </c>
      <c r="E797" t="s">
        <v>155</v>
      </c>
      <c r="F797">
        <v>3</v>
      </c>
      <c r="G797">
        <v>2024</v>
      </c>
      <c r="I797" s="8">
        <v>1242.03</v>
      </c>
      <c r="J797" t="s">
        <v>121</v>
      </c>
      <c r="K797" t="s">
        <v>47</v>
      </c>
      <c r="M797">
        <v>1</v>
      </c>
      <c r="N797">
        <v>0</v>
      </c>
      <c r="O797">
        <v>0</v>
      </c>
      <c r="P797">
        <v>0</v>
      </c>
      <c r="Q797">
        <v>0</v>
      </c>
      <c r="R797">
        <v>0</v>
      </c>
      <c r="S797">
        <v>1</v>
      </c>
      <c r="T797">
        <v>1</v>
      </c>
      <c r="U797">
        <v>1</v>
      </c>
      <c r="V797">
        <v>0</v>
      </c>
      <c r="W797" t="s">
        <v>1519</v>
      </c>
      <c r="X797" t="s">
        <v>1842</v>
      </c>
      <c r="Y797">
        <v>0</v>
      </c>
      <c r="Z797">
        <v>1</v>
      </c>
      <c r="AA797">
        <v>2007</v>
      </c>
      <c r="AB797">
        <v>9999</v>
      </c>
      <c r="AC797" t="s">
        <v>35</v>
      </c>
    </row>
    <row r="798" spans="1:29" x14ac:dyDescent="0.25">
      <c r="A798" s="31" t="s">
        <v>1011</v>
      </c>
      <c r="B798" s="23" t="s">
        <v>1012</v>
      </c>
      <c r="D798">
        <v>1</v>
      </c>
      <c r="E798" t="s">
        <v>103</v>
      </c>
      <c r="F798">
        <v>9</v>
      </c>
      <c r="G798">
        <v>2024</v>
      </c>
      <c r="I798" s="8">
        <v>1254.02</v>
      </c>
      <c r="J798" t="s">
        <v>104</v>
      </c>
      <c r="K798" t="s">
        <v>53</v>
      </c>
      <c r="L798" t="s">
        <v>105</v>
      </c>
      <c r="M798">
        <v>0</v>
      </c>
      <c r="N798">
        <v>0</v>
      </c>
      <c r="O798">
        <v>0</v>
      </c>
      <c r="P798">
        <v>1</v>
      </c>
      <c r="Q798">
        <v>0</v>
      </c>
      <c r="R798">
        <v>0</v>
      </c>
      <c r="S798">
        <v>1</v>
      </c>
      <c r="T798">
        <v>1</v>
      </c>
      <c r="U798">
        <v>1</v>
      </c>
      <c r="V798">
        <v>0</v>
      </c>
      <c r="W798" t="s">
        <v>106</v>
      </c>
      <c r="X798" t="s">
        <v>1427</v>
      </c>
      <c r="Y798">
        <v>0</v>
      </c>
      <c r="Z798">
        <v>0</v>
      </c>
      <c r="AA798">
        <v>2007</v>
      </c>
      <c r="AB798">
        <v>9999</v>
      </c>
      <c r="AC798" t="s">
        <v>35</v>
      </c>
    </row>
    <row r="799" spans="1:29" x14ac:dyDescent="0.25">
      <c r="A799" s="31" t="s">
        <v>126</v>
      </c>
      <c r="B799" s="23" t="s">
        <v>1573</v>
      </c>
      <c r="C799" t="s">
        <v>1607</v>
      </c>
      <c r="D799">
        <v>1</v>
      </c>
      <c r="E799" s="5" t="s">
        <v>128</v>
      </c>
      <c r="F799">
        <v>9</v>
      </c>
      <c r="G799">
        <v>2024</v>
      </c>
      <c r="H799" t="s">
        <v>129</v>
      </c>
      <c r="I799">
        <v>3</v>
      </c>
      <c r="J799" t="s">
        <v>104</v>
      </c>
      <c r="K799" t="s">
        <v>41</v>
      </c>
      <c r="M799">
        <v>0</v>
      </c>
      <c r="N799">
        <v>0</v>
      </c>
      <c r="O799">
        <v>0</v>
      </c>
      <c r="P799">
        <v>0</v>
      </c>
      <c r="Q799">
        <v>0</v>
      </c>
      <c r="R799">
        <v>0</v>
      </c>
      <c r="S799">
        <v>0</v>
      </c>
      <c r="T799">
        <v>1</v>
      </c>
      <c r="U799">
        <v>0</v>
      </c>
      <c r="V799">
        <v>0</v>
      </c>
      <c r="W799" t="s">
        <v>1043</v>
      </c>
      <c r="X799" t="s">
        <v>1843</v>
      </c>
      <c r="Y799">
        <v>0</v>
      </c>
      <c r="Z799">
        <v>0</v>
      </c>
      <c r="AA799">
        <v>2007</v>
      </c>
      <c r="AB799">
        <v>9999</v>
      </c>
      <c r="AC799" t="s">
        <v>35</v>
      </c>
    </row>
    <row r="800" spans="1:29" x14ac:dyDescent="0.25">
      <c r="A800" s="31" t="s">
        <v>1013</v>
      </c>
      <c r="B800" s="23" t="s">
        <v>1014</v>
      </c>
      <c r="D800">
        <v>1</v>
      </c>
      <c r="E800" t="s">
        <v>128</v>
      </c>
      <c r="F800">
        <v>9</v>
      </c>
      <c r="G800">
        <v>2024</v>
      </c>
      <c r="H800" t="s">
        <v>1513</v>
      </c>
      <c r="I800">
        <v>7.5</v>
      </c>
      <c r="J800" t="s">
        <v>104</v>
      </c>
      <c r="K800" t="s">
        <v>41</v>
      </c>
      <c r="M800">
        <v>0</v>
      </c>
      <c r="N800">
        <v>0</v>
      </c>
      <c r="O800">
        <v>0</v>
      </c>
      <c r="P800">
        <v>0</v>
      </c>
      <c r="Q800">
        <v>0</v>
      </c>
      <c r="R800">
        <v>0</v>
      </c>
      <c r="S800">
        <v>0</v>
      </c>
      <c r="T800">
        <v>0</v>
      </c>
      <c r="U800">
        <v>0</v>
      </c>
      <c r="V800">
        <v>0</v>
      </c>
      <c r="W800" t="s">
        <v>1229</v>
      </c>
      <c r="X800" t="s">
        <v>1844</v>
      </c>
      <c r="Y800">
        <v>0</v>
      </c>
      <c r="Z800">
        <v>0</v>
      </c>
      <c r="AA800">
        <v>2007</v>
      </c>
      <c r="AB800">
        <v>9999</v>
      </c>
      <c r="AC800" t="s">
        <v>35</v>
      </c>
    </row>
    <row r="801" spans="1:29" x14ac:dyDescent="0.25">
      <c r="A801" s="31" t="s">
        <v>1016</v>
      </c>
      <c r="B801" s="23" t="s">
        <v>1017</v>
      </c>
      <c r="D801">
        <v>1</v>
      </c>
      <c r="E801" t="s">
        <v>396</v>
      </c>
      <c r="F801">
        <v>3</v>
      </c>
      <c r="G801">
        <v>2024</v>
      </c>
      <c r="H801" t="s">
        <v>1018</v>
      </c>
      <c r="I801">
        <v>0</v>
      </c>
      <c r="J801" t="s">
        <v>121</v>
      </c>
      <c r="K801" t="s">
        <v>41</v>
      </c>
      <c r="M801">
        <v>0</v>
      </c>
      <c r="N801">
        <v>0</v>
      </c>
      <c r="O801">
        <v>0</v>
      </c>
      <c r="P801">
        <v>0</v>
      </c>
      <c r="Q801">
        <v>0</v>
      </c>
      <c r="R801">
        <v>0</v>
      </c>
      <c r="S801">
        <v>0</v>
      </c>
      <c r="T801">
        <v>0</v>
      </c>
      <c r="U801">
        <v>0</v>
      </c>
      <c r="V801">
        <v>0</v>
      </c>
      <c r="W801" t="s">
        <v>1230</v>
      </c>
      <c r="X801" t="s">
        <v>1845</v>
      </c>
      <c r="Y801">
        <v>0</v>
      </c>
      <c r="Z801">
        <v>0</v>
      </c>
      <c r="AA801">
        <v>2007</v>
      </c>
      <c r="AB801">
        <v>9999</v>
      </c>
      <c r="AC801" t="s">
        <v>35</v>
      </c>
    </row>
    <row r="802" spans="1:29" x14ac:dyDescent="0.25">
      <c r="A802" s="31" t="s">
        <v>1020</v>
      </c>
      <c r="B802" s="23" t="s">
        <v>1021</v>
      </c>
      <c r="D802">
        <v>1</v>
      </c>
      <c r="E802" t="s">
        <v>103</v>
      </c>
      <c r="F802">
        <v>9</v>
      </c>
      <c r="G802">
        <v>2024</v>
      </c>
      <c r="I802" s="8">
        <v>18.7</v>
      </c>
      <c r="J802" t="s">
        <v>104</v>
      </c>
      <c r="K802" t="s">
        <v>47</v>
      </c>
      <c r="M802">
        <v>0</v>
      </c>
      <c r="N802">
        <v>0</v>
      </c>
      <c r="O802">
        <v>0</v>
      </c>
      <c r="P802">
        <v>0</v>
      </c>
      <c r="Q802">
        <v>0</v>
      </c>
      <c r="R802">
        <v>0</v>
      </c>
      <c r="S802">
        <v>0</v>
      </c>
      <c r="T802">
        <v>1</v>
      </c>
      <c r="U802">
        <v>1</v>
      </c>
      <c r="V802">
        <v>0</v>
      </c>
      <c r="W802" t="s">
        <v>1231</v>
      </c>
      <c r="X802" t="s">
        <v>1846</v>
      </c>
      <c r="Y802">
        <v>1</v>
      </c>
      <c r="Z802">
        <v>0</v>
      </c>
      <c r="AA802">
        <v>2007</v>
      </c>
      <c r="AB802">
        <v>9999</v>
      </c>
      <c r="AC802" t="s">
        <v>35</v>
      </c>
    </row>
    <row r="803" spans="1:29" x14ac:dyDescent="0.25">
      <c r="B803" s="23" t="s">
        <v>1026</v>
      </c>
      <c r="D803">
        <v>24</v>
      </c>
      <c r="E803" s="18"/>
      <c r="F803">
        <v>3</v>
      </c>
      <c r="G803">
        <v>2024</v>
      </c>
      <c r="H803" t="s">
        <v>392</v>
      </c>
      <c r="I803">
        <v>10.14</v>
      </c>
      <c r="J803" t="s">
        <v>121</v>
      </c>
      <c r="K803" t="s">
        <v>41</v>
      </c>
      <c r="M803">
        <v>0</v>
      </c>
      <c r="N803">
        <v>0</v>
      </c>
      <c r="O803">
        <v>0</v>
      </c>
      <c r="P803">
        <v>0</v>
      </c>
      <c r="Q803">
        <v>0</v>
      </c>
      <c r="R803">
        <v>0</v>
      </c>
      <c r="S803">
        <v>0</v>
      </c>
      <c r="T803">
        <v>0</v>
      </c>
      <c r="U803">
        <v>0</v>
      </c>
      <c r="V803">
        <v>0</v>
      </c>
      <c r="W803" t="s">
        <v>1232</v>
      </c>
      <c r="X803" t="s">
        <v>1847</v>
      </c>
      <c r="Y803">
        <v>0</v>
      </c>
      <c r="Z803">
        <v>0</v>
      </c>
      <c r="AA803">
        <v>2007</v>
      </c>
      <c r="AB803">
        <v>9999</v>
      </c>
      <c r="AC803" t="s">
        <v>35</v>
      </c>
    </row>
    <row r="804" spans="1:29" x14ac:dyDescent="0.25">
      <c r="A804" s="31" t="s">
        <v>28</v>
      </c>
      <c r="B804" s="23" t="s">
        <v>29</v>
      </c>
      <c r="D804">
        <v>1</v>
      </c>
      <c r="E804" t="s">
        <v>30</v>
      </c>
      <c r="F804">
        <v>4</v>
      </c>
      <c r="G804">
        <v>2023</v>
      </c>
      <c r="I804" s="8">
        <v>1028.7</v>
      </c>
      <c r="J804" t="s">
        <v>1556</v>
      </c>
      <c r="K804" t="s">
        <v>32</v>
      </c>
      <c r="L804" t="s">
        <v>33</v>
      </c>
      <c r="O804">
        <v>0</v>
      </c>
      <c r="P804">
        <v>0</v>
      </c>
      <c r="Q804">
        <v>0</v>
      </c>
      <c r="R804">
        <v>1</v>
      </c>
      <c r="S804">
        <v>1</v>
      </c>
      <c r="T804">
        <v>1</v>
      </c>
      <c r="U804">
        <v>1</v>
      </c>
      <c r="V804">
        <v>0</v>
      </c>
      <c r="W804" t="s">
        <v>1029</v>
      </c>
      <c r="AA804">
        <v>2007</v>
      </c>
      <c r="AB804">
        <v>9999</v>
      </c>
      <c r="AC804" t="s">
        <v>35</v>
      </c>
    </row>
    <row r="805" spans="1:29" x14ac:dyDescent="0.25">
      <c r="A805" s="31" t="s">
        <v>36</v>
      </c>
      <c r="B805" s="23" t="s">
        <v>1445</v>
      </c>
      <c r="D805">
        <v>1</v>
      </c>
      <c r="E805" s="5" t="s">
        <v>38</v>
      </c>
      <c r="F805">
        <v>4</v>
      </c>
      <c r="G805">
        <v>2023</v>
      </c>
      <c r="H805" t="s">
        <v>39</v>
      </c>
      <c r="I805" s="15">
        <v>0.25</v>
      </c>
      <c r="J805" t="s">
        <v>40</v>
      </c>
      <c r="K805" t="s">
        <v>41</v>
      </c>
      <c r="O805">
        <v>0</v>
      </c>
      <c r="P805">
        <v>0</v>
      </c>
      <c r="Q805">
        <v>0</v>
      </c>
      <c r="R805">
        <v>0</v>
      </c>
      <c r="S805">
        <v>0</v>
      </c>
      <c r="T805">
        <v>0</v>
      </c>
      <c r="U805">
        <v>0</v>
      </c>
      <c r="V805">
        <v>0</v>
      </c>
      <c r="W805" t="s">
        <v>1030</v>
      </c>
      <c r="AA805">
        <v>2007</v>
      </c>
      <c r="AB805">
        <v>9999</v>
      </c>
      <c r="AC805" t="s">
        <v>35</v>
      </c>
    </row>
    <row r="806" spans="1:29" x14ac:dyDescent="0.25">
      <c r="A806" s="31" t="s">
        <v>43</v>
      </c>
      <c r="B806" s="23" t="s">
        <v>44</v>
      </c>
      <c r="D806">
        <v>1</v>
      </c>
      <c r="E806" t="s">
        <v>45</v>
      </c>
      <c r="F806">
        <v>4</v>
      </c>
      <c r="G806">
        <v>2023</v>
      </c>
      <c r="I806" s="8">
        <v>45.1</v>
      </c>
      <c r="J806" t="s">
        <v>52</v>
      </c>
      <c r="K806" t="s">
        <v>47</v>
      </c>
      <c r="O806">
        <v>0</v>
      </c>
      <c r="P806">
        <v>0</v>
      </c>
      <c r="Q806">
        <v>0</v>
      </c>
      <c r="R806">
        <v>0</v>
      </c>
      <c r="S806">
        <v>1</v>
      </c>
      <c r="T806">
        <v>1</v>
      </c>
      <c r="U806">
        <v>1</v>
      </c>
      <c r="V806">
        <v>0</v>
      </c>
      <c r="W806" t="s">
        <v>1514</v>
      </c>
      <c r="AA806">
        <v>2007</v>
      </c>
      <c r="AB806">
        <v>9999</v>
      </c>
      <c r="AC806" t="s">
        <v>35</v>
      </c>
    </row>
    <row r="807" spans="1:29" x14ac:dyDescent="0.25">
      <c r="A807" s="31" t="s">
        <v>49</v>
      </c>
      <c r="B807" s="23" t="s">
        <v>50</v>
      </c>
      <c r="D807">
        <v>1</v>
      </c>
      <c r="E807" t="s">
        <v>51</v>
      </c>
      <c r="F807">
        <v>1</v>
      </c>
      <c r="G807">
        <v>2023</v>
      </c>
      <c r="I807" s="15">
        <v>69</v>
      </c>
      <c r="J807" t="s">
        <v>52</v>
      </c>
      <c r="K807" t="s">
        <v>53</v>
      </c>
      <c r="L807" t="s">
        <v>54</v>
      </c>
      <c r="O807">
        <v>0</v>
      </c>
      <c r="P807">
        <v>0</v>
      </c>
      <c r="Q807">
        <v>1</v>
      </c>
      <c r="R807">
        <v>0</v>
      </c>
      <c r="S807">
        <v>0</v>
      </c>
      <c r="T807">
        <v>0</v>
      </c>
      <c r="U807">
        <v>1</v>
      </c>
      <c r="V807">
        <v>0</v>
      </c>
      <c r="W807" t="s">
        <v>55</v>
      </c>
      <c r="AA807">
        <v>2007</v>
      </c>
      <c r="AB807">
        <v>9999</v>
      </c>
      <c r="AC807" t="s">
        <v>35</v>
      </c>
    </row>
    <row r="808" spans="1:29" x14ac:dyDescent="0.25">
      <c r="A808" s="31" t="s">
        <v>996</v>
      </c>
      <c r="B808" s="23" t="s">
        <v>1342</v>
      </c>
      <c r="D808">
        <v>1</v>
      </c>
      <c r="E808" t="s">
        <v>38</v>
      </c>
      <c r="F808">
        <v>4</v>
      </c>
      <c r="G808">
        <v>2023</v>
      </c>
      <c r="H808" t="s">
        <v>998</v>
      </c>
      <c r="I808" s="15">
        <v>1.5</v>
      </c>
      <c r="J808" t="s">
        <v>1608</v>
      </c>
      <c r="K808" t="s">
        <v>41</v>
      </c>
      <c r="O808">
        <v>0</v>
      </c>
      <c r="P808">
        <v>0</v>
      </c>
      <c r="Q808">
        <v>0</v>
      </c>
      <c r="R808">
        <v>0</v>
      </c>
      <c r="S808">
        <v>0</v>
      </c>
      <c r="T808">
        <v>0</v>
      </c>
      <c r="U808">
        <v>0</v>
      </c>
      <c r="V808">
        <v>0</v>
      </c>
      <c r="W808" t="s">
        <v>1344</v>
      </c>
      <c r="AA808">
        <v>2007</v>
      </c>
      <c r="AB808">
        <v>9999</v>
      </c>
      <c r="AC808" t="s">
        <v>35</v>
      </c>
    </row>
    <row r="809" spans="1:29" x14ac:dyDescent="0.25">
      <c r="A809" s="31" t="s">
        <v>56</v>
      </c>
      <c r="B809" s="23" t="s">
        <v>57</v>
      </c>
      <c r="D809">
        <v>1</v>
      </c>
      <c r="E809" t="s">
        <v>58</v>
      </c>
      <c r="F809">
        <v>4</v>
      </c>
      <c r="G809">
        <v>2023</v>
      </c>
      <c r="I809" s="8">
        <v>16.8</v>
      </c>
      <c r="J809" t="s">
        <v>59</v>
      </c>
      <c r="K809" t="s">
        <v>53</v>
      </c>
      <c r="L809" t="s">
        <v>60</v>
      </c>
      <c r="O809">
        <v>1</v>
      </c>
      <c r="P809">
        <v>0</v>
      </c>
      <c r="Q809">
        <v>0</v>
      </c>
      <c r="R809">
        <v>0</v>
      </c>
      <c r="S809">
        <v>1</v>
      </c>
      <c r="T809">
        <v>1</v>
      </c>
      <c r="U809">
        <v>1</v>
      </c>
      <c r="V809">
        <v>0</v>
      </c>
      <c r="W809" t="s">
        <v>61</v>
      </c>
      <c r="AA809">
        <v>2007</v>
      </c>
      <c r="AB809">
        <v>9999</v>
      </c>
      <c r="AC809" t="s">
        <v>35</v>
      </c>
    </row>
    <row r="810" spans="1:29" x14ac:dyDescent="0.25">
      <c r="A810" s="31" t="s">
        <v>71</v>
      </c>
      <c r="B810" s="23" t="s">
        <v>1032</v>
      </c>
      <c r="D810">
        <v>1</v>
      </c>
      <c r="E810" t="s">
        <v>309</v>
      </c>
      <c r="F810">
        <v>10</v>
      </c>
      <c r="G810">
        <v>2023</v>
      </c>
      <c r="I810" s="8">
        <v>10469.700000000001</v>
      </c>
      <c r="J810" t="s">
        <v>59</v>
      </c>
      <c r="K810" t="s">
        <v>32</v>
      </c>
      <c r="O810">
        <v>0</v>
      </c>
      <c r="P810">
        <v>0</v>
      </c>
      <c r="Q810">
        <v>0</v>
      </c>
      <c r="R810">
        <v>0</v>
      </c>
      <c r="S810">
        <v>1</v>
      </c>
      <c r="T810">
        <v>1</v>
      </c>
      <c r="U810">
        <v>1</v>
      </c>
      <c r="V810">
        <v>0</v>
      </c>
      <c r="W810" t="s">
        <v>1609</v>
      </c>
      <c r="AA810">
        <v>2007</v>
      </c>
      <c r="AB810">
        <v>9999</v>
      </c>
      <c r="AC810" t="s">
        <v>35</v>
      </c>
    </row>
    <row r="811" spans="1:29" x14ac:dyDescent="0.25">
      <c r="A811" s="31" t="s">
        <v>62</v>
      </c>
      <c r="B811" s="23" t="s">
        <v>63</v>
      </c>
      <c r="D811">
        <v>1</v>
      </c>
      <c r="E811" t="s">
        <v>64</v>
      </c>
      <c r="F811">
        <v>1</v>
      </c>
      <c r="G811">
        <v>2023</v>
      </c>
      <c r="I811" s="8">
        <v>69.5</v>
      </c>
      <c r="J811" t="s">
        <v>52</v>
      </c>
      <c r="K811" t="s">
        <v>53</v>
      </c>
      <c r="L811" t="s">
        <v>65</v>
      </c>
      <c r="O811">
        <v>0</v>
      </c>
      <c r="P811">
        <v>0</v>
      </c>
      <c r="Q811">
        <v>0</v>
      </c>
      <c r="R811">
        <v>0</v>
      </c>
      <c r="S811">
        <v>1</v>
      </c>
      <c r="T811">
        <v>1</v>
      </c>
      <c r="U811">
        <v>1</v>
      </c>
      <c r="V811">
        <v>0</v>
      </c>
      <c r="W811" t="s">
        <v>1034</v>
      </c>
      <c r="AA811">
        <v>2007</v>
      </c>
      <c r="AB811">
        <v>9999</v>
      </c>
      <c r="AC811" t="s">
        <v>35</v>
      </c>
    </row>
    <row r="812" spans="1:29" x14ac:dyDescent="0.25">
      <c r="A812" s="31" t="s">
        <v>74</v>
      </c>
      <c r="B812" s="23" t="s">
        <v>75</v>
      </c>
      <c r="D812">
        <v>1</v>
      </c>
      <c r="E812" t="s">
        <v>58</v>
      </c>
      <c r="F812">
        <v>4</v>
      </c>
      <c r="G812">
        <v>2023</v>
      </c>
      <c r="I812" s="8">
        <v>684.1</v>
      </c>
      <c r="J812" t="s">
        <v>59</v>
      </c>
      <c r="K812" t="s">
        <v>47</v>
      </c>
      <c r="O812">
        <v>0</v>
      </c>
      <c r="P812">
        <v>0</v>
      </c>
      <c r="Q812">
        <v>0</v>
      </c>
      <c r="R812">
        <v>0</v>
      </c>
      <c r="S812">
        <v>1</v>
      </c>
      <c r="T812">
        <v>1</v>
      </c>
      <c r="U812">
        <v>1</v>
      </c>
      <c r="V812">
        <v>0</v>
      </c>
      <c r="W812" t="s">
        <v>1035</v>
      </c>
      <c r="AA812">
        <v>2007</v>
      </c>
      <c r="AB812">
        <v>9999</v>
      </c>
      <c r="AC812" t="s">
        <v>35</v>
      </c>
    </row>
    <row r="813" spans="1:29" x14ac:dyDescent="0.25">
      <c r="A813" s="31" t="s">
        <v>83</v>
      </c>
      <c r="B813" s="23" t="s">
        <v>84</v>
      </c>
      <c r="D813">
        <v>1</v>
      </c>
      <c r="E813" t="s">
        <v>85</v>
      </c>
      <c r="F813">
        <v>1</v>
      </c>
      <c r="G813">
        <v>2023</v>
      </c>
      <c r="H813" t="s">
        <v>39</v>
      </c>
      <c r="I813" s="8">
        <v>29.5</v>
      </c>
      <c r="J813" t="s">
        <v>40</v>
      </c>
      <c r="K813" t="s">
        <v>41</v>
      </c>
      <c r="O813">
        <v>0</v>
      </c>
      <c r="P813">
        <v>0</v>
      </c>
      <c r="Q813">
        <v>0</v>
      </c>
      <c r="R813">
        <v>0</v>
      </c>
      <c r="S813">
        <v>0</v>
      </c>
      <c r="T813">
        <v>0</v>
      </c>
      <c r="U813">
        <v>0</v>
      </c>
      <c r="V813">
        <v>0</v>
      </c>
      <c r="W813" t="s">
        <v>86</v>
      </c>
      <c r="AA813">
        <v>2007</v>
      </c>
      <c r="AB813">
        <v>9999</v>
      </c>
      <c r="AC813" t="s">
        <v>35</v>
      </c>
    </row>
    <row r="814" spans="1:29" x14ac:dyDescent="0.25">
      <c r="A814" s="31" t="s">
        <v>92</v>
      </c>
      <c r="B814" s="23" t="s">
        <v>93</v>
      </c>
      <c r="C814" t="s">
        <v>94</v>
      </c>
      <c r="D814">
        <v>1</v>
      </c>
      <c r="E814" t="s">
        <v>95</v>
      </c>
      <c r="F814">
        <v>10</v>
      </c>
      <c r="G814">
        <v>2023</v>
      </c>
      <c r="I814" s="8">
        <v>18.8</v>
      </c>
      <c r="J814" t="s">
        <v>40</v>
      </c>
      <c r="K814" t="s">
        <v>47</v>
      </c>
      <c r="O814">
        <v>0</v>
      </c>
      <c r="P814">
        <v>0</v>
      </c>
      <c r="Q814">
        <v>0</v>
      </c>
      <c r="R814">
        <v>0</v>
      </c>
      <c r="S814">
        <v>1</v>
      </c>
      <c r="T814">
        <v>1</v>
      </c>
      <c r="U814">
        <v>1</v>
      </c>
      <c r="V814">
        <v>0</v>
      </c>
      <c r="W814" t="s">
        <v>96</v>
      </c>
      <c r="AA814">
        <v>2007</v>
      </c>
      <c r="AB814">
        <v>9999</v>
      </c>
      <c r="AC814" t="s">
        <v>35</v>
      </c>
    </row>
    <row r="815" spans="1:29" x14ac:dyDescent="0.25">
      <c r="A815" s="31" t="s">
        <v>101</v>
      </c>
      <c r="B815" s="23" t="s">
        <v>102</v>
      </c>
      <c r="D815">
        <v>1</v>
      </c>
      <c r="E815" t="s">
        <v>103</v>
      </c>
      <c r="F815">
        <v>9</v>
      </c>
      <c r="G815">
        <v>2023</v>
      </c>
      <c r="I815" s="8">
        <v>470.9</v>
      </c>
      <c r="J815" t="s">
        <v>104</v>
      </c>
      <c r="K815" t="s">
        <v>53</v>
      </c>
      <c r="L815" t="s">
        <v>105</v>
      </c>
      <c r="O815">
        <v>0</v>
      </c>
      <c r="P815">
        <v>1</v>
      </c>
      <c r="Q815">
        <v>0</v>
      </c>
      <c r="R815">
        <v>0</v>
      </c>
      <c r="S815">
        <v>1</v>
      </c>
      <c r="T815">
        <v>1</v>
      </c>
      <c r="U815">
        <v>1</v>
      </c>
      <c r="V815">
        <v>0</v>
      </c>
      <c r="W815" t="s">
        <v>106</v>
      </c>
      <c r="AA815">
        <v>2007</v>
      </c>
      <c r="AB815">
        <v>9999</v>
      </c>
      <c r="AC815" t="s">
        <v>35</v>
      </c>
    </row>
    <row r="816" spans="1:29" x14ac:dyDescent="0.25">
      <c r="A816" s="31" t="s">
        <v>107</v>
      </c>
      <c r="B816" s="23" t="s">
        <v>108</v>
      </c>
      <c r="D816">
        <v>1</v>
      </c>
      <c r="E816" t="s">
        <v>45</v>
      </c>
      <c r="F816">
        <v>4</v>
      </c>
      <c r="G816">
        <v>2023</v>
      </c>
      <c r="I816" s="8">
        <v>5.9</v>
      </c>
      <c r="J816" t="s">
        <v>52</v>
      </c>
      <c r="K816" t="s">
        <v>41</v>
      </c>
      <c r="O816">
        <v>0</v>
      </c>
      <c r="P816">
        <v>0</v>
      </c>
      <c r="Q816">
        <v>0</v>
      </c>
      <c r="R816">
        <v>0</v>
      </c>
      <c r="S816">
        <v>0</v>
      </c>
      <c r="T816">
        <v>1</v>
      </c>
      <c r="U816">
        <v>1</v>
      </c>
      <c r="V816">
        <v>0</v>
      </c>
      <c r="W816" t="s">
        <v>1520</v>
      </c>
      <c r="AA816">
        <v>2007</v>
      </c>
      <c r="AB816">
        <v>9999</v>
      </c>
      <c r="AC816" t="s">
        <v>35</v>
      </c>
    </row>
    <row r="817" spans="1:29" x14ac:dyDescent="0.25">
      <c r="A817" s="31" t="s">
        <v>110</v>
      </c>
      <c r="B817" s="23" t="s">
        <v>111</v>
      </c>
      <c r="D817">
        <v>1</v>
      </c>
      <c r="E817" t="s">
        <v>45</v>
      </c>
      <c r="F817">
        <v>4</v>
      </c>
      <c r="G817">
        <v>2023</v>
      </c>
      <c r="I817" s="8">
        <v>542.12</v>
      </c>
      <c r="J817" t="s">
        <v>1610</v>
      </c>
      <c r="K817" t="s">
        <v>47</v>
      </c>
      <c r="O817">
        <v>0</v>
      </c>
      <c r="P817">
        <v>0</v>
      </c>
      <c r="Q817">
        <v>0</v>
      </c>
      <c r="R817">
        <v>0</v>
      </c>
      <c r="S817">
        <v>1</v>
      </c>
      <c r="T817">
        <v>1</v>
      </c>
      <c r="U817">
        <v>1</v>
      </c>
      <c r="V817">
        <v>0</v>
      </c>
      <c r="W817" t="s">
        <v>1039</v>
      </c>
      <c r="AA817">
        <v>2007</v>
      </c>
      <c r="AB817">
        <v>9999</v>
      </c>
      <c r="AC817" t="s">
        <v>35</v>
      </c>
    </row>
    <row r="818" spans="1:29" x14ac:dyDescent="0.25">
      <c r="A818" s="31" t="s">
        <v>113</v>
      </c>
      <c r="B818" s="23" t="s">
        <v>114</v>
      </c>
      <c r="D818">
        <v>1</v>
      </c>
      <c r="E818" t="s">
        <v>115</v>
      </c>
      <c r="F818">
        <v>6</v>
      </c>
      <c r="G818">
        <v>2023</v>
      </c>
      <c r="I818" s="8">
        <v>240.8</v>
      </c>
      <c r="J818" t="s">
        <v>1608</v>
      </c>
      <c r="K818" t="s">
        <v>47</v>
      </c>
      <c r="O818">
        <v>0</v>
      </c>
      <c r="P818">
        <v>0</v>
      </c>
      <c r="Q818">
        <v>0</v>
      </c>
      <c r="R818">
        <v>0</v>
      </c>
      <c r="S818">
        <v>1</v>
      </c>
      <c r="T818">
        <v>1</v>
      </c>
      <c r="U818">
        <v>1</v>
      </c>
      <c r="V818">
        <v>0</v>
      </c>
      <c r="W818" t="s">
        <v>1586</v>
      </c>
      <c r="AA818">
        <v>2007</v>
      </c>
      <c r="AB818">
        <v>9999</v>
      </c>
      <c r="AC818" t="s">
        <v>35</v>
      </c>
    </row>
    <row r="819" spans="1:29" x14ac:dyDescent="0.25">
      <c r="A819" s="31" t="s">
        <v>117</v>
      </c>
      <c r="B819" s="23" t="s">
        <v>118</v>
      </c>
      <c r="C819" t="s">
        <v>119</v>
      </c>
      <c r="D819">
        <v>1</v>
      </c>
      <c r="E819" t="s">
        <v>120</v>
      </c>
      <c r="F819">
        <v>3</v>
      </c>
      <c r="G819">
        <v>2023</v>
      </c>
      <c r="I819" s="8">
        <v>146.69999999999999</v>
      </c>
      <c r="J819" t="s">
        <v>121</v>
      </c>
      <c r="K819" t="s">
        <v>47</v>
      </c>
      <c r="O819">
        <v>0</v>
      </c>
      <c r="P819">
        <v>0</v>
      </c>
      <c r="Q819">
        <v>0</v>
      </c>
      <c r="R819">
        <v>0</v>
      </c>
      <c r="S819">
        <v>1</v>
      </c>
      <c r="T819">
        <v>1</v>
      </c>
      <c r="U819">
        <v>1</v>
      </c>
      <c r="V819">
        <v>0</v>
      </c>
      <c r="W819" t="s">
        <v>1521</v>
      </c>
      <c r="AA819">
        <v>2007</v>
      </c>
      <c r="AB819">
        <v>9999</v>
      </c>
      <c r="AC819" t="s">
        <v>35</v>
      </c>
    </row>
    <row r="820" spans="1:29" x14ac:dyDescent="0.25">
      <c r="A820" s="31" t="s">
        <v>123</v>
      </c>
      <c r="B820" s="23" t="s">
        <v>124</v>
      </c>
      <c r="D820">
        <v>1</v>
      </c>
      <c r="E820" t="s">
        <v>120</v>
      </c>
      <c r="F820">
        <v>3</v>
      </c>
      <c r="G820">
        <v>2023</v>
      </c>
      <c r="I820" s="8">
        <v>54.6</v>
      </c>
      <c r="J820" t="s">
        <v>121</v>
      </c>
      <c r="K820" t="s">
        <v>47</v>
      </c>
      <c r="O820">
        <v>0</v>
      </c>
      <c r="P820">
        <v>0</v>
      </c>
      <c r="Q820">
        <v>0</v>
      </c>
      <c r="R820">
        <v>0</v>
      </c>
      <c r="S820">
        <v>1</v>
      </c>
      <c r="T820">
        <v>1</v>
      </c>
      <c r="U820">
        <v>1</v>
      </c>
      <c r="V820">
        <v>0</v>
      </c>
      <c r="W820" t="s">
        <v>1042</v>
      </c>
      <c r="AA820">
        <v>2007</v>
      </c>
      <c r="AB820">
        <v>9999</v>
      </c>
      <c r="AC820" t="s">
        <v>35</v>
      </c>
    </row>
    <row r="821" spans="1:29" x14ac:dyDescent="0.25">
      <c r="A821" s="31" t="s">
        <v>1416</v>
      </c>
      <c r="B821" s="23" t="s">
        <v>1417</v>
      </c>
      <c r="D821">
        <v>1</v>
      </c>
      <c r="E821" s="5" t="s">
        <v>38</v>
      </c>
      <c r="F821">
        <v>4</v>
      </c>
      <c r="G821">
        <v>2023</v>
      </c>
      <c r="H821" t="s">
        <v>998</v>
      </c>
      <c r="I821" s="15">
        <v>0</v>
      </c>
      <c r="J821" t="s">
        <v>89</v>
      </c>
      <c r="K821" t="s">
        <v>41</v>
      </c>
      <c r="O821">
        <v>0</v>
      </c>
      <c r="P821">
        <v>0</v>
      </c>
      <c r="Q821">
        <v>0</v>
      </c>
      <c r="R821">
        <v>0</v>
      </c>
      <c r="S821">
        <v>0</v>
      </c>
      <c r="T821">
        <v>0</v>
      </c>
      <c r="U821">
        <v>0</v>
      </c>
      <c r="V821">
        <v>0</v>
      </c>
      <c r="W821" t="s">
        <v>1534</v>
      </c>
      <c r="AA821">
        <v>2013</v>
      </c>
      <c r="AB821">
        <v>9999</v>
      </c>
      <c r="AC821" t="s">
        <v>1419</v>
      </c>
    </row>
    <row r="822" spans="1:29" x14ac:dyDescent="0.25">
      <c r="A822" s="31" t="s">
        <v>131</v>
      </c>
      <c r="B822" s="23" t="s">
        <v>132</v>
      </c>
      <c r="C822" t="s">
        <v>133</v>
      </c>
      <c r="D822">
        <v>1</v>
      </c>
      <c r="E822" t="s">
        <v>134</v>
      </c>
      <c r="F822">
        <v>9</v>
      </c>
      <c r="G822">
        <v>2023</v>
      </c>
      <c r="I822" s="8">
        <v>1171.9000000000001</v>
      </c>
      <c r="J822" t="s">
        <v>104</v>
      </c>
      <c r="K822" t="s">
        <v>47</v>
      </c>
      <c r="O822">
        <v>0</v>
      </c>
      <c r="P822">
        <v>0</v>
      </c>
      <c r="Q822">
        <v>0</v>
      </c>
      <c r="R822">
        <v>0</v>
      </c>
      <c r="S822">
        <v>1</v>
      </c>
      <c r="T822">
        <v>1</v>
      </c>
      <c r="U822">
        <v>1</v>
      </c>
      <c r="V822">
        <v>0</v>
      </c>
      <c r="W822" t="s">
        <v>1522</v>
      </c>
      <c r="AA822">
        <v>2007</v>
      </c>
      <c r="AB822">
        <v>9999</v>
      </c>
      <c r="AC822" t="s">
        <v>35</v>
      </c>
    </row>
    <row r="823" spans="1:29" ht="30" x14ac:dyDescent="0.25">
      <c r="A823" s="31" t="s">
        <v>143</v>
      </c>
      <c r="B823" s="23" t="s">
        <v>144</v>
      </c>
      <c r="D823">
        <v>1</v>
      </c>
      <c r="E823" t="s">
        <v>145</v>
      </c>
      <c r="F823">
        <v>2</v>
      </c>
      <c r="G823">
        <v>2023</v>
      </c>
      <c r="H823" t="s">
        <v>146</v>
      </c>
      <c r="I823">
        <v>0</v>
      </c>
      <c r="J823" s="2" t="s">
        <v>147</v>
      </c>
      <c r="K823" t="s">
        <v>41</v>
      </c>
      <c r="O823">
        <v>0</v>
      </c>
      <c r="P823">
        <v>0</v>
      </c>
      <c r="Q823">
        <v>0</v>
      </c>
      <c r="R823">
        <v>0</v>
      </c>
      <c r="S823">
        <v>0</v>
      </c>
      <c r="T823">
        <v>0</v>
      </c>
      <c r="U823">
        <v>0</v>
      </c>
      <c r="V823">
        <v>0</v>
      </c>
      <c r="W823" t="s">
        <v>1046</v>
      </c>
      <c r="AA823">
        <v>2007</v>
      </c>
      <c r="AB823">
        <v>9999</v>
      </c>
      <c r="AC823" t="s">
        <v>35</v>
      </c>
    </row>
    <row r="824" spans="1:29" x14ac:dyDescent="0.25">
      <c r="A824" s="31" t="s">
        <v>353</v>
      </c>
      <c r="B824" s="23" t="s">
        <v>1233</v>
      </c>
      <c r="C824" t="s">
        <v>1234</v>
      </c>
      <c r="D824">
        <v>1</v>
      </c>
      <c r="E824" t="s">
        <v>58</v>
      </c>
      <c r="F824">
        <v>4</v>
      </c>
      <c r="G824">
        <v>2023</v>
      </c>
      <c r="I824" s="8">
        <v>95.8</v>
      </c>
      <c r="J824" t="s">
        <v>59</v>
      </c>
      <c r="K824" t="s">
        <v>47</v>
      </c>
      <c r="O824">
        <v>0</v>
      </c>
      <c r="P824">
        <v>0</v>
      </c>
      <c r="Q824">
        <v>0</v>
      </c>
      <c r="R824">
        <v>0</v>
      </c>
      <c r="S824">
        <v>1</v>
      </c>
      <c r="T824">
        <v>1</v>
      </c>
      <c r="U824">
        <v>1</v>
      </c>
      <c r="V824">
        <v>0</v>
      </c>
      <c r="W824" t="s">
        <v>1235</v>
      </c>
      <c r="AA824">
        <v>2007</v>
      </c>
      <c r="AB824">
        <v>9999</v>
      </c>
      <c r="AC824" t="s">
        <v>35</v>
      </c>
    </row>
    <row r="825" spans="1:29" x14ac:dyDescent="0.25">
      <c r="A825" s="31" t="s">
        <v>1236</v>
      </c>
      <c r="B825" s="23" t="s">
        <v>1237</v>
      </c>
      <c r="D825">
        <v>1</v>
      </c>
      <c r="E825" t="s">
        <v>155</v>
      </c>
      <c r="F825">
        <v>3</v>
      </c>
      <c r="G825">
        <v>2023</v>
      </c>
      <c r="H825" t="s">
        <v>154</v>
      </c>
      <c r="I825" s="8">
        <v>7</v>
      </c>
      <c r="J825" t="s">
        <v>121</v>
      </c>
      <c r="K825" t="s">
        <v>41</v>
      </c>
      <c r="O825">
        <v>0</v>
      </c>
      <c r="P825">
        <v>0</v>
      </c>
      <c r="Q825">
        <v>0</v>
      </c>
      <c r="R825">
        <v>0</v>
      </c>
      <c r="S825">
        <v>0</v>
      </c>
      <c r="T825">
        <v>1</v>
      </c>
      <c r="U825">
        <v>1</v>
      </c>
      <c r="V825">
        <v>0</v>
      </c>
      <c r="W825" t="s">
        <v>1347</v>
      </c>
      <c r="AA825">
        <v>2009</v>
      </c>
      <c r="AB825">
        <v>9999</v>
      </c>
      <c r="AC825" t="s">
        <v>1239</v>
      </c>
    </row>
    <row r="826" spans="1:29" x14ac:dyDescent="0.25">
      <c r="A826" s="31" t="s">
        <v>153</v>
      </c>
      <c r="B826" s="23" t="s">
        <v>154</v>
      </c>
      <c r="D826">
        <v>1</v>
      </c>
      <c r="E826" t="s">
        <v>155</v>
      </c>
      <c r="F826">
        <v>3</v>
      </c>
      <c r="G826">
        <v>2023</v>
      </c>
      <c r="I826" s="8">
        <v>421.55</v>
      </c>
      <c r="J826" t="s">
        <v>121</v>
      </c>
      <c r="K826" t="s">
        <v>47</v>
      </c>
      <c r="O826">
        <v>0</v>
      </c>
      <c r="P826">
        <v>0</v>
      </c>
      <c r="Q826">
        <v>0</v>
      </c>
      <c r="R826">
        <v>0</v>
      </c>
      <c r="S826">
        <v>1</v>
      </c>
      <c r="T826">
        <v>1</v>
      </c>
      <c r="U826">
        <v>1</v>
      </c>
      <c r="V826">
        <v>1</v>
      </c>
      <c r="W826" t="s">
        <v>1047</v>
      </c>
      <c r="AA826">
        <v>2007</v>
      </c>
      <c r="AB826">
        <v>9999</v>
      </c>
      <c r="AC826" t="s">
        <v>35</v>
      </c>
    </row>
    <row r="827" spans="1:29" x14ac:dyDescent="0.25">
      <c r="A827" s="31" t="s">
        <v>1446</v>
      </c>
      <c r="B827" s="23" t="s">
        <v>1447</v>
      </c>
      <c r="D827">
        <v>1</v>
      </c>
      <c r="E827" s="4">
        <v>711</v>
      </c>
      <c r="F827">
        <v>7</v>
      </c>
      <c r="G827">
        <v>2023</v>
      </c>
      <c r="I827" s="8">
        <v>399.2</v>
      </c>
      <c r="J827" t="s">
        <v>40</v>
      </c>
      <c r="K827" t="s">
        <v>32</v>
      </c>
      <c r="O827">
        <v>0</v>
      </c>
      <c r="P827">
        <v>0</v>
      </c>
      <c r="Q827">
        <v>0</v>
      </c>
      <c r="R827">
        <v>0</v>
      </c>
      <c r="S827">
        <v>1</v>
      </c>
      <c r="T827">
        <v>1</v>
      </c>
      <c r="U827">
        <v>1</v>
      </c>
      <c r="V827">
        <v>0</v>
      </c>
      <c r="W827" t="s">
        <v>1448</v>
      </c>
      <c r="AA827">
        <v>2014</v>
      </c>
      <c r="AB827">
        <v>9999</v>
      </c>
      <c r="AC827" t="s">
        <v>1449</v>
      </c>
    </row>
    <row r="828" spans="1:29" x14ac:dyDescent="0.25">
      <c r="A828" s="31" t="s">
        <v>159</v>
      </c>
      <c r="B828" s="23" t="s">
        <v>160</v>
      </c>
      <c r="D828">
        <v>1</v>
      </c>
      <c r="E828" t="s">
        <v>155</v>
      </c>
      <c r="F828">
        <v>3</v>
      </c>
      <c r="G828">
        <v>2023</v>
      </c>
      <c r="I828" s="8">
        <v>399.2</v>
      </c>
      <c r="J828" t="s">
        <v>121</v>
      </c>
      <c r="K828" t="s">
        <v>47</v>
      </c>
      <c r="O828">
        <v>0</v>
      </c>
      <c r="P828">
        <v>0</v>
      </c>
      <c r="Q828">
        <v>0</v>
      </c>
      <c r="R828">
        <v>0</v>
      </c>
      <c r="S828">
        <v>1</v>
      </c>
      <c r="T828">
        <v>1</v>
      </c>
      <c r="U828">
        <v>1</v>
      </c>
      <c r="V828">
        <v>0</v>
      </c>
      <c r="W828" t="s">
        <v>1515</v>
      </c>
      <c r="AA828">
        <v>2007</v>
      </c>
      <c r="AB828">
        <v>9999</v>
      </c>
      <c r="AC828" t="s">
        <v>35</v>
      </c>
    </row>
    <row r="829" spans="1:29" x14ac:dyDescent="0.25">
      <c r="A829" s="31" t="s">
        <v>165</v>
      </c>
      <c r="B829" s="23" t="s">
        <v>166</v>
      </c>
      <c r="C829" t="s">
        <v>167</v>
      </c>
      <c r="D829">
        <v>1</v>
      </c>
      <c r="E829" t="s">
        <v>168</v>
      </c>
      <c r="F829">
        <v>1</v>
      </c>
      <c r="G829">
        <v>2023</v>
      </c>
      <c r="I829" s="8">
        <v>152.69999999999999</v>
      </c>
      <c r="J829" t="s">
        <v>52</v>
      </c>
      <c r="K829" t="s">
        <v>47</v>
      </c>
      <c r="O829">
        <v>0</v>
      </c>
      <c r="P829">
        <v>0</v>
      </c>
      <c r="Q829">
        <v>0</v>
      </c>
      <c r="R829">
        <v>0</v>
      </c>
      <c r="S829">
        <v>1</v>
      </c>
      <c r="T829">
        <v>1</v>
      </c>
      <c r="U829">
        <v>1</v>
      </c>
      <c r="V829">
        <v>0</v>
      </c>
      <c r="W829" t="s">
        <v>1523</v>
      </c>
      <c r="AA829">
        <v>2007</v>
      </c>
      <c r="AB829">
        <v>9999</v>
      </c>
      <c r="AC829" t="s">
        <v>35</v>
      </c>
    </row>
    <row r="830" spans="1:29" x14ac:dyDescent="0.25">
      <c r="A830" s="31" t="s">
        <v>170</v>
      </c>
      <c r="B830" s="23" t="s">
        <v>171</v>
      </c>
      <c r="D830">
        <v>1</v>
      </c>
      <c r="E830" t="s">
        <v>30</v>
      </c>
      <c r="F830">
        <v>4</v>
      </c>
      <c r="G830">
        <v>2023</v>
      </c>
      <c r="I830" s="8">
        <v>51.4</v>
      </c>
      <c r="J830" t="s">
        <v>1610</v>
      </c>
      <c r="K830" t="s">
        <v>47</v>
      </c>
      <c r="O830">
        <v>0</v>
      </c>
      <c r="P830">
        <v>0</v>
      </c>
      <c r="Q830">
        <v>0</v>
      </c>
      <c r="R830">
        <v>0</v>
      </c>
      <c r="S830">
        <v>1</v>
      </c>
      <c r="T830">
        <v>1</v>
      </c>
      <c r="U830">
        <v>1</v>
      </c>
      <c r="V830">
        <v>0</v>
      </c>
      <c r="W830" t="s">
        <v>1050</v>
      </c>
      <c r="AA830">
        <v>2007</v>
      </c>
      <c r="AB830">
        <v>9999</v>
      </c>
      <c r="AC830" t="s">
        <v>35</v>
      </c>
    </row>
    <row r="831" spans="1:29" x14ac:dyDescent="0.25">
      <c r="A831" s="31" t="s">
        <v>1051</v>
      </c>
      <c r="B831" s="23" t="s">
        <v>1052</v>
      </c>
      <c r="D831">
        <v>1</v>
      </c>
      <c r="E831" t="s">
        <v>30</v>
      </c>
      <c r="F831">
        <v>4</v>
      </c>
      <c r="G831">
        <v>2023</v>
      </c>
      <c r="I831" s="8">
        <v>187.9</v>
      </c>
      <c r="J831" t="s">
        <v>1610</v>
      </c>
      <c r="K831" t="s">
        <v>47</v>
      </c>
      <c r="O831">
        <v>0</v>
      </c>
      <c r="P831">
        <v>0</v>
      </c>
      <c r="Q831">
        <v>0</v>
      </c>
      <c r="R831">
        <v>0</v>
      </c>
      <c r="S831">
        <v>1</v>
      </c>
      <c r="T831">
        <v>1</v>
      </c>
      <c r="U831">
        <v>1</v>
      </c>
      <c r="V831">
        <v>0</v>
      </c>
      <c r="W831" t="s">
        <v>1524</v>
      </c>
      <c r="AA831">
        <v>2008</v>
      </c>
      <c r="AB831">
        <v>9999</v>
      </c>
      <c r="AC831" t="s">
        <v>1054</v>
      </c>
    </row>
    <row r="832" spans="1:29" x14ac:dyDescent="0.25">
      <c r="A832" s="31" t="s">
        <v>1557</v>
      </c>
      <c r="B832" s="23" t="s">
        <v>1558</v>
      </c>
      <c r="D832">
        <v>1</v>
      </c>
      <c r="E832" s="5" t="s">
        <v>358</v>
      </c>
      <c r="F832">
        <v>1</v>
      </c>
      <c r="G832">
        <v>2023</v>
      </c>
      <c r="I832" s="8">
        <v>26.8</v>
      </c>
      <c r="J832" t="s">
        <v>104</v>
      </c>
      <c r="K832" t="s">
        <v>47</v>
      </c>
      <c r="O832">
        <v>0</v>
      </c>
      <c r="P832">
        <v>0</v>
      </c>
      <c r="Q832">
        <v>0</v>
      </c>
      <c r="R832">
        <v>0</v>
      </c>
      <c r="S832">
        <v>1</v>
      </c>
      <c r="T832">
        <v>0</v>
      </c>
      <c r="U832">
        <v>1</v>
      </c>
      <c r="V832">
        <v>0</v>
      </c>
      <c r="W832" t="s">
        <v>1559</v>
      </c>
      <c r="AA832">
        <v>2019</v>
      </c>
      <c r="AB832">
        <v>9999</v>
      </c>
      <c r="AC832" t="s">
        <v>1560</v>
      </c>
    </row>
    <row r="833" spans="1:29" x14ac:dyDescent="0.25">
      <c r="A833" s="31" t="s">
        <v>173</v>
      </c>
      <c r="B833" s="23" t="s">
        <v>174</v>
      </c>
      <c r="C833" t="s">
        <v>175</v>
      </c>
      <c r="D833">
        <v>1</v>
      </c>
      <c r="E833" t="s">
        <v>45</v>
      </c>
      <c r="F833">
        <v>4</v>
      </c>
      <c r="G833">
        <v>2023</v>
      </c>
      <c r="I833" s="8">
        <v>152.5</v>
      </c>
      <c r="J833" t="s">
        <v>176</v>
      </c>
      <c r="K833" t="s">
        <v>32</v>
      </c>
      <c r="O833">
        <v>0</v>
      </c>
      <c r="P833">
        <v>0</v>
      </c>
      <c r="Q833">
        <v>0</v>
      </c>
      <c r="R833">
        <v>0</v>
      </c>
      <c r="S833">
        <v>1</v>
      </c>
      <c r="T833">
        <v>1</v>
      </c>
      <c r="U833">
        <v>1</v>
      </c>
      <c r="V833">
        <v>0</v>
      </c>
      <c r="W833" t="s">
        <v>1055</v>
      </c>
      <c r="AA833">
        <v>2007</v>
      </c>
      <c r="AB833">
        <v>9999</v>
      </c>
      <c r="AC833" t="s">
        <v>35</v>
      </c>
    </row>
    <row r="834" spans="1:29" x14ac:dyDescent="0.25">
      <c r="A834" s="31" t="s">
        <v>178</v>
      </c>
      <c r="B834" s="23" t="s">
        <v>1424</v>
      </c>
      <c r="C834" t="s">
        <v>1425</v>
      </c>
      <c r="D834">
        <v>1</v>
      </c>
      <c r="E834" t="s">
        <v>45</v>
      </c>
      <c r="F834">
        <v>4</v>
      </c>
      <c r="G834">
        <v>2023</v>
      </c>
      <c r="I834" s="8">
        <v>27.1</v>
      </c>
      <c r="J834" t="s">
        <v>52</v>
      </c>
      <c r="K834" t="s">
        <v>47</v>
      </c>
      <c r="O834">
        <v>0</v>
      </c>
      <c r="P834">
        <v>0</v>
      </c>
      <c r="Q834">
        <v>0</v>
      </c>
      <c r="R834">
        <v>0</v>
      </c>
      <c r="S834">
        <v>1</v>
      </c>
      <c r="T834">
        <v>1</v>
      </c>
      <c r="U834">
        <v>1</v>
      </c>
      <c r="V834">
        <v>0</v>
      </c>
      <c r="W834" t="s">
        <v>1240</v>
      </c>
      <c r="AA834">
        <v>2007</v>
      </c>
      <c r="AB834">
        <v>9999</v>
      </c>
      <c r="AC834" t="s">
        <v>35</v>
      </c>
    </row>
    <row r="835" spans="1:29" x14ac:dyDescent="0.25">
      <c r="A835" s="31" t="s">
        <v>181</v>
      </c>
      <c r="B835" s="23" t="s">
        <v>182</v>
      </c>
      <c r="D835">
        <v>1</v>
      </c>
      <c r="E835" t="s">
        <v>38</v>
      </c>
      <c r="F835">
        <v>4</v>
      </c>
      <c r="G835">
        <v>2023</v>
      </c>
      <c r="H835" t="s">
        <v>39</v>
      </c>
      <c r="I835" s="15">
        <v>0.25</v>
      </c>
      <c r="J835" t="s">
        <v>121</v>
      </c>
      <c r="K835" t="s">
        <v>41</v>
      </c>
      <c r="O835">
        <v>0</v>
      </c>
      <c r="P835">
        <v>0</v>
      </c>
      <c r="Q835">
        <v>0</v>
      </c>
      <c r="R835">
        <v>0</v>
      </c>
      <c r="S835">
        <v>0</v>
      </c>
      <c r="T835">
        <v>0</v>
      </c>
      <c r="U835">
        <v>0</v>
      </c>
      <c r="V835">
        <v>0</v>
      </c>
      <c r="W835" t="s">
        <v>1057</v>
      </c>
      <c r="AA835">
        <v>2007</v>
      </c>
      <c r="AB835">
        <v>9999</v>
      </c>
      <c r="AC835" t="s">
        <v>35</v>
      </c>
    </row>
    <row r="836" spans="1:29" x14ac:dyDescent="0.25">
      <c r="A836" s="31" t="s">
        <v>184</v>
      </c>
      <c r="B836" s="23" t="s">
        <v>185</v>
      </c>
      <c r="C836" t="s">
        <v>186</v>
      </c>
      <c r="D836">
        <v>1</v>
      </c>
      <c r="E836" t="s">
        <v>45</v>
      </c>
      <c r="F836">
        <v>4</v>
      </c>
      <c r="G836">
        <v>2023</v>
      </c>
      <c r="I836" s="8">
        <v>550.6</v>
      </c>
      <c r="J836" t="s">
        <v>52</v>
      </c>
      <c r="K836" t="s">
        <v>32</v>
      </c>
      <c r="O836">
        <v>0</v>
      </c>
      <c r="P836">
        <v>0</v>
      </c>
      <c r="Q836">
        <v>0</v>
      </c>
      <c r="R836">
        <v>0</v>
      </c>
      <c r="S836">
        <v>1</v>
      </c>
      <c r="T836">
        <v>1</v>
      </c>
      <c r="U836">
        <v>1</v>
      </c>
      <c r="V836">
        <v>0</v>
      </c>
      <c r="W836" t="s">
        <v>1287</v>
      </c>
      <c r="AA836">
        <v>2007</v>
      </c>
      <c r="AB836">
        <v>9999</v>
      </c>
      <c r="AC836" t="s">
        <v>35</v>
      </c>
    </row>
    <row r="837" spans="1:29" x14ac:dyDescent="0.25">
      <c r="A837" s="31" t="s">
        <v>1059</v>
      </c>
      <c r="B837" s="23" t="s">
        <v>1060</v>
      </c>
      <c r="D837">
        <v>1</v>
      </c>
      <c r="E837" t="s">
        <v>874</v>
      </c>
      <c r="F837">
        <v>1</v>
      </c>
      <c r="G837">
        <v>2023</v>
      </c>
      <c r="I837" s="8">
        <v>5</v>
      </c>
      <c r="J837" t="s">
        <v>52</v>
      </c>
      <c r="K837" t="s">
        <v>47</v>
      </c>
      <c r="O837">
        <v>0</v>
      </c>
      <c r="P837">
        <v>0</v>
      </c>
      <c r="Q837">
        <v>0</v>
      </c>
      <c r="R837">
        <v>0</v>
      </c>
      <c r="S837">
        <v>1</v>
      </c>
      <c r="T837">
        <v>1</v>
      </c>
      <c r="U837">
        <v>1</v>
      </c>
      <c r="V837">
        <v>0</v>
      </c>
      <c r="W837" t="s">
        <v>1392</v>
      </c>
      <c r="AA837">
        <v>2008</v>
      </c>
      <c r="AB837">
        <v>9999</v>
      </c>
      <c r="AC837" t="s">
        <v>1054</v>
      </c>
    </row>
    <row r="838" spans="1:29" x14ac:dyDescent="0.25">
      <c r="A838" s="31" t="s">
        <v>192</v>
      </c>
      <c r="B838" s="23" t="s">
        <v>193</v>
      </c>
      <c r="D838">
        <v>1</v>
      </c>
      <c r="E838" t="s">
        <v>51</v>
      </c>
      <c r="F838">
        <v>1</v>
      </c>
      <c r="G838">
        <v>2023</v>
      </c>
      <c r="I838" s="8">
        <v>61</v>
      </c>
      <c r="J838" t="s">
        <v>52</v>
      </c>
      <c r="K838" t="s">
        <v>53</v>
      </c>
      <c r="L838" t="s">
        <v>54</v>
      </c>
      <c r="O838">
        <v>0</v>
      </c>
      <c r="P838">
        <v>0</v>
      </c>
      <c r="Q838">
        <v>1</v>
      </c>
      <c r="R838">
        <v>0</v>
      </c>
      <c r="S838">
        <v>0</v>
      </c>
      <c r="T838">
        <v>0</v>
      </c>
      <c r="U838">
        <v>1</v>
      </c>
      <c r="V838">
        <v>0</v>
      </c>
      <c r="W838" t="s">
        <v>55</v>
      </c>
      <c r="AA838">
        <v>2007</v>
      </c>
      <c r="AB838">
        <v>9999</v>
      </c>
      <c r="AC838" t="s">
        <v>35</v>
      </c>
    </row>
    <row r="839" spans="1:29" x14ac:dyDescent="0.25">
      <c r="A839" s="31" t="s">
        <v>194</v>
      </c>
      <c r="B839" s="23" t="s">
        <v>195</v>
      </c>
      <c r="C839" t="s">
        <v>196</v>
      </c>
      <c r="D839">
        <v>1</v>
      </c>
      <c r="E839" t="s">
        <v>197</v>
      </c>
      <c r="F839">
        <v>2</v>
      </c>
      <c r="G839">
        <v>2023</v>
      </c>
      <c r="I839" s="8">
        <v>253.3</v>
      </c>
      <c r="J839" t="s">
        <v>176</v>
      </c>
      <c r="K839" t="s">
        <v>47</v>
      </c>
      <c r="O839">
        <v>0</v>
      </c>
      <c r="P839">
        <v>0</v>
      </c>
      <c r="Q839">
        <v>0</v>
      </c>
      <c r="R839">
        <v>0</v>
      </c>
      <c r="S839">
        <v>1</v>
      </c>
      <c r="T839">
        <v>1</v>
      </c>
      <c r="U839">
        <v>1</v>
      </c>
      <c r="V839">
        <v>0</v>
      </c>
      <c r="W839" t="s">
        <v>1580</v>
      </c>
      <c r="AA839">
        <v>2007</v>
      </c>
      <c r="AB839">
        <v>9999</v>
      </c>
      <c r="AC839" t="s">
        <v>35</v>
      </c>
    </row>
    <row r="840" spans="1:29" x14ac:dyDescent="0.25">
      <c r="A840" s="31" t="s">
        <v>1451</v>
      </c>
      <c r="B840" s="23" t="s">
        <v>1452</v>
      </c>
      <c r="D840">
        <v>1</v>
      </c>
      <c r="E840" s="4">
        <v>760</v>
      </c>
      <c r="F840">
        <v>7</v>
      </c>
      <c r="G840">
        <v>2023</v>
      </c>
      <c r="I840" s="8">
        <v>546.6</v>
      </c>
      <c r="J840" t="s">
        <v>40</v>
      </c>
      <c r="K840" t="s">
        <v>47</v>
      </c>
      <c r="O840">
        <v>0</v>
      </c>
      <c r="P840">
        <v>0</v>
      </c>
      <c r="Q840">
        <v>0</v>
      </c>
      <c r="R840">
        <v>0</v>
      </c>
      <c r="S840">
        <v>1</v>
      </c>
      <c r="T840">
        <v>1</v>
      </c>
      <c r="U840">
        <v>1</v>
      </c>
      <c r="V840">
        <v>0</v>
      </c>
      <c r="W840" t="s">
        <v>1587</v>
      </c>
      <c r="AA840">
        <v>2014</v>
      </c>
      <c r="AB840">
        <v>9999</v>
      </c>
      <c r="AC840" t="s">
        <v>1449</v>
      </c>
    </row>
    <row r="841" spans="1:29" x14ac:dyDescent="0.25">
      <c r="A841" s="31" t="s">
        <v>1588</v>
      </c>
      <c r="B841" s="23" t="s">
        <v>1589</v>
      </c>
      <c r="D841">
        <v>1</v>
      </c>
      <c r="E841" s="5" t="s">
        <v>38</v>
      </c>
      <c r="F841">
        <v>4</v>
      </c>
      <c r="G841">
        <v>2023</v>
      </c>
      <c r="H841" t="s">
        <v>837</v>
      </c>
      <c r="I841" s="8">
        <v>15</v>
      </c>
      <c r="J841" t="s">
        <v>52</v>
      </c>
      <c r="K841" t="s">
        <v>41</v>
      </c>
      <c r="O841">
        <v>0</v>
      </c>
      <c r="P841">
        <v>0</v>
      </c>
      <c r="Q841">
        <v>0</v>
      </c>
      <c r="R841">
        <v>0</v>
      </c>
      <c r="S841">
        <v>0</v>
      </c>
      <c r="T841">
        <v>0</v>
      </c>
      <c r="U841">
        <v>0</v>
      </c>
      <c r="V841">
        <v>0</v>
      </c>
      <c r="W841" t="s">
        <v>1590</v>
      </c>
      <c r="AA841">
        <v>2022</v>
      </c>
      <c r="AB841">
        <v>9999</v>
      </c>
      <c r="AC841" t="s">
        <v>1591</v>
      </c>
    </row>
    <row r="842" spans="1:29" x14ac:dyDescent="0.25">
      <c r="A842" s="31" t="s">
        <v>203</v>
      </c>
      <c r="B842" s="23" t="s">
        <v>204</v>
      </c>
      <c r="D842">
        <v>1</v>
      </c>
      <c r="E842" t="s">
        <v>201</v>
      </c>
      <c r="F842">
        <v>1</v>
      </c>
      <c r="G842">
        <v>2023</v>
      </c>
      <c r="H842" t="s">
        <v>205</v>
      </c>
      <c r="I842" s="15">
        <v>2</v>
      </c>
      <c r="J842" t="s">
        <v>52</v>
      </c>
      <c r="K842" t="s">
        <v>41</v>
      </c>
      <c r="O842">
        <v>0</v>
      </c>
      <c r="P842">
        <v>0</v>
      </c>
      <c r="Q842">
        <v>0</v>
      </c>
      <c r="R842">
        <v>0</v>
      </c>
      <c r="S842">
        <v>0</v>
      </c>
      <c r="T842">
        <v>0</v>
      </c>
      <c r="U842">
        <v>0</v>
      </c>
      <c r="V842">
        <v>0</v>
      </c>
      <c r="W842" t="s">
        <v>1064</v>
      </c>
      <c r="AA842">
        <v>2007</v>
      </c>
      <c r="AB842">
        <v>9999</v>
      </c>
      <c r="AC842" t="s">
        <v>35</v>
      </c>
    </row>
    <row r="843" spans="1:29" x14ac:dyDescent="0.25">
      <c r="A843" s="31" t="s">
        <v>207</v>
      </c>
      <c r="B843" s="23" t="s">
        <v>1472</v>
      </c>
      <c r="C843" t="s">
        <v>209</v>
      </c>
      <c r="D843">
        <v>1</v>
      </c>
      <c r="E843" t="s">
        <v>210</v>
      </c>
      <c r="F843">
        <v>10</v>
      </c>
      <c r="G843">
        <v>2023</v>
      </c>
      <c r="I843" s="8">
        <v>35.799999999999997</v>
      </c>
      <c r="J843" t="s">
        <v>40</v>
      </c>
      <c r="K843" t="s">
        <v>32</v>
      </c>
      <c r="O843">
        <v>0</v>
      </c>
      <c r="P843">
        <v>0</v>
      </c>
      <c r="Q843">
        <v>0</v>
      </c>
      <c r="R843">
        <v>0</v>
      </c>
      <c r="S843">
        <v>1</v>
      </c>
      <c r="T843">
        <v>1</v>
      </c>
      <c r="U843">
        <v>1</v>
      </c>
      <c r="V843">
        <v>0</v>
      </c>
      <c r="W843" t="s">
        <v>1065</v>
      </c>
      <c r="AA843">
        <v>2007</v>
      </c>
      <c r="AB843">
        <v>9999</v>
      </c>
      <c r="AC843" t="s">
        <v>35</v>
      </c>
    </row>
    <row r="844" spans="1:29" ht="30" x14ac:dyDescent="0.25">
      <c r="A844" s="31" t="s">
        <v>212</v>
      </c>
      <c r="B844" s="23" t="s">
        <v>213</v>
      </c>
      <c r="C844" t="s">
        <v>214</v>
      </c>
      <c r="D844">
        <v>1</v>
      </c>
      <c r="E844" s="4">
        <v>550</v>
      </c>
      <c r="F844">
        <v>5</v>
      </c>
      <c r="G844">
        <v>2023</v>
      </c>
      <c r="I844" s="8">
        <v>99</v>
      </c>
      <c r="J844" t="s">
        <v>1610</v>
      </c>
      <c r="K844" t="s">
        <v>47</v>
      </c>
      <c r="O844">
        <v>0</v>
      </c>
      <c r="P844">
        <v>0</v>
      </c>
      <c r="Q844">
        <v>0</v>
      </c>
      <c r="R844">
        <v>0</v>
      </c>
      <c r="S844">
        <v>1</v>
      </c>
      <c r="T844">
        <v>1</v>
      </c>
      <c r="U844">
        <v>1</v>
      </c>
      <c r="V844">
        <v>0</v>
      </c>
      <c r="W844" t="s">
        <v>1288</v>
      </c>
      <c r="AA844">
        <v>2007</v>
      </c>
      <c r="AB844">
        <v>9999</v>
      </c>
      <c r="AC844" t="s">
        <v>35</v>
      </c>
    </row>
    <row r="845" spans="1:29" x14ac:dyDescent="0.25">
      <c r="A845" s="31" t="s">
        <v>216</v>
      </c>
      <c r="B845" s="23" t="s">
        <v>217</v>
      </c>
      <c r="D845">
        <v>1</v>
      </c>
      <c r="E845" t="s">
        <v>218</v>
      </c>
      <c r="F845">
        <v>2</v>
      </c>
      <c r="G845">
        <v>2023</v>
      </c>
      <c r="I845" s="8">
        <v>927.4</v>
      </c>
      <c r="J845" t="s">
        <v>52</v>
      </c>
      <c r="K845" t="s">
        <v>32</v>
      </c>
      <c r="O845">
        <v>0</v>
      </c>
      <c r="P845">
        <v>0</v>
      </c>
      <c r="Q845">
        <v>0</v>
      </c>
      <c r="R845">
        <v>0</v>
      </c>
      <c r="S845">
        <v>1</v>
      </c>
      <c r="T845">
        <v>1</v>
      </c>
      <c r="U845">
        <v>1</v>
      </c>
      <c r="V845">
        <v>0</v>
      </c>
      <c r="W845" t="s">
        <v>1067</v>
      </c>
      <c r="AA845">
        <v>2007</v>
      </c>
      <c r="AB845">
        <v>9999</v>
      </c>
      <c r="AC845" t="s">
        <v>35</v>
      </c>
    </row>
    <row r="846" spans="1:29" x14ac:dyDescent="0.25">
      <c r="A846" s="31" t="s">
        <v>220</v>
      </c>
      <c r="B846" s="23" t="s">
        <v>221</v>
      </c>
      <c r="D846">
        <v>1</v>
      </c>
      <c r="E846" t="s">
        <v>222</v>
      </c>
      <c r="F846">
        <v>8</v>
      </c>
      <c r="G846">
        <v>2023</v>
      </c>
      <c r="I846" s="8">
        <v>45.1</v>
      </c>
      <c r="J846" t="s">
        <v>81</v>
      </c>
      <c r="K846" t="s">
        <v>47</v>
      </c>
      <c r="O846">
        <v>0</v>
      </c>
      <c r="P846">
        <v>0</v>
      </c>
      <c r="Q846">
        <v>0</v>
      </c>
      <c r="R846">
        <v>0</v>
      </c>
      <c r="S846">
        <v>1</v>
      </c>
      <c r="T846">
        <v>1</v>
      </c>
      <c r="U846">
        <v>1</v>
      </c>
      <c r="V846">
        <v>0</v>
      </c>
      <c r="W846" t="s">
        <v>1068</v>
      </c>
      <c r="AA846">
        <v>2007</v>
      </c>
      <c r="AB846">
        <v>9999</v>
      </c>
      <c r="AC846" t="s">
        <v>35</v>
      </c>
    </row>
    <row r="847" spans="1:29" x14ac:dyDescent="0.25">
      <c r="A847" s="31" t="s">
        <v>224</v>
      </c>
      <c r="B847" s="23" t="s">
        <v>225</v>
      </c>
      <c r="D847">
        <v>1</v>
      </c>
      <c r="E847" t="s">
        <v>51</v>
      </c>
      <c r="F847">
        <v>1</v>
      </c>
      <c r="G847">
        <v>2023</v>
      </c>
      <c r="I847" s="8">
        <v>67</v>
      </c>
      <c r="J847" t="s">
        <v>52</v>
      </c>
      <c r="K847" t="s">
        <v>53</v>
      </c>
      <c r="L847" t="s">
        <v>54</v>
      </c>
      <c r="O847">
        <v>0</v>
      </c>
      <c r="P847">
        <v>0</v>
      </c>
      <c r="Q847">
        <v>1</v>
      </c>
      <c r="R847">
        <v>0</v>
      </c>
      <c r="S847">
        <v>0</v>
      </c>
      <c r="T847">
        <v>0</v>
      </c>
      <c r="U847">
        <v>1</v>
      </c>
      <c r="V847">
        <v>0</v>
      </c>
      <c r="W847" t="s">
        <v>55</v>
      </c>
      <c r="AA847">
        <v>2007</v>
      </c>
      <c r="AB847">
        <v>9999</v>
      </c>
      <c r="AC847" t="s">
        <v>35</v>
      </c>
    </row>
    <row r="848" spans="1:29" x14ac:dyDescent="0.25">
      <c r="A848" s="31" t="s">
        <v>226</v>
      </c>
      <c r="B848" s="23" t="s">
        <v>227</v>
      </c>
      <c r="C848" t="s">
        <v>228</v>
      </c>
      <c r="D848">
        <v>1</v>
      </c>
      <c r="E848" t="s">
        <v>218</v>
      </c>
      <c r="F848">
        <v>2</v>
      </c>
      <c r="G848">
        <v>2023</v>
      </c>
      <c r="I848" s="8">
        <v>2270.6999999999998</v>
      </c>
      <c r="J848" t="s">
        <v>147</v>
      </c>
      <c r="K848" t="s">
        <v>32</v>
      </c>
      <c r="O848">
        <v>0</v>
      </c>
      <c r="P848">
        <v>0</v>
      </c>
      <c r="Q848">
        <v>0</v>
      </c>
      <c r="R848">
        <v>0</v>
      </c>
      <c r="S848">
        <v>1</v>
      </c>
      <c r="T848">
        <v>1</v>
      </c>
      <c r="U848">
        <v>1</v>
      </c>
      <c r="V848">
        <v>0</v>
      </c>
      <c r="W848" t="s">
        <v>1069</v>
      </c>
      <c r="AA848">
        <v>2007</v>
      </c>
      <c r="AB848">
        <v>9999</v>
      </c>
      <c r="AC848" t="s">
        <v>35</v>
      </c>
    </row>
    <row r="849" spans="1:29" x14ac:dyDescent="0.25">
      <c r="A849" s="31" t="s">
        <v>230</v>
      </c>
      <c r="B849" s="23" t="s">
        <v>231</v>
      </c>
      <c r="C849" t="s">
        <v>232</v>
      </c>
      <c r="D849">
        <v>1</v>
      </c>
      <c r="E849" t="s">
        <v>145</v>
      </c>
      <c r="F849">
        <v>2</v>
      </c>
      <c r="G849">
        <v>2023</v>
      </c>
      <c r="J849" t="s">
        <v>147</v>
      </c>
      <c r="K849" t="s">
        <v>47</v>
      </c>
      <c r="O849">
        <v>0</v>
      </c>
      <c r="P849">
        <v>0</v>
      </c>
      <c r="Q849">
        <v>0</v>
      </c>
      <c r="R849">
        <v>0</v>
      </c>
      <c r="S849">
        <v>1</v>
      </c>
      <c r="T849">
        <v>1</v>
      </c>
      <c r="U849">
        <v>1</v>
      </c>
      <c r="V849">
        <v>0</v>
      </c>
      <c r="W849" t="s">
        <v>1070</v>
      </c>
      <c r="AA849">
        <v>2007</v>
      </c>
      <c r="AB849">
        <v>9999</v>
      </c>
      <c r="AC849" t="s">
        <v>35</v>
      </c>
    </row>
    <row r="850" spans="1:29" x14ac:dyDescent="0.25">
      <c r="A850" s="31" t="s">
        <v>237</v>
      </c>
      <c r="B850" s="23" t="s">
        <v>238</v>
      </c>
      <c r="D850">
        <v>1</v>
      </c>
      <c r="E850" t="s">
        <v>218</v>
      </c>
      <c r="F850">
        <v>2</v>
      </c>
      <c r="G850">
        <v>2023</v>
      </c>
      <c r="I850" s="8">
        <v>416.8</v>
      </c>
      <c r="J850" t="s">
        <v>104</v>
      </c>
      <c r="K850" t="s">
        <v>53</v>
      </c>
      <c r="L850" t="s">
        <v>105</v>
      </c>
      <c r="O850">
        <v>0</v>
      </c>
      <c r="P850">
        <v>1</v>
      </c>
      <c r="Q850">
        <v>0</v>
      </c>
      <c r="R850">
        <v>0</v>
      </c>
      <c r="S850">
        <v>1</v>
      </c>
      <c r="T850">
        <v>1</v>
      </c>
      <c r="U850">
        <v>1</v>
      </c>
      <c r="V850">
        <v>0</v>
      </c>
      <c r="W850" t="s">
        <v>1072</v>
      </c>
      <c r="AA850">
        <v>2007</v>
      </c>
      <c r="AB850">
        <v>9999</v>
      </c>
      <c r="AC850" t="s">
        <v>35</v>
      </c>
    </row>
    <row r="851" spans="1:29" x14ac:dyDescent="0.25">
      <c r="A851" s="31" t="s">
        <v>240</v>
      </c>
      <c r="B851" s="23" t="s">
        <v>241</v>
      </c>
      <c r="D851">
        <v>1</v>
      </c>
      <c r="E851" t="s">
        <v>218</v>
      </c>
      <c r="F851">
        <v>2</v>
      </c>
      <c r="G851">
        <v>2023</v>
      </c>
      <c r="I851" s="8">
        <v>23108.2</v>
      </c>
      <c r="J851" t="s">
        <v>147</v>
      </c>
      <c r="K851" t="s">
        <v>47</v>
      </c>
      <c r="O851">
        <v>0</v>
      </c>
      <c r="P851">
        <v>0</v>
      </c>
      <c r="Q851">
        <v>0</v>
      </c>
      <c r="R851">
        <v>0</v>
      </c>
      <c r="S851">
        <v>1</v>
      </c>
      <c r="T851">
        <v>1</v>
      </c>
      <c r="U851">
        <v>1</v>
      </c>
      <c r="V851">
        <v>0</v>
      </c>
      <c r="W851" t="s">
        <v>1073</v>
      </c>
      <c r="AA851">
        <v>2007</v>
      </c>
      <c r="AB851">
        <v>9999</v>
      </c>
      <c r="AC851" t="s">
        <v>35</v>
      </c>
    </row>
    <row r="852" spans="1:29" x14ac:dyDescent="0.25">
      <c r="A852" s="31" t="s">
        <v>1289</v>
      </c>
      <c r="B852" s="23" t="s">
        <v>1290</v>
      </c>
      <c r="D852">
        <v>1</v>
      </c>
      <c r="E852" t="s">
        <v>218</v>
      </c>
      <c r="F852">
        <v>2</v>
      </c>
      <c r="G852">
        <v>2023</v>
      </c>
      <c r="I852" s="8">
        <v>4</v>
      </c>
      <c r="J852" t="s">
        <v>147</v>
      </c>
      <c r="K852" t="s">
        <v>53</v>
      </c>
      <c r="L852" t="s">
        <v>60</v>
      </c>
      <c r="O852">
        <v>1</v>
      </c>
      <c r="P852">
        <v>0</v>
      </c>
      <c r="Q852">
        <v>0</v>
      </c>
      <c r="R852">
        <v>0</v>
      </c>
      <c r="S852">
        <v>1</v>
      </c>
      <c r="T852">
        <v>1</v>
      </c>
      <c r="U852">
        <v>1</v>
      </c>
      <c r="V852">
        <v>0</v>
      </c>
      <c r="W852" t="s">
        <v>1291</v>
      </c>
      <c r="AA852">
        <v>2010</v>
      </c>
      <c r="AB852">
        <v>9999</v>
      </c>
      <c r="AC852" t="s">
        <v>1292</v>
      </c>
    </row>
    <row r="853" spans="1:29" x14ac:dyDescent="0.25">
      <c r="A853" s="31" t="s">
        <v>243</v>
      </c>
      <c r="B853" s="23" t="s">
        <v>244</v>
      </c>
      <c r="D853">
        <v>1</v>
      </c>
      <c r="E853" t="s">
        <v>210</v>
      </c>
      <c r="F853">
        <v>10</v>
      </c>
      <c r="G853">
        <v>2023</v>
      </c>
      <c r="I853" s="8">
        <v>12487.1</v>
      </c>
      <c r="J853" t="s">
        <v>40</v>
      </c>
      <c r="K853" t="s">
        <v>32</v>
      </c>
      <c r="O853">
        <v>0</v>
      </c>
      <c r="P853">
        <v>0</v>
      </c>
      <c r="Q853">
        <v>0</v>
      </c>
      <c r="R853">
        <v>0</v>
      </c>
      <c r="S853">
        <v>1</v>
      </c>
      <c r="T853">
        <v>1</v>
      </c>
      <c r="U853">
        <v>1</v>
      </c>
      <c r="V853">
        <v>0</v>
      </c>
      <c r="W853" t="s">
        <v>1293</v>
      </c>
      <c r="AA853">
        <v>2007</v>
      </c>
      <c r="AB853">
        <v>9999</v>
      </c>
      <c r="AC853" t="s">
        <v>35</v>
      </c>
    </row>
    <row r="854" spans="1:29" x14ac:dyDescent="0.25">
      <c r="A854" s="31" t="s">
        <v>153</v>
      </c>
      <c r="B854" s="23" t="s">
        <v>1356</v>
      </c>
      <c r="D854">
        <v>12</v>
      </c>
      <c r="E854" t="s">
        <v>155</v>
      </c>
      <c r="F854">
        <v>3</v>
      </c>
      <c r="G854">
        <v>2023</v>
      </c>
      <c r="I854" s="15">
        <v>1341.8300000000002</v>
      </c>
      <c r="J854" t="s">
        <v>121</v>
      </c>
      <c r="K854" t="s">
        <v>53</v>
      </c>
      <c r="L854" t="s">
        <v>60</v>
      </c>
      <c r="O854">
        <v>1</v>
      </c>
      <c r="P854">
        <v>0</v>
      </c>
      <c r="Q854">
        <v>0</v>
      </c>
      <c r="R854">
        <v>0</v>
      </c>
      <c r="S854">
        <v>1</v>
      </c>
      <c r="T854">
        <v>0</v>
      </c>
      <c r="U854">
        <v>0</v>
      </c>
      <c r="V854">
        <v>1</v>
      </c>
      <c r="W854" t="s">
        <v>477</v>
      </c>
      <c r="AA854">
        <v>2007</v>
      </c>
      <c r="AB854">
        <v>9999</v>
      </c>
      <c r="AC854" t="s">
        <v>35</v>
      </c>
    </row>
    <row r="855" spans="1:29" x14ac:dyDescent="0.25">
      <c r="A855" s="31" t="s">
        <v>246</v>
      </c>
      <c r="B855" s="23" t="s">
        <v>247</v>
      </c>
      <c r="D855">
        <v>1</v>
      </c>
      <c r="E855" t="s">
        <v>120</v>
      </c>
      <c r="F855">
        <v>3</v>
      </c>
      <c r="G855">
        <v>2023</v>
      </c>
      <c r="H855" t="s">
        <v>129</v>
      </c>
      <c r="I855" s="15">
        <v>2</v>
      </c>
      <c r="J855" t="s">
        <v>121</v>
      </c>
      <c r="K855" t="s">
        <v>41</v>
      </c>
      <c r="O855">
        <v>0</v>
      </c>
      <c r="P855">
        <v>0</v>
      </c>
      <c r="Q855">
        <v>0</v>
      </c>
      <c r="R855">
        <v>0</v>
      </c>
      <c r="S855">
        <v>0</v>
      </c>
      <c r="T855">
        <v>1</v>
      </c>
      <c r="U855">
        <v>1</v>
      </c>
      <c r="V855">
        <v>0</v>
      </c>
      <c r="W855" t="s">
        <v>1075</v>
      </c>
      <c r="AA855">
        <v>2007</v>
      </c>
      <c r="AB855">
        <v>9999</v>
      </c>
      <c r="AC855" t="s">
        <v>35</v>
      </c>
    </row>
    <row r="856" spans="1:29" x14ac:dyDescent="0.25">
      <c r="A856" s="31" t="s">
        <v>252</v>
      </c>
      <c r="B856" s="23" t="s">
        <v>253</v>
      </c>
      <c r="D856">
        <v>1</v>
      </c>
      <c r="E856" t="s">
        <v>145</v>
      </c>
      <c r="F856">
        <v>2</v>
      </c>
      <c r="G856">
        <v>2023</v>
      </c>
      <c r="H856" t="s">
        <v>254</v>
      </c>
      <c r="I856" s="15">
        <v>0.1</v>
      </c>
      <c r="J856" t="s">
        <v>147</v>
      </c>
      <c r="K856" t="s">
        <v>41</v>
      </c>
      <c r="O856">
        <v>0</v>
      </c>
      <c r="P856">
        <v>0</v>
      </c>
      <c r="Q856">
        <v>0</v>
      </c>
      <c r="R856">
        <v>0</v>
      </c>
      <c r="S856">
        <v>0</v>
      </c>
      <c r="T856">
        <v>0</v>
      </c>
      <c r="U856">
        <v>0</v>
      </c>
      <c r="V856">
        <v>0</v>
      </c>
      <c r="W856" t="s">
        <v>1077</v>
      </c>
      <c r="AA856">
        <v>2007</v>
      </c>
      <c r="AB856">
        <v>9999</v>
      </c>
      <c r="AC856" t="s">
        <v>35</v>
      </c>
    </row>
    <row r="857" spans="1:29" x14ac:dyDescent="0.25">
      <c r="A857" s="31" t="s">
        <v>305</v>
      </c>
      <c r="B857" s="23" t="s">
        <v>1455</v>
      </c>
      <c r="C857" t="s">
        <v>1456</v>
      </c>
      <c r="D857">
        <v>1</v>
      </c>
      <c r="E857" t="s">
        <v>103</v>
      </c>
      <c r="F857">
        <v>9</v>
      </c>
      <c r="G857">
        <v>2023</v>
      </c>
      <c r="I857" s="8">
        <v>149.5</v>
      </c>
      <c r="J857" t="s">
        <v>104</v>
      </c>
      <c r="K857" t="s">
        <v>53</v>
      </c>
      <c r="L857" t="s">
        <v>105</v>
      </c>
      <c r="O857">
        <v>0</v>
      </c>
      <c r="P857">
        <v>1</v>
      </c>
      <c r="Q857">
        <v>0</v>
      </c>
      <c r="R857">
        <v>0</v>
      </c>
      <c r="S857">
        <v>1</v>
      </c>
      <c r="T857">
        <v>1</v>
      </c>
      <c r="U857">
        <v>1</v>
      </c>
      <c r="V857">
        <v>0</v>
      </c>
      <c r="W857" t="s">
        <v>106</v>
      </c>
      <c r="AA857">
        <v>2007</v>
      </c>
      <c r="AB857">
        <v>9999</v>
      </c>
      <c r="AC857" t="s">
        <v>35</v>
      </c>
    </row>
    <row r="858" spans="1:29" x14ac:dyDescent="0.25">
      <c r="A858" s="31" t="s">
        <v>259</v>
      </c>
      <c r="B858" s="23" t="s">
        <v>260</v>
      </c>
      <c r="C858" t="s">
        <v>261</v>
      </c>
      <c r="D858">
        <v>1</v>
      </c>
      <c r="E858" t="s">
        <v>103</v>
      </c>
      <c r="F858">
        <v>9</v>
      </c>
      <c r="G858">
        <v>2023</v>
      </c>
      <c r="I858" s="8">
        <v>5730.58</v>
      </c>
      <c r="J858" t="s">
        <v>104</v>
      </c>
      <c r="K858" t="s">
        <v>53</v>
      </c>
      <c r="L858" t="s">
        <v>105</v>
      </c>
      <c r="O858">
        <v>0</v>
      </c>
      <c r="P858">
        <v>1</v>
      </c>
      <c r="Q858">
        <v>0</v>
      </c>
      <c r="R858">
        <v>0</v>
      </c>
      <c r="S858">
        <v>1</v>
      </c>
      <c r="T858">
        <v>1</v>
      </c>
      <c r="U858">
        <v>1</v>
      </c>
      <c r="V858">
        <v>0</v>
      </c>
      <c r="W858" t="s">
        <v>106</v>
      </c>
      <c r="AA858">
        <v>2007</v>
      </c>
      <c r="AB858">
        <v>9999</v>
      </c>
      <c r="AC858" t="s">
        <v>35</v>
      </c>
    </row>
    <row r="859" spans="1:29" x14ac:dyDescent="0.25">
      <c r="A859" s="31" t="s">
        <v>266</v>
      </c>
      <c r="B859" s="23" t="s">
        <v>267</v>
      </c>
      <c r="D859">
        <v>1</v>
      </c>
      <c r="E859" t="s">
        <v>85</v>
      </c>
      <c r="F859">
        <v>4</v>
      </c>
      <c r="G859">
        <v>2023</v>
      </c>
      <c r="I859">
        <v>11</v>
      </c>
      <c r="J859" t="s">
        <v>268</v>
      </c>
      <c r="K859" t="s">
        <v>41</v>
      </c>
      <c r="O859">
        <v>0</v>
      </c>
      <c r="P859">
        <v>0</v>
      </c>
      <c r="Q859">
        <v>0</v>
      </c>
      <c r="R859">
        <v>0</v>
      </c>
      <c r="S859">
        <v>0</v>
      </c>
      <c r="T859">
        <v>0</v>
      </c>
      <c r="U859">
        <v>0</v>
      </c>
      <c r="V859">
        <v>0</v>
      </c>
      <c r="W859" t="s">
        <v>1079</v>
      </c>
      <c r="AA859">
        <v>2007</v>
      </c>
      <c r="AB859">
        <v>9999</v>
      </c>
      <c r="AC859" t="s">
        <v>35</v>
      </c>
    </row>
    <row r="860" spans="1:29" x14ac:dyDescent="0.25">
      <c r="A860" s="31" t="s">
        <v>1393</v>
      </c>
      <c r="B860" s="23" t="s">
        <v>1394</v>
      </c>
      <c r="C860" t="s">
        <v>1395</v>
      </c>
      <c r="D860">
        <v>1</v>
      </c>
      <c r="E860" t="s">
        <v>1396</v>
      </c>
      <c r="F860">
        <v>5</v>
      </c>
      <c r="G860">
        <v>2023</v>
      </c>
      <c r="I860" s="8">
        <v>316.83</v>
      </c>
      <c r="J860" t="s">
        <v>1610</v>
      </c>
      <c r="K860" t="s">
        <v>47</v>
      </c>
      <c r="O860">
        <v>0</v>
      </c>
      <c r="P860">
        <v>0</v>
      </c>
      <c r="Q860">
        <v>0</v>
      </c>
      <c r="R860">
        <v>0</v>
      </c>
      <c r="S860">
        <v>1</v>
      </c>
      <c r="T860">
        <v>1</v>
      </c>
      <c r="U860">
        <v>1</v>
      </c>
      <c r="V860">
        <v>0</v>
      </c>
      <c r="W860" t="s">
        <v>1397</v>
      </c>
      <c r="AA860">
        <v>2012</v>
      </c>
      <c r="AB860">
        <v>9999</v>
      </c>
      <c r="AC860" t="s">
        <v>1398</v>
      </c>
    </row>
    <row r="861" spans="1:29" x14ac:dyDescent="0.25">
      <c r="A861" s="31" t="s">
        <v>153</v>
      </c>
      <c r="B861" s="23" t="s">
        <v>270</v>
      </c>
      <c r="D861">
        <v>6</v>
      </c>
      <c r="E861" t="s">
        <v>155</v>
      </c>
      <c r="F861">
        <v>3</v>
      </c>
      <c r="G861">
        <v>2023</v>
      </c>
      <c r="I861" s="15">
        <v>742.18000000000006</v>
      </c>
      <c r="J861" t="s">
        <v>121</v>
      </c>
      <c r="K861" t="s">
        <v>53</v>
      </c>
      <c r="L861" t="s">
        <v>60</v>
      </c>
      <c r="O861">
        <v>1</v>
      </c>
      <c r="P861">
        <v>0</v>
      </c>
      <c r="Q861">
        <v>0</v>
      </c>
      <c r="R861">
        <v>0</v>
      </c>
      <c r="S861">
        <v>1</v>
      </c>
      <c r="T861">
        <v>0</v>
      </c>
      <c r="U861">
        <v>0</v>
      </c>
      <c r="V861">
        <v>1</v>
      </c>
      <c r="W861" t="s">
        <v>271</v>
      </c>
      <c r="AA861">
        <v>2007</v>
      </c>
      <c r="AB861">
        <v>9999</v>
      </c>
      <c r="AC861" t="s">
        <v>35</v>
      </c>
    </row>
    <row r="862" spans="1:29" x14ac:dyDescent="0.25">
      <c r="A862" s="31" t="s">
        <v>153</v>
      </c>
      <c r="B862" s="27" t="s">
        <v>272</v>
      </c>
      <c r="D862">
        <v>8</v>
      </c>
      <c r="E862" t="s">
        <v>155</v>
      </c>
      <c r="F862">
        <v>3</v>
      </c>
      <c r="G862">
        <v>2023</v>
      </c>
      <c r="I862">
        <v>90.17</v>
      </c>
      <c r="J862" s="2" t="s">
        <v>121</v>
      </c>
      <c r="K862" t="s">
        <v>53</v>
      </c>
      <c r="L862" t="s">
        <v>60</v>
      </c>
      <c r="O862">
        <v>1</v>
      </c>
      <c r="P862">
        <v>0</v>
      </c>
      <c r="Q862">
        <v>0</v>
      </c>
      <c r="R862">
        <v>0</v>
      </c>
      <c r="S862">
        <v>0</v>
      </c>
      <c r="T862">
        <v>0</v>
      </c>
      <c r="U862">
        <v>0</v>
      </c>
      <c r="V862">
        <v>1</v>
      </c>
      <c r="W862" t="s">
        <v>273</v>
      </c>
      <c r="AA862">
        <v>2007</v>
      </c>
      <c r="AB862">
        <v>9999</v>
      </c>
      <c r="AC862" t="s">
        <v>35</v>
      </c>
    </row>
    <row r="863" spans="1:29" x14ac:dyDescent="0.25">
      <c r="A863" s="31" t="s">
        <v>274</v>
      </c>
      <c r="B863" s="23" t="s">
        <v>275</v>
      </c>
      <c r="C863" t="s">
        <v>276</v>
      </c>
      <c r="D863">
        <v>1</v>
      </c>
      <c r="E863" t="s">
        <v>51</v>
      </c>
      <c r="F863">
        <v>10</v>
      </c>
      <c r="G863">
        <v>2023</v>
      </c>
      <c r="H863" t="s">
        <v>746</v>
      </c>
      <c r="I863" s="11">
        <v>6</v>
      </c>
      <c r="J863" t="s">
        <v>40</v>
      </c>
      <c r="K863" t="s">
        <v>41</v>
      </c>
      <c r="O863">
        <v>0</v>
      </c>
      <c r="P863">
        <v>0</v>
      </c>
      <c r="Q863">
        <v>0</v>
      </c>
      <c r="R863">
        <v>0</v>
      </c>
      <c r="S863">
        <v>0</v>
      </c>
      <c r="T863">
        <v>0</v>
      </c>
      <c r="U863">
        <v>0</v>
      </c>
      <c r="V863">
        <v>0</v>
      </c>
      <c r="W863" t="s">
        <v>1399</v>
      </c>
      <c r="AA863">
        <v>2007</v>
      </c>
      <c r="AB863">
        <v>9999</v>
      </c>
      <c r="AC863" t="s">
        <v>35</v>
      </c>
    </row>
    <row r="864" spans="1:29" x14ac:dyDescent="0.25">
      <c r="A864" s="31" t="s">
        <v>278</v>
      </c>
      <c r="B864" s="23" t="s">
        <v>279</v>
      </c>
      <c r="D864">
        <v>1</v>
      </c>
      <c r="E864" t="s">
        <v>103</v>
      </c>
      <c r="F864">
        <v>9</v>
      </c>
      <c r="G864">
        <v>2023</v>
      </c>
      <c r="I864" s="8">
        <v>694.95</v>
      </c>
      <c r="J864" t="s">
        <v>104</v>
      </c>
      <c r="K864" t="s">
        <v>53</v>
      </c>
      <c r="L864" t="s">
        <v>105</v>
      </c>
      <c r="O864">
        <v>0</v>
      </c>
      <c r="P864">
        <v>1</v>
      </c>
      <c r="Q864">
        <v>0</v>
      </c>
      <c r="R864">
        <v>0</v>
      </c>
      <c r="S864">
        <v>1</v>
      </c>
      <c r="T864">
        <v>1</v>
      </c>
      <c r="U864">
        <v>1</v>
      </c>
      <c r="V864">
        <v>0</v>
      </c>
      <c r="W864" t="s">
        <v>106</v>
      </c>
      <c r="AA864">
        <v>2007</v>
      </c>
      <c r="AB864">
        <v>9999</v>
      </c>
      <c r="AC864" t="s">
        <v>35</v>
      </c>
    </row>
    <row r="865" spans="1:29" x14ac:dyDescent="0.25">
      <c r="A865" s="31" t="s">
        <v>280</v>
      </c>
      <c r="B865" s="23" t="s">
        <v>281</v>
      </c>
      <c r="D865">
        <v>1</v>
      </c>
      <c r="E865" t="s">
        <v>103</v>
      </c>
      <c r="F865">
        <v>9</v>
      </c>
      <c r="G865">
        <v>2023</v>
      </c>
      <c r="I865" s="8">
        <v>734.44</v>
      </c>
      <c r="J865" t="s">
        <v>104</v>
      </c>
      <c r="K865" t="s">
        <v>53</v>
      </c>
      <c r="L865" t="s">
        <v>105</v>
      </c>
      <c r="O865">
        <v>0</v>
      </c>
      <c r="P865">
        <v>1</v>
      </c>
      <c r="Q865">
        <v>0</v>
      </c>
      <c r="R865">
        <v>0</v>
      </c>
      <c r="S865">
        <v>1</v>
      </c>
      <c r="T865">
        <v>1</v>
      </c>
      <c r="U865">
        <v>1</v>
      </c>
      <c r="V865">
        <v>0</v>
      </c>
      <c r="W865" t="s">
        <v>106</v>
      </c>
      <c r="AA865">
        <v>2007</v>
      </c>
      <c r="AB865">
        <v>9999</v>
      </c>
      <c r="AC865" t="s">
        <v>35</v>
      </c>
    </row>
    <row r="866" spans="1:29" x14ac:dyDescent="0.25">
      <c r="A866" s="31" t="s">
        <v>282</v>
      </c>
      <c r="B866" s="23" t="s">
        <v>283</v>
      </c>
      <c r="D866">
        <v>1</v>
      </c>
      <c r="E866" t="s">
        <v>103</v>
      </c>
      <c r="F866">
        <v>9</v>
      </c>
      <c r="G866">
        <v>2023</v>
      </c>
      <c r="I866" s="8">
        <v>675.68</v>
      </c>
      <c r="J866" t="s">
        <v>104</v>
      </c>
      <c r="K866" t="s">
        <v>53</v>
      </c>
      <c r="L866" t="s">
        <v>105</v>
      </c>
      <c r="O866">
        <v>0</v>
      </c>
      <c r="P866">
        <v>1</v>
      </c>
      <c r="Q866">
        <v>0</v>
      </c>
      <c r="R866">
        <v>0</v>
      </c>
      <c r="S866">
        <v>1</v>
      </c>
      <c r="T866">
        <v>1</v>
      </c>
      <c r="U866">
        <v>1</v>
      </c>
      <c r="V866">
        <v>0</v>
      </c>
      <c r="W866" t="s">
        <v>106</v>
      </c>
      <c r="AA866">
        <v>2007</v>
      </c>
      <c r="AB866">
        <v>9999</v>
      </c>
      <c r="AC866" t="s">
        <v>35</v>
      </c>
    </row>
    <row r="867" spans="1:29" x14ac:dyDescent="0.25">
      <c r="A867" s="31" t="s">
        <v>284</v>
      </c>
      <c r="B867" s="23" t="s">
        <v>285</v>
      </c>
      <c r="D867">
        <v>1</v>
      </c>
      <c r="E867" t="s">
        <v>103</v>
      </c>
      <c r="F867">
        <v>9</v>
      </c>
      <c r="G867">
        <v>2023</v>
      </c>
      <c r="I867" s="8">
        <v>591.20000000000005</v>
      </c>
      <c r="J867" t="s">
        <v>104</v>
      </c>
      <c r="K867" t="s">
        <v>53</v>
      </c>
      <c r="L867" t="s">
        <v>105</v>
      </c>
      <c r="O867">
        <v>0</v>
      </c>
      <c r="P867">
        <v>1</v>
      </c>
      <c r="Q867">
        <v>0</v>
      </c>
      <c r="R867">
        <v>0</v>
      </c>
      <c r="S867">
        <v>1</v>
      </c>
      <c r="T867">
        <v>1</v>
      </c>
      <c r="U867">
        <v>1</v>
      </c>
      <c r="V867">
        <v>0</v>
      </c>
      <c r="W867" t="s">
        <v>106</v>
      </c>
      <c r="AA867">
        <v>2007</v>
      </c>
      <c r="AB867">
        <v>9999</v>
      </c>
      <c r="AC867" t="s">
        <v>35</v>
      </c>
    </row>
    <row r="868" spans="1:29" x14ac:dyDescent="0.25">
      <c r="A868" s="31" t="s">
        <v>288</v>
      </c>
      <c r="B868" s="23" t="s">
        <v>289</v>
      </c>
      <c r="D868">
        <v>1</v>
      </c>
      <c r="E868" t="s">
        <v>103</v>
      </c>
      <c r="F868">
        <v>9</v>
      </c>
      <c r="G868">
        <v>2023</v>
      </c>
      <c r="I868" s="8">
        <v>436.32</v>
      </c>
      <c r="J868" t="s">
        <v>104</v>
      </c>
      <c r="K868" t="s">
        <v>53</v>
      </c>
      <c r="L868" t="s">
        <v>105</v>
      </c>
      <c r="O868">
        <v>0</v>
      </c>
      <c r="P868">
        <v>1</v>
      </c>
      <c r="Q868">
        <v>0</v>
      </c>
      <c r="R868">
        <v>0</v>
      </c>
      <c r="S868">
        <v>1</v>
      </c>
      <c r="T868">
        <v>1</v>
      </c>
      <c r="U868">
        <v>1</v>
      </c>
      <c r="V868">
        <v>0</v>
      </c>
      <c r="W868" t="s">
        <v>106</v>
      </c>
      <c r="AA868">
        <v>2007</v>
      </c>
      <c r="AB868">
        <v>9999</v>
      </c>
      <c r="AC868" t="s">
        <v>35</v>
      </c>
    </row>
    <row r="869" spans="1:29" x14ac:dyDescent="0.25">
      <c r="A869" s="31" t="s">
        <v>1474</v>
      </c>
      <c r="B869" s="23" t="s">
        <v>290</v>
      </c>
      <c r="D869">
        <v>1</v>
      </c>
      <c r="E869" t="s">
        <v>103</v>
      </c>
      <c r="F869">
        <v>9</v>
      </c>
      <c r="G869">
        <v>2023</v>
      </c>
      <c r="I869" s="8">
        <v>517.5</v>
      </c>
      <c r="J869" t="s">
        <v>104</v>
      </c>
      <c r="K869" t="s">
        <v>53</v>
      </c>
      <c r="L869" t="s">
        <v>105</v>
      </c>
      <c r="O869">
        <v>0</v>
      </c>
      <c r="P869">
        <v>1</v>
      </c>
      <c r="Q869">
        <v>0</v>
      </c>
      <c r="R869">
        <v>0</v>
      </c>
      <c r="S869">
        <v>1</v>
      </c>
      <c r="T869">
        <v>1</v>
      </c>
      <c r="U869">
        <v>1</v>
      </c>
      <c r="V869">
        <v>0</v>
      </c>
      <c r="W869" t="s">
        <v>106</v>
      </c>
      <c r="AA869">
        <v>2007</v>
      </c>
      <c r="AB869">
        <v>9999</v>
      </c>
      <c r="AC869" t="s">
        <v>1475</v>
      </c>
    </row>
    <row r="870" spans="1:29" x14ac:dyDescent="0.25">
      <c r="A870" s="31" t="s">
        <v>293</v>
      </c>
      <c r="B870" s="23" t="s">
        <v>294</v>
      </c>
      <c r="D870">
        <v>1</v>
      </c>
      <c r="E870" t="s">
        <v>103</v>
      </c>
      <c r="F870">
        <v>9</v>
      </c>
      <c r="G870">
        <v>2023</v>
      </c>
      <c r="I870" s="8">
        <v>622.37</v>
      </c>
      <c r="J870" t="s">
        <v>104</v>
      </c>
      <c r="K870" t="s">
        <v>53</v>
      </c>
      <c r="L870" t="s">
        <v>105</v>
      </c>
      <c r="O870">
        <v>0</v>
      </c>
      <c r="P870">
        <v>1</v>
      </c>
      <c r="Q870">
        <v>0</v>
      </c>
      <c r="R870">
        <v>0</v>
      </c>
      <c r="S870">
        <v>1</v>
      </c>
      <c r="T870">
        <v>1</v>
      </c>
      <c r="U870">
        <v>1</v>
      </c>
      <c r="V870">
        <v>0</v>
      </c>
      <c r="W870" t="s">
        <v>106</v>
      </c>
      <c r="AA870">
        <v>2007</v>
      </c>
      <c r="AB870">
        <v>9999</v>
      </c>
      <c r="AC870" t="s">
        <v>35</v>
      </c>
    </row>
    <row r="871" spans="1:29" x14ac:dyDescent="0.25">
      <c r="A871" s="31" t="s">
        <v>295</v>
      </c>
      <c r="B871" s="23" t="s">
        <v>296</v>
      </c>
      <c r="D871">
        <v>1</v>
      </c>
      <c r="E871" t="s">
        <v>128</v>
      </c>
      <c r="F871">
        <v>9</v>
      </c>
      <c r="G871">
        <v>2023</v>
      </c>
      <c r="H871" t="s">
        <v>1428</v>
      </c>
      <c r="I871" s="15">
        <v>0.15</v>
      </c>
      <c r="J871" t="s">
        <v>104</v>
      </c>
      <c r="K871" t="s">
        <v>41</v>
      </c>
      <c r="O871">
        <v>0</v>
      </c>
      <c r="P871">
        <v>0</v>
      </c>
      <c r="Q871">
        <v>0</v>
      </c>
      <c r="R871">
        <v>0</v>
      </c>
      <c r="S871">
        <v>0</v>
      </c>
      <c r="T871">
        <v>0</v>
      </c>
      <c r="U871">
        <v>0</v>
      </c>
      <c r="V871">
        <v>0</v>
      </c>
      <c r="W871" t="s">
        <v>1081</v>
      </c>
      <c r="AA871">
        <v>2007</v>
      </c>
      <c r="AB871">
        <v>9999</v>
      </c>
      <c r="AC871" t="s">
        <v>35</v>
      </c>
    </row>
    <row r="872" spans="1:29" x14ac:dyDescent="0.25">
      <c r="A872" s="31" t="s">
        <v>153</v>
      </c>
      <c r="B872" s="23" t="s">
        <v>1476</v>
      </c>
      <c r="D872">
        <v>1</v>
      </c>
      <c r="E872" t="s">
        <v>155</v>
      </c>
      <c r="F872">
        <v>3</v>
      </c>
      <c r="G872">
        <v>2023</v>
      </c>
      <c r="I872" s="8">
        <v>92.96</v>
      </c>
      <c r="J872" t="s">
        <v>121</v>
      </c>
      <c r="K872" t="s">
        <v>53</v>
      </c>
      <c r="L872" t="s">
        <v>60</v>
      </c>
      <c r="O872">
        <v>1</v>
      </c>
      <c r="P872">
        <v>0</v>
      </c>
      <c r="Q872">
        <v>0</v>
      </c>
      <c r="R872">
        <v>0</v>
      </c>
      <c r="S872">
        <v>1</v>
      </c>
      <c r="T872">
        <v>0</v>
      </c>
      <c r="U872">
        <v>0</v>
      </c>
      <c r="V872">
        <v>1</v>
      </c>
      <c r="W872" t="s">
        <v>304</v>
      </c>
      <c r="AA872">
        <v>2007</v>
      </c>
      <c r="AB872">
        <v>9999</v>
      </c>
      <c r="AC872" t="s">
        <v>35</v>
      </c>
    </row>
    <row r="873" spans="1:29" x14ac:dyDescent="0.25">
      <c r="A873" s="31" t="s">
        <v>153</v>
      </c>
      <c r="B873" s="23" t="s">
        <v>1477</v>
      </c>
      <c r="D873">
        <v>1</v>
      </c>
      <c r="E873" t="s">
        <v>155</v>
      </c>
      <c r="F873">
        <v>3</v>
      </c>
      <c r="G873">
        <v>2023</v>
      </c>
      <c r="I873" s="11">
        <v>77.72</v>
      </c>
      <c r="J873" t="s">
        <v>121</v>
      </c>
      <c r="K873" t="s">
        <v>53</v>
      </c>
      <c r="L873" t="s">
        <v>60</v>
      </c>
      <c r="O873">
        <v>1</v>
      </c>
      <c r="P873">
        <v>0</v>
      </c>
      <c r="Q873">
        <v>0</v>
      </c>
      <c r="R873">
        <v>0</v>
      </c>
      <c r="S873">
        <v>1</v>
      </c>
      <c r="T873">
        <v>0</v>
      </c>
      <c r="U873">
        <v>0</v>
      </c>
      <c r="V873">
        <v>1</v>
      </c>
      <c r="W873" t="s">
        <v>645</v>
      </c>
      <c r="AA873">
        <v>2007</v>
      </c>
      <c r="AB873">
        <v>9999</v>
      </c>
      <c r="AC873" t="s">
        <v>35</v>
      </c>
    </row>
    <row r="874" spans="1:29" x14ac:dyDescent="0.25">
      <c r="A874" s="31" t="s">
        <v>307</v>
      </c>
      <c r="B874" s="23" t="s">
        <v>308</v>
      </c>
      <c r="D874">
        <v>1</v>
      </c>
      <c r="E874" t="s">
        <v>309</v>
      </c>
      <c r="F874">
        <v>10</v>
      </c>
      <c r="G874">
        <v>2023</v>
      </c>
      <c r="I874" s="8">
        <v>66.05</v>
      </c>
      <c r="J874" t="s">
        <v>59</v>
      </c>
      <c r="K874" t="s">
        <v>47</v>
      </c>
      <c r="O874">
        <v>0</v>
      </c>
      <c r="P874">
        <v>0</v>
      </c>
      <c r="Q874">
        <v>0</v>
      </c>
      <c r="R874">
        <v>0</v>
      </c>
      <c r="S874">
        <v>1</v>
      </c>
      <c r="T874">
        <v>1</v>
      </c>
      <c r="U874">
        <v>1</v>
      </c>
      <c r="V874">
        <v>0</v>
      </c>
      <c r="W874" t="s">
        <v>1083</v>
      </c>
      <c r="AA874">
        <v>2007</v>
      </c>
      <c r="AB874">
        <v>9999</v>
      </c>
      <c r="AC874" t="s">
        <v>35</v>
      </c>
    </row>
    <row r="875" spans="1:29" x14ac:dyDescent="0.25">
      <c r="A875" s="31" t="s">
        <v>1294</v>
      </c>
      <c r="B875" s="23" t="s">
        <v>1295</v>
      </c>
      <c r="C875" t="s">
        <v>1296</v>
      </c>
      <c r="D875">
        <v>1</v>
      </c>
      <c r="E875" t="s">
        <v>95</v>
      </c>
      <c r="F875">
        <v>10</v>
      </c>
      <c r="G875">
        <v>2023</v>
      </c>
      <c r="I875" s="8">
        <v>46.4</v>
      </c>
      <c r="J875" t="s">
        <v>40</v>
      </c>
      <c r="K875" t="s">
        <v>47</v>
      </c>
      <c r="O875">
        <v>0</v>
      </c>
      <c r="P875">
        <v>0</v>
      </c>
      <c r="Q875">
        <v>0</v>
      </c>
      <c r="R875">
        <v>0</v>
      </c>
      <c r="S875">
        <v>1</v>
      </c>
      <c r="T875">
        <v>1</v>
      </c>
      <c r="U875">
        <v>1</v>
      </c>
      <c r="V875">
        <v>0</v>
      </c>
      <c r="W875" t="s">
        <v>1297</v>
      </c>
      <c r="AA875">
        <v>2010</v>
      </c>
      <c r="AB875">
        <v>9999</v>
      </c>
      <c r="AC875" t="s">
        <v>1292</v>
      </c>
    </row>
    <row r="876" spans="1:29" x14ac:dyDescent="0.25">
      <c r="A876" s="31" t="s">
        <v>311</v>
      </c>
      <c r="B876" s="23" t="s">
        <v>312</v>
      </c>
      <c r="C876" t="s">
        <v>313</v>
      </c>
      <c r="D876">
        <v>1</v>
      </c>
      <c r="E876" t="s">
        <v>314</v>
      </c>
      <c r="F876">
        <v>2</v>
      </c>
      <c r="G876">
        <v>2023</v>
      </c>
      <c r="I876" s="8">
        <v>51</v>
      </c>
      <c r="J876" t="s">
        <v>176</v>
      </c>
      <c r="K876" t="s">
        <v>47</v>
      </c>
      <c r="O876">
        <v>0</v>
      </c>
      <c r="P876">
        <v>0</v>
      </c>
      <c r="Q876">
        <v>0</v>
      </c>
      <c r="R876">
        <v>0</v>
      </c>
      <c r="S876">
        <v>1</v>
      </c>
      <c r="T876">
        <v>1</v>
      </c>
      <c r="U876">
        <v>1</v>
      </c>
      <c r="V876">
        <v>0</v>
      </c>
      <c r="W876" t="s">
        <v>1358</v>
      </c>
      <c r="AA876">
        <v>2007</v>
      </c>
      <c r="AB876">
        <v>9999</v>
      </c>
      <c r="AC876" t="s">
        <v>35</v>
      </c>
    </row>
    <row r="877" spans="1:29" x14ac:dyDescent="0.25">
      <c r="A877" s="31" t="s">
        <v>1457</v>
      </c>
      <c r="B877" s="23" t="s">
        <v>1458</v>
      </c>
      <c r="C877" t="s">
        <v>1459</v>
      </c>
      <c r="D877">
        <v>1</v>
      </c>
      <c r="E877" s="4">
        <v>760</v>
      </c>
      <c r="F877">
        <v>7</v>
      </c>
      <c r="G877">
        <v>2023</v>
      </c>
      <c r="I877" s="8">
        <v>733.06</v>
      </c>
      <c r="J877" t="s">
        <v>40</v>
      </c>
      <c r="K877" t="s">
        <v>47</v>
      </c>
      <c r="O877">
        <v>0</v>
      </c>
      <c r="P877">
        <v>0</v>
      </c>
      <c r="Q877">
        <v>0</v>
      </c>
      <c r="R877">
        <v>0</v>
      </c>
      <c r="S877">
        <v>1</v>
      </c>
      <c r="T877">
        <v>1</v>
      </c>
      <c r="U877">
        <v>1</v>
      </c>
      <c r="V877">
        <v>0</v>
      </c>
      <c r="W877" t="s">
        <v>1460</v>
      </c>
      <c r="AA877">
        <v>2014</v>
      </c>
      <c r="AB877">
        <v>9999</v>
      </c>
      <c r="AC877" t="s">
        <v>1449</v>
      </c>
    </row>
    <row r="878" spans="1:29" ht="30" x14ac:dyDescent="0.25">
      <c r="A878" s="31" t="s">
        <v>316</v>
      </c>
      <c r="B878" s="23" t="s">
        <v>1461</v>
      </c>
      <c r="C878" t="s">
        <v>1462</v>
      </c>
      <c r="D878">
        <v>1</v>
      </c>
      <c r="E878" t="s">
        <v>318</v>
      </c>
      <c r="F878">
        <v>4</v>
      </c>
      <c r="G878">
        <v>2023</v>
      </c>
      <c r="I878" s="8">
        <v>39.25</v>
      </c>
      <c r="J878" t="s">
        <v>59</v>
      </c>
      <c r="K878" t="s">
        <v>47</v>
      </c>
      <c r="O878">
        <v>0</v>
      </c>
      <c r="P878">
        <v>0</v>
      </c>
      <c r="Q878">
        <v>0</v>
      </c>
      <c r="R878">
        <v>0</v>
      </c>
      <c r="S878">
        <v>1</v>
      </c>
      <c r="T878">
        <v>1</v>
      </c>
      <c r="U878">
        <v>1</v>
      </c>
      <c r="V878">
        <v>0</v>
      </c>
      <c r="W878" t="s">
        <v>1085</v>
      </c>
      <c r="AA878">
        <v>2007</v>
      </c>
      <c r="AB878">
        <v>9999</v>
      </c>
      <c r="AC878" t="s">
        <v>35</v>
      </c>
    </row>
    <row r="879" spans="1:29" x14ac:dyDescent="0.25">
      <c r="A879" s="31" t="s">
        <v>1592</v>
      </c>
      <c r="B879" s="23" t="s">
        <v>1593</v>
      </c>
      <c r="D879">
        <v>1</v>
      </c>
      <c r="E879" s="5" t="s">
        <v>95</v>
      </c>
      <c r="F879">
        <v>10</v>
      </c>
      <c r="G879">
        <v>2023</v>
      </c>
      <c r="I879" s="8">
        <v>18.38</v>
      </c>
      <c r="J879" t="s">
        <v>59</v>
      </c>
      <c r="K879" t="s">
        <v>32</v>
      </c>
      <c r="O879">
        <v>0</v>
      </c>
      <c r="P879">
        <v>0</v>
      </c>
      <c r="Q879">
        <v>0</v>
      </c>
      <c r="R879">
        <v>0</v>
      </c>
      <c r="S879">
        <v>1</v>
      </c>
      <c r="T879">
        <v>1</v>
      </c>
      <c r="U879">
        <v>1</v>
      </c>
      <c r="V879">
        <v>0</v>
      </c>
      <c r="W879" t="s">
        <v>1594</v>
      </c>
      <c r="AA879">
        <v>2022</v>
      </c>
      <c r="AB879">
        <v>9999</v>
      </c>
      <c r="AC879" t="s">
        <v>1591</v>
      </c>
    </row>
    <row r="880" spans="1:29" x14ac:dyDescent="0.25">
      <c r="A880" s="31" t="s">
        <v>324</v>
      </c>
      <c r="B880" s="23" t="s">
        <v>325</v>
      </c>
      <c r="D880">
        <v>1</v>
      </c>
      <c r="E880" t="s">
        <v>103</v>
      </c>
      <c r="F880">
        <v>9</v>
      </c>
      <c r="G880">
        <v>2023</v>
      </c>
      <c r="I880" s="8">
        <v>100.61</v>
      </c>
      <c r="J880" t="s">
        <v>104</v>
      </c>
      <c r="K880" t="s">
        <v>47</v>
      </c>
      <c r="O880">
        <v>0</v>
      </c>
      <c r="P880">
        <v>0</v>
      </c>
      <c r="Q880">
        <v>0</v>
      </c>
      <c r="R880">
        <v>0</v>
      </c>
      <c r="S880">
        <v>1</v>
      </c>
      <c r="T880">
        <v>1</v>
      </c>
      <c r="U880">
        <v>1</v>
      </c>
      <c r="V880">
        <v>0</v>
      </c>
      <c r="W880" t="s">
        <v>1086</v>
      </c>
      <c r="AA880">
        <v>2007</v>
      </c>
      <c r="AB880">
        <v>9999</v>
      </c>
      <c r="AC880" t="s">
        <v>35</v>
      </c>
    </row>
    <row r="881" spans="1:29" x14ac:dyDescent="0.25">
      <c r="A881" s="31" t="s">
        <v>327</v>
      </c>
      <c r="B881" s="23" t="s">
        <v>328</v>
      </c>
      <c r="D881">
        <v>1</v>
      </c>
      <c r="E881" t="s">
        <v>80</v>
      </c>
      <c r="F881">
        <v>8</v>
      </c>
      <c r="G881">
        <v>2023</v>
      </c>
      <c r="I881" s="8">
        <v>95.89</v>
      </c>
      <c r="J881" t="s">
        <v>81</v>
      </c>
      <c r="K881" t="s">
        <v>47</v>
      </c>
      <c r="O881">
        <v>0</v>
      </c>
      <c r="P881">
        <v>0</v>
      </c>
      <c r="Q881">
        <v>0</v>
      </c>
      <c r="R881">
        <v>0</v>
      </c>
      <c r="S881">
        <v>1</v>
      </c>
      <c r="T881">
        <v>1</v>
      </c>
      <c r="U881">
        <v>1</v>
      </c>
      <c r="V881">
        <v>0</v>
      </c>
      <c r="W881" t="s">
        <v>1087</v>
      </c>
      <c r="AA881">
        <v>2007</v>
      </c>
      <c r="AB881">
        <v>9999</v>
      </c>
      <c r="AC881" t="s">
        <v>35</v>
      </c>
    </row>
    <row r="882" spans="1:29" x14ac:dyDescent="0.25">
      <c r="A882" s="31" t="s">
        <v>140</v>
      </c>
      <c r="B882" s="23" t="s">
        <v>1595</v>
      </c>
      <c r="C882" t="s">
        <v>1582</v>
      </c>
      <c r="D882">
        <v>1</v>
      </c>
      <c r="E882" t="s">
        <v>45</v>
      </c>
      <c r="F882">
        <v>4</v>
      </c>
      <c r="G882">
        <v>2023</v>
      </c>
      <c r="I882" s="8">
        <v>105.95</v>
      </c>
      <c r="J882" t="s">
        <v>121</v>
      </c>
      <c r="K882" t="s">
        <v>47</v>
      </c>
      <c r="O882">
        <v>0</v>
      </c>
      <c r="P882">
        <v>0</v>
      </c>
      <c r="Q882">
        <v>0</v>
      </c>
      <c r="R882">
        <v>0</v>
      </c>
      <c r="S882">
        <v>1</v>
      </c>
      <c r="T882">
        <v>1</v>
      </c>
      <c r="U882">
        <v>1</v>
      </c>
      <c r="V882">
        <v>0</v>
      </c>
      <c r="W882" t="s">
        <v>1045</v>
      </c>
      <c r="AA882">
        <v>2007</v>
      </c>
      <c r="AB882">
        <v>9999</v>
      </c>
      <c r="AC882" t="s">
        <v>35</v>
      </c>
    </row>
    <row r="883" spans="1:29" x14ac:dyDescent="0.25">
      <c r="A883" s="31" t="s">
        <v>346</v>
      </c>
      <c r="B883" s="23" t="s">
        <v>347</v>
      </c>
      <c r="D883">
        <v>1</v>
      </c>
      <c r="E883" t="s">
        <v>348</v>
      </c>
      <c r="F883">
        <v>1</v>
      </c>
      <c r="G883">
        <v>2023</v>
      </c>
      <c r="I883" s="8">
        <v>47.44</v>
      </c>
      <c r="J883" t="s">
        <v>121</v>
      </c>
      <c r="K883" t="s">
        <v>47</v>
      </c>
      <c r="O883">
        <v>0</v>
      </c>
      <c r="P883">
        <v>0</v>
      </c>
      <c r="Q883">
        <v>0</v>
      </c>
      <c r="R883">
        <v>0</v>
      </c>
      <c r="S883">
        <v>1</v>
      </c>
      <c r="T883">
        <v>1</v>
      </c>
      <c r="U883">
        <v>1</v>
      </c>
      <c r="V883">
        <v>0</v>
      </c>
      <c r="W883" t="s">
        <v>349</v>
      </c>
      <c r="AA883">
        <v>2007</v>
      </c>
      <c r="AB883">
        <v>9999</v>
      </c>
      <c r="AC883" t="s">
        <v>35</v>
      </c>
    </row>
    <row r="884" spans="1:29" x14ac:dyDescent="0.25">
      <c r="A884" s="31" t="s">
        <v>1540</v>
      </c>
      <c r="B884" s="23" t="s">
        <v>1541</v>
      </c>
      <c r="D884">
        <v>1</v>
      </c>
      <c r="E884" t="s">
        <v>58</v>
      </c>
      <c r="F884">
        <v>4</v>
      </c>
      <c r="G884">
        <v>2023</v>
      </c>
      <c r="I884" s="8">
        <v>116.5</v>
      </c>
      <c r="J884" t="s">
        <v>59</v>
      </c>
      <c r="K884" t="s">
        <v>47</v>
      </c>
      <c r="O884">
        <v>0</v>
      </c>
      <c r="P884">
        <v>0</v>
      </c>
      <c r="Q884">
        <v>0</v>
      </c>
      <c r="R884">
        <v>0</v>
      </c>
      <c r="S884">
        <v>1</v>
      </c>
      <c r="T884">
        <v>1</v>
      </c>
      <c r="U884">
        <v>1</v>
      </c>
      <c r="V884">
        <v>0</v>
      </c>
      <c r="W884" t="s">
        <v>1542</v>
      </c>
      <c r="AA884">
        <v>2018</v>
      </c>
      <c r="AB884">
        <v>9999</v>
      </c>
      <c r="AC884" t="s">
        <v>1543</v>
      </c>
    </row>
    <row r="885" spans="1:29" x14ac:dyDescent="0.25">
      <c r="A885" s="31" t="s">
        <v>199</v>
      </c>
      <c r="B885" s="23" t="s">
        <v>39</v>
      </c>
      <c r="D885">
        <v>1</v>
      </c>
      <c r="E885" t="s">
        <v>358</v>
      </c>
      <c r="F885">
        <v>1</v>
      </c>
      <c r="G885">
        <v>2023</v>
      </c>
      <c r="I885" s="8">
        <v>326.93</v>
      </c>
      <c r="J885" t="s">
        <v>52</v>
      </c>
      <c r="K885" t="s">
        <v>47</v>
      </c>
      <c r="O885">
        <v>0</v>
      </c>
      <c r="P885">
        <v>0</v>
      </c>
      <c r="Q885">
        <v>0</v>
      </c>
      <c r="R885">
        <v>0</v>
      </c>
      <c r="S885">
        <v>1</v>
      </c>
      <c r="T885">
        <v>1</v>
      </c>
      <c r="U885">
        <v>1</v>
      </c>
      <c r="V885">
        <v>0</v>
      </c>
      <c r="W885" t="s">
        <v>1094</v>
      </c>
      <c r="AA885">
        <v>2007</v>
      </c>
      <c r="AB885">
        <v>9999</v>
      </c>
      <c r="AC885" t="s">
        <v>35</v>
      </c>
    </row>
    <row r="886" spans="1:29" x14ac:dyDescent="0.25">
      <c r="A886" s="31" t="s">
        <v>1478</v>
      </c>
      <c r="B886" s="23" t="s">
        <v>360</v>
      </c>
      <c r="D886">
        <v>4</v>
      </c>
      <c r="E886" t="s">
        <v>155</v>
      </c>
      <c r="F886">
        <v>3</v>
      </c>
      <c r="G886">
        <v>2023</v>
      </c>
      <c r="I886" s="16">
        <v>399.57000000000005</v>
      </c>
      <c r="J886" t="s">
        <v>121</v>
      </c>
      <c r="K886" t="s">
        <v>53</v>
      </c>
      <c r="L886" t="s">
        <v>60</v>
      </c>
      <c r="O886">
        <v>1</v>
      </c>
      <c r="P886">
        <v>0</v>
      </c>
      <c r="Q886">
        <v>0</v>
      </c>
      <c r="R886">
        <v>0</v>
      </c>
      <c r="S886">
        <v>1</v>
      </c>
      <c r="T886">
        <v>0</v>
      </c>
      <c r="U886">
        <v>0</v>
      </c>
      <c r="V886">
        <v>1</v>
      </c>
      <c r="W886" t="s">
        <v>361</v>
      </c>
      <c r="AA886">
        <v>2007</v>
      </c>
      <c r="AB886">
        <v>9999</v>
      </c>
      <c r="AC886" t="s">
        <v>35</v>
      </c>
    </row>
    <row r="887" spans="1:29" x14ac:dyDescent="0.25">
      <c r="A887" s="31" t="s">
        <v>362</v>
      </c>
      <c r="B887" s="23" t="s">
        <v>363</v>
      </c>
      <c r="D887">
        <v>1</v>
      </c>
      <c r="E887" t="s">
        <v>103</v>
      </c>
      <c r="F887">
        <v>9</v>
      </c>
      <c r="G887">
        <v>2023</v>
      </c>
      <c r="I887" s="8">
        <v>1191.8499999999999</v>
      </c>
      <c r="J887" t="s">
        <v>104</v>
      </c>
      <c r="K887" t="s">
        <v>53</v>
      </c>
      <c r="L887" t="s">
        <v>105</v>
      </c>
      <c r="O887">
        <v>0</v>
      </c>
      <c r="P887">
        <v>1</v>
      </c>
      <c r="Q887">
        <v>0</v>
      </c>
      <c r="R887">
        <v>0</v>
      </c>
      <c r="S887">
        <v>1</v>
      </c>
      <c r="T887">
        <v>1</v>
      </c>
      <c r="U887">
        <v>1</v>
      </c>
      <c r="V887">
        <v>0</v>
      </c>
      <c r="W887" t="s">
        <v>106</v>
      </c>
      <c r="AA887">
        <v>2007</v>
      </c>
      <c r="AB887">
        <v>9999</v>
      </c>
      <c r="AC887" t="s">
        <v>35</v>
      </c>
    </row>
    <row r="888" spans="1:29" x14ac:dyDescent="0.25">
      <c r="A888" s="31" t="s">
        <v>364</v>
      </c>
      <c r="B888" s="23" t="s">
        <v>365</v>
      </c>
      <c r="C888" t="s">
        <v>366</v>
      </c>
      <c r="D888">
        <v>1</v>
      </c>
      <c r="E888" t="s">
        <v>103</v>
      </c>
      <c r="F888">
        <v>9</v>
      </c>
      <c r="G888">
        <v>2023</v>
      </c>
      <c r="I888" s="8">
        <v>4887.34</v>
      </c>
      <c r="J888" t="s">
        <v>104</v>
      </c>
      <c r="K888" t="s">
        <v>53</v>
      </c>
      <c r="L888" t="s">
        <v>105</v>
      </c>
      <c r="O888">
        <v>0</v>
      </c>
      <c r="P888">
        <v>1</v>
      </c>
      <c r="Q888">
        <v>0</v>
      </c>
      <c r="R888">
        <v>0</v>
      </c>
      <c r="S888">
        <v>1</v>
      </c>
      <c r="T888">
        <v>1</v>
      </c>
      <c r="U888">
        <v>1</v>
      </c>
      <c r="V888">
        <v>0</v>
      </c>
      <c r="W888" t="s">
        <v>106</v>
      </c>
      <c r="AA888">
        <v>2007</v>
      </c>
      <c r="AB888">
        <v>9999</v>
      </c>
      <c r="AC888" t="s">
        <v>35</v>
      </c>
    </row>
    <row r="889" spans="1:29" x14ac:dyDescent="0.25">
      <c r="A889" s="31" t="s">
        <v>367</v>
      </c>
      <c r="B889" s="23" t="s">
        <v>368</v>
      </c>
      <c r="C889" t="s">
        <v>369</v>
      </c>
      <c r="D889">
        <v>1</v>
      </c>
      <c r="E889" t="s">
        <v>370</v>
      </c>
      <c r="F889">
        <v>5</v>
      </c>
      <c r="G889">
        <v>2023</v>
      </c>
      <c r="I889" s="8">
        <v>256.87</v>
      </c>
      <c r="J889" t="s">
        <v>1610</v>
      </c>
      <c r="K889" t="s">
        <v>47</v>
      </c>
      <c r="O889">
        <v>0</v>
      </c>
      <c r="P889">
        <v>0</v>
      </c>
      <c r="Q889">
        <v>0</v>
      </c>
      <c r="R889">
        <v>0</v>
      </c>
      <c r="S889">
        <v>1</v>
      </c>
      <c r="T889">
        <v>1</v>
      </c>
      <c r="U889">
        <v>1</v>
      </c>
      <c r="V889">
        <v>0</v>
      </c>
      <c r="W889" t="s">
        <v>1298</v>
      </c>
      <c r="AA889">
        <v>2007</v>
      </c>
      <c r="AB889">
        <v>9999</v>
      </c>
      <c r="AC889" t="s">
        <v>35</v>
      </c>
    </row>
    <row r="890" spans="1:29" x14ac:dyDescent="0.25">
      <c r="A890" s="31" t="s">
        <v>1544</v>
      </c>
      <c r="B890" s="23" t="s">
        <v>1545</v>
      </c>
      <c r="D890">
        <v>1</v>
      </c>
      <c r="E890" s="5" t="s">
        <v>1546</v>
      </c>
      <c r="F890">
        <v>5</v>
      </c>
      <c r="G890">
        <v>2023</v>
      </c>
      <c r="H890" t="s">
        <v>214</v>
      </c>
      <c r="I890">
        <v>4</v>
      </c>
      <c r="J890" t="s">
        <v>1610</v>
      </c>
      <c r="K890" t="s">
        <v>41</v>
      </c>
      <c r="O890">
        <v>0</v>
      </c>
      <c r="P890">
        <v>0</v>
      </c>
      <c r="Q890">
        <v>0</v>
      </c>
      <c r="R890">
        <v>0</v>
      </c>
      <c r="S890">
        <v>0</v>
      </c>
      <c r="T890">
        <v>0</v>
      </c>
      <c r="U890">
        <v>0</v>
      </c>
      <c r="V890">
        <v>0</v>
      </c>
      <c r="W890" t="s">
        <v>1547</v>
      </c>
      <c r="AA890">
        <v>2018</v>
      </c>
      <c r="AB890">
        <v>9999</v>
      </c>
      <c r="AC890" t="s">
        <v>1543</v>
      </c>
    </row>
    <row r="891" spans="1:29" x14ac:dyDescent="0.25">
      <c r="A891" s="31" t="s">
        <v>372</v>
      </c>
      <c r="B891" s="23" t="s">
        <v>373</v>
      </c>
      <c r="D891">
        <v>1</v>
      </c>
      <c r="E891" t="s">
        <v>45</v>
      </c>
      <c r="F891">
        <v>4</v>
      </c>
      <c r="G891">
        <v>2023</v>
      </c>
      <c r="I891" s="8">
        <v>75.3</v>
      </c>
      <c r="J891" t="s">
        <v>176</v>
      </c>
      <c r="K891" t="s">
        <v>47</v>
      </c>
      <c r="O891">
        <v>0</v>
      </c>
      <c r="P891">
        <v>0</v>
      </c>
      <c r="Q891">
        <v>0</v>
      </c>
      <c r="R891">
        <v>0</v>
      </c>
      <c r="S891">
        <v>1</v>
      </c>
      <c r="T891">
        <v>1</v>
      </c>
      <c r="U891">
        <v>1</v>
      </c>
      <c r="V891">
        <v>0</v>
      </c>
      <c r="W891" t="s">
        <v>1429</v>
      </c>
      <c r="AA891">
        <v>2007</v>
      </c>
      <c r="AB891">
        <v>9999</v>
      </c>
      <c r="AC891" t="s">
        <v>35</v>
      </c>
    </row>
    <row r="892" spans="1:29" x14ac:dyDescent="0.25">
      <c r="A892" s="31" t="s">
        <v>375</v>
      </c>
      <c r="B892" s="23" t="s">
        <v>163</v>
      </c>
      <c r="D892">
        <v>1</v>
      </c>
      <c r="E892" t="s">
        <v>168</v>
      </c>
      <c r="F892">
        <v>1</v>
      </c>
      <c r="G892">
        <v>2023</v>
      </c>
      <c r="I892" s="8">
        <v>50</v>
      </c>
      <c r="J892" t="s">
        <v>52</v>
      </c>
      <c r="K892" t="s">
        <v>47</v>
      </c>
      <c r="O892">
        <v>0</v>
      </c>
      <c r="P892">
        <v>0</v>
      </c>
      <c r="Q892">
        <v>0</v>
      </c>
      <c r="R892">
        <v>0</v>
      </c>
      <c r="S892">
        <v>1</v>
      </c>
      <c r="T892">
        <v>1</v>
      </c>
      <c r="U892">
        <v>1</v>
      </c>
      <c r="V892">
        <v>0</v>
      </c>
      <c r="W892" t="s">
        <v>1097</v>
      </c>
      <c r="AA892">
        <v>2007</v>
      </c>
      <c r="AB892">
        <v>9999</v>
      </c>
      <c r="AC892" t="s">
        <v>35</v>
      </c>
    </row>
    <row r="893" spans="1:29" x14ac:dyDescent="0.25">
      <c r="A893" s="31" t="s">
        <v>377</v>
      </c>
      <c r="B893" s="23" t="s">
        <v>378</v>
      </c>
      <c r="D893">
        <v>1</v>
      </c>
      <c r="E893" t="s">
        <v>45</v>
      </c>
      <c r="F893">
        <v>4</v>
      </c>
      <c r="G893">
        <v>2023</v>
      </c>
      <c r="I893" s="8">
        <v>162.4</v>
      </c>
      <c r="J893" t="s">
        <v>1610</v>
      </c>
      <c r="K893" t="s">
        <v>47</v>
      </c>
      <c r="O893">
        <v>0</v>
      </c>
      <c r="P893">
        <v>0</v>
      </c>
      <c r="Q893">
        <v>0</v>
      </c>
      <c r="R893">
        <v>0</v>
      </c>
      <c r="S893">
        <v>1</v>
      </c>
      <c r="T893">
        <v>1</v>
      </c>
      <c r="U893">
        <v>1</v>
      </c>
      <c r="V893">
        <v>0</v>
      </c>
      <c r="W893" t="s">
        <v>1098</v>
      </c>
      <c r="AA893">
        <v>2007</v>
      </c>
      <c r="AB893">
        <v>9999</v>
      </c>
      <c r="AC893" t="s">
        <v>35</v>
      </c>
    </row>
    <row r="894" spans="1:29" x14ac:dyDescent="0.25">
      <c r="A894" s="31" t="s">
        <v>380</v>
      </c>
      <c r="B894" s="23" t="s">
        <v>381</v>
      </c>
      <c r="D894">
        <v>1</v>
      </c>
      <c r="E894" t="s">
        <v>103</v>
      </c>
      <c r="F894">
        <v>9</v>
      </c>
      <c r="G894">
        <v>2023</v>
      </c>
      <c r="I894" s="8">
        <v>161.77000000000001</v>
      </c>
      <c r="J894" t="s">
        <v>104</v>
      </c>
      <c r="K894" t="s">
        <v>53</v>
      </c>
      <c r="L894" t="s">
        <v>105</v>
      </c>
      <c r="O894">
        <v>0</v>
      </c>
      <c r="P894">
        <v>1</v>
      </c>
      <c r="Q894">
        <v>0</v>
      </c>
      <c r="R894">
        <v>0</v>
      </c>
      <c r="S894">
        <v>1</v>
      </c>
      <c r="T894">
        <v>1</v>
      </c>
      <c r="U894">
        <v>1</v>
      </c>
      <c r="V894">
        <v>0</v>
      </c>
      <c r="W894" t="s">
        <v>106</v>
      </c>
      <c r="AA894">
        <v>2007</v>
      </c>
      <c r="AB894">
        <v>9999</v>
      </c>
      <c r="AC894" t="s">
        <v>35</v>
      </c>
    </row>
    <row r="895" spans="1:29" x14ac:dyDescent="0.25">
      <c r="A895" s="31" t="s">
        <v>382</v>
      </c>
      <c r="B895" s="23" t="s">
        <v>383</v>
      </c>
      <c r="D895">
        <v>1</v>
      </c>
      <c r="E895" t="s">
        <v>80</v>
      </c>
      <c r="F895">
        <v>8</v>
      </c>
      <c r="G895">
        <v>2023</v>
      </c>
      <c r="I895" s="8">
        <v>34.700000000000003</v>
      </c>
      <c r="J895" t="s">
        <v>81</v>
      </c>
      <c r="K895" t="s">
        <v>32</v>
      </c>
      <c r="O895">
        <v>0</v>
      </c>
      <c r="P895">
        <v>0</v>
      </c>
      <c r="Q895">
        <v>0</v>
      </c>
      <c r="R895">
        <v>0</v>
      </c>
      <c r="S895">
        <v>1</v>
      </c>
      <c r="T895">
        <v>1</v>
      </c>
      <c r="U895">
        <v>1</v>
      </c>
      <c r="V895">
        <v>0</v>
      </c>
      <c r="W895" t="s">
        <v>1099</v>
      </c>
      <c r="AA895">
        <v>2007</v>
      </c>
      <c r="AB895">
        <v>9999</v>
      </c>
      <c r="AC895" t="s">
        <v>35</v>
      </c>
    </row>
    <row r="896" spans="1:29" x14ac:dyDescent="0.25">
      <c r="A896" s="31" t="s">
        <v>385</v>
      </c>
      <c r="B896" s="23" t="s">
        <v>386</v>
      </c>
      <c r="D896">
        <v>1</v>
      </c>
      <c r="E896" t="s">
        <v>45</v>
      </c>
      <c r="F896">
        <v>4</v>
      </c>
      <c r="G896">
        <v>2023</v>
      </c>
      <c r="I896" s="8">
        <v>149.38</v>
      </c>
      <c r="J896" t="s">
        <v>52</v>
      </c>
      <c r="K896" t="s">
        <v>47</v>
      </c>
      <c r="O896">
        <v>0</v>
      </c>
      <c r="P896">
        <v>0</v>
      </c>
      <c r="Q896">
        <v>0</v>
      </c>
      <c r="R896">
        <v>0</v>
      </c>
      <c r="S896">
        <v>1</v>
      </c>
      <c r="T896">
        <v>1</v>
      </c>
      <c r="U896">
        <v>1</v>
      </c>
      <c r="V896">
        <v>0</v>
      </c>
      <c r="W896" t="s">
        <v>1300</v>
      </c>
      <c r="AA896">
        <v>2007</v>
      </c>
      <c r="AB896">
        <v>9999</v>
      </c>
      <c r="AC896" t="s">
        <v>35</v>
      </c>
    </row>
    <row r="897" spans="1:29" x14ac:dyDescent="0.25">
      <c r="A897" s="31" t="s">
        <v>388</v>
      </c>
      <c r="B897" s="23" t="s">
        <v>389</v>
      </c>
      <c r="D897">
        <v>1</v>
      </c>
      <c r="E897" t="s">
        <v>145</v>
      </c>
      <c r="F897">
        <v>2</v>
      </c>
      <c r="G897">
        <v>2023</v>
      </c>
      <c r="H897" t="s">
        <v>185</v>
      </c>
      <c r="I897" s="15">
        <v>0.2</v>
      </c>
      <c r="J897" t="s">
        <v>52</v>
      </c>
      <c r="K897" t="s">
        <v>41</v>
      </c>
      <c r="O897">
        <v>0</v>
      </c>
      <c r="P897">
        <v>0</v>
      </c>
      <c r="Q897">
        <v>0</v>
      </c>
      <c r="R897">
        <v>0</v>
      </c>
      <c r="S897">
        <v>0</v>
      </c>
      <c r="T897">
        <v>0</v>
      </c>
      <c r="U897">
        <v>0</v>
      </c>
      <c r="V897">
        <v>0</v>
      </c>
      <c r="W897" t="s">
        <v>1101</v>
      </c>
      <c r="AA897">
        <v>2007</v>
      </c>
      <c r="AB897">
        <v>9999</v>
      </c>
      <c r="AC897" t="s">
        <v>35</v>
      </c>
    </row>
    <row r="898" spans="1:29" x14ac:dyDescent="0.25">
      <c r="A898" s="31" t="s">
        <v>391</v>
      </c>
      <c r="B898" s="23" t="s">
        <v>392</v>
      </c>
      <c r="D898">
        <v>1</v>
      </c>
      <c r="E898" t="s">
        <v>393</v>
      </c>
      <c r="F898">
        <v>3</v>
      </c>
      <c r="G898">
        <v>2023</v>
      </c>
      <c r="I898">
        <v>13447.22</v>
      </c>
      <c r="J898" t="s">
        <v>121</v>
      </c>
      <c r="K898" t="s">
        <v>47</v>
      </c>
      <c r="O898">
        <v>0</v>
      </c>
      <c r="P898">
        <v>0</v>
      </c>
      <c r="Q898">
        <v>0</v>
      </c>
      <c r="R898">
        <v>0</v>
      </c>
      <c r="S898">
        <v>1</v>
      </c>
      <c r="T898">
        <v>1</v>
      </c>
      <c r="U898">
        <v>1</v>
      </c>
      <c r="V898">
        <v>0</v>
      </c>
      <c r="W898" t="s">
        <v>1102</v>
      </c>
      <c r="AA898">
        <v>2007</v>
      </c>
      <c r="AB898">
        <v>9999</v>
      </c>
      <c r="AC898" t="s">
        <v>35</v>
      </c>
    </row>
    <row r="899" spans="1:29" x14ac:dyDescent="0.25">
      <c r="A899" s="31" t="s">
        <v>401</v>
      </c>
      <c r="B899" s="23" t="s">
        <v>402</v>
      </c>
      <c r="D899">
        <v>1</v>
      </c>
      <c r="E899" t="s">
        <v>155</v>
      </c>
      <c r="F899">
        <v>3</v>
      </c>
      <c r="G899">
        <v>2023</v>
      </c>
      <c r="I899" s="8">
        <v>2039.29</v>
      </c>
      <c r="J899" t="s">
        <v>52</v>
      </c>
      <c r="K899" t="s">
        <v>47</v>
      </c>
      <c r="O899">
        <v>0</v>
      </c>
      <c r="P899">
        <v>0</v>
      </c>
      <c r="Q899">
        <v>0</v>
      </c>
      <c r="R899">
        <v>0</v>
      </c>
      <c r="S899">
        <v>1</v>
      </c>
      <c r="T899">
        <v>1</v>
      </c>
      <c r="U899">
        <v>1</v>
      </c>
      <c r="V899">
        <v>0</v>
      </c>
      <c r="W899" t="s">
        <v>1525</v>
      </c>
      <c r="AA899">
        <v>2007</v>
      </c>
      <c r="AB899">
        <v>9999</v>
      </c>
      <c r="AC899" t="s">
        <v>35</v>
      </c>
    </row>
    <row r="900" spans="1:29" x14ac:dyDescent="0.25">
      <c r="A900" s="31" t="s">
        <v>404</v>
      </c>
      <c r="B900" s="23" t="s">
        <v>405</v>
      </c>
      <c r="C900" t="s">
        <v>406</v>
      </c>
      <c r="D900">
        <v>1</v>
      </c>
      <c r="E900" t="s">
        <v>358</v>
      </c>
      <c r="F900">
        <v>1</v>
      </c>
      <c r="G900">
        <v>2023</v>
      </c>
      <c r="I900" s="8">
        <v>323.32</v>
      </c>
      <c r="J900" t="s">
        <v>104</v>
      </c>
      <c r="K900" t="s">
        <v>47</v>
      </c>
      <c r="O900">
        <v>0</v>
      </c>
      <c r="P900">
        <v>0</v>
      </c>
      <c r="Q900">
        <v>0</v>
      </c>
      <c r="R900">
        <v>0</v>
      </c>
      <c r="S900">
        <v>1</v>
      </c>
      <c r="T900">
        <v>1</v>
      </c>
      <c r="U900">
        <v>1</v>
      </c>
      <c r="V900">
        <v>0</v>
      </c>
      <c r="W900" t="s">
        <v>1245</v>
      </c>
      <c r="AA900">
        <v>2007</v>
      </c>
      <c r="AB900">
        <v>9999</v>
      </c>
      <c r="AC900" t="s">
        <v>35</v>
      </c>
    </row>
    <row r="901" spans="1:29" x14ac:dyDescent="0.25">
      <c r="A901" s="31" t="s">
        <v>408</v>
      </c>
      <c r="B901" s="23" t="s">
        <v>409</v>
      </c>
      <c r="D901">
        <v>1</v>
      </c>
      <c r="E901" t="s">
        <v>103</v>
      </c>
      <c r="F901">
        <v>9</v>
      </c>
      <c r="G901">
        <v>2023</v>
      </c>
      <c r="I901" s="8">
        <v>56.35</v>
      </c>
      <c r="J901" t="s">
        <v>104</v>
      </c>
      <c r="K901" t="s">
        <v>53</v>
      </c>
      <c r="L901" t="s">
        <v>105</v>
      </c>
      <c r="O901">
        <v>0</v>
      </c>
      <c r="P901">
        <v>1</v>
      </c>
      <c r="Q901">
        <v>0</v>
      </c>
      <c r="R901">
        <v>0</v>
      </c>
      <c r="S901">
        <v>1</v>
      </c>
      <c r="T901">
        <v>1</v>
      </c>
      <c r="U901">
        <v>1</v>
      </c>
      <c r="V901">
        <v>0</v>
      </c>
      <c r="W901" t="s">
        <v>106</v>
      </c>
      <c r="AA901">
        <v>2007</v>
      </c>
      <c r="AB901">
        <v>9999</v>
      </c>
      <c r="AC901" t="s">
        <v>35</v>
      </c>
    </row>
    <row r="902" spans="1:29" x14ac:dyDescent="0.25">
      <c r="A902" s="31" t="s">
        <v>410</v>
      </c>
      <c r="B902" s="23" t="s">
        <v>411</v>
      </c>
      <c r="C902" t="s">
        <v>412</v>
      </c>
      <c r="D902">
        <v>1</v>
      </c>
      <c r="E902" t="s">
        <v>103</v>
      </c>
      <c r="F902">
        <v>9</v>
      </c>
      <c r="G902">
        <v>2023</v>
      </c>
      <c r="I902" s="8">
        <v>156.32</v>
      </c>
      <c r="J902" t="s">
        <v>104</v>
      </c>
      <c r="K902" t="s">
        <v>53</v>
      </c>
      <c r="L902" t="s">
        <v>105</v>
      </c>
      <c r="O902">
        <v>0</v>
      </c>
      <c r="P902">
        <v>1</v>
      </c>
      <c r="Q902">
        <v>0</v>
      </c>
      <c r="R902">
        <v>0</v>
      </c>
      <c r="S902">
        <v>1</v>
      </c>
      <c r="T902">
        <v>1</v>
      </c>
      <c r="U902">
        <v>1</v>
      </c>
      <c r="V902">
        <v>0</v>
      </c>
      <c r="W902" t="s">
        <v>106</v>
      </c>
      <c r="AA902">
        <v>2007</v>
      </c>
      <c r="AB902">
        <v>9999</v>
      </c>
      <c r="AC902" t="s">
        <v>35</v>
      </c>
    </row>
    <row r="903" spans="1:29" x14ac:dyDescent="0.25">
      <c r="A903" s="31" t="s">
        <v>413</v>
      </c>
      <c r="B903" s="23" t="s">
        <v>414</v>
      </c>
      <c r="C903" t="s">
        <v>415</v>
      </c>
      <c r="D903">
        <v>1</v>
      </c>
      <c r="E903" t="s">
        <v>103</v>
      </c>
      <c r="F903">
        <v>9</v>
      </c>
      <c r="G903">
        <v>2023</v>
      </c>
      <c r="I903" s="8">
        <v>3983.42</v>
      </c>
      <c r="J903" t="s">
        <v>104</v>
      </c>
      <c r="K903" t="s">
        <v>53</v>
      </c>
      <c r="L903" t="s">
        <v>105</v>
      </c>
      <c r="O903">
        <v>0</v>
      </c>
      <c r="P903">
        <v>1</v>
      </c>
      <c r="Q903">
        <v>0</v>
      </c>
      <c r="R903">
        <v>0</v>
      </c>
      <c r="S903">
        <v>1</v>
      </c>
      <c r="T903">
        <v>1</v>
      </c>
      <c r="U903">
        <v>1</v>
      </c>
      <c r="V903">
        <v>0</v>
      </c>
      <c r="W903" t="s">
        <v>106</v>
      </c>
      <c r="AA903">
        <v>2007</v>
      </c>
      <c r="AB903">
        <v>9999</v>
      </c>
      <c r="AC903" t="s">
        <v>35</v>
      </c>
    </row>
    <row r="904" spans="1:29" x14ac:dyDescent="0.25">
      <c r="A904" s="31" t="s">
        <v>416</v>
      </c>
      <c r="B904" s="23" t="s">
        <v>417</v>
      </c>
      <c r="C904" t="s">
        <v>418</v>
      </c>
      <c r="D904">
        <v>1</v>
      </c>
      <c r="E904" t="s">
        <v>218</v>
      </c>
      <c r="F904">
        <v>2</v>
      </c>
      <c r="G904">
        <v>2023</v>
      </c>
      <c r="I904" s="49">
        <v>837.71</v>
      </c>
      <c r="J904" t="s">
        <v>147</v>
      </c>
      <c r="K904" t="s">
        <v>47</v>
      </c>
      <c r="O904">
        <v>0</v>
      </c>
      <c r="P904">
        <v>0</v>
      </c>
      <c r="Q904">
        <v>0</v>
      </c>
      <c r="R904">
        <v>0</v>
      </c>
      <c r="S904">
        <v>1</v>
      </c>
      <c r="T904">
        <v>1</v>
      </c>
      <c r="U904">
        <v>1</v>
      </c>
      <c r="V904">
        <v>0</v>
      </c>
      <c r="W904" t="s">
        <v>1574</v>
      </c>
      <c r="AA904">
        <v>2007</v>
      </c>
      <c r="AB904">
        <v>9999</v>
      </c>
      <c r="AC904" t="s">
        <v>35</v>
      </c>
    </row>
    <row r="905" spans="1:29" x14ac:dyDescent="0.25">
      <c r="A905" s="31" t="s">
        <v>420</v>
      </c>
      <c r="B905" s="23" t="s">
        <v>421</v>
      </c>
      <c r="D905">
        <v>1</v>
      </c>
      <c r="E905" t="s">
        <v>38</v>
      </c>
      <c r="F905">
        <v>4</v>
      </c>
      <c r="G905">
        <v>2023</v>
      </c>
      <c r="H905" t="s">
        <v>39</v>
      </c>
      <c r="I905" s="11">
        <v>6.2</v>
      </c>
      <c r="J905" t="s">
        <v>1610</v>
      </c>
      <c r="K905" t="s">
        <v>32</v>
      </c>
      <c r="O905">
        <v>0</v>
      </c>
      <c r="P905">
        <v>0</v>
      </c>
      <c r="Q905">
        <v>0</v>
      </c>
      <c r="R905">
        <v>0</v>
      </c>
      <c r="S905">
        <v>0</v>
      </c>
      <c r="T905">
        <v>1</v>
      </c>
      <c r="U905">
        <v>0</v>
      </c>
      <c r="V905">
        <v>0</v>
      </c>
      <c r="W905" t="s">
        <v>1108</v>
      </c>
      <c r="AA905">
        <v>2007</v>
      </c>
      <c r="AB905">
        <v>9999</v>
      </c>
      <c r="AC905" t="s">
        <v>35</v>
      </c>
    </row>
    <row r="906" spans="1:29" x14ac:dyDescent="0.25">
      <c r="A906" s="31" t="s">
        <v>423</v>
      </c>
      <c r="B906" s="23" t="s">
        <v>424</v>
      </c>
      <c r="D906">
        <v>1</v>
      </c>
      <c r="E906" t="s">
        <v>85</v>
      </c>
      <c r="F906">
        <v>1</v>
      </c>
      <c r="G906">
        <v>2023</v>
      </c>
      <c r="H906" t="s">
        <v>303</v>
      </c>
      <c r="I906" s="15">
        <v>7</v>
      </c>
      <c r="J906" t="s">
        <v>121</v>
      </c>
      <c r="K906" t="s">
        <v>53</v>
      </c>
      <c r="L906" t="s">
        <v>425</v>
      </c>
      <c r="O906">
        <v>0</v>
      </c>
      <c r="P906">
        <v>0</v>
      </c>
      <c r="Q906">
        <v>0</v>
      </c>
      <c r="R906">
        <v>0</v>
      </c>
      <c r="S906">
        <v>0</v>
      </c>
      <c r="T906">
        <v>0</v>
      </c>
      <c r="U906">
        <v>0</v>
      </c>
      <c r="V906">
        <v>0</v>
      </c>
      <c r="W906" t="s">
        <v>426</v>
      </c>
      <c r="AA906">
        <v>2007</v>
      </c>
      <c r="AB906">
        <v>9999</v>
      </c>
      <c r="AC906" t="s">
        <v>35</v>
      </c>
    </row>
    <row r="907" spans="1:29" x14ac:dyDescent="0.25">
      <c r="A907" s="31" t="s">
        <v>427</v>
      </c>
      <c r="B907" s="23" t="s">
        <v>1246</v>
      </c>
      <c r="D907">
        <v>1</v>
      </c>
      <c r="E907" t="s">
        <v>45</v>
      </c>
      <c r="F907">
        <v>4</v>
      </c>
      <c r="G907">
        <v>2023</v>
      </c>
      <c r="I907" s="8">
        <v>1946.7</v>
      </c>
      <c r="J907" t="s">
        <v>1608</v>
      </c>
      <c r="K907" t="s">
        <v>32</v>
      </c>
      <c r="O907">
        <v>0</v>
      </c>
      <c r="P907">
        <v>0</v>
      </c>
      <c r="Q907">
        <v>0</v>
      </c>
      <c r="R907">
        <v>0</v>
      </c>
      <c r="S907">
        <v>1</v>
      </c>
      <c r="T907">
        <v>1</v>
      </c>
      <c r="U907">
        <v>1</v>
      </c>
      <c r="V907">
        <v>0</v>
      </c>
      <c r="W907" t="s">
        <v>1301</v>
      </c>
      <c r="AA907">
        <v>2007</v>
      </c>
      <c r="AB907">
        <v>9999</v>
      </c>
      <c r="AC907" t="s">
        <v>35</v>
      </c>
    </row>
    <row r="908" spans="1:29" x14ac:dyDescent="0.25">
      <c r="A908" s="31" t="s">
        <v>430</v>
      </c>
      <c r="B908" s="23" t="s">
        <v>431</v>
      </c>
      <c r="D908">
        <v>1</v>
      </c>
      <c r="E908" t="s">
        <v>103</v>
      </c>
      <c r="F908">
        <v>9</v>
      </c>
      <c r="G908">
        <v>2023</v>
      </c>
      <c r="I908" s="8">
        <v>3569.39</v>
      </c>
      <c r="J908" t="s">
        <v>104</v>
      </c>
      <c r="K908" t="s">
        <v>53</v>
      </c>
      <c r="L908" t="s">
        <v>105</v>
      </c>
      <c r="O908">
        <v>0</v>
      </c>
      <c r="P908">
        <v>1</v>
      </c>
      <c r="Q908">
        <v>0</v>
      </c>
      <c r="R908">
        <v>0</v>
      </c>
      <c r="S908">
        <v>1</v>
      </c>
      <c r="T908">
        <v>1</v>
      </c>
      <c r="U908">
        <v>1</v>
      </c>
      <c r="V908">
        <v>0</v>
      </c>
      <c r="W908" t="s">
        <v>106</v>
      </c>
      <c r="AA908">
        <v>2007</v>
      </c>
      <c r="AB908">
        <v>9999</v>
      </c>
      <c r="AC908" t="s">
        <v>35</v>
      </c>
    </row>
    <row r="909" spans="1:29" x14ac:dyDescent="0.25">
      <c r="A909" s="31" t="s">
        <v>1302</v>
      </c>
      <c r="B909" s="23" t="s">
        <v>1303</v>
      </c>
      <c r="D909">
        <v>1</v>
      </c>
      <c r="E909" t="s">
        <v>103</v>
      </c>
      <c r="F909">
        <v>9</v>
      </c>
      <c r="G909">
        <v>2023</v>
      </c>
      <c r="I909" s="8">
        <v>1807.69</v>
      </c>
      <c r="J909" t="s">
        <v>104</v>
      </c>
      <c r="K909" t="s">
        <v>53</v>
      </c>
      <c r="L909" t="s">
        <v>105</v>
      </c>
      <c r="O909">
        <v>0</v>
      </c>
      <c r="P909">
        <v>1</v>
      </c>
      <c r="Q909">
        <v>0</v>
      </c>
      <c r="R909">
        <v>0</v>
      </c>
      <c r="S909">
        <v>1</v>
      </c>
      <c r="T909">
        <v>1</v>
      </c>
      <c r="U909">
        <v>1</v>
      </c>
      <c r="V909">
        <v>0</v>
      </c>
      <c r="W909" t="s">
        <v>106</v>
      </c>
      <c r="AA909">
        <v>2010</v>
      </c>
      <c r="AB909">
        <v>9999</v>
      </c>
      <c r="AC909" t="s">
        <v>1292</v>
      </c>
    </row>
    <row r="910" spans="1:29" x14ac:dyDescent="0.25">
      <c r="A910" s="31" t="s">
        <v>439</v>
      </c>
      <c r="B910" s="23" t="s">
        <v>440</v>
      </c>
      <c r="C910" t="s">
        <v>441</v>
      </c>
      <c r="D910">
        <v>1</v>
      </c>
      <c r="E910" t="s">
        <v>442</v>
      </c>
      <c r="F910">
        <v>4</v>
      </c>
      <c r="G910">
        <v>2023</v>
      </c>
      <c r="I910" s="8">
        <v>613.95000000000005</v>
      </c>
      <c r="J910" t="s">
        <v>1608</v>
      </c>
      <c r="K910" t="s">
        <v>47</v>
      </c>
      <c r="O910">
        <v>0</v>
      </c>
      <c r="P910">
        <v>0</v>
      </c>
      <c r="Q910">
        <v>0</v>
      </c>
      <c r="R910">
        <v>0</v>
      </c>
      <c r="S910">
        <v>1</v>
      </c>
      <c r="T910">
        <v>1</v>
      </c>
      <c r="U910">
        <v>1</v>
      </c>
      <c r="V910">
        <v>0</v>
      </c>
      <c r="W910" t="s">
        <v>1304</v>
      </c>
      <c r="AA910">
        <v>2007</v>
      </c>
      <c r="AB910">
        <v>9999</v>
      </c>
      <c r="AC910" t="s">
        <v>35</v>
      </c>
    </row>
    <row r="911" spans="1:29" ht="30" x14ac:dyDescent="0.25">
      <c r="B911" s="23" t="s">
        <v>444</v>
      </c>
      <c r="C911" t="s">
        <v>1611</v>
      </c>
      <c r="D911">
        <v>3</v>
      </c>
      <c r="E911" t="s">
        <v>38</v>
      </c>
      <c r="F911">
        <v>4</v>
      </c>
      <c r="G911">
        <v>2023</v>
      </c>
      <c r="I911">
        <v>0.5</v>
      </c>
      <c r="J911" t="s">
        <v>1610</v>
      </c>
      <c r="K911" t="s">
        <v>41</v>
      </c>
      <c r="O911">
        <v>0</v>
      </c>
      <c r="P911">
        <v>0</v>
      </c>
      <c r="Q911">
        <v>0</v>
      </c>
      <c r="R911">
        <v>0</v>
      </c>
      <c r="S911">
        <v>0</v>
      </c>
      <c r="T911">
        <v>0</v>
      </c>
      <c r="U911">
        <v>0</v>
      </c>
      <c r="V911">
        <v>0</v>
      </c>
      <c r="W911" t="s">
        <v>1114</v>
      </c>
      <c r="AA911">
        <v>2007</v>
      </c>
      <c r="AB911">
        <v>9999</v>
      </c>
      <c r="AC911" t="s">
        <v>35</v>
      </c>
    </row>
    <row r="912" spans="1:29" ht="30" x14ac:dyDescent="0.25">
      <c r="B912" s="23" t="s">
        <v>1612</v>
      </c>
      <c r="D912">
        <v>1</v>
      </c>
      <c r="E912" s="5" t="s">
        <v>145</v>
      </c>
      <c r="F912">
        <v>2</v>
      </c>
      <c r="G912">
        <v>2023</v>
      </c>
      <c r="I912">
        <v>0</v>
      </c>
      <c r="J912" t="s">
        <v>147</v>
      </c>
      <c r="K912" t="s">
        <v>41</v>
      </c>
      <c r="O912">
        <v>0</v>
      </c>
      <c r="P912">
        <v>0</v>
      </c>
      <c r="Q912">
        <v>0</v>
      </c>
      <c r="R912">
        <v>0</v>
      </c>
      <c r="S912">
        <v>0</v>
      </c>
      <c r="T912">
        <v>0</v>
      </c>
      <c r="U912">
        <v>0</v>
      </c>
      <c r="V912">
        <v>0</v>
      </c>
      <c r="W912" t="s">
        <v>1613</v>
      </c>
      <c r="AA912">
        <v>2007</v>
      </c>
      <c r="AB912">
        <v>9999</v>
      </c>
      <c r="AC912" t="s">
        <v>35</v>
      </c>
    </row>
    <row r="913" spans="1:29" x14ac:dyDescent="0.25">
      <c r="A913" s="31" t="s">
        <v>453</v>
      </c>
      <c r="B913" s="23" t="s">
        <v>454</v>
      </c>
      <c r="C913" t="s">
        <v>455</v>
      </c>
      <c r="D913">
        <v>1</v>
      </c>
      <c r="E913" t="s">
        <v>456</v>
      </c>
      <c r="F913">
        <v>4</v>
      </c>
      <c r="G913">
        <v>2023</v>
      </c>
      <c r="I913" s="8">
        <v>1116.02</v>
      </c>
      <c r="J913" t="s">
        <v>1608</v>
      </c>
      <c r="K913" t="s">
        <v>32</v>
      </c>
      <c r="L913" t="s">
        <v>33</v>
      </c>
      <c r="O913">
        <v>0</v>
      </c>
      <c r="P913">
        <v>0</v>
      </c>
      <c r="Q913">
        <v>0</v>
      </c>
      <c r="R913">
        <v>1</v>
      </c>
      <c r="S913">
        <v>1</v>
      </c>
      <c r="T913">
        <v>1</v>
      </c>
      <c r="U913">
        <v>1</v>
      </c>
      <c r="V913">
        <v>0</v>
      </c>
      <c r="W913" t="s">
        <v>1360</v>
      </c>
      <c r="AA913">
        <v>2007</v>
      </c>
      <c r="AB913">
        <v>9999</v>
      </c>
      <c r="AC913" t="s">
        <v>35</v>
      </c>
    </row>
    <row r="914" spans="1:29" x14ac:dyDescent="0.25">
      <c r="A914" s="31" t="s">
        <v>458</v>
      </c>
      <c r="B914" s="23" t="s">
        <v>459</v>
      </c>
      <c r="D914">
        <v>1</v>
      </c>
      <c r="E914" t="s">
        <v>103</v>
      </c>
      <c r="F914">
        <v>9</v>
      </c>
      <c r="G914">
        <v>2023</v>
      </c>
      <c r="I914" s="8">
        <v>1536.97</v>
      </c>
      <c r="J914" t="s">
        <v>104</v>
      </c>
      <c r="K914" t="s">
        <v>53</v>
      </c>
      <c r="L914" t="s">
        <v>105</v>
      </c>
      <c r="O914">
        <v>0</v>
      </c>
      <c r="P914">
        <v>1</v>
      </c>
      <c r="Q914">
        <v>0</v>
      </c>
      <c r="R914">
        <v>0</v>
      </c>
      <c r="S914">
        <v>1</v>
      </c>
      <c r="T914">
        <v>1</v>
      </c>
      <c r="U914">
        <v>1</v>
      </c>
      <c r="V914">
        <v>0</v>
      </c>
      <c r="W914" t="s">
        <v>106</v>
      </c>
      <c r="AA914">
        <v>2007</v>
      </c>
      <c r="AB914">
        <v>9999</v>
      </c>
      <c r="AC914" t="s">
        <v>35</v>
      </c>
    </row>
    <row r="915" spans="1:29" x14ac:dyDescent="0.25">
      <c r="A915" s="31" t="s">
        <v>460</v>
      </c>
      <c r="B915" s="23" t="s">
        <v>461</v>
      </c>
      <c r="D915">
        <v>1</v>
      </c>
      <c r="E915" t="s">
        <v>103</v>
      </c>
      <c r="F915">
        <v>9</v>
      </c>
      <c r="G915">
        <v>2023</v>
      </c>
      <c r="I915" s="8">
        <v>7490.46</v>
      </c>
      <c r="J915" t="s">
        <v>104</v>
      </c>
      <c r="K915" t="s">
        <v>53</v>
      </c>
      <c r="L915" t="s">
        <v>105</v>
      </c>
      <c r="O915">
        <v>0</v>
      </c>
      <c r="P915">
        <v>1</v>
      </c>
      <c r="Q915">
        <v>0</v>
      </c>
      <c r="R915">
        <v>0</v>
      </c>
      <c r="S915">
        <v>1</v>
      </c>
      <c r="T915">
        <v>1</v>
      </c>
      <c r="U915">
        <v>1</v>
      </c>
      <c r="V915">
        <v>0</v>
      </c>
      <c r="W915" t="s">
        <v>106</v>
      </c>
      <c r="AA915">
        <v>2007</v>
      </c>
      <c r="AB915">
        <v>9999</v>
      </c>
      <c r="AC915" t="s">
        <v>35</v>
      </c>
    </row>
    <row r="916" spans="1:29" x14ac:dyDescent="0.25">
      <c r="A916" s="31" t="s">
        <v>465</v>
      </c>
      <c r="B916" s="23" t="s">
        <v>466</v>
      </c>
      <c r="C916" t="s">
        <v>467</v>
      </c>
      <c r="D916">
        <v>1</v>
      </c>
      <c r="E916" t="s">
        <v>468</v>
      </c>
      <c r="F916">
        <v>7</v>
      </c>
      <c r="G916">
        <v>2023</v>
      </c>
      <c r="I916" s="8">
        <v>901.72</v>
      </c>
      <c r="J916" t="s">
        <v>40</v>
      </c>
      <c r="K916" t="s">
        <v>32</v>
      </c>
      <c r="O916">
        <v>0</v>
      </c>
      <c r="P916">
        <v>0</v>
      </c>
      <c r="Q916">
        <v>0</v>
      </c>
      <c r="R916">
        <v>0</v>
      </c>
      <c r="S916">
        <v>1</v>
      </c>
      <c r="T916">
        <v>1</v>
      </c>
      <c r="U916">
        <v>1</v>
      </c>
      <c r="V916">
        <v>0</v>
      </c>
      <c r="W916" s="5" t="s">
        <v>1583</v>
      </c>
      <c r="AA916">
        <v>2007</v>
      </c>
      <c r="AB916">
        <v>9999</v>
      </c>
      <c r="AC916" t="s">
        <v>35</v>
      </c>
    </row>
    <row r="917" spans="1:29" x14ac:dyDescent="0.25">
      <c r="A917" s="31" t="s">
        <v>478</v>
      </c>
      <c r="B917" s="23" t="s">
        <v>479</v>
      </c>
      <c r="D917">
        <v>1</v>
      </c>
      <c r="E917" t="s">
        <v>348</v>
      </c>
      <c r="F917">
        <v>1</v>
      </c>
      <c r="G917">
        <v>2023</v>
      </c>
      <c r="I917" s="8">
        <v>147.88</v>
      </c>
      <c r="J917" t="s">
        <v>52</v>
      </c>
      <c r="K917" t="s">
        <v>47</v>
      </c>
      <c r="O917">
        <v>0</v>
      </c>
      <c r="P917">
        <v>0</v>
      </c>
      <c r="Q917">
        <v>0</v>
      </c>
      <c r="R917">
        <v>0</v>
      </c>
      <c r="S917">
        <v>1</v>
      </c>
      <c r="T917">
        <v>1</v>
      </c>
      <c r="U917">
        <v>1</v>
      </c>
      <c r="V917">
        <v>0</v>
      </c>
      <c r="W917" t="s">
        <v>1548</v>
      </c>
      <c r="AA917">
        <v>2007</v>
      </c>
      <c r="AB917">
        <v>9999</v>
      </c>
      <c r="AC917" t="s">
        <v>35</v>
      </c>
    </row>
    <row r="918" spans="1:29" x14ac:dyDescent="0.25">
      <c r="A918" s="31" t="s">
        <v>481</v>
      </c>
      <c r="B918" s="23" t="s">
        <v>482</v>
      </c>
      <c r="D918">
        <v>1</v>
      </c>
      <c r="E918" t="s">
        <v>348</v>
      </c>
      <c r="F918">
        <v>1</v>
      </c>
      <c r="G918">
        <v>2023</v>
      </c>
      <c r="I918" s="8">
        <v>264.26</v>
      </c>
      <c r="J918" t="s">
        <v>52</v>
      </c>
      <c r="K918" t="s">
        <v>47</v>
      </c>
      <c r="O918">
        <v>0</v>
      </c>
      <c r="P918">
        <v>0</v>
      </c>
      <c r="Q918">
        <v>0</v>
      </c>
      <c r="R918">
        <v>0</v>
      </c>
      <c r="S918">
        <v>1</v>
      </c>
      <c r="T918">
        <v>1</v>
      </c>
      <c r="U918">
        <v>1</v>
      </c>
      <c r="V918">
        <v>0</v>
      </c>
      <c r="W918" t="s">
        <v>1548</v>
      </c>
      <c r="AA918">
        <v>2007</v>
      </c>
      <c r="AB918">
        <v>9999</v>
      </c>
      <c r="AC918" t="s">
        <v>35</v>
      </c>
    </row>
    <row r="919" spans="1:29" x14ac:dyDescent="0.25">
      <c r="A919" s="31" t="s">
        <v>483</v>
      </c>
      <c r="B919" s="23" t="s">
        <v>484</v>
      </c>
      <c r="D919">
        <v>1</v>
      </c>
      <c r="E919" t="s">
        <v>348</v>
      </c>
      <c r="F919">
        <v>1</v>
      </c>
      <c r="G919">
        <v>2023</v>
      </c>
      <c r="I919" s="8">
        <v>131.97</v>
      </c>
      <c r="J919" t="s">
        <v>52</v>
      </c>
      <c r="K919" t="s">
        <v>47</v>
      </c>
      <c r="O919">
        <v>0</v>
      </c>
      <c r="P919">
        <v>0</v>
      </c>
      <c r="Q919">
        <v>0</v>
      </c>
      <c r="R919">
        <v>0</v>
      </c>
      <c r="S919">
        <v>1</v>
      </c>
      <c r="T919">
        <v>1</v>
      </c>
      <c r="U919">
        <v>1</v>
      </c>
      <c r="V919">
        <v>0</v>
      </c>
      <c r="W919" t="s">
        <v>1548</v>
      </c>
      <c r="AA919">
        <v>2007</v>
      </c>
      <c r="AB919">
        <v>9999</v>
      </c>
      <c r="AC919" t="s">
        <v>35</v>
      </c>
    </row>
    <row r="920" spans="1:29" x14ac:dyDescent="0.25">
      <c r="A920" s="31" t="s">
        <v>485</v>
      </c>
      <c r="B920" s="23" t="s">
        <v>486</v>
      </c>
      <c r="D920">
        <v>1</v>
      </c>
      <c r="E920" t="s">
        <v>348</v>
      </c>
      <c r="F920">
        <v>1</v>
      </c>
      <c r="G920">
        <v>2023</v>
      </c>
      <c r="I920" s="8">
        <v>229.79</v>
      </c>
      <c r="J920" t="s">
        <v>52</v>
      </c>
      <c r="K920" t="s">
        <v>47</v>
      </c>
      <c r="O920">
        <v>0</v>
      </c>
      <c r="P920">
        <v>0</v>
      </c>
      <c r="Q920">
        <v>0</v>
      </c>
      <c r="R920">
        <v>0</v>
      </c>
      <c r="S920">
        <v>1</v>
      </c>
      <c r="T920">
        <v>1</v>
      </c>
      <c r="U920">
        <v>1</v>
      </c>
      <c r="V920">
        <v>0</v>
      </c>
      <c r="W920" t="s">
        <v>1548</v>
      </c>
      <c r="AA920">
        <v>2007</v>
      </c>
      <c r="AB920">
        <v>9999</v>
      </c>
      <c r="AC920" t="s">
        <v>35</v>
      </c>
    </row>
    <row r="921" spans="1:29" x14ac:dyDescent="0.25">
      <c r="A921" s="31" t="s">
        <v>487</v>
      </c>
      <c r="B921" s="23" t="s">
        <v>488</v>
      </c>
      <c r="D921">
        <v>1</v>
      </c>
      <c r="E921" t="s">
        <v>348</v>
      </c>
      <c r="F921">
        <v>1</v>
      </c>
      <c r="G921">
        <v>2023</v>
      </c>
      <c r="I921" s="8">
        <v>218.2</v>
      </c>
      <c r="J921" t="s">
        <v>52</v>
      </c>
      <c r="K921" t="s">
        <v>47</v>
      </c>
      <c r="O921">
        <v>0</v>
      </c>
      <c r="P921">
        <v>0</v>
      </c>
      <c r="Q921">
        <v>0</v>
      </c>
      <c r="R921">
        <v>0</v>
      </c>
      <c r="S921">
        <v>1</v>
      </c>
      <c r="T921">
        <v>1</v>
      </c>
      <c r="U921">
        <v>1</v>
      </c>
      <c r="V921">
        <v>0</v>
      </c>
      <c r="W921" t="s">
        <v>1548</v>
      </c>
      <c r="AA921">
        <v>2007</v>
      </c>
      <c r="AB921">
        <v>9999</v>
      </c>
      <c r="AC921" t="s">
        <v>35</v>
      </c>
    </row>
    <row r="922" spans="1:29" x14ac:dyDescent="0.25">
      <c r="A922" s="31" t="s">
        <v>489</v>
      </c>
      <c r="B922" s="23" t="s">
        <v>490</v>
      </c>
      <c r="D922">
        <v>1</v>
      </c>
      <c r="E922" t="s">
        <v>348</v>
      </c>
      <c r="F922">
        <v>1</v>
      </c>
      <c r="G922">
        <v>2023</v>
      </c>
      <c r="I922" s="8">
        <v>259.24</v>
      </c>
      <c r="J922" t="s">
        <v>52</v>
      </c>
      <c r="K922" t="s">
        <v>47</v>
      </c>
      <c r="O922">
        <v>0</v>
      </c>
      <c r="P922">
        <v>0</v>
      </c>
      <c r="Q922">
        <v>0</v>
      </c>
      <c r="R922">
        <v>0</v>
      </c>
      <c r="S922">
        <v>1</v>
      </c>
      <c r="T922">
        <v>1</v>
      </c>
      <c r="U922">
        <v>1</v>
      </c>
      <c r="V922">
        <v>0</v>
      </c>
      <c r="W922" t="s">
        <v>1548</v>
      </c>
      <c r="AA922">
        <v>2007</v>
      </c>
      <c r="AB922">
        <v>9999</v>
      </c>
      <c r="AC922" t="s">
        <v>35</v>
      </c>
    </row>
    <row r="923" spans="1:29" x14ac:dyDescent="0.25">
      <c r="A923" s="31" t="s">
        <v>491</v>
      </c>
      <c r="B923" s="23" t="s">
        <v>492</v>
      </c>
      <c r="D923">
        <v>1</v>
      </c>
      <c r="E923" t="s">
        <v>348</v>
      </c>
      <c r="F923">
        <v>1</v>
      </c>
      <c r="G923">
        <v>2023</v>
      </c>
      <c r="I923" s="8">
        <v>266.94</v>
      </c>
      <c r="J923" t="s">
        <v>52</v>
      </c>
      <c r="K923" t="s">
        <v>47</v>
      </c>
      <c r="O923">
        <v>0</v>
      </c>
      <c r="P923">
        <v>0</v>
      </c>
      <c r="Q923">
        <v>0</v>
      </c>
      <c r="R923">
        <v>0</v>
      </c>
      <c r="S923">
        <v>1</v>
      </c>
      <c r="T923">
        <v>1</v>
      </c>
      <c r="U923">
        <v>1</v>
      </c>
      <c r="V923">
        <v>0</v>
      </c>
      <c r="W923" t="s">
        <v>1548</v>
      </c>
      <c r="AA923">
        <v>2007</v>
      </c>
      <c r="AB923">
        <v>9999</v>
      </c>
      <c r="AC923" t="s">
        <v>35</v>
      </c>
    </row>
    <row r="924" spans="1:29" x14ac:dyDescent="0.25">
      <c r="A924" s="31" t="s">
        <v>493</v>
      </c>
      <c r="B924" s="23" t="s">
        <v>494</v>
      </c>
      <c r="D924">
        <v>1</v>
      </c>
      <c r="E924" t="s">
        <v>348</v>
      </c>
      <c r="F924">
        <v>1</v>
      </c>
      <c r="G924">
        <v>2023</v>
      </c>
      <c r="I924" s="8">
        <v>239.37</v>
      </c>
      <c r="J924" t="s">
        <v>52</v>
      </c>
      <c r="K924" t="s">
        <v>47</v>
      </c>
      <c r="O924">
        <v>0</v>
      </c>
      <c r="P924">
        <v>0</v>
      </c>
      <c r="Q924">
        <v>0</v>
      </c>
      <c r="R924">
        <v>0</v>
      </c>
      <c r="S924">
        <v>1</v>
      </c>
      <c r="T924">
        <v>1</v>
      </c>
      <c r="U924">
        <v>1</v>
      </c>
      <c r="V924">
        <v>0</v>
      </c>
      <c r="W924" t="s">
        <v>1548</v>
      </c>
      <c r="AA924">
        <v>2007</v>
      </c>
      <c r="AB924">
        <v>9999</v>
      </c>
      <c r="AC924" t="s">
        <v>35</v>
      </c>
    </row>
    <row r="925" spans="1:29" x14ac:dyDescent="0.25">
      <c r="A925" s="31" t="s">
        <v>495</v>
      </c>
      <c r="B925" s="23" t="s">
        <v>496</v>
      </c>
      <c r="D925">
        <v>1</v>
      </c>
      <c r="E925" t="s">
        <v>348</v>
      </c>
      <c r="F925">
        <v>1</v>
      </c>
      <c r="G925">
        <v>2023</v>
      </c>
      <c r="I925" s="8">
        <v>201.19</v>
      </c>
      <c r="J925" t="s">
        <v>52</v>
      </c>
      <c r="K925" t="s">
        <v>47</v>
      </c>
      <c r="O925">
        <v>0</v>
      </c>
      <c r="P925">
        <v>0</v>
      </c>
      <c r="Q925">
        <v>0</v>
      </c>
      <c r="R925">
        <v>0</v>
      </c>
      <c r="S925">
        <v>1</v>
      </c>
      <c r="T925">
        <v>1</v>
      </c>
      <c r="U925">
        <v>1</v>
      </c>
      <c r="V925">
        <v>0</v>
      </c>
      <c r="W925" t="s">
        <v>1548</v>
      </c>
      <c r="AA925">
        <v>2007</v>
      </c>
      <c r="AB925">
        <v>9999</v>
      </c>
      <c r="AC925" t="s">
        <v>35</v>
      </c>
    </row>
    <row r="926" spans="1:29" x14ac:dyDescent="0.25">
      <c r="A926" s="31" t="s">
        <v>497</v>
      </c>
      <c r="B926" s="23" t="s">
        <v>498</v>
      </c>
      <c r="D926">
        <v>1</v>
      </c>
      <c r="E926" t="s">
        <v>348</v>
      </c>
      <c r="F926">
        <v>1</v>
      </c>
      <c r="G926">
        <v>2023</v>
      </c>
      <c r="I926" s="8">
        <v>320.99</v>
      </c>
      <c r="J926" t="s">
        <v>52</v>
      </c>
      <c r="K926" t="s">
        <v>47</v>
      </c>
      <c r="O926">
        <v>0</v>
      </c>
      <c r="P926">
        <v>0</v>
      </c>
      <c r="Q926">
        <v>0</v>
      </c>
      <c r="R926">
        <v>0</v>
      </c>
      <c r="S926">
        <v>1</v>
      </c>
      <c r="T926">
        <v>1</v>
      </c>
      <c r="U926">
        <v>1</v>
      </c>
      <c r="V926">
        <v>0</v>
      </c>
      <c r="W926" t="s">
        <v>1548</v>
      </c>
      <c r="AA926">
        <v>2007</v>
      </c>
      <c r="AB926">
        <v>9999</v>
      </c>
      <c r="AC926" t="s">
        <v>35</v>
      </c>
    </row>
    <row r="927" spans="1:29" x14ac:dyDescent="0.25">
      <c r="A927" s="31" t="s">
        <v>499</v>
      </c>
      <c r="B927" s="23" t="s">
        <v>500</v>
      </c>
      <c r="D927">
        <v>1</v>
      </c>
      <c r="E927" t="s">
        <v>348</v>
      </c>
      <c r="F927">
        <v>1</v>
      </c>
      <c r="G927">
        <v>2023</v>
      </c>
      <c r="I927" s="8">
        <v>569.54</v>
      </c>
      <c r="J927" t="s">
        <v>52</v>
      </c>
      <c r="K927" t="s">
        <v>47</v>
      </c>
      <c r="O927">
        <v>0</v>
      </c>
      <c r="P927">
        <v>0</v>
      </c>
      <c r="Q927">
        <v>0</v>
      </c>
      <c r="R927">
        <v>0</v>
      </c>
      <c r="S927">
        <v>1</v>
      </c>
      <c r="T927">
        <v>1</v>
      </c>
      <c r="U927">
        <v>1</v>
      </c>
      <c r="V927">
        <v>0</v>
      </c>
      <c r="W927" t="s">
        <v>1548</v>
      </c>
      <c r="AA927">
        <v>2007</v>
      </c>
      <c r="AB927">
        <v>9999</v>
      </c>
      <c r="AC927" t="s">
        <v>35</v>
      </c>
    </row>
    <row r="928" spans="1:29" x14ac:dyDescent="0.25">
      <c r="A928" s="31" t="s">
        <v>501</v>
      </c>
      <c r="B928" s="23" t="s">
        <v>502</v>
      </c>
      <c r="D928">
        <v>1</v>
      </c>
      <c r="E928" t="s">
        <v>348</v>
      </c>
      <c r="F928">
        <v>1</v>
      </c>
      <c r="G928">
        <v>2023</v>
      </c>
      <c r="I928" s="8">
        <v>514.22</v>
      </c>
      <c r="J928" t="s">
        <v>52</v>
      </c>
      <c r="K928" t="s">
        <v>47</v>
      </c>
      <c r="O928">
        <v>0</v>
      </c>
      <c r="P928">
        <v>0</v>
      </c>
      <c r="Q928">
        <v>0</v>
      </c>
      <c r="R928">
        <v>0</v>
      </c>
      <c r="S928">
        <v>1</v>
      </c>
      <c r="T928">
        <v>1</v>
      </c>
      <c r="U928">
        <v>1</v>
      </c>
      <c r="V928">
        <v>0</v>
      </c>
      <c r="W928" t="s">
        <v>1548</v>
      </c>
      <c r="AA928">
        <v>2007</v>
      </c>
      <c r="AB928">
        <v>9999</v>
      </c>
      <c r="AC928" t="s">
        <v>35</v>
      </c>
    </row>
    <row r="929" spans="1:29" x14ac:dyDescent="0.25">
      <c r="A929" s="31" t="s">
        <v>503</v>
      </c>
      <c r="B929" s="23" t="s">
        <v>504</v>
      </c>
      <c r="D929">
        <v>1</v>
      </c>
      <c r="E929" t="s">
        <v>348</v>
      </c>
      <c r="F929">
        <v>1</v>
      </c>
      <c r="G929">
        <v>2023</v>
      </c>
      <c r="I929" s="8">
        <v>183.05</v>
      </c>
      <c r="J929" t="s">
        <v>52</v>
      </c>
      <c r="K929" t="s">
        <v>47</v>
      </c>
      <c r="O929">
        <v>0</v>
      </c>
      <c r="P929">
        <v>0</v>
      </c>
      <c r="Q929">
        <v>0</v>
      </c>
      <c r="R929">
        <v>0</v>
      </c>
      <c r="S929">
        <v>1</v>
      </c>
      <c r="T929">
        <v>1</v>
      </c>
      <c r="U929">
        <v>1</v>
      </c>
      <c r="V929">
        <v>0</v>
      </c>
      <c r="W929" t="s">
        <v>1548</v>
      </c>
      <c r="AA929">
        <v>2007</v>
      </c>
      <c r="AB929">
        <v>9999</v>
      </c>
      <c r="AC929" t="s">
        <v>35</v>
      </c>
    </row>
    <row r="930" spans="1:29" x14ac:dyDescent="0.25">
      <c r="A930" s="31" t="s">
        <v>505</v>
      </c>
      <c r="B930" s="23" t="s">
        <v>506</v>
      </c>
      <c r="D930">
        <v>1</v>
      </c>
      <c r="E930" t="s">
        <v>348</v>
      </c>
      <c r="F930">
        <v>1</v>
      </c>
      <c r="G930">
        <v>2023</v>
      </c>
      <c r="I930" s="8">
        <v>213.96</v>
      </c>
      <c r="J930" t="s">
        <v>52</v>
      </c>
      <c r="K930" t="s">
        <v>47</v>
      </c>
      <c r="O930">
        <v>0</v>
      </c>
      <c r="P930">
        <v>0</v>
      </c>
      <c r="Q930">
        <v>0</v>
      </c>
      <c r="R930">
        <v>0</v>
      </c>
      <c r="S930">
        <v>1</v>
      </c>
      <c r="T930">
        <v>1</v>
      </c>
      <c r="U930">
        <v>1</v>
      </c>
      <c r="V930">
        <v>0</v>
      </c>
      <c r="W930" t="s">
        <v>1548</v>
      </c>
      <c r="AA930">
        <v>2007</v>
      </c>
      <c r="AB930">
        <v>9999</v>
      </c>
      <c r="AC930" t="s">
        <v>35</v>
      </c>
    </row>
    <row r="931" spans="1:29" x14ac:dyDescent="0.25">
      <c r="A931" s="31" t="s">
        <v>507</v>
      </c>
      <c r="B931" s="23" t="s">
        <v>508</v>
      </c>
      <c r="D931">
        <v>1</v>
      </c>
      <c r="E931" t="s">
        <v>348</v>
      </c>
      <c r="F931">
        <v>1</v>
      </c>
      <c r="G931">
        <v>2023</v>
      </c>
      <c r="I931" s="8">
        <v>233.15</v>
      </c>
      <c r="J931" t="s">
        <v>52</v>
      </c>
      <c r="K931" t="s">
        <v>47</v>
      </c>
      <c r="O931">
        <v>0</v>
      </c>
      <c r="P931">
        <v>0</v>
      </c>
      <c r="Q931">
        <v>0</v>
      </c>
      <c r="R931">
        <v>0</v>
      </c>
      <c r="S931">
        <v>1</v>
      </c>
      <c r="T931">
        <v>1</v>
      </c>
      <c r="U931">
        <v>1</v>
      </c>
      <c r="V931">
        <v>0</v>
      </c>
      <c r="W931" t="s">
        <v>1548</v>
      </c>
      <c r="AA931">
        <v>2007</v>
      </c>
      <c r="AB931">
        <v>9999</v>
      </c>
      <c r="AC931" t="s">
        <v>35</v>
      </c>
    </row>
    <row r="932" spans="1:29" x14ac:dyDescent="0.25">
      <c r="A932" s="31" t="s">
        <v>509</v>
      </c>
      <c r="B932" s="23" t="s">
        <v>510</v>
      </c>
      <c r="D932">
        <v>1</v>
      </c>
      <c r="E932" t="s">
        <v>348</v>
      </c>
      <c r="F932">
        <v>1</v>
      </c>
      <c r="G932">
        <v>2023</v>
      </c>
      <c r="I932" s="8">
        <v>277.24</v>
      </c>
      <c r="J932" t="s">
        <v>52</v>
      </c>
      <c r="K932" t="s">
        <v>47</v>
      </c>
      <c r="O932">
        <v>0</v>
      </c>
      <c r="P932">
        <v>0</v>
      </c>
      <c r="Q932">
        <v>0</v>
      </c>
      <c r="R932">
        <v>0</v>
      </c>
      <c r="S932">
        <v>1</v>
      </c>
      <c r="T932">
        <v>1</v>
      </c>
      <c r="U932">
        <v>1</v>
      </c>
      <c r="V932">
        <v>0</v>
      </c>
      <c r="W932" t="s">
        <v>1548</v>
      </c>
      <c r="AA932">
        <v>2007</v>
      </c>
      <c r="AB932">
        <v>9999</v>
      </c>
      <c r="AC932" t="s">
        <v>35</v>
      </c>
    </row>
    <row r="933" spans="1:29" x14ac:dyDescent="0.25">
      <c r="A933" s="31" t="s">
        <v>511</v>
      </c>
      <c r="B933" s="23" t="s">
        <v>512</v>
      </c>
      <c r="D933">
        <v>1</v>
      </c>
      <c r="E933" t="s">
        <v>348</v>
      </c>
      <c r="F933">
        <v>1</v>
      </c>
      <c r="G933">
        <v>2023</v>
      </c>
      <c r="I933" s="8">
        <v>222.27</v>
      </c>
      <c r="J933" t="s">
        <v>52</v>
      </c>
      <c r="K933" t="s">
        <v>47</v>
      </c>
      <c r="O933">
        <v>0</v>
      </c>
      <c r="P933">
        <v>0</v>
      </c>
      <c r="Q933">
        <v>0</v>
      </c>
      <c r="R933">
        <v>0</v>
      </c>
      <c r="S933">
        <v>1</v>
      </c>
      <c r="T933">
        <v>1</v>
      </c>
      <c r="U933">
        <v>1</v>
      </c>
      <c r="V933">
        <v>0</v>
      </c>
      <c r="W933" t="s">
        <v>1548</v>
      </c>
      <c r="AA933">
        <v>2007</v>
      </c>
      <c r="AB933">
        <v>9999</v>
      </c>
      <c r="AC933" t="s">
        <v>35</v>
      </c>
    </row>
    <row r="934" spans="1:29" x14ac:dyDescent="0.25">
      <c r="A934" s="31" t="s">
        <v>513</v>
      </c>
      <c r="B934" s="23" t="s">
        <v>514</v>
      </c>
      <c r="D934">
        <v>1</v>
      </c>
      <c r="E934" t="s">
        <v>348</v>
      </c>
      <c r="F934">
        <v>1</v>
      </c>
      <c r="G934">
        <v>2023</v>
      </c>
      <c r="I934" s="8">
        <v>193.89</v>
      </c>
      <c r="J934" t="s">
        <v>52</v>
      </c>
      <c r="K934" t="s">
        <v>47</v>
      </c>
      <c r="O934">
        <v>0</v>
      </c>
      <c r="P934">
        <v>0</v>
      </c>
      <c r="Q934">
        <v>0</v>
      </c>
      <c r="R934">
        <v>0</v>
      </c>
      <c r="S934">
        <v>1</v>
      </c>
      <c r="T934">
        <v>1</v>
      </c>
      <c r="U934">
        <v>1</v>
      </c>
      <c r="V934">
        <v>0</v>
      </c>
      <c r="W934" t="s">
        <v>1548</v>
      </c>
      <c r="AA934">
        <v>2007</v>
      </c>
      <c r="AB934">
        <v>9999</v>
      </c>
      <c r="AC934" t="s">
        <v>35</v>
      </c>
    </row>
    <row r="935" spans="1:29" x14ac:dyDescent="0.25">
      <c r="A935" s="31" t="s">
        <v>515</v>
      </c>
      <c r="B935" s="23" t="s">
        <v>516</v>
      </c>
      <c r="D935">
        <v>1</v>
      </c>
      <c r="E935" t="s">
        <v>348</v>
      </c>
      <c r="F935">
        <v>1</v>
      </c>
      <c r="G935">
        <v>2023</v>
      </c>
      <c r="I935" s="8">
        <v>965.37</v>
      </c>
      <c r="J935" t="s">
        <v>52</v>
      </c>
      <c r="K935" t="s">
        <v>47</v>
      </c>
      <c r="O935">
        <v>0</v>
      </c>
      <c r="P935">
        <v>0</v>
      </c>
      <c r="Q935">
        <v>0</v>
      </c>
      <c r="R935">
        <v>0</v>
      </c>
      <c r="S935">
        <v>1</v>
      </c>
      <c r="T935">
        <v>1</v>
      </c>
      <c r="U935">
        <v>1</v>
      </c>
      <c r="V935">
        <v>0</v>
      </c>
      <c r="W935" t="s">
        <v>1548</v>
      </c>
      <c r="AA935">
        <v>2007</v>
      </c>
      <c r="AB935">
        <v>9999</v>
      </c>
      <c r="AC935" t="s">
        <v>35</v>
      </c>
    </row>
    <row r="936" spans="1:29" x14ac:dyDescent="0.25">
      <c r="A936" s="31" t="s">
        <v>517</v>
      </c>
      <c r="B936" s="23" t="s">
        <v>518</v>
      </c>
      <c r="D936">
        <v>1</v>
      </c>
      <c r="E936" t="s">
        <v>348</v>
      </c>
      <c r="F936">
        <v>1</v>
      </c>
      <c r="G936">
        <v>2023</v>
      </c>
      <c r="I936" s="8">
        <v>199.46</v>
      </c>
      <c r="J936" t="s">
        <v>52</v>
      </c>
      <c r="K936" t="s">
        <v>47</v>
      </c>
      <c r="O936">
        <v>0</v>
      </c>
      <c r="P936">
        <v>0</v>
      </c>
      <c r="Q936">
        <v>0</v>
      </c>
      <c r="R936">
        <v>0</v>
      </c>
      <c r="S936">
        <v>1</v>
      </c>
      <c r="T936">
        <v>1</v>
      </c>
      <c r="U936">
        <v>1</v>
      </c>
      <c r="V936">
        <v>0</v>
      </c>
      <c r="W936" t="s">
        <v>1548</v>
      </c>
      <c r="AA936">
        <v>2007</v>
      </c>
      <c r="AB936">
        <v>9999</v>
      </c>
      <c r="AC936" t="s">
        <v>35</v>
      </c>
    </row>
    <row r="937" spans="1:29" x14ac:dyDescent="0.25">
      <c r="A937" s="31" t="s">
        <v>519</v>
      </c>
      <c r="B937" s="23" t="s">
        <v>520</v>
      </c>
      <c r="D937">
        <v>1</v>
      </c>
      <c r="E937" t="s">
        <v>348</v>
      </c>
      <c r="F937">
        <v>1</v>
      </c>
      <c r="G937">
        <v>2023</v>
      </c>
      <c r="I937" s="8">
        <v>335.92</v>
      </c>
      <c r="J937" t="s">
        <v>52</v>
      </c>
      <c r="K937" t="s">
        <v>47</v>
      </c>
      <c r="O937">
        <v>0</v>
      </c>
      <c r="P937">
        <v>0</v>
      </c>
      <c r="Q937">
        <v>0</v>
      </c>
      <c r="R937">
        <v>0</v>
      </c>
      <c r="S937">
        <v>1</v>
      </c>
      <c r="T937">
        <v>1</v>
      </c>
      <c r="U937">
        <v>1</v>
      </c>
      <c r="V937">
        <v>0</v>
      </c>
      <c r="W937" t="s">
        <v>1548</v>
      </c>
      <c r="AA937">
        <v>2007</v>
      </c>
      <c r="AB937">
        <v>9999</v>
      </c>
      <c r="AC937" t="s">
        <v>35</v>
      </c>
    </row>
    <row r="938" spans="1:29" x14ac:dyDescent="0.25">
      <c r="A938" s="31" t="s">
        <v>523</v>
      </c>
      <c r="B938" s="23" t="s">
        <v>1549</v>
      </c>
      <c r="D938">
        <v>1</v>
      </c>
      <c r="E938" t="s">
        <v>103</v>
      </c>
      <c r="F938">
        <v>9</v>
      </c>
      <c r="G938">
        <v>2023</v>
      </c>
      <c r="I938" s="8">
        <v>1644</v>
      </c>
      <c r="J938" t="s">
        <v>104</v>
      </c>
      <c r="K938" t="s">
        <v>53</v>
      </c>
      <c r="L938" t="s">
        <v>105</v>
      </c>
      <c r="O938">
        <v>0</v>
      </c>
      <c r="P938">
        <v>1</v>
      </c>
      <c r="Q938">
        <v>0</v>
      </c>
      <c r="R938">
        <v>0</v>
      </c>
      <c r="S938">
        <v>1</v>
      </c>
      <c r="T938">
        <v>1</v>
      </c>
      <c r="U938">
        <v>1</v>
      </c>
      <c r="V938">
        <v>0</v>
      </c>
      <c r="W938" t="s">
        <v>106</v>
      </c>
      <c r="AA938">
        <v>2007</v>
      </c>
      <c r="AB938">
        <v>9999</v>
      </c>
      <c r="AC938" t="s">
        <v>35</v>
      </c>
    </row>
    <row r="939" spans="1:29" x14ac:dyDescent="0.25">
      <c r="A939" s="31" t="s">
        <v>529</v>
      </c>
      <c r="B939" s="23" t="s">
        <v>530</v>
      </c>
      <c r="D939">
        <v>1</v>
      </c>
      <c r="E939" t="s">
        <v>58</v>
      </c>
      <c r="F939">
        <v>4</v>
      </c>
      <c r="G939">
        <v>2023</v>
      </c>
      <c r="I939" s="8">
        <v>11</v>
      </c>
      <c r="J939" t="s">
        <v>59</v>
      </c>
      <c r="K939" t="s">
        <v>47</v>
      </c>
      <c r="O939">
        <v>0</v>
      </c>
      <c r="P939">
        <v>0</v>
      </c>
      <c r="Q939">
        <v>0</v>
      </c>
      <c r="R939">
        <v>0</v>
      </c>
      <c r="S939">
        <v>1</v>
      </c>
      <c r="T939">
        <v>1</v>
      </c>
      <c r="U939">
        <v>1</v>
      </c>
      <c r="V939">
        <v>0</v>
      </c>
      <c r="W939" t="s">
        <v>1121</v>
      </c>
      <c r="AA939">
        <v>2007</v>
      </c>
      <c r="AB939">
        <v>9999</v>
      </c>
      <c r="AC939" t="s">
        <v>35</v>
      </c>
    </row>
    <row r="940" spans="1:29" x14ac:dyDescent="0.25">
      <c r="A940" s="31" t="s">
        <v>532</v>
      </c>
      <c r="B940" s="23" t="s">
        <v>533</v>
      </c>
      <c r="D940">
        <v>1</v>
      </c>
      <c r="E940" t="s">
        <v>534</v>
      </c>
      <c r="F940">
        <v>10</v>
      </c>
      <c r="G940">
        <v>2023</v>
      </c>
      <c r="I940" s="8">
        <v>5114.99</v>
      </c>
      <c r="J940" t="s">
        <v>121</v>
      </c>
      <c r="K940" t="s">
        <v>47</v>
      </c>
      <c r="O940">
        <v>0</v>
      </c>
      <c r="P940">
        <v>0</v>
      </c>
      <c r="Q940">
        <v>0</v>
      </c>
      <c r="R940">
        <v>0</v>
      </c>
      <c r="S940">
        <v>1</v>
      </c>
      <c r="T940">
        <v>1</v>
      </c>
      <c r="U940">
        <v>1</v>
      </c>
      <c r="V940">
        <v>0</v>
      </c>
      <c r="W940" t="s">
        <v>1575</v>
      </c>
      <c r="AA940">
        <v>2007</v>
      </c>
      <c r="AB940">
        <v>9999</v>
      </c>
      <c r="AC940" t="s">
        <v>35</v>
      </c>
    </row>
    <row r="941" spans="1:29" x14ac:dyDescent="0.25">
      <c r="A941" s="31" t="s">
        <v>536</v>
      </c>
      <c r="B941" s="23" t="s">
        <v>537</v>
      </c>
      <c r="D941">
        <v>1</v>
      </c>
      <c r="E941" t="s">
        <v>103</v>
      </c>
      <c r="F941">
        <v>9</v>
      </c>
      <c r="G941">
        <v>2023</v>
      </c>
      <c r="I941" s="8">
        <v>960.02</v>
      </c>
      <c r="J941" t="s">
        <v>104</v>
      </c>
      <c r="K941" t="s">
        <v>53</v>
      </c>
      <c r="L941" t="s">
        <v>105</v>
      </c>
      <c r="O941">
        <v>0</v>
      </c>
      <c r="P941">
        <v>1</v>
      </c>
      <c r="Q941">
        <v>0</v>
      </c>
      <c r="R941">
        <v>0</v>
      </c>
      <c r="S941">
        <v>1</v>
      </c>
      <c r="T941">
        <v>1</v>
      </c>
      <c r="U941">
        <v>1</v>
      </c>
      <c r="V941">
        <v>0</v>
      </c>
      <c r="W941" t="s">
        <v>106</v>
      </c>
      <c r="AA941">
        <v>2007</v>
      </c>
      <c r="AB941">
        <v>9999</v>
      </c>
      <c r="AC941" t="s">
        <v>35</v>
      </c>
    </row>
    <row r="942" spans="1:29" x14ac:dyDescent="0.25">
      <c r="A942" s="31" t="s">
        <v>538</v>
      </c>
      <c r="B942" s="23" t="s">
        <v>539</v>
      </c>
      <c r="D942">
        <v>1</v>
      </c>
      <c r="E942" t="s">
        <v>80</v>
      </c>
      <c r="F942">
        <v>8</v>
      </c>
      <c r="G942">
        <v>2023</v>
      </c>
      <c r="I942" s="8">
        <v>125.41</v>
      </c>
      <c r="J942" t="s">
        <v>81</v>
      </c>
      <c r="K942" t="s">
        <v>47</v>
      </c>
      <c r="O942">
        <v>0</v>
      </c>
      <c r="P942">
        <v>0</v>
      </c>
      <c r="Q942">
        <v>0</v>
      </c>
      <c r="R942">
        <v>0</v>
      </c>
      <c r="S942">
        <v>1</v>
      </c>
      <c r="T942">
        <v>1</v>
      </c>
      <c r="U942">
        <v>1</v>
      </c>
      <c r="V942">
        <v>0</v>
      </c>
      <c r="W942" t="s">
        <v>1123</v>
      </c>
      <c r="AA942">
        <v>2007</v>
      </c>
      <c r="AB942">
        <v>9999</v>
      </c>
      <c r="AC942" t="s">
        <v>35</v>
      </c>
    </row>
    <row r="943" spans="1:29" x14ac:dyDescent="0.25">
      <c r="A943" s="31" t="s">
        <v>1561</v>
      </c>
      <c r="B943" s="23" t="s">
        <v>1562</v>
      </c>
      <c r="C943" t="s">
        <v>1563</v>
      </c>
      <c r="D943">
        <v>1</v>
      </c>
      <c r="F943">
        <v>4</v>
      </c>
      <c r="G943">
        <v>2023</v>
      </c>
      <c r="I943" s="8">
        <v>21.95</v>
      </c>
      <c r="J943" t="s">
        <v>59</v>
      </c>
      <c r="K943" t="s">
        <v>47</v>
      </c>
      <c r="O943">
        <v>0</v>
      </c>
      <c r="P943">
        <v>0</v>
      </c>
      <c r="Q943">
        <v>0</v>
      </c>
      <c r="R943">
        <v>0</v>
      </c>
      <c r="S943">
        <v>1</v>
      </c>
      <c r="T943">
        <v>1</v>
      </c>
      <c r="U943">
        <v>1</v>
      </c>
      <c r="V943">
        <v>0</v>
      </c>
      <c r="W943" t="s">
        <v>1564</v>
      </c>
      <c r="AA943">
        <v>2019</v>
      </c>
      <c r="AB943">
        <v>9999</v>
      </c>
      <c r="AC943" t="s">
        <v>1560</v>
      </c>
    </row>
    <row r="944" spans="1:29" x14ac:dyDescent="0.25">
      <c r="A944" s="31" t="s">
        <v>541</v>
      </c>
      <c r="B944" s="23" t="s">
        <v>1479</v>
      </c>
      <c r="D944">
        <v>1</v>
      </c>
      <c r="E944" t="s">
        <v>543</v>
      </c>
      <c r="F944">
        <v>10</v>
      </c>
      <c r="G944">
        <v>2023</v>
      </c>
      <c r="I944" s="8">
        <v>35.75</v>
      </c>
      <c r="J944" t="s">
        <v>40</v>
      </c>
      <c r="K944" t="s">
        <v>47</v>
      </c>
      <c r="O944">
        <v>0</v>
      </c>
      <c r="P944">
        <v>0</v>
      </c>
      <c r="Q944">
        <v>0</v>
      </c>
      <c r="R944">
        <v>0</v>
      </c>
      <c r="S944">
        <v>1</v>
      </c>
      <c r="T944">
        <v>1</v>
      </c>
      <c r="U944">
        <v>1</v>
      </c>
      <c r="V944">
        <v>0</v>
      </c>
      <c r="W944" t="s">
        <v>1480</v>
      </c>
      <c r="AA944">
        <v>2007</v>
      </c>
      <c r="AB944">
        <v>9999</v>
      </c>
      <c r="AC944" t="s">
        <v>35</v>
      </c>
    </row>
    <row r="945" spans="1:29" x14ac:dyDescent="0.25">
      <c r="A945" s="31" t="s">
        <v>1565</v>
      </c>
      <c r="B945" s="23" t="s">
        <v>1566</v>
      </c>
      <c r="C945" t="s">
        <v>1567</v>
      </c>
      <c r="D945">
        <v>1</v>
      </c>
      <c r="F945">
        <v>1</v>
      </c>
      <c r="G945">
        <v>2023</v>
      </c>
      <c r="I945" s="8">
        <v>115.79</v>
      </c>
      <c r="J945" t="s">
        <v>52</v>
      </c>
      <c r="K945" t="s">
        <v>47</v>
      </c>
      <c r="O945">
        <v>0</v>
      </c>
      <c r="P945">
        <v>0</v>
      </c>
      <c r="Q945">
        <v>0</v>
      </c>
      <c r="R945">
        <v>0</v>
      </c>
      <c r="S945">
        <v>1</v>
      </c>
      <c r="T945">
        <v>1</v>
      </c>
      <c r="U945">
        <v>1</v>
      </c>
      <c r="V945">
        <v>0</v>
      </c>
      <c r="W945" t="s">
        <v>1568</v>
      </c>
      <c r="AA945">
        <v>2019</v>
      </c>
      <c r="AB945">
        <v>9999</v>
      </c>
      <c r="AC945" t="s">
        <v>1560</v>
      </c>
    </row>
    <row r="946" spans="1:29" x14ac:dyDescent="0.25">
      <c r="A946" s="31" t="s">
        <v>545</v>
      </c>
      <c r="B946" s="23" t="s">
        <v>1481</v>
      </c>
      <c r="C946" t="s">
        <v>1482</v>
      </c>
      <c r="D946">
        <v>1</v>
      </c>
      <c r="E946" t="s">
        <v>1361</v>
      </c>
      <c r="F946">
        <v>10</v>
      </c>
      <c r="G946">
        <v>2023</v>
      </c>
      <c r="I946" s="8">
        <v>35.049999999999997</v>
      </c>
      <c r="J946" t="s">
        <v>40</v>
      </c>
      <c r="K946" t="s">
        <v>47</v>
      </c>
      <c r="O946">
        <v>0</v>
      </c>
      <c r="P946">
        <v>0</v>
      </c>
      <c r="Q946">
        <v>0</v>
      </c>
      <c r="R946">
        <v>0</v>
      </c>
      <c r="S946">
        <v>1</v>
      </c>
      <c r="T946">
        <v>1</v>
      </c>
      <c r="U946">
        <v>1</v>
      </c>
      <c r="V946">
        <v>0</v>
      </c>
      <c r="W946" t="s">
        <v>1550</v>
      </c>
      <c r="AA946">
        <v>2007</v>
      </c>
      <c r="AB946">
        <v>9999</v>
      </c>
      <c r="AC946" t="s">
        <v>35</v>
      </c>
    </row>
    <row r="947" spans="1:29" x14ac:dyDescent="0.25">
      <c r="A947" s="31" t="s">
        <v>1400</v>
      </c>
      <c r="B947" s="23" t="s">
        <v>1401</v>
      </c>
      <c r="D947">
        <v>1</v>
      </c>
      <c r="E947" t="s">
        <v>80</v>
      </c>
      <c r="F947">
        <v>8</v>
      </c>
      <c r="G947">
        <v>2023</v>
      </c>
      <c r="I947" s="8">
        <v>12.7</v>
      </c>
      <c r="J947" t="s">
        <v>81</v>
      </c>
      <c r="K947" t="s">
        <v>47</v>
      </c>
      <c r="O947">
        <v>0</v>
      </c>
      <c r="P947">
        <v>0</v>
      </c>
      <c r="Q947">
        <v>0</v>
      </c>
      <c r="R947">
        <v>0</v>
      </c>
      <c r="S947">
        <v>1</v>
      </c>
      <c r="T947">
        <v>1</v>
      </c>
      <c r="U947">
        <v>1</v>
      </c>
      <c r="V947">
        <v>0</v>
      </c>
      <c r="W947" t="s">
        <v>1402</v>
      </c>
      <c r="AA947">
        <v>2012</v>
      </c>
      <c r="AB947">
        <v>9999</v>
      </c>
      <c r="AC947" t="s">
        <v>1398</v>
      </c>
    </row>
    <row r="948" spans="1:29" x14ac:dyDescent="0.25">
      <c r="A948" s="31" t="s">
        <v>1362</v>
      </c>
      <c r="B948" s="23" t="s">
        <v>1483</v>
      </c>
      <c r="D948">
        <v>1</v>
      </c>
      <c r="E948" t="s">
        <v>631</v>
      </c>
      <c r="F948">
        <v>8</v>
      </c>
      <c r="G948">
        <v>2023</v>
      </c>
      <c r="I948" s="8">
        <v>34.299999999999997</v>
      </c>
      <c r="J948" t="s">
        <v>81</v>
      </c>
      <c r="K948" t="s">
        <v>47</v>
      </c>
      <c r="O948">
        <v>0</v>
      </c>
      <c r="P948">
        <v>0</v>
      </c>
      <c r="Q948">
        <v>0</v>
      </c>
      <c r="R948">
        <v>0</v>
      </c>
      <c r="S948">
        <v>1</v>
      </c>
      <c r="T948">
        <v>1</v>
      </c>
      <c r="U948">
        <v>1</v>
      </c>
      <c r="V948">
        <v>0</v>
      </c>
      <c r="W948" t="s">
        <v>1584</v>
      </c>
      <c r="AA948">
        <v>2011</v>
      </c>
      <c r="AB948">
        <v>9999</v>
      </c>
      <c r="AC948" t="s">
        <v>1365</v>
      </c>
    </row>
    <row r="949" spans="1:29" x14ac:dyDescent="0.25">
      <c r="A949" s="31" t="s">
        <v>1596</v>
      </c>
      <c r="B949" s="23" t="s">
        <v>1597</v>
      </c>
      <c r="D949">
        <v>1</v>
      </c>
      <c r="E949" s="5" t="s">
        <v>1251</v>
      </c>
      <c r="F949">
        <v>2</v>
      </c>
      <c r="G949">
        <v>2023</v>
      </c>
      <c r="I949" s="8">
        <v>48.63</v>
      </c>
      <c r="J949" t="s">
        <v>121</v>
      </c>
      <c r="K949" t="s">
        <v>47</v>
      </c>
      <c r="O949">
        <v>0</v>
      </c>
      <c r="P949">
        <v>0</v>
      </c>
      <c r="Q949">
        <v>0</v>
      </c>
      <c r="R949">
        <v>0</v>
      </c>
      <c r="S949">
        <v>0</v>
      </c>
      <c r="T949">
        <v>0</v>
      </c>
      <c r="U949">
        <v>0</v>
      </c>
      <c r="V949">
        <v>0</v>
      </c>
      <c r="W949" t="s">
        <v>1598</v>
      </c>
      <c r="AA949">
        <v>2022</v>
      </c>
      <c r="AB949">
        <v>9999</v>
      </c>
      <c r="AC949" t="s">
        <v>1591</v>
      </c>
    </row>
    <row r="950" spans="1:29" x14ac:dyDescent="0.25">
      <c r="A950" s="31" t="s">
        <v>1248</v>
      </c>
      <c r="B950" s="23" t="s">
        <v>1249</v>
      </c>
      <c r="C950" t="s">
        <v>1250</v>
      </c>
      <c r="D950">
        <v>1</v>
      </c>
      <c r="E950" t="s">
        <v>1251</v>
      </c>
      <c r="F950">
        <v>2</v>
      </c>
      <c r="G950">
        <v>2023</v>
      </c>
      <c r="I950" s="8">
        <v>1131.55</v>
      </c>
      <c r="J950" t="s">
        <v>147</v>
      </c>
      <c r="K950" t="s">
        <v>47</v>
      </c>
      <c r="O950">
        <v>0</v>
      </c>
      <c r="P950">
        <v>0</v>
      </c>
      <c r="Q950">
        <v>0</v>
      </c>
      <c r="R950">
        <v>0</v>
      </c>
      <c r="S950">
        <v>1</v>
      </c>
      <c r="T950">
        <v>1</v>
      </c>
      <c r="U950">
        <v>1</v>
      </c>
      <c r="V950">
        <v>0</v>
      </c>
      <c r="W950" t="s">
        <v>1252</v>
      </c>
      <c r="AA950">
        <v>2009</v>
      </c>
      <c r="AB950">
        <v>9999</v>
      </c>
      <c r="AC950" t="s">
        <v>1239</v>
      </c>
    </row>
    <row r="951" spans="1:29" x14ac:dyDescent="0.25">
      <c r="A951" s="31" t="s">
        <v>590</v>
      </c>
      <c r="B951" s="23" t="s">
        <v>1551</v>
      </c>
      <c r="C951" t="s">
        <v>1552</v>
      </c>
      <c r="D951">
        <v>1</v>
      </c>
      <c r="E951" t="s">
        <v>592</v>
      </c>
      <c r="F951">
        <v>8</v>
      </c>
      <c r="G951">
        <v>2023</v>
      </c>
      <c r="I951" s="8">
        <v>12.47</v>
      </c>
      <c r="J951" t="s">
        <v>40</v>
      </c>
      <c r="K951" t="s">
        <v>47</v>
      </c>
      <c r="O951">
        <v>0</v>
      </c>
      <c r="P951">
        <v>0</v>
      </c>
      <c r="Q951">
        <v>0</v>
      </c>
      <c r="R951">
        <v>0</v>
      </c>
      <c r="S951">
        <v>1</v>
      </c>
      <c r="T951">
        <v>1</v>
      </c>
      <c r="U951">
        <v>1</v>
      </c>
      <c r="V951">
        <v>0</v>
      </c>
      <c r="W951" t="s">
        <v>1553</v>
      </c>
      <c r="AA951">
        <v>2007</v>
      </c>
      <c r="AB951">
        <v>9999</v>
      </c>
      <c r="AC951" t="s">
        <v>35</v>
      </c>
    </row>
    <row r="952" spans="1:29" x14ac:dyDescent="0.25">
      <c r="A952" s="31" t="s">
        <v>939</v>
      </c>
      <c r="B952" s="23" t="s">
        <v>1463</v>
      </c>
      <c r="D952">
        <v>1</v>
      </c>
      <c r="E952" t="s">
        <v>80</v>
      </c>
      <c r="F952">
        <v>8</v>
      </c>
      <c r="G952">
        <v>2023</v>
      </c>
      <c r="I952" s="8">
        <v>80.849999999999994</v>
      </c>
      <c r="J952" t="s">
        <v>81</v>
      </c>
      <c r="K952" t="s">
        <v>47</v>
      </c>
      <c r="O952">
        <v>0</v>
      </c>
      <c r="P952">
        <v>0</v>
      </c>
      <c r="Q952">
        <v>0</v>
      </c>
      <c r="R952">
        <v>0</v>
      </c>
      <c r="S952">
        <v>1</v>
      </c>
      <c r="T952">
        <v>1</v>
      </c>
      <c r="U952">
        <v>1</v>
      </c>
      <c r="V952">
        <v>0</v>
      </c>
      <c r="W952" t="s">
        <v>1464</v>
      </c>
      <c r="AA952">
        <v>2007</v>
      </c>
      <c r="AB952">
        <v>9999</v>
      </c>
      <c r="AC952" t="s">
        <v>35</v>
      </c>
    </row>
    <row r="953" spans="1:29" ht="30" x14ac:dyDescent="0.25">
      <c r="A953" s="31" t="s">
        <v>1305</v>
      </c>
      <c r="B953" s="23" t="s">
        <v>1306</v>
      </c>
      <c r="C953" t="s">
        <v>1307</v>
      </c>
      <c r="D953">
        <v>1</v>
      </c>
      <c r="E953" t="s">
        <v>45</v>
      </c>
      <c r="F953">
        <v>4</v>
      </c>
      <c r="G953">
        <v>2023</v>
      </c>
      <c r="I953" s="8">
        <v>43.44</v>
      </c>
      <c r="J953" t="s">
        <v>1610</v>
      </c>
      <c r="K953" t="s">
        <v>47</v>
      </c>
      <c r="O953">
        <v>0</v>
      </c>
      <c r="P953">
        <v>0</v>
      </c>
      <c r="Q953">
        <v>0</v>
      </c>
      <c r="R953">
        <v>0</v>
      </c>
      <c r="S953">
        <v>1</v>
      </c>
      <c r="T953">
        <v>1</v>
      </c>
      <c r="U953">
        <v>1</v>
      </c>
      <c r="V953">
        <v>0</v>
      </c>
      <c r="W953" t="s">
        <v>1526</v>
      </c>
      <c r="AA953">
        <v>2010</v>
      </c>
      <c r="AB953">
        <v>9999</v>
      </c>
      <c r="AC953" t="s">
        <v>1292</v>
      </c>
    </row>
    <row r="954" spans="1:29" x14ac:dyDescent="0.25">
      <c r="A954" s="31" t="s">
        <v>1614</v>
      </c>
      <c r="B954" s="23" t="s">
        <v>1615</v>
      </c>
      <c r="D954">
        <v>1</v>
      </c>
      <c r="E954" s="5" t="s">
        <v>314</v>
      </c>
      <c r="F954">
        <v>2</v>
      </c>
      <c r="G954">
        <v>2023</v>
      </c>
      <c r="I954" s="8">
        <v>4</v>
      </c>
      <c r="J954" t="s">
        <v>147</v>
      </c>
      <c r="K954" t="s">
        <v>47</v>
      </c>
      <c r="O954">
        <v>0</v>
      </c>
      <c r="P954">
        <v>0</v>
      </c>
      <c r="Q954">
        <v>0</v>
      </c>
      <c r="R954">
        <v>0</v>
      </c>
      <c r="S954">
        <v>1</v>
      </c>
      <c r="T954">
        <v>0</v>
      </c>
      <c r="U954">
        <v>0</v>
      </c>
      <c r="V954">
        <v>0</v>
      </c>
      <c r="W954" t="s">
        <v>1616</v>
      </c>
      <c r="AA954">
        <v>2023</v>
      </c>
      <c r="AB954">
        <v>9999</v>
      </c>
      <c r="AC954" t="s">
        <v>1617</v>
      </c>
    </row>
    <row r="955" spans="1:29" x14ac:dyDescent="0.25">
      <c r="A955" s="31" t="s">
        <v>964</v>
      </c>
      <c r="B955" s="23" t="s">
        <v>1484</v>
      </c>
      <c r="C955" t="s">
        <v>1599</v>
      </c>
      <c r="D955">
        <v>1</v>
      </c>
      <c r="E955" t="s">
        <v>80</v>
      </c>
      <c r="F955">
        <v>8</v>
      </c>
      <c r="G955">
        <v>2023</v>
      </c>
      <c r="I955" s="8">
        <v>96.95</v>
      </c>
      <c r="J955" t="s">
        <v>40</v>
      </c>
      <c r="K955" t="s">
        <v>47</v>
      </c>
      <c r="O955">
        <v>0</v>
      </c>
      <c r="P955">
        <v>0</v>
      </c>
      <c r="Q955">
        <v>0</v>
      </c>
      <c r="R955">
        <v>0</v>
      </c>
      <c r="S955">
        <v>1</v>
      </c>
      <c r="T955">
        <v>1</v>
      </c>
      <c r="U955">
        <v>1</v>
      </c>
      <c r="V955">
        <v>0</v>
      </c>
      <c r="W955" t="s">
        <v>1569</v>
      </c>
      <c r="AA955">
        <v>2007</v>
      </c>
      <c r="AB955">
        <v>9999</v>
      </c>
      <c r="AC955" t="s">
        <v>35</v>
      </c>
    </row>
    <row r="956" spans="1:29" x14ac:dyDescent="0.25">
      <c r="A956" s="31" t="s">
        <v>1366</v>
      </c>
      <c r="B956" s="23" t="s">
        <v>1487</v>
      </c>
      <c r="C956" t="s">
        <v>1368</v>
      </c>
      <c r="D956">
        <v>1</v>
      </c>
      <c r="E956" t="s">
        <v>468</v>
      </c>
      <c r="F956">
        <v>7</v>
      </c>
      <c r="G956">
        <v>2023</v>
      </c>
      <c r="I956" s="8">
        <v>40.43</v>
      </c>
      <c r="J956" t="s">
        <v>40</v>
      </c>
      <c r="K956" t="s">
        <v>32</v>
      </c>
      <c r="O956">
        <v>0</v>
      </c>
      <c r="P956">
        <v>0</v>
      </c>
      <c r="Q956">
        <v>0</v>
      </c>
      <c r="R956">
        <v>0</v>
      </c>
      <c r="S956">
        <v>1</v>
      </c>
      <c r="T956">
        <v>1</v>
      </c>
      <c r="U956">
        <v>1</v>
      </c>
      <c r="V956">
        <v>0</v>
      </c>
      <c r="W956" t="s">
        <v>1369</v>
      </c>
      <c r="AA956">
        <v>2011</v>
      </c>
      <c r="AB956">
        <v>9999</v>
      </c>
      <c r="AC956" t="s">
        <v>1365</v>
      </c>
    </row>
    <row r="957" spans="1:29" x14ac:dyDescent="0.25">
      <c r="A957" s="31" t="s">
        <v>1309</v>
      </c>
      <c r="B957" s="23" t="s">
        <v>1310</v>
      </c>
      <c r="C957" t="s">
        <v>1311</v>
      </c>
      <c r="D957">
        <v>1</v>
      </c>
      <c r="E957" t="s">
        <v>1312</v>
      </c>
      <c r="F957">
        <v>9</v>
      </c>
      <c r="G957">
        <v>2023</v>
      </c>
      <c r="I957" s="8">
        <v>134.26</v>
      </c>
      <c r="J957" t="s">
        <v>104</v>
      </c>
      <c r="K957" t="s">
        <v>47</v>
      </c>
      <c r="O957">
        <v>0</v>
      </c>
      <c r="P957">
        <v>0</v>
      </c>
      <c r="Q957">
        <v>0</v>
      </c>
      <c r="R957">
        <v>0</v>
      </c>
      <c r="S957">
        <v>1</v>
      </c>
      <c r="T957">
        <v>1</v>
      </c>
      <c r="U957">
        <v>1</v>
      </c>
      <c r="V957">
        <v>0</v>
      </c>
      <c r="W957" t="s">
        <v>1404</v>
      </c>
      <c r="AA957">
        <v>2010</v>
      </c>
      <c r="AB957">
        <v>9999</v>
      </c>
      <c r="AC957" t="s">
        <v>1292</v>
      </c>
    </row>
    <row r="958" spans="1:29" x14ac:dyDescent="0.25">
      <c r="A958" s="31" t="s">
        <v>559</v>
      </c>
      <c r="B958" s="23" t="s">
        <v>1600</v>
      </c>
      <c r="C958" t="s">
        <v>1601</v>
      </c>
      <c r="D958">
        <v>1</v>
      </c>
      <c r="E958" t="s">
        <v>103</v>
      </c>
      <c r="F958">
        <v>9</v>
      </c>
      <c r="G958">
        <v>2023</v>
      </c>
      <c r="I958" s="8">
        <v>1015.38</v>
      </c>
      <c r="J958" t="s">
        <v>104</v>
      </c>
      <c r="K958" t="s">
        <v>53</v>
      </c>
      <c r="L958" t="s">
        <v>105</v>
      </c>
      <c r="O958">
        <v>0</v>
      </c>
      <c r="P958">
        <v>1</v>
      </c>
      <c r="Q958">
        <v>0</v>
      </c>
      <c r="R958">
        <v>0</v>
      </c>
      <c r="S958">
        <v>1</v>
      </c>
      <c r="T958">
        <v>1</v>
      </c>
      <c r="U958">
        <v>1</v>
      </c>
      <c r="V958">
        <v>0</v>
      </c>
      <c r="W958" t="s">
        <v>106</v>
      </c>
      <c r="AA958">
        <v>2007</v>
      </c>
      <c r="AB958">
        <v>9999</v>
      </c>
      <c r="AC958" t="s">
        <v>35</v>
      </c>
    </row>
    <row r="959" spans="1:29" x14ac:dyDescent="0.25">
      <c r="A959" s="31" t="s">
        <v>562</v>
      </c>
      <c r="B959" s="23" t="s">
        <v>1554</v>
      </c>
      <c r="D959">
        <v>1</v>
      </c>
      <c r="E959" t="s">
        <v>80</v>
      </c>
      <c r="F959">
        <v>8</v>
      </c>
      <c r="G959">
        <v>2023</v>
      </c>
      <c r="I959" s="8">
        <v>132.55000000000001</v>
      </c>
      <c r="J959" t="s">
        <v>81</v>
      </c>
      <c r="K959" t="s">
        <v>47</v>
      </c>
      <c r="O959">
        <v>0</v>
      </c>
      <c r="P959">
        <v>0</v>
      </c>
      <c r="Q959">
        <v>0</v>
      </c>
      <c r="R959">
        <v>0</v>
      </c>
      <c r="S959">
        <v>1</v>
      </c>
      <c r="T959">
        <v>1</v>
      </c>
      <c r="U959">
        <v>1</v>
      </c>
      <c r="V959">
        <v>0</v>
      </c>
      <c r="W959" t="s">
        <v>1128</v>
      </c>
      <c r="AA959">
        <v>2007</v>
      </c>
      <c r="AB959">
        <v>9999</v>
      </c>
      <c r="AC959" t="s">
        <v>35</v>
      </c>
    </row>
    <row r="960" spans="1:29" x14ac:dyDescent="0.25">
      <c r="A960" s="31" t="s">
        <v>568</v>
      </c>
      <c r="B960" s="23" t="s">
        <v>569</v>
      </c>
      <c r="D960">
        <v>1</v>
      </c>
      <c r="E960" t="s">
        <v>80</v>
      </c>
      <c r="F960">
        <v>8</v>
      </c>
      <c r="G960">
        <v>2023</v>
      </c>
      <c r="I960" s="8">
        <v>226.15</v>
      </c>
      <c r="J960" t="s">
        <v>81</v>
      </c>
      <c r="K960" t="s">
        <v>47</v>
      </c>
      <c r="O960">
        <v>0</v>
      </c>
      <c r="P960">
        <v>0</v>
      </c>
      <c r="Q960">
        <v>0</v>
      </c>
      <c r="R960">
        <v>0</v>
      </c>
      <c r="S960">
        <v>1</v>
      </c>
      <c r="T960">
        <v>1</v>
      </c>
      <c r="U960">
        <v>1</v>
      </c>
      <c r="V960">
        <v>0</v>
      </c>
      <c r="W960" t="s">
        <v>1129</v>
      </c>
      <c r="AA960">
        <v>2007</v>
      </c>
      <c r="AB960">
        <v>9999</v>
      </c>
      <c r="AC960" t="s">
        <v>35</v>
      </c>
    </row>
    <row r="961" spans="1:29" x14ac:dyDescent="0.25">
      <c r="A961" s="31" t="s">
        <v>571</v>
      </c>
      <c r="B961" s="23" t="s">
        <v>572</v>
      </c>
      <c r="D961">
        <v>1</v>
      </c>
      <c r="E961" t="s">
        <v>370</v>
      </c>
      <c r="F961">
        <v>5</v>
      </c>
      <c r="G961">
        <v>2023</v>
      </c>
      <c r="I961" s="8">
        <v>757.41</v>
      </c>
      <c r="J961" t="s">
        <v>1610</v>
      </c>
      <c r="K961" t="s">
        <v>47</v>
      </c>
      <c r="O961">
        <v>0</v>
      </c>
      <c r="P961">
        <v>0</v>
      </c>
      <c r="Q961">
        <v>0</v>
      </c>
      <c r="R961">
        <v>0</v>
      </c>
      <c r="S961">
        <v>1</v>
      </c>
      <c r="T961">
        <v>1</v>
      </c>
      <c r="U961">
        <v>1</v>
      </c>
      <c r="V961">
        <v>0</v>
      </c>
      <c r="W961" t="s">
        <v>1430</v>
      </c>
      <c r="AA961">
        <v>2007</v>
      </c>
      <c r="AB961">
        <v>9999</v>
      </c>
      <c r="AC961" t="s">
        <v>35</v>
      </c>
    </row>
    <row r="962" spans="1:29" x14ac:dyDescent="0.25">
      <c r="A962" s="31" t="s">
        <v>574</v>
      </c>
      <c r="B962" s="23" t="s">
        <v>575</v>
      </c>
      <c r="D962">
        <v>1</v>
      </c>
      <c r="E962" t="s">
        <v>222</v>
      </c>
      <c r="F962">
        <v>1</v>
      </c>
      <c r="G962">
        <v>2023</v>
      </c>
      <c r="I962" s="8">
        <v>33</v>
      </c>
      <c r="J962" t="s">
        <v>176</v>
      </c>
      <c r="K962" t="s">
        <v>47</v>
      </c>
      <c r="O962">
        <v>0</v>
      </c>
      <c r="P962">
        <v>0</v>
      </c>
      <c r="Q962">
        <v>0</v>
      </c>
      <c r="R962">
        <v>0</v>
      </c>
      <c r="S962">
        <v>1</v>
      </c>
      <c r="T962">
        <v>1</v>
      </c>
      <c r="U962">
        <v>1</v>
      </c>
      <c r="V962">
        <v>0</v>
      </c>
      <c r="W962" t="s">
        <v>1602</v>
      </c>
      <c r="AA962">
        <v>2007</v>
      </c>
      <c r="AB962">
        <v>9999</v>
      </c>
      <c r="AC962" t="s">
        <v>35</v>
      </c>
    </row>
    <row r="963" spans="1:29" x14ac:dyDescent="0.25">
      <c r="A963" s="31" t="s">
        <v>577</v>
      </c>
      <c r="B963" s="23" t="s">
        <v>578</v>
      </c>
      <c r="D963">
        <v>1</v>
      </c>
      <c r="E963" t="s">
        <v>396</v>
      </c>
      <c r="F963">
        <v>3</v>
      </c>
      <c r="G963">
        <v>2023</v>
      </c>
      <c r="H963" t="s">
        <v>579</v>
      </c>
      <c r="I963" s="15">
        <v>0.15</v>
      </c>
      <c r="J963" t="s">
        <v>121</v>
      </c>
      <c r="K963" t="s">
        <v>41</v>
      </c>
      <c r="O963">
        <v>0</v>
      </c>
      <c r="P963">
        <v>0</v>
      </c>
      <c r="Q963">
        <v>0</v>
      </c>
      <c r="R963">
        <v>0</v>
      </c>
      <c r="S963">
        <v>0</v>
      </c>
      <c r="T963">
        <v>0</v>
      </c>
      <c r="U963">
        <v>0</v>
      </c>
      <c r="V963">
        <v>0</v>
      </c>
      <c r="W963" t="s">
        <v>1132</v>
      </c>
      <c r="AA963">
        <v>2007</v>
      </c>
      <c r="AB963">
        <v>9999</v>
      </c>
      <c r="AC963" t="s">
        <v>35</v>
      </c>
    </row>
    <row r="964" spans="1:29" x14ac:dyDescent="0.25">
      <c r="A964" s="31" t="s">
        <v>581</v>
      </c>
      <c r="B964" s="23" t="s">
        <v>582</v>
      </c>
      <c r="D964">
        <v>1</v>
      </c>
      <c r="E964" t="s">
        <v>80</v>
      </c>
      <c r="F964">
        <v>8</v>
      </c>
      <c r="G964">
        <v>2023</v>
      </c>
      <c r="H964" t="s">
        <v>1315</v>
      </c>
      <c r="I964" s="15">
        <v>2.8</v>
      </c>
      <c r="J964" t="s">
        <v>81</v>
      </c>
      <c r="K964" t="s">
        <v>41</v>
      </c>
      <c r="O964">
        <v>0</v>
      </c>
      <c r="P964">
        <v>0</v>
      </c>
      <c r="Q964">
        <v>0</v>
      </c>
      <c r="R964">
        <v>0</v>
      </c>
      <c r="S964">
        <v>0</v>
      </c>
      <c r="T964">
        <v>0</v>
      </c>
      <c r="U964">
        <v>1</v>
      </c>
      <c r="V964">
        <v>0</v>
      </c>
      <c r="W964" t="s">
        <v>1133</v>
      </c>
      <c r="AA964">
        <v>2007</v>
      </c>
      <c r="AB964">
        <v>9999</v>
      </c>
      <c r="AC964" t="s">
        <v>35</v>
      </c>
    </row>
    <row r="965" spans="1:29" x14ac:dyDescent="0.25">
      <c r="A965" s="31" t="s">
        <v>1576</v>
      </c>
      <c r="B965" s="23" t="s">
        <v>1577</v>
      </c>
      <c r="D965">
        <v>1</v>
      </c>
      <c r="E965" s="5" t="s">
        <v>358</v>
      </c>
      <c r="F965">
        <v>1</v>
      </c>
      <c r="G965">
        <v>2023</v>
      </c>
      <c r="H965" t="s">
        <v>1558</v>
      </c>
      <c r="I965" s="15">
        <v>4</v>
      </c>
      <c r="J965" t="s">
        <v>104</v>
      </c>
      <c r="K965" t="s">
        <v>41</v>
      </c>
      <c r="O965">
        <v>0</v>
      </c>
      <c r="P965">
        <v>0</v>
      </c>
      <c r="Q965">
        <v>0</v>
      </c>
      <c r="R965">
        <v>0</v>
      </c>
      <c r="S965">
        <v>0</v>
      </c>
      <c r="T965">
        <v>0</v>
      </c>
      <c r="U965">
        <v>0</v>
      </c>
      <c r="V965">
        <v>0</v>
      </c>
      <c r="W965" t="s">
        <v>1578</v>
      </c>
      <c r="AA965">
        <v>2020</v>
      </c>
      <c r="AB965">
        <v>9999</v>
      </c>
      <c r="AC965" t="s">
        <v>1579</v>
      </c>
    </row>
    <row r="966" spans="1:29" x14ac:dyDescent="0.25">
      <c r="A966" s="31" t="s">
        <v>594</v>
      </c>
      <c r="B966" s="23" t="s">
        <v>595</v>
      </c>
      <c r="D966">
        <v>1</v>
      </c>
      <c r="E966" t="s">
        <v>38</v>
      </c>
      <c r="F966">
        <v>4</v>
      </c>
      <c r="G966">
        <v>2023</v>
      </c>
      <c r="H966" t="s">
        <v>906</v>
      </c>
      <c r="I966" s="15">
        <v>0</v>
      </c>
      <c r="J966" t="s">
        <v>59</v>
      </c>
      <c r="K966" t="s">
        <v>41</v>
      </c>
      <c r="O966">
        <v>0</v>
      </c>
      <c r="P966">
        <v>0</v>
      </c>
      <c r="Q966">
        <v>0</v>
      </c>
      <c r="R966">
        <v>0</v>
      </c>
      <c r="S966">
        <v>0</v>
      </c>
      <c r="T966">
        <v>0</v>
      </c>
      <c r="U966">
        <v>0</v>
      </c>
      <c r="V966">
        <v>0</v>
      </c>
      <c r="W966" t="s">
        <v>1135</v>
      </c>
      <c r="AA966">
        <v>2007</v>
      </c>
      <c r="AB966">
        <v>9999</v>
      </c>
      <c r="AC966" t="s">
        <v>35</v>
      </c>
    </row>
    <row r="967" spans="1:29" x14ac:dyDescent="0.25">
      <c r="A967" s="31" t="s">
        <v>1253</v>
      </c>
      <c r="B967" s="23" t="s">
        <v>598</v>
      </c>
      <c r="D967">
        <v>1</v>
      </c>
      <c r="E967" t="s">
        <v>38</v>
      </c>
      <c r="F967">
        <v>4</v>
      </c>
      <c r="G967">
        <v>2023</v>
      </c>
      <c r="H967" t="s">
        <v>39</v>
      </c>
      <c r="I967" s="15">
        <v>0</v>
      </c>
      <c r="J967" t="s">
        <v>59</v>
      </c>
      <c r="K967" t="s">
        <v>41</v>
      </c>
      <c r="O967">
        <v>0</v>
      </c>
      <c r="P967">
        <v>0</v>
      </c>
      <c r="Q967">
        <v>0</v>
      </c>
      <c r="R967">
        <v>0</v>
      </c>
      <c r="S967">
        <v>0</v>
      </c>
      <c r="T967">
        <v>0</v>
      </c>
      <c r="U967">
        <v>0</v>
      </c>
      <c r="V967">
        <v>0</v>
      </c>
      <c r="W967" t="s">
        <v>1254</v>
      </c>
      <c r="AA967">
        <v>2009</v>
      </c>
      <c r="AB967">
        <v>9999</v>
      </c>
      <c r="AC967" t="s">
        <v>1239</v>
      </c>
    </row>
    <row r="968" spans="1:29" x14ac:dyDescent="0.25">
      <c r="A968" s="31" t="s">
        <v>601</v>
      </c>
      <c r="B968" s="23" t="s">
        <v>602</v>
      </c>
      <c r="D968">
        <v>1</v>
      </c>
      <c r="E968" t="s">
        <v>145</v>
      </c>
      <c r="F968">
        <v>2</v>
      </c>
      <c r="G968">
        <v>2023</v>
      </c>
      <c r="H968" t="s">
        <v>1618</v>
      </c>
      <c r="I968" s="15">
        <v>2.5000000000000001E-2</v>
      </c>
      <c r="J968" t="s">
        <v>1610</v>
      </c>
      <c r="K968" t="s">
        <v>41</v>
      </c>
      <c r="O968">
        <v>0</v>
      </c>
      <c r="P968">
        <v>0</v>
      </c>
      <c r="Q968">
        <v>0</v>
      </c>
      <c r="R968">
        <v>0</v>
      </c>
      <c r="S968">
        <v>0</v>
      </c>
      <c r="T968">
        <v>0</v>
      </c>
      <c r="U968">
        <v>0</v>
      </c>
      <c r="V968">
        <v>0</v>
      </c>
      <c r="W968" t="s">
        <v>1137</v>
      </c>
      <c r="AA968">
        <v>2007</v>
      </c>
      <c r="AB968">
        <v>9999</v>
      </c>
      <c r="AC968" t="s">
        <v>35</v>
      </c>
    </row>
    <row r="969" spans="1:29" x14ac:dyDescent="0.25">
      <c r="A969" s="31" t="s">
        <v>613</v>
      </c>
      <c r="B969" s="23" t="s">
        <v>254</v>
      </c>
      <c r="C969" t="s">
        <v>614</v>
      </c>
      <c r="D969">
        <v>1</v>
      </c>
      <c r="E969" t="s">
        <v>45</v>
      </c>
      <c r="F969">
        <v>4</v>
      </c>
      <c r="G969">
        <v>2023</v>
      </c>
      <c r="I969" s="8">
        <v>299.24</v>
      </c>
      <c r="J969" t="s">
        <v>1610</v>
      </c>
      <c r="K969" t="s">
        <v>47</v>
      </c>
      <c r="O969">
        <v>0</v>
      </c>
      <c r="P969">
        <v>0</v>
      </c>
      <c r="Q969">
        <v>0</v>
      </c>
      <c r="R969">
        <v>0</v>
      </c>
      <c r="S969">
        <v>1</v>
      </c>
      <c r="T969">
        <v>1</v>
      </c>
      <c r="U969">
        <v>1</v>
      </c>
      <c r="V969">
        <v>0</v>
      </c>
      <c r="W969" t="s">
        <v>1140</v>
      </c>
      <c r="AA969">
        <v>2007</v>
      </c>
      <c r="AB969">
        <v>9999</v>
      </c>
      <c r="AC969" t="s">
        <v>35</v>
      </c>
    </row>
    <row r="970" spans="1:29" x14ac:dyDescent="0.25">
      <c r="A970" s="31" t="s">
        <v>1370</v>
      </c>
      <c r="B970" s="23" t="s">
        <v>1371</v>
      </c>
      <c r="D970">
        <v>1</v>
      </c>
      <c r="E970" s="4">
        <v>411</v>
      </c>
      <c r="F970">
        <v>4</v>
      </c>
      <c r="G970">
        <v>2023</v>
      </c>
      <c r="H970" t="s">
        <v>111</v>
      </c>
      <c r="I970" s="15">
        <v>0.5</v>
      </c>
      <c r="J970" t="s">
        <v>1610</v>
      </c>
      <c r="K970" t="s">
        <v>41</v>
      </c>
      <c r="O970">
        <v>0</v>
      </c>
      <c r="P970">
        <v>0</v>
      </c>
      <c r="Q970">
        <v>0</v>
      </c>
      <c r="R970">
        <v>0</v>
      </c>
      <c r="S970">
        <v>0</v>
      </c>
      <c r="T970">
        <v>1</v>
      </c>
      <c r="U970">
        <v>0</v>
      </c>
      <c r="V970">
        <v>0</v>
      </c>
      <c r="W970" t="s">
        <v>1372</v>
      </c>
      <c r="AA970">
        <v>2011</v>
      </c>
      <c r="AB970">
        <v>9999</v>
      </c>
      <c r="AC970" t="s">
        <v>1365</v>
      </c>
    </row>
    <row r="971" spans="1:29" x14ac:dyDescent="0.25">
      <c r="A971" s="31" t="s">
        <v>1317</v>
      </c>
      <c r="B971" s="23" t="s">
        <v>1318</v>
      </c>
      <c r="D971">
        <v>1</v>
      </c>
      <c r="E971" t="s">
        <v>1319</v>
      </c>
      <c r="F971">
        <v>10</v>
      </c>
      <c r="G971">
        <v>2023</v>
      </c>
      <c r="I971" s="8">
        <v>1578.3</v>
      </c>
      <c r="J971" t="s">
        <v>40</v>
      </c>
      <c r="K971" t="s">
        <v>32</v>
      </c>
      <c r="O971">
        <v>0</v>
      </c>
      <c r="P971">
        <v>0</v>
      </c>
      <c r="Q971">
        <v>0</v>
      </c>
      <c r="R971">
        <v>0</v>
      </c>
      <c r="S971">
        <v>1</v>
      </c>
      <c r="T971">
        <v>1</v>
      </c>
      <c r="U971">
        <v>1</v>
      </c>
      <c r="V971">
        <v>0</v>
      </c>
      <c r="W971" t="s">
        <v>1320</v>
      </c>
      <c r="AA971">
        <v>2010</v>
      </c>
      <c r="AB971">
        <v>9999</v>
      </c>
      <c r="AC971" t="s">
        <v>1292</v>
      </c>
    </row>
    <row r="972" spans="1:29" x14ac:dyDescent="0.25">
      <c r="A972" s="31" t="s">
        <v>1489</v>
      </c>
      <c r="B972" s="23" t="s">
        <v>619</v>
      </c>
      <c r="D972">
        <v>1</v>
      </c>
      <c r="E972" t="s">
        <v>620</v>
      </c>
      <c r="F972">
        <v>5</v>
      </c>
      <c r="G972">
        <v>2023</v>
      </c>
      <c r="I972" s="8">
        <v>30</v>
      </c>
      <c r="J972" t="s">
        <v>104</v>
      </c>
      <c r="K972" t="s">
        <v>47</v>
      </c>
      <c r="O972">
        <v>0</v>
      </c>
      <c r="P972">
        <v>0</v>
      </c>
      <c r="Q972">
        <v>0</v>
      </c>
      <c r="R972">
        <v>0</v>
      </c>
      <c r="S972">
        <v>1</v>
      </c>
      <c r="T972">
        <v>1</v>
      </c>
      <c r="U972">
        <v>1</v>
      </c>
      <c r="V972">
        <v>0</v>
      </c>
      <c r="W972" t="s">
        <v>1141</v>
      </c>
      <c r="AA972">
        <v>2007</v>
      </c>
      <c r="AB972">
        <v>9999</v>
      </c>
      <c r="AC972" t="s">
        <v>1475</v>
      </c>
    </row>
    <row r="973" spans="1:29" x14ac:dyDescent="0.25">
      <c r="A973" s="31" t="s">
        <v>472</v>
      </c>
      <c r="B973" s="23" t="s">
        <v>1490</v>
      </c>
      <c r="D973">
        <v>1</v>
      </c>
      <c r="E973" t="s">
        <v>681</v>
      </c>
      <c r="F973">
        <v>3</v>
      </c>
      <c r="G973">
        <v>2023</v>
      </c>
      <c r="I973" s="8">
        <v>32948.69</v>
      </c>
      <c r="J973" t="s">
        <v>121</v>
      </c>
      <c r="K973" t="s">
        <v>47</v>
      </c>
      <c r="O973">
        <v>0</v>
      </c>
      <c r="P973">
        <v>0</v>
      </c>
      <c r="Q973">
        <v>0</v>
      </c>
      <c r="R973">
        <v>0</v>
      </c>
      <c r="S973">
        <v>1</v>
      </c>
      <c r="T973">
        <v>1</v>
      </c>
      <c r="U973">
        <v>1</v>
      </c>
      <c r="V973">
        <v>0</v>
      </c>
      <c r="W973" t="s">
        <v>1619</v>
      </c>
      <c r="AA973">
        <v>2007</v>
      </c>
      <c r="AB973">
        <v>9999</v>
      </c>
      <c r="AC973" t="s">
        <v>35</v>
      </c>
    </row>
    <row r="974" spans="1:29" x14ac:dyDescent="0.25">
      <c r="A974" s="31" t="s">
        <v>622</v>
      </c>
      <c r="B974" s="23" t="s">
        <v>623</v>
      </c>
      <c r="C974" t="s">
        <v>624</v>
      </c>
      <c r="D974">
        <v>1</v>
      </c>
      <c r="E974" t="s">
        <v>625</v>
      </c>
      <c r="F974">
        <v>4</v>
      </c>
      <c r="G974">
        <v>2023</v>
      </c>
      <c r="I974" s="8">
        <v>363.85</v>
      </c>
      <c r="J974" t="s">
        <v>52</v>
      </c>
      <c r="K974" t="s">
        <v>32</v>
      </c>
      <c r="O974">
        <v>0</v>
      </c>
      <c r="P974">
        <v>0</v>
      </c>
      <c r="Q974">
        <v>0</v>
      </c>
      <c r="R974">
        <v>0</v>
      </c>
      <c r="S974">
        <v>1</v>
      </c>
      <c r="T974">
        <v>1</v>
      </c>
      <c r="U974">
        <v>1</v>
      </c>
      <c r="V974">
        <v>0</v>
      </c>
      <c r="W974" t="s">
        <v>1142</v>
      </c>
      <c r="AA974">
        <v>2007</v>
      </c>
      <c r="AB974">
        <v>9999</v>
      </c>
      <c r="AC974" t="s">
        <v>35</v>
      </c>
    </row>
    <row r="975" spans="1:29" x14ac:dyDescent="0.25">
      <c r="A975" s="31" t="s">
        <v>641</v>
      </c>
      <c r="B975" s="23" t="s">
        <v>642</v>
      </c>
      <c r="D975">
        <v>1</v>
      </c>
      <c r="E975" t="s">
        <v>348</v>
      </c>
      <c r="F975">
        <v>1</v>
      </c>
      <c r="G975">
        <v>2023</v>
      </c>
      <c r="I975" s="8">
        <v>4193.51</v>
      </c>
      <c r="J975" t="s">
        <v>268</v>
      </c>
      <c r="K975" t="s">
        <v>53</v>
      </c>
      <c r="L975" t="s">
        <v>642</v>
      </c>
      <c r="O975">
        <v>0</v>
      </c>
      <c r="P975">
        <v>0</v>
      </c>
      <c r="Q975">
        <v>0</v>
      </c>
      <c r="R975">
        <v>0</v>
      </c>
      <c r="S975">
        <v>0</v>
      </c>
      <c r="T975">
        <v>1</v>
      </c>
      <c r="U975">
        <v>1</v>
      </c>
      <c r="V975">
        <v>0</v>
      </c>
      <c r="W975" t="s">
        <v>643</v>
      </c>
      <c r="AA975">
        <v>2007</v>
      </c>
      <c r="AB975">
        <v>9999</v>
      </c>
      <c r="AC975" t="s">
        <v>35</v>
      </c>
    </row>
    <row r="976" spans="1:29" x14ac:dyDescent="0.25">
      <c r="A976" s="31" t="s">
        <v>667</v>
      </c>
      <c r="B976" s="23" t="s">
        <v>1527</v>
      </c>
      <c r="D976">
        <v>1</v>
      </c>
      <c r="E976" t="s">
        <v>45</v>
      </c>
      <c r="F976">
        <v>4</v>
      </c>
      <c r="G976">
        <v>2023</v>
      </c>
      <c r="I976" s="8">
        <v>21.17</v>
      </c>
      <c r="J976" t="s">
        <v>121</v>
      </c>
      <c r="K976" t="s">
        <v>47</v>
      </c>
      <c r="O976">
        <v>0</v>
      </c>
      <c r="P976">
        <v>0</v>
      </c>
      <c r="Q976">
        <v>0</v>
      </c>
      <c r="R976">
        <v>0</v>
      </c>
      <c r="S976">
        <v>1</v>
      </c>
      <c r="T976">
        <v>1</v>
      </c>
      <c r="U976">
        <v>1</v>
      </c>
      <c r="V976">
        <v>0</v>
      </c>
      <c r="W976" t="s">
        <v>1149</v>
      </c>
      <c r="AA976">
        <v>2007</v>
      </c>
      <c r="AB976">
        <v>9999</v>
      </c>
      <c r="AC976" t="s">
        <v>35</v>
      </c>
    </row>
    <row r="977" spans="1:29" x14ac:dyDescent="0.25">
      <c r="A977" s="31" t="s">
        <v>670</v>
      </c>
      <c r="B977" s="23" t="s">
        <v>671</v>
      </c>
      <c r="D977">
        <v>1</v>
      </c>
      <c r="E977" t="s">
        <v>80</v>
      </c>
      <c r="F977">
        <v>8</v>
      </c>
      <c r="G977">
        <v>2023</v>
      </c>
      <c r="I977" s="8">
        <v>228.95</v>
      </c>
      <c r="J977" t="s">
        <v>81</v>
      </c>
      <c r="K977" t="s">
        <v>47</v>
      </c>
      <c r="O977">
        <v>0</v>
      </c>
      <c r="P977">
        <v>0</v>
      </c>
      <c r="Q977">
        <v>0</v>
      </c>
      <c r="R977">
        <v>0</v>
      </c>
      <c r="S977">
        <v>1</v>
      </c>
      <c r="T977">
        <v>1</v>
      </c>
      <c r="U977">
        <v>1</v>
      </c>
      <c r="V977">
        <v>0</v>
      </c>
      <c r="W977" t="s">
        <v>1498</v>
      </c>
      <c r="AA977">
        <v>2007</v>
      </c>
      <c r="AB977">
        <v>9999</v>
      </c>
      <c r="AC977" t="s">
        <v>35</v>
      </c>
    </row>
    <row r="978" spans="1:29" x14ac:dyDescent="0.25">
      <c r="A978" s="31" t="s">
        <v>673</v>
      </c>
      <c r="B978" s="23" t="s">
        <v>1321</v>
      </c>
      <c r="D978">
        <v>1</v>
      </c>
      <c r="E978" t="s">
        <v>358</v>
      </c>
      <c r="F978">
        <v>1</v>
      </c>
      <c r="G978">
        <v>2023</v>
      </c>
      <c r="I978" s="8">
        <v>396.44</v>
      </c>
      <c r="J978" t="s">
        <v>81</v>
      </c>
      <c r="K978" t="s">
        <v>47</v>
      </c>
      <c r="O978">
        <v>0</v>
      </c>
      <c r="P978">
        <v>0</v>
      </c>
      <c r="Q978">
        <v>0</v>
      </c>
      <c r="R978">
        <v>0</v>
      </c>
      <c r="S978">
        <v>1</v>
      </c>
      <c r="T978">
        <v>1</v>
      </c>
      <c r="U978">
        <v>1</v>
      </c>
      <c r="V978">
        <v>0</v>
      </c>
      <c r="W978" t="s">
        <v>1322</v>
      </c>
      <c r="AA978">
        <v>2007</v>
      </c>
      <c r="AB978">
        <v>9999</v>
      </c>
      <c r="AC978" t="s">
        <v>35</v>
      </c>
    </row>
    <row r="979" spans="1:29" x14ac:dyDescent="0.25">
      <c r="A979" s="31" t="s">
        <v>676</v>
      </c>
      <c r="B979" s="23" t="s">
        <v>677</v>
      </c>
      <c r="C979" t="s">
        <v>678</v>
      </c>
      <c r="D979">
        <v>1</v>
      </c>
      <c r="E979" t="s">
        <v>168</v>
      </c>
      <c r="F979">
        <v>1</v>
      </c>
      <c r="G979">
        <v>2023</v>
      </c>
      <c r="I979" s="8">
        <v>206.57</v>
      </c>
      <c r="J979" t="s">
        <v>52</v>
      </c>
      <c r="K979" t="s">
        <v>32</v>
      </c>
      <c r="O979">
        <v>0</v>
      </c>
      <c r="P979">
        <v>0</v>
      </c>
      <c r="Q979">
        <v>0</v>
      </c>
      <c r="R979">
        <v>0</v>
      </c>
      <c r="S979">
        <v>1</v>
      </c>
      <c r="T979">
        <v>1</v>
      </c>
      <c r="U979">
        <v>1</v>
      </c>
      <c r="V979">
        <v>0</v>
      </c>
      <c r="W979" t="s">
        <v>1152</v>
      </c>
      <c r="AA979">
        <v>2007</v>
      </c>
      <c r="AB979">
        <v>9999</v>
      </c>
      <c r="AC979" t="s">
        <v>35</v>
      </c>
    </row>
    <row r="980" spans="1:29" x14ac:dyDescent="0.25">
      <c r="A980" s="31" t="s">
        <v>688</v>
      </c>
      <c r="B980" s="23" t="s">
        <v>689</v>
      </c>
      <c r="D980">
        <v>1</v>
      </c>
      <c r="E980" t="s">
        <v>145</v>
      </c>
      <c r="F980">
        <v>2</v>
      </c>
      <c r="G980">
        <v>2023</v>
      </c>
      <c r="H980" t="s">
        <v>146</v>
      </c>
      <c r="I980" s="15">
        <v>0.02</v>
      </c>
      <c r="J980" t="s">
        <v>147</v>
      </c>
      <c r="K980" t="s">
        <v>41</v>
      </c>
      <c r="O980">
        <v>0</v>
      </c>
      <c r="P980">
        <v>0</v>
      </c>
      <c r="Q980">
        <v>0</v>
      </c>
      <c r="R980">
        <v>0</v>
      </c>
      <c r="S980">
        <v>0</v>
      </c>
      <c r="T980">
        <v>0</v>
      </c>
      <c r="U980">
        <v>0</v>
      </c>
      <c r="V980">
        <v>0</v>
      </c>
      <c r="W980" t="s">
        <v>1154</v>
      </c>
      <c r="AA980">
        <v>2007</v>
      </c>
      <c r="AB980">
        <v>9999</v>
      </c>
      <c r="AC980" t="s">
        <v>35</v>
      </c>
    </row>
    <row r="981" spans="1:29" x14ac:dyDescent="0.25">
      <c r="A981" s="31" t="s">
        <v>691</v>
      </c>
      <c r="B981" s="23" t="s">
        <v>692</v>
      </c>
      <c r="D981">
        <v>1</v>
      </c>
      <c r="E981" t="s">
        <v>625</v>
      </c>
      <c r="F981">
        <v>4</v>
      </c>
      <c r="G981">
        <v>2023</v>
      </c>
      <c r="I981" s="8">
        <v>24</v>
      </c>
      <c r="J981" t="s">
        <v>104</v>
      </c>
      <c r="K981" t="s">
        <v>32</v>
      </c>
      <c r="O981">
        <v>0</v>
      </c>
      <c r="P981">
        <v>0</v>
      </c>
      <c r="Q981">
        <v>0</v>
      </c>
      <c r="R981">
        <v>0</v>
      </c>
      <c r="S981">
        <v>1</v>
      </c>
      <c r="T981">
        <v>1</v>
      </c>
      <c r="U981">
        <v>1</v>
      </c>
      <c r="V981">
        <v>0</v>
      </c>
      <c r="W981" t="s">
        <v>1155</v>
      </c>
      <c r="AA981">
        <v>2007</v>
      </c>
      <c r="AB981">
        <v>9999</v>
      </c>
      <c r="AC981" t="s">
        <v>35</v>
      </c>
    </row>
    <row r="982" spans="1:29" x14ac:dyDescent="0.25">
      <c r="A982" s="31" t="s">
        <v>694</v>
      </c>
      <c r="B982" s="23" t="s">
        <v>695</v>
      </c>
      <c r="C982" t="s">
        <v>696</v>
      </c>
      <c r="D982">
        <v>1</v>
      </c>
      <c r="E982" t="s">
        <v>58</v>
      </c>
      <c r="F982">
        <v>4</v>
      </c>
      <c r="G982">
        <v>2023</v>
      </c>
      <c r="I982" s="8">
        <v>137</v>
      </c>
      <c r="J982" t="s">
        <v>59</v>
      </c>
      <c r="K982" t="s">
        <v>47</v>
      </c>
      <c r="O982">
        <v>0</v>
      </c>
      <c r="P982">
        <v>0</v>
      </c>
      <c r="Q982">
        <v>0</v>
      </c>
      <c r="R982">
        <v>0</v>
      </c>
      <c r="S982">
        <v>1</v>
      </c>
      <c r="T982">
        <v>1</v>
      </c>
      <c r="U982">
        <v>1</v>
      </c>
      <c r="V982">
        <v>0</v>
      </c>
      <c r="W982" t="s">
        <v>1156</v>
      </c>
      <c r="AA982">
        <v>2007</v>
      </c>
      <c r="AB982">
        <v>9999</v>
      </c>
      <c r="AC982" t="s">
        <v>35</v>
      </c>
    </row>
    <row r="983" spans="1:29" x14ac:dyDescent="0.25">
      <c r="A983" s="31" t="s">
        <v>698</v>
      </c>
      <c r="B983" s="23" t="s">
        <v>699</v>
      </c>
      <c r="D983">
        <v>1</v>
      </c>
      <c r="E983" t="s">
        <v>155</v>
      </c>
      <c r="F983">
        <v>3</v>
      </c>
      <c r="G983">
        <v>2023</v>
      </c>
      <c r="H983" t="s">
        <v>700</v>
      </c>
      <c r="I983">
        <v>6.26</v>
      </c>
      <c r="J983" t="s">
        <v>121</v>
      </c>
      <c r="K983" t="s">
        <v>47</v>
      </c>
      <c r="O983">
        <v>0</v>
      </c>
      <c r="P983">
        <v>0</v>
      </c>
      <c r="Q983">
        <v>0</v>
      </c>
      <c r="R983">
        <v>0</v>
      </c>
      <c r="S983">
        <v>1</v>
      </c>
      <c r="T983">
        <v>0</v>
      </c>
      <c r="U983">
        <v>0</v>
      </c>
      <c r="V983">
        <v>1</v>
      </c>
      <c r="W983" t="s">
        <v>1157</v>
      </c>
      <c r="AA983">
        <v>2007</v>
      </c>
      <c r="AB983">
        <v>9999</v>
      </c>
      <c r="AC983" t="s">
        <v>35</v>
      </c>
    </row>
    <row r="984" spans="1:29" x14ac:dyDescent="0.25">
      <c r="A984" s="31" t="s">
        <v>702</v>
      </c>
      <c r="B984" s="23" t="s">
        <v>703</v>
      </c>
      <c r="D984">
        <v>1</v>
      </c>
      <c r="E984" t="s">
        <v>155</v>
      </c>
      <c r="F984">
        <v>3</v>
      </c>
      <c r="G984">
        <v>2023</v>
      </c>
      <c r="H984" t="s">
        <v>704</v>
      </c>
      <c r="I984">
        <v>0.4</v>
      </c>
      <c r="J984" t="s">
        <v>121</v>
      </c>
      <c r="K984" t="s">
        <v>41</v>
      </c>
      <c r="O984">
        <v>0</v>
      </c>
      <c r="P984">
        <v>0</v>
      </c>
      <c r="Q984">
        <v>0</v>
      </c>
      <c r="R984">
        <v>0</v>
      </c>
      <c r="S984">
        <v>0</v>
      </c>
      <c r="T984">
        <v>0</v>
      </c>
      <c r="U984">
        <v>0</v>
      </c>
      <c r="V984">
        <v>1</v>
      </c>
      <c r="W984" t="s">
        <v>1158</v>
      </c>
      <c r="AA984">
        <v>2007</v>
      </c>
      <c r="AB984">
        <v>9999</v>
      </c>
      <c r="AC984" t="s">
        <v>35</v>
      </c>
    </row>
    <row r="985" spans="1:29" x14ac:dyDescent="0.25">
      <c r="A985" s="31" t="s">
        <v>706</v>
      </c>
      <c r="B985" s="23" t="s">
        <v>707</v>
      </c>
      <c r="C985" t="s">
        <v>708</v>
      </c>
      <c r="D985">
        <v>1</v>
      </c>
      <c r="E985" t="s">
        <v>155</v>
      </c>
      <c r="F985">
        <v>3</v>
      </c>
      <c r="G985">
        <v>2023</v>
      </c>
      <c r="I985" s="8">
        <v>520.89</v>
      </c>
      <c r="J985" t="s">
        <v>121</v>
      </c>
      <c r="K985" t="s">
        <v>47</v>
      </c>
      <c r="O985">
        <v>0</v>
      </c>
      <c r="P985">
        <v>0</v>
      </c>
      <c r="Q985">
        <v>0</v>
      </c>
      <c r="R985">
        <v>0</v>
      </c>
      <c r="S985">
        <v>1</v>
      </c>
      <c r="T985">
        <v>1</v>
      </c>
      <c r="U985">
        <v>1</v>
      </c>
      <c r="V985">
        <v>0</v>
      </c>
      <c r="W985" t="s">
        <v>1159</v>
      </c>
      <c r="AA985">
        <v>2007</v>
      </c>
      <c r="AB985">
        <v>9999</v>
      </c>
      <c r="AC985" t="s">
        <v>35</v>
      </c>
    </row>
    <row r="986" spans="1:29" x14ac:dyDescent="0.25">
      <c r="A986" s="31" t="s">
        <v>710</v>
      </c>
      <c r="B986" s="23" t="s">
        <v>711</v>
      </c>
      <c r="D986">
        <v>1</v>
      </c>
      <c r="E986" t="s">
        <v>712</v>
      </c>
      <c r="F986">
        <v>9</v>
      </c>
      <c r="G986">
        <v>2023</v>
      </c>
      <c r="I986" s="8">
        <v>120.35</v>
      </c>
      <c r="J986" t="s">
        <v>104</v>
      </c>
      <c r="K986" t="s">
        <v>41</v>
      </c>
      <c r="O986">
        <v>0</v>
      </c>
      <c r="P986">
        <v>0</v>
      </c>
      <c r="Q986">
        <v>0</v>
      </c>
      <c r="R986">
        <v>0</v>
      </c>
      <c r="S986">
        <v>0</v>
      </c>
      <c r="T986">
        <v>1</v>
      </c>
      <c r="U986">
        <v>1</v>
      </c>
      <c r="V986">
        <v>0</v>
      </c>
      <c r="W986" t="s">
        <v>1406</v>
      </c>
      <c r="AA986">
        <v>2007</v>
      </c>
      <c r="AB986">
        <v>9999</v>
      </c>
      <c r="AC986" t="s">
        <v>35</v>
      </c>
    </row>
    <row r="987" spans="1:29" x14ac:dyDescent="0.25">
      <c r="A987" s="31" t="s">
        <v>714</v>
      </c>
      <c r="B987" s="23" t="s">
        <v>715</v>
      </c>
      <c r="D987">
        <v>1</v>
      </c>
      <c r="E987" t="s">
        <v>80</v>
      </c>
      <c r="F987">
        <v>8</v>
      </c>
      <c r="G987">
        <v>2023</v>
      </c>
      <c r="I987" s="8">
        <v>60.19</v>
      </c>
      <c r="J987" t="s">
        <v>81</v>
      </c>
      <c r="K987" t="s">
        <v>76</v>
      </c>
      <c r="O987">
        <v>0</v>
      </c>
      <c r="P987">
        <v>0</v>
      </c>
      <c r="Q987">
        <v>0</v>
      </c>
      <c r="R987">
        <v>0</v>
      </c>
      <c r="S987">
        <v>0</v>
      </c>
      <c r="T987">
        <v>1</v>
      </c>
      <c r="U987">
        <v>1</v>
      </c>
      <c r="V987">
        <v>0</v>
      </c>
      <c r="W987" t="s">
        <v>1323</v>
      </c>
      <c r="AA987">
        <v>2007</v>
      </c>
      <c r="AB987">
        <v>9999</v>
      </c>
      <c r="AC987" t="s">
        <v>35</v>
      </c>
    </row>
    <row r="988" spans="1:29" x14ac:dyDescent="0.25">
      <c r="A988" s="31" t="s">
        <v>717</v>
      </c>
      <c r="B988" s="23" t="s">
        <v>718</v>
      </c>
      <c r="D988">
        <v>1</v>
      </c>
      <c r="E988" t="s">
        <v>51</v>
      </c>
      <c r="F988">
        <v>1</v>
      </c>
      <c r="G988">
        <v>2023</v>
      </c>
      <c r="I988" s="8">
        <v>43</v>
      </c>
      <c r="J988" t="s">
        <v>52</v>
      </c>
      <c r="K988" t="s">
        <v>53</v>
      </c>
      <c r="L988" t="s">
        <v>54</v>
      </c>
      <c r="O988">
        <v>0</v>
      </c>
      <c r="P988">
        <v>0</v>
      </c>
      <c r="Q988">
        <v>1</v>
      </c>
      <c r="R988">
        <v>0</v>
      </c>
      <c r="S988">
        <v>0</v>
      </c>
      <c r="T988">
        <v>0</v>
      </c>
      <c r="U988">
        <v>1</v>
      </c>
      <c r="V988">
        <v>0</v>
      </c>
      <c r="W988" t="s">
        <v>55</v>
      </c>
      <c r="AA988">
        <v>2007</v>
      </c>
      <c r="AB988">
        <v>9999</v>
      </c>
      <c r="AC988" t="s">
        <v>35</v>
      </c>
    </row>
    <row r="989" spans="1:29" x14ac:dyDescent="0.25">
      <c r="A989" s="31" t="s">
        <v>719</v>
      </c>
      <c r="B989" s="23" t="s">
        <v>720</v>
      </c>
      <c r="D989">
        <v>1</v>
      </c>
      <c r="E989" t="s">
        <v>51</v>
      </c>
      <c r="F989">
        <v>1</v>
      </c>
      <c r="G989">
        <v>2023</v>
      </c>
      <c r="I989" s="8">
        <v>34</v>
      </c>
      <c r="J989" t="s">
        <v>52</v>
      </c>
      <c r="K989" t="s">
        <v>53</v>
      </c>
      <c r="L989" t="s">
        <v>54</v>
      </c>
      <c r="O989">
        <v>0</v>
      </c>
      <c r="P989">
        <v>0</v>
      </c>
      <c r="Q989">
        <v>1</v>
      </c>
      <c r="R989">
        <v>0</v>
      </c>
      <c r="S989">
        <v>0</v>
      </c>
      <c r="T989">
        <v>0</v>
      </c>
      <c r="U989">
        <v>1</v>
      </c>
      <c r="V989">
        <v>0</v>
      </c>
      <c r="W989" t="s">
        <v>721</v>
      </c>
      <c r="AA989">
        <v>2007</v>
      </c>
      <c r="AB989">
        <v>9999</v>
      </c>
      <c r="AC989" t="s">
        <v>35</v>
      </c>
    </row>
    <row r="990" spans="1:29" x14ac:dyDescent="0.25">
      <c r="A990" s="31" t="s">
        <v>722</v>
      </c>
      <c r="B990" s="23" t="s">
        <v>723</v>
      </c>
      <c r="D990">
        <v>1</v>
      </c>
      <c r="E990" t="s">
        <v>724</v>
      </c>
      <c r="F990">
        <v>4</v>
      </c>
      <c r="G990">
        <v>2023</v>
      </c>
      <c r="I990" s="8">
        <v>1321.08</v>
      </c>
      <c r="J990" t="s">
        <v>1608</v>
      </c>
      <c r="K990" t="s">
        <v>32</v>
      </c>
      <c r="L990" t="s">
        <v>33</v>
      </c>
      <c r="O990">
        <v>0</v>
      </c>
      <c r="P990">
        <v>0</v>
      </c>
      <c r="Q990">
        <v>0</v>
      </c>
      <c r="R990">
        <v>1</v>
      </c>
      <c r="S990">
        <v>1</v>
      </c>
      <c r="T990">
        <v>1</v>
      </c>
      <c r="U990">
        <v>1</v>
      </c>
      <c r="V990">
        <v>0</v>
      </c>
      <c r="W990" t="s">
        <v>1161</v>
      </c>
      <c r="AA990">
        <v>2007</v>
      </c>
      <c r="AB990">
        <v>9999</v>
      </c>
      <c r="AC990" t="s">
        <v>35</v>
      </c>
    </row>
    <row r="991" spans="1:29" x14ac:dyDescent="0.25">
      <c r="A991" s="31" t="s">
        <v>726</v>
      </c>
      <c r="B991" s="23" t="s">
        <v>727</v>
      </c>
      <c r="D991">
        <v>1</v>
      </c>
      <c r="E991" t="s">
        <v>85</v>
      </c>
      <c r="F991">
        <v>1</v>
      </c>
      <c r="G991">
        <v>2023</v>
      </c>
      <c r="H991" t="s">
        <v>205</v>
      </c>
      <c r="I991" s="15">
        <v>9</v>
      </c>
      <c r="J991" t="s">
        <v>52</v>
      </c>
      <c r="K991" t="s">
        <v>41</v>
      </c>
      <c r="O991">
        <v>0</v>
      </c>
      <c r="P991">
        <v>0</v>
      </c>
      <c r="Q991">
        <v>0</v>
      </c>
      <c r="R991">
        <v>0</v>
      </c>
      <c r="S991">
        <v>0</v>
      </c>
      <c r="T991">
        <v>0</v>
      </c>
      <c r="U991">
        <v>0</v>
      </c>
      <c r="V991">
        <v>0</v>
      </c>
      <c r="W991" t="s">
        <v>1162</v>
      </c>
      <c r="AA991">
        <v>2007</v>
      </c>
      <c r="AB991">
        <v>9999</v>
      </c>
      <c r="AC991" t="s">
        <v>35</v>
      </c>
    </row>
    <row r="992" spans="1:29" x14ac:dyDescent="0.25">
      <c r="A992" s="31" t="s">
        <v>729</v>
      </c>
      <c r="B992" s="23" t="s">
        <v>205</v>
      </c>
      <c r="D992">
        <v>1</v>
      </c>
      <c r="E992" t="s">
        <v>168</v>
      </c>
      <c r="F992">
        <v>1</v>
      </c>
      <c r="G992">
        <v>2023</v>
      </c>
      <c r="I992" s="8">
        <v>9298.7800000000007</v>
      </c>
      <c r="J992" t="s">
        <v>52</v>
      </c>
      <c r="K992" t="s">
        <v>32</v>
      </c>
      <c r="O992">
        <v>0</v>
      </c>
      <c r="P992">
        <v>0</v>
      </c>
      <c r="Q992">
        <v>0</v>
      </c>
      <c r="R992">
        <v>0</v>
      </c>
      <c r="S992">
        <v>1</v>
      </c>
      <c r="T992">
        <v>1</v>
      </c>
      <c r="U992">
        <v>1</v>
      </c>
      <c r="V992">
        <v>0</v>
      </c>
      <c r="W992" t="s">
        <v>1555</v>
      </c>
      <c r="AA992">
        <v>2007</v>
      </c>
      <c r="AB992">
        <v>9999</v>
      </c>
      <c r="AC992" t="s">
        <v>35</v>
      </c>
    </row>
    <row r="993" spans="1:29" x14ac:dyDescent="0.25">
      <c r="A993" s="31" t="s">
        <v>731</v>
      </c>
      <c r="B993" s="23" t="s">
        <v>732</v>
      </c>
      <c r="D993">
        <v>1</v>
      </c>
      <c r="E993" t="s">
        <v>51</v>
      </c>
      <c r="F993">
        <v>10</v>
      </c>
      <c r="G993">
        <v>2023</v>
      </c>
      <c r="H993" t="s">
        <v>39</v>
      </c>
      <c r="I993" s="15">
        <v>2</v>
      </c>
      <c r="J993" t="s">
        <v>52</v>
      </c>
      <c r="K993" t="s">
        <v>41</v>
      </c>
      <c r="O993">
        <v>0</v>
      </c>
      <c r="P993">
        <v>0</v>
      </c>
      <c r="Q993">
        <v>0</v>
      </c>
      <c r="R993">
        <v>0</v>
      </c>
      <c r="S993">
        <v>0</v>
      </c>
      <c r="T993">
        <v>0</v>
      </c>
      <c r="U993">
        <v>0</v>
      </c>
      <c r="V993">
        <v>0</v>
      </c>
      <c r="W993" t="s">
        <v>1164</v>
      </c>
      <c r="AA993">
        <v>2007</v>
      </c>
      <c r="AB993">
        <v>9999</v>
      </c>
      <c r="AC993" t="s">
        <v>35</v>
      </c>
    </row>
    <row r="994" spans="1:29" x14ac:dyDescent="0.25">
      <c r="A994" s="31" t="s">
        <v>734</v>
      </c>
      <c r="B994" s="23" t="s">
        <v>735</v>
      </c>
      <c r="D994">
        <v>1</v>
      </c>
      <c r="E994" t="s">
        <v>736</v>
      </c>
      <c r="F994">
        <v>4</v>
      </c>
      <c r="G994">
        <v>2023</v>
      </c>
      <c r="I994" s="8">
        <v>734.16</v>
      </c>
      <c r="J994" t="s">
        <v>1608</v>
      </c>
      <c r="K994" t="s">
        <v>32</v>
      </c>
      <c r="O994">
        <v>0</v>
      </c>
      <c r="P994">
        <v>0</v>
      </c>
      <c r="Q994">
        <v>0</v>
      </c>
      <c r="R994">
        <v>0</v>
      </c>
      <c r="S994">
        <v>1</v>
      </c>
      <c r="T994">
        <v>1</v>
      </c>
      <c r="U994">
        <v>1</v>
      </c>
      <c r="V994">
        <v>0</v>
      </c>
      <c r="W994" t="s">
        <v>1324</v>
      </c>
      <c r="AA994">
        <v>2007</v>
      </c>
      <c r="AB994">
        <v>9999</v>
      </c>
      <c r="AC994" t="s">
        <v>35</v>
      </c>
    </row>
    <row r="995" spans="1:29" x14ac:dyDescent="0.25">
      <c r="A995" s="31" t="s">
        <v>1499</v>
      </c>
      <c r="B995" s="23" t="s">
        <v>1500</v>
      </c>
      <c r="D995">
        <v>1</v>
      </c>
      <c r="E995" s="4">
        <v>960</v>
      </c>
      <c r="F995">
        <v>9</v>
      </c>
      <c r="G995">
        <v>2023</v>
      </c>
      <c r="I995" s="8">
        <v>14.6</v>
      </c>
      <c r="J995" t="s">
        <v>104</v>
      </c>
      <c r="K995" t="s">
        <v>47</v>
      </c>
      <c r="O995">
        <v>0</v>
      </c>
      <c r="P995">
        <v>0</v>
      </c>
      <c r="Q995">
        <v>0</v>
      </c>
      <c r="R995">
        <v>0</v>
      </c>
      <c r="S995">
        <v>1</v>
      </c>
      <c r="T995">
        <v>1</v>
      </c>
      <c r="U995">
        <v>1</v>
      </c>
      <c r="V995">
        <v>0</v>
      </c>
      <c r="W995" t="s">
        <v>1501</v>
      </c>
      <c r="AA995">
        <v>2015</v>
      </c>
      <c r="AB995">
        <v>9999</v>
      </c>
      <c r="AC995" t="s">
        <v>1475</v>
      </c>
    </row>
    <row r="996" spans="1:29" x14ac:dyDescent="0.25">
      <c r="A996" s="31" t="s">
        <v>738</v>
      </c>
      <c r="B996" s="23" t="s">
        <v>739</v>
      </c>
      <c r="D996">
        <v>1</v>
      </c>
      <c r="E996" t="s">
        <v>128</v>
      </c>
      <c r="F996">
        <v>9</v>
      </c>
      <c r="G996">
        <v>2023</v>
      </c>
      <c r="H996" t="s">
        <v>1262</v>
      </c>
      <c r="I996" s="15">
        <v>17</v>
      </c>
      <c r="J996" t="s">
        <v>104</v>
      </c>
      <c r="K996" t="s">
        <v>41</v>
      </c>
      <c r="O996">
        <v>0</v>
      </c>
      <c r="P996">
        <v>0</v>
      </c>
      <c r="Q996">
        <v>0</v>
      </c>
      <c r="R996">
        <v>0</v>
      </c>
      <c r="S996">
        <v>0</v>
      </c>
      <c r="T996">
        <v>0</v>
      </c>
      <c r="U996">
        <v>0</v>
      </c>
      <c r="V996">
        <v>0</v>
      </c>
      <c r="W996" t="s">
        <v>1166</v>
      </c>
      <c r="AA996">
        <v>2007</v>
      </c>
      <c r="AB996">
        <v>9999</v>
      </c>
      <c r="AC996" t="s">
        <v>35</v>
      </c>
    </row>
    <row r="997" spans="1:29" x14ac:dyDescent="0.25">
      <c r="A997" s="31" t="s">
        <v>745</v>
      </c>
      <c r="B997" s="23" t="s">
        <v>746</v>
      </c>
      <c r="D997">
        <v>1</v>
      </c>
      <c r="E997" t="s">
        <v>468</v>
      </c>
      <c r="F997">
        <v>7</v>
      </c>
      <c r="G997">
        <v>2023</v>
      </c>
      <c r="I997" s="8">
        <v>777.82</v>
      </c>
      <c r="J997" t="s">
        <v>40</v>
      </c>
      <c r="K997" t="s">
        <v>32</v>
      </c>
      <c r="O997">
        <v>0</v>
      </c>
      <c r="P997">
        <v>0</v>
      </c>
      <c r="Q997">
        <v>0</v>
      </c>
      <c r="R997">
        <v>0</v>
      </c>
      <c r="S997">
        <v>1</v>
      </c>
      <c r="T997">
        <v>1</v>
      </c>
      <c r="U997">
        <v>1</v>
      </c>
      <c r="V997">
        <v>0</v>
      </c>
      <c r="W997" t="s">
        <v>1516</v>
      </c>
      <c r="AA997">
        <v>2007</v>
      </c>
      <c r="AB997">
        <v>9999</v>
      </c>
      <c r="AC997" t="s">
        <v>35</v>
      </c>
    </row>
    <row r="998" spans="1:29" x14ac:dyDescent="0.25">
      <c r="A998" s="31" t="s">
        <v>1263</v>
      </c>
      <c r="B998" s="23" t="s">
        <v>1264</v>
      </c>
      <c r="C998" t="s">
        <v>1265</v>
      </c>
      <c r="D998">
        <v>1</v>
      </c>
      <c r="E998" t="s">
        <v>712</v>
      </c>
      <c r="F998">
        <v>9</v>
      </c>
      <c r="G998">
        <v>2023</v>
      </c>
      <c r="I998" s="8">
        <v>1151.98</v>
      </c>
      <c r="J998" t="s">
        <v>104</v>
      </c>
      <c r="K998" t="s">
        <v>47</v>
      </c>
      <c r="O998">
        <v>0</v>
      </c>
      <c r="P998">
        <v>0</v>
      </c>
      <c r="Q998">
        <v>0</v>
      </c>
      <c r="R998">
        <v>0</v>
      </c>
      <c r="S998">
        <v>1</v>
      </c>
      <c r="T998">
        <v>1</v>
      </c>
      <c r="U998">
        <v>1</v>
      </c>
      <c r="V998">
        <v>0</v>
      </c>
      <c r="W998" t="s">
        <v>1407</v>
      </c>
      <c r="AA998">
        <v>2009</v>
      </c>
      <c r="AB998">
        <v>9999</v>
      </c>
      <c r="AC998" t="s">
        <v>1239</v>
      </c>
    </row>
    <row r="999" spans="1:29" x14ac:dyDescent="0.25">
      <c r="A999" s="31" t="s">
        <v>447</v>
      </c>
      <c r="B999" s="23" t="s">
        <v>1571</v>
      </c>
      <c r="D999">
        <v>1</v>
      </c>
      <c r="E999" t="s">
        <v>45</v>
      </c>
      <c r="F999">
        <v>4</v>
      </c>
      <c r="G999">
        <v>2023</v>
      </c>
      <c r="I999" s="8">
        <v>60.72</v>
      </c>
      <c r="J999" t="s">
        <v>52</v>
      </c>
      <c r="K999" t="s">
        <v>32</v>
      </c>
      <c r="O999">
        <v>0</v>
      </c>
      <c r="P999">
        <v>0</v>
      </c>
      <c r="Q999">
        <v>0</v>
      </c>
      <c r="R999">
        <v>0</v>
      </c>
      <c r="S999">
        <v>1</v>
      </c>
      <c r="T999">
        <v>1</v>
      </c>
      <c r="U999">
        <v>1</v>
      </c>
      <c r="V999">
        <v>0</v>
      </c>
      <c r="W999" t="s">
        <v>1572</v>
      </c>
      <c r="AA999">
        <v>2007</v>
      </c>
      <c r="AB999">
        <v>9999</v>
      </c>
      <c r="AC999" t="s">
        <v>35</v>
      </c>
    </row>
    <row r="1000" spans="1:29" x14ac:dyDescent="0.25">
      <c r="A1000" s="31" t="s">
        <v>754</v>
      </c>
      <c r="B1000" s="23" t="s">
        <v>755</v>
      </c>
      <c r="D1000">
        <v>1</v>
      </c>
      <c r="E1000" t="s">
        <v>85</v>
      </c>
      <c r="F1000">
        <v>1</v>
      </c>
      <c r="G1000">
        <v>2023</v>
      </c>
      <c r="H1000" t="s">
        <v>756</v>
      </c>
      <c r="I1000" s="15">
        <v>0.05</v>
      </c>
      <c r="J1000" t="s">
        <v>52</v>
      </c>
      <c r="K1000" t="s">
        <v>41</v>
      </c>
      <c r="O1000">
        <v>0</v>
      </c>
      <c r="P1000">
        <v>0</v>
      </c>
      <c r="Q1000">
        <v>0</v>
      </c>
      <c r="R1000">
        <v>0</v>
      </c>
      <c r="S1000">
        <v>0</v>
      </c>
      <c r="T1000">
        <v>0</v>
      </c>
      <c r="U1000">
        <v>0</v>
      </c>
      <c r="V1000">
        <v>0</v>
      </c>
      <c r="W1000" t="s">
        <v>1169</v>
      </c>
      <c r="AA1000">
        <v>2007</v>
      </c>
      <c r="AB1000">
        <v>9999</v>
      </c>
      <c r="AC1000" t="s">
        <v>35</v>
      </c>
    </row>
    <row r="1001" spans="1:29" ht="30" x14ac:dyDescent="0.25">
      <c r="A1001" s="31" t="s">
        <v>758</v>
      </c>
      <c r="B1001" s="23" t="s">
        <v>1504</v>
      </c>
      <c r="C1001" t="s">
        <v>1505</v>
      </c>
      <c r="D1001">
        <v>1</v>
      </c>
      <c r="E1001" t="s">
        <v>760</v>
      </c>
      <c r="F1001">
        <v>7</v>
      </c>
      <c r="G1001">
        <v>2023</v>
      </c>
      <c r="I1001" s="8">
        <v>74.52</v>
      </c>
      <c r="J1001" t="s">
        <v>40</v>
      </c>
      <c r="K1001" t="s">
        <v>47</v>
      </c>
      <c r="O1001">
        <v>0</v>
      </c>
      <c r="P1001">
        <v>0</v>
      </c>
      <c r="Q1001">
        <v>0</v>
      </c>
      <c r="R1001">
        <v>0</v>
      </c>
      <c r="S1001">
        <v>1</v>
      </c>
      <c r="T1001">
        <v>1</v>
      </c>
      <c r="U1001">
        <v>1</v>
      </c>
      <c r="V1001">
        <v>0</v>
      </c>
      <c r="W1001" t="s">
        <v>1170</v>
      </c>
      <c r="AA1001">
        <v>2007</v>
      </c>
      <c r="AB1001">
        <v>9999</v>
      </c>
      <c r="AC1001" t="s">
        <v>35</v>
      </c>
    </row>
    <row r="1002" spans="1:29" x14ac:dyDescent="0.25">
      <c r="A1002" s="31" t="s">
        <v>78</v>
      </c>
      <c r="B1002" s="23" t="s">
        <v>1465</v>
      </c>
      <c r="C1002" t="s">
        <v>1466</v>
      </c>
      <c r="D1002">
        <v>1</v>
      </c>
      <c r="E1002" t="s">
        <v>80</v>
      </c>
      <c r="F1002">
        <v>8</v>
      </c>
      <c r="G1002">
        <v>2023</v>
      </c>
      <c r="I1002" s="8">
        <v>40.1</v>
      </c>
      <c r="J1002" t="s">
        <v>81</v>
      </c>
      <c r="K1002" t="s">
        <v>47</v>
      </c>
      <c r="O1002">
        <v>0</v>
      </c>
      <c r="P1002">
        <v>0</v>
      </c>
      <c r="Q1002">
        <v>0</v>
      </c>
      <c r="R1002">
        <v>0</v>
      </c>
      <c r="S1002">
        <v>1</v>
      </c>
      <c r="T1002">
        <v>1</v>
      </c>
      <c r="U1002">
        <v>1</v>
      </c>
      <c r="V1002">
        <v>0</v>
      </c>
      <c r="W1002" t="s">
        <v>1467</v>
      </c>
      <c r="AA1002">
        <v>2007</v>
      </c>
      <c r="AB1002">
        <v>2025</v>
      </c>
      <c r="AC1002" t="s">
        <v>2057</v>
      </c>
    </row>
    <row r="1003" spans="1:29" x14ac:dyDescent="0.25">
      <c r="A1003" s="31" t="s">
        <v>768</v>
      </c>
      <c r="B1003" s="23" t="s">
        <v>769</v>
      </c>
      <c r="C1003" t="s">
        <v>770</v>
      </c>
      <c r="D1003">
        <v>1</v>
      </c>
      <c r="E1003" t="s">
        <v>30</v>
      </c>
      <c r="F1003">
        <v>4</v>
      </c>
      <c r="G1003">
        <v>2023</v>
      </c>
      <c r="I1003" s="8">
        <v>419.76</v>
      </c>
      <c r="J1003" t="s">
        <v>1610</v>
      </c>
      <c r="K1003" t="s">
        <v>47</v>
      </c>
      <c r="O1003">
        <v>0</v>
      </c>
      <c r="P1003">
        <v>0</v>
      </c>
      <c r="Q1003">
        <v>0</v>
      </c>
      <c r="R1003">
        <v>0</v>
      </c>
      <c r="S1003">
        <v>1</v>
      </c>
      <c r="T1003">
        <v>1</v>
      </c>
      <c r="U1003">
        <v>1</v>
      </c>
      <c r="V1003">
        <v>0</v>
      </c>
      <c r="W1003" t="s">
        <v>1506</v>
      </c>
      <c r="AA1003">
        <v>2007</v>
      </c>
      <c r="AB1003">
        <v>9999</v>
      </c>
      <c r="AC1003" t="s">
        <v>35</v>
      </c>
    </row>
    <row r="1004" spans="1:29" x14ac:dyDescent="0.25">
      <c r="A1004" s="31" t="s">
        <v>772</v>
      </c>
      <c r="B1004" s="23" t="s">
        <v>773</v>
      </c>
      <c r="C1004" t="s">
        <v>774</v>
      </c>
      <c r="D1004">
        <v>1</v>
      </c>
      <c r="E1004" t="s">
        <v>358</v>
      </c>
      <c r="F1004">
        <v>1</v>
      </c>
      <c r="G1004">
        <v>2023</v>
      </c>
      <c r="I1004" s="8">
        <v>534.79</v>
      </c>
      <c r="J1004" t="s">
        <v>52</v>
      </c>
      <c r="K1004" t="s">
        <v>32</v>
      </c>
      <c r="O1004">
        <v>0</v>
      </c>
      <c r="P1004">
        <v>0</v>
      </c>
      <c r="Q1004">
        <v>0</v>
      </c>
      <c r="R1004">
        <v>0</v>
      </c>
      <c r="S1004">
        <v>1</v>
      </c>
      <c r="T1004">
        <v>1</v>
      </c>
      <c r="U1004">
        <v>1</v>
      </c>
      <c r="V1004">
        <v>0</v>
      </c>
      <c r="W1004" t="s">
        <v>1174</v>
      </c>
      <c r="AA1004">
        <v>2007</v>
      </c>
      <c r="AB1004">
        <v>9999</v>
      </c>
      <c r="AC1004" t="s">
        <v>35</v>
      </c>
    </row>
    <row r="1005" spans="1:29" x14ac:dyDescent="0.25">
      <c r="A1005" s="31" t="s">
        <v>779</v>
      </c>
      <c r="B1005" s="23" t="s">
        <v>780</v>
      </c>
      <c r="D1005">
        <v>1</v>
      </c>
      <c r="E1005" t="s">
        <v>80</v>
      </c>
      <c r="F1005">
        <v>8</v>
      </c>
      <c r="G1005">
        <v>2023</v>
      </c>
      <c r="I1005" s="8">
        <v>80.17</v>
      </c>
      <c r="J1005" t="s">
        <v>81</v>
      </c>
      <c r="K1005" t="s">
        <v>47</v>
      </c>
      <c r="O1005">
        <v>0</v>
      </c>
      <c r="P1005">
        <v>0</v>
      </c>
      <c r="Q1005">
        <v>0</v>
      </c>
      <c r="R1005">
        <v>0</v>
      </c>
      <c r="S1005">
        <v>1</v>
      </c>
      <c r="T1005">
        <v>1</v>
      </c>
      <c r="U1005">
        <v>1</v>
      </c>
      <c r="V1005">
        <v>0</v>
      </c>
      <c r="W1005" t="s">
        <v>1176</v>
      </c>
      <c r="AA1005">
        <v>2007</v>
      </c>
      <c r="AB1005">
        <v>9999</v>
      </c>
      <c r="AC1005" t="s">
        <v>35</v>
      </c>
    </row>
    <row r="1006" spans="1:29" x14ac:dyDescent="0.25">
      <c r="A1006" s="31" t="s">
        <v>782</v>
      </c>
      <c r="B1006" s="23" t="s">
        <v>783</v>
      </c>
      <c r="D1006">
        <v>1</v>
      </c>
      <c r="E1006" t="s">
        <v>784</v>
      </c>
      <c r="F1006">
        <v>6</v>
      </c>
      <c r="G1006">
        <v>2023</v>
      </c>
      <c r="I1006" s="8">
        <v>90.85</v>
      </c>
      <c r="J1006" t="s">
        <v>1610</v>
      </c>
      <c r="K1006" t="s">
        <v>47</v>
      </c>
      <c r="O1006">
        <v>0</v>
      </c>
      <c r="P1006">
        <v>0</v>
      </c>
      <c r="Q1006">
        <v>0</v>
      </c>
      <c r="R1006">
        <v>0</v>
      </c>
      <c r="S1006">
        <v>1</v>
      </c>
      <c r="T1006">
        <v>1</v>
      </c>
      <c r="U1006">
        <v>1</v>
      </c>
      <c r="V1006">
        <v>0</v>
      </c>
      <c r="W1006" t="s">
        <v>1326</v>
      </c>
      <c r="AA1006">
        <v>2007</v>
      </c>
      <c r="AB1006">
        <v>9999</v>
      </c>
      <c r="AC1006" t="s">
        <v>35</v>
      </c>
    </row>
    <row r="1007" spans="1:29" x14ac:dyDescent="0.25">
      <c r="A1007" s="31" t="s">
        <v>786</v>
      </c>
      <c r="B1007" s="23" t="s">
        <v>787</v>
      </c>
      <c r="C1007" t="s">
        <v>788</v>
      </c>
      <c r="D1007">
        <v>1</v>
      </c>
      <c r="E1007" t="s">
        <v>120</v>
      </c>
      <c r="F1007">
        <v>3</v>
      </c>
      <c r="G1007">
        <v>2023</v>
      </c>
      <c r="I1007" s="8">
        <v>29.2</v>
      </c>
      <c r="J1007" t="s">
        <v>147</v>
      </c>
      <c r="K1007" t="s">
        <v>47</v>
      </c>
      <c r="O1007">
        <v>0</v>
      </c>
      <c r="P1007">
        <v>0</v>
      </c>
      <c r="Q1007">
        <v>0</v>
      </c>
      <c r="R1007">
        <v>0</v>
      </c>
      <c r="S1007">
        <v>1</v>
      </c>
      <c r="T1007">
        <v>1</v>
      </c>
      <c r="U1007">
        <v>1</v>
      </c>
      <c r="V1007">
        <v>0</v>
      </c>
      <c r="W1007" t="s">
        <v>1178</v>
      </c>
      <c r="AA1007">
        <v>2007</v>
      </c>
      <c r="AB1007">
        <v>9999</v>
      </c>
      <c r="AC1007" t="s">
        <v>35</v>
      </c>
    </row>
    <row r="1008" spans="1:29" x14ac:dyDescent="0.25">
      <c r="A1008" s="31" t="s">
        <v>790</v>
      </c>
      <c r="B1008" s="23" t="s">
        <v>791</v>
      </c>
      <c r="D1008">
        <v>1</v>
      </c>
      <c r="E1008" t="s">
        <v>80</v>
      </c>
      <c r="F1008">
        <v>8</v>
      </c>
      <c r="G1008">
        <v>2023</v>
      </c>
      <c r="I1008" s="8">
        <v>287.42</v>
      </c>
      <c r="J1008" t="s">
        <v>81</v>
      </c>
      <c r="K1008" t="s">
        <v>47</v>
      </c>
      <c r="O1008">
        <v>0</v>
      </c>
      <c r="P1008">
        <v>0</v>
      </c>
      <c r="Q1008">
        <v>0</v>
      </c>
      <c r="R1008">
        <v>0</v>
      </c>
      <c r="S1008">
        <v>1</v>
      </c>
      <c r="T1008">
        <v>1</v>
      </c>
      <c r="U1008">
        <v>1</v>
      </c>
      <c r="V1008">
        <v>0</v>
      </c>
      <c r="W1008" t="s">
        <v>1507</v>
      </c>
      <c r="AA1008">
        <v>2007</v>
      </c>
      <c r="AB1008">
        <v>9999</v>
      </c>
      <c r="AC1008" t="s">
        <v>35</v>
      </c>
    </row>
    <row r="1009" spans="1:29" ht="26.25" x14ac:dyDescent="0.25">
      <c r="A1009" s="31" t="s">
        <v>1327</v>
      </c>
      <c r="B1009" s="26" t="s">
        <v>1328</v>
      </c>
      <c r="C1009" t="s">
        <v>1329</v>
      </c>
      <c r="D1009">
        <v>1</v>
      </c>
      <c r="E1009" t="s">
        <v>218</v>
      </c>
      <c r="F1009">
        <v>2</v>
      </c>
      <c r="G1009">
        <v>2023</v>
      </c>
      <c r="I1009" s="8">
        <v>3</v>
      </c>
      <c r="J1009" t="s">
        <v>147</v>
      </c>
      <c r="K1009" t="s">
        <v>41</v>
      </c>
      <c r="O1009">
        <v>0</v>
      </c>
      <c r="P1009">
        <v>0</v>
      </c>
      <c r="Q1009">
        <v>0</v>
      </c>
      <c r="R1009">
        <v>0</v>
      </c>
      <c r="S1009">
        <v>0</v>
      </c>
      <c r="T1009">
        <v>1</v>
      </c>
      <c r="U1009">
        <v>1</v>
      </c>
      <c r="V1009">
        <v>0</v>
      </c>
      <c r="W1009" t="s">
        <v>1330</v>
      </c>
      <c r="AA1009">
        <v>2010</v>
      </c>
      <c r="AB1009">
        <v>9999</v>
      </c>
      <c r="AC1009" t="s">
        <v>1292</v>
      </c>
    </row>
    <row r="1010" spans="1:29" x14ac:dyDescent="0.25">
      <c r="A1010" s="31" t="s">
        <v>796</v>
      </c>
      <c r="B1010" s="23" t="s">
        <v>797</v>
      </c>
      <c r="C1010" t="s">
        <v>798</v>
      </c>
      <c r="D1010">
        <v>1</v>
      </c>
      <c r="E1010" t="s">
        <v>534</v>
      </c>
      <c r="F1010">
        <v>10</v>
      </c>
      <c r="G1010">
        <v>2023</v>
      </c>
      <c r="I1010" s="8">
        <v>3700.39</v>
      </c>
      <c r="J1010" t="s">
        <v>40</v>
      </c>
      <c r="K1010" t="s">
        <v>47</v>
      </c>
      <c r="O1010">
        <v>0</v>
      </c>
      <c r="P1010">
        <v>0</v>
      </c>
      <c r="Q1010">
        <v>0</v>
      </c>
      <c r="R1010">
        <v>0</v>
      </c>
      <c r="S1010">
        <v>1</v>
      </c>
      <c r="T1010">
        <v>1</v>
      </c>
      <c r="U1010">
        <v>1</v>
      </c>
      <c r="V1010">
        <v>0</v>
      </c>
      <c r="W1010" t="s">
        <v>1181</v>
      </c>
      <c r="AA1010">
        <v>2007</v>
      </c>
      <c r="AB1010">
        <v>9999</v>
      </c>
      <c r="AC1010" t="s">
        <v>35</v>
      </c>
    </row>
    <row r="1011" spans="1:29" x14ac:dyDescent="0.25">
      <c r="A1011" s="31" t="s">
        <v>800</v>
      </c>
      <c r="B1011" s="23" t="s">
        <v>801</v>
      </c>
      <c r="C1011" t="s">
        <v>802</v>
      </c>
      <c r="D1011">
        <v>1</v>
      </c>
      <c r="E1011" t="s">
        <v>442</v>
      </c>
      <c r="F1011">
        <v>4</v>
      </c>
      <c r="G1011">
        <v>2023</v>
      </c>
      <c r="I1011" s="8">
        <v>1629.15</v>
      </c>
      <c r="J1011" t="s">
        <v>1608</v>
      </c>
      <c r="K1011" t="s">
        <v>32</v>
      </c>
      <c r="O1011">
        <v>0</v>
      </c>
      <c r="P1011">
        <v>0</v>
      </c>
      <c r="Q1011">
        <v>0</v>
      </c>
      <c r="R1011">
        <v>0</v>
      </c>
      <c r="S1011">
        <v>1</v>
      </c>
      <c r="T1011">
        <v>1</v>
      </c>
      <c r="U1011">
        <v>1</v>
      </c>
      <c r="V1011">
        <v>0</v>
      </c>
      <c r="W1011" t="s">
        <v>1331</v>
      </c>
      <c r="AA1011">
        <v>2007</v>
      </c>
      <c r="AB1011">
        <v>9999</v>
      </c>
      <c r="AC1011" t="s">
        <v>35</v>
      </c>
    </row>
    <row r="1012" spans="1:29" x14ac:dyDescent="0.25">
      <c r="A1012" s="31" t="s">
        <v>808</v>
      </c>
      <c r="B1012" s="23" t="s">
        <v>809</v>
      </c>
      <c r="D1012">
        <v>1</v>
      </c>
      <c r="E1012" t="s">
        <v>80</v>
      </c>
      <c r="F1012">
        <v>8</v>
      </c>
      <c r="G1012">
        <v>2023</v>
      </c>
      <c r="I1012" s="8">
        <v>21.8</v>
      </c>
      <c r="J1012" t="s">
        <v>81</v>
      </c>
      <c r="K1012" t="s">
        <v>47</v>
      </c>
      <c r="O1012">
        <v>0</v>
      </c>
      <c r="P1012">
        <v>0</v>
      </c>
      <c r="Q1012">
        <v>0</v>
      </c>
      <c r="R1012">
        <v>0</v>
      </c>
      <c r="S1012">
        <v>1</v>
      </c>
      <c r="T1012">
        <v>1</v>
      </c>
      <c r="U1012">
        <v>1</v>
      </c>
      <c r="V1012">
        <v>0</v>
      </c>
      <c r="W1012" t="s">
        <v>1184</v>
      </c>
      <c r="AA1012">
        <v>2007</v>
      </c>
      <c r="AB1012">
        <v>9999</v>
      </c>
      <c r="AC1012" t="s">
        <v>35</v>
      </c>
    </row>
    <row r="1013" spans="1:29" x14ac:dyDescent="0.25">
      <c r="A1013" s="31" t="s">
        <v>814</v>
      </c>
      <c r="B1013" s="23" t="s">
        <v>815</v>
      </c>
      <c r="D1013">
        <v>1</v>
      </c>
      <c r="E1013" t="s">
        <v>80</v>
      </c>
      <c r="F1013">
        <v>8</v>
      </c>
      <c r="G1013">
        <v>2023</v>
      </c>
      <c r="I1013" s="8">
        <v>104.14</v>
      </c>
      <c r="J1013" t="s">
        <v>81</v>
      </c>
      <c r="K1013" t="s">
        <v>32</v>
      </c>
      <c r="O1013">
        <v>0</v>
      </c>
      <c r="P1013">
        <v>0</v>
      </c>
      <c r="Q1013">
        <v>0</v>
      </c>
      <c r="R1013">
        <v>0</v>
      </c>
      <c r="S1013">
        <v>1</v>
      </c>
      <c r="T1013">
        <v>1</v>
      </c>
      <c r="U1013">
        <v>1</v>
      </c>
      <c r="V1013">
        <v>0</v>
      </c>
      <c r="W1013" t="s">
        <v>1432</v>
      </c>
      <c r="AA1013">
        <v>2007</v>
      </c>
      <c r="AB1013">
        <v>9999</v>
      </c>
      <c r="AC1013" t="s">
        <v>35</v>
      </c>
    </row>
    <row r="1014" spans="1:29" x14ac:dyDescent="0.25">
      <c r="A1014" s="31" t="s">
        <v>822</v>
      </c>
      <c r="B1014" s="23" t="s">
        <v>1603</v>
      </c>
      <c r="C1014" t="s">
        <v>1604</v>
      </c>
      <c r="D1014">
        <v>1</v>
      </c>
      <c r="E1014" t="s">
        <v>80</v>
      </c>
      <c r="F1014">
        <v>8</v>
      </c>
      <c r="G1014">
        <v>2023</v>
      </c>
      <c r="I1014" s="8">
        <v>247.95</v>
      </c>
      <c r="J1014" t="s">
        <v>81</v>
      </c>
      <c r="K1014" t="s">
        <v>47</v>
      </c>
      <c r="O1014">
        <v>0</v>
      </c>
      <c r="P1014">
        <v>0</v>
      </c>
      <c r="Q1014">
        <v>0</v>
      </c>
      <c r="R1014">
        <v>0</v>
      </c>
      <c r="S1014">
        <v>1</v>
      </c>
      <c r="T1014">
        <v>1</v>
      </c>
      <c r="U1014">
        <v>1</v>
      </c>
      <c r="V1014">
        <v>0</v>
      </c>
      <c r="W1014" t="s">
        <v>1187</v>
      </c>
      <c r="AA1014">
        <v>2007</v>
      </c>
      <c r="AB1014">
        <v>9999</v>
      </c>
      <c r="AC1014" t="s">
        <v>35</v>
      </c>
    </row>
    <row r="1015" spans="1:29" x14ac:dyDescent="0.25">
      <c r="A1015" s="31" t="s">
        <v>1374</v>
      </c>
      <c r="B1015" s="23" t="s">
        <v>1375</v>
      </c>
      <c r="D1015">
        <v>1</v>
      </c>
      <c r="E1015" t="s">
        <v>80</v>
      </c>
      <c r="F1015">
        <v>8</v>
      </c>
      <c r="G1015">
        <v>2023</v>
      </c>
      <c r="I1015" s="8">
        <v>22.3</v>
      </c>
      <c r="J1015" t="s">
        <v>81</v>
      </c>
      <c r="K1015" t="s">
        <v>47</v>
      </c>
      <c r="O1015">
        <v>0</v>
      </c>
      <c r="P1015">
        <v>0</v>
      </c>
      <c r="Q1015">
        <v>0</v>
      </c>
      <c r="R1015">
        <v>0</v>
      </c>
      <c r="S1015">
        <v>1</v>
      </c>
      <c r="T1015">
        <v>1</v>
      </c>
      <c r="U1015">
        <v>1</v>
      </c>
      <c r="V1015">
        <v>0</v>
      </c>
      <c r="W1015" t="s">
        <v>1376</v>
      </c>
      <c r="AA1015">
        <v>2011</v>
      </c>
      <c r="AB1015">
        <v>2023</v>
      </c>
      <c r="AC1015" t="s">
        <v>1377</v>
      </c>
    </row>
    <row r="1016" spans="1:29" x14ac:dyDescent="0.25">
      <c r="A1016" s="31" t="s">
        <v>825</v>
      </c>
      <c r="B1016" s="23" t="s">
        <v>826</v>
      </c>
      <c r="D1016">
        <v>1</v>
      </c>
      <c r="E1016" t="s">
        <v>80</v>
      </c>
      <c r="F1016">
        <v>8</v>
      </c>
      <c r="G1016">
        <v>2023</v>
      </c>
      <c r="I1016" s="8">
        <v>132.41</v>
      </c>
      <c r="J1016" t="s">
        <v>81</v>
      </c>
      <c r="K1016" t="s">
        <v>47</v>
      </c>
      <c r="O1016">
        <v>0</v>
      </c>
      <c r="P1016">
        <v>0</v>
      </c>
      <c r="Q1016">
        <v>0</v>
      </c>
      <c r="R1016">
        <v>0</v>
      </c>
      <c r="S1016">
        <v>1</v>
      </c>
      <c r="T1016">
        <v>1</v>
      </c>
      <c r="U1016">
        <v>1</v>
      </c>
      <c r="V1016">
        <v>0</v>
      </c>
      <c r="W1016" t="s">
        <v>1188</v>
      </c>
      <c r="AA1016">
        <v>2007</v>
      </c>
      <c r="AB1016">
        <v>9999</v>
      </c>
      <c r="AC1016" t="s">
        <v>35</v>
      </c>
    </row>
    <row r="1017" spans="1:29" x14ac:dyDescent="0.25">
      <c r="A1017" s="31" t="s">
        <v>828</v>
      </c>
      <c r="B1017" s="23" t="s">
        <v>1408</v>
      </c>
      <c r="C1017" t="s">
        <v>1409</v>
      </c>
      <c r="D1017">
        <v>1</v>
      </c>
      <c r="E1017" t="s">
        <v>80</v>
      </c>
      <c r="F1017">
        <v>8</v>
      </c>
      <c r="G1017">
        <v>2023</v>
      </c>
      <c r="I1017" s="8">
        <v>68.52</v>
      </c>
      <c r="J1017" t="s">
        <v>81</v>
      </c>
      <c r="K1017" t="s">
        <v>47</v>
      </c>
      <c r="O1017">
        <v>0</v>
      </c>
      <c r="P1017">
        <v>0</v>
      </c>
      <c r="Q1017">
        <v>0</v>
      </c>
      <c r="R1017">
        <v>0</v>
      </c>
      <c r="S1017">
        <v>1</v>
      </c>
      <c r="T1017">
        <v>1</v>
      </c>
      <c r="U1017">
        <v>1</v>
      </c>
      <c r="V1017">
        <v>0</v>
      </c>
      <c r="W1017" t="s">
        <v>1410</v>
      </c>
      <c r="AA1017">
        <v>2007</v>
      </c>
      <c r="AB1017">
        <v>9999</v>
      </c>
      <c r="AC1017" t="s">
        <v>35</v>
      </c>
    </row>
    <row r="1018" spans="1:29" x14ac:dyDescent="0.25">
      <c r="A1018" s="31" t="s">
        <v>831</v>
      </c>
      <c r="B1018" s="23" t="s">
        <v>832</v>
      </c>
      <c r="C1018" t="s">
        <v>833</v>
      </c>
      <c r="D1018">
        <v>1</v>
      </c>
      <c r="E1018" t="s">
        <v>38</v>
      </c>
      <c r="F1018">
        <v>4</v>
      </c>
      <c r="G1018">
        <v>2023</v>
      </c>
      <c r="H1018" t="s">
        <v>906</v>
      </c>
      <c r="I1018" s="15">
        <v>0.04</v>
      </c>
      <c r="J1018" t="s">
        <v>59</v>
      </c>
      <c r="K1018" t="s">
        <v>41</v>
      </c>
      <c r="O1018">
        <v>0</v>
      </c>
      <c r="P1018">
        <v>0</v>
      </c>
      <c r="Q1018">
        <v>0</v>
      </c>
      <c r="R1018">
        <v>0</v>
      </c>
      <c r="S1018">
        <v>0</v>
      </c>
      <c r="T1018">
        <v>0</v>
      </c>
      <c r="U1018">
        <v>0</v>
      </c>
      <c r="V1018">
        <v>0</v>
      </c>
      <c r="W1018" t="s">
        <v>1190</v>
      </c>
      <c r="AA1018">
        <v>2007</v>
      </c>
      <c r="AB1018">
        <v>9999</v>
      </c>
      <c r="AC1018" t="s">
        <v>35</v>
      </c>
    </row>
    <row r="1019" spans="1:29" x14ac:dyDescent="0.25">
      <c r="A1019" s="31" t="s">
        <v>1433</v>
      </c>
      <c r="B1019" s="23" t="s">
        <v>1434</v>
      </c>
      <c r="D1019">
        <v>1</v>
      </c>
      <c r="E1019" s="4">
        <v>133</v>
      </c>
      <c r="F1019">
        <v>1</v>
      </c>
      <c r="G1019">
        <v>2023</v>
      </c>
      <c r="I1019" s="8">
        <v>1500.58</v>
      </c>
      <c r="J1019" t="s">
        <v>52</v>
      </c>
      <c r="K1019" t="s">
        <v>32</v>
      </c>
      <c r="O1019">
        <v>0</v>
      </c>
      <c r="P1019">
        <v>0</v>
      </c>
      <c r="Q1019">
        <v>0</v>
      </c>
      <c r="R1019">
        <v>0</v>
      </c>
      <c r="S1019">
        <v>1</v>
      </c>
      <c r="T1019">
        <v>1</v>
      </c>
      <c r="U1019">
        <v>1</v>
      </c>
      <c r="V1019">
        <v>0</v>
      </c>
      <c r="W1019" t="s">
        <v>1435</v>
      </c>
      <c r="AA1019">
        <v>2013</v>
      </c>
      <c r="AB1019">
        <v>9999</v>
      </c>
      <c r="AC1019" t="s">
        <v>1419</v>
      </c>
    </row>
    <row r="1020" spans="1:29" x14ac:dyDescent="0.25">
      <c r="A1020" s="31" t="s">
        <v>1194</v>
      </c>
      <c r="B1020" s="23" t="s">
        <v>1195</v>
      </c>
      <c r="D1020">
        <v>1</v>
      </c>
      <c r="E1020" t="s">
        <v>85</v>
      </c>
      <c r="F1020">
        <v>1</v>
      </c>
      <c r="G1020">
        <v>2023</v>
      </c>
      <c r="H1020" t="s">
        <v>39</v>
      </c>
      <c r="I1020" s="15">
        <v>0.25</v>
      </c>
      <c r="J1020" t="s">
        <v>52</v>
      </c>
      <c r="K1020" t="s">
        <v>41</v>
      </c>
      <c r="O1020">
        <v>0</v>
      </c>
      <c r="P1020">
        <v>0</v>
      </c>
      <c r="Q1020">
        <v>0</v>
      </c>
      <c r="R1020">
        <v>0</v>
      </c>
      <c r="S1020">
        <v>0</v>
      </c>
      <c r="T1020">
        <v>0</v>
      </c>
      <c r="U1020">
        <v>0</v>
      </c>
      <c r="V1020">
        <v>0</v>
      </c>
      <c r="W1020" t="s">
        <v>1267</v>
      </c>
      <c r="AA1020">
        <v>2008</v>
      </c>
      <c r="AB1020">
        <v>9999</v>
      </c>
      <c r="AC1020" t="s">
        <v>1054</v>
      </c>
    </row>
    <row r="1021" spans="1:29" x14ac:dyDescent="0.25">
      <c r="A1021" s="31" t="s">
        <v>1268</v>
      </c>
      <c r="B1021" s="23" t="s">
        <v>1262</v>
      </c>
      <c r="C1021" t="s">
        <v>1605</v>
      </c>
      <c r="D1021">
        <v>1</v>
      </c>
      <c r="E1021" t="s">
        <v>300</v>
      </c>
      <c r="F1021">
        <v>9</v>
      </c>
      <c r="G1021">
        <v>2023</v>
      </c>
      <c r="I1021" s="8">
        <v>496.73</v>
      </c>
      <c r="J1021" t="s">
        <v>104</v>
      </c>
      <c r="K1021" t="s">
        <v>47</v>
      </c>
      <c r="O1021">
        <v>0</v>
      </c>
      <c r="P1021">
        <v>0</v>
      </c>
      <c r="Q1021">
        <v>0</v>
      </c>
      <c r="R1021">
        <v>0</v>
      </c>
      <c r="S1021">
        <v>1</v>
      </c>
      <c r="T1021">
        <v>1</v>
      </c>
      <c r="U1021">
        <v>1</v>
      </c>
      <c r="V1021">
        <v>0</v>
      </c>
      <c r="W1021" t="s">
        <v>1411</v>
      </c>
      <c r="AA1021">
        <v>2009</v>
      </c>
      <c r="AB1021">
        <v>9999</v>
      </c>
      <c r="AC1021" t="s">
        <v>1239</v>
      </c>
    </row>
    <row r="1022" spans="1:29" x14ac:dyDescent="0.25">
      <c r="A1022" s="31" t="s">
        <v>845</v>
      </c>
      <c r="B1022" s="23" t="s">
        <v>846</v>
      </c>
      <c r="C1022" t="s">
        <v>847</v>
      </c>
      <c r="D1022">
        <v>1</v>
      </c>
      <c r="E1022" t="s">
        <v>300</v>
      </c>
      <c r="F1022">
        <v>9</v>
      </c>
      <c r="G1022">
        <v>2023</v>
      </c>
      <c r="I1022" s="8">
        <v>816.76</v>
      </c>
      <c r="J1022" t="s">
        <v>104</v>
      </c>
      <c r="K1022" t="s">
        <v>47</v>
      </c>
      <c r="O1022">
        <v>0</v>
      </c>
      <c r="P1022">
        <v>0</v>
      </c>
      <c r="Q1022">
        <v>0</v>
      </c>
      <c r="R1022">
        <v>0</v>
      </c>
      <c r="S1022">
        <v>1</v>
      </c>
      <c r="T1022">
        <v>1</v>
      </c>
      <c r="U1022">
        <v>1</v>
      </c>
      <c r="V1022">
        <v>0</v>
      </c>
      <c r="W1022" t="s">
        <v>1517</v>
      </c>
      <c r="AA1022">
        <v>2007</v>
      </c>
      <c r="AB1022">
        <v>9999</v>
      </c>
      <c r="AC1022" t="s">
        <v>35</v>
      </c>
    </row>
    <row r="1023" spans="1:29" x14ac:dyDescent="0.25">
      <c r="A1023" s="31" t="s">
        <v>852</v>
      </c>
      <c r="B1023" s="23" t="s">
        <v>853</v>
      </c>
      <c r="D1023">
        <v>1</v>
      </c>
      <c r="E1023" t="s">
        <v>85</v>
      </c>
      <c r="F1023">
        <v>1</v>
      </c>
      <c r="G1023">
        <v>2023</v>
      </c>
      <c r="H1023" t="s">
        <v>837</v>
      </c>
      <c r="I1023" s="15">
        <v>2.5999999999999999E-2</v>
      </c>
      <c r="J1023" t="s">
        <v>52</v>
      </c>
      <c r="K1023" t="s">
        <v>41</v>
      </c>
      <c r="O1023">
        <v>0</v>
      </c>
      <c r="P1023">
        <v>0</v>
      </c>
      <c r="Q1023">
        <v>0</v>
      </c>
      <c r="R1023">
        <v>0</v>
      </c>
      <c r="S1023">
        <v>0</v>
      </c>
      <c r="T1023">
        <v>0</v>
      </c>
      <c r="U1023">
        <v>0</v>
      </c>
      <c r="V1023">
        <v>0</v>
      </c>
      <c r="W1023" t="s">
        <v>1191</v>
      </c>
      <c r="AA1023">
        <v>2007</v>
      </c>
      <c r="AB1023">
        <v>9999</v>
      </c>
      <c r="AC1023" t="s">
        <v>35</v>
      </c>
    </row>
    <row r="1024" spans="1:29" x14ac:dyDescent="0.25">
      <c r="A1024" s="31" t="s">
        <v>836</v>
      </c>
      <c r="B1024" s="23" t="s">
        <v>1413</v>
      </c>
      <c r="D1024">
        <v>1</v>
      </c>
      <c r="E1024" t="s">
        <v>64</v>
      </c>
      <c r="F1024">
        <v>1</v>
      </c>
      <c r="G1024">
        <v>2023</v>
      </c>
      <c r="I1024" s="8">
        <v>226.08</v>
      </c>
      <c r="J1024" t="s">
        <v>52</v>
      </c>
      <c r="K1024" t="s">
        <v>32</v>
      </c>
      <c r="O1024">
        <v>0</v>
      </c>
      <c r="P1024">
        <v>0</v>
      </c>
      <c r="Q1024">
        <v>0</v>
      </c>
      <c r="R1024">
        <v>0</v>
      </c>
      <c r="S1024">
        <v>1</v>
      </c>
      <c r="T1024">
        <v>1</v>
      </c>
      <c r="U1024">
        <v>1</v>
      </c>
      <c r="V1024">
        <v>0</v>
      </c>
      <c r="W1024" t="s">
        <v>1191</v>
      </c>
      <c r="AA1024">
        <v>2007</v>
      </c>
      <c r="AB1024">
        <v>9999</v>
      </c>
      <c r="AC1024" t="s">
        <v>35</v>
      </c>
    </row>
    <row r="1025" spans="1:29" x14ac:dyDescent="0.25">
      <c r="A1025" s="31" t="s">
        <v>862</v>
      </c>
      <c r="B1025" s="23" t="s">
        <v>863</v>
      </c>
      <c r="C1025" t="s">
        <v>864</v>
      </c>
      <c r="D1025">
        <v>1</v>
      </c>
      <c r="E1025" t="s">
        <v>442</v>
      </c>
      <c r="F1025">
        <v>4</v>
      </c>
      <c r="G1025">
        <v>2023</v>
      </c>
      <c r="I1025" s="8">
        <v>341.65</v>
      </c>
      <c r="J1025" t="s">
        <v>1608</v>
      </c>
      <c r="K1025" t="s">
        <v>47</v>
      </c>
      <c r="O1025">
        <v>0</v>
      </c>
      <c r="P1025">
        <v>0</v>
      </c>
      <c r="Q1025">
        <v>0</v>
      </c>
      <c r="R1025">
        <v>0</v>
      </c>
      <c r="S1025">
        <v>1</v>
      </c>
      <c r="T1025">
        <v>1</v>
      </c>
      <c r="U1025">
        <v>1</v>
      </c>
      <c r="V1025">
        <v>0</v>
      </c>
      <c r="W1025" t="s">
        <v>1334</v>
      </c>
      <c r="AA1025">
        <v>2007</v>
      </c>
      <c r="AB1025">
        <v>9999</v>
      </c>
      <c r="AC1025" t="s">
        <v>35</v>
      </c>
    </row>
    <row r="1026" spans="1:29" x14ac:dyDescent="0.25">
      <c r="A1026" s="31" t="s">
        <v>866</v>
      </c>
      <c r="B1026" s="23" t="s">
        <v>867</v>
      </c>
      <c r="C1026" t="s">
        <v>868</v>
      </c>
      <c r="D1026">
        <v>1</v>
      </c>
      <c r="E1026" t="s">
        <v>869</v>
      </c>
      <c r="F1026">
        <v>4</v>
      </c>
      <c r="G1026">
        <v>2023</v>
      </c>
      <c r="I1026" s="8">
        <v>211.05</v>
      </c>
      <c r="J1026" t="s">
        <v>1608</v>
      </c>
      <c r="K1026" t="s">
        <v>32</v>
      </c>
      <c r="O1026">
        <v>0</v>
      </c>
      <c r="P1026">
        <v>0</v>
      </c>
      <c r="Q1026">
        <v>0</v>
      </c>
      <c r="R1026">
        <v>0</v>
      </c>
      <c r="S1026">
        <v>1</v>
      </c>
      <c r="T1026">
        <v>1</v>
      </c>
      <c r="U1026">
        <v>1</v>
      </c>
      <c r="V1026">
        <v>0</v>
      </c>
      <c r="W1026" t="s">
        <v>1199</v>
      </c>
      <c r="AA1026">
        <v>2007</v>
      </c>
      <c r="AB1026">
        <v>9999</v>
      </c>
      <c r="AC1026" t="s">
        <v>35</v>
      </c>
    </row>
    <row r="1027" spans="1:29" x14ac:dyDescent="0.25">
      <c r="A1027" s="31" t="s">
        <v>1023</v>
      </c>
      <c r="B1027" s="23" t="s">
        <v>1200</v>
      </c>
      <c r="D1027">
        <v>1</v>
      </c>
      <c r="E1027" t="s">
        <v>85</v>
      </c>
      <c r="F1027">
        <v>1</v>
      </c>
      <c r="G1027">
        <v>2023</v>
      </c>
      <c r="H1027" t="s">
        <v>39</v>
      </c>
      <c r="I1027" s="15">
        <v>3.5</v>
      </c>
      <c r="J1027" t="s">
        <v>52</v>
      </c>
      <c r="K1027" t="s">
        <v>41</v>
      </c>
      <c r="O1027">
        <v>0</v>
      </c>
      <c r="P1027">
        <v>0</v>
      </c>
      <c r="Q1027">
        <v>0</v>
      </c>
      <c r="R1027">
        <v>0</v>
      </c>
      <c r="S1027">
        <v>0</v>
      </c>
      <c r="T1027">
        <v>0</v>
      </c>
      <c r="U1027">
        <v>0</v>
      </c>
      <c r="V1027">
        <v>0</v>
      </c>
      <c r="W1027" t="s">
        <v>1271</v>
      </c>
      <c r="AA1027">
        <v>2007</v>
      </c>
      <c r="AB1027">
        <v>9999</v>
      </c>
      <c r="AC1027" t="s">
        <v>35</v>
      </c>
    </row>
    <row r="1028" spans="1:29" x14ac:dyDescent="0.25">
      <c r="A1028" s="31" t="s">
        <v>871</v>
      </c>
      <c r="B1028" s="23" t="s">
        <v>872</v>
      </c>
      <c r="C1028" t="s">
        <v>873</v>
      </c>
      <c r="D1028">
        <v>1</v>
      </c>
      <c r="E1028" t="s">
        <v>874</v>
      </c>
      <c r="F1028">
        <v>1</v>
      </c>
      <c r="G1028">
        <v>2023</v>
      </c>
      <c r="I1028" s="8">
        <v>963.18</v>
      </c>
      <c r="J1028" t="s">
        <v>52</v>
      </c>
      <c r="K1028" t="s">
        <v>47</v>
      </c>
      <c r="O1028">
        <v>0</v>
      </c>
      <c r="P1028">
        <v>0</v>
      </c>
      <c r="Q1028">
        <v>0</v>
      </c>
      <c r="R1028">
        <v>0</v>
      </c>
      <c r="S1028">
        <v>1</v>
      </c>
      <c r="T1028">
        <v>1</v>
      </c>
      <c r="U1028">
        <v>1</v>
      </c>
      <c r="V1028">
        <v>0</v>
      </c>
      <c r="W1028" t="s">
        <v>1528</v>
      </c>
      <c r="AA1028">
        <v>2007</v>
      </c>
      <c r="AB1028">
        <v>9999</v>
      </c>
      <c r="AC1028" t="s">
        <v>35</v>
      </c>
    </row>
    <row r="1029" spans="1:29" x14ac:dyDescent="0.25">
      <c r="A1029" s="31" t="s">
        <v>876</v>
      </c>
      <c r="B1029" s="23" t="s">
        <v>877</v>
      </c>
      <c r="C1029" t="s">
        <v>878</v>
      </c>
      <c r="D1029">
        <v>1</v>
      </c>
      <c r="E1029" t="s">
        <v>168</v>
      </c>
      <c r="F1029">
        <v>1</v>
      </c>
      <c r="G1029">
        <v>2023</v>
      </c>
      <c r="I1029" s="8">
        <v>68.8</v>
      </c>
      <c r="J1029" t="s">
        <v>52</v>
      </c>
      <c r="K1029" t="s">
        <v>47</v>
      </c>
      <c r="O1029">
        <v>0</v>
      </c>
      <c r="P1029">
        <v>0</v>
      </c>
      <c r="Q1029">
        <v>0</v>
      </c>
      <c r="R1029">
        <v>0</v>
      </c>
      <c r="S1029">
        <v>1</v>
      </c>
      <c r="T1029">
        <v>1</v>
      </c>
      <c r="U1029">
        <v>1</v>
      </c>
      <c r="V1029">
        <v>0</v>
      </c>
      <c r="W1029" t="s">
        <v>1202</v>
      </c>
      <c r="AA1029">
        <v>2007</v>
      </c>
      <c r="AB1029">
        <v>2025</v>
      </c>
      <c r="AC1029" t="s">
        <v>2057</v>
      </c>
    </row>
    <row r="1030" spans="1:29" x14ac:dyDescent="0.25">
      <c r="A1030" s="31" t="s">
        <v>1468</v>
      </c>
      <c r="B1030" s="23" t="s">
        <v>1469</v>
      </c>
      <c r="D1030">
        <v>1</v>
      </c>
      <c r="E1030" s="4">
        <v>941</v>
      </c>
      <c r="F1030">
        <v>9</v>
      </c>
      <c r="G1030">
        <v>2023</v>
      </c>
      <c r="I1030" s="8">
        <v>191.72</v>
      </c>
      <c r="J1030" t="s">
        <v>104</v>
      </c>
      <c r="K1030" t="s">
        <v>53</v>
      </c>
      <c r="L1030" t="s">
        <v>105</v>
      </c>
      <c r="O1030">
        <v>0</v>
      </c>
      <c r="P1030">
        <v>1</v>
      </c>
      <c r="Q1030">
        <v>0</v>
      </c>
      <c r="R1030">
        <v>0</v>
      </c>
      <c r="S1030">
        <v>1</v>
      </c>
      <c r="T1030">
        <v>1</v>
      </c>
      <c r="U1030">
        <v>1</v>
      </c>
      <c r="V1030">
        <v>0</v>
      </c>
      <c r="W1030" t="s">
        <v>106</v>
      </c>
      <c r="AA1030">
        <v>2014</v>
      </c>
      <c r="AB1030">
        <v>9999</v>
      </c>
      <c r="AC1030" t="s">
        <v>1449</v>
      </c>
    </row>
    <row r="1031" spans="1:29" x14ac:dyDescent="0.25">
      <c r="A1031" s="31" t="s">
        <v>880</v>
      </c>
      <c r="B1031" s="23" t="s">
        <v>881</v>
      </c>
      <c r="C1031" t="s">
        <v>882</v>
      </c>
      <c r="D1031">
        <v>1</v>
      </c>
      <c r="E1031" t="s">
        <v>103</v>
      </c>
      <c r="F1031">
        <v>9</v>
      </c>
      <c r="G1031">
        <v>2023</v>
      </c>
      <c r="I1031" s="8">
        <v>4826.8500000000004</v>
      </c>
      <c r="J1031" t="s">
        <v>104</v>
      </c>
      <c r="K1031" t="s">
        <v>53</v>
      </c>
      <c r="L1031" t="s">
        <v>105</v>
      </c>
      <c r="O1031">
        <v>0</v>
      </c>
      <c r="P1031">
        <v>1</v>
      </c>
      <c r="Q1031">
        <v>0</v>
      </c>
      <c r="R1031">
        <v>0</v>
      </c>
      <c r="S1031">
        <v>1</v>
      </c>
      <c r="T1031">
        <v>1</v>
      </c>
      <c r="U1031">
        <v>1</v>
      </c>
      <c r="V1031">
        <v>0</v>
      </c>
      <c r="W1031" t="s">
        <v>106</v>
      </c>
      <c r="AA1031">
        <v>2007</v>
      </c>
      <c r="AB1031">
        <v>9999</v>
      </c>
      <c r="AC1031" t="s">
        <v>35</v>
      </c>
    </row>
    <row r="1032" spans="1:29" x14ac:dyDescent="0.25">
      <c r="A1032" s="31" t="s">
        <v>1272</v>
      </c>
      <c r="B1032" s="23" t="s">
        <v>1273</v>
      </c>
      <c r="D1032">
        <v>1</v>
      </c>
      <c r="E1032" t="s">
        <v>1274</v>
      </c>
      <c r="F1032">
        <v>4</v>
      </c>
      <c r="G1032">
        <v>2023</v>
      </c>
      <c r="I1032" s="8">
        <v>266.79000000000002</v>
      </c>
      <c r="J1032" t="s">
        <v>1610</v>
      </c>
      <c r="K1032" t="s">
        <v>47</v>
      </c>
      <c r="O1032">
        <v>0</v>
      </c>
      <c r="P1032">
        <v>0</v>
      </c>
      <c r="Q1032">
        <v>0</v>
      </c>
      <c r="R1032">
        <v>0</v>
      </c>
      <c r="S1032">
        <v>1</v>
      </c>
      <c r="T1032">
        <v>1</v>
      </c>
      <c r="U1032">
        <v>1</v>
      </c>
      <c r="V1032">
        <v>0</v>
      </c>
      <c r="W1032" t="s">
        <v>1275</v>
      </c>
      <c r="AA1032">
        <v>2009</v>
      </c>
      <c r="AB1032">
        <v>9999</v>
      </c>
      <c r="AC1032" t="s">
        <v>1239</v>
      </c>
    </row>
    <row r="1033" spans="1:29" x14ac:dyDescent="0.25">
      <c r="A1033" s="31" t="s">
        <v>883</v>
      </c>
      <c r="B1033" s="23" t="s">
        <v>884</v>
      </c>
      <c r="C1033" t="s">
        <v>885</v>
      </c>
      <c r="D1033">
        <v>1</v>
      </c>
      <c r="E1033" t="s">
        <v>45</v>
      </c>
      <c r="F1033">
        <v>4</v>
      </c>
      <c r="G1033">
        <v>2023</v>
      </c>
      <c r="I1033" s="8">
        <v>108.88</v>
      </c>
      <c r="J1033" t="s">
        <v>176</v>
      </c>
      <c r="K1033" t="s">
        <v>47</v>
      </c>
      <c r="O1033">
        <v>0</v>
      </c>
      <c r="P1033">
        <v>0</v>
      </c>
      <c r="Q1033">
        <v>0</v>
      </c>
      <c r="R1033">
        <v>0</v>
      </c>
      <c r="S1033">
        <v>1</v>
      </c>
      <c r="T1033">
        <v>1</v>
      </c>
      <c r="U1033">
        <v>1</v>
      </c>
      <c r="V1033">
        <v>0</v>
      </c>
      <c r="W1033" t="s">
        <v>1606</v>
      </c>
      <c r="AA1033">
        <v>2007</v>
      </c>
      <c r="AB1033">
        <v>9999</v>
      </c>
      <c r="AC1033" t="s">
        <v>35</v>
      </c>
    </row>
    <row r="1034" spans="1:29" x14ac:dyDescent="0.25">
      <c r="A1034" s="31" t="s">
        <v>887</v>
      </c>
      <c r="B1034" s="23" t="s">
        <v>888</v>
      </c>
      <c r="C1034" t="s">
        <v>889</v>
      </c>
      <c r="D1034">
        <v>1</v>
      </c>
      <c r="E1034" t="s">
        <v>335</v>
      </c>
      <c r="F1034">
        <v>1</v>
      </c>
      <c r="G1034">
        <v>2023</v>
      </c>
      <c r="I1034" s="8">
        <v>666.66</v>
      </c>
      <c r="J1034" t="s">
        <v>176</v>
      </c>
      <c r="K1034" t="s">
        <v>32</v>
      </c>
      <c r="O1034">
        <v>0</v>
      </c>
      <c r="P1034">
        <v>0</v>
      </c>
      <c r="Q1034">
        <v>0</v>
      </c>
      <c r="R1034">
        <v>0</v>
      </c>
      <c r="S1034">
        <v>1</v>
      </c>
      <c r="T1034">
        <v>1</v>
      </c>
      <c r="U1034">
        <v>1</v>
      </c>
      <c r="V1034">
        <v>0</v>
      </c>
      <c r="W1034" t="s">
        <v>1381</v>
      </c>
      <c r="AA1034">
        <v>2007</v>
      </c>
      <c r="AB1034">
        <v>9999</v>
      </c>
      <c r="AC1034" t="s">
        <v>35</v>
      </c>
    </row>
    <row r="1035" spans="1:29" x14ac:dyDescent="0.25">
      <c r="A1035" s="31" t="s">
        <v>894</v>
      </c>
      <c r="B1035" s="23" t="s">
        <v>895</v>
      </c>
      <c r="D1035">
        <v>1</v>
      </c>
      <c r="E1035" t="s">
        <v>38</v>
      </c>
      <c r="F1035">
        <v>4</v>
      </c>
      <c r="G1035">
        <v>2023</v>
      </c>
      <c r="H1035" t="s">
        <v>715</v>
      </c>
      <c r="I1035" s="15"/>
      <c r="J1035" t="s">
        <v>1608</v>
      </c>
      <c r="K1035" t="s">
        <v>53</v>
      </c>
      <c r="L1035" t="s">
        <v>53</v>
      </c>
      <c r="O1035">
        <v>0</v>
      </c>
      <c r="P1035">
        <v>0</v>
      </c>
      <c r="Q1035">
        <v>0</v>
      </c>
      <c r="R1035">
        <v>0</v>
      </c>
      <c r="S1035">
        <v>0</v>
      </c>
      <c r="T1035">
        <v>0</v>
      </c>
      <c r="U1035">
        <v>0</v>
      </c>
      <c r="V1035">
        <v>0</v>
      </c>
      <c r="W1035" t="s">
        <v>897</v>
      </c>
      <c r="AA1035">
        <v>2007</v>
      </c>
      <c r="AB1035">
        <v>9999</v>
      </c>
      <c r="AC1035" t="s">
        <v>35</v>
      </c>
    </row>
    <row r="1036" spans="1:29" x14ac:dyDescent="0.25">
      <c r="A1036" s="31" t="s">
        <v>900</v>
      </c>
      <c r="B1036" s="23" t="s">
        <v>901</v>
      </c>
      <c r="D1036">
        <v>1</v>
      </c>
      <c r="E1036" t="s">
        <v>38</v>
      </c>
      <c r="F1036">
        <v>4</v>
      </c>
      <c r="G1036">
        <v>2023</v>
      </c>
      <c r="H1036" t="s">
        <v>596</v>
      </c>
      <c r="I1036" s="15">
        <v>0.5</v>
      </c>
      <c r="J1036" t="s">
        <v>1608</v>
      </c>
      <c r="K1036" t="s">
        <v>53</v>
      </c>
      <c r="L1036" t="s">
        <v>902</v>
      </c>
      <c r="O1036">
        <v>0</v>
      </c>
      <c r="P1036">
        <v>0</v>
      </c>
      <c r="Q1036">
        <v>0</v>
      </c>
      <c r="R1036">
        <v>0</v>
      </c>
      <c r="S1036">
        <v>0</v>
      </c>
      <c r="T1036">
        <v>0</v>
      </c>
      <c r="U1036">
        <v>0</v>
      </c>
      <c r="V1036">
        <v>0</v>
      </c>
      <c r="W1036" t="s">
        <v>903</v>
      </c>
      <c r="AA1036">
        <v>2007</v>
      </c>
      <c r="AB1036">
        <v>9999</v>
      </c>
      <c r="AC1036" t="s">
        <v>35</v>
      </c>
    </row>
    <row r="1037" spans="1:29" x14ac:dyDescent="0.25">
      <c r="A1037" s="31" t="s">
        <v>904</v>
      </c>
      <c r="B1037" s="23" t="s">
        <v>1436</v>
      </c>
      <c r="D1037">
        <v>1</v>
      </c>
      <c r="E1037" t="s">
        <v>38</v>
      </c>
      <c r="F1037">
        <v>4</v>
      </c>
      <c r="G1037">
        <v>2023</v>
      </c>
      <c r="H1037" t="s">
        <v>906</v>
      </c>
      <c r="I1037" s="15">
        <v>0.5</v>
      </c>
      <c r="J1037" t="s">
        <v>59</v>
      </c>
      <c r="K1037" t="s">
        <v>53</v>
      </c>
      <c r="L1037" t="s">
        <v>902</v>
      </c>
      <c r="O1037">
        <v>0</v>
      </c>
      <c r="P1037">
        <v>0</v>
      </c>
      <c r="Q1037">
        <v>0</v>
      </c>
      <c r="R1037">
        <v>0</v>
      </c>
      <c r="S1037">
        <v>0</v>
      </c>
      <c r="T1037">
        <v>0</v>
      </c>
      <c r="U1037">
        <v>0</v>
      </c>
      <c r="V1037">
        <v>0</v>
      </c>
      <c r="W1037" t="s">
        <v>907</v>
      </c>
      <c r="AA1037">
        <v>2007</v>
      </c>
      <c r="AB1037">
        <v>9999</v>
      </c>
      <c r="AC1037" t="s">
        <v>35</v>
      </c>
    </row>
    <row r="1038" spans="1:29" x14ac:dyDescent="0.25">
      <c r="A1038" s="31" t="s">
        <v>908</v>
      </c>
      <c r="B1038" s="23" t="s">
        <v>909</v>
      </c>
      <c r="C1038" t="s">
        <v>910</v>
      </c>
      <c r="D1038">
        <v>1</v>
      </c>
      <c r="E1038" t="s">
        <v>911</v>
      </c>
      <c r="F1038">
        <v>1</v>
      </c>
      <c r="G1038">
        <v>2023</v>
      </c>
      <c r="I1038" s="8">
        <v>105.68</v>
      </c>
      <c r="J1038" t="s">
        <v>176</v>
      </c>
      <c r="K1038" t="s">
        <v>47</v>
      </c>
      <c r="O1038">
        <v>0</v>
      </c>
      <c r="P1038">
        <v>0</v>
      </c>
      <c r="Q1038">
        <v>0</v>
      </c>
      <c r="R1038">
        <v>0</v>
      </c>
      <c r="S1038">
        <v>1</v>
      </c>
      <c r="T1038">
        <v>1</v>
      </c>
      <c r="U1038">
        <v>1</v>
      </c>
      <c r="V1038">
        <v>0</v>
      </c>
      <c r="W1038" t="s">
        <v>1518</v>
      </c>
      <c r="AA1038">
        <v>2007</v>
      </c>
      <c r="AB1038">
        <v>9999</v>
      </c>
      <c r="AC1038" t="s">
        <v>35</v>
      </c>
    </row>
    <row r="1039" spans="1:29" x14ac:dyDescent="0.25">
      <c r="A1039" s="31" t="s">
        <v>913</v>
      </c>
      <c r="B1039" s="23" t="s">
        <v>914</v>
      </c>
      <c r="C1039" t="s">
        <v>915</v>
      </c>
      <c r="D1039">
        <v>1</v>
      </c>
      <c r="E1039" t="s">
        <v>911</v>
      </c>
      <c r="F1039">
        <v>1</v>
      </c>
      <c r="G1039">
        <v>2023</v>
      </c>
      <c r="I1039" s="8">
        <v>14.55</v>
      </c>
      <c r="J1039" t="s">
        <v>268</v>
      </c>
      <c r="K1039" t="s">
        <v>47</v>
      </c>
      <c r="O1039">
        <v>0</v>
      </c>
      <c r="P1039">
        <v>0</v>
      </c>
      <c r="Q1039">
        <v>0</v>
      </c>
      <c r="R1039">
        <v>0</v>
      </c>
      <c r="S1039">
        <v>1</v>
      </c>
      <c r="T1039">
        <v>1</v>
      </c>
      <c r="U1039">
        <v>1</v>
      </c>
      <c r="V1039">
        <v>0</v>
      </c>
      <c r="W1039" t="s">
        <v>1276</v>
      </c>
      <c r="AA1039">
        <v>2007</v>
      </c>
      <c r="AB1039">
        <v>9999</v>
      </c>
      <c r="AC1039" t="s">
        <v>35</v>
      </c>
    </row>
    <row r="1040" spans="1:29" x14ac:dyDescent="0.25">
      <c r="A1040" s="31" t="s">
        <v>1529</v>
      </c>
      <c r="B1040" s="23" t="s">
        <v>1530</v>
      </c>
      <c r="D1040">
        <v>1</v>
      </c>
      <c r="F1040">
        <v>8</v>
      </c>
      <c r="G1040">
        <v>2023</v>
      </c>
      <c r="I1040" s="15">
        <v>5</v>
      </c>
      <c r="J1040" t="s">
        <v>81</v>
      </c>
      <c r="K1040" t="s">
        <v>32</v>
      </c>
      <c r="O1040">
        <v>0</v>
      </c>
      <c r="P1040">
        <v>0</v>
      </c>
      <c r="Q1040">
        <v>0</v>
      </c>
      <c r="R1040">
        <v>0</v>
      </c>
      <c r="S1040">
        <v>0</v>
      </c>
      <c r="T1040">
        <v>0</v>
      </c>
      <c r="U1040">
        <v>1</v>
      </c>
      <c r="V1040">
        <v>0</v>
      </c>
      <c r="W1040" t="s">
        <v>1531</v>
      </c>
      <c r="AA1040">
        <v>2017</v>
      </c>
      <c r="AB1040">
        <v>9999</v>
      </c>
      <c r="AC1040" t="s">
        <v>1532</v>
      </c>
    </row>
    <row r="1041" spans="1:29" x14ac:dyDescent="0.25">
      <c r="A1041" s="31" t="s">
        <v>97</v>
      </c>
      <c r="B1041" s="23" t="s">
        <v>99</v>
      </c>
      <c r="C1041" t="s">
        <v>923</v>
      </c>
      <c r="D1041">
        <v>1</v>
      </c>
      <c r="E1041" t="s">
        <v>45</v>
      </c>
      <c r="F1041">
        <v>4</v>
      </c>
      <c r="G1041">
        <v>2023</v>
      </c>
      <c r="I1041" s="8">
        <v>261.35000000000002</v>
      </c>
      <c r="J1041" t="s">
        <v>1610</v>
      </c>
      <c r="K1041" t="s">
        <v>47</v>
      </c>
      <c r="O1041">
        <v>0</v>
      </c>
      <c r="P1041">
        <v>0</v>
      </c>
      <c r="Q1041">
        <v>0</v>
      </c>
      <c r="R1041">
        <v>0</v>
      </c>
      <c r="S1041">
        <v>1</v>
      </c>
      <c r="T1041">
        <v>1</v>
      </c>
      <c r="U1041">
        <v>1</v>
      </c>
      <c r="V1041">
        <v>0</v>
      </c>
      <c r="W1041" t="s">
        <v>1277</v>
      </c>
      <c r="AA1041">
        <v>2007</v>
      </c>
      <c r="AB1041">
        <v>9999</v>
      </c>
      <c r="AC1041" t="s">
        <v>35</v>
      </c>
    </row>
    <row r="1042" spans="1:29" x14ac:dyDescent="0.25">
      <c r="A1042" s="31" t="s">
        <v>925</v>
      </c>
      <c r="B1042" s="23" t="s">
        <v>926</v>
      </c>
      <c r="C1042" t="s">
        <v>927</v>
      </c>
      <c r="D1042">
        <v>1</v>
      </c>
      <c r="E1042" t="s">
        <v>103</v>
      </c>
      <c r="F1042">
        <v>9</v>
      </c>
      <c r="G1042">
        <v>2023</v>
      </c>
      <c r="I1042" s="8">
        <v>3245.01</v>
      </c>
      <c r="J1042" t="s">
        <v>1608</v>
      </c>
      <c r="K1042" t="s">
        <v>53</v>
      </c>
      <c r="L1042" t="s">
        <v>105</v>
      </c>
      <c r="O1042">
        <v>0</v>
      </c>
      <c r="P1042">
        <v>1</v>
      </c>
      <c r="Q1042">
        <v>0</v>
      </c>
      <c r="R1042">
        <v>0</v>
      </c>
      <c r="S1042">
        <v>1</v>
      </c>
      <c r="T1042">
        <v>1</v>
      </c>
      <c r="U1042">
        <v>1</v>
      </c>
      <c r="V1042">
        <v>0</v>
      </c>
      <c r="W1042" t="s">
        <v>928</v>
      </c>
      <c r="AA1042">
        <v>2007</v>
      </c>
      <c r="AB1042">
        <v>9999</v>
      </c>
      <c r="AC1042" t="s">
        <v>35</v>
      </c>
    </row>
    <row r="1043" spans="1:29" x14ac:dyDescent="0.25">
      <c r="A1043" s="31" t="s">
        <v>929</v>
      </c>
      <c r="B1043" s="23" t="s">
        <v>930</v>
      </c>
      <c r="C1043" t="s">
        <v>931</v>
      </c>
      <c r="D1043">
        <v>1</v>
      </c>
      <c r="E1043" t="s">
        <v>45</v>
      </c>
      <c r="F1043">
        <v>4</v>
      </c>
      <c r="G1043">
        <v>2023</v>
      </c>
      <c r="I1043" s="8">
        <v>584.94000000000005</v>
      </c>
      <c r="J1043" t="s">
        <v>1610</v>
      </c>
      <c r="K1043" t="s">
        <v>47</v>
      </c>
      <c r="O1043">
        <v>0</v>
      </c>
      <c r="P1043">
        <v>0</v>
      </c>
      <c r="Q1043">
        <v>0</v>
      </c>
      <c r="R1043">
        <v>0</v>
      </c>
      <c r="S1043">
        <v>1</v>
      </c>
      <c r="T1043">
        <v>1</v>
      </c>
      <c r="U1043">
        <v>1</v>
      </c>
      <c r="V1043">
        <v>0</v>
      </c>
      <c r="W1043" t="s">
        <v>1336</v>
      </c>
      <c r="AA1043">
        <v>2007</v>
      </c>
      <c r="AB1043">
        <v>9999</v>
      </c>
      <c r="AC1043" t="s">
        <v>35</v>
      </c>
    </row>
    <row r="1044" spans="1:29" x14ac:dyDescent="0.25">
      <c r="A1044" s="31" t="s">
        <v>1212</v>
      </c>
      <c r="B1044" s="23" t="s">
        <v>1213</v>
      </c>
      <c r="D1044">
        <v>1</v>
      </c>
      <c r="E1044" t="s">
        <v>681</v>
      </c>
      <c r="F1044">
        <v>3</v>
      </c>
      <c r="G1044">
        <v>2023</v>
      </c>
      <c r="I1044" s="8">
        <v>16.3</v>
      </c>
      <c r="J1044" t="s">
        <v>121</v>
      </c>
      <c r="K1044" t="s">
        <v>41</v>
      </c>
      <c r="O1044">
        <v>0</v>
      </c>
      <c r="P1044">
        <v>0</v>
      </c>
      <c r="Q1044">
        <v>0</v>
      </c>
      <c r="R1044">
        <v>0</v>
      </c>
      <c r="S1044">
        <v>0</v>
      </c>
      <c r="T1044">
        <v>1</v>
      </c>
      <c r="U1044">
        <v>1</v>
      </c>
      <c r="V1044">
        <v>0</v>
      </c>
      <c r="W1044" t="s">
        <v>1278</v>
      </c>
      <c r="AA1044">
        <v>2008</v>
      </c>
      <c r="AB1044">
        <v>9999</v>
      </c>
      <c r="AC1044" t="s">
        <v>1054</v>
      </c>
    </row>
    <row r="1045" spans="1:29" x14ac:dyDescent="0.25">
      <c r="A1045" s="31" t="s">
        <v>933</v>
      </c>
      <c r="B1045" s="23" t="s">
        <v>934</v>
      </c>
      <c r="C1045" t="s">
        <v>935</v>
      </c>
      <c r="D1045">
        <v>1</v>
      </c>
      <c r="E1045" t="s">
        <v>681</v>
      </c>
      <c r="F1045">
        <v>3</v>
      </c>
      <c r="G1045">
        <v>2023</v>
      </c>
      <c r="J1045" t="s">
        <v>121</v>
      </c>
      <c r="K1045" t="s">
        <v>47</v>
      </c>
      <c r="O1045">
        <v>0</v>
      </c>
      <c r="P1045">
        <v>0</v>
      </c>
      <c r="Q1045">
        <v>0</v>
      </c>
      <c r="R1045">
        <v>0</v>
      </c>
      <c r="S1045">
        <v>1</v>
      </c>
      <c r="T1045">
        <v>1</v>
      </c>
      <c r="U1045">
        <v>1</v>
      </c>
      <c r="V1045">
        <v>0</v>
      </c>
      <c r="W1045" t="s">
        <v>1620</v>
      </c>
      <c r="AA1045">
        <v>2007</v>
      </c>
      <c r="AB1045">
        <v>9999</v>
      </c>
      <c r="AC1045" t="s">
        <v>35</v>
      </c>
    </row>
    <row r="1046" spans="1:29" x14ac:dyDescent="0.25">
      <c r="A1046" s="31" t="s">
        <v>937</v>
      </c>
      <c r="B1046" s="23" t="s">
        <v>938</v>
      </c>
      <c r="D1046">
        <v>1</v>
      </c>
      <c r="E1046" t="s">
        <v>103</v>
      </c>
      <c r="F1046">
        <v>9</v>
      </c>
      <c r="G1046">
        <v>2023</v>
      </c>
      <c r="I1046" s="8">
        <v>785.17</v>
      </c>
      <c r="J1046" t="s">
        <v>104</v>
      </c>
      <c r="K1046" t="s">
        <v>53</v>
      </c>
      <c r="L1046" t="s">
        <v>105</v>
      </c>
      <c r="O1046">
        <v>0</v>
      </c>
      <c r="P1046">
        <v>1</v>
      </c>
      <c r="Q1046">
        <v>0</v>
      </c>
      <c r="R1046">
        <v>0</v>
      </c>
      <c r="S1046">
        <v>1</v>
      </c>
      <c r="T1046">
        <v>1</v>
      </c>
      <c r="U1046">
        <v>1</v>
      </c>
      <c r="V1046">
        <v>0</v>
      </c>
      <c r="W1046" t="s">
        <v>106</v>
      </c>
      <c r="AA1046">
        <v>2007</v>
      </c>
      <c r="AB1046">
        <v>9999</v>
      </c>
      <c r="AC1046" t="s">
        <v>35</v>
      </c>
    </row>
    <row r="1047" spans="1:29" x14ac:dyDescent="0.25">
      <c r="A1047" s="31" t="s">
        <v>462</v>
      </c>
      <c r="B1047" s="23" t="s">
        <v>1414</v>
      </c>
      <c r="C1047" t="s">
        <v>1280</v>
      </c>
      <c r="D1047">
        <v>1</v>
      </c>
      <c r="E1047" t="s">
        <v>468</v>
      </c>
      <c r="F1047">
        <v>7</v>
      </c>
      <c r="G1047">
        <v>2023</v>
      </c>
      <c r="I1047" s="8">
        <v>145.53</v>
      </c>
      <c r="J1047" t="s">
        <v>40</v>
      </c>
      <c r="K1047" t="s">
        <v>47</v>
      </c>
      <c r="O1047">
        <v>0</v>
      </c>
      <c r="P1047">
        <v>0</v>
      </c>
      <c r="Q1047">
        <v>0</v>
      </c>
      <c r="R1047">
        <v>0</v>
      </c>
      <c r="S1047">
        <v>1</v>
      </c>
      <c r="T1047">
        <v>1</v>
      </c>
      <c r="U1047">
        <v>1</v>
      </c>
      <c r="V1047">
        <v>0</v>
      </c>
      <c r="W1047" t="s">
        <v>1118</v>
      </c>
      <c r="AA1047">
        <v>2007</v>
      </c>
      <c r="AB1047">
        <v>9999</v>
      </c>
      <c r="AC1047" t="s">
        <v>35</v>
      </c>
    </row>
    <row r="1048" spans="1:29" x14ac:dyDescent="0.25">
      <c r="A1048" s="31" t="s">
        <v>1337</v>
      </c>
      <c r="B1048" s="23" t="s">
        <v>1315</v>
      </c>
      <c r="D1048">
        <v>1</v>
      </c>
      <c r="E1048" t="s">
        <v>45</v>
      </c>
      <c r="F1048">
        <v>4</v>
      </c>
      <c r="G1048">
        <v>2023</v>
      </c>
      <c r="I1048" s="8">
        <v>530.5</v>
      </c>
      <c r="J1048" t="s">
        <v>1610</v>
      </c>
      <c r="K1048" t="s">
        <v>32</v>
      </c>
      <c r="O1048">
        <v>0</v>
      </c>
      <c r="P1048">
        <v>0</v>
      </c>
      <c r="Q1048">
        <v>0</v>
      </c>
      <c r="R1048">
        <v>0</v>
      </c>
      <c r="S1048">
        <v>1</v>
      </c>
      <c r="T1048">
        <v>1</v>
      </c>
      <c r="U1048">
        <v>1</v>
      </c>
      <c r="V1048">
        <v>0</v>
      </c>
      <c r="W1048" t="s">
        <v>1338</v>
      </c>
      <c r="AA1048">
        <v>2010</v>
      </c>
      <c r="AB1048">
        <v>9999</v>
      </c>
      <c r="AC1048" t="s">
        <v>1292</v>
      </c>
    </row>
    <row r="1049" spans="1:29" x14ac:dyDescent="0.25">
      <c r="A1049" s="31" t="s">
        <v>1509</v>
      </c>
      <c r="B1049" s="23" t="s">
        <v>946</v>
      </c>
      <c r="D1049">
        <v>48</v>
      </c>
      <c r="E1049" t="s">
        <v>155</v>
      </c>
      <c r="F1049">
        <v>3</v>
      </c>
      <c r="G1049">
        <v>2023</v>
      </c>
      <c r="I1049" s="15">
        <v>2966.42</v>
      </c>
      <c r="J1049" t="s">
        <v>121</v>
      </c>
      <c r="K1049" t="s">
        <v>53</v>
      </c>
      <c r="L1049" t="s">
        <v>60</v>
      </c>
      <c r="O1049">
        <v>1</v>
      </c>
      <c r="P1049">
        <v>0</v>
      </c>
      <c r="Q1049">
        <v>0</v>
      </c>
      <c r="R1049">
        <v>0</v>
      </c>
      <c r="S1049">
        <v>1</v>
      </c>
      <c r="T1049">
        <v>0</v>
      </c>
      <c r="U1049">
        <v>0</v>
      </c>
      <c r="V1049">
        <v>1</v>
      </c>
      <c r="W1049" t="s">
        <v>947</v>
      </c>
      <c r="AA1049">
        <v>2007</v>
      </c>
      <c r="AB1049">
        <v>9999</v>
      </c>
      <c r="AC1049" t="s">
        <v>35</v>
      </c>
    </row>
    <row r="1050" spans="1:29" x14ac:dyDescent="0.25">
      <c r="A1050" s="31" t="s">
        <v>950</v>
      </c>
      <c r="B1050" s="23" t="s">
        <v>951</v>
      </c>
      <c r="C1050" t="s">
        <v>952</v>
      </c>
      <c r="D1050">
        <v>1</v>
      </c>
      <c r="E1050" t="s">
        <v>218</v>
      </c>
      <c r="F1050">
        <v>2</v>
      </c>
      <c r="G1050">
        <v>2023</v>
      </c>
      <c r="I1050" s="8">
        <v>1073.8499999999999</v>
      </c>
      <c r="J1050" t="s">
        <v>147</v>
      </c>
      <c r="K1050" t="s">
        <v>32</v>
      </c>
      <c r="O1050">
        <v>0</v>
      </c>
      <c r="P1050">
        <v>0</v>
      </c>
      <c r="Q1050">
        <v>0</v>
      </c>
      <c r="R1050">
        <v>0</v>
      </c>
      <c r="S1050">
        <v>1</v>
      </c>
      <c r="T1050">
        <v>1</v>
      </c>
      <c r="U1050">
        <v>1</v>
      </c>
      <c r="V1050">
        <v>0</v>
      </c>
      <c r="W1050" t="s">
        <v>1216</v>
      </c>
      <c r="AA1050">
        <v>2007</v>
      </c>
      <c r="AB1050">
        <v>9999</v>
      </c>
      <c r="AC1050" t="s">
        <v>35</v>
      </c>
    </row>
    <row r="1051" spans="1:29" x14ac:dyDescent="0.25">
      <c r="A1051" s="31" t="s">
        <v>954</v>
      </c>
      <c r="B1051" s="23" t="s">
        <v>1585</v>
      </c>
      <c r="C1051" t="s">
        <v>956</v>
      </c>
      <c r="D1051">
        <v>1</v>
      </c>
      <c r="E1051" t="s">
        <v>218</v>
      </c>
      <c r="F1051">
        <v>2</v>
      </c>
      <c r="G1051">
        <v>2023</v>
      </c>
      <c r="I1051" s="8">
        <v>326.26</v>
      </c>
      <c r="J1051" t="s">
        <v>147</v>
      </c>
      <c r="K1051" t="s">
        <v>47</v>
      </c>
      <c r="O1051">
        <v>0</v>
      </c>
      <c r="P1051">
        <v>0</v>
      </c>
      <c r="Q1051">
        <v>0</v>
      </c>
      <c r="R1051">
        <v>0</v>
      </c>
      <c r="S1051">
        <v>1</v>
      </c>
      <c r="T1051">
        <v>1</v>
      </c>
      <c r="U1051">
        <v>1</v>
      </c>
      <c r="V1051">
        <v>0</v>
      </c>
      <c r="W1051" t="s">
        <v>1384</v>
      </c>
      <c r="AA1051">
        <v>2007</v>
      </c>
      <c r="AB1051">
        <v>9999</v>
      </c>
      <c r="AC1051" t="s">
        <v>35</v>
      </c>
    </row>
    <row r="1052" spans="1:29" x14ac:dyDescent="0.25">
      <c r="A1052" s="31" t="s">
        <v>1385</v>
      </c>
      <c r="B1052" s="23" t="s">
        <v>1386</v>
      </c>
      <c r="D1052">
        <v>1</v>
      </c>
      <c r="E1052" t="s">
        <v>874</v>
      </c>
      <c r="F1052">
        <v>1</v>
      </c>
      <c r="G1052">
        <v>2023</v>
      </c>
      <c r="I1052" s="8">
        <v>35</v>
      </c>
      <c r="J1052" t="s">
        <v>1608</v>
      </c>
      <c r="K1052" t="s">
        <v>47</v>
      </c>
      <c r="O1052">
        <v>0</v>
      </c>
      <c r="P1052">
        <v>0</v>
      </c>
      <c r="Q1052">
        <v>0</v>
      </c>
      <c r="R1052">
        <v>0</v>
      </c>
      <c r="S1052">
        <v>1</v>
      </c>
      <c r="T1052">
        <v>1</v>
      </c>
      <c r="U1052">
        <v>1</v>
      </c>
      <c r="V1052">
        <v>0</v>
      </c>
      <c r="W1052" t="s">
        <v>1387</v>
      </c>
      <c r="AA1052">
        <v>2011</v>
      </c>
      <c r="AB1052">
        <v>9999</v>
      </c>
      <c r="AC1052" t="s">
        <v>1365</v>
      </c>
    </row>
    <row r="1053" spans="1:29" x14ac:dyDescent="0.25">
      <c r="A1053" s="31" t="s">
        <v>1388</v>
      </c>
      <c r="B1053" s="23" t="s">
        <v>1389</v>
      </c>
      <c r="D1053">
        <v>1</v>
      </c>
      <c r="E1053" t="s">
        <v>1390</v>
      </c>
      <c r="F1053">
        <v>4</v>
      </c>
      <c r="G1053">
        <v>2023</v>
      </c>
      <c r="I1053" s="8">
        <v>9605.26</v>
      </c>
      <c r="J1053" t="s">
        <v>1608</v>
      </c>
      <c r="K1053" t="s">
        <v>32</v>
      </c>
      <c r="O1053">
        <v>0</v>
      </c>
      <c r="P1053">
        <v>0</v>
      </c>
      <c r="Q1053">
        <v>0</v>
      </c>
      <c r="R1053">
        <v>0</v>
      </c>
      <c r="S1053">
        <v>1</v>
      </c>
      <c r="T1053">
        <v>1</v>
      </c>
      <c r="U1053">
        <v>1</v>
      </c>
      <c r="V1053">
        <v>0</v>
      </c>
      <c r="W1053" t="s">
        <v>1391</v>
      </c>
      <c r="AA1053">
        <v>2011</v>
      </c>
      <c r="AB1053">
        <v>9999</v>
      </c>
      <c r="AC1053" t="s">
        <v>1365</v>
      </c>
    </row>
    <row r="1054" spans="1:29" x14ac:dyDescent="0.25">
      <c r="A1054" s="31" t="s">
        <v>1281</v>
      </c>
      <c r="B1054" s="23" t="s">
        <v>1282</v>
      </c>
      <c r="D1054">
        <v>1</v>
      </c>
      <c r="E1054" t="s">
        <v>625</v>
      </c>
      <c r="F1054">
        <v>4</v>
      </c>
      <c r="G1054">
        <v>2023</v>
      </c>
      <c r="I1054" s="8">
        <v>2056.2399999999998</v>
      </c>
      <c r="J1054" t="s">
        <v>1608</v>
      </c>
      <c r="K1054" t="s">
        <v>32</v>
      </c>
      <c r="O1054">
        <v>0</v>
      </c>
      <c r="P1054">
        <v>0</v>
      </c>
      <c r="Q1054">
        <v>0</v>
      </c>
      <c r="R1054">
        <v>0</v>
      </c>
      <c r="S1054">
        <v>1</v>
      </c>
      <c r="T1054">
        <v>1</v>
      </c>
      <c r="U1054">
        <v>1</v>
      </c>
      <c r="V1054">
        <v>0</v>
      </c>
      <c r="W1054" t="s">
        <v>1283</v>
      </c>
      <c r="AA1054">
        <v>2009</v>
      </c>
      <c r="AB1054">
        <v>9999</v>
      </c>
      <c r="AC1054" t="s">
        <v>1239</v>
      </c>
    </row>
    <row r="1055" spans="1:29" x14ac:dyDescent="0.25">
      <c r="A1055" s="31" t="s">
        <v>958</v>
      </c>
      <c r="B1055" s="23" t="s">
        <v>959</v>
      </c>
      <c r="D1055">
        <v>1</v>
      </c>
      <c r="E1055" t="s">
        <v>51</v>
      </c>
      <c r="F1055">
        <v>1</v>
      </c>
      <c r="G1055">
        <v>2023</v>
      </c>
      <c r="I1055" s="8">
        <v>63</v>
      </c>
      <c r="J1055" t="s">
        <v>52</v>
      </c>
      <c r="K1055" t="s">
        <v>53</v>
      </c>
      <c r="L1055" t="s">
        <v>54</v>
      </c>
      <c r="O1055">
        <v>0</v>
      </c>
      <c r="P1055">
        <v>0</v>
      </c>
      <c r="Q1055">
        <v>1</v>
      </c>
      <c r="R1055">
        <v>0</v>
      </c>
      <c r="S1055">
        <v>0</v>
      </c>
      <c r="T1055">
        <v>0</v>
      </c>
      <c r="U1055">
        <v>1</v>
      </c>
      <c r="V1055">
        <v>0</v>
      </c>
      <c r="W1055" t="s">
        <v>55</v>
      </c>
      <c r="AA1055">
        <v>2007</v>
      </c>
      <c r="AB1055">
        <v>9999</v>
      </c>
      <c r="AC1055" t="s">
        <v>35</v>
      </c>
    </row>
    <row r="1056" spans="1:29" x14ac:dyDescent="0.25">
      <c r="A1056" s="31" t="s">
        <v>960</v>
      </c>
      <c r="B1056" s="23" t="s">
        <v>961</v>
      </c>
      <c r="D1056">
        <v>1</v>
      </c>
      <c r="E1056" t="s">
        <v>168</v>
      </c>
      <c r="F1056">
        <v>1</v>
      </c>
      <c r="G1056">
        <v>2023</v>
      </c>
      <c r="I1056" s="8">
        <v>2316.9899999999998</v>
      </c>
      <c r="J1056" t="s">
        <v>52</v>
      </c>
      <c r="K1056" t="s">
        <v>47</v>
      </c>
      <c r="O1056">
        <v>0</v>
      </c>
      <c r="P1056">
        <v>0</v>
      </c>
      <c r="Q1056">
        <v>0</v>
      </c>
      <c r="R1056">
        <v>0</v>
      </c>
      <c r="S1056">
        <v>1</v>
      </c>
      <c r="T1056">
        <v>1</v>
      </c>
      <c r="U1056">
        <v>1</v>
      </c>
      <c r="V1056">
        <v>0</v>
      </c>
      <c r="W1056" t="s">
        <v>1533</v>
      </c>
      <c r="AA1056">
        <v>2007</v>
      </c>
      <c r="AB1056">
        <v>9999</v>
      </c>
      <c r="AC1056" t="s">
        <v>35</v>
      </c>
    </row>
    <row r="1057" spans="1:29" x14ac:dyDescent="0.25">
      <c r="A1057" s="31" t="s">
        <v>963</v>
      </c>
      <c r="B1057" s="23" t="s">
        <v>658</v>
      </c>
      <c r="D1057">
        <v>1</v>
      </c>
      <c r="E1057" t="s">
        <v>103</v>
      </c>
      <c r="F1057">
        <v>9</v>
      </c>
      <c r="G1057">
        <v>2023</v>
      </c>
      <c r="I1057" s="8">
        <v>3940.58</v>
      </c>
      <c r="J1057" t="s">
        <v>104</v>
      </c>
      <c r="K1057" t="s">
        <v>53</v>
      </c>
      <c r="L1057" t="s">
        <v>105</v>
      </c>
      <c r="O1057">
        <v>0</v>
      </c>
      <c r="P1057">
        <v>1</v>
      </c>
      <c r="Q1057">
        <v>0</v>
      </c>
      <c r="R1057">
        <v>0</v>
      </c>
      <c r="S1057">
        <v>1</v>
      </c>
      <c r="T1057">
        <v>1</v>
      </c>
      <c r="U1057">
        <v>1</v>
      </c>
      <c r="V1057">
        <v>0</v>
      </c>
      <c r="W1057" t="s">
        <v>106</v>
      </c>
      <c r="AA1057">
        <v>2007</v>
      </c>
      <c r="AB1057">
        <v>9999</v>
      </c>
      <c r="AC1057" t="s">
        <v>35</v>
      </c>
    </row>
    <row r="1058" spans="1:29" x14ac:dyDescent="0.25">
      <c r="A1058" s="31" t="s">
        <v>1437</v>
      </c>
      <c r="B1058" s="23" t="s">
        <v>1438</v>
      </c>
      <c r="C1058" t="s">
        <v>1439</v>
      </c>
      <c r="D1058">
        <v>1</v>
      </c>
      <c r="E1058" t="s">
        <v>103</v>
      </c>
      <c r="F1058">
        <v>9</v>
      </c>
      <c r="G1058">
        <v>2023</v>
      </c>
      <c r="I1058" s="8">
        <v>320.64999999999998</v>
      </c>
      <c r="J1058" t="s">
        <v>104</v>
      </c>
      <c r="K1058" t="s">
        <v>32</v>
      </c>
      <c r="O1058">
        <v>0</v>
      </c>
      <c r="P1058">
        <v>0</v>
      </c>
      <c r="Q1058">
        <v>0</v>
      </c>
      <c r="R1058">
        <v>0</v>
      </c>
      <c r="S1058">
        <v>1</v>
      </c>
      <c r="T1058">
        <v>1</v>
      </c>
      <c r="U1058">
        <v>1</v>
      </c>
      <c r="V1058">
        <v>0</v>
      </c>
      <c r="W1058" t="s">
        <v>1440</v>
      </c>
      <c r="AA1058">
        <v>2013</v>
      </c>
      <c r="AB1058">
        <v>9999</v>
      </c>
      <c r="AC1058" t="s">
        <v>1419</v>
      </c>
    </row>
    <row r="1059" spans="1:29" x14ac:dyDescent="0.25">
      <c r="A1059" s="31" t="s">
        <v>1441</v>
      </c>
      <c r="B1059" s="23" t="s">
        <v>1442</v>
      </c>
      <c r="C1059" t="s">
        <v>1443</v>
      </c>
      <c r="D1059">
        <v>1</v>
      </c>
      <c r="E1059" t="s">
        <v>103</v>
      </c>
      <c r="F1059">
        <v>9</v>
      </c>
      <c r="G1059">
        <v>2023</v>
      </c>
      <c r="I1059" s="8">
        <v>103.45</v>
      </c>
      <c r="J1059" t="s">
        <v>104</v>
      </c>
      <c r="K1059" t="s">
        <v>47</v>
      </c>
      <c r="O1059">
        <v>0</v>
      </c>
      <c r="P1059">
        <v>0</v>
      </c>
      <c r="Q1059">
        <v>0</v>
      </c>
      <c r="R1059">
        <v>0</v>
      </c>
      <c r="S1059">
        <v>1</v>
      </c>
      <c r="T1059">
        <v>1</v>
      </c>
      <c r="U1059">
        <v>1</v>
      </c>
      <c r="V1059">
        <v>0</v>
      </c>
      <c r="W1059" t="s">
        <v>1444</v>
      </c>
      <c r="AA1059">
        <v>2013</v>
      </c>
      <c r="AB1059">
        <v>9999</v>
      </c>
      <c r="AC1059" t="s">
        <v>1419</v>
      </c>
    </row>
    <row r="1060" spans="1:29" x14ac:dyDescent="0.25">
      <c r="A1060" s="31" t="s">
        <v>1510</v>
      </c>
      <c r="B1060" s="23" t="s">
        <v>1511</v>
      </c>
      <c r="D1060">
        <v>1</v>
      </c>
      <c r="E1060" s="4">
        <v>411</v>
      </c>
      <c r="F1060">
        <v>4</v>
      </c>
      <c r="G1060">
        <v>2023</v>
      </c>
      <c r="I1060" s="8">
        <v>71.849999999999994</v>
      </c>
      <c r="J1060" t="s">
        <v>52</v>
      </c>
      <c r="K1060" t="s">
        <v>47</v>
      </c>
      <c r="O1060">
        <v>0</v>
      </c>
      <c r="P1060">
        <v>0</v>
      </c>
      <c r="Q1060">
        <v>0</v>
      </c>
      <c r="R1060">
        <v>0</v>
      </c>
      <c r="S1060">
        <v>1</v>
      </c>
      <c r="T1060">
        <v>1</v>
      </c>
      <c r="U1060">
        <v>1</v>
      </c>
      <c r="V1060">
        <v>0</v>
      </c>
      <c r="W1060" t="s">
        <v>1512</v>
      </c>
      <c r="AA1060">
        <v>2015</v>
      </c>
      <c r="AB1060">
        <v>9999</v>
      </c>
      <c r="AC1060" t="s">
        <v>1475</v>
      </c>
    </row>
    <row r="1061" spans="1:29" x14ac:dyDescent="0.25">
      <c r="A1061" s="31" t="s">
        <v>967</v>
      </c>
      <c r="B1061" s="23" t="s">
        <v>661</v>
      </c>
      <c r="D1061">
        <v>1</v>
      </c>
      <c r="E1061" t="s">
        <v>103</v>
      </c>
      <c r="F1061">
        <v>9</v>
      </c>
      <c r="G1061">
        <v>2023</v>
      </c>
      <c r="I1061" s="8">
        <v>6626.3</v>
      </c>
      <c r="J1061" t="s">
        <v>104</v>
      </c>
      <c r="K1061" t="s">
        <v>53</v>
      </c>
      <c r="L1061" t="s">
        <v>105</v>
      </c>
      <c r="O1061">
        <v>0</v>
      </c>
      <c r="P1061">
        <v>1</v>
      </c>
      <c r="Q1061">
        <v>0</v>
      </c>
      <c r="R1061">
        <v>0</v>
      </c>
      <c r="S1061">
        <v>1</v>
      </c>
      <c r="T1061">
        <v>1</v>
      </c>
      <c r="U1061">
        <v>1</v>
      </c>
      <c r="V1061">
        <v>0</v>
      </c>
      <c r="W1061" t="s">
        <v>106</v>
      </c>
      <c r="AA1061">
        <v>2007</v>
      </c>
      <c r="AB1061">
        <v>9999</v>
      </c>
      <c r="AC1061" t="s">
        <v>35</v>
      </c>
    </row>
    <row r="1062" spans="1:29" x14ac:dyDescent="0.25">
      <c r="A1062" s="31" t="s">
        <v>968</v>
      </c>
      <c r="B1062" s="23" t="s">
        <v>969</v>
      </c>
      <c r="D1062">
        <v>1</v>
      </c>
      <c r="E1062" t="s">
        <v>85</v>
      </c>
      <c r="F1062">
        <v>1</v>
      </c>
      <c r="G1062">
        <v>2023</v>
      </c>
      <c r="H1062" t="s">
        <v>970</v>
      </c>
      <c r="I1062" s="15">
        <v>0.1</v>
      </c>
      <c r="J1062" t="s">
        <v>176</v>
      </c>
      <c r="K1062" t="s">
        <v>41</v>
      </c>
      <c r="O1062">
        <v>0</v>
      </c>
      <c r="P1062">
        <v>0</v>
      </c>
      <c r="Q1062">
        <v>0</v>
      </c>
      <c r="R1062">
        <v>0</v>
      </c>
      <c r="S1062">
        <v>0</v>
      </c>
      <c r="T1062">
        <v>0</v>
      </c>
      <c r="U1062">
        <v>0</v>
      </c>
      <c r="V1062">
        <v>0</v>
      </c>
      <c r="W1062" t="s">
        <v>971</v>
      </c>
      <c r="AA1062">
        <v>2007</v>
      </c>
      <c r="AB1062">
        <v>9999</v>
      </c>
      <c r="AC1062" t="s">
        <v>35</v>
      </c>
    </row>
    <row r="1063" spans="1:29" x14ac:dyDescent="0.25">
      <c r="A1063" s="31" t="s">
        <v>975</v>
      </c>
      <c r="B1063" s="23" t="s">
        <v>976</v>
      </c>
      <c r="D1063">
        <v>1</v>
      </c>
      <c r="E1063" t="s">
        <v>977</v>
      </c>
      <c r="F1063">
        <v>1</v>
      </c>
      <c r="G1063">
        <v>2023</v>
      </c>
      <c r="H1063" t="s">
        <v>205</v>
      </c>
      <c r="I1063" s="15">
        <v>32</v>
      </c>
      <c r="J1063" t="s">
        <v>81</v>
      </c>
      <c r="K1063" t="s">
        <v>41</v>
      </c>
      <c r="O1063">
        <v>0</v>
      </c>
      <c r="P1063">
        <v>0</v>
      </c>
      <c r="Q1063">
        <v>0</v>
      </c>
      <c r="R1063">
        <v>0</v>
      </c>
      <c r="S1063">
        <v>0</v>
      </c>
      <c r="T1063">
        <v>0</v>
      </c>
      <c r="U1063">
        <v>0</v>
      </c>
      <c r="V1063">
        <v>0</v>
      </c>
      <c r="W1063" t="s">
        <v>1220</v>
      </c>
      <c r="AA1063">
        <v>2007</v>
      </c>
      <c r="AB1063">
        <v>9999</v>
      </c>
      <c r="AC1063" t="s">
        <v>35</v>
      </c>
    </row>
    <row r="1064" spans="1:29" x14ac:dyDescent="0.25">
      <c r="A1064" s="31" t="s">
        <v>985</v>
      </c>
      <c r="B1064" s="23" t="s">
        <v>986</v>
      </c>
      <c r="C1064" t="s">
        <v>987</v>
      </c>
      <c r="D1064">
        <v>1</v>
      </c>
      <c r="E1064" t="s">
        <v>988</v>
      </c>
      <c r="F1064">
        <v>4</v>
      </c>
      <c r="G1064">
        <v>2023</v>
      </c>
      <c r="I1064" s="8">
        <v>218.09</v>
      </c>
      <c r="J1064" t="s">
        <v>1610</v>
      </c>
      <c r="K1064" t="s">
        <v>32</v>
      </c>
      <c r="O1064">
        <v>0</v>
      </c>
      <c r="P1064">
        <v>0</v>
      </c>
      <c r="Q1064">
        <v>0</v>
      </c>
      <c r="R1064">
        <v>0</v>
      </c>
      <c r="S1064">
        <v>1</v>
      </c>
      <c r="T1064">
        <v>1</v>
      </c>
      <c r="U1064">
        <v>1</v>
      </c>
      <c r="V1064">
        <v>0</v>
      </c>
      <c r="W1064" t="s">
        <v>1339</v>
      </c>
      <c r="AA1064">
        <v>2007</v>
      </c>
      <c r="AB1064">
        <v>9999</v>
      </c>
      <c r="AC1064" t="s">
        <v>35</v>
      </c>
    </row>
    <row r="1065" spans="1:29" x14ac:dyDescent="0.25">
      <c r="A1065" s="31" t="s">
        <v>993</v>
      </c>
      <c r="B1065" s="23" t="s">
        <v>129</v>
      </c>
      <c r="D1065">
        <v>1</v>
      </c>
      <c r="E1065" t="s">
        <v>103</v>
      </c>
      <c r="F1065">
        <v>1</v>
      </c>
      <c r="G1065">
        <v>2023</v>
      </c>
      <c r="I1065" s="8">
        <v>252.25</v>
      </c>
      <c r="J1065" t="s">
        <v>104</v>
      </c>
      <c r="K1065" t="s">
        <v>32</v>
      </c>
      <c r="O1065">
        <v>0</v>
      </c>
      <c r="P1065">
        <v>0</v>
      </c>
      <c r="Q1065">
        <v>0</v>
      </c>
      <c r="R1065">
        <v>0</v>
      </c>
      <c r="S1065">
        <v>1</v>
      </c>
      <c r="T1065">
        <v>1</v>
      </c>
      <c r="U1065">
        <v>1</v>
      </c>
      <c r="V1065">
        <v>0</v>
      </c>
      <c r="W1065" t="s">
        <v>1340</v>
      </c>
      <c r="AA1065">
        <v>2007</v>
      </c>
      <c r="AB1065">
        <v>9999</v>
      </c>
      <c r="AC1065" t="s">
        <v>35</v>
      </c>
    </row>
    <row r="1066" spans="1:29" x14ac:dyDescent="0.25">
      <c r="A1066" s="31" t="s">
        <v>1008</v>
      </c>
      <c r="B1066" s="23" t="s">
        <v>1009</v>
      </c>
      <c r="D1066">
        <v>1</v>
      </c>
      <c r="E1066" t="s">
        <v>155</v>
      </c>
      <c r="F1066">
        <v>3</v>
      </c>
      <c r="G1066">
        <v>2023</v>
      </c>
      <c r="I1066" s="8">
        <v>1146.71</v>
      </c>
      <c r="J1066" t="s">
        <v>121</v>
      </c>
      <c r="K1066" t="s">
        <v>47</v>
      </c>
      <c r="O1066">
        <v>0</v>
      </c>
      <c r="P1066">
        <v>0</v>
      </c>
      <c r="Q1066">
        <v>0</v>
      </c>
      <c r="R1066">
        <v>0</v>
      </c>
      <c r="S1066">
        <v>1</v>
      </c>
      <c r="T1066">
        <v>1</v>
      </c>
      <c r="U1066">
        <v>1</v>
      </c>
      <c r="V1066">
        <v>0</v>
      </c>
      <c r="W1066" t="s">
        <v>1519</v>
      </c>
      <c r="AA1066">
        <v>2007</v>
      </c>
      <c r="AB1066">
        <v>9999</v>
      </c>
      <c r="AC1066" t="s">
        <v>35</v>
      </c>
    </row>
    <row r="1067" spans="1:29" x14ac:dyDescent="0.25">
      <c r="A1067" s="31" t="s">
        <v>1011</v>
      </c>
      <c r="B1067" s="23" t="s">
        <v>1012</v>
      </c>
      <c r="D1067">
        <v>1</v>
      </c>
      <c r="E1067" t="s">
        <v>103</v>
      </c>
      <c r="F1067">
        <v>9</v>
      </c>
      <c r="G1067">
        <v>2023</v>
      </c>
      <c r="I1067" s="8">
        <v>1225.3900000000001</v>
      </c>
      <c r="J1067" t="s">
        <v>104</v>
      </c>
      <c r="K1067" t="s">
        <v>53</v>
      </c>
      <c r="L1067" t="s">
        <v>105</v>
      </c>
      <c r="O1067">
        <v>0</v>
      </c>
      <c r="P1067">
        <v>1</v>
      </c>
      <c r="Q1067">
        <v>0</v>
      </c>
      <c r="R1067">
        <v>0</v>
      </c>
      <c r="S1067">
        <v>1</v>
      </c>
      <c r="T1067">
        <v>1</v>
      </c>
      <c r="U1067">
        <v>1</v>
      </c>
      <c r="V1067">
        <v>0</v>
      </c>
      <c r="W1067" t="s">
        <v>106</v>
      </c>
      <c r="AA1067">
        <v>2007</v>
      </c>
      <c r="AB1067">
        <v>9999</v>
      </c>
      <c r="AC1067" t="s">
        <v>35</v>
      </c>
    </row>
    <row r="1068" spans="1:29" x14ac:dyDescent="0.25">
      <c r="A1068" s="31" t="s">
        <v>126</v>
      </c>
      <c r="B1068" s="23" t="s">
        <v>1573</v>
      </c>
      <c r="C1068" t="s">
        <v>1607</v>
      </c>
      <c r="D1068">
        <v>1</v>
      </c>
      <c r="E1068" s="5" t="s">
        <v>128</v>
      </c>
      <c r="F1068">
        <v>9</v>
      </c>
      <c r="G1068">
        <v>2023</v>
      </c>
      <c r="H1068" t="s">
        <v>129</v>
      </c>
      <c r="I1068" s="15">
        <v>3.5</v>
      </c>
      <c r="J1068" t="s">
        <v>104</v>
      </c>
      <c r="K1068" t="s">
        <v>41</v>
      </c>
      <c r="O1068">
        <v>0</v>
      </c>
      <c r="P1068">
        <v>0</v>
      </c>
      <c r="Q1068">
        <v>0</v>
      </c>
      <c r="R1068">
        <v>0</v>
      </c>
      <c r="S1068">
        <v>0</v>
      </c>
      <c r="T1068">
        <v>1</v>
      </c>
      <c r="U1068">
        <v>0</v>
      </c>
      <c r="V1068">
        <v>0</v>
      </c>
      <c r="W1068" t="s">
        <v>1043</v>
      </c>
      <c r="AA1068">
        <v>2007</v>
      </c>
      <c r="AB1068">
        <v>9999</v>
      </c>
      <c r="AC1068" t="s">
        <v>35</v>
      </c>
    </row>
    <row r="1069" spans="1:29" x14ac:dyDescent="0.25">
      <c r="A1069" s="31" t="s">
        <v>1013</v>
      </c>
      <c r="B1069" s="23" t="s">
        <v>1014</v>
      </c>
      <c r="D1069">
        <v>1</v>
      </c>
      <c r="E1069" t="s">
        <v>128</v>
      </c>
      <c r="F1069">
        <v>9</v>
      </c>
      <c r="G1069">
        <v>2023</v>
      </c>
      <c r="H1069" t="s">
        <v>1513</v>
      </c>
      <c r="I1069" s="15">
        <v>8.5</v>
      </c>
      <c r="J1069" t="s">
        <v>104</v>
      </c>
      <c r="K1069" t="s">
        <v>41</v>
      </c>
      <c r="O1069">
        <v>0</v>
      </c>
      <c r="P1069">
        <v>0</v>
      </c>
      <c r="Q1069">
        <v>0</v>
      </c>
      <c r="R1069">
        <v>0</v>
      </c>
      <c r="S1069">
        <v>0</v>
      </c>
      <c r="T1069">
        <v>0</v>
      </c>
      <c r="U1069">
        <v>0</v>
      </c>
      <c r="V1069">
        <v>0</v>
      </c>
      <c r="W1069" t="s">
        <v>1229</v>
      </c>
      <c r="AA1069">
        <v>2007</v>
      </c>
      <c r="AB1069">
        <v>9999</v>
      </c>
      <c r="AC1069" t="s">
        <v>35</v>
      </c>
    </row>
    <row r="1070" spans="1:29" x14ac:dyDescent="0.25">
      <c r="A1070" s="31" t="s">
        <v>1016</v>
      </c>
      <c r="B1070" s="23" t="s">
        <v>1017</v>
      </c>
      <c r="D1070">
        <v>1</v>
      </c>
      <c r="E1070" t="s">
        <v>396</v>
      </c>
      <c r="F1070">
        <v>3</v>
      </c>
      <c r="G1070">
        <v>2023</v>
      </c>
      <c r="H1070" t="s">
        <v>1018</v>
      </c>
      <c r="I1070" s="15">
        <v>0</v>
      </c>
      <c r="J1070" t="s">
        <v>121</v>
      </c>
      <c r="K1070" t="s">
        <v>41</v>
      </c>
      <c r="O1070">
        <v>0</v>
      </c>
      <c r="P1070">
        <v>0</v>
      </c>
      <c r="Q1070">
        <v>0</v>
      </c>
      <c r="R1070">
        <v>0</v>
      </c>
      <c r="S1070">
        <v>0</v>
      </c>
      <c r="T1070">
        <v>0</v>
      </c>
      <c r="U1070">
        <v>0</v>
      </c>
      <c r="V1070">
        <v>0</v>
      </c>
      <c r="W1070" t="s">
        <v>1230</v>
      </c>
      <c r="AA1070">
        <v>2007</v>
      </c>
      <c r="AB1070">
        <v>9999</v>
      </c>
      <c r="AC1070" t="s">
        <v>35</v>
      </c>
    </row>
    <row r="1071" spans="1:29" x14ac:dyDescent="0.25">
      <c r="A1071" s="31" t="s">
        <v>1020</v>
      </c>
      <c r="B1071" s="23" t="s">
        <v>1021</v>
      </c>
      <c r="D1071">
        <v>1</v>
      </c>
      <c r="E1071" t="s">
        <v>103</v>
      </c>
      <c r="F1071">
        <v>9</v>
      </c>
      <c r="G1071">
        <v>2023</v>
      </c>
      <c r="I1071" s="8">
        <v>18.149999999999999</v>
      </c>
      <c r="J1071" t="s">
        <v>104</v>
      </c>
      <c r="K1071" t="s">
        <v>47</v>
      </c>
      <c r="O1071">
        <v>0</v>
      </c>
      <c r="P1071">
        <v>0</v>
      </c>
      <c r="Q1071">
        <v>0</v>
      </c>
      <c r="R1071">
        <v>0</v>
      </c>
      <c r="S1071">
        <v>0</v>
      </c>
      <c r="T1071">
        <v>1</v>
      </c>
      <c r="U1071">
        <v>1</v>
      </c>
      <c r="V1071">
        <v>0</v>
      </c>
      <c r="W1071" t="s">
        <v>1231</v>
      </c>
      <c r="AA1071">
        <v>2007</v>
      </c>
      <c r="AB1071">
        <v>9999</v>
      </c>
      <c r="AC1071" t="s">
        <v>35</v>
      </c>
    </row>
    <row r="1072" spans="1:29" x14ac:dyDescent="0.25">
      <c r="B1072" s="23" t="s">
        <v>1026</v>
      </c>
      <c r="D1072">
        <v>24</v>
      </c>
      <c r="F1072">
        <v>3</v>
      </c>
      <c r="G1072">
        <v>2023</v>
      </c>
      <c r="H1072" t="s">
        <v>392</v>
      </c>
      <c r="I1072" s="15" t="s">
        <v>1027</v>
      </c>
      <c r="J1072" t="s">
        <v>121</v>
      </c>
      <c r="K1072" t="s">
        <v>41</v>
      </c>
      <c r="O1072">
        <v>0</v>
      </c>
      <c r="P1072">
        <v>0</v>
      </c>
      <c r="Q1072">
        <v>0</v>
      </c>
      <c r="R1072">
        <v>0</v>
      </c>
      <c r="S1072">
        <v>0</v>
      </c>
      <c r="T1072">
        <v>0</v>
      </c>
      <c r="U1072">
        <v>0</v>
      </c>
      <c r="V1072">
        <v>0</v>
      </c>
      <c r="W1072" t="s">
        <v>1232</v>
      </c>
      <c r="AA1072">
        <v>2007</v>
      </c>
      <c r="AB1072">
        <v>9999</v>
      </c>
      <c r="AC1072" t="s">
        <v>35</v>
      </c>
    </row>
    <row r="1073" spans="1:29" x14ac:dyDescent="0.25">
      <c r="A1073" s="31" t="s">
        <v>28</v>
      </c>
      <c r="B1073" s="23" t="s">
        <v>29</v>
      </c>
      <c r="D1073">
        <v>1</v>
      </c>
      <c r="E1073" t="s">
        <v>30</v>
      </c>
      <c r="F1073">
        <v>4</v>
      </c>
      <c r="G1073">
        <v>2022</v>
      </c>
      <c r="I1073" s="8">
        <v>915.92</v>
      </c>
      <c r="J1073" t="s">
        <v>1556</v>
      </c>
      <c r="K1073" t="s">
        <v>32</v>
      </c>
      <c r="L1073" t="s">
        <v>33</v>
      </c>
      <c r="O1073">
        <v>0</v>
      </c>
      <c r="P1073">
        <v>0</v>
      </c>
      <c r="Q1073">
        <v>0</v>
      </c>
      <c r="R1073">
        <v>1</v>
      </c>
      <c r="S1073">
        <v>1</v>
      </c>
      <c r="T1073">
        <v>1</v>
      </c>
      <c r="U1073">
        <v>1</v>
      </c>
      <c r="V1073">
        <v>0</v>
      </c>
      <c r="W1073" t="s">
        <v>1029</v>
      </c>
      <c r="AA1073">
        <v>2007</v>
      </c>
      <c r="AB1073">
        <v>9999</v>
      </c>
      <c r="AC1073" t="s">
        <v>35</v>
      </c>
    </row>
    <row r="1074" spans="1:29" x14ac:dyDescent="0.25">
      <c r="A1074" s="31" t="s">
        <v>36</v>
      </c>
      <c r="B1074" s="23" t="s">
        <v>1445</v>
      </c>
      <c r="D1074">
        <v>1</v>
      </c>
      <c r="E1074" s="5" t="s">
        <v>38</v>
      </c>
      <c r="F1074">
        <v>4</v>
      </c>
      <c r="G1074">
        <v>2022</v>
      </c>
      <c r="H1074" t="s">
        <v>39</v>
      </c>
      <c r="I1074">
        <v>0.25</v>
      </c>
      <c r="J1074" t="s">
        <v>40</v>
      </c>
      <c r="K1074" t="s">
        <v>41</v>
      </c>
      <c r="O1074">
        <v>0</v>
      </c>
      <c r="P1074">
        <v>0</v>
      </c>
      <c r="Q1074">
        <v>0</v>
      </c>
      <c r="R1074">
        <v>0</v>
      </c>
      <c r="S1074">
        <v>0</v>
      </c>
      <c r="T1074">
        <v>0</v>
      </c>
      <c r="U1074">
        <v>0</v>
      </c>
      <c r="V1074">
        <v>0</v>
      </c>
      <c r="W1074" t="s">
        <v>1030</v>
      </c>
      <c r="AA1074">
        <v>2007</v>
      </c>
      <c r="AB1074">
        <v>9999</v>
      </c>
      <c r="AC1074" t="s">
        <v>35</v>
      </c>
    </row>
    <row r="1075" spans="1:29" x14ac:dyDescent="0.25">
      <c r="A1075" s="31" t="s">
        <v>43</v>
      </c>
      <c r="B1075" s="23" t="s">
        <v>44</v>
      </c>
      <c r="D1075">
        <v>1</v>
      </c>
      <c r="E1075" t="s">
        <v>45</v>
      </c>
      <c r="F1075">
        <v>4</v>
      </c>
      <c r="G1075">
        <v>2022</v>
      </c>
      <c r="I1075" s="8">
        <v>46</v>
      </c>
      <c r="J1075" t="s">
        <v>52</v>
      </c>
      <c r="K1075" t="s">
        <v>47</v>
      </c>
      <c r="O1075">
        <v>0</v>
      </c>
      <c r="P1075">
        <v>0</v>
      </c>
      <c r="Q1075">
        <v>0</v>
      </c>
      <c r="R1075">
        <v>0</v>
      </c>
      <c r="S1075">
        <v>1</v>
      </c>
      <c r="T1075">
        <v>1</v>
      </c>
      <c r="U1075">
        <v>1</v>
      </c>
      <c r="V1075">
        <v>0</v>
      </c>
      <c r="W1075" t="s">
        <v>1514</v>
      </c>
      <c r="AA1075">
        <v>2007</v>
      </c>
      <c r="AB1075">
        <v>9999</v>
      </c>
      <c r="AC1075" t="s">
        <v>35</v>
      </c>
    </row>
    <row r="1076" spans="1:29" x14ac:dyDescent="0.25">
      <c r="A1076" s="31" t="s">
        <v>49</v>
      </c>
      <c r="B1076" s="23" t="s">
        <v>50</v>
      </c>
      <c r="D1076">
        <v>1</v>
      </c>
      <c r="E1076" t="s">
        <v>51</v>
      </c>
      <c r="F1076">
        <v>1</v>
      </c>
      <c r="G1076">
        <v>2022</v>
      </c>
      <c r="I1076" s="15">
        <v>69</v>
      </c>
      <c r="J1076" t="s">
        <v>52</v>
      </c>
      <c r="K1076" t="s">
        <v>53</v>
      </c>
      <c r="L1076" t="s">
        <v>54</v>
      </c>
      <c r="O1076">
        <v>0</v>
      </c>
      <c r="P1076">
        <v>0</v>
      </c>
      <c r="Q1076">
        <v>1</v>
      </c>
      <c r="R1076">
        <v>0</v>
      </c>
      <c r="S1076">
        <v>0</v>
      </c>
      <c r="T1076">
        <v>0</v>
      </c>
      <c r="U1076">
        <v>1</v>
      </c>
      <c r="V1076">
        <v>0</v>
      </c>
      <c r="W1076" t="s">
        <v>55</v>
      </c>
      <c r="AA1076">
        <v>2007</v>
      </c>
      <c r="AB1076">
        <v>9999</v>
      </c>
      <c r="AC1076" t="s">
        <v>35</v>
      </c>
    </row>
    <row r="1077" spans="1:29" x14ac:dyDescent="0.25">
      <c r="A1077" s="31" t="s">
        <v>996</v>
      </c>
      <c r="B1077" s="23" t="s">
        <v>1342</v>
      </c>
      <c r="D1077">
        <v>1</v>
      </c>
      <c r="E1077" t="s">
        <v>38</v>
      </c>
      <c r="F1077">
        <v>4</v>
      </c>
      <c r="G1077">
        <v>2022</v>
      </c>
      <c r="H1077" t="s">
        <v>998</v>
      </c>
      <c r="I1077">
        <v>1.5</v>
      </c>
      <c r="J1077" t="s">
        <v>89</v>
      </c>
      <c r="K1077" t="s">
        <v>41</v>
      </c>
      <c r="O1077">
        <v>0</v>
      </c>
      <c r="P1077">
        <v>0</v>
      </c>
      <c r="Q1077">
        <v>0</v>
      </c>
      <c r="R1077">
        <v>0</v>
      </c>
      <c r="S1077">
        <v>0</v>
      </c>
      <c r="T1077">
        <v>0</v>
      </c>
      <c r="U1077">
        <v>0</v>
      </c>
      <c r="V1077">
        <v>0</v>
      </c>
      <c r="W1077" t="s">
        <v>1344</v>
      </c>
      <c r="AA1077">
        <v>2007</v>
      </c>
      <c r="AB1077">
        <v>9999</v>
      </c>
      <c r="AC1077" t="s">
        <v>35</v>
      </c>
    </row>
    <row r="1078" spans="1:29" x14ac:dyDescent="0.25">
      <c r="A1078" s="31" t="s">
        <v>56</v>
      </c>
      <c r="B1078" s="23" t="s">
        <v>57</v>
      </c>
      <c r="D1078">
        <v>1</v>
      </c>
      <c r="E1078" t="s">
        <v>58</v>
      </c>
      <c r="F1078">
        <v>4</v>
      </c>
      <c r="G1078">
        <v>2022</v>
      </c>
      <c r="I1078" s="8">
        <v>15.76</v>
      </c>
      <c r="J1078" t="s">
        <v>59</v>
      </c>
      <c r="K1078" t="s">
        <v>53</v>
      </c>
      <c r="L1078" t="s">
        <v>60</v>
      </c>
      <c r="O1078">
        <v>1</v>
      </c>
      <c r="P1078">
        <v>0</v>
      </c>
      <c r="Q1078">
        <v>0</v>
      </c>
      <c r="R1078">
        <v>0</v>
      </c>
      <c r="S1078">
        <v>1</v>
      </c>
      <c r="T1078">
        <v>1</v>
      </c>
      <c r="U1078">
        <v>1</v>
      </c>
      <c r="V1078">
        <v>0</v>
      </c>
      <c r="W1078" t="s">
        <v>61</v>
      </c>
      <c r="AA1078">
        <v>2007</v>
      </c>
      <c r="AB1078">
        <v>9999</v>
      </c>
      <c r="AC1078" t="s">
        <v>35</v>
      </c>
    </row>
    <row r="1079" spans="1:29" x14ac:dyDescent="0.25">
      <c r="A1079" s="31" t="s">
        <v>71</v>
      </c>
      <c r="B1079" s="23" t="s">
        <v>1032</v>
      </c>
      <c r="D1079">
        <v>1</v>
      </c>
      <c r="E1079" t="s">
        <v>309</v>
      </c>
      <c r="F1079">
        <v>10</v>
      </c>
      <c r="G1079">
        <v>2022</v>
      </c>
      <c r="I1079" s="8">
        <v>9769.6</v>
      </c>
      <c r="J1079" t="s">
        <v>59</v>
      </c>
      <c r="K1079" t="s">
        <v>32</v>
      </c>
      <c r="O1079">
        <v>0</v>
      </c>
      <c r="P1079">
        <v>0</v>
      </c>
      <c r="Q1079">
        <v>0</v>
      </c>
      <c r="R1079">
        <v>0</v>
      </c>
      <c r="S1079">
        <v>1</v>
      </c>
      <c r="T1079">
        <v>1</v>
      </c>
      <c r="U1079">
        <v>1</v>
      </c>
      <c r="V1079">
        <v>0</v>
      </c>
      <c r="W1079" t="s">
        <v>1033</v>
      </c>
      <c r="AA1079">
        <v>2007</v>
      </c>
      <c r="AB1079">
        <v>9999</v>
      </c>
      <c r="AC1079" t="s">
        <v>35</v>
      </c>
    </row>
    <row r="1080" spans="1:29" x14ac:dyDescent="0.25">
      <c r="A1080" s="31" t="s">
        <v>62</v>
      </c>
      <c r="B1080" s="23" t="s">
        <v>63</v>
      </c>
      <c r="D1080">
        <v>1</v>
      </c>
      <c r="E1080" t="s">
        <v>64</v>
      </c>
      <c r="F1080">
        <v>1</v>
      </c>
      <c r="G1080">
        <v>2022</v>
      </c>
      <c r="I1080" s="8">
        <v>62.68</v>
      </c>
      <c r="J1080" t="s">
        <v>52</v>
      </c>
      <c r="K1080" t="s">
        <v>53</v>
      </c>
      <c r="L1080" t="s">
        <v>65</v>
      </c>
      <c r="O1080">
        <v>0</v>
      </c>
      <c r="P1080">
        <v>0</v>
      </c>
      <c r="Q1080">
        <v>0</v>
      </c>
      <c r="R1080">
        <v>0</v>
      </c>
      <c r="S1080">
        <v>1</v>
      </c>
      <c r="T1080">
        <v>1</v>
      </c>
      <c r="U1080">
        <v>1</v>
      </c>
      <c r="V1080">
        <v>0</v>
      </c>
      <c r="W1080" t="s">
        <v>1034</v>
      </c>
      <c r="AA1080">
        <v>2007</v>
      </c>
      <c r="AB1080">
        <v>9999</v>
      </c>
      <c r="AC1080" t="s">
        <v>35</v>
      </c>
    </row>
    <row r="1081" spans="1:29" x14ac:dyDescent="0.25">
      <c r="A1081" s="31" t="s">
        <v>74</v>
      </c>
      <c r="B1081" s="23" t="s">
        <v>75</v>
      </c>
      <c r="D1081">
        <v>1</v>
      </c>
      <c r="E1081" t="s">
        <v>58</v>
      </c>
      <c r="F1081">
        <v>4</v>
      </c>
      <c r="G1081">
        <v>2022</v>
      </c>
      <c r="I1081" s="8">
        <v>626.96</v>
      </c>
      <c r="J1081" t="s">
        <v>59</v>
      </c>
      <c r="K1081" t="s">
        <v>47</v>
      </c>
      <c r="O1081">
        <v>0</v>
      </c>
      <c r="P1081">
        <v>0</v>
      </c>
      <c r="Q1081">
        <v>0</v>
      </c>
      <c r="R1081">
        <v>0</v>
      </c>
      <c r="S1081">
        <v>1</v>
      </c>
      <c r="T1081">
        <v>1</v>
      </c>
      <c r="U1081">
        <v>1</v>
      </c>
      <c r="V1081">
        <v>0</v>
      </c>
      <c r="W1081" t="s">
        <v>1035</v>
      </c>
      <c r="AA1081">
        <v>2007</v>
      </c>
      <c r="AB1081">
        <v>9999</v>
      </c>
      <c r="AC1081" t="s">
        <v>35</v>
      </c>
    </row>
    <row r="1082" spans="1:29" x14ac:dyDescent="0.25">
      <c r="A1082" s="31" t="s">
        <v>83</v>
      </c>
      <c r="B1082" s="23" t="s">
        <v>84</v>
      </c>
      <c r="D1082">
        <v>1</v>
      </c>
      <c r="E1082" t="s">
        <v>85</v>
      </c>
      <c r="F1082">
        <v>1</v>
      </c>
      <c r="G1082">
        <v>2022</v>
      </c>
      <c r="H1082" t="s">
        <v>39</v>
      </c>
      <c r="I1082">
        <v>29.5</v>
      </c>
      <c r="J1082" t="s">
        <v>40</v>
      </c>
      <c r="K1082" t="s">
        <v>41</v>
      </c>
      <c r="O1082">
        <v>0</v>
      </c>
      <c r="P1082">
        <v>0</v>
      </c>
      <c r="Q1082">
        <v>0</v>
      </c>
      <c r="R1082">
        <v>0</v>
      </c>
      <c r="S1082">
        <v>0</v>
      </c>
      <c r="T1082">
        <v>0</v>
      </c>
      <c r="U1082">
        <v>0</v>
      </c>
      <c r="V1082">
        <v>0</v>
      </c>
      <c r="W1082" t="s">
        <v>86</v>
      </c>
      <c r="AA1082">
        <v>2007</v>
      </c>
      <c r="AB1082">
        <v>9999</v>
      </c>
      <c r="AC1082" t="s">
        <v>35</v>
      </c>
    </row>
    <row r="1083" spans="1:29" x14ac:dyDescent="0.25">
      <c r="A1083" s="31" t="s">
        <v>92</v>
      </c>
      <c r="B1083" s="23" t="s">
        <v>93</v>
      </c>
      <c r="C1083" t="s">
        <v>94</v>
      </c>
      <c r="D1083">
        <v>1</v>
      </c>
      <c r="E1083" t="s">
        <v>95</v>
      </c>
      <c r="F1083">
        <v>10</v>
      </c>
      <c r="G1083">
        <v>2022</v>
      </c>
      <c r="I1083" s="8">
        <v>27.2</v>
      </c>
      <c r="J1083" t="s">
        <v>40</v>
      </c>
      <c r="K1083" t="s">
        <v>47</v>
      </c>
      <c r="O1083">
        <v>0</v>
      </c>
      <c r="P1083">
        <v>0</v>
      </c>
      <c r="Q1083">
        <v>0</v>
      </c>
      <c r="R1083">
        <v>0</v>
      </c>
      <c r="S1083">
        <v>1</v>
      </c>
      <c r="T1083">
        <v>1</v>
      </c>
      <c r="U1083">
        <v>1</v>
      </c>
      <c r="V1083">
        <v>0</v>
      </c>
      <c r="W1083" t="s">
        <v>96</v>
      </c>
      <c r="AA1083">
        <v>2007</v>
      </c>
      <c r="AB1083">
        <v>9999</v>
      </c>
      <c r="AC1083" t="s">
        <v>35</v>
      </c>
    </row>
    <row r="1084" spans="1:29" x14ac:dyDescent="0.25">
      <c r="A1084" s="31" t="s">
        <v>101</v>
      </c>
      <c r="B1084" s="23" t="s">
        <v>102</v>
      </c>
      <c r="D1084">
        <v>1</v>
      </c>
      <c r="E1084" t="s">
        <v>103</v>
      </c>
      <c r="F1084">
        <v>9</v>
      </c>
      <c r="G1084">
        <v>2022</v>
      </c>
      <c r="I1084" s="8">
        <v>468.87</v>
      </c>
      <c r="J1084" t="s">
        <v>104</v>
      </c>
      <c r="K1084" t="s">
        <v>53</v>
      </c>
      <c r="L1084" t="s">
        <v>105</v>
      </c>
      <c r="O1084">
        <v>0</v>
      </c>
      <c r="P1084">
        <v>1</v>
      </c>
      <c r="Q1084">
        <v>0</v>
      </c>
      <c r="R1084">
        <v>0</v>
      </c>
      <c r="S1084">
        <v>1</v>
      </c>
      <c r="T1084">
        <v>1</v>
      </c>
      <c r="U1084">
        <v>1</v>
      </c>
      <c r="V1084">
        <v>0</v>
      </c>
      <c r="W1084" t="s">
        <v>106</v>
      </c>
      <c r="AA1084">
        <v>2007</v>
      </c>
      <c r="AB1084">
        <v>9999</v>
      </c>
      <c r="AC1084" t="s">
        <v>35</v>
      </c>
    </row>
    <row r="1085" spans="1:29" x14ac:dyDescent="0.25">
      <c r="A1085" s="31" t="s">
        <v>107</v>
      </c>
      <c r="B1085" s="23" t="s">
        <v>108</v>
      </c>
      <c r="D1085">
        <v>1</v>
      </c>
      <c r="E1085" t="s">
        <v>45</v>
      </c>
      <c r="F1085">
        <v>4</v>
      </c>
      <c r="G1085">
        <v>2022</v>
      </c>
      <c r="I1085" s="8">
        <v>6.5</v>
      </c>
      <c r="J1085" t="s">
        <v>52</v>
      </c>
      <c r="K1085" t="s">
        <v>41</v>
      </c>
      <c r="O1085">
        <v>0</v>
      </c>
      <c r="P1085">
        <v>0</v>
      </c>
      <c r="Q1085">
        <v>0</v>
      </c>
      <c r="R1085">
        <v>0</v>
      </c>
      <c r="S1085">
        <v>0</v>
      </c>
      <c r="T1085">
        <v>1</v>
      </c>
      <c r="U1085">
        <v>1</v>
      </c>
      <c r="V1085">
        <v>0</v>
      </c>
      <c r="W1085" t="s">
        <v>1520</v>
      </c>
      <c r="AA1085">
        <v>2007</v>
      </c>
      <c r="AB1085">
        <v>9999</v>
      </c>
      <c r="AC1085" t="s">
        <v>35</v>
      </c>
    </row>
    <row r="1086" spans="1:29" x14ac:dyDescent="0.25">
      <c r="A1086" s="31" t="s">
        <v>110</v>
      </c>
      <c r="B1086" s="23" t="s">
        <v>111</v>
      </c>
      <c r="D1086">
        <v>1</v>
      </c>
      <c r="E1086" t="s">
        <v>45</v>
      </c>
      <c r="F1086">
        <v>4</v>
      </c>
      <c r="G1086">
        <v>2022</v>
      </c>
      <c r="I1086" s="8">
        <v>566.95000000000005</v>
      </c>
      <c r="J1086" t="s">
        <v>89</v>
      </c>
      <c r="K1086" t="s">
        <v>47</v>
      </c>
      <c r="O1086">
        <v>0</v>
      </c>
      <c r="P1086">
        <v>0</v>
      </c>
      <c r="Q1086">
        <v>0</v>
      </c>
      <c r="R1086">
        <v>0</v>
      </c>
      <c r="S1086">
        <v>1</v>
      </c>
      <c r="T1086">
        <v>1</v>
      </c>
      <c r="U1086">
        <v>1</v>
      </c>
      <c r="V1086">
        <v>0</v>
      </c>
      <c r="W1086" t="s">
        <v>1039</v>
      </c>
      <c r="AA1086">
        <v>2007</v>
      </c>
      <c r="AB1086">
        <v>9999</v>
      </c>
      <c r="AC1086" t="s">
        <v>35</v>
      </c>
    </row>
    <row r="1087" spans="1:29" x14ac:dyDescent="0.25">
      <c r="A1087" s="31" t="s">
        <v>113</v>
      </c>
      <c r="B1087" s="23" t="s">
        <v>114</v>
      </c>
      <c r="D1087">
        <v>1</v>
      </c>
      <c r="E1087" t="s">
        <v>115</v>
      </c>
      <c r="F1087">
        <v>6</v>
      </c>
      <c r="G1087">
        <v>2022</v>
      </c>
      <c r="I1087" s="8">
        <v>255.98</v>
      </c>
      <c r="J1087" t="s">
        <v>52</v>
      </c>
      <c r="K1087" t="s">
        <v>47</v>
      </c>
      <c r="O1087">
        <v>0</v>
      </c>
      <c r="P1087">
        <v>0</v>
      </c>
      <c r="Q1087">
        <v>0</v>
      </c>
      <c r="R1087">
        <v>0</v>
      </c>
      <c r="S1087">
        <v>1</v>
      </c>
      <c r="T1087">
        <v>1</v>
      </c>
      <c r="U1087">
        <v>1</v>
      </c>
      <c r="V1087">
        <v>0</v>
      </c>
      <c r="W1087" t="s">
        <v>1586</v>
      </c>
      <c r="AA1087">
        <v>2007</v>
      </c>
      <c r="AB1087">
        <v>9999</v>
      </c>
      <c r="AC1087" t="s">
        <v>35</v>
      </c>
    </row>
    <row r="1088" spans="1:29" x14ac:dyDescent="0.25">
      <c r="A1088" s="31" t="s">
        <v>117</v>
      </c>
      <c r="B1088" s="23" t="s">
        <v>118</v>
      </c>
      <c r="C1088" t="s">
        <v>119</v>
      </c>
      <c r="D1088">
        <v>1</v>
      </c>
      <c r="E1088" t="s">
        <v>120</v>
      </c>
      <c r="F1088">
        <v>3</v>
      </c>
      <c r="G1088">
        <v>2022</v>
      </c>
      <c r="I1088" s="8">
        <v>141.56</v>
      </c>
      <c r="J1088" t="s">
        <v>121</v>
      </c>
      <c r="K1088" t="s">
        <v>47</v>
      </c>
      <c r="O1088">
        <v>0</v>
      </c>
      <c r="P1088">
        <v>0</v>
      </c>
      <c r="Q1088">
        <v>0</v>
      </c>
      <c r="R1088">
        <v>0</v>
      </c>
      <c r="S1088">
        <v>1</v>
      </c>
      <c r="T1088">
        <v>1</v>
      </c>
      <c r="U1088">
        <v>1</v>
      </c>
      <c r="V1088">
        <v>0</v>
      </c>
      <c r="W1088" t="s">
        <v>1521</v>
      </c>
      <c r="AA1088">
        <v>2007</v>
      </c>
      <c r="AB1088">
        <v>9999</v>
      </c>
      <c r="AC1088" t="s">
        <v>35</v>
      </c>
    </row>
    <row r="1089" spans="1:29" x14ac:dyDescent="0.25">
      <c r="A1089" s="31" t="s">
        <v>123</v>
      </c>
      <c r="B1089" s="23" t="s">
        <v>124</v>
      </c>
      <c r="D1089">
        <v>1</v>
      </c>
      <c r="E1089" t="s">
        <v>120</v>
      </c>
      <c r="F1089">
        <v>3</v>
      </c>
      <c r="G1089">
        <v>2022</v>
      </c>
      <c r="I1089" s="8">
        <v>52.56</v>
      </c>
      <c r="J1089" t="s">
        <v>121</v>
      </c>
      <c r="K1089" t="s">
        <v>47</v>
      </c>
      <c r="O1089">
        <v>0</v>
      </c>
      <c r="P1089">
        <v>0</v>
      </c>
      <c r="Q1089">
        <v>0</v>
      </c>
      <c r="R1089">
        <v>0</v>
      </c>
      <c r="S1089">
        <v>1</v>
      </c>
      <c r="T1089">
        <v>1</v>
      </c>
      <c r="U1089">
        <v>1</v>
      </c>
      <c r="V1089">
        <v>0</v>
      </c>
      <c r="W1089" t="s">
        <v>1042</v>
      </c>
      <c r="AA1089">
        <v>2007</v>
      </c>
      <c r="AB1089">
        <v>9999</v>
      </c>
      <c r="AC1089" t="s">
        <v>35</v>
      </c>
    </row>
    <row r="1090" spans="1:29" x14ac:dyDescent="0.25">
      <c r="A1090" s="31" t="s">
        <v>1416</v>
      </c>
      <c r="B1090" s="23" t="s">
        <v>1417</v>
      </c>
      <c r="D1090">
        <v>1</v>
      </c>
      <c r="E1090" s="5" t="s">
        <v>38</v>
      </c>
      <c r="F1090">
        <v>4</v>
      </c>
      <c r="G1090">
        <v>2022</v>
      </c>
      <c r="H1090" t="s">
        <v>998</v>
      </c>
      <c r="I1090" s="15">
        <v>0</v>
      </c>
      <c r="J1090" t="s">
        <v>89</v>
      </c>
      <c r="K1090" t="s">
        <v>41</v>
      </c>
      <c r="O1090">
        <v>0</v>
      </c>
      <c r="P1090">
        <v>0</v>
      </c>
      <c r="Q1090">
        <v>0</v>
      </c>
      <c r="R1090">
        <v>0</v>
      </c>
      <c r="S1090">
        <v>0</v>
      </c>
      <c r="T1090">
        <v>0</v>
      </c>
      <c r="U1090">
        <v>0</v>
      </c>
      <c r="V1090">
        <v>0</v>
      </c>
      <c r="W1090" t="s">
        <v>1534</v>
      </c>
      <c r="AA1090">
        <v>2013</v>
      </c>
      <c r="AB1090">
        <v>9999</v>
      </c>
      <c r="AC1090" t="s">
        <v>1419</v>
      </c>
    </row>
    <row r="1091" spans="1:29" x14ac:dyDescent="0.25">
      <c r="A1091" s="31" t="s">
        <v>131</v>
      </c>
      <c r="B1091" s="23" t="s">
        <v>132</v>
      </c>
      <c r="C1091" t="s">
        <v>133</v>
      </c>
      <c r="D1091">
        <v>1</v>
      </c>
      <c r="E1091" t="s">
        <v>134</v>
      </c>
      <c r="F1091">
        <v>9</v>
      </c>
      <c r="G1091">
        <v>2022</v>
      </c>
      <c r="I1091" s="8">
        <v>1067.26</v>
      </c>
      <c r="J1091" t="s">
        <v>104</v>
      </c>
      <c r="K1091" t="s">
        <v>47</v>
      </c>
      <c r="O1091">
        <v>0</v>
      </c>
      <c r="P1091">
        <v>0</v>
      </c>
      <c r="Q1091">
        <v>0</v>
      </c>
      <c r="R1091">
        <v>0</v>
      </c>
      <c r="S1091">
        <v>1</v>
      </c>
      <c r="T1091">
        <v>1</v>
      </c>
      <c r="U1091">
        <v>1</v>
      </c>
      <c r="V1091">
        <v>0</v>
      </c>
      <c r="W1091" t="s">
        <v>1522</v>
      </c>
      <c r="AA1091">
        <v>2007</v>
      </c>
      <c r="AB1091">
        <v>9999</v>
      </c>
      <c r="AC1091" t="s">
        <v>35</v>
      </c>
    </row>
    <row r="1092" spans="1:29" ht="30" x14ac:dyDescent="0.25">
      <c r="A1092" s="31" t="s">
        <v>143</v>
      </c>
      <c r="B1092" s="23" t="s">
        <v>144</v>
      </c>
      <c r="D1092">
        <v>1</v>
      </c>
      <c r="E1092" t="s">
        <v>145</v>
      </c>
      <c r="F1092">
        <v>2</v>
      </c>
      <c r="G1092">
        <v>2022</v>
      </c>
      <c r="H1092" t="s">
        <v>146</v>
      </c>
      <c r="I1092">
        <v>0</v>
      </c>
      <c r="J1092" s="2" t="s">
        <v>147</v>
      </c>
      <c r="K1092" t="s">
        <v>41</v>
      </c>
      <c r="O1092">
        <v>0</v>
      </c>
      <c r="P1092">
        <v>0</v>
      </c>
      <c r="Q1092">
        <v>0</v>
      </c>
      <c r="R1092">
        <v>0</v>
      </c>
      <c r="S1092">
        <v>0</v>
      </c>
      <c r="T1092">
        <v>0</v>
      </c>
      <c r="U1092">
        <v>0</v>
      </c>
      <c r="V1092">
        <v>0</v>
      </c>
      <c r="W1092" t="s">
        <v>1046</v>
      </c>
      <c r="AA1092">
        <v>2007</v>
      </c>
      <c r="AB1092">
        <v>9999</v>
      </c>
      <c r="AC1092" t="s">
        <v>35</v>
      </c>
    </row>
    <row r="1093" spans="1:29" x14ac:dyDescent="0.25">
      <c r="A1093" s="31" t="s">
        <v>1535</v>
      </c>
      <c r="B1093" s="23" t="s">
        <v>1536</v>
      </c>
      <c r="C1093" t="s">
        <v>1537</v>
      </c>
      <c r="D1093">
        <v>1</v>
      </c>
      <c r="E1093" t="s">
        <v>95</v>
      </c>
      <c r="F1093">
        <v>10</v>
      </c>
      <c r="G1093">
        <v>2022</v>
      </c>
      <c r="I1093" s="8">
        <v>13.8</v>
      </c>
      <c r="J1093" t="s">
        <v>59</v>
      </c>
      <c r="K1093" t="s">
        <v>47</v>
      </c>
      <c r="O1093">
        <v>0</v>
      </c>
      <c r="P1093">
        <v>0</v>
      </c>
      <c r="Q1093">
        <v>0</v>
      </c>
      <c r="R1093">
        <v>0</v>
      </c>
      <c r="S1093" s="17">
        <v>1</v>
      </c>
      <c r="T1093">
        <v>1</v>
      </c>
      <c r="U1093">
        <v>1</v>
      </c>
      <c r="V1093">
        <v>0</v>
      </c>
      <c r="W1093" t="s">
        <v>1538</v>
      </c>
      <c r="AA1093">
        <v>2018</v>
      </c>
      <c r="AB1093">
        <v>2022</v>
      </c>
      <c r="AC1093" t="s">
        <v>1539</v>
      </c>
    </row>
    <row r="1094" spans="1:29" x14ac:dyDescent="0.25">
      <c r="A1094" s="31" t="s">
        <v>353</v>
      </c>
      <c r="B1094" s="23" t="s">
        <v>1233</v>
      </c>
      <c r="C1094" t="s">
        <v>1234</v>
      </c>
      <c r="D1094">
        <v>1</v>
      </c>
      <c r="E1094" t="s">
        <v>58</v>
      </c>
      <c r="F1094">
        <v>4</v>
      </c>
      <c r="G1094">
        <v>2022</v>
      </c>
      <c r="I1094" s="8">
        <v>89.03</v>
      </c>
      <c r="J1094" t="s">
        <v>59</v>
      </c>
      <c r="K1094" t="s">
        <v>47</v>
      </c>
      <c r="O1094">
        <v>0</v>
      </c>
      <c r="P1094">
        <v>0</v>
      </c>
      <c r="Q1094">
        <v>0</v>
      </c>
      <c r="R1094">
        <v>0</v>
      </c>
      <c r="S1094">
        <v>1</v>
      </c>
      <c r="T1094">
        <v>1</v>
      </c>
      <c r="U1094">
        <v>1</v>
      </c>
      <c r="V1094">
        <v>0</v>
      </c>
      <c r="W1094" t="s">
        <v>1235</v>
      </c>
      <c r="AA1094">
        <v>2007</v>
      </c>
      <c r="AB1094">
        <v>9999</v>
      </c>
      <c r="AC1094" t="s">
        <v>35</v>
      </c>
    </row>
    <row r="1095" spans="1:29" x14ac:dyDescent="0.25">
      <c r="A1095" s="31" t="s">
        <v>1236</v>
      </c>
      <c r="B1095" s="23" t="s">
        <v>1237</v>
      </c>
      <c r="D1095">
        <v>1</v>
      </c>
      <c r="E1095" t="s">
        <v>155</v>
      </c>
      <c r="F1095">
        <v>3</v>
      </c>
      <c r="G1095">
        <v>2022</v>
      </c>
      <c r="H1095" t="s">
        <v>154</v>
      </c>
      <c r="I1095" s="8">
        <v>7</v>
      </c>
      <c r="J1095" t="s">
        <v>121</v>
      </c>
      <c r="K1095" t="s">
        <v>41</v>
      </c>
      <c r="O1095">
        <v>0</v>
      </c>
      <c r="P1095">
        <v>0</v>
      </c>
      <c r="Q1095">
        <v>0</v>
      </c>
      <c r="R1095">
        <v>0</v>
      </c>
      <c r="S1095">
        <v>0</v>
      </c>
      <c r="T1095">
        <v>1</v>
      </c>
      <c r="U1095">
        <v>1</v>
      </c>
      <c r="V1095">
        <v>0</v>
      </c>
      <c r="W1095" t="s">
        <v>1347</v>
      </c>
      <c r="AA1095">
        <v>2009</v>
      </c>
      <c r="AB1095">
        <v>9999</v>
      </c>
      <c r="AC1095" t="s">
        <v>1239</v>
      </c>
    </row>
    <row r="1096" spans="1:29" x14ac:dyDescent="0.25">
      <c r="A1096" s="31" t="s">
        <v>153</v>
      </c>
      <c r="B1096" s="23" t="s">
        <v>154</v>
      </c>
      <c r="D1096">
        <v>1</v>
      </c>
      <c r="E1096" t="s">
        <v>155</v>
      </c>
      <c r="F1096">
        <v>3</v>
      </c>
      <c r="G1096">
        <v>2022</v>
      </c>
      <c r="I1096" s="8">
        <v>401.49543122529752</v>
      </c>
      <c r="J1096" t="s">
        <v>121</v>
      </c>
      <c r="K1096" t="s">
        <v>47</v>
      </c>
      <c r="O1096">
        <v>0</v>
      </c>
      <c r="P1096">
        <v>0</v>
      </c>
      <c r="Q1096">
        <v>0</v>
      </c>
      <c r="R1096">
        <v>0</v>
      </c>
      <c r="S1096">
        <v>1</v>
      </c>
      <c r="T1096">
        <v>1</v>
      </c>
      <c r="U1096">
        <v>1</v>
      </c>
      <c r="V1096">
        <v>1</v>
      </c>
      <c r="W1096" t="s">
        <v>1047</v>
      </c>
      <c r="AA1096">
        <v>2007</v>
      </c>
      <c r="AB1096">
        <v>9999</v>
      </c>
      <c r="AC1096" t="s">
        <v>35</v>
      </c>
    </row>
    <row r="1097" spans="1:29" x14ac:dyDescent="0.25">
      <c r="A1097" s="31" t="s">
        <v>1446</v>
      </c>
      <c r="B1097" s="23" t="s">
        <v>1447</v>
      </c>
      <c r="D1097">
        <v>1</v>
      </c>
      <c r="E1097" s="4">
        <v>711</v>
      </c>
      <c r="F1097">
        <v>7</v>
      </c>
      <c r="G1097">
        <v>2022</v>
      </c>
      <c r="I1097" s="8">
        <v>329.39</v>
      </c>
      <c r="J1097" t="s">
        <v>40</v>
      </c>
      <c r="K1097" t="s">
        <v>32</v>
      </c>
      <c r="O1097">
        <v>0</v>
      </c>
      <c r="P1097">
        <v>0</v>
      </c>
      <c r="Q1097">
        <v>0</v>
      </c>
      <c r="R1097">
        <v>0</v>
      </c>
      <c r="S1097">
        <v>1</v>
      </c>
      <c r="T1097">
        <v>1</v>
      </c>
      <c r="U1097">
        <v>1</v>
      </c>
      <c r="V1097">
        <v>0</v>
      </c>
      <c r="W1097" t="s">
        <v>1448</v>
      </c>
      <c r="AA1097">
        <v>2014</v>
      </c>
      <c r="AB1097">
        <v>9999</v>
      </c>
      <c r="AC1097" t="s">
        <v>1449</v>
      </c>
    </row>
    <row r="1098" spans="1:29" x14ac:dyDescent="0.25">
      <c r="A1098" s="31" t="s">
        <v>159</v>
      </c>
      <c r="B1098" s="23" t="s">
        <v>160</v>
      </c>
      <c r="D1098">
        <v>1</v>
      </c>
      <c r="E1098" t="s">
        <v>155</v>
      </c>
      <c r="F1098">
        <v>3</v>
      </c>
      <c r="G1098">
        <v>2022</v>
      </c>
      <c r="I1098" s="8">
        <v>357.7</v>
      </c>
      <c r="J1098" t="s">
        <v>121</v>
      </c>
      <c r="K1098" t="s">
        <v>47</v>
      </c>
      <c r="O1098">
        <v>0</v>
      </c>
      <c r="P1098">
        <v>0</v>
      </c>
      <c r="Q1098">
        <v>0</v>
      </c>
      <c r="R1098">
        <v>0</v>
      </c>
      <c r="S1098">
        <v>1</v>
      </c>
      <c r="T1098">
        <v>1</v>
      </c>
      <c r="U1098">
        <v>1</v>
      </c>
      <c r="V1098">
        <v>0</v>
      </c>
      <c r="W1098" t="s">
        <v>1515</v>
      </c>
      <c r="AA1098">
        <v>2007</v>
      </c>
      <c r="AB1098">
        <v>9999</v>
      </c>
      <c r="AC1098" t="s">
        <v>35</v>
      </c>
    </row>
    <row r="1099" spans="1:29" x14ac:dyDescent="0.25">
      <c r="A1099" s="31" t="s">
        <v>165</v>
      </c>
      <c r="B1099" s="23" t="s">
        <v>166</v>
      </c>
      <c r="C1099" t="s">
        <v>167</v>
      </c>
      <c r="D1099">
        <v>1</v>
      </c>
      <c r="E1099" t="s">
        <v>168</v>
      </c>
      <c r="F1099">
        <v>1</v>
      </c>
      <c r="G1099">
        <v>2022</v>
      </c>
      <c r="I1099" s="8">
        <v>154.36000000000001</v>
      </c>
      <c r="J1099" t="s">
        <v>52</v>
      </c>
      <c r="K1099" t="s">
        <v>47</v>
      </c>
      <c r="O1099">
        <v>0</v>
      </c>
      <c r="P1099">
        <v>0</v>
      </c>
      <c r="Q1099">
        <v>0</v>
      </c>
      <c r="R1099">
        <v>0</v>
      </c>
      <c r="S1099">
        <v>1</v>
      </c>
      <c r="T1099">
        <v>1</v>
      </c>
      <c r="U1099">
        <v>1</v>
      </c>
      <c r="V1099">
        <v>0</v>
      </c>
      <c r="W1099" t="s">
        <v>1523</v>
      </c>
      <c r="AA1099">
        <v>2007</v>
      </c>
      <c r="AB1099">
        <v>9999</v>
      </c>
      <c r="AC1099" t="s">
        <v>35</v>
      </c>
    </row>
    <row r="1100" spans="1:29" x14ac:dyDescent="0.25">
      <c r="A1100" s="31" t="s">
        <v>170</v>
      </c>
      <c r="B1100" s="23" t="s">
        <v>171</v>
      </c>
      <c r="D1100">
        <v>1</v>
      </c>
      <c r="E1100" t="s">
        <v>30</v>
      </c>
      <c r="F1100">
        <v>4</v>
      </c>
      <c r="G1100">
        <v>2022</v>
      </c>
      <c r="I1100" s="8">
        <v>49.45</v>
      </c>
      <c r="J1100" t="s">
        <v>1556</v>
      </c>
      <c r="K1100" t="s">
        <v>47</v>
      </c>
      <c r="O1100">
        <v>0</v>
      </c>
      <c r="P1100">
        <v>0</v>
      </c>
      <c r="Q1100">
        <v>0</v>
      </c>
      <c r="R1100">
        <v>0</v>
      </c>
      <c r="S1100">
        <v>1</v>
      </c>
      <c r="T1100">
        <v>1</v>
      </c>
      <c r="U1100">
        <v>1</v>
      </c>
      <c r="V1100">
        <v>0</v>
      </c>
      <c r="W1100" t="s">
        <v>1050</v>
      </c>
      <c r="AA1100">
        <v>2007</v>
      </c>
      <c r="AB1100">
        <v>9999</v>
      </c>
      <c r="AC1100" t="s">
        <v>35</v>
      </c>
    </row>
    <row r="1101" spans="1:29" x14ac:dyDescent="0.25">
      <c r="A1101" s="31" t="s">
        <v>1051</v>
      </c>
      <c r="B1101" s="23" t="s">
        <v>1052</v>
      </c>
      <c r="D1101">
        <v>1</v>
      </c>
      <c r="E1101" t="s">
        <v>30</v>
      </c>
      <c r="F1101">
        <v>4</v>
      </c>
      <c r="G1101">
        <v>2022</v>
      </c>
      <c r="I1101" s="8">
        <v>153.16999999999999</v>
      </c>
      <c r="J1101" t="s">
        <v>1556</v>
      </c>
      <c r="K1101" t="s">
        <v>47</v>
      </c>
      <c r="O1101">
        <v>0</v>
      </c>
      <c r="P1101">
        <v>0</v>
      </c>
      <c r="Q1101">
        <v>0</v>
      </c>
      <c r="R1101">
        <v>0</v>
      </c>
      <c r="S1101">
        <v>1</v>
      </c>
      <c r="T1101">
        <v>1</v>
      </c>
      <c r="U1101">
        <v>1</v>
      </c>
      <c r="V1101">
        <v>0</v>
      </c>
      <c r="W1101" t="s">
        <v>1524</v>
      </c>
      <c r="AA1101">
        <v>2008</v>
      </c>
      <c r="AB1101">
        <v>9999</v>
      </c>
      <c r="AC1101" t="s">
        <v>1054</v>
      </c>
    </row>
    <row r="1102" spans="1:29" x14ac:dyDescent="0.25">
      <c r="A1102" s="31" t="s">
        <v>1557</v>
      </c>
      <c r="B1102" s="23" t="s">
        <v>1558</v>
      </c>
      <c r="D1102">
        <v>1</v>
      </c>
      <c r="E1102" s="5" t="s">
        <v>358</v>
      </c>
      <c r="F1102">
        <v>1</v>
      </c>
      <c r="G1102">
        <v>2022</v>
      </c>
      <c r="I1102" s="8">
        <v>19.8</v>
      </c>
      <c r="J1102" t="s">
        <v>104</v>
      </c>
      <c r="K1102" t="s">
        <v>47</v>
      </c>
      <c r="O1102">
        <v>0</v>
      </c>
      <c r="P1102">
        <v>0</v>
      </c>
      <c r="Q1102">
        <v>0</v>
      </c>
      <c r="R1102">
        <v>0</v>
      </c>
      <c r="S1102">
        <v>1</v>
      </c>
      <c r="T1102">
        <v>0</v>
      </c>
      <c r="U1102">
        <v>1</v>
      </c>
      <c r="V1102">
        <v>0</v>
      </c>
      <c r="W1102" t="s">
        <v>1559</v>
      </c>
      <c r="AA1102">
        <v>2019</v>
      </c>
      <c r="AB1102">
        <v>9999</v>
      </c>
      <c r="AC1102" t="s">
        <v>1560</v>
      </c>
    </row>
    <row r="1103" spans="1:29" x14ac:dyDescent="0.25">
      <c r="A1103" s="31" t="s">
        <v>173</v>
      </c>
      <c r="B1103" s="23" t="s">
        <v>174</v>
      </c>
      <c r="C1103" t="s">
        <v>175</v>
      </c>
      <c r="D1103">
        <v>1</v>
      </c>
      <c r="E1103" t="s">
        <v>45</v>
      </c>
      <c r="F1103">
        <v>4</v>
      </c>
      <c r="G1103">
        <v>2022</v>
      </c>
      <c r="I1103" s="8">
        <v>152.4</v>
      </c>
      <c r="J1103" t="s">
        <v>176</v>
      </c>
      <c r="K1103" t="s">
        <v>32</v>
      </c>
      <c r="O1103">
        <v>0</v>
      </c>
      <c r="P1103">
        <v>0</v>
      </c>
      <c r="Q1103">
        <v>0</v>
      </c>
      <c r="R1103">
        <v>0</v>
      </c>
      <c r="S1103">
        <v>1</v>
      </c>
      <c r="T1103">
        <v>1</v>
      </c>
      <c r="U1103">
        <v>1</v>
      </c>
      <c r="V1103">
        <v>0</v>
      </c>
      <c r="W1103" t="s">
        <v>1055</v>
      </c>
      <c r="AA1103">
        <v>2007</v>
      </c>
      <c r="AB1103">
        <v>9999</v>
      </c>
      <c r="AC1103" t="s">
        <v>35</v>
      </c>
    </row>
    <row r="1104" spans="1:29" x14ac:dyDescent="0.25">
      <c r="A1104" s="31" t="s">
        <v>178</v>
      </c>
      <c r="B1104" s="23" t="s">
        <v>1424</v>
      </c>
      <c r="C1104" t="s">
        <v>1425</v>
      </c>
      <c r="D1104">
        <v>1</v>
      </c>
      <c r="E1104" t="s">
        <v>45</v>
      </c>
      <c r="F1104">
        <v>4</v>
      </c>
      <c r="G1104">
        <v>2022</v>
      </c>
      <c r="I1104" s="8">
        <v>28.71</v>
      </c>
      <c r="J1104" t="s">
        <v>52</v>
      </c>
      <c r="K1104" t="s">
        <v>47</v>
      </c>
      <c r="O1104">
        <v>0</v>
      </c>
      <c r="P1104">
        <v>0</v>
      </c>
      <c r="Q1104">
        <v>0</v>
      </c>
      <c r="R1104">
        <v>0</v>
      </c>
      <c r="S1104">
        <v>1</v>
      </c>
      <c r="T1104">
        <v>1</v>
      </c>
      <c r="U1104">
        <v>1</v>
      </c>
      <c r="V1104">
        <v>0</v>
      </c>
      <c r="W1104" t="s">
        <v>1240</v>
      </c>
      <c r="AA1104">
        <v>2007</v>
      </c>
      <c r="AB1104">
        <v>9999</v>
      </c>
      <c r="AC1104" t="s">
        <v>35</v>
      </c>
    </row>
    <row r="1105" spans="1:29" x14ac:dyDescent="0.25">
      <c r="A1105" s="31" t="s">
        <v>181</v>
      </c>
      <c r="B1105" s="23" t="s">
        <v>182</v>
      </c>
      <c r="D1105">
        <v>1</v>
      </c>
      <c r="E1105" t="s">
        <v>38</v>
      </c>
      <c r="F1105">
        <v>4</v>
      </c>
      <c r="G1105">
        <v>2022</v>
      </c>
      <c r="H1105" t="s">
        <v>39</v>
      </c>
      <c r="I1105">
        <v>0.25</v>
      </c>
      <c r="J1105" t="s">
        <v>121</v>
      </c>
      <c r="K1105" t="s">
        <v>41</v>
      </c>
      <c r="O1105">
        <v>0</v>
      </c>
      <c r="P1105">
        <v>0</v>
      </c>
      <c r="Q1105">
        <v>0</v>
      </c>
      <c r="R1105">
        <v>0</v>
      </c>
      <c r="S1105">
        <v>0</v>
      </c>
      <c r="T1105">
        <v>0</v>
      </c>
      <c r="U1105">
        <v>0</v>
      </c>
      <c r="V1105">
        <v>0</v>
      </c>
      <c r="W1105" t="s">
        <v>1057</v>
      </c>
      <c r="AA1105">
        <v>2007</v>
      </c>
      <c r="AB1105">
        <v>9999</v>
      </c>
      <c r="AC1105" t="s">
        <v>35</v>
      </c>
    </row>
    <row r="1106" spans="1:29" x14ac:dyDescent="0.25">
      <c r="A1106" s="31" t="s">
        <v>184</v>
      </c>
      <c r="B1106" s="23" t="s">
        <v>185</v>
      </c>
      <c r="C1106" t="s">
        <v>186</v>
      </c>
      <c r="D1106">
        <v>1</v>
      </c>
      <c r="E1106" t="s">
        <v>45</v>
      </c>
      <c r="F1106">
        <v>4</v>
      </c>
      <c r="G1106">
        <v>2022</v>
      </c>
      <c r="I1106" s="8">
        <v>495.68</v>
      </c>
      <c r="J1106" t="s">
        <v>52</v>
      </c>
      <c r="K1106" t="s">
        <v>32</v>
      </c>
      <c r="O1106">
        <v>0</v>
      </c>
      <c r="P1106">
        <v>0</v>
      </c>
      <c r="Q1106">
        <v>0</v>
      </c>
      <c r="R1106">
        <v>0</v>
      </c>
      <c r="S1106">
        <v>1</v>
      </c>
      <c r="T1106">
        <v>1</v>
      </c>
      <c r="U1106">
        <v>1</v>
      </c>
      <c r="V1106">
        <v>0</v>
      </c>
      <c r="W1106" t="s">
        <v>1287</v>
      </c>
      <c r="AA1106">
        <v>2007</v>
      </c>
      <c r="AB1106">
        <v>9999</v>
      </c>
      <c r="AC1106" t="s">
        <v>35</v>
      </c>
    </row>
    <row r="1107" spans="1:29" x14ac:dyDescent="0.25">
      <c r="A1107" s="31" t="s">
        <v>1059</v>
      </c>
      <c r="B1107" s="23" t="s">
        <v>1060</v>
      </c>
      <c r="D1107">
        <v>1</v>
      </c>
      <c r="E1107" t="s">
        <v>874</v>
      </c>
      <c r="F1107">
        <v>1</v>
      </c>
      <c r="G1107">
        <v>2022</v>
      </c>
      <c r="I1107" s="8">
        <v>4</v>
      </c>
      <c r="J1107" t="s">
        <v>52</v>
      </c>
      <c r="K1107" t="s">
        <v>47</v>
      </c>
      <c r="O1107">
        <v>0</v>
      </c>
      <c r="P1107">
        <v>0</v>
      </c>
      <c r="Q1107">
        <v>0</v>
      </c>
      <c r="R1107">
        <v>0</v>
      </c>
      <c r="S1107">
        <v>1</v>
      </c>
      <c r="T1107">
        <v>1</v>
      </c>
      <c r="U1107">
        <v>1</v>
      </c>
      <c r="V1107">
        <v>0</v>
      </c>
      <c r="W1107" t="s">
        <v>1392</v>
      </c>
      <c r="AA1107">
        <v>2008</v>
      </c>
      <c r="AB1107">
        <v>9999</v>
      </c>
      <c r="AC1107" t="s">
        <v>1054</v>
      </c>
    </row>
    <row r="1108" spans="1:29" x14ac:dyDescent="0.25">
      <c r="A1108" s="31" t="s">
        <v>192</v>
      </c>
      <c r="B1108" s="23" t="s">
        <v>193</v>
      </c>
      <c r="D1108">
        <v>1</v>
      </c>
      <c r="E1108" t="s">
        <v>51</v>
      </c>
      <c r="F1108">
        <v>1</v>
      </c>
      <c r="G1108">
        <v>2022</v>
      </c>
      <c r="I1108" s="8">
        <v>62</v>
      </c>
      <c r="J1108" t="s">
        <v>52</v>
      </c>
      <c r="K1108" t="s">
        <v>53</v>
      </c>
      <c r="L1108" t="s">
        <v>54</v>
      </c>
      <c r="O1108">
        <v>0</v>
      </c>
      <c r="P1108">
        <v>0</v>
      </c>
      <c r="Q1108">
        <v>1</v>
      </c>
      <c r="R1108">
        <v>0</v>
      </c>
      <c r="S1108">
        <v>0</v>
      </c>
      <c r="T1108">
        <v>0</v>
      </c>
      <c r="U1108">
        <v>1</v>
      </c>
      <c r="V1108">
        <v>0</v>
      </c>
      <c r="W1108" t="s">
        <v>55</v>
      </c>
      <c r="AA1108">
        <v>2007</v>
      </c>
      <c r="AB1108">
        <v>9999</v>
      </c>
      <c r="AC1108" t="s">
        <v>35</v>
      </c>
    </row>
    <row r="1109" spans="1:29" x14ac:dyDescent="0.25">
      <c r="A1109" s="31" t="s">
        <v>194</v>
      </c>
      <c r="B1109" s="23" t="s">
        <v>195</v>
      </c>
      <c r="C1109" t="s">
        <v>196</v>
      </c>
      <c r="D1109">
        <v>1</v>
      </c>
      <c r="E1109" t="s">
        <v>197</v>
      </c>
      <c r="F1109">
        <v>2</v>
      </c>
      <c r="G1109">
        <v>2022</v>
      </c>
      <c r="I1109" s="8">
        <v>245.13</v>
      </c>
      <c r="J1109" t="s">
        <v>176</v>
      </c>
      <c r="K1109" t="s">
        <v>47</v>
      </c>
      <c r="O1109">
        <v>0</v>
      </c>
      <c r="P1109">
        <v>0</v>
      </c>
      <c r="Q1109">
        <v>0</v>
      </c>
      <c r="R1109">
        <v>0</v>
      </c>
      <c r="S1109">
        <v>1</v>
      </c>
      <c r="T1109">
        <v>1</v>
      </c>
      <c r="U1109">
        <v>1</v>
      </c>
      <c r="V1109">
        <v>0</v>
      </c>
      <c r="W1109" t="s">
        <v>1580</v>
      </c>
      <c r="AA1109">
        <v>2007</v>
      </c>
      <c r="AB1109">
        <v>9999</v>
      </c>
      <c r="AC1109" t="s">
        <v>35</v>
      </c>
    </row>
    <row r="1110" spans="1:29" x14ac:dyDescent="0.25">
      <c r="A1110" s="31" t="s">
        <v>1451</v>
      </c>
      <c r="B1110" s="23" t="s">
        <v>1452</v>
      </c>
      <c r="D1110">
        <v>1</v>
      </c>
      <c r="E1110" s="4">
        <v>760</v>
      </c>
      <c r="F1110">
        <v>7</v>
      </c>
      <c r="G1110">
        <v>2022</v>
      </c>
      <c r="I1110" s="8">
        <v>561.78</v>
      </c>
      <c r="J1110" t="s">
        <v>40</v>
      </c>
      <c r="K1110" t="s">
        <v>47</v>
      </c>
      <c r="O1110">
        <v>0</v>
      </c>
      <c r="P1110">
        <v>0</v>
      </c>
      <c r="Q1110">
        <v>0</v>
      </c>
      <c r="R1110">
        <v>0</v>
      </c>
      <c r="S1110">
        <v>1</v>
      </c>
      <c r="T1110">
        <v>1</v>
      </c>
      <c r="U1110">
        <v>1</v>
      </c>
      <c r="V1110">
        <v>0</v>
      </c>
      <c r="W1110" t="s">
        <v>1587</v>
      </c>
      <c r="AA1110">
        <v>2014</v>
      </c>
      <c r="AB1110">
        <v>9999</v>
      </c>
      <c r="AC1110" t="s">
        <v>1449</v>
      </c>
    </row>
    <row r="1111" spans="1:29" x14ac:dyDescent="0.25">
      <c r="A1111" s="31" t="s">
        <v>1588</v>
      </c>
      <c r="B1111" s="23" t="s">
        <v>1589</v>
      </c>
      <c r="D1111">
        <v>1</v>
      </c>
      <c r="E1111" s="5" t="s">
        <v>38</v>
      </c>
      <c r="F1111">
        <v>4</v>
      </c>
      <c r="G1111">
        <v>2022</v>
      </c>
      <c r="H1111" t="s">
        <v>837</v>
      </c>
      <c r="I1111" s="8"/>
      <c r="J1111" t="s">
        <v>52</v>
      </c>
      <c r="K1111" t="s">
        <v>41</v>
      </c>
      <c r="O1111">
        <v>0</v>
      </c>
      <c r="P1111">
        <v>0</v>
      </c>
      <c r="Q1111">
        <v>0</v>
      </c>
      <c r="R1111">
        <v>0</v>
      </c>
      <c r="S1111">
        <v>0</v>
      </c>
      <c r="T1111">
        <v>0</v>
      </c>
      <c r="U1111">
        <v>0</v>
      </c>
      <c r="V1111">
        <v>0</v>
      </c>
      <c r="W1111" t="s">
        <v>1590</v>
      </c>
      <c r="AA1111">
        <v>2022</v>
      </c>
      <c r="AB1111">
        <v>9999</v>
      </c>
      <c r="AC1111" t="s">
        <v>1591</v>
      </c>
    </row>
    <row r="1112" spans="1:29" x14ac:dyDescent="0.25">
      <c r="A1112" s="31" t="s">
        <v>203</v>
      </c>
      <c r="B1112" s="23" t="s">
        <v>204</v>
      </c>
      <c r="D1112">
        <v>1</v>
      </c>
      <c r="E1112" t="s">
        <v>201</v>
      </c>
      <c r="F1112">
        <v>1</v>
      </c>
      <c r="G1112">
        <v>2022</v>
      </c>
      <c r="H1112" t="s">
        <v>205</v>
      </c>
      <c r="I1112">
        <v>2</v>
      </c>
      <c r="J1112" t="s">
        <v>52</v>
      </c>
      <c r="K1112" t="s">
        <v>41</v>
      </c>
      <c r="O1112">
        <v>0</v>
      </c>
      <c r="P1112">
        <v>0</v>
      </c>
      <c r="Q1112">
        <v>0</v>
      </c>
      <c r="R1112">
        <v>0</v>
      </c>
      <c r="S1112">
        <v>0</v>
      </c>
      <c r="T1112">
        <v>0</v>
      </c>
      <c r="U1112">
        <v>0</v>
      </c>
      <c r="V1112">
        <v>0</v>
      </c>
      <c r="W1112" t="s">
        <v>1064</v>
      </c>
      <c r="AA1112">
        <v>2007</v>
      </c>
      <c r="AB1112">
        <v>9999</v>
      </c>
      <c r="AC1112" t="s">
        <v>35</v>
      </c>
    </row>
    <row r="1113" spans="1:29" x14ac:dyDescent="0.25">
      <c r="A1113" s="31" t="s">
        <v>207</v>
      </c>
      <c r="B1113" s="23" t="s">
        <v>1472</v>
      </c>
      <c r="C1113" t="s">
        <v>209</v>
      </c>
      <c r="D1113">
        <v>1</v>
      </c>
      <c r="E1113" t="s">
        <v>210</v>
      </c>
      <c r="F1113">
        <v>10</v>
      </c>
      <c r="G1113">
        <v>2022</v>
      </c>
      <c r="I1113" s="8">
        <v>33.9</v>
      </c>
      <c r="J1113" t="s">
        <v>40</v>
      </c>
      <c r="K1113" t="s">
        <v>32</v>
      </c>
      <c r="O1113">
        <v>0</v>
      </c>
      <c r="P1113">
        <v>0</v>
      </c>
      <c r="Q1113">
        <v>0</v>
      </c>
      <c r="R1113">
        <v>0</v>
      </c>
      <c r="S1113">
        <v>1</v>
      </c>
      <c r="T1113">
        <v>1</v>
      </c>
      <c r="U1113">
        <v>1</v>
      </c>
      <c r="V1113">
        <v>0</v>
      </c>
      <c r="W1113" t="s">
        <v>1065</v>
      </c>
      <c r="AA1113">
        <v>2007</v>
      </c>
      <c r="AB1113">
        <v>9999</v>
      </c>
      <c r="AC1113" t="s">
        <v>35</v>
      </c>
    </row>
    <row r="1114" spans="1:29" ht="30" x14ac:dyDescent="0.25">
      <c r="A1114" s="31" t="s">
        <v>212</v>
      </c>
      <c r="B1114" s="23" t="s">
        <v>213</v>
      </c>
      <c r="C1114" t="s">
        <v>214</v>
      </c>
      <c r="D1114">
        <v>1</v>
      </c>
      <c r="E1114" s="4">
        <v>550</v>
      </c>
      <c r="F1114">
        <v>5</v>
      </c>
      <c r="G1114">
        <v>2022</v>
      </c>
      <c r="I1114" s="8">
        <v>88.15</v>
      </c>
      <c r="J1114" t="s">
        <v>31</v>
      </c>
      <c r="K1114" t="s">
        <v>47</v>
      </c>
      <c r="O1114">
        <v>0</v>
      </c>
      <c r="P1114">
        <v>0</v>
      </c>
      <c r="Q1114">
        <v>0</v>
      </c>
      <c r="R1114">
        <v>0</v>
      </c>
      <c r="S1114">
        <v>1</v>
      </c>
      <c r="T1114">
        <v>1</v>
      </c>
      <c r="U1114">
        <v>1</v>
      </c>
      <c r="V1114">
        <v>0</v>
      </c>
      <c r="W1114" t="s">
        <v>1288</v>
      </c>
      <c r="AA1114">
        <v>2007</v>
      </c>
      <c r="AB1114">
        <v>9999</v>
      </c>
      <c r="AC1114" t="s">
        <v>35</v>
      </c>
    </row>
    <row r="1115" spans="1:29" x14ac:dyDescent="0.25">
      <c r="A1115" s="31" t="s">
        <v>216</v>
      </c>
      <c r="B1115" s="23" t="s">
        <v>217</v>
      </c>
      <c r="D1115">
        <v>1</v>
      </c>
      <c r="E1115" t="s">
        <v>218</v>
      </c>
      <c r="F1115">
        <v>2</v>
      </c>
      <c r="G1115">
        <v>2022</v>
      </c>
      <c r="I1115" s="8">
        <v>838.38</v>
      </c>
      <c r="J1115" t="s">
        <v>52</v>
      </c>
      <c r="K1115" t="s">
        <v>32</v>
      </c>
      <c r="O1115">
        <v>0</v>
      </c>
      <c r="P1115">
        <v>0</v>
      </c>
      <c r="Q1115">
        <v>0</v>
      </c>
      <c r="R1115">
        <v>0</v>
      </c>
      <c r="S1115">
        <v>1</v>
      </c>
      <c r="T1115">
        <v>1</v>
      </c>
      <c r="U1115">
        <v>1</v>
      </c>
      <c r="V1115">
        <v>0</v>
      </c>
      <c r="W1115" t="s">
        <v>1067</v>
      </c>
      <c r="AA1115">
        <v>2007</v>
      </c>
      <c r="AB1115">
        <v>9999</v>
      </c>
      <c r="AC1115" t="s">
        <v>35</v>
      </c>
    </row>
    <row r="1116" spans="1:29" x14ac:dyDescent="0.25">
      <c r="A1116" s="31" t="s">
        <v>220</v>
      </c>
      <c r="B1116" s="23" t="s">
        <v>221</v>
      </c>
      <c r="D1116">
        <v>1</v>
      </c>
      <c r="E1116" t="s">
        <v>222</v>
      </c>
      <c r="F1116">
        <v>8</v>
      </c>
      <c r="G1116">
        <v>2022</v>
      </c>
      <c r="I1116" s="8">
        <v>42.96</v>
      </c>
      <c r="J1116" t="s">
        <v>81</v>
      </c>
      <c r="K1116" t="s">
        <v>47</v>
      </c>
      <c r="O1116">
        <v>0</v>
      </c>
      <c r="P1116">
        <v>0</v>
      </c>
      <c r="Q1116">
        <v>0</v>
      </c>
      <c r="R1116">
        <v>0</v>
      </c>
      <c r="S1116">
        <v>1</v>
      </c>
      <c r="T1116">
        <v>1</v>
      </c>
      <c r="U1116">
        <v>1</v>
      </c>
      <c r="V1116">
        <v>0</v>
      </c>
      <c r="W1116" t="s">
        <v>1068</v>
      </c>
      <c r="AA1116">
        <v>2007</v>
      </c>
      <c r="AB1116">
        <v>9999</v>
      </c>
      <c r="AC1116" t="s">
        <v>35</v>
      </c>
    </row>
    <row r="1117" spans="1:29" x14ac:dyDescent="0.25">
      <c r="A1117" s="31" t="s">
        <v>224</v>
      </c>
      <c r="B1117" s="23" t="s">
        <v>225</v>
      </c>
      <c r="D1117">
        <v>1</v>
      </c>
      <c r="E1117" t="s">
        <v>51</v>
      </c>
      <c r="F1117">
        <v>1</v>
      </c>
      <c r="G1117">
        <v>2022</v>
      </c>
      <c r="I1117" s="8">
        <v>66.3</v>
      </c>
      <c r="J1117" t="s">
        <v>52</v>
      </c>
      <c r="K1117" t="s">
        <v>53</v>
      </c>
      <c r="L1117" t="s">
        <v>54</v>
      </c>
      <c r="O1117">
        <v>0</v>
      </c>
      <c r="P1117">
        <v>0</v>
      </c>
      <c r="Q1117">
        <v>1</v>
      </c>
      <c r="R1117">
        <v>0</v>
      </c>
      <c r="S1117">
        <v>0</v>
      </c>
      <c r="T1117">
        <v>0</v>
      </c>
      <c r="U1117">
        <v>1</v>
      </c>
      <c r="V1117">
        <v>0</v>
      </c>
      <c r="W1117" t="s">
        <v>55</v>
      </c>
      <c r="AA1117">
        <v>2007</v>
      </c>
      <c r="AB1117">
        <v>2025</v>
      </c>
      <c r="AC1117" t="s">
        <v>2057</v>
      </c>
    </row>
    <row r="1118" spans="1:29" x14ac:dyDescent="0.25">
      <c r="A1118" s="31" t="s">
        <v>226</v>
      </c>
      <c r="B1118" s="23" t="s">
        <v>227</v>
      </c>
      <c r="C1118" t="s">
        <v>228</v>
      </c>
      <c r="D1118">
        <v>1</v>
      </c>
      <c r="E1118" t="s">
        <v>218</v>
      </c>
      <c r="F1118">
        <v>2</v>
      </c>
      <c r="G1118">
        <v>2022</v>
      </c>
      <c r="I1118" s="8">
        <v>2044.07</v>
      </c>
      <c r="J1118" t="s">
        <v>147</v>
      </c>
      <c r="K1118" t="s">
        <v>32</v>
      </c>
      <c r="O1118">
        <v>0</v>
      </c>
      <c r="P1118">
        <v>0</v>
      </c>
      <c r="Q1118">
        <v>0</v>
      </c>
      <c r="R1118">
        <v>0</v>
      </c>
      <c r="S1118">
        <v>1</v>
      </c>
      <c r="T1118">
        <v>1</v>
      </c>
      <c r="U1118">
        <v>1</v>
      </c>
      <c r="V1118">
        <v>0</v>
      </c>
      <c r="W1118" t="s">
        <v>1069</v>
      </c>
      <c r="AA1118">
        <v>2007</v>
      </c>
      <c r="AB1118">
        <v>9999</v>
      </c>
      <c r="AC1118" t="s">
        <v>35</v>
      </c>
    </row>
    <row r="1119" spans="1:29" x14ac:dyDescent="0.25">
      <c r="A1119" s="31" t="s">
        <v>230</v>
      </c>
      <c r="B1119" s="23" t="s">
        <v>231</v>
      </c>
      <c r="C1119" t="s">
        <v>232</v>
      </c>
      <c r="D1119">
        <v>1</v>
      </c>
      <c r="E1119" t="s">
        <v>145</v>
      </c>
      <c r="F1119">
        <v>2</v>
      </c>
      <c r="G1119">
        <v>2022</v>
      </c>
      <c r="J1119" t="s">
        <v>147</v>
      </c>
      <c r="K1119" t="s">
        <v>47</v>
      </c>
      <c r="O1119">
        <v>0</v>
      </c>
      <c r="P1119">
        <v>0</v>
      </c>
      <c r="Q1119">
        <v>0</v>
      </c>
      <c r="R1119">
        <v>0</v>
      </c>
      <c r="S1119">
        <v>1</v>
      </c>
      <c r="T1119">
        <v>1</v>
      </c>
      <c r="U1119">
        <v>1</v>
      </c>
      <c r="V1119">
        <v>0</v>
      </c>
      <c r="W1119" t="s">
        <v>1070</v>
      </c>
      <c r="AA1119">
        <v>2007</v>
      </c>
      <c r="AB1119">
        <v>9999</v>
      </c>
      <c r="AC1119" t="s">
        <v>35</v>
      </c>
    </row>
    <row r="1120" spans="1:29" x14ac:dyDescent="0.25">
      <c r="A1120" s="31" t="s">
        <v>237</v>
      </c>
      <c r="B1120" s="23" t="s">
        <v>238</v>
      </c>
      <c r="D1120">
        <v>1</v>
      </c>
      <c r="E1120" t="s">
        <v>218</v>
      </c>
      <c r="F1120">
        <v>2</v>
      </c>
      <c r="G1120">
        <v>2022</v>
      </c>
      <c r="I1120" s="8">
        <v>415.08</v>
      </c>
      <c r="J1120" t="s">
        <v>104</v>
      </c>
      <c r="K1120" t="s">
        <v>53</v>
      </c>
      <c r="L1120" t="s">
        <v>105</v>
      </c>
      <c r="O1120">
        <v>0</v>
      </c>
      <c r="P1120">
        <v>1</v>
      </c>
      <c r="Q1120">
        <v>0</v>
      </c>
      <c r="R1120">
        <v>0</v>
      </c>
      <c r="S1120">
        <v>1</v>
      </c>
      <c r="T1120">
        <v>1</v>
      </c>
      <c r="U1120">
        <v>1</v>
      </c>
      <c r="V1120">
        <v>0</v>
      </c>
      <c r="W1120" t="s">
        <v>1072</v>
      </c>
      <c r="AA1120">
        <v>2007</v>
      </c>
      <c r="AB1120">
        <v>9999</v>
      </c>
      <c r="AC1120" t="s">
        <v>35</v>
      </c>
    </row>
    <row r="1121" spans="1:29" x14ac:dyDescent="0.25">
      <c r="A1121" s="31" t="s">
        <v>240</v>
      </c>
      <c r="B1121" s="23" t="s">
        <v>241</v>
      </c>
      <c r="D1121">
        <v>1</v>
      </c>
      <c r="E1121" t="s">
        <v>218</v>
      </c>
      <c r="F1121">
        <v>2</v>
      </c>
      <c r="G1121">
        <v>2022</v>
      </c>
      <c r="I1121" s="8">
        <v>22227.3</v>
      </c>
      <c r="J1121" t="s">
        <v>147</v>
      </c>
      <c r="K1121" t="s">
        <v>47</v>
      </c>
      <c r="O1121">
        <v>0</v>
      </c>
      <c r="P1121">
        <v>0</v>
      </c>
      <c r="Q1121">
        <v>0</v>
      </c>
      <c r="R1121">
        <v>0</v>
      </c>
      <c r="S1121">
        <v>1</v>
      </c>
      <c r="T1121">
        <v>1</v>
      </c>
      <c r="U1121">
        <v>1</v>
      </c>
      <c r="V1121">
        <v>0</v>
      </c>
      <c r="W1121" t="s">
        <v>1073</v>
      </c>
      <c r="AA1121">
        <v>2007</v>
      </c>
      <c r="AB1121">
        <v>9999</v>
      </c>
      <c r="AC1121" t="s">
        <v>35</v>
      </c>
    </row>
    <row r="1122" spans="1:29" x14ac:dyDescent="0.25">
      <c r="A1122" s="31" t="s">
        <v>1289</v>
      </c>
      <c r="B1122" s="23" t="s">
        <v>1290</v>
      </c>
      <c r="D1122">
        <v>1</v>
      </c>
      <c r="E1122" t="s">
        <v>218</v>
      </c>
      <c r="F1122">
        <v>2</v>
      </c>
      <c r="G1122">
        <v>2022</v>
      </c>
      <c r="I1122" s="8">
        <v>3</v>
      </c>
      <c r="J1122" t="s">
        <v>147</v>
      </c>
      <c r="K1122" t="s">
        <v>53</v>
      </c>
      <c r="L1122" t="s">
        <v>60</v>
      </c>
      <c r="O1122">
        <v>1</v>
      </c>
      <c r="P1122">
        <v>0</v>
      </c>
      <c r="Q1122">
        <v>0</v>
      </c>
      <c r="R1122">
        <v>0</v>
      </c>
      <c r="S1122">
        <v>1</v>
      </c>
      <c r="T1122">
        <v>1</v>
      </c>
      <c r="U1122">
        <v>1</v>
      </c>
      <c r="V1122">
        <v>0</v>
      </c>
      <c r="W1122" t="s">
        <v>1291</v>
      </c>
      <c r="AA1122">
        <v>2010</v>
      </c>
      <c r="AB1122">
        <v>9999</v>
      </c>
      <c r="AC1122" t="s">
        <v>1292</v>
      </c>
    </row>
    <row r="1123" spans="1:29" x14ac:dyDescent="0.25">
      <c r="A1123" s="31" t="s">
        <v>243</v>
      </c>
      <c r="B1123" s="23" t="s">
        <v>244</v>
      </c>
      <c r="D1123">
        <v>1</v>
      </c>
      <c r="E1123" t="s">
        <v>210</v>
      </c>
      <c r="F1123">
        <v>10</v>
      </c>
      <c r="G1123">
        <v>2022</v>
      </c>
      <c r="I1123" s="8">
        <v>12437.9</v>
      </c>
      <c r="J1123" t="s">
        <v>40</v>
      </c>
      <c r="K1123" t="s">
        <v>32</v>
      </c>
      <c r="O1123">
        <v>0</v>
      </c>
      <c r="P1123">
        <v>0</v>
      </c>
      <c r="Q1123">
        <v>0</v>
      </c>
      <c r="R1123">
        <v>0</v>
      </c>
      <c r="S1123">
        <v>1</v>
      </c>
      <c r="T1123">
        <v>1</v>
      </c>
      <c r="U1123">
        <v>1</v>
      </c>
      <c r="V1123">
        <v>0</v>
      </c>
      <c r="W1123" t="s">
        <v>1293</v>
      </c>
      <c r="AA1123">
        <v>2007</v>
      </c>
      <c r="AB1123">
        <v>9999</v>
      </c>
      <c r="AC1123" t="s">
        <v>35</v>
      </c>
    </row>
    <row r="1124" spans="1:29" x14ac:dyDescent="0.25">
      <c r="A1124" s="31" t="s">
        <v>153</v>
      </c>
      <c r="B1124" s="23" t="s">
        <v>1356</v>
      </c>
      <c r="D1124">
        <v>12</v>
      </c>
      <c r="E1124" t="s">
        <v>155</v>
      </c>
      <c r="F1124">
        <v>3</v>
      </c>
      <c r="G1124">
        <v>2022</v>
      </c>
      <c r="I1124" s="15">
        <v>1342.0927013339942</v>
      </c>
      <c r="J1124" t="s">
        <v>121</v>
      </c>
      <c r="K1124" t="s">
        <v>53</v>
      </c>
      <c r="L1124" t="s">
        <v>60</v>
      </c>
      <c r="O1124">
        <v>1</v>
      </c>
      <c r="P1124">
        <v>0</v>
      </c>
      <c r="Q1124">
        <v>0</v>
      </c>
      <c r="R1124">
        <v>0</v>
      </c>
      <c r="S1124">
        <v>1</v>
      </c>
      <c r="T1124">
        <v>0</v>
      </c>
      <c r="U1124">
        <v>0</v>
      </c>
      <c r="V1124">
        <v>1</v>
      </c>
      <c r="W1124" t="s">
        <v>477</v>
      </c>
      <c r="AA1124">
        <v>2007</v>
      </c>
      <c r="AB1124">
        <v>9999</v>
      </c>
      <c r="AC1124" t="s">
        <v>35</v>
      </c>
    </row>
    <row r="1125" spans="1:29" x14ac:dyDescent="0.25">
      <c r="A1125" s="31" t="s">
        <v>246</v>
      </c>
      <c r="B1125" s="23" t="s">
        <v>247</v>
      </c>
      <c r="D1125">
        <v>1</v>
      </c>
      <c r="E1125" t="s">
        <v>120</v>
      </c>
      <c r="F1125">
        <v>3</v>
      </c>
      <c r="G1125">
        <v>2022</v>
      </c>
      <c r="H1125" t="s">
        <v>129</v>
      </c>
      <c r="I1125">
        <v>2</v>
      </c>
      <c r="J1125" t="s">
        <v>121</v>
      </c>
      <c r="K1125" t="s">
        <v>41</v>
      </c>
      <c r="O1125">
        <v>0</v>
      </c>
      <c r="P1125">
        <v>0</v>
      </c>
      <c r="Q1125">
        <v>0</v>
      </c>
      <c r="R1125">
        <v>0</v>
      </c>
      <c r="S1125">
        <v>0</v>
      </c>
      <c r="T1125">
        <v>1</v>
      </c>
      <c r="U1125">
        <v>1</v>
      </c>
      <c r="V1125">
        <v>0</v>
      </c>
      <c r="W1125" t="s">
        <v>1075</v>
      </c>
      <c r="AA1125">
        <v>2007</v>
      </c>
      <c r="AB1125">
        <v>9999</v>
      </c>
      <c r="AC1125" t="s">
        <v>35</v>
      </c>
    </row>
    <row r="1126" spans="1:29" x14ac:dyDescent="0.25">
      <c r="A1126" s="31" t="s">
        <v>252</v>
      </c>
      <c r="B1126" s="23" t="s">
        <v>253</v>
      </c>
      <c r="D1126">
        <v>1</v>
      </c>
      <c r="E1126" t="s">
        <v>145</v>
      </c>
      <c r="F1126">
        <v>2</v>
      </c>
      <c r="G1126">
        <v>2022</v>
      </c>
      <c r="H1126" t="s">
        <v>254</v>
      </c>
      <c r="I1126">
        <v>0.1</v>
      </c>
      <c r="J1126" s="2" t="s">
        <v>147</v>
      </c>
      <c r="K1126" t="s">
        <v>41</v>
      </c>
      <c r="O1126">
        <v>0</v>
      </c>
      <c r="P1126">
        <v>0</v>
      </c>
      <c r="Q1126">
        <v>0</v>
      </c>
      <c r="R1126">
        <v>0</v>
      </c>
      <c r="S1126">
        <v>0</v>
      </c>
      <c r="T1126">
        <v>0</v>
      </c>
      <c r="U1126">
        <v>0</v>
      </c>
      <c r="V1126">
        <v>0</v>
      </c>
      <c r="W1126" t="s">
        <v>1077</v>
      </c>
      <c r="AA1126">
        <v>2007</v>
      </c>
      <c r="AB1126">
        <v>9999</v>
      </c>
      <c r="AC1126" t="s">
        <v>35</v>
      </c>
    </row>
    <row r="1127" spans="1:29" x14ac:dyDescent="0.25">
      <c r="A1127" s="31" t="s">
        <v>305</v>
      </c>
      <c r="B1127" s="23" t="s">
        <v>1455</v>
      </c>
      <c r="C1127" t="s">
        <v>1456</v>
      </c>
      <c r="D1127">
        <v>1</v>
      </c>
      <c r="E1127" t="s">
        <v>103</v>
      </c>
      <c r="F1127">
        <v>9</v>
      </c>
      <c r="G1127">
        <v>2022</v>
      </c>
      <c r="I1127" s="8">
        <v>142.99</v>
      </c>
      <c r="J1127" t="s">
        <v>104</v>
      </c>
      <c r="K1127" t="s">
        <v>53</v>
      </c>
      <c r="L1127" t="s">
        <v>105</v>
      </c>
      <c r="O1127">
        <v>0</v>
      </c>
      <c r="P1127">
        <v>1</v>
      </c>
      <c r="Q1127">
        <v>0</v>
      </c>
      <c r="R1127">
        <v>0</v>
      </c>
      <c r="S1127">
        <v>1</v>
      </c>
      <c r="T1127">
        <v>1</v>
      </c>
      <c r="U1127">
        <v>1</v>
      </c>
      <c r="V1127">
        <v>0</v>
      </c>
      <c r="W1127" t="s">
        <v>106</v>
      </c>
      <c r="AA1127">
        <v>2007</v>
      </c>
      <c r="AB1127">
        <v>9999</v>
      </c>
      <c r="AC1127" t="s">
        <v>35</v>
      </c>
    </row>
    <row r="1128" spans="1:29" x14ac:dyDescent="0.25">
      <c r="A1128" s="31" t="s">
        <v>259</v>
      </c>
      <c r="B1128" s="23" t="s">
        <v>260</v>
      </c>
      <c r="C1128" t="s">
        <v>261</v>
      </c>
      <c r="D1128">
        <v>1</v>
      </c>
      <c r="E1128" t="s">
        <v>103</v>
      </c>
      <c r="F1128">
        <v>9</v>
      </c>
      <c r="G1128">
        <v>2022</v>
      </c>
      <c r="I1128" s="8">
        <v>5742.29</v>
      </c>
      <c r="J1128" t="s">
        <v>104</v>
      </c>
      <c r="K1128" t="s">
        <v>53</v>
      </c>
      <c r="L1128" t="s">
        <v>105</v>
      </c>
      <c r="O1128">
        <v>0</v>
      </c>
      <c r="P1128">
        <v>1</v>
      </c>
      <c r="Q1128">
        <v>0</v>
      </c>
      <c r="R1128">
        <v>0</v>
      </c>
      <c r="S1128">
        <v>1</v>
      </c>
      <c r="T1128">
        <v>1</v>
      </c>
      <c r="U1128">
        <v>1</v>
      </c>
      <c r="V1128">
        <v>0</v>
      </c>
      <c r="W1128" t="s">
        <v>106</v>
      </c>
      <c r="AA1128">
        <v>2007</v>
      </c>
      <c r="AB1128">
        <v>9999</v>
      </c>
      <c r="AC1128" t="s">
        <v>35</v>
      </c>
    </row>
    <row r="1129" spans="1:29" x14ac:dyDescent="0.25">
      <c r="A1129" s="31" t="s">
        <v>266</v>
      </c>
      <c r="B1129" s="23" t="s">
        <v>267</v>
      </c>
      <c r="D1129">
        <v>1</v>
      </c>
      <c r="E1129" t="s">
        <v>85</v>
      </c>
      <c r="F1129">
        <v>4</v>
      </c>
      <c r="G1129">
        <v>2022</v>
      </c>
      <c r="I1129">
        <v>11</v>
      </c>
      <c r="J1129" t="s">
        <v>268</v>
      </c>
      <c r="K1129" t="s">
        <v>41</v>
      </c>
      <c r="O1129">
        <v>0</v>
      </c>
      <c r="P1129">
        <v>0</v>
      </c>
      <c r="Q1129">
        <v>0</v>
      </c>
      <c r="R1129">
        <v>0</v>
      </c>
      <c r="S1129">
        <v>0</v>
      </c>
      <c r="T1129">
        <v>0</v>
      </c>
      <c r="U1129">
        <v>0</v>
      </c>
      <c r="V1129">
        <v>0</v>
      </c>
      <c r="W1129" t="s">
        <v>1079</v>
      </c>
      <c r="AA1129">
        <v>2007</v>
      </c>
      <c r="AB1129">
        <v>9999</v>
      </c>
      <c r="AC1129" t="s">
        <v>35</v>
      </c>
    </row>
    <row r="1130" spans="1:29" x14ac:dyDescent="0.25">
      <c r="A1130" s="31" t="s">
        <v>1393</v>
      </c>
      <c r="B1130" s="23" t="s">
        <v>1394</v>
      </c>
      <c r="C1130" t="s">
        <v>1395</v>
      </c>
      <c r="D1130">
        <v>1</v>
      </c>
      <c r="E1130" t="s">
        <v>1396</v>
      </c>
      <c r="F1130">
        <v>5</v>
      </c>
      <c r="G1130">
        <v>2022</v>
      </c>
      <c r="I1130" s="8">
        <v>305.32</v>
      </c>
      <c r="J1130" t="s">
        <v>31</v>
      </c>
      <c r="K1130" t="s">
        <v>47</v>
      </c>
      <c r="O1130">
        <v>0</v>
      </c>
      <c r="P1130">
        <v>0</v>
      </c>
      <c r="Q1130">
        <v>0</v>
      </c>
      <c r="R1130">
        <v>0</v>
      </c>
      <c r="S1130">
        <v>1</v>
      </c>
      <c r="T1130">
        <v>1</v>
      </c>
      <c r="U1130">
        <v>1</v>
      </c>
      <c r="V1130">
        <v>0</v>
      </c>
      <c r="W1130" t="s">
        <v>1397</v>
      </c>
      <c r="AA1130">
        <v>2012</v>
      </c>
      <c r="AB1130">
        <v>9999</v>
      </c>
      <c r="AC1130" t="s">
        <v>1398</v>
      </c>
    </row>
    <row r="1131" spans="1:29" x14ac:dyDescent="0.25">
      <c r="A1131" s="31" t="s">
        <v>153</v>
      </c>
      <c r="B1131" s="23" t="s">
        <v>270</v>
      </c>
      <c r="D1131">
        <v>6</v>
      </c>
      <c r="E1131" t="s">
        <v>155</v>
      </c>
      <c r="F1131">
        <v>3</v>
      </c>
      <c r="G1131">
        <v>2022</v>
      </c>
      <c r="I1131" s="15">
        <v>742.89485306324104</v>
      </c>
      <c r="J1131" t="s">
        <v>121</v>
      </c>
      <c r="K1131" t="s">
        <v>53</v>
      </c>
      <c r="L1131" t="s">
        <v>60</v>
      </c>
      <c r="O1131">
        <v>1</v>
      </c>
      <c r="P1131">
        <v>0</v>
      </c>
      <c r="Q1131">
        <v>0</v>
      </c>
      <c r="R1131">
        <v>0</v>
      </c>
      <c r="S1131">
        <v>1</v>
      </c>
      <c r="T1131">
        <v>0</v>
      </c>
      <c r="U1131">
        <v>0</v>
      </c>
      <c r="V1131">
        <v>1</v>
      </c>
      <c r="W1131" t="s">
        <v>271</v>
      </c>
      <c r="AA1131">
        <v>2007</v>
      </c>
      <c r="AB1131">
        <v>9999</v>
      </c>
      <c r="AC1131" t="s">
        <v>35</v>
      </c>
    </row>
    <row r="1132" spans="1:29" x14ac:dyDescent="0.25">
      <c r="A1132" s="31" t="s">
        <v>153</v>
      </c>
      <c r="B1132" s="27" t="s">
        <v>272</v>
      </c>
      <c r="D1132">
        <v>8</v>
      </c>
      <c r="E1132" t="s">
        <v>155</v>
      </c>
      <c r="F1132">
        <v>3</v>
      </c>
      <c r="G1132">
        <v>2022</v>
      </c>
      <c r="I1132">
        <v>87.273716699604762</v>
      </c>
      <c r="J1132" s="2" t="s">
        <v>121</v>
      </c>
      <c r="K1132" t="s">
        <v>53</v>
      </c>
      <c r="L1132" t="s">
        <v>60</v>
      </c>
      <c r="O1132">
        <v>1</v>
      </c>
      <c r="P1132">
        <v>0</v>
      </c>
      <c r="Q1132">
        <v>0</v>
      </c>
      <c r="R1132">
        <v>0</v>
      </c>
      <c r="S1132">
        <v>0</v>
      </c>
      <c r="T1132">
        <v>0</v>
      </c>
      <c r="U1132">
        <v>0</v>
      </c>
      <c r="V1132">
        <v>1</v>
      </c>
      <c r="W1132" t="s">
        <v>273</v>
      </c>
      <c r="AA1132">
        <v>2007</v>
      </c>
      <c r="AB1132">
        <v>9999</v>
      </c>
      <c r="AC1132" t="s">
        <v>35</v>
      </c>
    </row>
    <row r="1133" spans="1:29" x14ac:dyDescent="0.25">
      <c r="A1133" s="31" t="s">
        <v>274</v>
      </c>
      <c r="B1133" s="23" t="s">
        <v>275</v>
      </c>
      <c r="C1133" t="s">
        <v>276</v>
      </c>
      <c r="D1133">
        <v>1</v>
      </c>
      <c r="E1133" t="s">
        <v>51</v>
      </c>
      <c r="F1133">
        <v>10</v>
      </c>
      <c r="G1133">
        <v>2022</v>
      </c>
      <c r="H1133" t="s">
        <v>746</v>
      </c>
      <c r="I1133">
        <v>6</v>
      </c>
      <c r="J1133" t="s">
        <v>40</v>
      </c>
      <c r="K1133" t="s">
        <v>41</v>
      </c>
      <c r="O1133">
        <v>0</v>
      </c>
      <c r="P1133">
        <v>0</v>
      </c>
      <c r="Q1133">
        <v>0</v>
      </c>
      <c r="R1133">
        <v>0</v>
      </c>
      <c r="S1133">
        <v>0</v>
      </c>
      <c r="T1133">
        <v>0</v>
      </c>
      <c r="U1133">
        <v>0</v>
      </c>
      <c r="V1133">
        <v>0</v>
      </c>
      <c r="W1133" t="s">
        <v>1399</v>
      </c>
      <c r="AA1133">
        <v>2007</v>
      </c>
      <c r="AB1133">
        <v>9999</v>
      </c>
      <c r="AC1133" t="s">
        <v>35</v>
      </c>
    </row>
    <row r="1134" spans="1:29" x14ac:dyDescent="0.25">
      <c r="A1134" s="31" t="s">
        <v>278</v>
      </c>
      <c r="B1134" s="23" t="s">
        <v>279</v>
      </c>
      <c r="D1134">
        <v>1</v>
      </c>
      <c r="E1134" t="s">
        <v>103</v>
      </c>
      <c r="F1134">
        <v>9</v>
      </c>
      <c r="G1134">
        <v>2022</v>
      </c>
      <c r="I1134" s="8">
        <v>732.91</v>
      </c>
      <c r="J1134" t="s">
        <v>104</v>
      </c>
      <c r="K1134" t="s">
        <v>53</v>
      </c>
      <c r="L1134" t="s">
        <v>105</v>
      </c>
      <c r="O1134">
        <v>0</v>
      </c>
      <c r="P1134">
        <v>1</v>
      </c>
      <c r="Q1134">
        <v>0</v>
      </c>
      <c r="R1134">
        <v>0</v>
      </c>
      <c r="S1134">
        <v>1</v>
      </c>
      <c r="T1134">
        <v>1</v>
      </c>
      <c r="U1134">
        <v>1</v>
      </c>
      <c r="V1134">
        <v>0</v>
      </c>
      <c r="W1134" t="s">
        <v>106</v>
      </c>
      <c r="AA1134">
        <v>2007</v>
      </c>
      <c r="AB1134">
        <v>9999</v>
      </c>
      <c r="AC1134" t="s">
        <v>35</v>
      </c>
    </row>
    <row r="1135" spans="1:29" x14ac:dyDescent="0.25">
      <c r="A1135" s="31" t="s">
        <v>280</v>
      </c>
      <c r="B1135" s="23" t="s">
        <v>281</v>
      </c>
      <c r="D1135">
        <v>1</v>
      </c>
      <c r="E1135" t="s">
        <v>103</v>
      </c>
      <c r="F1135">
        <v>9</v>
      </c>
      <c r="G1135">
        <v>2022</v>
      </c>
      <c r="I1135" s="8">
        <v>730.38</v>
      </c>
      <c r="J1135" t="s">
        <v>104</v>
      </c>
      <c r="K1135" t="s">
        <v>53</v>
      </c>
      <c r="L1135" t="s">
        <v>105</v>
      </c>
      <c r="O1135">
        <v>0</v>
      </c>
      <c r="P1135">
        <v>1</v>
      </c>
      <c r="Q1135">
        <v>0</v>
      </c>
      <c r="R1135">
        <v>0</v>
      </c>
      <c r="S1135">
        <v>1</v>
      </c>
      <c r="T1135">
        <v>1</v>
      </c>
      <c r="U1135">
        <v>1</v>
      </c>
      <c r="V1135">
        <v>0</v>
      </c>
      <c r="W1135" t="s">
        <v>106</v>
      </c>
      <c r="AA1135">
        <v>2007</v>
      </c>
      <c r="AB1135">
        <v>9999</v>
      </c>
      <c r="AC1135" t="s">
        <v>35</v>
      </c>
    </row>
    <row r="1136" spans="1:29" x14ac:dyDescent="0.25">
      <c r="A1136" s="31" t="s">
        <v>282</v>
      </c>
      <c r="B1136" s="23" t="s">
        <v>283</v>
      </c>
      <c r="D1136">
        <v>1</v>
      </c>
      <c r="E1136" t="s">
        <v>103</v>
      </c>
      <c r="F1136">
        <v>9</v>
      </c>
      <c r="G1136">
        <v>2022</v>
      </c>
      <c r="I1136" s="8">
        <v>678.63</v>
      </c>
      <c r="J1136" t="s">
        <v>104</v>
      </c>
      <c r="K1136" t="s">
        <v>53</v>
      </c>
      <c r="L1136" t="s">
        <v>105</v>
      </c>
      <c r="O1136">
        <v>0</v>
      </c>
      <c r="P1136">
        <v>1</v>
      </c>
      <c r="Q1136">
        <v>0</v>
      </c>
      <c r="R1136">
        <v>0</v>
      </c>
      <c r="S1136">
        <v>1</v>
      </c>
      <c r="T1136">
        <v>1</v>
      </c>
      <c r="U1136">
        <v>1</v>
      </c>
      <c r="V1136">
        <v>0</v>
      </c>
      <c r="W1136" t="s">
        <v>106</v>
      </c>
      <c r="AA1136">
        <v>2007</v>
      </c>
      <c r="AB1136">
        <v>9999</v>
      </c>
      <c r="AC1136" t="s">
        <v>35</v>
      </c>
    </row>
    <row r="1137" spans="1:29" x14ac:dyDescent="0.25">
      <c r="A1137" s="31" t="s">
        <v>284</v>
      </c>
      <c r="B1137" s="23" t="s">
        <v>285</v>
      </c>
      <c r="D1137">
        <v>1</v>
      </c>
      <c r="E1137" t="s">
        <v>103</v>
      </c>
      <c r="F1137">
        <v>9</v>
      </c>
      <c r="G1137">
        <v>2022</v>
      </c>
      <c r="I1137" s="8">
        <v>552.29999999999995</v>
      </c>
      <c r="J1137" t="s">
        <v>104</v>
      </c>
      <c r="K1137" t="s">
        <v>53</v>
      </c>
      <c r="L1137" t="s">
        <v>105</v>
      </c>
      <c r="O1137">
        <v>0</v>
      </c>
      <c r="P1137">
        <v>1</v>
      </c>
      <c r="Q1137">
        <v>0</v>
      </c>
      <c r="R1137">
        <v>0</v>
      </c>
      <c r="S1137">
        <v>1</v>
      </c>
      <c r="T1137">
        <v>1</v>
      </c>
      <c r="U1137">
        <v>1</v>
      </c>
      <c r="V1137">
        <v>0</v>
      </c>
      <c r="W1137" t="s">
        <v>106</v>
      </c>
      <c r="AA1137">
        <v>2007</v>
      </c>
      <c r="AB1137">
        <v>9999</v>
      </c>
      <c r="AC1137" t="s">
        <v>35</v>
      </c>
    </row>
    <row r="1138" spans="1:29" x14ac:dyDescent="0.25">
      <c r="A1138" s="31" t="s">
        <v>288</v>
      </c>
      <c r="B1138" s="23" t="s">
        <v>289</v>
      </c>
      <c r="D1138">
        <v>1</v>
      </c>
      <c r="E1138" t="s">
        <v>103</v>
      </c>
      <c r="F1138">
        <v>9</v>
      </c>
      <c r="G1138">
        <v>2022</v>
      </c>
      <c r="I1138" s="8">
        <v>444.54</v>
      </c>
      <c r="J1138" t="s">
        <v>104</v>
      </c>
      <c r="K1138" t="s">
        <v>53</v>
      </c>
      <c r="L1138" t="s">
        <v>105</v>
      </c>
      <c r="O1138">
        <v>0</v>
      </c>
      <c r="P1138">
        <v>1</v>
      </c>
      <c r="Q1138">
        <v>0</v>
      </c>
      <c r="R1138">
        <v>0</v>
      </c>
      <c r="S1138">
        <v>1</v>
      </c>
      <c r="T1138">
        <v>1</v>
      </c>
      <c r="U1138">
        <v>1</v>
      </c>
      <c r="V1138">
        <v>0</v>
      </c>
      <c r="W1138" t="s">
        <v>106</v>
      </c>
      <c r="AA1138">
        <v>2007</v>
      </c>
      <c r="AB1138">
        <v>9999</v>
      </c>
      <c r="AC1138" t="s">
        <v>35</v>
      </c>
    </row>
    <row r="1139" spans="1:29" x14ac:dyDescent="0.25">
      <c r="A1139" s="31" t="s">
        <v>1474</v>
      </c>
      <c r="B1139" s="23" t="s">
        <v>290</v>
      </c>
      <c r="D1139">
        <v>1</v>
      </c>
      <c r="E1139" t="s">
        <v>103</v>
      </c>
      <c r="F1139">
        <v>9</v>
      </c>
      <c r="G1139">
        <v>2022</v>
      </c>
      <c r="I1139" s="8">
        <v>506.76</v>
      </c>
      <c r="J1139" t="s">
        <v>104</v>
      </c>
      <c r="K1139" t="s">
        <v>53</v>
      </c>
      <c r="L1139" t="s">
        <v>105</v>
      </c>
      <c r="O1139">
        <v>0</v>
      </c>
      <c r="P1139">
        <v>1</v>
      </c>
      <c r="Q1139">
        <v>0</v>
      </c>
      <c r="R1139">
        <v>0</v>
      </c>
      <c r="S1139">
        <v>1</v>
      </c>
      <c r="T1139">
        <v>1</v>
      </c>
      <c r="U1139">
        <v>1</v>
      </c>
      <c r="V1139">
        <v>0</v>
      </c>
      <c r="W1139" t="s">
        <v>106</v>
      </c>
      <c r="AA1139">
        <v>2007</v>
      </c>
      <c r="AB1139">
        <v>9999</v>
      </c>
      <c r="AC1139" t="s">
        <v>1475</v>
      </c>
    </row>
    <row r="1140" spans="1:29" x14ac:dyDescent="0.25">
      <c r="A1140" s="31" t="s">
        <v>293</v>
      </c>
      <c r="B1140" s="23" t="s">
        <v>294</v>
      </c>
      <c r="D1140">
        <v>1</v>
      </c>
      <c r="E1140" t="s">
        <v>103</v>
      </c>
      <c r="F1140">
        <v>9</v>
      </c>
      <c r="G1140">
        <v>2022</v>
      </c>
      <c r="I1140" s="8">
        <v>612.78</v>
      </c>
      <c r="J1140" t="s">
        <v>104</v>
      </c>
      <c r="K1140" t="s">
        <v>53</v>
      </c>
      <c r="L1140" t="s">
        <v>105</v>
      </c>
      <c r="O1140">
        <v>0</v>
      </c>
      <c r="P1140">
        <v>1</v>
      </c>
      <c r="Q1140">
        <v>0</v>
      </c>
      <c r="R1140">
        <v>0</v>
      </c>
      <c r="S1140">
        <v>1</v>
      </c>
      <c r="T1140">
        <v>1</v>
      </c>
      <c r="U1140">
        <v>1</v>
      </c>
      <c r="V1140">
        <v>0</v>
      </c>
      <c r="W1140" t="s">
        <v>106</v>
      </c>
      <c r="AA1140">
        <v>2007</v>
      </c>
      <c r="AB1140">
        <v>9999</v>
      </c>
      <c r="AC1140" t="s">
        <v>35</v>
      </c>
    </row>
    <row r="1141" spans="1:29" x14ac:dyDescent="0.25">
      <c r="A1141" s="31" t="s">
        <v>295</v>
      </c>
      <c r="B1141" s="23" t="s">
        <v>296</v>
      </c>
      <c r="D1141">
        <v>1</v>
      </c>
      <c r="E1141" t="s">
        <v>128</v>
      </c>
      <c r="F1141">
        <v>9</v>
      </c>
      <c r="G1141">
        <v>2022</v>
      </c>
      <c r="H1141" t="s">
        <v>1428</v>
      </c>
      <c r="I1141">
        <v>0.15</v>
      </c>
      <c r="J1141" t="s">
        <v>104</v>
      </c>
      <c r="K1141" t="s">
        <v>41</v>
      </c>
      <c r="O1141">
        <v>0</v>
      </c>
      <c r="P1141">
        <v>0</v>
      </c>
      <c r="Q1141">
        <v>0</v>
      </c>
      <c r="R1141">
        <v>0</v>
      </c>
      <c r="S1141">
        <v>0</v>
      </c>
      <c r="T1141">
        <v>0</v>
      </c>
      <c r="U1141">
        <v>0</v>
      </c>
      <c r="V1141">
        <v>0</v>
      </c>
      <c r="W1141" t="s">
        <v>1081</v>
      </c>
      <c r="AA1141">
        <v>2007</v>
      </c>
      <c r="AB1141">
        <v>9999</v>
      </c>
      <c r="AC1141" t="s">
        <v>35</v>
      </c>
    </row>
    <row r="1142" spans="1:29" x14ac:dyDescent="0.25">
      <c r="A1142" s="31" t="s">
        <v>153</v>
      </c>
      <c r="B1142" s="23" t="s">
        <v>1476</v>
      </c>
      <c r="D1142">
        <v>1</v>
      </c>
      <c r="E1142" t="s">
        <v>155</v>
      </c>
      <c r="F1142">
        <v>3</v>
      </c>
      <c r="G1142">
        <v>2022</v>
      </c>
      <c r="I1142" s="11">
        <v>91.910183547430762</v>
      </c>
      <c r="J1142" t="s">
        <v>121</v>
      </c>
      <c r="K1142" t="s">
        <v>53</v>
      </c>
      <c r="L1142" t="s">
        <v>60</v>
      </c>
      <c r="O1142">
        <v>1</v>
      </c>
      <c r="P1142">
        <v>0</v>
      </c>
      <c r="Q1142">
        <v>0</v>
      </c>
      <c r="R1142">
        <v>0</v>
      </c>
      <c r="S1142">
        <v>1</v>
      </c>
      <c r="T1142">
        <v>0</v>
      </c>
      <c r="U1142">
        <v>0</v>
      </c>
      <c r="V1142">
        <v>1</v>
      </c>
      <c r="W1142" t="s">
        <v>304</v>
      </c>
      <c r="AA1142">
        <v>2007</v>
      </c>
      <c r="AB1142">
        <v>9999</v>
      </c>
      <c r="AC1142" t="s">
        <v>35</v>
      </c>
    </row>
    <row r="1143" spans="1:29" x14ac:dyDescent="0.25">
      <c r="A1143" s="31" t="s">
        <v>153</v>
      </c>
      <c r="B1143" s="23" t="s">
        <v>1477</v>
      </c>
      <c r="D1143">
        <v>1</v>
      </c>
      <c r="E1143" t="s">
        <v>155</v>
      </c>
      <c r="F1143">
        <v>3</v>
      </c>
      <c r="G1143">
        <v>2022</v>
      </c>
      <c r="I1143" s="11">
        <v>79.531027667984176</v>
      </c>
      <c r="J1143" t="s">
        <v>121</v>
      </c>
      <c r="K1143" t="s">
        <v>53</v>
      </c>
      <c r="L1143" t="s">
        <v>60</v>
      </c>
      <c r="O1143">
        <v>1</v>
      </c>
      <c r="P1143">
        <v>0</v>
      </c>
      <c r="Q1143">
        <v>0</v>
      </c>
      <c r="R1143">
        <v>0</v>
      </c>
      <c r="S1143">
        <v>1</v>
      </c>
      <c r="T1143">
        <v>0</v>
      </c>
      <c r="U1143">
        <v>0</v>
      </c>
      <c r="V1143">
        <v>1</v>
      </c>
      <c r="W1143" t="s">
        <v>645</v>
      </c>
      <c r="AA1143">
        <v>2007</v>
      </c>
      <c r="AB1143">
        <v>9999</v>
      </c>
      <c r="AC1143" t="s">
        <v>35</v>
      </c>
    </row>
    <row r="1144" spans="1:29" x14ac:dyDescent="0.25">
      <c r="A1144" s="31" t="s">
        <v>307</v>
      </c>
      <c r="B1144" s="23" t="s">
        <v>308</v>
      </c>
      <c r="D1144">
        <v>1</v>
      </c>
      <c r="E1144" t="s">
        <v>309</v>
      </c>
      <c r="F1144">
        <v>10</v>
      </c>
      <c r="G1144">
        <v>2022</v>
      </c>
      <c r="I1144" s="8">
        <v>67.25</v>
      </c>
      <c r="J1144" t="s">
        <v>59</v>
      </c>
      <c r="K1144" t="s">
        <v>47</v>
      </c>
      <c r="O1144">
        <v>0</v>
      </c>
      <c r="P1144">
        <v>0</v>
      </c>
      <c r="Q1144">
        <v>0</v>
      </c>
      <c r="R1144">
        <v>0</v>
      </c>
      <c r="S1144">
        <v>1</v>
      </c>
      <c r="T1144">
        <v>1</v>
      </c>
      <c r="U1144">
        <v>1</v>
      </c>
      <c r="V1144">
        <v>0</v>
      </c>
      <c r="W1144" t="s">
        <v>1083</v>
      </c>
      <c r="AA1144">
        <v>2007</v>
      </c>
      <c r="AB1144">
        <v>9999</v>
      </c>
      <c r="AC1144" t="s">
        <v>35</v>
      </c>
    </row>
    <row r="1145" spans="1:29" x14ac:dyDescent="0.25">
      <c r="A1145" s="31" t="s">
        <v>1294</v>
      </c>
      <c r="B1145" s="23" t="s">
        <v>1295</v>
      </c>
      <c r="C1145" t="s">
        <v>1296</v>
      </c>
      <c r="D1145">
        <v>1</v>
      </c>
      <c r="E1145" t="s">
        <v>95</v>
      </c>
      <c r="F1145">
        <v>10</v>
      </c>
      <c r="G1145">
        <v>2022</v>
      </c>
      <c r="I1145" s="8">
        <v>45.3</v>
      </c>
      <c r="J1145" t="s">
        <v>40</v>
      </c>
      <c r="K1145" t="s">
        <v>47</v>
      </c>
      <c r="O1145">
        <v>0</v>
      </c>
      <c r="P1145">
        <v>0</v>
      </c>
      <c r="Q1145">
        <v>0</v>
      </c>
      <c r="R1145">
        <v>0</v>
      </c>
      <c r="S1145">
        <v>1</v>
      </c>
      <c r="T1145">
        <v>1</v>
      </c>
      <c r="U1145">
        <v>1</v>
      </c>
      <c r="V1145">
        <v>0</v>
      </c>
      <c r="W1145" t="s">
        <v>1297</v>
      </c>
      <c r="AA1145">
        <v>2010</v>
      </c>
      <c r="AB1145">
        <v>9999</v>
      </c>
      <c r="AC1145" t="s">
        <v>1292</v>
      </c>
    </row>
    <row r="1146" spans="1:29" x14ac:dyDescent="0.25">
      <c r="A1146" s="31" t="s">
        <v>311</v>
      </c>
      <c r="B1146" s="23" t="s">
        <v>312</v>
      </c>
      <c r="C1146" t="s">
        <v>313</v>
      </c>
      <c r="D1146">
        <v>1</v>
      </c>
      <c r="E1146" t="s">
        <v>314</v>
      </c>
      <c r="F1146">
        <v>2</v>
      </c>
      <c r="G1146">
        <v>2022</v>
      </c>
      <c r="I1146" s="8">
        <v>43</v>
      </c>
      <c r="J1146" t="s">
        <v>176</v>
      </c>
      <c r="K1146" t="s">
        <v>47</v>
      </c>
      <c r="O1146">
        <v>0</v>
      </c>
      <c r="P1146">
        <v>0</v>
      </c>
      <c r="Q1146">
        <v>0</v>
      </c>
      <c r="R1146">
        <v>0</v>
      </c>
      <c r="S1146">
        <v>1</v>
      </c>
      <c r="T1146">
        <v>1</v>
      </c>
      <c r="U1146">
        <v>1</v>
      </c>
      <c r="V1146">
        <v>0</v>
      </c>
      <c r="W1146" t="s">
        <v>1358</v>
      </c>
      <c r="AA1146">
        <v>2007</v>
      </c>
      <c r="AB1146">
        <v>9999</v>
      </c>
      <c r="AC1146" t="s">
        <v>35</v>
      </c>
    </row>
    <row r="1147" spans="1:29" x14ac:dyDescent="0.25">
      <c r="A1147" s="31" t="s">
        <v>1457</v>
      </c>
      <c r="B1147" s="23" t="s">
        <v>1458</v>
      </c>
      <c r="C1147" t="s">
        <v>1459</v>
      </c>
      <c r="D1147">
        <v>1</v>
      </c>
      <c r="E1147" s="4">
        <v>760</v>
      </c>
      <c r="F1147">
        <v>7</v>
      </c>
      <c r="G1147">
        <v>2022</v>
      </c>
      <c r="I1147" s="8">
        <v>689.47</v>
      </c>
      <c r="J1147" t="s">
        <v>40</v>
      </c>
      <c r="K1147" t="s">
        <v>47</v>
      </c>
      <c r="O1147">
        <v>0</v>
      </c>
      <c r="P1147">
        <v>0</v>
      </c>
      <c r="Q1147">
        <v>0</v>
      </c>
      <c r="R1147">
        <v>0</v>
      </c>
      <c r="S1147">
        <v>1</v>
      </c>
      <c r="T1147">
        <v>1</v>
      </c>
      <c r="U1147">
        <v>1</v>
      </c>
      <c r="V1147">
        <v>0</v>
      </c>
      <c r="W1147" t="s">
        <v>1460</v>
      </c>
      <c r="AA1147">
        <v>2014</v>
      </c>
      <c r="AB1147">
        <v>9999</v>
      </c>
      <c r="AC1147" t="s">
        <v>1449</v>
      </c>
    </row>
    <row r="1148" spans="1:29" ht="30" x14ac:dyDescent="0.25">
      <c r="A1148" s="31" t="s">
        <v>316</v>
      </c>
      <c r="B1148" s="23" t="s">
        <v>1461</v>
      </c>
      <c r="C1148" t="s">
        <v>1462</v>
      </c>
      <c r="D1148">
        <v>1</v>
      </c>
      <c r="E1148" t="s">
        <v>318</v>
      </c>
      <c r="F1148">
        <v>4</v>
      </c>
      <c r="G1148">
        <v>2022</v>
      </c>
      <c r="I1148" s="8">
        <v>37.200000000000003</v>
      </c>
      <c r="J1148" t="s">
        <v>59</v>
      </c>
      <c r="K1148" t="s">
        <v>47</v>
      </c>
      <c r="O1148">
        <v>0</v>
      </c>
      <c r="P1148">
        <v>0</v>
      </c>
      <c r="Q1148">
        <v>0</v>
      </c>
      <c r="R1148">
        <v>0</v>
      </c>
      <c r="S1148">
        <v>1</v>
      </c>
      <c r="T1148">
        <v>1</v>
      </c>
      <c r="U1148">
        <v>1</v>
      </c>
      <c r="V1148">
        <v>0</v>
      </c>
      <c r="W1148" t="s">
        <v>1085</v>
      </c>
      <c r="AA1148">
        <v>2007</v>
      </c>
      <c r="AB1148">
        <v>9999</v>
      </c>
      <c r="AC1148" t="s">
        <v>35</v>
      </c>
    </row>
    <row r="1149" spans="1:29" x14ac:dyDescent="0.25">
      <c r="A1149" s="31" t="s">
        <v>1592</v>
      </c>
      <c r="B1149" s="23" t="s">
        <v>1593</v>
      </c>
      <c r="D1149">
        <v>1</v>
      </c>
      <c r="E1149" s="5" t="s">
        <v>95</v>
      </c>
      <c r="F1149">
        <v>10</v>
      </c>
      <c r="G1149">
        <v>2022</v>
      </c>
      <c r="I1149" s="8">
        <v>7</v>
      </c>
      <c r="J1149" t="s">
        <v>59</v>
      </c>
      <c r="K1149" t="s">
        <v>32</v>
      </c>
      <c r="O1149">
        <v>0</v>
      </c>
      <c r="P1149">
        <v>0</v>
      </c>
      <c r="Q1149">
        <v>0</v>
      </c>
      <c r="R1149">
        <v>0</v>
      </c>
      <c r="S1149">
        <v>1</v>
      </c>
      <c r="T1149">
        <v>1</v>
      </c>
      <c r="U1149">
        <v>1</v>
      </c>
      <c r="V1149">
        <v>0</v>
      </c>
      <c r="W1149" t="s">
        <v>1594</v>
      </c>
      <c r="AA1149">
        <v>2022</v>
      </c>
      <c r="AB1149">
        <v>9999</v>
      </c>
      <c r="AC1149" t="s">
        <v>1591</v>
      </c>
    </row>
    <row r="1150" spans="1:29" x14ac:dyDescent="0.25">
      <c r="A1150" s="31" t="s">
        <v>324</v>
      </c>
      <c r="B1150" s="23" t="s">
        <v>325</v>
      </c>
      <c r="D1150">
        <v>1</v>
      </c>
      <c r="E1150" t="s">
        <v>103</v>
      </c>
      <c r="F1150">
        <v>9</v>
      </c>
      <c r="G1150">
        <v>2022</v>
      </c>
      <c r="I1150" s="8">
        <v>104.21</v>
      </c>
      <c r="J1150" t="s">
        <v>104</v>
      </c>
      <c r="K1150" t="s">
        <v>47</v>
      </c>
      <c r="O1150">
        <v>0</v>
      </c>
      <c r="P1150">
        <v>0</v>
      </c>
      <c r="Q1150">
        <v>0</v>
      </c>
      <c r="R1150">
        <v>0</v>
      </c>
      <c r="S1150">
        <v>1</v>
      </c>
      <c r="T1150">
        <v>1</v>
      </c>
      <c r="U1150">
        <v>1</v>
      </c>
      <c r="V1150">
        <v>0</v>
      </c>
      <c r="W1150" t="s">
        <v>1086</v>
      </c>
      <c r="AA1150">
        <v>2007</v>
      </c>
      <c r="AB1150">
        <v>9999</v>
      </c>
      <c r="AC1150" t="s">
        <v>35</v>
      </c>
    </row>
    <row r="1151" spans="1:29" x14ac:dyDescent="0.25">
      <c r="A1151" s="31" t="s">
        <v>327</v>
      </c>
      <c r="B1151" s="23" t="s">
        <v>328</v>
      </c>
      <c r="D1151">
        <v>1</v>
      </c>
      <c r="E1151" t="s">
        <v>80</v>
      </c>
      <c r="F1151">
        <v>8</v>
      </c>
      <c r="G1151">
        <v>2022</v>
      </c>
      <c r="I1151" s="8">
        <v>78.47</v>
      </c>
      <c r="J1151" t="s">
        <v>81</v>
      </c>
      <c r="K1151" t="s">
        <v>47</v>
      </c>
      <c r="O1151">
        <v>0</v>
      </c>
      <c r="P1151">
        <v>0</v>
      </c>
      <c r="Q1151">
        <v>0</v>
      </c>
      <c r="R1151">
        <v>0</v>
      </c>
      <c r="S1151">
        <v>1</v>
      </c>
      <c r="T1151">
        <v>1</v>
      </c>
      <c r="U1151">
        <v>1</v>
      </c>
      <c r="V1151">
        <v>0</v>
      </c>
      <c r="W1151" t="s">
        <v>1087</v>
      </c>
      <c r="AA1151">
        <v>2007</v>
      </c>
      <c r="AB1151">
        <v>9999</v>
      </c>
      <c r="AC1151" t="s">
        <v>35</v>
      </c>
    </row>
    <row r="1152" spans="1:29" x14ac:dyDescent="0.25">
      <c r="A1152" s="31" t="s">
        <v>140</v>
      </c>
      <c r="B1152" s="23" t="s">
        <v>1595</v>
      </c>
      <c r="C1152" t="s">
        <v>1582</v>
      </c>
      <c r="D1152">
        <v>1</v>
      </c>
      <c r="E1152" t="s">
        <v>45</v>
      </c>
      <c r="F1152">
        <v>4</v>
      </c>
      <c r="G1152">
        <v>2022</v>
      </c>
      <c r="I1152" s="8">
        <v>104.45</v>
      </c>
      <c r="J1152" t="s">
        <v>121</v>
      </c>
      <c r="K1152" t="s">
        <v>47</v>
      </c>
      <c r="O1152">
        <v>0</v>
      </c>
      <c r="P1152">
        <v>0</v>
      </c>
      <c r="Q1152">
        <v>0</v>
      </c>
      <c r="R1152">
        <v>0</v>
      </c>
      <c r="S1152">
        <v>1</v>
      </c>
      <c r="T1152">
        <v>1</v>
      </c>
      <c r="U1152">
        <v>1</v>
      </c>
      <c r="V1152">
        <v>0</v>
      </c>
      <c r="W1152" t="s">
        <v>1045</v>
      </c>
      <c r="AA1152">
        <v>2007</v>
      </c>
      <c r="AB1152">
        <v>9999</v>
      </c>
      <c r="AC1152" t="s">
        <v>35</v>
      </c>
    </row>
    <row r="1153" spans="1:29" x14ac:dyDescent="0.25">
      <c r="A1153" s="31" t="s">
        <v>346</v>
      </c>
      <c r="B1153" s="23" t="s">
        <v>347</v>
      </c>
      <c r="D1153">
        <v>1</v>
      </c>
      <c r="E1153" t="s">
        <v>348</v>
      </c>
      <c r="F1153">
        <v>1</v>
      </c>
      <c r="G1153">
        <v>2022</v>
      </c>
      <c r="I1153" s="8">
        <v>45</v>
      </c>
      <c r="J1153" t="s">
        <v>121</v>
      </c>
      <c r="K1153" t="s">
        <v>47</v>
      </c>
      <c r="O1153">
        <v>0</v>
      </c>
      <c r="P1153">
        <v>0</v>
      </c>
      <c r="Q1153">
        <v>0</v>
      </c>
      <c r="R1153">
        <v>0</v>
      </c>
      <c r="S1153">
        <v>1</v>
      </c>
      <c r="T1153">
        <v>1</v>
      </c>
      <c r="U1153">
        <v>1</v>
      </c>
      <c r="V1153">
        <v>0</v>
      </c>
      <c r="W1153" t="s">
        <v>349</v>
      </c>
      <c r="AA1153">
        <v>2007</v>
      </c>
      <c r="AB1153">
        <v>9999</v>
      </c>
      <c r="AC1153" t="s">
        <v>35</v>
      </c>
    </row>
    <row r="1154" spans="1:29" x14ac:dyDescent="0.25">
      <c r="A1154" s="31" t="s">
        <v>1540</v>
      </c>
      <c r="B1154" s="23" t="s">
        <v>1541</v>
      </c>
      <c r="D1154">
        <v>1</v>
      </c>
      <c r="E1154" t="s">
        <v>58</v>
      </c>
      <c r="F1154">
        <v>4</v>
      </c>
      <c r="G1154">
        <v>2022</v>
      </c>
      <c r="I1154" s="8">
        <v>99.9</v>
      </c>
      <c r="J1154" t="s">
        <v>59</v>
      </c>
      <c r="K1154" t="s">
        <v>47</v>
      </c>
      <c r="O1154">
        <v>0</v>
      </c>
      <c r="P1154">
        <v>0</v>
      </c>
      <c r="Q1154">
        <v>0</v>
      </c>
      <c r="R1154">
        <v>0</v>
      </c>
      <c r="S1154">
        <v>1</v>
      </c>
      <c r="T1154">
        <v>1</v>
      </c>
      <c r="U1154">
        <v>1</v>
      </c>
      <c r="V1154">
        <v>0</v>
      </c>
      <c r="W1154" t="s">
        <v>1542</v>
      </c>
      <c r="AA1154">
        <v>2018</v>
      </c>
      <c r="AB1154">
        <v>9999</v>
      </c>
      <c r="AC1154" t="s">
        <v>1543</v>
      </c>
    </row>
    <row r="1155" spans="1:29" x14ac:dyDescent="0.25">
      <c r="A1155" s="31" t="s">
        <v>199</v>
      </c>
      <c r="B1155" s="23" t="s">
        <v>39</v>
      </c>
      <c r="D1155">
        <v>1</v>
      </c>
      <c r="E1155" t="s">
        <v>358</v>
      </c>
      <c r="F1155">
        <v>1</v>
      </c>
      <c r="G1155">
        <v>2022</v>
      </c>
      <c r="I1155" s="8">
        <v>261.04000000000002</v>
      </c>
      <c r="J1155" t="s">
        <v>52</v>
      </c>
      <c r="K1155" t="s">
        <v>47</v>
      </c>
      <c r="O1155">
        <v>0</v>
      </c>
      <c r="P1155">
        <v>0</v>
      </c>
      <c r="Q1155">
        <v>0</v>
      </c>
      <c r="R1155">
        <v>0</v>
      </c>
      <c r="S1155">
        <v>1</v>
      </c>
      <c r="T1155">
        <v>1</v>
      </c>
      <c r="U1155">
        <v>1</v>
      </c>
      <c r="V1155">
        <v>0</v>
      </c>
      <c r="W1155" t="s">
        <v>1094</v>
      </c>
      <c r="AA1155">
        <v>2007</v>
      </c>
      <c r="AB1155">
        <v>9999</v>
      </c>
      <c r="AC1155" t="s">
        <v>35</v>
      </c>
    </row>
    <row r="1156" spans="1:29" x14ac:dyDescent="0.25">
      <c r="A1156" s="31" t="s">
        <v>1478</v>
      </c>
      <c r="B1156" s="23" t="s">
        <v>360</v>
      </c>
      <c r="D1156">
        <v>4</v>
      </c>
      <c r="E1156" t="s">
        <v>155</v>
      </c>
      <c r="F1156">
        <v>3</v>
      </c>
      <c r="G1156">
        <v>2022</v>
      </c>
      <c r="I1156" s="16">
        <v>399.72687005928856</v>
      </c>
      <c r="J1156" t="s">
        <v>121</v>
      </c>
      <c r="K1156" t="s">
        <v>53</v>
      </c>
      <c r="L1156" t="s">
        <v>60</v>
      </c>
      <c r="O1156">
        <v>1</v>
      </c>
      <c r="P1156">
        <v>0</v>
      </c>
      <c r="Q1156">
        <v>0</v>
      </c>
      <c r="R1156">
        <v>0</v>
      </c>
      <c r="S1156">
        <v>1</v>
      </c>
      <c r="T1156">
        <v>0</v>
      </c>
      <c r="U1156">
        <v>0</v>
      </c>
      <c r="V1156">
        <v>1</v>
      </c>
      <c r="W1156" t="s">
        <v>361</v>
      </c>
      <c r="AA1156">
        <v>2007</v>
      </c>
      <c r="AB1156">
        <v>9999</v>
      </c>
      <c r="AC1156" t="s">
        <v>35</v>
      </c>
    </row>
    <row r="1157" spans="1:29" x14ac:dyDescent="0.25">
      <c r="A1157" s="31" t="s">
        <v>362</v>
      </c>
      <c r="B1157" s="23" t="s">
        <v>363</v>
      </c>
      <c r="D1157">
        <v>1</v>
      </c>
      <c r="E1157" t="s">
        <v>103</v>
      </c>
      <c r="F1157">
        <v>9</v>
      </c>
      <c r="G1157">
        <v>2022</v>
      </c>
      <c r="I1157" s="8">
        <v>1180.43</v>
      </c>
      <c r="J1157" t="s">
        <v>104</v>
      </c>
      <c r="K1157" t="s">
        <v>53</v>
      </c>
      <c r="L1157" t="s">
        <v>105</v>
      </c>
      <c r="O1157">
        <v>0</v>
      </c>
      <c r="P1157">
        <v>1</v>
      </c>
      <c r="Q1157">
        <v>0</v>
      </c>
      <c r="R1157">
        <v>0</v>
      </c>
      <c r="S1157">
        <v>1</v>
      </c>
      <c r="T1157">
        <v>1</v>
      </c>
      <c r="U1157">
        <v>1</v>
      </c>
      <c r="V1157">
        <v>0</v>
      </c>
      <c r="W1157" t="s">
        <v>106</v>
      </c>
      <c r="AA1157">
        <v>2007</v>
      </c>
      <c r="AB1157">
        <v>9999</v>
      </c>
      <c r="AC1157" t="s">
        <v>35</v>
      </c>
    </row>
    <row r="1158" spans="1:29" x14ac:dyDescent="0.25">
      <c r="A1158" s="31" t="s">
        <v>364</v>
      </c>
      <c r="B1158" s="23" t="s">
        <v>365</v>
      </c>
      <c r="C1158" t="s">
        <v>366</v>
      </c>
      <c r="D1158">
        <v>1</v>
      </c>
      <c r="E1158" t="s">
        <v>103</v>
      </c>
      <c r="F1158">
        <v>9</v>
      </c>
      <c r="G1158">
        <v>2022</v>
      </c>
      <c r="I1158" s="8">
        <v>4774.47</v>
      </c>
      <c r="J1158" t="s">
        <v>104</v>
      </c>
      <c r="K1158" t="s">
        <v>53</v>
      </c>
      <c r="L1158" t="s">
        <v>105</v>
      </c>
      <c r="O1158">
        <v>0</v>
      </c>
      <c r="P1158">
        <v>1</v>
      </c>
      <c r="Q1158">
        <v>0</v>
      </c>
      <c r="R1158">
        <v>0</v>
      </c>
      <c r="S1158">
        <v>1</v>
      </c>
      <c r="T1158">
        <v>1</v>
      </c>
      <c r="U1158">
        <v>1</v>
      </c>
      <c r="V1158">
        <v>0</v>
      </c>
      <c r="W1158" t="s">
        <v>106</v>
      </c>
      <c r="AA1158">
        <v>2007</v>
      </c>
      <c r="AB1158">
        <v>9999</v>
      </c>
      <c r="AC1158" t="s">
        <v>35</v>
      </c>
    </row>
    <row r="1159" spans="1:29" x14ac:dyDescent="0.25">
      <c r="A1159" s="31" t="s">
        <v>367</v>
      </c>
      <c r="B1159" s="23" t="s">
        <v>368</v>
      </c>
      <c r="C1159" t="s">
        <v>369</v>
      </c>
      <c r="D1159">
        <v>1</v>
      </c>
      <c r="E1159" t="s">
        <v>370</v>
      </c>
      <c r="F1159">
        <v>5</v>
      </c>
      <c r="G1159">
        <v>2022</v>
      </c>
      <c r="I1159" s="8">
        <v>250.71</v>
      </c>
      <c r="J1159" t="s">
        <v>31</v>
      </c>
      <c r="K1159" t="s">
        <v>47</v>
      </c>
      <c r="O1159">
        <v>0</v>
      </c>
      <c r="P1159">
        <v>0</v>
      </c>
      <c r="Q1159">
        <v>0</v>
      </c>
      <c r="R1159">
        <v>0</v>
      </c>
      <c r="S1159">
        <v>1</v>
      </c>
      <c r="T1159">
        <v>1</v>
      </c>
      <c r="U1159">
        <v>1</v>
      </c>
      <c r="V1159">
        <v>0</v>
      </c>
      <c r="W1159" t="s">
        <v>1298</v>
      </c>
      <c r="AA1159">
        <v>2007</v>
      </c>
      <c r="AB1159">
        <v>9999</v>
      </c>
      <c r="AC1159" t="s">
        <v>35</v>
      </c>
    </row>
    <row r="1160" spans="1:29" x14ac:dyDescent="0.25">
      <c r="A1160" s="31" t="s">
        <v>1544</v>
      </c>
      <c r="B1160" s="23" t="s">
        <v>1545</v>
      </c>
      <c r="D1160">
        <v>1</v>
      </c>
      <c r="E1160" s="5" t="s">
        <v>1546</v>
      </c>
      <c r="F1160">
        <v>5</v>
      </c>
      <c r="G1160">
        <v>2022</v>
      </c>
      <c r="H1160" t="s">
        <v>214</v>
      </c>
      <c r="I1160">
        <v>4</v>
      </c>
      <c r="J1160" t="s">
        <v>31</v>
      </c>
      <c r="K1160" t="s">
        <v>41</v>
      </c>
      <c r="O1160">
        <v>0</v>
      </c>
      <c r="P1160">
        <v>0</v>
      </c>
      <c r="Q1160">
        <v>0</v>
      </c>
      <c r="R1160">
        <v>0</v>
      </c>
      <c r="S1160">
        <v>0</v>
      </c>
      <c r="T1160">
        <v>0</v>
      </c>
      <c r="U1160">
        <v>0</v>
      </c>
      <c r="V1160">
        <v>0</v>
      </c>
      <c r="W1160" t="s">
        <v>1547</v>
      </c>
      <c r="AA1160">
        <v>2018</v>
      </c>
      <c r="AB1160">
        <v>9999</v>
      </c>
      <c r="AC1160" t="s">
        <v>1543</v>
      </c>
    </row>
    <row r="1161" spans="1:29" x14ac:dyDescent="0.25">
      <c r="A1161" s="31" t="s">
        <v>372</v>
      </c>
      <c r="B1161" s="23" t="s">
        <v>373</v>
      </c>
      <c r="D1161">
        <v>1</v>
      </c>
      <c r="E1161" t="s">
        <v>45</v>
      </c>
      <c r="F1161">
        <v>4</v>
      </c>
      <c r="G1161">
        <v>2022</v>
      </c>
      <c r="I1161" s="8">
        <v>85.4</v>
      </c>
      <c r="J1161" t="s">
        <v>176</v>
      </c>
      <c r="K1161" t="s">
        <v>47</v>
      </c>
      <c r="O1161">
        <v>0</v>
      </c>
      <c r="P1161">
        <v>0</v>
      </c>
      <c r="Q1161">
        <v>0</v>
      </c>
      <c r="R1161">
        <v>0</v>
      </c>
      <c r="S1161">
        <v>1</v>
      </c>
      <c r="T1161">
        <v>1</v>
      </c>
      <c r="U1161">
        <v>1</v>
      </c>
      <c r="V1161">
        <v>0</v>
      </c>
      <c r="W1161" t="s">
        <v>1429</v>
      </c>
      <c r="AA1161">
        <v>2007</v>
      </c>
      <c r="AB1161">
        <v>9999</v>
      </c>
      <c r="AC1161" t="s">
        <v>35</v>
      </c>
    </row>
    <row r="1162" spans="1:29" x14ac:dyDescent="0.25">
      <c r="A1162" s="31" t="s">
        <v>375</v>
      </c>
      <c r="B1162" s="23" t="s">
        <v>163</v>
      </c>
      <c r="D1162">
        <v>1</v>
      </c>
      <c r="E1162" t="s">
        <v>168</v>
      </c>
      <c r="F1162">
        <v>1</v>
      </c>
      <c r="G1162">
        <v>2022</v>
      </c>
      <c r="I1162" s="8">
        <v>47.29</v>
      </c>
      <c r="J1162" t="s">
        <v>52</v>
      </c>
      <c r="K1162" t="s">
        <v>47</v>
      </c>
      <c r="O1162">
        <v>0</v>
      </c>
      <c r="P1162">
        <v>0</v>
      </c>
      <c r="Q1162">
        <v>0</v>
      </c>
      <c r="R1162">
        <v>0</v>
      </c>
      <c r="S1162">
        <v>1</v>
      </c>
      <c r="T1162">
        <v>1</v>
      </c>
      <c r="U1162">
        <v>1</v>
      </c>
      <c r="V1162">
        <v>0</v>
      </c>
      <c r="W1162" t="s">
        <v>1097</v>
      </c>
      <c r="AA1162">
        <v>2007</v>
      </c>
      <c r="AB1162">
        <v>9999</v>
      </c>
      <c r="AC1162" t="s">
        <v>35</v>
      </c>
    </row>
    <row r="1163" spans="1:29" x14ac:dyDescent="0.25">
      <c r="A1163" s="31" t="s">
        <v>377</v>
      </c>
      <c r="B1163" s="23" t="s">
        <v>378</v>
      </c>
      <c r="D1163">
        <v>1</v>
      </c>
      <c r="E1163" t="s">
        <v>45</v>
      </c>
      <c r="F1163">
        <v>4</v>
      </c>
      <c r="G1163">
        <v>2022</v>
      </c>
      <c r="I1163" s="8">
        <v>156.11000000000001</v>
      </c>
      <c r="J1163" t="s">
        <v>89</v>
      </c>
      <c r="K1163" t="s">
        <v>47</v>
      </c>
      <c r="O1163">
        <v>0</v>
      </c>
      <c r="P1163">
        <v>0</v>
      </c>
      <c r="Q1163">
        <v>0</v>
      </c>
      <c r="R1163">
        <v>0</v>
      </c>
      <c r="S1163">
        <v>1</v>
      </c>
      <c r="T1163">
        <v>1</v>
      </c>
      <c r="U1163">
        <v>1</v>
      </c>
      <c r="V1163">
        <v>0</v>
      </c>
      <c r="W1163" t="s">
        <v>1098</v>
      </c>
      <c r="AA1163">
        <v>2007</v>
      </c>
      <c r="AB1163">
        <v>9999</v>
      </c>
      <c r="AC1163" t="s">
        <v>35</v>
      </c>
    </row>
    <row r="1164" spans="1:29" x14ac:dyDescent="0.25">
      <c r="A1164" s="31" t="s">
        <v>380</v>
      </c>
      <c r="B1164" s="23" t="s">
        <v>381</v>
      </c>
      <c r="D1164">
        <v>1</v>
      </c>
      <c r="E1164" t="s">
        <v>103</v>
      </c>
      <c r="F1164">
        <v>9</v>
      </c>
      <c r="G1164">
        <v>2022</v>
      </c>
      <c r="I1164" s="8">
        <v>162.94</v>
      </c>
      <c r="J1164" t="s">
        <v>104</v>
      </c>
      <c r="K1164" t="s">
        <v>53</v>
      </c>
      <c r="L1164" t="s">
        <v>105</v>
      </c>
      <c r="O1164">
        <v>0</v>
      </c>
      <c r="P1164">
        <v>1</v>
      </c>
      <c r="Q1164">
        <v>0</v>
      </c>
      <c r="R1164">
        <v>0</v>
      </c>
      <c r="S1164">
        <v>1</v>
      </c>
      <c r="T1164">
        <v>1</v>
      </c>
      <c r="U1164">
        <v>1</v>
      </c>
      <c r="V1164">
        <v>0</v>
      </c>
      <c r="W1164" t="s">
        <v>106</v>
      </c>
      <c r="AA1164">
        <v>2007</v>
      </c>
      <c r="AB1164">
        <v>9999</v>
      </c>
      <c r="AC1164" t="s">
        <v>35</v>
      </c>
    </row>
    <row r="1165" spans="1:29" x14ac:dyDescent="0.25">
      <c r="A1165" s="31" t="s">
        <v>382</v>
      </c>
      <c r="B1165" s="23" t="s">
        <v>383</v>
      </c>
      <c r="D1165">
        <v>1</v>
      </c>
      <c r="E1165" t="s">
        <v>80</v>
      </c>
      <c r="F1165">
        <v>8</v>
      </c>
      <c r="G1165">
        <v>2022</v>
      </c>
      <c r="I1165" s="8">
        <v>36.4</v>
      </c>
      <c r="J1165" t="s">
        <v>81</v>
      </c>
      <c r="K1165" t="s">
        <v>32</v>
      </c>
      <c r="O1165">
        <v>0</v>
      </c>
      <c r="P1165">
        <v>0</v>
      </c>
      <c r="Q1165">
        <v>0</v>
      </c>
      <c r="R1165">
        <v>0</v>
      </c>
      <c r="S1165">
        <v>1</v>
      </c>
      <c r="T1165">
        <v>1</v>
      </c>
      <c r="U1165">
        <v>1</v>
      </c>
      <c r="V1165">
        <v>0</v>
      </c>
      <c r="W1165" t="s">
        <v>1099</v>
      </c>
      <c r="AA1165">
        <v>2007</v>
      </c>
      <c r="AB1165">
        <v>9999</v>
      </c>
      <c r="AC1165" t="s">
        <v>35</v>
      </c>
    </row>
    <row r="1166" spans="1:29" x14ac:dyDescent="0.25">
      <c r="A1166" s="31" t="s">
        <v>385</v>
      </c>
      <c r="B1166" s="23" t="s">
        <v>386</v>
      </c>
      <c r="D1166">
        <v>1</v>
      </c>
      <c r="E1166" t="s">
        <v>45</v>
      </c>
      <c r="F1166">
        <v>4</v>
      </c>
      <c r="G1166">
        <v>2022</v>
      </c>
      <c r="I1166" s="8">
        <v>168.15</v>
      </c>
      <c r="J1166" t="s">
        <v>52</v>
      </c>
      <c r="K1166" t="s">
        <v>47</v>
      </c>
      <c r="O1166">
        <v>0</v>
      </c>
      <c r="P1166">
        <v>0</v>
      </c>
      <c r="Q1166">
        <v>0</v>
      </c>
      <c r="R1166">
        <v>0</v>
      </c>
      <c r="S1166">
        <v>1</v>
      </c>
      <c r="T1166">
        <v>1</v>
      </c>
      <c r="U1166">
        <v>1</v>
      </c>
      <c r="V1166">
        <v>0</v>
      </c>
      <c r="W1166" t="s">
        <v>1300</v>
      </c>
      <c r="AA1166">
        <v>2007</v>
      </c>
      <c r="AB1166">
        <v>9999</v>
      </c>
      <c r="AC1166" t="s">
        <v>35</v>
      </c>
    </row>
    <row r="1167" spans="1:29" x14ac:dyDescent="0.25">
      <c r="A1167" s="31" t="s">
        <v>388</v>
      </c>
      <c r="B1167" s="23" t="s">
        <v>389</v>
      </c>
      <c r="D1167">
        <v>1</v>
      </c>
      <c r="E1167" t="s">
        <v>145</v>
      </c>
      <c r="F1167">
        <v>2</v>
      </c>
      <c r="G1167">
        <v>2022</v>
      </c>
      <c r="H1167" t="s">
        <v>185</v>
      </c>
      <c r="I1167">
        <v>0.2</v>
      </c>
      <c r="J1167" t="s">
        <v>52</v>
      </c>
      <c r="K1167" t="s">
        <v>41</v>
      </c>
      <c r="O1167">
        <v>0</v>
      </c>
      <c r="P1167">
        <v>0</v>
      </c>
      <c r="Q1167">
        <v>0</v>
      </c>
      <c r="R1167">
        <v>0</v>
      </c>
      <c r="S1167">
        <v>0</v>
      </c>
      <c r="T1167">
        <v>0</v>
      </c>
      <c r="U1167">
        <v>0</v>
      </c>
      <c r="V1167">
        <v>0</v>
      </c>
      <c r="W1167" t="s">
        <v>1101</v>
      </c>
      <c r="AA1167">
        <v>2007</v>
      </c>
      <c r="AB1167">
        <v>9999</v>
      </c>
      <c r="AC1167" t="s">
        <v>35</v>
      </c>
    </row>
    <row r="1168" spans="1:29" x14ac:dyDescent="0.25">
      <c r="A1168" s="31" t="s">
        <v>391</v>
      </c>
      <c r="B1168" s="23" t="s">
        <v>392</v>
      </c>
      <c r="D1168">
        <v>1</v>
      </c>
      <c r="E1168" t="s">
        <v>393</v>
      </c>
      <c r="F1168">
        <v>3</v>
      </c>
      <c r="G1168">
        <v>2022</v>
      </c>
      <c r="I1168" s="8">
        <v>11743.8</v>
      </c>
      <c r="J1168" t="s">
        <v>121</v>
      </c>
      <c r="K1168" t="s">
        <v>47</v>
      </c>
      <c r="O1168">
        <v>0</v>
      </c>
      <c r="P1168">
        <v>0</v>
      </c>
      <c r="Q1168">
        <v>0</v>
      </c>
      <c r="R1168">
        <v>0</v>
      </c>
      <c r="S1168">
        <v>1</v>
      </c>
      <c r="T1168">
        <v>1</v>
      </c>
      <c r="U1168">
        <v>1</v>
      </c>
      <c r="V1168">
        <v>0</v>
      </c>
      <c r="W1168" t="s">
        <v>1102</v>
      </c>
      <c r="AA1168">
        <v>2007</v>
      </c>
      <c r="AB1168">
        <v>9999</v>
      </c>
      <c r="AC1168" t="s">
        <v>35</v>
      </c>
    </row>
    <row r="1169" spans="1:29" x14ac:dyDescent="0.25">
      <c r="A1169" s="31" t="s">
        <v>401</v>
      </c>
      <c r="B1169" s="23" t="s">
        <v>402</v>
      </c>
      <c r="D1169">
        <v>1</v>
      </c>
      <c r="E1169" t="s">
        <v>155</v>
      </c>
      <c r="F1169">
        <v>3</v>
      </c>
      <c r="G1169">
        <v>2022</v>
      </c>
      <c r="I1169" s="8">
        <v>2024.07</v>
      </c>
      <c r="J1169" t="s">
        <v>52</v>
      </c>
      <c r="K1169" t="s">
        <v>47</v>
      </c>
      <c r="O1169">
        <v>0</v>
      </c>
      <c r="P1169">
        <v>0</v>
      </c>
      <c r="Q1169">
        <v>0</v>
      </c>
      <c r="R1169">
        <v>0</v>
      </c>
      <c r="S1169">
        <v>1</v>
      </c>
      <c r="T1169">
        <v>1</v>
      </c>
      <c r="U1169">
        <v>1</v>
      </c>
      <c r="V1169">
        <v>0</v>
      </c>
      <c r="W1169" t="s">
        <v>1525</v>
      </c>
      <c r="AA1169">
        <v>2007</v>
      </c>
      <c r="AB1169">
        <v>9999</v>
      </c>
      <c r="AC1169" t="s">
        <v>35</v>
      </c>
    </row>
    <row r="1170" spans="1:29" x14ac:dyDescent="0.25">
      <c r="A1170" s="31" t="s">
        <v>404</v>
      </c>
      <c r="B1170" s="23" t="s">
        <v>405</v>
      </c>
      <c r="C1170" t="s">
        <v>406</v>
      </c>
      <c r="D1170">
        <v>1</v>
      </c>
      <c r="E1170" t="s">
        <v>358</v>
      </c>
      <c r="F1170">
        <v>1</v>
      </c>
      <c r="G1170">
        <v>2022</v>
      </c>
      <c r="I1170" s="8">
        <v>328.14</v>
      </c>
      <c r="J1170" t="s">
        <v>104</v>
      </c>
      <c r="K1170" t="s">
        <v>47</v>
      </c>
      <c r="O1170">
        <v>0</v>
      </c>
      <c r="P1170">
        <v>0</v>
      </c>
      <c r="Q1170">
        <v>0</v>
      </c>
      <c r="R1170">
        <v>0</v>
      </c>
      <c r="S1170">
        <v>1</v>
      </c>
      <c r="T1170">
        <v>1</v>
      </c>
      <c r="U1170">
        <v>1</v>
      </c>
      <c r="V1170">
        <v>0</v>
      </c>
      <c r="W1170" t="s">
        <v>1245</v>
      </c>
      <c r="AA1170">
        <v>2007</v>
      </c>
      <c r="AB1170">
        <v>9999</v>
      </c>
      <c r="AC1170" t="s">
        <v>35</v>
      </c>
    </row>
    <row r="1171" spans="1:29" x14ac:dyDescent="0.25">
      <c r="A1171" s="31" t="s">
        <v>408</v>
      </c>
      <c r="B1171" s="23" t="s">
        <v>409</v>
      </c>
      <c r="D1171">
        <v>1</v>
      </c>
      <c r="E1171" t="s">
        <v>103</v>
      </c>
      <c r="F1171">
        <v>9</v>
      </c>
      <c r="G1171">
        <v>2022</v>
      </c>
      <c r="I1171" s="8">
        <v>58.75</v>
      </c>
      <c r="J1171" t="s">
        <v>104</v>
      </c>
      <c r="K1171" t="s">
        <v>53</v>
      </c>
      <c r="L1171" t="s">
        <v>105</v>
      </c>
      <c r="O1171">
        <v>0</v>
      </c>
      <c r="P1171">
        <v>1</v>
      </c>
      <c r="Q1171">
        <v>0</v>
      </c>
      <c r="R1171">
        <v>0</v>
      </c>
      <c r="S1171">
        <v>1</v>
      </c>
      <c r="T1171">
        <v>1</v>
      </c>
      <c r="U1171">
        <v>1</v>
      </c>
      <c r="V1171">
        <v>0</v>
      </c>
      <c r="W1171" t="s">
        <v>106</v>
      </c>
      <c r="AA1171">
        <v>2007</v>
      </c>
      <c r="AB1171">
        <v>9999</v>
      </c>
      <c r="AC1171" t="s">
        <v>35</v>
      </c>
    </row>
    <row r="1172" spans="1:29" x14ac:dyDescent="0.25">
      <c r="A1172" s="31" t="s">
        <v>410</v>
      </c>
      <c r="B1172" s="23" t="s">
        <v>411</v>
      </c>
      <c r="C1172" t="s">
        <v>412</v>
      </c>
      <c r="D1172">
        <v>1</v>
      </c>
      <c r="E1172" t="s">
        <v>103</v>
      </c>
      <c r="F1172">
        <v>9</v>
      </c>
      <c r="G1172">
        <v>2022</v>
      </c>
      <c r="I1172" s="8">
        <v>157.08000000000001</v>
      </c>
      <c r="J1172" t="s">
        <v>104</v>
      </c>
      <c r="K1172" t="s">
        <v>53</v>
      </c>
      <c r="L1172" t="s">
        <v>105</v>
      </c>
      <c r="O1172">
        <v>0</v>
      </c>
      <c r="P1172">
        <v>1</v>
      </c>
      <c r="Q1172">
        <v>0</v>
      </c>
      <c r="R1172">
        <v>0</v>
      </c>
      <c r="S1172">
        <v>1</v>
      </c>
      <c r="T1172">
        <v>1</v>
      </c>
      <c r="U1172">
        <v>1</v>
      </c>
      <c r="V1172">
        <v>0</v>
      </c>
      <c r="W1172" t="s">
        <v>106</v>
      </c>
      <c r="AA1172">
        <v>2007</v>
      </c>
      <c r="AB1172">
        <v>9999</v>
      </c>
      <c r="AC1172" t="s">
        <v>35</v>
      </c>
    </row>
    <row r="1173" spans="1:29" x14ac:dyDescent="0.25">
      <c r="A1173" s="31" t="s">
        <v>413</v>
      </c>
      <c r="B1173" s="23" t="s">
        <v>414</v>
      </c>
      <c r="C1173" t="s">
        <v>415</v>
      </c>
      <c r="D1173">
        <v>1</v>
      </c>
      <c r="E1173" t="s">
        <v>103</v>
      </c>
      <c r="F1173">
        <v>9</v>
      </c>
      <c r="G1173">
        <v>2022</v>
      </c>
      <c r="I1173" s="8">
        <v>4061.18</v>
      </c>
      <c r="J1173" t="s">
        <v>104</v>
      </c>
      <c r="K1173" t="s">
        <v>53</v>
      </c>
      <c r="L1173" t="s">
        <v>105</v>
      </c>
      <c r="O1173">
        <v>0</v>
      </c>
      <c r="P1173">
        <v>1</v>
      </c>
      <c r="Q1173">
        <v>0</v>
      </c>
      <c r="R1173">
        <v>0</v>
      </c>
      <c r="S1173">
        <v>1</v>
      </c>
      <c r="T1173">
        <v>1</v>
      </c>
      <c r="U1173">
        <v>1</v>
      </c>
      <c r="V1173">
        <v>0</v>
      </c>
      <c r="W1173" t="s">
        <v>106</v>
      </c>
      <c r="AA1173">
        <v>2007</v>
      </c>
      <c r="AB1173">
        <v>9999</v>
      </c>
      <c r="AC1173" t="s">
        <v>35</v>
      </c>
    </row>
    <row r="1174" spans="1:29" x14ac:dyDescent="0.25">
      <c r="A1174" s="31" t="s">
        <v>416</v>
      </c>
      <c r="B1174" s="23" t="s">
        <v>417</v>
      </c>
      <c r="C1174" t="s">
        <v>418</v>
      </c>
      <c r="D1174">
        <v>1</v>
      </c>
      <c r="E1174" t="s">
        <v>218</v>
      </c>
      <c r="F1174">
        <v>2</v>
      </c>
      <c r="G1174">
        <v>2022</v>
      </c>
      <c r="I1174" s="49">
        <v>811.31</v>
      </c>
      <c r="J1174" t="s">
        <v>147</v>
      </c>
      <c r="K1174" t="s">
        <v>47</v>
      </c>
      <c r="O1174">
        <v>0</v>
      </c>
      <c r="P1174">
        <v>0</v>
      </c>
      <c r="Q1174">
        <v>0</v>
      </c>
      <c r="R1174">
        <v>0</v>
      </c>
      <c r="S1174">
        <v>1</v>
      </c>
      <c r="T1174">
        <v>1</v>
      </c>
      <c r="U1174">
        <v>1</v>
      </c>
      <c r="V1174">
        <v>0</v>
      </c>
      <c r="W1174" t="s">
        <v>1574</v>
      </c>
      <c r="AA1174">
        <v>2007</v>
      </c>
      <c r="AB1174">
        <v>9999</v>
      </c>
      <c r="AC1174" t="s">
        <v>35</v>
      </c>
    </row>
    <row r="1175" spans="1:29" x14ac:dyDescent="0.25">
      <c r="A1175" s="31" t="s">
        <v>420</v>
      </c>
      <c r="B1175" s="23" t="s">
        <v>421</v>
      </c>
      <c r="D1175">
        <v>1</v>
      </c>
      <c r="E1175" t="s">
        <v>38</v>
      </c>
      <c r="F1175">
        <v>4</v>
      </c>
      <c r="G1175">
        <v>2022</v>
      </c>
      <c r="H1175" t="s">
        <v>39</v>
      </c>
      <c r="I1175">
        <v>6.2</v>
      </c>
      <c r="J1175" t="s">
        <v>31</v>
      </c>
      <c r="K1175" t="s">
        <v>32</v>
      </c>
      <c r="O1175">
        <v>0</v>
      </c>
      <c r="P1175">
        <v>0</v>
      </c>
      <c r="Q1175">
        <v>0</v>
      </c>
      <c r="R1175">
        <v>0</v>
      </c>
      <c r="S1175">
        <v>0</v>
      </c>
      <c r="T1175">
        <v>1</v>
      </c>
      <c r="U1175">
        <v>0</v>
      </c>
      <c r="V1175">
        <v>0</v>
      </c>
      <c r="W1175" t="s">
        <v>1108</v>
      </c>
      <c r="AA1175">
        <v>2007</v>
      </c>
      <c r="AB1175">
        <v>9999</v>
      </c>
      <c r="AC1175" t="s">
        <v>35</v>
      </c>
    </row>
    <row r="1176" spans="1:29" x14ac:dyDescent="0.25">
      <c r="A1176" s="31" t="s">
        <v>423</v>
      </c>
      <c r="B1176" s="23" t="s">
        <v>424</v>
      </c>
      <c r="D1176">
        <v>1</v>
      </c>
      <c r="E1176" t="s">
        <v>85</v>
      </c>
      <c r="F1176">
        <v>1</v>
      </c>
      <c r="G1176">
        <v>2022</v>
      </c>
      <c r="H1176" t="s">
        <v>303</v>
      </c>
      <c r="I1176" s="15">
        <v>7</v>
      </c>
      <c r="J1176" t="s">
        <v>121</v>
      </c>
      <c r="K1176" t="s">
        <v>53</v>
      </c>
      <c r="L1176" t="s">
        <v>425</v>
      </c>
      <c r="O1176">
        <v>0</v>
      </c>
      <c r="P1176">
        <v>0</v>
      </c>
      <c r="Q1176">
        <v>0</v>
      </c>
      <c r="R1176">
        <v>0</v>
      </c>
      <c r="S1176">
        <v>0</v>
      </c>
      <c r="T1176">
        <v>0</v>
      </c>
      <c r="U1176">
        <v>0</v>
      </c>
      <c r="V1176">
        <v>0</v>
      </c>
      <c r="W1176" t="s">
        <v>426</v>
      </c>
      <c r="AA1176">
        <v>2007</v>
      </c>
      <c r="AB1176">
        <v>9999</v>
      </c>
      <c r="AC1176" t="s">
        <v>35</v>
      </c>
    </row>
    <row r="1177" spans="1:29" x14ac:dyDescent="0.25">
      <c r="A1177" s="31" t="s">
        <v>427</v>
      </c>
      <c r="B1177" s="23" t="s">
        <v>1246</v>
      </c>
      <c r="D1177">
        <v>1</v>
      </c>
      <c r="E1177" t="s">
        <v>45</v>
      </c>
      <c r="F1177">
        <v>4</v>
      </c>
      <c r="G1177">
        <v>2022</v>
      </c>
      <c r="I1177" s="8">
        <v>1994.07</v>
      </c>
      <c r="J1177" t="s">
        <v>52</v>
      </c>
      <c r="K1177" t="s">
        <v>32</v>
      </c>
      <c r="O1177">
        <v>0</v>
      </c>
      <c r="P1177">
        <v>0</v>
      </c>
      <c r="Q1177">
        <v>0</v>
      </c>
      <c r="R1177">
        <v>0</v>
      </c>
      <c r="S1177">
        <v>1</v>
      </c>
      <c r="T1177">
        <v>1</v>
      </c>
      <c r="U1177">
        <v>1</v>
      </c>
      <c r="V1177">
        <v>0</v>
      </c>
      <c r="W1177" t="s">
        <v>1301</v>
      </c>
      <c r="AA1177">
        <v>2007</v>
      </c>
      <c r="AB1177">
        <v>9999</v>
      </c>
      <c r="AC1177" t="s">
        <v>35</v>
      </c>
    </row>
    <row r="1178" spans="1:29" x14ac:dyDescent="0.25">
      <c r="A1178" s="31" t="s">
        <v>430</v>
      </c>
      <c r="B1178" s="23" t="s">
        <v>431</v>
      </c>
      <c r="D1178">
        <v>1</v>
      </c>
      <c r="E1178" t="s">
        <v>103</v>
      </c>
      <c r="F1178">
        <v>9</v>
      </c>
      <c r="G1178">
        <v>2022</v>
      </c>
      <c r="I1178" s="8">
        <v>3418.81</v>
      </c>
      <c r="J1178" t="s">
        <v>104</v>
      </c>
      <c r="K1178" t="s">
        <v>53</v>
      </c>
      <c r="L1178" t="s">
        <v>105</v>
      </c>
      <c r="O1178">
        <v>0</v>
      </c>
      <c r="P1178">
        <v>1</v>
      </c>
      <c r="Q1178">
        <v>0</v>
      </c>
      <c r="R1178">
        <v>0</v>
      </c>
      <c r="S1178">
        <v>1</v>
      </c>
      <c r="T1178">
        <v>1</v>
      </c>
      <c r="U1178">
        <v>1</v>
      </c>
      <c r="V1178">
        <v>0</v>
      </c>
      <c r="W1178" t="s">
        <v>106</v>
      </c>
      <c r="AA1178">
        <v>2007</v>
      </c>
      <c r="AB1178">
        <v>9999</v>
      </c>
      <c r="AC1178" t="s">
        <v>35</v>
      </c>
    </row>
    <row r="1179" spans="1:29" x14ac:dyDescent="0.25">
      <c r="A1179" s="31" t="s">
        <v>1302</v>
      </c>
      <c r="B1179" s="23" t="s">
        <v>1303</v>
      </c>
      <c r="D1179">
        <v>1</v>
      </c>
      <c r="E1179" t="s">
        <v>103</v>
      </c>
      <c r="F1179">
        <v>9</v>
      </c>
      <c r="G1179">
        <v>2022</v>
      </c>
      <c r="I1179" s="8">
        <v>1829.81</v>
      </c>
      <c r="J1179" t="s">
        <v>104</v>
      </c>
      <c r="K1179" t="s">
        <v>53</v>
      </c>
      <c r="L1179" t="s">
        <v>105</v>
      </c>
      <c r="O1179">
        <v>0</v>
      </c>
      <c r="P1179">
        <v>1</v>
      </c>
      <c r="Q1179">
        <v>0</v>
      </c>
      <c r="R1179">
        <v>0</v>
      </c>
      <c r="S1179">
        <v>1</v>
      </c>
      <c r="T1179">
        <v>1</v>
      </c>
      <c r="U1179">
        <v>1</v>
      </c>
      <c r="V1179">
        <v>0</v>
      </c>
      <c r="W1179" t="s">
        <v>106</v>
      </c>
      <c r="AA1179">
        <v>2010</v>
      </c>
      <c r="AB1179">
        <v>9999</v>
      </c>
      <c r="AC1179" t="s">
        <v>1292</v>
      </c>
    </row>
    <row r="1180" spans="1:29" x14ac:dyDescent="0.25">
      <c r="A1180" s="31" t="s">
        <v>439</v>
      </c>
      <c r="B1180" s="23" t="s">
        <v>440</v>
      </c>
      <c r="C1180" t="s">
        <v>441</v>
      </c>
      <c r="D1180">
        <v>1</v>
      </c>
      <c r="E1180" t="s">
        <v>442</v>
      </c>
      <c r="F1180">
        <v>4</v>
      </c>
      <c r="G1180">
        <v>2022</v>
      </c>
      <c r="I1180" s="8">
        <v>576.11</v>
      </c>
      <c r="J1180" t="s">
        <v>89</v>
      </c>
      <c r="K1180" t="s">
        <v>47</v>
      </c>
      <c r="O1180">
        <v>0</v>
      </c>
      <c r="P1180">
        <v>0</v>
      </c>
      <c r="Q1180">
        <v>0</v>
      </c>
      <c r="R1180">
        <v>0</v>
      </c>
      <c r="S1180">
        <v>1</v>
      </c>
      <c r="T1180">
        <v>1</v>
      </c>
      <c r="U1180">
        <v>1</v>
      </c>
      <c r="V1180">
        <v>0</v>
      </c>
      <c r="W1180" t="s">
        <v>1304</v>
      </c>
      <c r="AA1180">
        <v>2007</v>
      </c>
      <c r="AB1180">
        <v>9999</v>
      </c>
      <c r="AC1180" t="s">
        <v>35</v>
      </c>
    </row>
    <row r="1181" spans="1:29" ht="30" x14ac:dyDescent="0.25">
      <c r="B1181" s="23" t="s">
        <v>444</v>
      </c>
      <c r="C1181" t="s">
        <v>445</v>
      </c>
      <c r="D1181">
        <v>5</v>
      </c>
      <c r="E1181" t="s">
        <v>38</v>
      </c>
      <c r="F1181">
        <v>4</v>
      </c>
      <c r="G1181">
        <v>2022</v>
      </c>
      <c r="I1181">
        <v>0.8</v>
      </c>
      <c r="J1181" s="2" t="s">
        <v>31</v>
      </c>
      <c r="K1181" t="s">
        <v>41</v>
      </c>
      <c r="O1181">
        <v>0</v>
      </c>
      <c r="P1181">
        <v>0</v>
      </c>
      <c r="Q1181">
        <v>0</v>
      </c>
      <c r="R1181">
        <v>0</v>
      </c>
      <c r="S1181">
        <v>0</v>
      </c>
      <c r="T1181">
        <v>0</v>
      </c>
      <c r="U1181">
        <v>0</v>
      </c>
      <c r="V1181">
        <v>0</v>
      </c>
      <c r="W1181" t="s">
        <v>1114</v>
      </c>
      <c r="AA1181">
        <v>2007</v>
      </c>
      <c r="AB1181">
        <v>9999</v>
      </c>
      <c r="AC1181" t="s">
        <v>35</v>
      </c>
    </row>
    <row r="1182" spans="1:29" x14ac:dyDescent="0.25">
      <c r="A1182" s="31" t="s">
        <v>453</v>
      </c>
      <c r="B1182" s="23" t="s">
        <v>454</v>
      </c>
      <c r="C1182" t="s">
        <v>455</v>
      </c>
      <c r="D1182">
        <v>1</v>
      </c>
      <c r="E1182" t="s">
        <v>456</v>
      </c>
      <c r="F1182">
        <v>4</v>
      </c>
      <c r="G1182">
        <v>2022</v>
      </c>
      <c r="I1182" s="8">
        <v>1082.18</v>
      </c>
      <c r="J1182" t="s">
        <v>1556</v>
      </c>
      <c r="K1182" t="s">
        <v>32</v>
      </c>
      <c r="L1182" t="s">
        <v>33</v>
      </c>
      <c r="O1182">
        <v>0</v>
      </c>
      <c r="P1182">
        <v>0</v>
      </c>
      <c r="Q1182">
        <v>0</v>
      </c>
      <c r="R1182">
        <v>1</v>
      </c>
      <c r="S1182">
        <v>1</v>
      </c>
      <c r="T1182">
        <v>1</v>
      </c>
      <c r="U1182">
        <v>1</v>
      </c>
      <c r="V1182">
        <v>0</v>
      </c>
      <c r="W1182" t="s">
        <v>1360</v>
      </c>
      <c r="AA1182">
        <v>2007</v>
      </c>
      <c r="AB1182">
        <v>9999</v>
      </c>
      <c r="AC1182" t="s">
        <v>35</v>
      </c>
    </row>
    <row r="1183" spans="1:29" x14ac:dyDescent="0.25">
      <c r="A1183" s="31" t="s">
        <v>458</v>
      </c>
      <c r="B1183" s="23" t="s">
        <v>459</v>
      </c>
      <c r="D1183">
        <v>1</v>
      </c>
      <c r="E1183" t="s">
        <v>103</v>
      </c>
      <c r="F1183">
        <v>9</v>
      </c>
      <c r="G1183">
        <v>2022</v>
      </c>
      <c r="I1183" s="8">
        <v>1507.33</v>
      </c>
      <c r="J1183" t="s">
        <v>104</v>
      </c>
      <c r="K1183" t="s">
        <v>53</v>
      </c>
      <c r="L1183" t="s">
        <v>105</v>
      </c>
      <c r="O1183">
        <v>0</v>
      </c>
      <c r="P1183">
        <v>1</v>
      </c>
      <c r="Q1183">
        <v>0</v>
      </c>
      <c r="R1183">
        <v>0</v>
      </c>
      <c r="S1183">
        <v>1</v>
      </c>
      <c r="T1183">
        <v>1</v>
      </c>
      <c r="U1183">
        <v>1</v>
      </c>
      <c r="V1183">
        <v>0</v>
      </c>
      <c r="W1183" t="s">
        <v>106</v>
      </c>
      <c r="AA1183">
        <v>2007</v>
      </c>
      <c r="AB1183">
        <v>9999</v>
      </c>
      <c r="AC1183" t="s">
        <v>35</v>
      </c>
    </row>
    <row r="1184" spans="1:29" x14ac:dyDescent="0.25">
      <c r="A1184" s="31" t="s">
        <v>460</v>
      </c>
      <c r="B1184" s="23" t="s">
        <v>461</v>
      </c>
      <c r="D1184">
        <v>1</v>
      </c>
      <c r="E1184" t="s">
        <v>103</v>
      </c>
      <c r="F1184">
        <v>9</v>
      </c>
      <c r="G1184">
        <v>2022</v>
      </c>
      <c r="I1184" s="8">
        <v>7463.94</v>
      </c>
      <c r="J1184" t="s">
        <v>104</v>
      </c>
      <c r="K1184" t="s">
        <v>53</v>
      </c>
      <c r="L1184" t="s">
        <v>105</v>
      </c>
      <c r="O1184">
        <v>0</v>
      </c>
      <c r="P1184">
        <v>1</v>
      </c>
      <c r="Q1184">
        <v>0</v>
      </c>
      <c r="R1184">
        <v>0</v>
      </c>
      <c r="S1184">
        <v>1</v>
      </c>
      <c r="T1184">
        <v>1</v>
      </c>
      <c r="U1184">
        <v>1</v>
      </c>
      <c r="V1184">
        <v>0</v>
      </c>
      <c r="W1184" t="s">
        <v>106</v>
      </c>
      <c r="AA1184">
        <v>2007</v>
      </c>
      <c r="AB1184">
        <v>9999</v>
      </c>
      <c r="AC1184" t="s">
        <v>35</v>
      </c>
    </row>
    <row r="1185" spans="1:29" x14ac:dyDescent="0.25">
      <c r="A1185" s="31" t="s">
        <v>465</v>
      </c>
      <c r="B1185" s="23" t="s">
        <v>466</v>
      </c>
      <c r="C1185" t="s">
        <v>467</v>
      </c>
      <c r="D1185">
        <v>1</v>
      </c>
      <c r="E1185" t="s">
        <v>468</v>
      </c>
      <c r="F1185">
        <v>7</v>
      </c>
      <c r="G1185">
        <v>2022</v>
      </c>
      <c r="I1185" s="8">
        <v>859.38</v>
      </c>
      <c r="J1185" t="s">
        <v>40</v>
      </c>
      <c r="K1185" t="s">
        <v>32</v>
      </c>
      <c r="O1185">
        <v>0</v>
      </c>
      <c r="P1185">
        <v>0</v>
      </c>
      <c r="Q1185">
        <v>0</v>
      </c>
      <c r="R1185">
        <v>0</v>
      </c>
      <c r="S1185">
        <v>1</v>
      </c>
      <c r="T1185">
        <v>1</v>
      </c>
      <c r="U1185">
        <v>1</v>
      </c>
      <c r="V1185">
        <v>0</v>
      </c>
      <c r="W1185" s="5" t="s">
        <v>1583</v>
      </c>
      <c r="AA1185">
        <v>2007</v>
      </c>
      <c r="AB1185">
        <v>9999</v>
      </c>
      <c r="AC1185" t="s">
        <v>35</v>
      </c>
    </row>
    <row r="1186" spans="1:29" x14ac:dyDescent="0.25">
      <c r="A1186" s="31" t="s">
        <v>478</v>
      </c>
      <c r="B1186" s="23" t="s">
        <v>479</v>
      </c>
      <c r="D1186">
        <v>1</v>
      </c>
      <c r="E1186" t="s">
        <v>348</v>
      </c>
      <c r="F1186">
        <v>1</v>
      </c>
      <c r="G1186">
        <v>2022</v>
      </c>
      <c r="I1186" s="8">
        <v>143.19</v>
      </c>
      <c r="J1186" t="s">
        <v>52</v>
      </c>
      <c r="K1186" t="s">
        <v>47</v>
      </c>
      <c r="O1186">
        <v>0</v>
      </c>
      <c r="P1186">
        <v>0</v>
      </c>
      <c r="Q1186">
        <v>0</v>
      </c>
      <c r="R1186">
        <v>0</v>
      </c>
      <c r="S1186">
        <v>1</v>
      </c>
      <c r="T1186">
        <v>1</v>
      </c>
      <c r="U1186">
        <v>1</v>
      </c>
      <c r="V1186">
        <v>0</v>
      </c>
      <c r="W1186" t="s">
        <v>1548</v>
      </c>
      <c r="AA1186">
        <v>2007</v>
      </c>
      <c r="AB1186">
        <v>9999</v>
      </c>
      <c r="AC1186" t="s">
        <v>35</v>
      </c>
    </row>
    <row r="1187" spans="1:29" x14ac:dyDescent="0.25">
      <c r="A1187" s="31" t="s">
        <v>481</v>
      </c>
      <c r="B1187" s="23" t="s">
        <v>482</v>
      </c>
      <c r="D1187">
        <v>1</v>
      </c>
      <c r="E1187" t="s">
        <v>348</v>
      </c>
      <c r="F1187">
        <v>1</v>
      </c>
      <c r="G1187">
        <v>2022</v>
      </c>
      <c r="I1187" s="8">
        <v>270.83</v>
      </c>
      <c r="J1187" t="s">
        <v>52</v>
      </c>
      <c r="K1187" t="s">
        <v>47</v>
      </c>
      <c r="O1187">
        <v>0</v>
      </c>
      <c r="P1187">
        <v>0</v>
      </c>
      <c r="Q1187">
        <v>0</v>
      </c>
      <c r="R1187">
        <v>0</v>
      </c>
      <c r="S1187">
        <v>1</v>
      </c>
      <c r="T1187">
        <v>1</v>
      </c>
      <c r="U1187">
        <v>1</v>
      </c>
      <c r="V1187">
        <v>0</v>
      </c>
      <c r="W1187" t="s">
        <v>1548</v>
      </c>
      <c r="AA1187">
        <v>2007</v>
      </c>
      <c r="AB1187">
        <v>9999</v>
      </c>
      <c r="AC1187" t="s">
        <v>35</v>
      </c>
    </row>
    <row r="1188" spans="1:29" x14ac:dyDescent="0.25">
      <c r="A1188" s="31" t="s">
        <v>483</v>
      </c>
      <c r="B1188" s="23" t="s">
        <v>484</v>
      </c>
      <c r="D1188">
        <v>1</v>
      </c>
      <c r="E1188" t="s">
        <v>348</v>
      </c>
      <c r="F1188">
        <v>1</v>
      </c>
      <c r="G1188">
        <v>2022</v>
      </c>
      <c r="I1188" s="8">
        <v>130.83000000000001</v>
      </c>
      <c r="J1188" t="s">
        <v>52</v>
      </c>
      <c r="K1188" t="s">
        <v>47</v>
      </c>
      <c r="O1188">
        <v>0</v>
      </c>
      <c r="P1188">
        <v>0</v>
      </c>
      <c r="Q1188">
        <v>0</v>
      </c>
      <c r="R1188">
        <v>0</v>
      </c>
      <c r="S1188">
        <v>1</v>
      </c>
      <c r="T1188">
        <v>1</v>
      </c>
      <c r="U1188">
        <v>1</v>
      </c>
      <c r="V1188">
        <v>0</v>
      </c>
      <c r="W1188" t="s">
        <v>1548</v>
      </c>
      <c r="AA1188">
        <v>2007</v>
      </c>
      <c r="AB1188">
        <v>9999</v>
      </c>
      <c r="AC1188" t="s">
        <v>35</v>
      </c>
    </row>
    <row r="1189" spans="1:29" x14ac:dyDescent="0.25">
      <c r="A1189" s="31" t="s">
        <v>485</v>
      </c>
      <c r="B1189" s="23" t="s">
        <v>486</v>
      </c>
      <c r="D1189">
        <v>1</v>
      </c>
      <c r="E1189" t="s">
        <v>348</v>
      </c>
      <c r="F1189">
        <v>1</v>
      </c>
      <c r="G1189">
        <v>2022</v>
      </c>
      <c r="I1189" s="8">
        <v>238.92</v>
      </c>
      <c r="J1189" t="s">
        <v>52</v>
      </c>
      <c r="K1189" t="s">
        <v>47</v>
      </c>
      <c r="O1189">
        <v>0</v>
      </c>
      <c r="P1189">
        <v>0</v>
      </c>
      <c r="Q1189">
        <v>0</v>
      </c>
      <c r="R1189">
        <v>0</v>
      </c>
      <c r="S1189">
        <v>1</v>
      </c>
      <c r="T1189">
        <v>1</v>
      </c>
      <c r="U1189">
        <v>1</v>
      </c>
      <c r="V1189">
        <v>0</v>
      </c>
      <c r="W1189" t="s">
        <v>1548</v>
      </c>
      <c r="AA1189">
        <v>2007</v>
      </c>
      <c r="AB1189">
        <v>9999</v>
      </c>
      <c r="AC1189" t="s">
        <v>35</v>
      </c>
    </row>
    <row r="1190" spans="1:29" x14ac:dyDescent="0.25">
      <c r="A1190" s="31" t="s">
        <v>487</v>
      </c>
      <c r="B1190" s="23" t="s">
        <v>488</v>
      </c>
      <c r="D1190">
        <v>1</v>
      </c>
      <c r="E1190" t="s">
        <v>348</v>
      </c>
      <c r="F1190">
        <v>1</v>
      </c>
      <c r="G1190">
        <v>2022</v>
      </c>
      <c r="I1190" s="8">
        <v>209.5</v>
      </c>
      <c r="J1190" t="s">
        <v>52</v>
      </c>
      <c r="K1190" t="s">
        <v>47</v>
      </c>
      <c r="O1190">
        <v>0</v>
      </c>
      <c r="P1190">
        <v>0</v>
      </c>
      <c r="Q1190">
        <v>0</v>
      </c>
      <c r="R1190">
        <v>0</v>
      </c>
      <c r="S1190">
        <v>1</v>
      </c>
      <c r="T1190">
        <v>1</v>
      </c>
      <c r="U1190">
        <v>1</v>
      </c>
      <c r="V1190">
        <v>0</v>
      </c>
      <c r="W1190" t="s">
        <v>1548</v>
      </c>
      <c r="AA1190">
        <v>2007</v>
      </c>
      <c r="AB1190">
        <v>9999</v>
      </c>
      <c r="AC1190" t="s">
        <v>35</v>
      </c>
    </row>
    <row r="1191" spans="1:29" x14ac:dyDescent="0.25">
      <c r="A1191" s="31" t="s">
        <v>489</v>
      </c>
      <c r="B1191" s="23" t="s">
        <v>490</v>
      </c>
      <c r="D1191">
        <v>1</v>
      </c>
      <c r="E1191" t="s">
        <v>348</v>
      </c>
      <c r="F1191">
        <v>1</v>
      </c>
      <c r="G1191">
        <v>2022</v>
      </c>
      <c r="I1191" s="8">
        <v>258.10000000000002</v>
      </c>
      <c r="J1191" t="s">
        <v>52</v>
      </c>
      <c r="K1191" t="s">
        <v>47</v>
      </c>
      <c r="O1191">
        <v>0</v>
      </c>
      <c r="P1191">
        <v>0</v>
      </c>
      <c r="Q1191">
        <v>0</v>
      </c>
      <c r="R1191">
        <v>0</v>
      </c>
      <c r="S1191">
        <v>1</v>
      </c>
      <c r="T1191">
        <v>1</v>
      </c>
      <c r="U1191">
        <v>1</v>
      </c>
      <c r="V1191">
        <v>0</v>
      </c>
      <c r="W1191" t="s">
        <v>1548</v>
      </c>
      <c r="AA1191">
        <v>2007</v>
      </c>
      <c r="AB1191">
        <v>9999</v>
      </c>
      <c r="AC1191" t="s">
        <v>35</v>
      </c>
    </row>
    <row r="1192" spans="1:29" x14ac:dyDescent="0.25">
      <c r="A1192" s="31" t="s">
        <v>491</v>
      </c>
      <c r="B1192" s="23" t="s">
        <v>492</v>
      </c>
      <c r="D1192">
        <v>1</v>
      </c>
      <c r="E1192" t="s">
        <v>348</v>
      </c>
      <c r="F1192">
        <v>1</v>
      </c>
      <c r="G1192">
        <v>2022</v>
      </c>
      <c r="I1192" s="8">
        <v>266.73</v>
      </c>
      <c r="J1192" t="s">
        <v>52</v>
      </c>
      <c r="K1192" t="s">
        <v>47</v>
      </c>
      <c r="O1192">
        <v>0</v>
      </c>
      <c r="P1192">
        <v>0</v>
      </c>
      <c r="Q1192">
        <v>0</v>
      </c>
      <c r="R1192">
        <v>0</v>
      </c>
      <c r="S1192">
        <v>1</v>
      </c>
      <c r="T1192">
        <v>1</v>
      </c>
      <c r="U1192">
        <v>1</v>
      </c>
      <c r="V1192">
        <v>0</v>
      </c>
      <c r="W1192" t="s">
        <v>1548</v>
      </c>
      <c r="AA1192">
        <v>2007</v>
      </c>
      <c r="AB1192">
        <v>9999</v>
      </c>
      <c r="AC1192" t="s">
        <v>35</v>
      </c>
    </row>
    <row r="1193" spans="1:29" x14ac:dyDescent="0.25">
      <c r="A1193" s="31" t="s">
        <v>493</v>
      </c>
      <c r="B1193" s="23" t="s">
        <v>494</v>
      </c>
      <c r="D1193">
        <v>1</v>
      </c>
      <c r="E1193" t="s">
        <v>348</v>
      </c>
      <c r="F1193">
        <v>1</v>
      </c>
      <c r="G1193">
        <v>2022</v>
      </c>
      <c r="I1193" s="8">
        <v>239.33</v>
      </c>
      <c r="J1193" t="s">
        <v>52</v>
      </c>
      <c r="K1193" t="s">
        <v>47</v>
      </c>
      <c r="O1193">
        <v>0</v>
      </c>
      <c r="P1193">
        <v>0</v>
      </c>
      <c r="Q1193">
        <v>0</v>
      </c>
      <c r="R1193">
        <v>0</v>
      </c>
      <c r="S1193">
        <v>1</v>
      </c>
      <c r="T1193">
        <v>1</v>
      </c>
      <c r="U1193">
        <v>1</v>
      </c>
      <c r="V1193">
        <v>0</v>
      </c>
      <c r="W1193" t="s">
        <v>1548</v>
      </c>
      <c r="AA1193">
        <v>2007</v>
      </c>
      <c r="AB1193">
        <v>9999</v>
      </c>
      <c r="AC1193" t="s">
        <v>35</v>
      </c>
    </row>
    <row r="1194" spans="1:29" x14ac:dyDescent="0.25">
      <c r="A1194" s="31" t="s">
        <v>495</v>
      </c>
      <c r="B1194" s="23" t="s">
        <v>496</v>
      </c>
      <c r="D1194">
        <v>1</v>
      </c>
      <c r="E1194" t="s">
        <v>348</v>
      </c>
      <c r="F1194">
        <v>1</v>
      </c>
      <c r="G1194">
        <v>2022</v>
      </c>
      <c r="I1194" s="8">
        <v>196.47</v>
      </c>
      <c r="J1194" t="s">
        <v>52</v>
      </c>
      <c r="K1194" t="s">
        <v>47</v>
      </c>
      <c r="O1194">
        <v>0</v>
      </c>
      <c r="P1194">
        <v>0</v>
      </c>
      <c r="Q1194">
        <v>0</v>
      </c>
      <c r="R1194">
        <v>0</v>
      </c>
      <c r="S1194">
        <v>1</v>
      </c>
      <c r="T1194">
        <v>1</v>
      </c>
      <c r="U1194">
        <v>1</v>
      </c>
      <c r="V1194">
        <v>0</v>
      </c>
      <c r="W1194" t="s">
        <v>1548</v>
      </c>
      <c r="AA1194">
        <v>2007</v>
      </c>
      <c r="AB1194">
        <v>9999</v>
      </c>
      <c r="AC1194" t="s">
        <v>35</v>
      </c>
    </row>
    <row r="1195" spans="1:29" x14ac:dyDescent="0.25">
      <c r="A1195" s="31" t="s">
        <v>497</v>
      </c>
      <c r="B1195" s="23" t="s">
        <v>498</v>
      </c>
      <c r="D1195">
        <v>1</v>
      </c>
      <c r="E1195" t="s">
        <v>348</v>
      </c>
      <c r="F1195">
        <v>1</v>
      </c>
      <c r="G1195">
        <v>2022</v>
      </c>
      <c r="I1195" s="8">
        <v>317.67</v>
      </c>
      <c r="J1195" t="s">
        <v>52</v>
      </c>
      <c r="K1195" t="s">
        <v>47</v>
      </c>
      <c r="O1195">
        <v>0</v>
      </c>
      <c r="P1195">
        <v>0</v>
      </c>
      <c r="Q1195">
        <v>0</v>
      </c>
      <c r="R1195">
        <v>0</v>
      </c>
      <c r="S1195">
        <v>1</v>
      </c>
      <c r="T1195">
        <v>1</v>
      </c>
      <c r="U1195">
        <v>1</v>
      </c>
      <c r="V1195">
        <v>0</v>
      </c>
      <c r="W1195" t="s">
        <v>1548</v>
      </c>
      <c r="AA1195">
        <v>2007</v>
      </c>
      <c r="AB1195">
        <v>9999</v>
      </c>
      <c r="AC1195" t="s">
        <v>35</v>
      </c>
    </row>
    <row r="1196" spans="1:29" x14ac:dyDescent="0.25">
      <c r="A1196" s="31" t="s">
        <v>499</v>
      </c>
      <c r="B1196" s="23" t="s">
        <v>500</v>
      </c>
      <c r="D1196">
        <v>1</v>
      </c>
      <c r="E1196" t="s">
        <v>348</v>
      </c>
      <c r="F1196">
        <v>1</v>
      </c>
      <c r="G1196">
        <v>2022</v>
      </c>
      <c r="I1196" s="8">
        <v>594.22</v>
      </c>
      <c r="J1196" t="s">
        <v>52</v>
      </c>
      <c r="K1196" t="s">
        <v>47</v>
      </c>
      <c r="O1196">
        <v>0</v>
      </c>
      <c r="P1196">
        <v>0</v>
      </c>
      <c r="Q1196">
        <v>0</v>
      </c>
      <c r="R1196">
        <v>0</v>
      </c>
      <c r="S1196">
        <v>1</v>
      </c>
      <c r="T1196">
        <v>1</v>
      </c>
      <c r="U1196">
        <v>1</v>
      </c>
      <c r="V1196">
        <v>0</v>
      </c>
      <c r="W1196" t="s">
        <v>1548</v>
      </c>
      <c r="AA1196">
        <v>2007</v>
      </c>
      <c r="AB1196">
        <v>9999</v>
      </c>
      <c r="AC1196" t="s">
        <v>35</v>
      </c>
    </row>
    <row r="1197" spans="1:29" x14ac:dyDescent="0.25">
      <c r="A1197" s="31" t="s">
        <v>501</v>
      </c>
      <c r="B1197" s="23" t="s">
        <v>502</v>
      </c>
      <c r="D1197">
        <v>1</v>
      </c>
      <c r="E1197" t="s">
        <v>348</v>
      </c>
      <c r="F1197">
        <v>1</v>
      </c>
      <c r="G1197">
        <v>2022</v>
      </c>
      <c r="I1197" s="8">
        <v>561.05999999999995</v>
      </c>
      <c r="J1197" t="s">
        <v>52</v>
      </c>
      <c r="K1197" t="s">
        <v>47</v>
      </c>
      <c r="O1197">
        <v>0</v>
      </c>
      <c r="P1197">
        <v>0</v>
      </c>
      <c r="Q1197">
        <v>0</v>
      </c>
      <c r="R1197">
        <v>0</v>
      </c>
      <c r="S1197">
        <v>1</v>
      </c>
      <c r="T1197">
        <v>1</v>
      </c>
      <c r="U1197">
        <v>1</v>
      </c>
      <c r="V1197">
        <v>0</v>
      </c>
      <c r="W1197" t="s">
        <v>1548</v>
      </c>
      <c r="AA1197">
        <v>2007</v>
      </c>
      <c r="AB1197">
        <v>9999</v>
      </c>
      <c r="AC1197" t="s">
        <v>35</v>
      </c>
    </row>
    <row r="1198" spans="1:29" x14ac:dyDescent="0.25">
      <c r="A1198" s="31" t="s">
        <v>503</v>
      </c>
      <c r="B1198" s="23" t="s">
        <v>504</v>
      </c>
      <c r="D1198">
        <v>1</v>
      </c>
      <c r="E1198" t="s">
        <v>348</v>
      </c>
      <c r="F1198">
        <v>1</v>
      </c>
      <c r="G1198">
        <v>2022</v>
      </c>
      <c r="I1198" s="8">
        <v>189.84</v>
      </c>
      <c r="J1198" t="s">
        <v>52</v>
      </c>
      <c r="K1198" t="s">
        <v>47</v>
      </c>
      <c r="O1198">
        <v>0</v>
      </c>
      <c r="P1198">
        <v>0</v>
      </c>
      <c r="Q1198">
        <v>0</v>
      </c>
      <c r="R1198">
        <v>0</v>
      </c>
      <c r="S1198">
        <v>1</v>
      </c>
      <c r="T1198">
        <v>1</v>
      </c>
      <c r="U1198">
        <v>1</v>
      </c>
      <c r="V1198">
        <v>0</v>
      </c>
      <c r="W1198" t="s">
        <v>1548</v>
      </c>
      <c r="AA1198">
        <v>2007</v>
      </c>
      <c r="AB1198">
        <v>9999</v>
      </c>
      <c r="AC1198" t="s">
        <v>35</v>
      </c>
    </row>
    <row r="1199" spans="1:29" x14ac:dyDescent="0.25">
      <c r="A1199" s="31" t="s">
        <v>505</v>
      </c>
      <c r="B1199" s="23" t="s">
        <v>506</v>
      </c>
      <c r="D1199">
        <v>1</v>
      </c>
      <c r="E1199" t="s">
        <v>348</v>
      </c>
      <c r="F1199">
        <v>1</v>
      </c>
      <c r="G1199">
        <v>2022</v>
      </c>
      <c r="I1199" s="8">
        <v>220.58</v>
      </c>
      <c r="J1199" t="s">
        <v>52</v>
      </c>
      <c r="K1199" t="s">
        <v>47</v>
      </c>
      <c r="O1199">
        <v>0</v>
      </c>
      <c r="P1199">
        <v>0</v>
      </c>
      <c r="Q1199">
        <v>0</v>
      </c>
      <c r="R1199">
        <v>0</v>
      </c>
      <c r="S1199">
        <v>1</v>
      </c>
      <c r="T1199">
        <v>1</v>
      </c>
      <c r="U1199">
        <v>1</v>
      </c>
      <c r="V1199">
        <v>0</v>
      </c>
      <c r="W1199" t="s">
        <v>1548</v>
      </c>
      <c r="AA1199">
        <v>2007</v>
      </c>
      <c r="AB1199">
        <v>9999</v>
      </c>
      <c r="AC1199" t="s">
        <v>35</v>
      </c>
    </row>
    <row r="1200" spans="1:29" x14ac:dyDescent="0.25">
      <c r="A1200" s="31" t="s">
        <v>507</v>
      </c>
      <c r="B1200" s="23" t="s">
        <v>508</v>
      </c>
      <c r="D1200">
        <v>1</v>
      </c>
      <c r="E1200" t="s">
        <v>348</v>
      </c>
      <c r="F1200">
        <v>1</v>
      </c>
      <c r="G1200">
        <v>2022</v>
      </c>
      <c r="I1200" s="8">
        <v>226.49</v>
      </c>
      <c r="J1200" t="s">
        <v>52</v>
      </c>
      <c r="K1200" t="s">
        <v>47</v>
      </c>
      <c r="O1200">
        <v>0</v>
      </c>
      <c r="P1200">
        <v>0</v>
      </c>
      <c r="Q1200">
        <v>0</v>
      </c>
      <c r="R1200">
        <v>0</v>
      </c>
      <c r="S1200">
        <v>1</v>
      </c>
      <c r="T1200">
        <v>1</v>
      </c>
      <c r="U1200">
        <v>1</v>
      </c>
      <c r="V1200">
        <v>0</v>
      </c>
      <c r="W1200" t="s">
        <v>1548</v>
      </c>
      <c r="AA1200">
        <v>2007</v>
      </c>
      <c r="AB1200">
        <v>9999</v>
      </c>
      <c r="AC1200" t="s">
        <v>35</v>
      </c>
    </row>
    <row r="1201" spans="1:29" x14ac:dyDescent="0.25">
      <c r="A1201" s="31" t="s">
        <v>509</v>
      </c>
      <c r="B1201" s="23" t="s">
        <v>510</v>
      </c>
      <c r="D1201">
        <v>1</v>
      </c>
      <c r="E1201" t="s">
        <v>348</v>
      </c>
      <c r="F1201">
        <v>1</v>
      </c>
      <c r="G1201">
        <v>2022</v>
      </c>
      <c r="I1201" s="8">
        <v>285.74</v>
      </c>
      <c r="J1201" t="s">
        <v>52</v>
      </c>
      <c r="K1201" t="s">
        <v>47</v>
      </c>
      <c r="O1201">
        <v>0</v>
      </c>
      <c r="P1201">
        <v>0</v>
      </c>
      <c r="Q1201">
        <v>0</v>
      </c>
      <c r="R1201">
        <v>0</v>
      </c>
      <c r="S1201">
        <v>1</v>
      </c>
      <c r="T1201">
        <v>1</v>
      </c>
      <c r="U1201">
        <v>1</v>
      </c>
      <c r="V1201">
        <v>0</v>
      </c>
      <c r="W1201" t="s">
        <v>1548</v>
      </c>
      <c r="AA1201">
        <v>2007</v>
      </c>
      <c r="AB1201">
        <v>9999</v>
      </c>
      <c r="AC1201" t="s">
        <v>35</v>
      </c>
    </row>
    <row r="1202" spans="1:29" x14ac:dyDescent="0.25">
      <c r="A1202" s="31" t="s">
        <v>511</v>
      </c>
      <c r="B1202" s="23" t="s">
        <v>512</v>
      </c>
      <c r="D1202">
        <v>1</v>
      </c>
      <c r="E1202" t="s">
        <v>348</v>
      </c>
      <c r="F1202">
        <v>1</v>
      </c>
      <c r="G1202">
        <v>2022</v>
      </c>
      <c r="I1202" s="8">
        <v>238.31</v>
      </c>
      <c r="J1202" t="s">
        <v>52</v>
      </c>
      <c r="K1202" t="s">
        <v>47</v>
      </c>
      <c r="O1202">
        <v>0</v>
      </c>
      <c r="P1202">
        <v>0</v>
      </c>
      <c r="Q1202">
        <v>0</v>
      </c>
      <c r="R1202">
        <v>0</v>
      </c>
      <c r="S1202">
        <v>1</v>
      </c>
      <c r="T1202">
        <v>1</v>
      </c>
      <c r="U1202">
        <v>1</v>
      </c>
      <c r="V1202">
        <v>0</v>
      </c>
      <c r="W1202" t="s">
        <v>1548</v>
      </c>
      <c r="AA1202">
        <v>2007</v>
      </c>
      <c r="AB1202">
        <v>9999</v>
      </c>
      <c r="AC1202" t="s">
        <v>35</v>
      </c>
    </row>
    <row r="1203" spans="1:29" x14ac:dyDescent="0.25">
      <c r="A1203" s="31" t="s">
        <v>513</v>
      </c>
      <c r="B1203" s="23" t="s">
        <v>514</v>
      </c>
      <c r="D1203">
        <v>1</v>
      </c>
      <c r="E1203" t="s">
        <v>348</v>
      </c>
      <c r="F1203">
        <v>1</v>
      </c>
      <c r="G1203">
        <v>2022</v>
      </c>
      <c r="I1203" s="8">
        <v>189.92</v>
      </c>
      <c r="J1203" t="s">
        <v>52</v>
      </c>
      <c r="K1203" t="s">
        <v>47</v>
      </c>
      <c r="O1203">
        <v>0</v>
      </c>
      <c r="P1203">
        <v>0</v>
      </c>
      <c r="Q1203">
        <v>0</v>
      </c>
      <c r="R1203">
        <v>0</v>
      </c>
      <c r="S1203">
        <v>1</v>
      </c>
      <c r="T1203">
        <v>1</v>
      </c>
      <c r="U1203">
        <v>1</v>
      </c>
      <c r="V1203">
        <v>0</v>
      </c>
      <c r="W1203" t="s">
        <v>1548</v>
      </c>
      <c r="AA1203">
        <v>2007</v>
      </c>
      <c r="AB1203">
        <v>9999</v>
      </c>
      <c r="AC1203" t="s">
        <v>35</v>
      </c>
    </row>
    <row r="1204" spans="1:29" x14ac:dyDescent="0.25">
      <c r="A1204" s="31" t="s">
        <v>515</v>
      </c>
      <c r="B1204" s="23" t="s">
        <v>516</v>
      </c>
      <c r="D1204">
        <v>1</v>
      </c>
      <c r="E1204" t="s">
        <v>348</v>
      </c>
      <c r="F1204">
        <v>1</v>
      </c>
      <c r="G1204">
        <v>2022</v>
      </c>
      <c r="I1204" s="8">
        <v>947.72</v>
      </c>
      <c r="J1204" t="s">
        <v>52</v>
      </c>
      <c r="K1204" t="s">
        <v>47</v>
      </c>
      <c r="O1204">
        <v>0</v>
      </c>
      <c r="P1204">
        <v>0</v>
      </c>
      <c r="Q1204">
        <v>0</v>
      </c>
      <c r="R1204">
        <v>0</v>
      </c>
      <c r="S1204">
        <v>1</v>
      </c>
      <c r="T1204">
        <v>1</v>
      </c>
      <c r="U1204">
        <v>1</v>
      </c>
      <c r="V1204">
        <v>0</v>
      </c>
      <c r="W1204" t="s">
        <v>1548</v>
      </c>
      <c r="AA1204">
        <v>2007</v>
      </c>
      <c r="AB1204">
        <v>9999</v>
      </c>
      <c r="AC1204" t="s">
        <v>35</v>
      </c>
    </row>
    <row r="1205" spans="1:29" x14ac:dyDescent="0.25">
      <c r="A1205" s="31" t="s">
        <v>517</v>
      </c>
      <c r="B1205" s="23" t="s">
        <v>518</v>
      </c>
      <c r="D1205">
        <v>1</v>
      </c>
      <c r="E1205" t="s">
        <v>348</v>
      </c>
      <c r="F1205">
        <v>1</v>
      </c>
      <c r="G1205">
        <v>2022</v>
      </c>
      <c r="I1205" s="8">
        <v>206.53</v>
      </c>
      <c r="J1205" t="s">
        <v>52</v>
      </c>
      <c r="K1205" t="s">
        <v>47</v>
      </c>
      <c r="O1205">
        <v>0</v>
      </c>
      <c r="P1205">
        <v>0</v>
      </c>
      <c r="Q1205">
        <v>0</v>
      </c>
      <c r="R1205">
        <v>0</v>
      </c>
      <c r="S1205">
        <v>1</v>
      </c>
      <c r="T1205">
        <v>1</v>
      </c>
      <c r="U1205">
        <v>1</v>
      </c>
      <c r="V1205">
        <v>0</v>
      </c>
      <c r="W1205" t="s">
        <v>1548</v>
      </c>
      <c r="AA1205">
        <v>2007</v>
      </c>
      <c r="AB1205">
        <v>9999</v>
      </c>
      <c r="AC1205" t="s">
        <v>35</v>
      </c>
    </row>
    <row r="1206" spans="1:29" x14ac:dyDescent="0.25">
      <c r="A1206" s="31" t="s">
        <v>519</v>
      </c>
      <c r="B1206" s="23" t="s">
        <v>520</v>
      </c>
      <c r="D1206">
        <v>1</v>
      </c>
      <c r="E1206" t="s">
        <v>348</v>
      </c>
      <c r="F1206">
        <v>1</v>
      </c>
      <c r="G1206">
        <v>2022</v>
      </c>
      <c r="I1206" s="8">
        <v>315.88</v>
      </c>
      <c r="J1206" t="s">
        <v>52</v>
      </c>
      <c r="K1206" t="s">
        <v>47</v>
      </c>
      <c r="O1206">
        <v>0</v>
      </c>
      <c r="P1206">
        <v>0</v>
      </c>
      <c r="Q1206">
        <v>0</v>
      </c>
      <c r="R1206">
        <v>0</v>
      </c>
      <c r="S1206">
        <v>1</v>
      </c>
      <c r="T1206">
        <v>1</v>
      </c>
      <c r="U1206">
        <v>1</v>
      </c>
      <c r="V1206">
        <v>0</v>
      </c>
      <c r="W1206" t="s">
        <v>1548</v>
      </c>
      <c r="AA1206">
        <v>2007</v>
      </c>
      <c r="AB1206">
        <v>9999</v>
      </c>
      <c r="AC1206" t="s">
        <v>35</v>
      </c>
    </row>
    <row r="1207" spans="1:29" x14ac:dyDescent="0.25">
      <c r="A1207" s="31" t="s">
        <v>523</v>
      </c>
      <c r="B1207" s="23" t="s">
        <v>1549</v>
      </c>
      <c r="D1207">
        <v>1</v>
      </c>
      <c r="E1207" t="s">
        <v>103</v>
      </c>
      <c r="F1207">
        <v>9</v>
      </c>
      <c r="G1207">
        <v>2022</v>
      </c>
      <c r="I1207" s="8">
        <v>1641.24</v>
      </c>
      <c r="J1207" t="s">
        <v>104</v>
      </c>
      <c r="K1207" t="s">
        <v>53</v>
      </c>
      <c r="L1207" t="s">
        <v>105</v>
      </c>
      <c r="O1207">
        <v>0</v>
      </c>
      <c r="P1207">
        <v>1</v>
      </c>
      <c r="Q1207">
        <v>0</v>
      </c>
      <c r="R1207">
        <v>0</v>
      </c>
      <c r="S1207">
        <v>1</v>
      </c>
      <c r="T1207">
        <v>1</v>
      </c>
      <c r="U1207">
        <v>1</v>
      </c>
      <c r="V1207">
        <v>0</v>
      </c>
      <c r="W1207" t="s">
        <v>106</v>
      </c>
      <c r="AA1207">
        <v>2007</v>
      </c>
      <c r="AB1207">
        <v>9999</v>
      </c>
      <c r="AC1207" t="s">
        <v>35</v>
      </c>
    </row>
    <row r="1208" spans="1:29" x14ac:dyDescent="0.25">
      <c r="A1208" s="31" t="s">
        <v>529</v>
      </c>
      <c r="B1208" s="23" t="s">
        <v>530</v>
      </c>
      <c r="D1208">
        <v>1</v>
      </c>
      <c r="E1208" t="s">
        <v>58</v>
      </c>
      <c r="F1208">
        <v>4</v>
      </c>
      <c r="G1208">
        <v>2022</v>
      </c>
      <c r="I1208" s="8">
        <v>10</v>
      </c>
      <c r="J1208" t="s">
        <v>59</v>
      </c>
      <c r="K1208" t="s">
        <v>47</v>
      </c>
      <c r="O1208">
        <v>0</v>
      </c>
      <c r="P1208">
        <v>0</v>
      </c>
      <c r="Q1208">
        <v>0</v>
      </c>
      <c r="R1208">
        <v>0</v>
      </c>
      <c r="S1208">
        <v>1</v>
      </c>
      <c r="T1208">
        <v>1</v>
      </c>
      <c r="U1208">
        <v>1</v>
      </c>
      <c r="V1208">
        <v>0</v>
      </c>
      <c r="W1208" t="s">
        <v>1121</v>
      </c>
      <c r="AA1208">
        <v>2007</v>
      </c>
      <c r="AB1208">
        <v>9999</v>
      </c>
      <c r="AC1208" t="s">
        <v>35</v>
      </c>
    </row>
    <row r="1209" spans="1:29" x14ac:dyDescent="0.25">
      <c r="A1209" s="31" t="s">
        <v>532</v>
      </c>
      <c r="B1209" s="23" t="s">
        <v>533</v>
      </c>
      <c r="D1209">
        <v>1</v>
      </c>
      <c r="E1209" t="s">
        <v>534</v>
      </c>
      <c r="F1209">
        <v>10</v>
      </c>
      <c r="G1209">
        <v>2022</v>
      </c>
      <c r="I1209" s="8">
        <v>4489.8999999999996</v>
      </c>
      <c r="J1209" t="s">
        <v>121</v>
      </c>
      <c r="K1209" t="s">
        <v>47</v>
      </c>
      <c r="O1209">
        <v>0</v>
      </c>
      <c r="P1209">
        <v>0</v>
      </c>
      <c r="Q1209">
        <v>0</v>
      </c>
      <c r="R1209">
        <v>0</v>
      </c>
      <c r="S1209">
        <v>1</v>
      </c>
      <c r="T1209">
        <v>1</v>
      </c>
      <c r="U1209">
        <v>1</v>
      </c>
      <c r="V1209">
        <v>0</v>
      </c>
      <c r="W1209" t="s">
        <v>1575</v>
      </c>
      <c r="AA1209">
        <v>2007</v>
      </c>
      <c r="AB1209">
        <v>9999</v>
      </c>
      <c r="AC1209" t="s">
        <v>35</v>
      </c>
    </row>
    <row r="1210" spans="1:29" x14ac:dyDescent="0.25">
      <c r="A1210" s="31" t="s">
        <v>536</v>
      </c>
      <c r="B1210" s="23" t="s">
        <v>537</v>
      </c>
      <c r="D1210">
        <v>1</v>
      </c>
      <c r="E1210" t="s">
        <v>103</v>
      </c>
      <c r="F1210">
        <v>9</v>
      </c>
      <c r="G1210">
        <v>2022</v>
      </c>
      <c r="I1210" s="8">
        <v>937.1</v>
      </c>
      <c r="J1210" t="s">
        <v>104</v>
      </c>
      <c r="K1210" t="s">
        <v>53</v>
      </c>
      <c r="L1210" t="s">
        <v>105</v>
      </c>
      <c r="O1210">
        <v>0</v>
      </c>
      <c r="P1210">
        <v>1</v>
      </c>
      <c r="Q1210">
        <v>0</v>
      </c>
      <c r="R1210">
        <v>0</v>
      </c>
      <c r="S1210">
        <v>1</v>
      </c>
      <c r="T1210">
        <v>1</v>
      </c>
      <c r="U1210">
        <v>1</v>
      </c>
      <c r="V1210">
        <v>0</v>
      </c>
      <c r="W1210" t="s">
        <v>106</v>
      </c>
      <c r="AA1210">
        <v>2007</v>
      </c>
      <c r="AB1210">
        <v>9999</v>
      </c>
      <c r="AC1210" t="s">
        <v>35</v>
      </c>
    </row>
    <row r="1211" spans="1:29" x14ac:dyDescent="0.25">
      <c r="A1211" s="31" t="s">
        <v>538</v>
      </c>
      <c r="B1211" s="23" t="s">
        <v>539</v>
      </c>
      <c r="D1211">
        <v>1</v>
      </c>
      <c r="E1211" t="s">
        <v>80</v>
      </c>
      <c r="F1211">
        <v>8</v>
      </c>
      <c r="G1211">
        <v>2022</v>
      </c>
      <c r="I1211" s="8">
        <v>125.71</v>
      </c>
      <c r="J1211" t="s">
        <v>81</v>
      </c>
      <c r="K1211" t="s">
        <v>47</v>
      </c>
      <c r="O1211">
        <v>0</v>
      </c>
      <c r="P1211">
        <v>0</v>
      </c>
      <c r="Q1211">
        <v>0</v>
      </c>
      <c r="R1211">
        <v>0</v>
      </c>
      <c r="S1211">
        <v>1</v>
      </c>
      <c r="T1211">
        <v>1</v>
      </c>
      <c r="U1211">
        <v>1</v>
      </c>
      <c r="V1211">
        <v>0</v>
      </c>
      <c r="W1211" t="s">
        <v>1123</v>
      </c>
      <c r="AA1211">
        <v>2007</v>
      </c>
      <c r="AB1211">
        <v>9999</v>
      </c>
      <c r="AC1211" t="s">
        <v>35</v>
      </c>
    </row>
    <row r="1212" spans="1:29" x14ac:dyDescent="0.25">
      <c r="A1212" s="31" t="s">
        <v>1561</v>
      </c>
      <c r="B1212" s="23" t="s">
        <v>1562</v>
      </c>
      <c r="C1212" t="s">
        <v>1563</v>
      </c>
      <c r="D1212">
        <v>1</v>
      </c>
      <c r="F1212">
        <v>4</v>
      </c>
      <c r="G1212">
        <v>2022</v>
      </c>
      <c r="I1212" s="8">
        <v>19.45</v>
      </c>
      <c r="J1212" t="s">
        <v>59</v>
      </c>
      <c r="K1212" t="s">
        <v>47</v>
      </c>
      <c r="O1212">
        <v>0</v>
      </c>
      <c r="P1212">
        <v>0</v>
      </c>
      <c r="Q1212">
        <v>0</v>
      </c>
      <c r="R1212">
        <v>0</v>
      </c>
      <c r="S1212">
        <v>1</v>
      </c>
      <c r="T1212">
        <v>1</v>
      </c>
      <c r="U1212">
        <v>1</v>
      </c>
      <c r="V1212">
        <v>0</v>
      </c>
      <c r="W1212" t="s">
        <v>1564</v>
      </c>
      <c r="AA1212">
        <v>2019</v>
      </c>
      <c r="AB1212">
        <v>9999</v>
      </c>
      <c r="AC1212" t="s">
        <v>1560</v>
      </c>
    </row>
    <row r="1213" spans="1:29" x14ac:dyDescent="0.25">
      <c r="A1213" s="31" t="s">
        <v>541</v>
      </c>
      <c r="B1213" s="23" t="s">
        <v>1479</v>
      </c>
      <c r="D1213">
        <v>1</v>
      </c>
      <c r="E1213" t="s">
        <v>543</v>
      </c>
      <c r="F1213">
        <v>10</v>
      </c>
      <c r="G1213">
        <v>2022</v>
      </c>
      <c r="I1213" s="8">
        <v>33.6</v>
      </c>
      <c r="J1213" t="s">
        <v>40</v>
      </c>
      <c r="K1213" t="s">
        <v>47</v>
      </c>
      <c r="O1213">
        <v>0</v>
      </c>
      <c r="P1213">
        <v>0</v>
      </c>
      <c r="Q1213">
        <v>0</v>
      </c>
      <c r="R1213">
        <v>0</v>
      </c>
      <c r="S1213">
        <v>1</v>
      </c>
      <c r="T1213">
        <v>1</v>
      </c>
      <c r="U1213">
        <v>1</v>
      </c>
      <c r="V1213">
        <v>0</v>
      </c>
      <c r="W1213" t="s">
        <v>1480</v>
      </c>
      <c r="AA1213">
        <v>2007</v>
      </c>
      <c r="AB1213">
        <v>9999</v>
      </c>
      <c r="AC1213" t="s">
        <v>35</v>
      </c>
    </row>
    <row r="1214" spans="1:29" x14ac:dyDescent="0.25">
      <c r="A1214" s="31" t="s">
        <v>1565</v>
      </c>
      <c r="B1214" s="23" t="s">
        <v>1566</v>
      </c>
      <c r="C1214" t="s">
        <v>1567</v>
      </c>
      <c r="D1214">
        <v>1</v>
      </c>
      <c r="F1214">
        <v>1</v>
      </c>
      <c r="G1214">
        <v>2022</v>
      </c>
      <c r="I1214" s="8">
        <v>104.6</v>
      </c>
      <c r="J1214" t="s">
        <v>1556</v>
      </c>
      <c r="K1214" t="s">
        <v>47</v>
      </c>
      <c r="O1214">
        <v>0</v>
      </c>
      <c r="P1214">
        <v>0</v>
      </c>
      <c r="Q1214">
        <v>0</v>
      </c>
      <c r="R1214">
        <v>0</v>
      </c>
      <c r="S1214">
        <v>1</v>
      </c>
      <c r="T1214">
        <v>1</v>
      </c>
      <c r="U1214">
        <v>1</v>
      </c>
      <c r="V1214">
        <v>0</v>
      </c>
      <c r="W1214" t="s">
        <v>1568</v>
      </c>
      <c r="AA1214">
        <v>2019</v>
      </c>
      <c r="AB1214">
        <v>9999</v>
      </c>
      <c r="AC1214" t="s">
        <v>1560</v>
      </c>
    </row>
    <row r="1215" spans="1:29" x14ac:dyDescent="0.25">
      <c r="A1215" s="31" t="s">
        <v>545</v>
      </c>
      <c r="B1215" s="23" t="s">
        <v>1481</v>
      </c>
      <c r="C1215" t="s">
        <v>1482</v>
      </c>
      <c r="D1215">
        <v>1</v>
      </c>
      <c r="E1215" t="s">
        <v>1361</v>
      </c>
      <c r="F1215">
        <v>10</v>
      </c>
      <c r="G1215">
        <v>2022</v>
      </c>
      <c r="I1215" s="8">
        <v>34.450000000000003</v>
      </c>
      <c r="J1215" t="s">
        <v>40</v>
      </c>
      <c r="K1215" t="s">
        <v>47</v>
      </c>
      <c r="O1215">
        <v>0</v>
      </c>
      <c r="P1215">
        <v>0</v>
      </c>
      <c r="Q1215">
        <v>0</v>
      </c>
      <c r="R1215">
        <v>0</v>
      </c>
      <c r="S1215">
        <v>1</v>
      </c>
      <c r="T1215">
        <v>1</v>
      </c>
      <c r="U1215">
        <v>1</v>
      </c>
      <c r="V1215">
        <v>0</v>
      </c>
      <c r="W1215" t="s">
        <v>1550</v>
      </c>
      <c r="AA1215">
        <v>2007</v>
      </c>
      <c r="AB1215">
        <v>9999</v>
      </c>
      <c r="AC1215" t="s">
        <v>35</v>
      </c>
    </row>
    <row r="1216" spans="1:29" x14ac:dyDescent="0.25">
      <c r="A1216" s="31" t="s">
        <v>1400</v>
      </c>
      <c r="B1216" s="23" t="s">
        <v>1401</v>
      </c>
      <c r="D1216">
        <v>1</v>
      </c>
      <c r="E1216" t="s">
        <v>80</v>
      </c>
      <c r="F1216">
        <v>8</v>
      </c>
      <c r="G1216">
        <v>2022</v>
      </c>
      <c r="I1216" s="8">
        <v>13.4</v>
      </c>
      <c r="J1216" t="s">
        <v>81</v>
      </c>
      <c r="K1216" t="s">
        <v>47</v>
      </c>
      <c r="O1216">
        <v>0</v>
      </c>
      <c r="P1216">
        <v>0</v>
      </c>
      <c r="Q1216">
        <v>0</v>
      </c>
      <c r="R1216">
        <v>0</v>
      </c>
      <c r="S1216">
        <v>1</v>
      </c>
      <c r="T1216">
        <v>1</v>
      </c>
      <c r="U1216">
        <v>1</v>
      </c>
      <c r="V1216">
        <v>0</v>
      </c>
      <c r="W1216" t="s">
        <v>1402</v>
      </c>
      <c r="AA1216">
        <v>2012</v>
      </c>
      <c r="AB1216">
        <v>9999</v>
      </c>
      <c r="AC1216" t="s">
        <v>1398</v>
      </c>
    </row>
    <row r="1217" spans="1:29" x14ac:dyDescent="0.25">
      <c r="A1217" s="31" t="s">
        <v>1362</v>
      </c>
      <c r="B1217" s="23" t="s">
        <v>1483</v>
      </c>
      <c r="D1217">
        <v>1</v>
      </c>
      <c r="E1217" t="s">
        <v>631</v>
      </c>
      <c r="F1217">
        <v>8</v>
      </c>
      <c r="G1217">
        <v>2022</v>
      </c>
      <c r="I1217" s="8">
        <v>37.299999999999997</v>
      </c>
      <c r="J1217" t="s">
        <v>81</v>
      </c>
      <c r="K1217" t="s">
        <v>47</v>
      </c>
      <c r="O1217">
        <v>0</v>
      </c>
      <c r="P1217">
        <v>0</v>
      </c>
      <c r="Q1217">
        <v>0</v>
      </c>
      <c r="R1217">
        <v>0</v>
      </c>
      <c r="S1217">
        <v>1</v>
      </c>
      <c r="T1217">
        <v>1</v>
      </c>
      <c r="U1217">
        <v>1</v>
      </c>
      <c r="V1217">
        <v>0</v>
      </c>
      <c r="W1217" t="s">
        <v>1584</v>
      </c>
      <c r="AA1217">
        <v>2011</v>
      </c>
      <c r="AB1217">
        <v>9999</v>
      </c>
      <c r="AC1217" t="s">
        <v>1365</v>
      </c>
    </row>
    <row r="1218" spans="1:29" x14ac:dyDescent="0.25">
      <c r="A1218" s="31" t="s">
        <v>1596</v>
      </c>
      <c r="B1218" s="23" t="s">
        <v>1597</v>
      </c>
      <c r="D1218">
        <v>1</v>
      </c>
      <c r="E1218" s="5" t="s">
        <v>1251</v>
      </c>
      <c r="F1218">
        <v>2</v>
      </c>
      <c r="G1218">
        <v>2022</v>
      </c>
      <c r="I1218" s="8">
        <v>35.799999999999997</v>
      </c>
      <c r="J1218" t="s">
        <v>121</v>
      </c>
      <c r="K1218" t="s">
        <v>47</v>
      </c>
      <c r="O1218">
        <v>0</v>
      </c>
      <c r="P1218">
        <v>0</v>
      </c>
      <c r="Q1218">
        <v>0</v>
      </c>
      <c r="R1218">
        <v>0</v>
      </c>
      <c r="S1218">
        <v>0</v>
      </c>
      <c r="T1218">
        <v>0</v>
      </c>
      <c r="U1218">
        <v>0</v>
      </c>
      <c r="V1218">
        <v>0</v>
      </c>
      <c r="W1218" t="s">
        <v>1598</v>
      </c>
      <c r="AA1218">
        <v>2022</v>
      </c>
      <c r="AB1218">
        <v>9999</v>
      </c>
      <c r="AC1218" t="s">
        <v>1591</v>
      </c>
    </row>
    <row r="1219" spans="1:29" x14ac:dyDescent="0.25">
      <c r="A1219" s="31" t="s">
        <v>1248</v>
      </c>
      <c r="B1219" s="23" t="s">
        <v>1249</v>
      </c>
      <c r="C1219" t="s">
        <v>1250</v>
      </c>
      <c r="D1219">
        <v>1</v>
      </c>
      <c r="E1219" t="s">
        <v>1251</v>
      </c>
      <c r="F1219">
        <v>2</v>
      </c>
      <c r="G1219">
        <v>2022</v>
      </c>
      <c r="I1219" s="8">
        <v>1086.31</v>
      </c>
      <c r="J1219" t="s">
        <v>121</v>
      </c>
      <c r="K1219" t="s">
        <v>47</v>
      </c>
      <c r="O1219">
        <v>0</v>
      </c>
      <c r="P1219">
        <v>0</v>
      </c>
      <c r="Q1219">
        <v>0</v>
      </c>
      <c r="R1219">
        <v>0</v>
      </c>
      <c r="S1219">
        <v>1</v>
      </c>
      <c r="T1219">
        <v>1</v>
      </c>
      <c r="U1219">
        <v>1</v>
      </c>
      <c r="V1219">
        <v>0</v>
      </c>
      <c r="W1219" t="s">
        <v>1252</v>
      </c>
      <c r="AA1219">
        <v>2009</v>
      </c>
      <c r="AB1219">
        <v>9999</v>
      </c>
      <c r="AC1219" t="s">
        <v>1239</v>
      </c>
    </row>
    <row r="1220" spans="1:29" x14ac:dyDescent="0.25">
      <c r="A1220" s="31" t="s">
        <v>590</v>
      </c>
      <c r="B1220" s="23" t="s">
        <v>1551</v>
      </c>
      <c r="C1220" t="s">
        <v>1552</v>
      </c>
      <c r="D1220">
        <v>1</v>
      </c>
      <c r="E1220" t="s">
        <v>592</v>
      </c>
      <c r="F1220">
        <v>8</v>
      </c>
      <c r="G1220">
        <v>2022</v>
      </c>
      <c r="I1220" s="8">
        <v>10.18</v>
      </c>
      <c r="J1220" t="s">
        <v>81</v>
      </c>
      <c r="K1220" t="s">
        <v>47</v>
      </c>
      <c r="O1220">
        <v>0</v>
      </c>
      <c r="P1220">
        <v>0</v>
      </c>
      <c r="Q1220">
        <v>0</v>
      </c>
      <c r="R1220">
        <v>0</v>
      </c>
      <c r="S1220">
        <v>1</v>
      </c>
      <c r="T1220">
        <v>1</v>
      </c>
      <c r="U1220">
        <v>1</v>
      </c>
      <c r="V1220">
        <v>0</v>
      </c>
      <c r="W1220" t="s">
        <v>1553</v>
      </c>
      <c r="AA1220">
        <v>2007</v>
      </c>
      <c r="AB1220">
        <v>9999</v>
      </c>
      <c r="AC1220" t="s">
        <v>35</v>
      </c>
    </row>
    <row r="1221" spans="1:29" x14ac:dyDescent="0.25">
      <c r="A1221" s="31" t="s">
        <v>939</v>
      </c>
      <c r="B1221" s="23" t="s">
        <v>1463</v>
      </c>
      <c r="D1221">
        <v>1</v>
      </c>
      <c r="E1221" t="s">
        <v>80</v>
      </c>
      <c r="F1221">
        <v>8</v>
      </c>
      <c r="G1221">
        <v>2022</v>
      </c>
      <c r="I1221" s="8">
        <v>76.5</v>
      </c>
      <c r="J1221" t="s">
        <v>81</v>
      </c>
      <c r="K1221" t="s">
        <v>47</v>
      </c>
      <c r="O1221">
        <v>0</v>
      </c>
      <c r="P1221">
        <v>0</v>
      </c>
      <c r="Q1221">
        <v>0</v>
      </c>
      <c r="R1221">
        <v>0</v>
      </c>
      <c r="S1221">
        <v>1</v>
      </c>
      <c r="T1221">
        <v>1</v>
      </c>
      <c r="U1221">
        <v>1</v>
      </c>
      <c r="V1221">
        <v>0</v>
      </c>
      <c r="W1221" t="s">
        <v>1464</v>
      </c>
      <c r="AA1221">
        <v>2007</v>
      </c>
      <c r="AB1221">
        <v>9999</v>
      </c>
      <c r="AC1221" t="s">
        <v>35</v>
      </c>
    </row>
    <row r="1222" spans="1:29" ht="30" x14ac:dyDescent="0.25">
      <c r="A1222" s="31" t="s">
        <v>1305</v>
      </c>
      <c r="B1222" s="23" t="s">
        <v>1306</v>
      </c>
      <c r="C1222" t="s">
        <v>1307</v>
      </c>
      <c r="D1222">
        <v>1</v>
      </c>
      <c r="E1222" t="s">
        <v>45</v>
      </c>
      <c r="F1222">
        <v>4</v>
      </c>
      <c r="G1222">
        <v>2022</v>
      </c>
      <c r="I1222" s="8">
        <v>40.6</v>
      </c>
      <c r="J1222" t="s">
        <v>89</v>
      </c>
      <c r="K1222" t="s">
        <v>47</v>
      </c>
      <c r="O1222">
        <v>0</v>
      </c>
      <c r="P1222">
        <v>0</v>
      </c>
      <c r="Q1222">
        <v>0</v>
      </c>
      <c r="R1222">
        <v>0</v>
      </c>
      <c r="S1222">
        <v>1</v>
      </c>
      <c r="T1222">
        <v>1</v>
      </c>
      <c r="U1222">
        <v>1</v>
      </c>
      <c r="V1222">
        <v>0</v>
      </c>
      <c r="W1222" t="s">
        <v>1526</v>
      </c>
      <c r="AA1222">
        <v>2010</v>
      </c>
      <c r="AB1222">
        <v>9999</v>
      </c>
      <c r="AC1222" t="s">
        <v>1292</v>
      </c>
    </row>
    <row r="1223" spans="1:29" x14ac:dyDescent="0.25">
      <c r="A1223" s="31" t="s">
        <v>964</v>
      </c>
      <c r="B1223" s="23" t="s">
        <v>1484</v>
      </c>
      <c r="C1223" t="s">
        <v>1599</v>
      </c>
      <c r="D1223">
        <v>1</v>
      </c>
      <c r="E1223" t="s">
        <v>80</v>
      </c>
      <c r="F1223">
        <v>8</v>
      </c>
      <c r="G1223">
        <v>2022</v>
      </c>
      <c r="I1223" s="8">
        <v>93.74</v>
      </c>
      <c r="J1223" t="s">
        <v>81</v>
      </c>
      <c r="K1223" t="s">
        <v>47</v>
      </c>
      <c r="O1223">
        <v>0</v>
      </c>
      <c r="P1223">
        <v>0</v>
      </c>
      <c r="Q1223">
        <v>0</v>
      </c>
      <c r="R1223">
        <v>0</v>
      </c>
      <c r="S1223">
        <v>1</v>
      </c>
      <c r="T1223">
        <v>1</v>
      </c>
      <c r="U1223">
        <v>1</v>
      </c>
      <c r="V1223">
        <v>0</v>
      </c>
      <c r="W1223" t="s">
        <v>1569</v>
      </c>
      <c r="AA1223">
        <v>2007</v>
      </c>
      <c r="AB1223">
        <v>9999</v>
      </c>
      <c r="AC1223" t="s">
        <v>35</v>
      </c>
    </row>
    <row r="1224" spans="1:29" x14ac:dyDescent="0.25">
      <c r="A1224" s="31" t="s">
        <v>1366</v>
      </c>
      <c r="B1224" s="23" t="s">
        <v>1487</v>
      </c>
      <c r="C1224" t="s">
        <v>1368</v>
      </c>
      <c r="D1224">
        <v>1</v>
      </c>
      <c r="E1224" t="s">
        <v>468</v>
      </c>
      <c r="F1224">
        <v>7</v>
      </c>
      <c r="G1224">
        <v>2022</v>
      </c>
      <c r="I1224" s="8">
        <v>42.28</v>
      </c>
      <c r="J1224" t="s">
        <v>40</v>
      </c>
      <c r="K1224" t="s">
        <v>32</v>
      </c>
      <c r="O1224">
        <v>0</v>
      </c>
      <c r="P1224">
        <v>0</v>
      </c>
      <c r="Q1224">
        <v>0</v>
      </c>
      <c r="R1224">
        <v>0</v>
      </c>
      <c r="S1224">
        <v>1</v>
      </c>
      <c r="T1224">
        <v>1</v>
      </c>
      <c r="U1224">
        <v>1</v>
      </c>
      <c r="V1224">
        <v>0</v>
      </c>
      <c r="W1224" t="s">
        <v>1369</v>
      </c>
      <c r="AA1224">
        <v>2011</v>
      </c>
      <c r="AB1224">
        <v>9999</v>
      </c>
      <c r="AC1224" t="s">
        <v>1365</v>
      </c>
    </row>
    <row r="1225" spans="1:29" x14ac:dyDescent="0.25">
      <c r="A1225" s="31" t="s">
        <v>1309</v>
      </c>
      <c r="B1225" s="23" t="s">
        <v>1310</v>
      </c>
      <c r="C1225" t="s">
        <v>1311</v>
      </c>
      <c r="D1225">
        <v>1</v>
      </c>
      <c r="E1225" t="s">
        <v>1312</v>
      </c>
      <c r="F1225">
        <v>9</v>
      </c>
      <c r="G1225">
        <v>2022</v>
      </c>
      <c r="I1225" s="8">
        <v>126.74</v>
      </c>
      <c r="J1225" t="s">
        <v>104</v>
      </c>
      <c r="K1225" t="s">
        <v>47</v>
      </c>
      <c r="O1225">
        <v>0</v>
      </c>
      <c r="P1225">
        <v>0</v>
      </c>
      <c r="Q1225">
        <v>0</v>
      </c>
      <c r="R1225">
        <v>0</v>
      </c>
      <c r="S1225">
        <v>1</v>
      </c>
      <c r="T1225">
        <v>1</v>
      </c>
      <c r="U1225">
        <v>1</v>
      </c>
      <c r="V1225">
        <v>0</v>
      </c>
      <c r="W1225" t="s">
        <v>1404</v>
      </c>
      <c r="AA1225">
        <v>2010</v>
      </c>
      <c r="AB1225">
        <v>9999</v>
      </c>
      <c r="AC1225" t="s">
        <v>1292</v>
      </c>
    </row>
    <row r="1226" spans="1:29" x14ac:dyDescent="0.25">
      <c r="A1226" s="31" t="s">
        <v>559</v>
      </c>
      <c r="B1226" s="23" t="s">
        <v>1600</v>
      </c>
      <c r="C1226" t="s">
        <v>1601</v>
      </c>
      <c r="D1226">
        <v>1</v>
      </c>
      <c r="E1226" t="s">
        <v>103</v>
      </c>
      <c r="F1226">
        <v>9</v>
      </c>
      <c r="G1226">
        <v>2022</v>
      </c>
      <c r="I1226" s="8">
        <v>933.2</v>
      </c>
      <c r="J1226" t="s">
        <v>104</v>
      </c>
      <c r="K1226" t="s">
        <v>53</v>
      </c>
      <c r="L1226" t="s">
        <v>105</v>
      </c>
      <c r="O1226">
        <v>0</v>
      </c>
      <c r="P1226">
        <v>1</v>
      </c>
      <c r="Q1226">
        <v>0</v>
      </c>
      <c r="R1226">
        <v>0</v>
      </c>
      <c r="S1226">
        <v>1</v>
      </c>
      <c r="T1226">
        <v>1</v>
      </c>
      <c r="U1226">
        <v>1</v>
      </c>
      <c r="V1226">
        <v>0</v>
      </c>
      <c r="W1226" t="s">
        <v>106</v>
      </c>
      <c r="AA1226">
        <v>2007</v>
      </c>
      <c r="AB1226">
        <v>9999</v>
      </c>
      <c r="AC1226" t="s">
        <v>35</v>
      </c>
    </row>
    <row r="1227" spans="1:29" x14ac:dyDescent="0.25">
      <c r="A1227" s="31" t="s">
        <v>562</v>
      </c>
      <c r="B1227" s="23" t="s">
        <v>1554</v>
      </c>
      <c r="D1227">
        <v>1</v>
      </c>
      <c r="E1227" t="s">
        <v>80</v>
      </c>
      <c r="F1227">
        <v>8</v>
      </c>
      <c r="G1227">
        <v>2022</v>
      </c>
      <c r="I1227" s="8">
        <v>121.29</v>
      </c>
      <c r="J1227" t="s">
        <v>81</v>
      </c>
      <c r="K1227" t="s">
        <v>47</v>
      </c>
      <c r="O1227">
        <v>0</v>
      </c>
      <c r="P1227">
        <v>0</v>
      </c>
      <c r="Q1227">
        <v>0</v>
      </c>
      <c r="R1227">
        <v>0</v>
      </c>
      <c r="S1227">
        <v>1</v>
      </c>
      <c r="T1227">
        <v>1</v>
      </c>
      <c r="U1227">
        <v>1</v>
      </c>
      <c r="V1227">
        <v>0</v>
      </c>
      <c r="W1227" t="s">
        <v>1128</v>
      </c>
      <c r="AA1227">
        <v>2007</v>
      </c>
      <c r="AB1227">
        <v>9999</v>
      </c>
      <c r="AC1227" t="s">
        <v>35</v>
      </c>
    </row>
    <row r="1228" spans="1:29" x14ac:dyDescent="0.25">
      <c r="A1228" s="31" t="s">
        <v>568</v>
      </c>
      <c r="B1228" s="23" t="s">
        <v>569</v>
      </c>
      <c r="D1228">
        <v>1</v>
      </c>
      <c r="E1228" t="s">
        <v>80</v>
      </c>
      <c r="F1228">
        <v>8</v>
      </c>
      <c r="G1228">
        <v>2022</v>
      </c>
      <c r="I1228" s="8">
        <v>210.94</v>
      </c>
      <c r="J1228" t="s">
        <v>81</v>
      </c>
      <c r="K1228" t="s">
        <v>47</v>
      </c>
      <c r="O1228">
        <v>0</v>
      </c>
      <c r="P1228">
        <v>0</v>
      </c>
      <c r="Q1228">
        <v>0</v>
      </c>
      <c r="R1228">
        <v>0</v>
      </c>
      <c r="S1228">
        <v>1</v>
      </c>
      <c r="T1228">
        <v>1</v>
      </c>
      <c r="U1228">
        <v>1</v>
      </c>
      <c r="V1228">
        <v>0</v>
      </c>
      <c r="W1228" t="s">
        <v>1129</v>
      </c>
      <c r="AA1228">
        <v>2007</v>
      </c>
      <c r="AB1228">
        <v>9999</v>
      </c>
      <c r="AC1228" t="s">
        <v>35</v>
      </c>
    </row>
    <row r="1229" spans="1:29" x14ac:dyDescent="0.25">
      <c r="A1229" s="31" t="s">
        <v>571</v>
      </c>
      <c r="B1229" s="23" t="s">
        <v>572</v>
      </c>
      <c r="D1229">
        <v>1</v>
      </c>
      <c r="E1229" t="s">
        <v>370</v>
      </c>
      <c r="F1229">
        <v>5</v>
      </c>
      <c r="G1229">
        <v>2022</v>
      </c>
      <c r="I1229" s="8">
        <v>685.05</v>
      </c>
      <c r="J1229" t="s">
        <v>31</v>
      </c>
      <c r="K1229" t="s">
        <v>47</v>
      </c>
      <c r="O1229">
        <v>0</v>
      </c>
      <c r="P1229">
        <v>0</v>
      </c>
      <c r="Q1229">
        <v>0</v>
      </c>
      <c r="R1229">
        <v>0</v>
      </c>
      <c r="S1229">
        <v>1</v>
      </c>
      <c r="T1229">
        <v>1</v>
      </c>
      <c r="U1229">
        <v>1</v>
      </c>
      <c r="V1229">
        <v>0</v>
      </c>
      <c r="W1229" t="s">
        <v>1430</v>
      </c>
      <c r="AA1229">
        <v>2007</v>
      </c>
      <c r="AB1229">
        <v>9999</v>
      </c>
      <c r="AC1229" t="s">
        <v>35</v>
      </c>
    </row>
    <row r="1230" spans="1:29" x14ac:dyDescent="0.25">
      <c r="A1230" s="31" t="s">
        <v>574</v>
      </c>
      <c r="B1230" s="23" t="s">
        <v>575</v>
      </c>
      <c r="D1230">
        <v>1</v>
      </c>
      <c r="E1230" t="s">
        <v>222</v>
      </c>
      <c r="F1230">
        <v>1</v>
      </c>
      <c r="G1230">
        <v>2022</v>
      </c>
      <c r="I1230" s="8">
        <v>30.65</v>
      </c>
      <c r="J1230" t="s">
        <v>176</v>
      </c>
      <c r="K1230" t="s">
        <v>47</v>
      </c>
      <c r="O1230">
        <v>0</v>
      </c>
      <c r="P1230">
        <v>0</v>
      </c>
      <c r="Q1230">
        <v>0</v>
      </c>
      <c r="R1230">
        <v>0</v>
      </c>
      <c r="S1230">
        <v>1</v>
      </c>
      <c r="T1230">
        <v>1</v>
      </c>
      <c r="U1230">
        <v>1</v>
      </c>
      <c r="V1230">
        <v>0</v>
      </c>
      <c r="W1230" t="s">
        <v>1602</v>
      </c>
      <c r="AA1230">
        <v>2007</v>
      </c>
      <c r="AB1230">
        <v>9999</v>
      </c>
      <c r="AC1230" t="s">
        <v>35</v>
      </c>
    </row>
    <row r="1231" spans="1:29" x14ac:dyDescent="0.25">
      <c r="A1231" s="31" t="s">
        <v>577</v>
      </c>
      <c r="B1231" s="23" t="s">
        <v>578</v>
      </c>
      <c r="D1231">
        <v>1</v>
      </c>
      <c r="E1231" t="s">
        <v>396</v>
      </c>
      <c r="F1231">
        <v>3</v>
      </c>
      <c r="G1231">
        <v>2022</v>
      </c>
      <c r="H1231" t="s">
        <v>579</v>
      </c>
      <c r="I1231" s="15">
        <v>0.15</v>
      </c>
      <c r="J1231" t="s">
        <v>121</v>
      </c>
      <c r="K1231" t="s">
        <v>41</v>
      </c>
      <c r="O1231">
        <v>0</v>
      </c>
      <c r="P1231">
        <v>0</v>
      </c>
      <c r="Q1231">
        <v>0</v>
      </c>
      <c r="R1231">
        <v>0</v>
      </c>
      <c r="S1231">
        <v>0</v>
      </c>
      <c r="T1231">
        <v>0</v>
      </c>
      <c r="U1231">
        <v>0</v>
      </c>
      <c r="V1231">
        <v>0</v>
      </c>
      <c r="W1231" t="s">
        <v>1132</v>
      </c>
      <c r="AA1231">
        <v>2007</v>
      </c>
      <c r="AB1231">
        <v>9999</v>
      </c>
      <c r="AC1231" t="s">
        <v>35</v>
      </c>
    </row>
    <row r="1232" spans="1:29" x14ac:dyDescent="0.25">
      <c r="A1232" s="31" t="s">
        <v>581</v>
      </c>
      <c r="B1232" s="23" t="s">
        <v>582</v>
      </c>
      <c r="D1232">
        <v>1</v>
      </c>
      <c r="E1232" t="s">
        <v>80</v>
      </c>
      <c r="F1232">
        <v>8</v>
      </c>
      <c r="G1232">
        <v>2022</v>
      </c>
      <c r="H1232" t="s">
        <v>1315</v>
      </c>
      <c r="I1232" s="15">
        <v>2.8</v>
      </c>
      <c r="J1232" t="s">
        <v>81</v>
      </c>
      <c r="K1232" t="s">
        <v>41</v>
      </c>
      <c r="O1232">
        <v>0</v>
      </c>
      <c r="P1232">
        <v>0</v>
      </c>
      <c r="Q1232">
        <v>0</v>
      </c>
      <c r="R1232">
        <v>0</v>
      </c>
      <c r="S1232">
        <v>0</v>
      </c>
      <c r="T1232">
        <v>0</v>
      </c>
      <c r="U1232">
        <v>1</v>
      </c>
      <c r="V1232">
        <v>0</v>
      </c>
      <c r="W1232" t="s">
        <v>1133</v>
      </c>
      <c r="AA1232">
        <v>2007</v>
      </c>
      <c r="AB1232">
        <v>9999</v>
      </c>
      <c r="AC1232" t="s">
        <v>35</v>
      </c>
    </row>
    <row r="1233" spans="1:29" x14ac:dyDescent="0.25">
      <c r="A1233" s="31" t="s">
        <v>1576</v>
      </c>
      <c r="B1233" s="23" t="s">
        <v>1577</v>
      </c>
      <c r="D1233">
        <v>1</v>
      </c>
      <c r="E1233" s="5" t="s">
        <v>358</v>
      </c>
      <c r="F1233">
        <v>1</v>
      </c>
      <c r="G1233">
        <v>2022</v>
      </c>
      <c r="H1233" t="s">
        <v>1558</v>
      </c>
      <c r="I1233" s="15">
        <v>4</v>
      </c>
      <c r="J1233" t="s">
        <v>104</v>
      </c>
      <c r="K1233" t="s">
        <v>41</v>
      </c>
      <c r="O1233">
        <v>0</v>
      </c>
      <c r="P1233">
        <v>0</v>
      </c>
      <c r="Q1233">
        <v>0</v>
      </c>
      <c r="R1233">
        <v>0</v>
      </c>
      <c r="S1233">
        <v>0</v>
      </c>
      <c r="T1233">
        <v>0</v>
      </c>
      <c r="U1233">
        <v>0</v>
      </c>
      <c r="V1233">
        <v>0</v>
      </c>
      <c r="W1233" t="s">
        <v>1578</v>
      </c>
      <c r="AA1233">
        <v>2020</v>
      </c>
      <c r="AB1233">
        <v>9999</v>
      </c>
      <c r="AC1233" t="s">
        <v>1579</v>
      </c>
    </row>
    <row r="1234" spans="1:29" x14ac:dyDescent="0.25">
      <c r="A1234" s="31" t="s">
        <v>594</v>
      </c>
      <c r="B1234" s="23" t="s">
        <v>595</v>
      </c>
      <c r="D1234">
        <v>1</v>
      </c>
      <c r="E1234" t="s">
        <v>38</v>
      </c>
      <c r="F1234">
        <v>4</v>
      </c>
      <c r="G1234">
        <v>2022</v>
      </c>
      <c r="H1234" t="s">
        <v>906</v>
      </c>
      <c r="I1234" s="15">
        <v>0</v>
      </c>
      <c r="J1234" t="s">
        <v>59</v>
      </c>
      <c r="K1234" t="s">
        <v>41</v>
      </c>
      <c r="O1234">
        <v>0</v>
      </c>
      <c r="P1234">
        <v>0</v>
      </c>
      <c r="Q1234">
        <v>0</v>
      </c>
      <c r="R1234">
        <v>0</v>
      </c>
      <c r="S1234">
        <v>0</v>
      </c>
      <c r="T1234">
        <v>0</v>
      </c>
      <c r="U1234">
        <v>0</v>
      </c>
      <c r="V1234">
        <v>0</v>
      </c>
      <c r="W1234" t="s">
        <v>1135</v>
      </c>
      <c r="AA1234">
        <v>2007</v>
      </c>
      <c r="AB1234">
        <v>9999</v>
      </c>
      <c r="AC1234" t="s">
        <v>35</v>
      </c>
    </row>
    <row r="1235" spans="1:29" x14ac:dyDescent="0.25">
      <c r="A1235" s="31" t="s">
        <v>1253</v>
      </c>
      <c r="B1235" s="23" t="s">
        <v>598</v>
      </c>
      <c r="D1235">
        <v>1</v>
      </c>
      <c r="E1235" t="s">
        <v>38</v>
      </c>
      <c r="F1235">
        <v>4</v>
      </c>
      <c r="G1235">
        <v>2022</v>
      </c>
      <c r="H1235" t="s">
        <v>39</v>
      </c>
      <c r="I1235" s="15">
        <v>0</v>
      </c>
      <c r="J1235" t="s">
        <v>59</v>
      </c>
      <c r="K1235" t="s">
        <v>41</v>
      </c>
      <c r="O1235">
        <v>0</v>
      </c>
      <c r="P1235">
        <v>0</v>
      </c>
      <c r="Q1235">
        <v>0</v>
      </c>
      <c r="R1235">
        <v>0</v>
      </c>
      <c r="S1235">
        <v>0</v>
      </c>
      <c r="T1235">
        <v>0</v>
      </c>
      <c r="U1235">
        <v>0</v>
      </c>
      <c r="V1235">
        <v>0</v>
      </c>
      <c r="W1235" t="s">
        <v>1254</v>
      </c>
      <c r="AA1235">
        <v>2009</v>
      </c>
      <c r="AB1235">
        <v>9999</v>
      </c>
      <c r="AC1235" t="s">
        <v>1239</v>
      </c>
    </row>
    <row r="1236" spans="1:29" x14ac:dyDescent="0.25">
      <c r="A1236" s="31" t="s">
        <v>601</v>
      </c>
      <c r="B1236" s="23" t="s">
        <v>602</v>
      </c>
      <c r="D1236">
        <v>1</v>
      </c>
      <c r="E1236" t="s">
        <v>145</v>
      </c>
      <c r="F1236">
        <v>2</v>
      </c>
      <c r="G1236">
        <v>2022</v>
      </c>
      <c r="H1236" t="s">
        <v>1570</v>
      </c>
      <c r="I1236" s="15">
        <v>2.5000000000000001E-2</v>
      </c>
      <c r="J1236" t="s">
        <v>1556</v>
      </c>
      <c r="K1236" t="s">
        <v>41</v>
      </c>
      <c r="O1236">
        <v>0</v>
      </c>
      <c r="P1236">
        <v>0</v>
      </c>
      <c r="Q1236">
        <v>0</v>
      </c>
      <c r="R1236">
        <v>0</v>
      </c>
      <c r="S1236">
        <v>0</v>
      </c>
      <c r="T1236">
        <v>0</v>
      </c>
      <c r="U1236">
        <v>0</v>
      </c>
      <c r="V1236">
        <v>0</v>
      </c>
      <c r="W1236" t="s">
        <v>1137</v>
      </c>
      <c r="AA1236">
        <v>2007</v>
      </c>
      <c r="AB1236">
        <v>9999</v>
      </c>
      <c r="AC1236" t="s">
        <v>35</v>
      </c>
    </row>
    <row r="1237" spans="1:29" x14ac:dyDescent="0.25">
      <c r="A1237" s="31" t="s">
        <v>613</v>
      </c>
      <c r="B1237" s="23" t="s">
        <v>254</v>
      </c>
      <c r="C1237" t="s">
        <v>614</v>
      </c>
      <c r="D1237">
        <v>1</v>
      </c>
      <c r="E1237" t="s">
        <v>45</v>
      </c>
      <c r="F1237">
        <v>4</v>
      </c>
      <c r="G1237">
        <v>2022</v>
      </c>
      <c r="I1237" s="8">
        <v>317.92</v>
      </c>
      <c r="J1237" t="s">
        <v>89</v>
      </c>
      <c r="K1237" t="s">
        <v>47</v>
      </c>
      <c r="O1237">
        <v>0</v>
      </c>
      <c r="P1237">
        <v>0</v>
      </c>
      <c r="Q1237">
        <v>0</v>
      </c>
      <c r="R1237">
        <v>0</v>
      </c>
      <c r="S1237">
        <v>1</v>
      </c>
      <c r="T1237">
        <v>1</v>
      </c>
      <c r="U1237">
        <v>1</v>
      </c>
      <c r="V1237">
        <v>0</v>
      </c>
      <c r="W1237" t="s">
        <v>1140</v>
      </c>
      <c r="AA1237">
        <v>2007</v>
      </c>
      <c r="AB1237">
        <v>9999</v>
      </c>
      <c r="AC1237" t="s">
        <v>35</v>
      </c>
    </row>
    <row r="1238" spans="1:29" x14ac:dyDescent="0.25">
      <c r="A1238" s="31" t="s">
        <v>1370</v>
      </c>
      <c r="B1238" s="23" t="s">
        <v>1371</v>
      </c>
      <c r="D1238">
        <v>1</v>
      </c>
      <c r="E1238" s="4">
        <v>411</v>
      </c>
      <c r="F1238">
        <v>4</v>
      </c>
      <c r="G1238">
        <v>2022</v>
      </c>
      <c r="H1238" t="s">
        <v>111</v>
      </c>
      <c r="I1238" s="15">
        <v>0.5</v>
      </c>
      <c r="J1238" t="s">
        <v>89</v>
      </c>
      <c r="K1238" t="s">
        <v>41</v>
      </c>
      <c r="O1238">
        <v>0</v>
      </c>
      <c r="P1238">
        <v>0</v>
      </c>
      <c r="Q1238">
        <v>0</v>
      </c>
      <c r="R1238">
        <v>0</v>
      </c>
      <c r="S1238">
        <v>0</v>
      </c>
      <c r="T1238">
        <v>1</v>
      </c>
      <c r="U1238">
        <v>0</v>
      </c>
      <c r="V1238">
        <v>0</v>
      </c>
      <c r="W1238" t="s">
        <v>1372</v>
      </c>
      <c r="AA1238">
        <v>2011</v>
      </c>
      <c r="AB1238">
        <v>9999</v>
      </c>
      <c r="AC1238" t="s">
        <v>1365</v>
      </c>
    </row>
    <row r="1239" spans="1:29" x14ac:dyDescent="0.25">
      <c r="A1239" s="31" t="s">
        <v>1317</v>
      </c>
      <c r="B1239" s="23" t="s">
        <v>1318</v>
      </c>
      <c r="D1239">
        <v>1</v>
      </c>
      <c r="E1239" t="s">
        <v>1319</v>
      </c>
      <c r="F1239">
        <v>10</v>
      </c>
      <c r="G1239">
        <v>2022</v>
      </c>
      <c r="I1239" s="8">
        <v>1386.7539999999999</v>
      </c>
      <c r="J1239" t="s">
        <v>40</v>
      </c>
      <c r="K1239" t="s">
        <v>32</v>
      </c>
      <c r="O1239">
        <v>0</v>
      </c>
      <c r="P1239">
        <v>0</v>
      </c>
      <c r="Q1239">
        <v>0</v>
      </c>
      <c r="R1239">
        <v>0</v>
      </c>
      <c r="S1239">
        <v>1</v>
      </c>
      <c r="T1239">
        <v>1</v>
      </c>
      <c r="U1239">
        <v>1</v>
      </c>
      <c r="V1239">
        <v>0</v>
      </c>
      <c r="W1239" t="s">
        <v>1320</v>
      </c>
      <c r="AA1239">
        <v>2010</v>
      </c>
      <c r="AB1239">
        <v>9999</v>
      </c>
      <c r="AC1239" t="s">
        <v>1292</v>
      </c>
    </row>
    <row r="1240" spans="1:29" x14ac:dyDescent="0.25">
      <c r="A1240" s="31" t="s">
        <v>1489</v>
      </c>
      <c r="B1240" s="23" t="s">
        <v>619</v>
      </c>
      <c r="D1240">
        <v>1</v>
      </c>
      <c r="E1240" t="s">
        <v>620</v>
      </c>
      <c r="F1240">
        <v>5</v>
      </c>
      <c r="G1240">
        <v>2022</v>
      </c>
      <c r="I1240" s="8">
        <v>32</v>
      </c>
      <c r="J1240" t="s">
        <v>104</v>
      </c>
      <c r="K1240" t="s">
        <v>47</v>
      </c>
      <c r="O1240">
        <v>0</v>
      </c>
      <c r="P1240">
        <v>0</v>
      </c>
      <c r="Q1240">
        <v>0</v>
      </c>
      <c r="R1240">
        <v>0</v>
      </c>
      <c r="S1240">
        <v>1</v>
      </c>
      <c r="T1240">
        <v>1</v>
      </c>
      <c r="U1240">
        <v>1</v>
      </c>
      <c r="V1240">
        <v>0</v>
      </c>
      <c r="W1240" t="s">
        <v>1141</v>
      </c>
      <c r="AA1240">
        <v>2007</v>
      </c>
      <c r="AB1240">
        <v>9999</v>
      </c>
      <c r="AC1240" t="s">
        <v>1475</v>
      </c>
    </row>
    <row r="1241" spans="1:29" x14ac:dyDescent="0.25">
      <c r="A1241" s="31" t="s">
        <v>472</v>
      </c>
      <c r="B1241" s="23" t="s">
        <v>1490</v>
      </c>
      <c r="D1241">
        <v>1</v>
      </c>
      <c r="E1241" t="s">
        <v>681</v>
      </c>
      <c r="F1241">
        <v>3</v>
      </c>
      <c r="G1241">
        <v>2022</v>
      </c>
      <c r="I1241" s="8">
        <v>32153.03</v>
      </c>
      <c r="J1241" t="s">
        <v>121</v>
      </c>
      <c r="K1241" t="s">
        <v>47</v>
      </c>
      <c r="O1241">
        <v>0</v>
      </c>
      <c r="P1241">
        <v>0</v>
      </c>
      <c r="Q1241">
        <v>0</v>
      </c>
      <c r="R1241">
        <v>0</v>
      </c>
      <c r="S1241">
        <v>1</v>
      </c>
      <c r="T1241">
        <v>1</v>
      </c>
      <c r="U1241">
        <v>1</v>
      </c>
      <c r="V1241">
        <v>0</v>
      </c>
      <c r="W1241" t="s">
        <v>1491</v>
      </c>
      <c r="AA1241">
        <v>2007</v>
      </c>
      <c r="AB1241">
        <v>9999</v>
      </c>
      <c r="AC1241" t="s">
        <v>35</v>
      </c>
    </row>
    <row r="1242" spans="1:29" x14ac:dyDescent="0.25">
      <c r="A1242" s="31" t="s">
        <v>622</v>
      </c>
      <c r="B1242" s="23" t="s">
        <v>623</v>
      </c>
      <c r="C1242" t="s">
        <v>624</v>
      </c>
      <c r="D1242">
        <v>1</v>
      </c>
      <c r="E1242" t="s">
        <v>625</v>
      </c>
      <c r="F1242">
        <v>4</v>
      </c>
      <c r="G1242">
        <v>2022</v>
      </c>
      <c r="I1242" s="8">
        <v>357.63</v>
      </c>
      <c r="J1242" t="s">
        <v>1556</v>
      </c>
      <c r="K1242" t="s">
        <v>32</v>
      </c>
      <c r="O1242">
        <v>0</v>
      </c>
      <c r="P1242">
        <v>0</v>
      </c>
      <c r="Q1242">
        <v>0</v>
      </c>
      <c r="R1242">
        <v>0</v>
      </c>
      <c r="S1242">
        <v>1</v>
      </c>
      <c r="T1242">
        <v>1</v>
      </c>
      <c r="U1242">
        <v>1</v>
      </c>
      <c r="V1242">
        <v>0</v>
      </c>
      <c r="W1242" t="s">
        <v>1142</v>
      </c>
      <c r="AA1242">
        <v>2007</v>
      </c>
      <c r="AB1242">
        <v>9999</v>
      </c>
      <c r="AC1242" t="s">
        <v>35</v>
      </c>
    </row>
    <row r="1243" spans="1:29" x14ac:dyDescent="0.25">
      <c r="A1243" s="31" t="s">
        <v>641</v>
      </c>
      <c r="B1243" s="23" t="s">
        <v>642</v>
      </c>
      <c r="D1243">
        <v>1</v>
      </c>
      <c r="E1243" t="s">
        <v>348</v>
      </c>
      <c r="F1243">
        <v>1</v>
      </c>
      <c r="G1243">
        <v>2022</v>
      </c>
      <c r="I1243" s="8">
        <v>3982.9749999999999</v>
      </c>
      <c r="J1243" t="s">
        <v>268</v>
      </c>
      <c r="K1243" t="s">
        <v>53</v>
      </c>
      <c r="L1243" t="s">
        <v>642</v>
      </c>
      <c r="O1243">
        <v>0</v>
      </c>
      <c r="P1243">
        <v>0</v>
      </c>
      <c r="Q1243">
        <v>0</v>
      </c>
      <c r="R1243">
        <v>0</v>
      </c>
      <c r="S1243">
        <v>0</v>
      </c>
      <c r="T1243">
        <v>1</v>
      </c>
      <c r="U1243">
        <v>1</v>
      </c>
      <c r="V1243">
        <v>0</v>
      </c>
      <c r="W1243" t="s">
        <v>643</v>
      </c>
      <c r="AA1243">
        <v>2007</v>
      </c>
      <c r="AB1243">
        <v>9999</v>
      </c>
      <c r="AC1243" t="s">
        <v>35</v>
      </c>
    </row>
    <row r="1244" spans="1:29" x14ac:dyDescent="0.25">
      <c r="A1244" s="31" t="s">
        <v>667</v>
      </c>
      <c r="B1244" s="23" t="s">
        <v>1527</v>
      </c>
      <c r="D1244">
        <v>1</v>
      </c>
      <c r="E1244" t="s">
        <v>45</v>
      </c>
      <c r="F1244">
        <v>4</v>
      </c>
      <c r="G1244">
        <v>2022</v>
      </c>
      <c r="I1244" s="8">
        <v>21.88</v>
      </c>
      <c r="J1244" t="s">
        <v>121</v>
      </c>
      <c r="K1244" t="s">
        <v>47</v>
      </c>
      <c r="O1244">
        <v>0</v>
      </c>
      <c r="P1244">
        <v>0</v>
      </c>
      <c r="Q1244">
        <v>0</v>
      </c>
      <c r="R1244">
        <v>0</v>
      </c>
      <c r="S1244">
        <v>1</v>
      </c>
      <c r="T1244">
        <v>1</v>
      </c>
      <c r="U1244">
        <v>1</v>
      </c>
      <c r="V1244">
        <v>0</v>
      </c>
      <c r="W1244" t="s">
        <v>1149</v>
      </c>
      <c r="AA1244">
        <v>2007</v>
      </c>
      <c r="AB1244">
        <v>9999</v>
      </c>
      <c r="AC1244" t="s">
        <v>35</v>
      </c>
    </row>
    <row r="1245" spans="1:29" x14ac:dyDescent="0.25">
      <c r="A1245" s="31" t="s">
        <v>670</v>
      </c>
      <c r="B1245" s="23" t="s">
        <v>671</v>
      </c>
      <c r="D1245">
        <v>1</v>
      </c>
      <c r="E1245" t="s">
        <v>80</v>
      </c>
      <c r="F1245">
        <v>8</v>
      </c>
      <c r="G1245">
        <v>2022</v>
      </c>
      <c r="I1245" s="8">
        <v>229.9</v>
      </c>
      <c r="J1245" t="s">
        <v>81</v>
      </c>
      <c r="K1245" t="s">
        <v>47</v>
      </c>
      <c r="O1245">
        <v>0</v>
      </c>
      <c r="P1245">
        <v>0</v>
      </c>
      <c r="Q1245">
        <v>0</v>
      </c>
      <c r="R1245">
        <v>0</v>
      </c>
      <c r="S1245">
        <v>1</v>
      </c>
      <c r="T1245">
        <v>1</v>
      </c>
      <c r="U1245">
        <v>1</v>
      </c>
      <c r="V1245">
        <v>0</v>
      </c>
      <c r="W1245" t="s">
        <v>1498</v>
      </c>
      <c r="AA1245">
        <v>2007</v>
      </c>
      <c r="AB1245">
        <v>9999</v>
      </c>
      <c r="AC1245" t="s">
        <v>35</v>
      </c>
    </row>
    <row r="1246" spans="1:29" x14ac:dyDescent="0.25">
      <c r="A1246" s="31" t="s">
        <v>673</v>
      </c>
      <c r="B1246" s="23" t="s">
        <v>1321</v>
      </c>
      <c r="D1246">
        <v>1</v>
      </c>
      <c r="E1246" t="s">
        <v>358</v>
      </c>
      <c r="F1246">
        <v>1</v>
      </c>
      <c r="G1246">
        <v>2022</v>
      </c>
      <c r="I1246" s="8">
        <v>400.34</v>
      </c>
      <c r="J1246" t="s">
        <v>81</v>
      </c>
      <c r="K1246" t="s">
        <v>47</v>
      </c>
      <c r="O1246">
        <v>0</v>
      </c>
      <c r="P1246">
        <v>0</v>
      </c>
      <c r="Q1246">
        <v>0</v>
      </c>
      <c r="R1246">
        <v>0</v>
      </c>
      <c r="S1246">
        <v>1</v>
      </c>
      <c r="T1246">
        <v>1</v>
      </c>
      <c r="U1246">
        <v>1</v>
      </c>
      <c r="V1246">
        <v>0</v>
      </c>
      <c r="W1246" t="s">
        <v>1322</v>
      </c>
      <c r="AA1246">
        <v>2007</v>
      </c>
      <c r="AB1246">
        <v>9999</v>
      </c>
      <c r="AC1246" t="s">
        <v>35</v>
      </c>
    </row>
    <row r="1247" spans="1:29" x14ac:dyDescent="0.25">
      <c r="A1247" s="31" t="s">
        <v>676</v>
      </c>
      <c r="B1247" s="23" t="s">
        <v>677</v>
      </c>
      <c r="C1247" t="s">
        <v>678</v>
      </c>
      <c r="D1247">
        <v>1</v>
      </c>
      <c r="E1247" t="s">
        <v>168</v>
      </c>
      <c r="F1247">
        <v>1</v>
      </c>
      <c r="G1247">
        <v>2022</v>
      </c>
      <c r="I1247" s="8">
        <v>215.57</v>
      </c>
      <c r="J1247" t="s">
        <v>52</v>
      </c>
      <c r="K1247" t="s">
        <v>32</v>
      </c>
      <c r="O1247">
        <v>0</v>
      </c>
      <c r="P1247">
        <v>0</v>
      </c>
      <c r="Q1247">
        <v>0</v>
      </c>
      <c r="R1247">
        <v>0</v>
      </c>
      <c r="S1247">
        <v>1</v>
      </c>
      <c r="T1247">
        <v>1</v>
      </c>
      <c r="U1247">
        <v>1</v>
      </c>
      <c r="V1247">
        <v>0</v>
      </c>
      <c r="W1247" t="s">
        <v>1152</v>
      </c>
      <c r="AA1247">
        <v>2007</v>
      </c>
      <c r="AB1247">
        <v>9999</v>
      </c>
      <c r="AC1247" t="s">
        <v>35</v>
      </c>
    </row>
    <row r="1248" spans="1:29" x14ac:dyDescent="0.25">
      <c r="A1248" s="31" t="s">
        <v>688</v>
      </c>
      <c r="B1248" s="23" t="s">
        <v>689</v>
      </c>
      <c r="D1248">
        <v>1</v>
      </c>
      <c r="E1248" t="s">
        <v>145</v>
      </c>
      <c r="F1248">
        <v>2</v>
      </c>
      <c r="G1248">
        <v>2022</v>
      </c>
      <c r="H1248" t="s">
        <v>146</v>
      </c>
      <c r="I1248" s="15">
        <v>0.02</v>
      </c>
      <c r="J1248" t="s">
        <v>147</v>
      </c>
      <c r="K1248" t="s">
        <v>41</v>
      </c>
      <c r="O1248">
        <v>0</v>
      </c>
      <c r="P1248">
        <v>0</v>
      </c>
      <c r="Q1248">
        <v>0</v>
      </c>
      <c r="R1248">
        <v>0</v>
      </c>
      <c r="S1248">
        <v>0</v>
      </c>
      <c r="T1248">
        <v>0</v>
      </c>
      <c r="U1248">
        <v>0</v>
      </c>
      <c r="V1248">
        <v>0</v>
      </c>
      <c r="W1248" t="s">
        <v>1154</v>
      </c>
      <c r="AA1248">
        <v>2007</v>
      </c>
      <c r="AB1248">
        <v>9999</v>
      </c>
      <c r="AC1248" t="s">
        <v>35</v>
      </c>
    </row>
    <row r="1249" spans="1:29" x14ac:dyDescent="0.25">
      <c r="A1249" s="31" t="s">
        <v>691</v>
      </c>
      <c r="B1249" s="23" t="s">
        <v>692</v>
      </c>
      <c r="D1249">
        <v>1</v>
      </c>
      <c r="E1249" t="s">
        <v>625</v>
      </c>
      <c r="F1249">
        <v>4</v>
      </c>
      <c r="G1249">
        <v>2022</v>
      </c>
      <c r="I1249" s="8">
        <v>22.5</v>
      </c>
      <c r="J1249" t="s">
        <v>104</v>
      </c>
      <c r="K1249" t="s">
        <v>32</v>
      </c>
      <c r="O1249">
        <v>0</v>
      </c>
      <c r="P1249">
        <v>0</v>
      </c>
      <c r="Q1249">
        <v>0</v>
      </c>
      <c r="R1249">
        <v>0</v>
      </c>
      <c r="S1249">
        <v>1</v>
      </c>
      <c r="T1249">
        <v>1</v>
      </c>
      <c r="U1249">
        <v>1</v>
      </c>
      <c r="V1249">
        <v>0</v>
      </c>
      <c r="W1249" t="s">
        <v>1155</v>
      </c>
      <c r="AA1249">
        <v>2007</v>
      </c>
      <c r="AB1249">
        <v>9999</v>
      </c>
      <c r="AC1249" t="s">
        <v>35</v>
      </c>
    </row>
    <row r="1250" spans="1:29" x14ac:dyDescent="0.25">
      <c r="A1250" s="31" t="s">
        <v>694</v>
      </c>
      <c r="B1250" s="23" t="s">
        <v>695</v>
      </c>
      <c r="C1250" t="s">
        <v>696</v>
      </c>
      <c r="D1250">
        <v>1</v>
      </c>
      <c r="E1250" t="s">
        <v>58</v>
      </c>
      <c r="F1250">
        <v>4</v>
      </c>
      <c r="G1250">
        <v>2022</v>
      </c>
      <c r="I1250" s="8">
        <v>127.1</v>
      </c>
      <c r="J1250" t="s">
        <v>59</v>
      </c>
      <c r="K1250" t="s">
        <v>47</v>
      </c>
      <c r="O1250">
        <v>0</v>
      </c>
      <c r="P1250">
        <v>0</v>
      </c>
      <c r="Q1250">
        <v>0</v>
      </c>
      <c r="R1250">
        <v>0</v>
      </c>
      <c r="S1250">
        <v>1</v>
      </c>
      <c r="T1250">
        <v>1</v>
      </c>
      <c r="U1250">
        <v>1</v>
      </c>
      <c r="V1250">
        <v>0</v>
      </c>
      <c r="W1250" t="s">
        <v>1156</v>
      </c>
      <c r="AA1250">
        <v>2007</v>
      </c>
      <c r="AB1250">
        <v>9999</v>
      </c>
      <c r="AC1250" t="s">
        <v>35</v>
      </c>
    </row>
    <row r="1251" spans="1:29" x14ac:dyDescent="0.25">
      <c r="A1251" s="31" t="s">
        <v>698</v>
      </c>
      <c r="B1251" s="23" t="s">
        <v>699</v>
      </c>
      <c r="D1251">
        <v>1</v>
      </c>
      <c r="E1251" t="s">
        <v>155</v>
      </c>
      <c r="F1251">
        <v>3</v>
      </c>
      <c r="G1251">
        <v>2022</v>
      </c>
      <c r="H1251" t="s">
        <v>700</v>
      </c>
      <c r="I1251">
        <v>5.5276679841897236</v>
      </c>
      <c r="J1251" t="s">
        <v>121</v>
      </c>
      <c r="K1251" t="s">
        <v>47</v>
      </c>
      <c r="O1251">
        <v>0</v>
      </c>
      <c r="P1251">
        <v>0</v>
      </c>
      <c r="Q1251">
        <v>0</v>
      </c>
      <c r="R1251">
        <v>0</v>
      </c>
      <c r="S1251">
        <v>1</v>
      </c>
      <c r="T1251">
        <v>0</v>
      </c>
      <c r="U1251">
        <v>0</v>
      </c>
      <c r="V1251">
        <v>1</v>
      </c>
      <c r="W1251" t="s">
        <v>1157</v>
      </c>
      <c r="AA1251">
        <v>2007</v>
      </c>
      <c r="AB1251">
        <v>9999</v>
      </c>
      <c r="AC1251" t="s">
        <v>35</v>
      </c>
    </row>
    <row r="1252" spans="1:29" x14ac:dyDescent="0.25">
      <c r="A1252" s="31" t="s">
        <v>702</v>
      </c>
      <c r="B1252" s="23" t="s">
        <v>703</v>
      </c>
      <c r="D1252">
        <v>1</v>
      </c>
      <c r="E1252" t="s">
        <v>155</v>
      </c>
      <c r="F1252">
        <v>3</v>
      </c>
      <c r="G1252">
        <v>2022</v>
      </c>
      <c r="H1252" t="s">
        <v>704</v>
      </c>
      <c r="I1252">
        <v>0.48102766798418978</v>
      </c>
      <c r="J1252" t="s">
        <v>121</v>
      </c>
      <c r="K1252" t="s">
        <v>41</v>
      </c>
      <c r="O1252">
        <v>0</v>
      </c>
      <c r="P1252">
        <v>0</v>
      </c>
      <c r="Q1252">
        <v>0</v>
      </c>
      <c r="R1252">
        <v>0</v>
      </c>
      <c r="S1252">
        <v>0</v>
      </c>
      <c r="T1252">
        <v>0</v>
      </c>
      <c r="U1252">
        <v>0</v>
      </c>
      <c r="V1252">
        <v>1</v>
      </c>
      <c r="W1252" t="s">
        <v>1158</v>
      </c>
      <c r="AA1252">
        <v>2007</v>
      </c>
      <c r="AB1252">
        <v>9999</v>
      </c>
      <c r="AC1252" t="s">
        <v>35</v>
      </c>
    </row>
    <row r="1253" spans="1:29" x14ac:dyDescent="0.25">
      <c r="A1253" s="31" t="s">
        <v>706</v>
      </c>
      <c r="B1253" s="23" t="s">
        <v>707</v>
      </c>
      <c r="C1253" t="s">
        <v>708</v>
      </c>
      <c r="D1253">
        <v>1</v>
      </c>
      <c r="E1253" t="s">
        <v>155</v>
      </c>
      <c r="F1253">
        <v>3</v>
      </c>
      <c r="G1253">
        <v>2022</v>
      </c>
      <c r="I1253" s="8">
        <v>514.23</v>
      </c>
      <c r="J1253" t="s">
        <v>121</v>
      </c>
      <c r="K1253" t="s">
        <v>47</v>
      </c>
      <c r="O1253">
        <v>0</v>
      </c>
      <c r="P1253">
        <v>0</v>
      </c>
      <c r="Q1253">
        <v>0</v>
      </c>
      <c r="R1253">
        <v>0</v>
      </c>
      <c r="S1253">
        <v>1</v>
      </c>
      <c r="T1253">
        <v>1</v>
      </c>
      <c r="U1253">
        <v>1</v>
      </c>
      <c r="V1253">
        <v>0</v>
      </c>
      <c r="W1253" t="s">
        <v>1159</v>
      </c>
      <c r="AA1253">
        <v>2007</v>
      </c>
      <c r="AB1253">
        <v>9999</v>
      </c>
      <c r="AC1253" t="s">
        <v>35</v>
      </c>
    </row>
    <row r="1254" spans="1:29" x14ac:dyDescent="0.25">
      <c r="A1254" s="31" t="s">
        <v>710</v>
      </c>
      <c r="B1254" s="23" t="s">
        <v>711</v>
      </c>
      <c r="D1254">
        <v>1</v>
      </c>
      <c r="E1254" t="s">
        <v>712</v>
      </c>
      <c r="F1254">
        <v>9</v>
      </c>
      <c r="G1254">
        <v>2022</v>
      </c>
      <c r="I1254" s="8">
        <v>119.9</v>
      </c>
      <c r="J1254" t="s">
        <v>104</v>
      </c>
      <c r="K1254" t="s">
        <v>41</v>
      </c>
      <c r="O1254">
        <v>0</v>
      </c>
      <c r="P1254">
        <v>0</v>
      </c>
      <c r="Q1254">
        <v>0</v>
      </c>
      <c r="R1254">
        <v>0</v>
      </c>
      <c r="S1254">
        <v>0</v>
      </c>
      <c r="T1254">
        <v>1</v>
      </c>
      <c r="U1254">
        <v>1</v>
      </c>
      <c r="V1254">
        <v>0</v>
      </c>
      <c r="W1254" t="s">
        <v>1406</v>
      </c>
      <c r="AA1254">
        <v>2007</v>
      </c>
      <c r="AB1254">
        <v>9999</v>
      </c>
      <c r="AC1254" t="s">
        <v>35</v>
      </c>
    </row>
    <row r="1255" spans="1:29" x14ac:dyDescent="0.25">
      <c r="A1255" s="31" t="s">
        <v>714</v>
      </c>
      <c r="B1255" s="23" t="s">
        <v>715</v>
      </c>
      <c r="D1255">
        <v>1</v>
      </c>
      <c r="E1255" t="s">
        <v>80</v>
      </c>
      <c r="F1255">
        <v>8</v>
      </c>
      <c r="G1255">
        <v>2022</v>
      </c>
      <c r="I1255" s="8">
        <v>59.39</v>
      </c>
      <c r="J1255" t="s">
        <v>81</v>
      </c>
      <c r="K1255" t="s">
        <v>76</v>
      </c>
      <c r="O1255">
        <v>0</v>
      </c>
      <c r="P1255">
        <v>0</v>
      </c>
      <c r="Q1255">
        <v>0</v>
      </c>
      <c r="R1255">
        <v>0</v>
      </c>
      <c r="S1255">
        <v>0</v>
      </c>
      <c r="T1255">
        <v>1</v>
      </c>
      <c r="U1255">
        <v>1</v>
      </c>
      <c r="V1255">
        <v>0</v>
      </c>
      <c r="W1255" t="s">
        <v>1323</v>
      </c>
      <c r="AA1255">
        <v>2007</v>
      </c>
      <c r="AB1255">
        <v>9999</v>
      </c>
      <c r="AC1255" t="s">
        <v>35</v>
      </c>
    </row>
    <row r="1256" spans="1:29" x14ac:dyDescent="0.25">
      <c r="A1256" s="31" t="s">
        <v>717</v>
      </c>
      <c r="B1256" s="23" t="s">
        <v>718</v>
      </c>
      <c r="D1256">
        <v>1</v>
      </c>
      <c r="E1256" t="s">
        <v>51</v>
      </c>
      <c r="F1256">
        <v>1</v>
      </c>
      <c r="G1256">
        <v>2022</v>
      </c>
      <c r="I1256">
        <v>40</v>
      </c>
      <c r="J1256" t="s">
        <v>52</v>
      </c>
      <c r="K1256" t="s">
        <v>53</v>
      </c>
      <c r="L1256" t="s">
        <v>54</v>
      </c>
      <c r="O1256">
        <v>0</v>
      </c>
      <c r="P1256">
        <v>0</v>
      </c>
      <c r="Q1256">
        <v>1</v>
      </c>
      <c r="R1256">
        <v>0</v>
      </c>
      <c r="S1256">
        <v>0</v>
      </c>
      <c r="T1256">
        <v>0</v>
      </c>
      <c r="U1256">
        <v>1</v>
      </c>
      <c r="V1256">
        <v>0</v>
      </c>
      <c r="W1256" t="s">
        <v>55</v>
      </c>
      <c r="AA1256">
        <v>2007</v>
      </c>
      <c r="AB1256">
        <v>9999</v>
      </c>
      <c r="AC1256" t="s">
        <v>35</v>
      </c>
    </row>
    <row r="1257" spans="1:29" x14ac:dyDescent="0.25">
      <c r="A1257" s="31" t="s">
        <v>719</v>
      </c>
      <c r="B1257" s="23" t="s">
        <v>720</v>
      </c>
      <c r="D1257">
        <v>1</v>
      </c>
      <c r="E1257" t="s">
        <v>51</v>
      </c>
      <c r="F1257">
        <v>1</v>
      </c>
      <c r="G1257">
        <v>2022</v>
      </c>
      <c r="I1257">
        <v>31</v>
      </c>
      <c r="J1257" t="s">
        <v>52</v>
      </c>
      <c r="K1257" t="s">
        <v>53</v>
      </c>
      <c r="L1257" t="s">
        <v>54</v>
      </c>
      <c r="O1257">
        <v>0</v>
      </c>
      <c r="P1257">
        <v>0</v>
      </c>
      <c r="Q1257">
        <v>1</v>
      </c>
      <c r="R1257">
        <v>0</v>
      </c>
      <c r="S1257">
        <v>0</v>
      </c>
      <c r="T1257">
        <v>0</v>
      </c>
      <c r="U1257">
        <v>1</v>
      </c>
      <c r="V1257">
        <v>0</v>
      </c>
      <c r="W1257" t="s">
        <v>721</v>
      </c>
      <c r="AA1257">
        <v>2007</v>
      </c>
      <c r="AB1257">
        <v>2025</v>
      </c>
      <c r="AC1257" t="s">
        <v>2057</v>
      </c>
    </row>
    <row r="1258" spans="1:29" x14ac:dyDescent="0.25">
      <c r="A1258" s="31" t="s">
        <v>722</v>
      </c>
      <c r="B1258" s="23" t="s">
        <v>723</v>
      </c>
      <c r="D1258">
        <v>1</v>
      </c>
      <c r="E1258" t="s">
        <v>724</v>
      </c>
      <c r="F1258">
        <v>4</v>
      </c>
      <c r="G1258">
        <v>2022</v>
      </c>
      <c r="I1258" s="8">
        <v>1273.06</v>
      </c>
      <c r="J1258" t="s">
        <v>1556</v>
      </c>
      <c r="K1258" t="s">
        <v>32</v>
      </c>
      <c r="L1258" t="s">
        <v>33</v>
      </c>
      <c r="O1258">
        <v>0</v>
      </c>
      <c r="P1258">
        <v>0</v>
      </c>
      <c r="Q1258">
        <v>0</v>
      </c>
      <c r="R1258">
        <v>1</v>
      </c>
      <c r="S1258">
        <v>1</v>
      </c>
      <c r="T1258">
        <v>1</v>
      </c>
      <c r="U1258">
        <v>1</v>
      </c>
      <c r="V1258">
        <v>0</v>
      </c>
      <c r="W1258" t="s">
        <v>1161</v>
      </c>
      <c r="AA1258">
        <v>2007</v>
      </c>
      <c r="AB1258">
        <v>9999</v>
      </c>
      <c r="AC1258" t="s">
        <v>35</v>
      </c>
    </row>
    <row r="1259" spans="1:29" x14ac:dyDescent="0.25">
      <c r="A1259" s="31" t="s">
        <v>726</v>
      </c>
      <c r="B1259" s="23" t="s">
        <v>727</v>
      </c>
      <c r="D1259">
        <v>1</v>
      </c>
      <c r="E1259" t="s">
        <v>85</v>
      </c>
      <c r="F1259">
        <v>1</v>
      </c>
      <c r="G1259">
        <v>2022</v>
      </c>
      <c r="H1259" t="s">
        <v>205</v>
      </c>
      <c r="I1259" s="15">
        <v>9</v>
      </c>
      <c r="J1259" t="s">
        <v>52</v>
      </c>
      <c r="K1259" t="s">
        <v>41</v>
      </c>
      <c r="O1259">
        <v>0</v>
      </c>
      <c r="P1259">
        <v>0</v>
      </c>
      <c r="Q1259">
        <v>0</v>
      </c>
      <c r="R1259">
        <v>0</v>
      </c>
      <c r="S1259">
        <v>0</v>
      </c>
      <c r="T1259">
        <v>0</v>
      </c>
      <c r="U1259">
        <v>0</v>
      </c>
      <c r="V1259">
        <v>0</v>
      </c>
      <c r="W1259" t="s">
        <v>1162</v>
      </c>
      <c r="AA1259">
        <v>2007</v>
      </c>
      <c r="AB1259">
        <v>9999</v>
      </c>
      <c r="AC1259" t="s">
        <v>35</v>
      </c>
    </row>
    <row r="1260" spans="1:29" x14ac:dyDescent="0.25">
      <c r="A1260" s="31" t="s">
        <v>729</v>
      </c>
      <c r="B1260" s="23" t="s">
        <v>205</v>
      </c>
      <c r="D1260">
        <v>1</v>
      </c>
      <c r="E1260" t="s">
        <v>168</v>
      </c>
      <c r="F1260">
        <v>1</v>
      </c>
      <c r="G1260">
        <v>2022</v>
      </c>
      <c r="I1260" s="8">
        <v>9347.7099999999991</v>
      </c>
      <c r="J1260" t="s">
        <v>52</v>
      </c>
      <c r="K1260" t="s">
        <v>32</v>
      </c>
      <c r="O1260">
        <v>0</v>
      </c>
      <c r="P1260">
        <v>0</v>
      </c>
      <c r="Q1260">
        <v>0</v>
      </c>
      <c r="R1260">
        <v>0</v>
      </c>
      <c r="S1260">
        <v>1</v>
      </c>
      <c r="T1260">
        <v>1</v>
      </c>
      <c r="U1260">
        <v>1</v>
      </c>
      <c r="V1260">
        <v>0</v>
      </c>
      <c r="W1260" t="s">
        <v>1555</v>
      </c>
      <c r="AA1260">
        <v>2007</v>
      </c>
      <c r="AB1260">
        <v>9999</v>
      </c>
      <c r="AC1260" t="s">
        <v>35</v>
      </c>
    </row>
    <row r="1261" spans="1:29" x14ac:dyDescent="0.25">
      <c r="A1261" s="31" t="s">
        <v>731</v>
      </c>
      <c r="B1261" s="23" t="s">
        <v>732</v>
      </c>
      <c r="D1261">
        <v>1</v>
      </c>
      <c r="E1261" t="s">
        <v>51</v>
      </c>
      <c r="F1261">
        <v>10</v>
      </c>
      <c r="G1261">
        <v>2022</v>
      </c>
      <c r="H1261" t="s">
        <v>39</v>
      </c>
      <c r="I1261" s="15">
        <v>2</v>
      </c>
      <c r="J1261" t="s">
        <v>52</v>
      </c>
      <c r="K1261" t="s">
        <v>41</v>
      </c>
      <c r="O1261">
        <v>0</v>
      </c>
      <c r="P1261">
        <v>0</v>
      </c>
      <c r="Q1261">
        <v>0</v>
      </c>
      <c r="R1261">
        <v>0</v>
      </c>
      <c r="S1261">
        <v>0</v>
      </c>
      <c r="T1261">
        <v>0</v>
      </c>
      <c r="U1261">
        <v>0</v>
      </c>
      <c r="V1261">
        <v>0</v>
      </c>
      <c r="W1261" t="s">
        <v>1164</v>
      </c>
      <c r="AA1261">
        <v>2007</v>
      </c>
      <c r="AB1261">
        <v>9999</v>
      </c>
      <c r="AC1261" t="s">
        <v>35</v>
      </c>
    </row>
    <row r="1262" spans="1:29" x14ac:dyDescent="0.25">
      <c r="A1262" s="31" t="s">
        <v>734</v>
      </c>
      <c r="B1262" s="23" t="s">
        <v>735</v>
      </c>
      <c r="D1262">
        <v>1</v>
      </c>
      <c r="E1262" t="s">
        <v>736</v>
      </c>
      <c r="F1262">
        <v>4</v>
      </c>
      <c r="G1262">
        <v>2022</v>
      </c>
      <c r="I1262" s="8">
        <v>768.63</v>
      </c>
      <c r="J1262" t="s">
        <v>89</v>
      </c>
      <c r="K1262" t="s">
        <v>32</v>
      </c>
      <c r="O1262">
        <v>0</v>
      </c>
      <c r="P1262">
        <v>0</v>
      </c>
      <c r="Q1262">
        <v>0</v>
      </c>
      <c r="R1262">
        <v>0</v>
      </c>
      <c r="S1262">
        <v>1</v>
      </c>
      <c r="T1262">
        <v>1</v>
      </c>
      <c r="U1262">
        <v>1</v>
      </c>
      <c r="V1262">
        <v>0</v>
      </c>
      <c r="W1262" t="s">
        <v>1324</v>
      </c>
      <c r="AA1262">
        <v>2007</v>
      </c>
      <c r="AB1262">
        <v>9999</v>
      </c>
      <c r="AC1262" t="s">
        <v>35</v>
      </c>
    </row>
    <row r="1263" spans="1:29" x14ac:dyDescent="0.25">
      <c r="A1263" s="31" t="s">
        <v>1499</v>
      </c>
      <c r="B1263" s="23" t="s">
        <v>1500</v>
      </c>
      <c r="D1263">
        <v>1</v>
      </c>
      <c r="E1263" s="4">
        <v>960</v>
      </c>
      <c r="F1263">
        <v>9</v>
      </c>
      <c r="G1263">
        <v>2022</v>
      </c>
      <c r="I1263" s="8">
        <v>15.8</v>
      </c>
      <c r="J1263" t="s">
        <v>104</v>
      </c>
      <c r="K1263" t="s">
        <v>47</v>
      </c>
      <c r="O1263">
        <v>0</v>
      </c>
      <c r="P1263">
        <v>0</v>
      </c>
      <c r="Q1263">
        <v>0</v>
      </c>
      <c r="R1263">
        <v>0</v>
      </c>
      <c r="S1263">
        <v>1</v>
      </c>
      <c r="T1263">
        <v>1</v>
      </c>
      <c r="U1263">
        <v>1</v>
      </c>
      <c r="V1263">
        <v>0</v>
      </c>
      <c r="W1263" t="s">
        <v>1501</v>
      </c>
      <c r="AA1263">
        <v>2015</v>
      </c>
      <c r="AB1263">
        <v>9999</v>
      </c>
      <c r="AC1263" t="s">
        <v>1475</v>
      </c>
    </row>
    <row r="1264" spans="1:29" x14ac:dyDescent="0.25">
      <c r="A1264" s="31" t="s">
        <v>738</v>
      </c>
      <c r="B1264" s="23" t="s">
        <v>739</v>
      </c>
      <c r="D1264">
        <v>1</v>
      </c>
      <c r="E1264" t="s">
        <v>128</v>
      </c>
      <c r="F1264">
        <v>9</v>
      </c>
      <c r="G1264">
        <v>2022</v>
      </c>
      <c r="H1264" t="s">
        <v>1262</v>
      </c>
      <c r="I1264" s="15">
        <v>17</v>
      </c>
      <c r="J1264" t="s">
        <v>104</v>
      </c>
      <c r="K1264" t="s">
        <v>41</v>
      </c>
      <c r="O1264">
        <v>0</v>
      </c>
      <c r="P1264">
        <v>0</v>
      </c>
      <c r="Q1264">
        <v>0</v>
      </c>
      <c r="R1264">
        <v>0</v>
      </c>
      <c r="S1264">
        <v>0</v>
      </c>
      <c r="T1264">
        <v>0</v>
      </c>
      <c r="U1264">
        <v>0</v>
      </c>
      <c r="V1264">
        <v>0</v>
      </c>
      <c r="W1264" t="s">
        <v>1166</v>
      </c>
      <c r="AA1264">
        <v>2007</v>
      </c>
      <c r="AB1264">
        <v>9999</v>
      </c>
      <c r="AC1264" t="s">
        <v>35</v>
      </c>
    </row>
    <row r="1265" spans="1:29" x14ac:dyDescent="0.25">
      <c r="A1265" s="31" t="s">
        <v>745</v>
      </c>
      <c r="B1265" s="23" t="s">
        <v>746</v>
      </c>
      <c r="D1265">
        <v>1</v>
      </c>
      <c r="E1265" t="s">
        <v>468</v>
      </c>
      <c r="F1265">
        <v>7</v>
      </c>
      <c r="G1265">
        <v>2022</v>
      </c>
      <c r="I1265" s="8">
        <v>765.33</v>
      </c>
      <c r="J1265" t="s">
        <v>40</v>
      </c>
      <c r="K1265" t="s">
        <v>32</v>
      </c>
      <c r="O1265">
        <v>0</v>
      </c>
      <c r="P1265">
        <v>0</v>
      </c>
      <c r="Q1265">
        <v>0</v>
      </c>
      <c r="R1265">
        <v>0</v>
      </c>
      <c r="S1265">
        <v>1</v>
      </c>
      <c r="T1265">
        <v>1</v>
      </c>
      <c r="U1265">
        <v>1</v>
      </c>
      <c r="V1265">
        <v>0</v>
      </c>
      <c r="W1265" t="s">
        <v>1516</v>
      </c>
      <c r="AA1265">
        <v>2007</v>
      </c>
      <c r="AB1265">
        <v>9999</v>
      </c>
      <c r="AC1265" t="s">
        <v>35</v>
      </c>
    </row>
    <row r="1266" spans="1:29" x14ac:dyDescent="0.25">
      <c r="A1266" s="31" t="s">
        <v>1263</v>
      </c>
      <c r="B1266" s="23" t="s">
        <v>1264</v>
      </c>
      <c r="C1266" t="s">
        <v>1265</v>
      </c>
      <c r="D1266">
        <v>1</v>
      </c>
      <c r="E1266" t="s">
        <v>712</v>
      </c>
      <c r="F1266">
        <v>9</v>
      </c>
      <c r="G1266">
        <v>2022</v>
      </c>
      <c r="I1266" s="8">
        <v>1134.1099999999999</v>
      </c>
      <c r="J1266" t="s">
        <v>104</v>
      </c>
      <c r="K1266" t="s">
        <v>47</v>
      </c>
      <c r="O1266">
        <v>0</v>
      </c>
      <c r="P1266">
        <v>0</v>
      </c>
      <c r="Q1266">
        <v>0</v>
      </c>
      <c r="R1266">
        <v>0</v>
      </c>
      <c r="S1266">
        <v>1</v>
      </c>
      <c r="T1266">
        <v>1</v>
      </c>
      <c r="U1266">
        <v>1</v>
      </c>
      <c r="V1266">
        <v>0</v>
      </c>
      <c r="W1266" t="s">
        <v>1407</v>
      </c>
      <c r="AA1266">
        <v>2009</v>
      </c>
      <c r="AB1266">
        <v>9999</v>
      </c>
      <c r="AC1266" t="s">
        <v>1239</v>
      </c>
    </row>
    <row r="1267" spans="1:29" x14ac:dyDescent="0.25">
      <c r="A1267" s="31" t="s">
        <v>447</v>
      </c>
      <c r="B1267" s="23" t="s">
        <v>1571</v>
      </c>
      <c r="D1267">
        <v>1</v>
      </c>
      <c r="E1267" t="s">
        <v>45</v>
      </c>
      <c r="F1267">
        <v>4</v>
      </c>
      <c r="G1267">
        <v>2022</v>
      </c>
      <c r="I1267" s="8">
        <v>63.54</v>
      </c>
      <c r="J1267" t="s">
        <v>52</v>
      </c>
      <c r="K1267" t="s">
        <v>32</v>
      </c>
      <c r="O1267">
        <v>0</v>
      </c>
      <c r="P1267">
        <v>0</v>
      </c>
      <c r="Q1267">
        <v>0</v>
      </c>
      <c r="R1267">
        <v>0</v>
      </c>
      <c r="S1267">
        <v>1</v>
      </c>
      <c r="T1267">
        <v>1</v>
      </c>
      <c r="U1267">
        <v>1</v>
      </c>
      <c r="V1267">
        <v>0</v>
      </c>
      <c r="W1267" t="s">
        <v>1572</v>
      </c>
      <c r="AA1267">
        <v>2007</v>
      </c>
      <c r="AB1267">
        <v>9999</v>
      </c>
      <c r="AC1267" t="s">
        <v>35</v>
      </c>
    </row>
    <row r="1268" spans="1:29" x14ac:dyDescent="0.25">
      <c r="A1268" s="31" t="s">
        <v>754</v>
      </c>
      <c r="B1268" s="23" t="s">
        <v>755</v>
      </c>
      <c r="D1268">
        <v>1</v>
      </c>
      <c r="E1268" t="s">
        <v>85</v>
      </c>
      <c r="F1268">
        <v>1</v>
      </c>
      <c r="G1268">
        <v>2022</v>
      </c>
      <c r="H1268" t="s">
        <v>756</v>
      </c>
      <c r="I1268" s="15">
        <v>0.05</v>
      </c>
      <c r="J1268" t="s">
        <v>52</v>
      </c>
      <c r="K1268" t="s">
        <v>41</v>
      </c>
      <c r="O1268">
        <v>0</v>
      </c>
      <c r="P1268">
        <v>0</v>
      </c>
      <c r="Q1268">
        <v>0</v>
      </c>
      <c r="R1268">
        <v>0</v>
      </c>
      <c r="S1268">
        <v>0</v>
      </c>
      <c r="T1268">
        <v>0</v>
      </c>
      <c r="U1268">
        <v>0</v>
      </c>
      <c r="V1268">
        <v>0</v>
      </c>
      <c r="W1268" t="s">
        <v>1169</v>
      </c>
      <c r="AA1268">
        <v>2007</v>
      </c>
      <c r="AB1268">
        <v>9999</v>
      </c>
      <c r="AC1268" t="s">
        <v>35</v>
      </c>
    </row>
    <row r="1269" spans="1:29" ht="30" x14ac:dyDescent="0.25">
      <c r="A1269" s="31" t="s">
        <v>758</v>
      </c>
      <c r="B1269" s="23" t="s">
        <v>1504</v>
      </c>
      <c r="C1269" t="s">
        <v>1505</v>
      </c>
      <c r="D1269">
        <v>1</v>
      </c>
      <c r="E1269" t="s">
        <v>760</v>
      </c>
      <c r="F1269">
        <v>7</v>
      </c>
      <c r="G1269">
        <v>2022</v>
      </c>
      <c r="I1269" s="8">
        <v>73.61</v>
      </c>
      <c r="J1269" t="s">
        <v>40</v>
      </c>
      <c r="K1269" t="s">
        <v>47</v>
      </c>
      <c r="O1269">
        <v>0</v>
      </c>
      <c r="P1269">
        <v>0</v>
      </c>
      <c r="Q1269">
        <v>0</v>
      </c>
      <c r="R1269">
        <v>0</v>
      </c>
      <c r="S1269">
        <v>1</v>
      </c>
      <c r="T1269">
        <v>1</v>
      </c>
      <c r="U1269">
        <v>1</v>
      </c>
      <c r="V1269">
        <v>0</v>
      </c>
      <c r="W1269" t="s">
        <v>1170</v>
      </c>
      <c r="AA1269">
        <v>2007</v>
      </c>
      <c r="AB1269">
        <v>9999</v>
      </c>
      <c r="AC1269" t="s">
        <v>35</v>
      </c>
    </row>
    <row r="1270" spans="1:29" x14ac:dyDescent="0.25">
      <c r="A1270" s="31" t="s">
        <v>78</v>
      </c>
      <c r="B1270" s="23" t="s">
        <v>1465</v>
      </c>
      <c r="C1270" t="s">
        <v>1466</v>
      </c>
      <c r="D1270">
        <v>1</v>
      </c>
      <c r="E1270" t="s">
        <v>80</v>
      </c>
      <c r="F1270">
        <v>8</v>
      </c>
      <c r="G1270">
        <v>2022</v>
      </c>
      <c r="I1270" s="8">
        <v>29.94</v>
      </c>
      <c r="J1270" t="s">
        <v>81</v>
      </c>
      <c r="K1270" t="s">
        <v>47</v>
      </c>
      <c r="O1270">
        <v>0</v>
      </c>
      <c r="P1270">
        <v>0</v>
      </c>
      <c r="Q1270">
        <v>0</v>
      </c>
      <c r="R1270">
        <v>0</v>
      </c>
      <c r="S1270">
        <v>1</v>
      </c>
      <c r="T1270">
        <v>1</v>
      </c>
      <c r="U1270">
        <v>1</v>
      </c>
      <c r="V1270">
        <v>0</v>
      </c>
      <c r="W1270" t="s">
        <v>1467</v>
      </c>
      <c r="AA1270">
        <v>2007</v>
      </c>
      <c r="AB1270">
        <v>9999</v>
      </c>
      <c r="AC1270" t="s">
        <v>35</v>
      </c>
    </row>
    <row r="1271" spans="1:29" x14ac:dyDescent="0.25">
      <c r="A1271" s="31" t="s">
        <v>768</v>
      </c>
      <c r="B1271" s="23" t="s">
        <v>769</v>
      </c>
      <c r="C1271" t="s">
        <v>770</v>
      </c>
      <c r="D1271">
        <v>1</v>
      </c>
      <c r="E1271" t="s">
        <v>30</v>
      </c>
      <c r="F1271">
        <v>4</v>
      </c>
      <c r="G1271">
        <v>2022</v>
      </c>
      <c r="I1271" s="8">
        <v>386.78</v>
      </c>
      <c r="J1271" t="s">
        <v>1556</v>
      </c>
      <c r="K1271" t="s">
        <v>47</v>
      </c>
      <c r="O1271">
        <v>0</v>
      </c>
      <c r="P1271">
        <v>0</v>
      </c>
      <c r="Q1271">
        <v>0</v>
      </c>
      <c r="R1271">
        <v>0</v>
      </c>
      <c r="S1271">
        <v>1</v>
      </c>
      <c r="T1271">
        <v>1</v>
      </c>
      <c r="U1271">
        <v>1</v>
      </c>
      <c r="V1271">
        <v>0</v>
      </c>
      <c r="W1271" t="s">
        <v>1506</v>
      </c>
      <c r="AA1271">
        <v>2007</v>
      </c>
      <c r="AB1271">
        <v>9999</v>
      </c>
      <c r="AC1271" t="s">
        <v>35</v>
      </c>
    </row>
    <row r="1272" spans="1:29" x14ac:dyDescent="0.25">
      <c r="A1272" s="31" t="s">
        <v>772</v>
      </c>
      <c r="B1272" s="23" t="s">
        <v>773</v>
      </c>
      <c r="C1272" t="s">
        <v>774</v>
      </c>
      <c r="D1272">
        <v>1</v>
      </c>
      <c r="E1272" t="s">
        <v>358</v>
      </c>
      <c r="F1272">
        <v>1</v>
      </c>
      <c r="G1272">
        <v>2022</v>
      </c>
      <c r="I1272" s="8">
        <v>518.26</v>
      </c>
      <c r="J1272" t="s">
        <v>52</v>
      </c>
      <c r="K1272" t="s">
        <v>32</v>
      </c>
      <c r="O1272">
        <v>0</v>
      </c>
      <c r="P1272">
        <v>0</v>
      </c>
      <c r="Q1272">
        <v>0</v>
      </c>
      <c r="R1272">
        <v>0</v>
      </c>
      <c r="S1272">
        <v>1</v>
      </c>
      <c r="T1272">
        <v>1</v>
      </c>
      <c r="U1272">
        <v>1</v>
      </c>
      <c r="V1272">
        <v>0</v>
      </c>
      <c r="W1272" t="s">
        <v>1174</v>
      </c>
      <c r="AA1272">
        <v>2007</v>
      </c>
      <c r="AB1272">
        <v>9999</v>
      </c>
      <c r="AC1272" t="s">
        <v>35</v>
      </c>
    </row>
    <row r="1273" spans="1:29" x14ac:dyDescent="0.25">
      <c r="A1273" s="31" t="s">
        <v>779</v>
      </c>
      <c r="B1273" s="23" t="s">
        <v>780</v>
      </c>
      <c r="D1273">
        <v>1</v>
      </c>
      <c r="E1273" t="s">
        <v>80</v>
      </c>
      <c r="F1273">
        <v>8</v>
      </c>
      <c r="G1273">
        <v>2022</v>
      </c>
      <c r="I1273" s="8">
        <v>72.98</v>
      </c>
      <c r="J1273" t="s">
        <v>81</v>
      </c>
      <c r="K1273" t="s">
        <v>47</v>
      </c>
      <c r="O1273">
        <v>0</v>
      </c>
      <c r="P1273">
        <v>0</v>
      </c>
      <c r="Q1273">
        <v>0</v>
      </c>
      <c r="R1273">
        <v>0</v>
      </c>
      <c r="S1273">
        <v>1</v>
      </c>
      <c r="T1273">
        <v>1</v>
      </c>
      <c r="U1273">
        <v>1</v>
      </c>
      <c r="V1273">
        <v>0</v>
      </c>
      <c r="W1273" t="s">
        <v>1176</v>
      </c>
      <c r="AA1273">
        <v>2007</v>
      </c>
      <c r="AB1273">
        <v>9999</v>
      </c>
      <c r="AC1273" t="s">
        <v>35</v>
      </c>
    </row>
    <row r="1274" spans="1:29" x14ac:dyDescent="0.25">
      <c r="A1274" s="31" t="s">
        <v>782</v>
      </c>
      <c r="B1274" s="23" t="s">
        <v>783</v>
      </c>
      <c r="D1274">
        <v>1</v>
      </c>
      <c r="E1274" t="s">
        <v>784</v>
      </c>
      <c r="F1274">
        <v>6</v>
      </c>
      <c r="G1274">
        <v>2022</v>
      </c>
      <c r="I1274" s="8">
        <v>86.68</v>
      </c>
      <c r="J1274" t="s">
        <v>31</v>
      </c>
      <c r="K1274" t="s">
        <v>47</v>
      </c>
      <c r="O1274">
        <v>0</v>
      </c>
      <c r="P1274">
        <v>0</v>
      </c>
      <c r="Q1274">
        <v>0</v>
      </c>
      <c r="R1274">
        <v>0</v>
      </c>
      <c r="S1274">
        <v>1</v>
      </c>
      <c r="T1274">
        <v>1</v>
      </c>
      <c r="U1274">
        <v>1</v>
      </c>
      <c r="V1274">
        <v>0</v>
      </c>
      <c r="W1274" t="s">
        <v>1326</v>
      </c>
      <c r="AA1274">
        <v>2007</v>
      </c>
      <c r="AB1274">
        <v>9999</v>
      </c>
      <c r="AC1274" t="s">
        <v>35</v>
      </c>
    </row>
    <row r="1275" spans="1:29" x14ac:dyDescent="0.25">
      <c r="A1275" s="31" t="s">
        <v>786</v>
      </c>
      <c r="B1275" s="23" t="s">
        <v>787</v>
      </c>
      <c r="C1275" t="s">
        <v>788</v>
      </c>
      <c r="D1275">
        <v>1</v>
      </c>
      <c r="E1275" t="s">
        <v>120</v>
      </c>
      <c r="F1275">
        <v>3</v>
      </c>
      <c r="G1275">
        <v>2022</v>
      </c>
      <c r="I1275" s="8">
        <v>28.9</v>
      </c>
      <c r="J1275" t="s">
        <v>121</v>
      </c>
      <c r="K1275" t="s">
        <v>47</v>
      </c>
      <c r="O1275">
        <v>0</v>
      </c>
      <c r="P1275">
        <v>0</v>
      </c>
      <c r="Q1275">
        <v>0</v>
      </c>
      <c r="R1275">
        <v>0</v>
      </c>
      <c r="S1275">
        <v>1</v>
      </c>
      <c r="T1275">
        <v>1</v>
      </c>
      <c r="U1275">
        <v>1</v>
      </c>
      <c r="V1275">
        <v>0</v>
      </c>
      <c r="W1275" t="s">
        <v>1178</v>
      </c>
      <c r="AA1275">
        <v>2007</v>
      </c>
      <c r="AB1275">
        <v>9999</v>
      </c>
      <c r="AC1275" t="s">
        <v>35</v>
      </c>
    </row>
    <row r="1276" spans="1:29" x14ac:dyDescent="0.25">
      <c r="A1276" s="31" t="s">
        <v>790</v>
      </c>
      <c r="B1276" s="23" t="s">
        <v>791</v>
      </c>
      <c r="D1276">
        <v>1</v>
      </c>
      <c r="E1276" t="s">
        <v>80</v>
      </c>
      <c r="F1276">
        <v>8</v>
      </c>
      <c r="G1276">
        <v>2022</v>
      </c>
      <c r="I1276" s="8">
        <v>268.94</v>
      </c>
      <c r="J1276" t="s">
        <v>81</v>
      </c>
      <c r="K1276" t="s">
        <v>47</v>
      </c>
      <c r="O1276">
        <v>0</v>
      </c>
      <c r="P1276">
        <v>0</v>
      </c>
      <c r="Q1276">
        <v>0</v>
      </c>
      <c r="R1276">
        <v>0</v>
      </c>
      <c r="S1276">
        <v>1</v>
      </c>
      <c r="T1276">
        <v>1</v>
      </c>
      <c r="U1276">
        <v>1</v>
      </c>
      <c r="V1276">
        <v>0</v>
      </c>
      <c r="W1276" t="s">
        <v>1507</v>
      </c>
      <c r="AA1276">
        <v>2007</v>
      </c>
      <c r="AB1276">
        <v>9999</v>
      </c>
      <c r="AC1276" t="s">
        <v>35</v>
      </c>
    </row>
    <row r="1277" spans="1:29" ht="26.25" x14ac:dyDescent="0.25">
      <c r="A1277" s="31" t="s">
        <v>1327</v>
      </c>
      <c r="B1277" s="26" t="s">
        <v>1328</v>
      </c>
      <c r="C1277" t="s">
        <v>1329</v>
      </c>
      <c r="D1277">
        <v>1</v>
      </c>
      <c r="E1277" t="s">
        <v>218</v>
      </c>
      <c r="F1277">
        <v>2</v>
      </c>
      <c r="G1277">
        <v>2022</v>
      </c>
      <c r="I1277" s="8">
        <v>4</v>
      </c>
      <c r="J1277" t="s">
        <v>147</v>
      </c>
      <c r="K1277" t="s">
        <v>41</v>
      </c>
      <c r="O1277">
        <v>0</v>
      </c>
      <c r="P1277">
        <v>0</v>
      </c>
      <c r="Q1277">
        <v>0</v>
      </c>
      <c r="R1277">
        <v>0</v>
      </c>
      <c r="S1277">
        <v>0</v>
      </c>
      <c r="T1277">
        <v>1</v>
      </c>
      <c r="U1277">
        <v>1</v>
      </c>
      <c r="V1277">
        <v>0</v>
      </c>
      <c r="W1277" t="s">
        <v>1330</v>
      </c>
      <c r="AA1277">
        <v>2010</v>
      </c>
      <c r="AB1277">
        <v>9999</v>
      </c>
      <c r="AC1277" t="s">
        <v>1292</v>
      </c>
    </row>
    <row r="1278" spans="1:29" x14ac:dyDescent="0.25">
      <c r="A1278" s="31" t="s">
        <v>796</v>
      </c>
      <c r="B1278" s="23" t="s">
        <v>797</v>
      </c>
      <c r="C1278" t="s">
        <v>798</v>
      </c>
      <c r="D1278">
        <v>1</v>
      </c>
      <c r="E1278" t="s">
        <v>534</v>
      </c>
      <c r="F1278">
        <v>10</v>
      </c>
      <c r="G1278">
        <v>2022</v>
      </c>
      <c r="I1278" s="8">
        <v>3550.61</v>
      </c>
      <c r="J1278" t="s">
        <v>40</v>
      </c>
      <c r="K1278" t="s">
        <v>47</v>
      </c>
      <c r="O1278">
        <v>0</v>
      </c>
      <c r="P1278">
        <v>0</v>
      </c>
      <c r="Q1278">
        <v>0</v>
      </c>
      <c r="R1278">
        <v>0</v>
      </c>
      <c r="S1278">
        <v>1</v>
      </c>
      <c r="T1278">
        <v>1</v>
      </c>
      <c r="U1278">
        <v>1</v>
      </c>
      <c r="V1278">
        <v>0</v>
      </c>
      <c r="W1278" t="s">
        <v>1181</v>
      </c>
      <c r="AA1278">
        <v>2007</v>
      </c>
      <c r="AB1278">
        <v>9999</v>
      </c>
      <c r="AC1278" t="s">
        <v>35</v>
      </c>
    </row>
    <row r="1279" spans="1:29" x14ac:dyDescent="0.25">
      <c r="A1279" s="31" t="s">
        <v>800</v>
      </c>
      <c r="B1279" s="23" t="s">
        <v>801</v>
      </c>
      <c r="C1279" t="s">
        <v>802</v>
      </c>
      <c r="D1279">
        <v>1</v>
      </c>
      <c r="E1279" t="s">
        <v>442</v>
      </c>
      <c r="F1279">
        <v>4</v>
      </c>
      <c r="G1279">
        <v>2022</v>
      </c>
      <c r="I1279" s="8">
        <v>1565.14</v>
      </c>
      <c r="J1279" t="s">
        <v>89</v>
      </c>
      <c r="K1279" t="s">
        <v>32</v>
      </c>
      <c r="O1279">
        <v>0</v>
      </c>
      <c r="P1279">
        <v>0</v>
      </c>
      <c r="Q1279">
        <v>0</v>
      </c>
      <c r="R1279">
        <v>0</v>
      </c>
      <c r="S1279">
        <v>1</v>
      </c>
      <c r="T1279">
        <v>1</v>
      </c>
      <c r="U1279">
        <v>1</v>
      </c>
      <c r="V1279">
        <v>0</v>
      </c>
      <c r="W1279" t="s">
        <v>1331</v>
      </c>
      <c r="AA1279">
        <v>2007</v>
      </c>
      <c r="AB1279">
        <v>9999</v>
      </c>
      <c r="AC1279" t="s">
        <v>35</v>
      </c>
    </row>
    <row r="1280" spans="1:29" x14ac:dyDescent="0.25">
      <c r="A1280" s="31" t="s">
        <v>808</v>
      </c>
      <c r="B1280" s="23" t="s">
        <v>809</v>
      </c>
      <c r="D1280">
        <v>1</v>
      </c>
      <c r="E1280" t="s">
        <v>80</v>
      </c>
      <c r="F1280">
        <v>8</v>
      </c>
      <c r="G1280">
        <v>2022</v>
      </c>
      <c r="I1280" s="8">
        <v>21.25</v>
      </c>
      <c r="J1280" t="s">
        <v>81</v>
      </c>
      <c r="K1280" t="s">
        <v>47</v>
      </c>
      <c r="O1280">
        <v>0</v>
      </c>
      <c r="P1280">
        <v>0</v>
      </c>
      <c r="Q1280">
        <v>0</v>
      </c>
      <c r="R1280">
        <v>0</v>
      </c>
      <c r="S1280">
        <v>1</v>
      </c>
      <c r="T1280">
        <v>1</v>
      </c>
      <c r="U1280">
        <v>1</v>
      </c>
      <c r="V1280">
        <v>0</v>
      </c>
      <c r="W1280" t="s">
        <v>1184</v>
      </c>
      <c r="AA1280">
        <v>2007</v>
      </c>
      <c r="AB1280">
        <v>9999</v>
      </c>
      <c r="AC1280" t="s">
        <v>35</v>
      </c>
    </row>
    <row r="1281" spans="1:29" x14ac:dyDescent="0.25">
      <c r="A1281" s="31" t="s">
        <v>814</v>
      </c>
      <c r="B1281" s="23" t="s">
        <v>815</v>
      </c>
      <c r="D1281">
        <v>1</v>
      </c>
      <c r="E1281" t="s">
        <v>80</v>
      </c>
      <c r="F1281">
        <v>8</v>
      </c>
      <c r="G1281">
        <v>2022</v>
      </c>
      <c r="I1281" s="8">
        <v>105.69</v>
      </c>
      <c r="J1281" t="s">
        <v>81</v>
      </c>
      <c r="K1281" t="s">
        <v>32</v>
      </c>
      <c r="O1281">
        <v>0</v>
      </c>
      <c r="P1281">
        <v>0</v>
      </c>
      <c r="Q1281">
        <v>0</v>
      </c>
      <c r="R1281">
        <v>0</v>
      </c>
      <c r="S1281">
        <v>1</v>
      </c>
      <c r="T1281">
        <v>1</v>
      </c>
      <c r="U1281">
        <v>1</v>
      </c>
      <c r="V1281">
        <v>0</v>
      </c>
      <c r="W1281" t="s">
        <v>1432</v>
      </c>
      <c r="AA1281">
        <v>2007</v>
      </c>
      <c r="AB1281">
        <v>9999</v>
      </c>
      <c r="AC1281" t="s">
        <v>35</v>
      </c>
    </row>
    <row r="1282" spans="1:29" x14ac:dyDescent="0.25">
      <c r="A1282" s="31" t="s">
        <v>822</v>
      </c>
      <c r="B1282" s="23" t="s">
        <v>1603</v>
      </c>
      <c r="C1282" t="s">
        <v>1604</v>
      </c>
      <c r="D1282">
        <v>1</v>
      </c>
      <c r="E1282" t="s">
        <v>80</v>
      </c>
      <c r="F1282">
        <v>8</v>
      </c>
      <c r="G1282">
        <v>2022</v>
      </c>
      <c r="I1282" s="8">
        <v>222.29</v>
      </c>
      <c r="J1282" t="s">
        <v>81</v>
      </c>
      <c r="K1282" t="s">
        <v>47</v>
      </c>
      <c r="O1282">
        <v>0</v>
      </c>
      <c r="P1282">
        <v>0</v>
      </c>
      <c r="Q1282">
        <v>0</v>
      </c>
      <c r="R1282">
        <v>0</v>
      </c>
      <c r="S1282">
        <v>1</v>
      </c>
      <c r="T1282">
        <v>1</v>
      </c>
      <c r="U1282">
        <v>1</v>
      </c>
      <c r="V1282">
        <v>0</v>
      </c>
      <c r="W1282" t="s">
        <v>1187</v>
      </c>
      <c r="AA1282">
        <v>2007</v>
      </c>
      <c r="AB1282">
        <v>9999</v>
      </c>
      <c r="AC1282" t="s">
        <v>35</v>
      </c>
    </row>
    <row r="1283" spans="1:29" x14ac:dyDescent="0.25">
      <c r="A1283" s="31" t="s">
        <v>1374</v>
      </c>
      <c r="B1283" s="23" t="s">
        <v>1375</v>
      </c>
      <c r="D1283">
        <v>1</v>
      </c>
      <c r="E1283" t="s">
        <v>80</v>
      </c>
      <c r="F1283">
        <v>8</v>
      </c>
      <c r="G1283">
        <v>2022</v>
      </c>
      <c r="I1283" s="8">
        <v>20.55</v>
      </c>
      <c r="J1283" t="s">
        <v>81</v>
      </c>
      <c r="K1283" t="s">
        <v>47</v>
      </c>
      <c r="O1283">
        <v>0</v>
      </c>
      <c r="P1283">
        <v>0</v>
      </c>
      <c r="Q1283">
        <v>0</v>
      </c>
      <c r="R1283">
        <v>0</v>
      </c>
      <c r="S1283">
        <v>1</v>
      </c>
      <c r="T1283">
        <v>1</v>
      </c>
      <c r="U1283">
        <v>1</v>
      </c>
      <c r="V1283">
        <v>0</v>
      </c>
      <c r="W1283" t="s">
        <v>1376</v>
      </c>
      <c r="AA1283">
        <v>2011</v>
      </c>
      <c r="AB1283">
        <v>2023</v>
      </c>
      <c r="AC1283" t="s">
        <v>1377</v>
      </c>
    </row>
    <row r="1284" spans="1:29" x14ac:dyDescent="0.25">
      <c r="A1284" s="31" t="s">
        <v>825</v>
      </c>
      <c r="B1284" s="23" t="s">
        <v>826</v>
      </c>
      <c r="D1284">
        <v>1</v>
      </c>
      <c r="E1284" t="s">
        <v>80</v>
      </c>
      <c r="F1284">
        <v>8</v>
      </c>
      <c r="G1284">
        <v>2022</v>
      </c>
      <c r="I1284" s="8">
        <v>123.09</v>
      </c>
      <c r="J1284" t="s">
        <v>81</v>
      </c>
      <c r="K1284" t="s">
        <v>47</v>
      </c>
      <c r="O1284">
        <v>0</v>
      </c>
      <c r="P1284">
        <v>0</v>
      </c>
      <c r="Q1284">
        <v>0</v>
      </c>
      <c r="R1284">
        <v>0</v>
      </c>
      <c r="S1284">
        <v>1</v>
      </c>
      <c r="T1284">
        <v>1</v>
      </c>
      <c r="U1284">
        <v>1</v>
      </c>
      <c r="V1284">
        <v>0</v>
      </c>
      <c r="W1284" t="s">
        <v>1188</v>
      </c>
      <c r="AA1284">
        <v>2007</v>
      </c>
      <c r="AB1284">
        <v>9999</v>
      </c>
      <c r="AC1284" t="s">
        <v>35</v>
      </c>
    </row>
    <row r="1285" spans="1:29" x14ac:dyDescent="0.25">
      <c r="A1285" s="31" t="s">
        <v>828</v>
      </c>
      <c r="B1285" s="23" t="s">
        <v>1408</v>
      </c>
      <c r="C1285" t="s">
        <v>1409</v>
      </c>
      <c r="D1285">
        <v>1</v>
      </c>
      <c r="E1285" t="s">
        <v>80</v>
      </c>
      <c r="F1285">
        <v>8</v>
      </c>
      <c r="G1285">
        <v>2022</v>
      </c>
      <c r="I1285" s="8">
        <v>66.790000000000006</v>
      </c>
      <c r="J1285" t="s">
        <v>81</v>
      </c>
      <c r="K1285" t="s">
        <v>47</v>
      </c>
      <c r="O1285">
        <v>0</v>
      </c>
      <c r="P1285">
        <v>0</v>
      </c>
      <c r="Q1285">
        <v>0</v>
      </c>
      <c r="R1285">
        <v>0</v>
      </c>
      <c r="S1285">
        <v>1</v>
      </c>
      <c r="T1285">
        <v>1</v>
      </c>
      <c r="U1285">
        <v>1</v>
      </c>
      <c r="V1285">
        <v>0</v>
      </c>
      <c r="W1285" t="s">
        <v>1410</v>
      </c>
      <c r="AA1285">
        <v>2007</v>
      </c>
      <c r="AB1285">
        <v>9999</v>
      </c>
      <c r="AC1285" t="s">
        <v>35</v>
      </c>
    </row>
    <row r="1286" spans="1:29" x14ac:dyDescent="0.25">
      <c r="A1286" s="31" t="s">
        <v>831</v>
      </c>
      <c r="B1286" s="23" t="s">
        <v>832</v>
      </c>
      <c r="C1286" t="s">
        <v>833</v>
      </c>
      <c r="D1286">
        <v>1</v>
      </c>
      <c r="E1286" t="s">
        <v>38</v>
      </c>
      <c r="F1286">
        <v>4</v>
      </c>
      <c r="G1286">
        <v>2022</v>
      </c>
      <c r="H1286" t="s">
        <v>906</v>
      </c>
      <c r="I1286" s="15">
        <v>0.04</v>
      </c>
      <c r="J1286" t="s">
        <v>59</v>
      </c>
      <c r="K1286" t="s">
        <v>41</v>
      </c>
      <c r="O1286">
        <v>0</v>
      </c>
      <c r="P1286">
        <v>0</v>
      </c>
      <c r="Q1286">
        <v>0</v>
      </c>
      <c r="R1286">
        <v>0</v>
      </c>
      <c r="S1286">
        <v>0</v>
      </c>
      <c r="T1286">
        <v>0</v>
      </c>
      <c r="U1286">
        <v>0</v>
      </c>
      <c r="V1286">
        <v>0</v>
      </c>
      <c r="W1286" t="s">
        <v>1190</v>
      </c>
      <c r="AA1286">
        <v>2007</v>
      </c>
      <c r="AB1286">
        <v>9999</v>
      </c>
      <c r="AC1286" t="s">
        <v>35</v>
      </c>
    </row>
    <row r="1287" spans="1:29" x14ac:dyDescent="0.25">
      <c r="A1287" s="31" t="s">
        <v>1433</v>
      </c>
      <c r="B1287" s="23" t="s">
        <v>1434</v>
      </c>
      <c r="D1287">
        <v>1</v>
      </c>
      <c r="E1287" s="4">
        <v>133</v>
      </c>
      <c r="F1287">
        <v>1</v>
      </c>
      <c r="G1287">
        <v>2022</v>
      </c>
      <c r="I1287" s="8">
        <v>1366.9</v>
      </c>
      <c r="J1287" t="s">
        <v>52</v>
      </c>
      <c r="K1287" t="s">
        <v>32</v>
      </c>
      <c r="O1287">
        <v>0</v>
      </c>
      <c r="P1287">
        <v>0</v>
      </c>
      <c r="Q1287">
        <v>0</v>
      </c>
      <c r="R1287">
        <v>0</v>
      </c>
      <c r="S1287">
        <v>1</v>
      </c>
      <c r="T1287">
        <v>1</v>
      </c>
      <c r="U1287">
        <v>1</v>
      </c>
      <c r="V1287">
        <v>0</v>
      </c>
      <c r="W1287" t="s">
        <v>1435</v>
      </c>
      <c r="AA1287">
        <v>2013</v>
      </c>
      <c r="AB1287">
        <v>9999</v>
      </c>
      <c r="AC1287" t="s">
        <v>1419</v>
      </c>
    </row>
    <row r="1288" spans="1:29" x14ac:dyDescent="0.25">
      <c r="A1288" s="31" t="s">
        <v>1194</v>
      </c>
      <c r="B1288" s="23" t="s">
        <v>1195</v>
      </c>
      <c r="D1288">
        <v>1</v>
      </c>
      <c r="E1288" t="s">
        <v>85</v>
      </c>
      <c r="F1288">
        <v>1</v>
      </c>
      <c r="G1288">
        <v>2022</v>
      </c>
      <c r="H1288" t="s">
        <v>39</v>
      </c>
      <c r="I1288" s="15">
        <v>0.25</v>
      </c>
      <c r="J1288" t="s">
        <v>52</v>
      </c>
      <c r="K1288" t="s">
        <v>41</v>
      </c>
      <c r="O1288">
        <v>0</v>
      </c>
      <c r="P1288">
        <v>0</v>
      </c>
      <c r="Q1288">
        <v>0</v>
      </c>
      <c r="R1288">
        <v>0</v>
      </c>
      <c r="S1288">
        <v>0</v>
      </c>
      <c r="T1288">
        <v>0</v>
      </c>
      <c r="U1288">
        <v>0</v>
      </c>
      <c r="V1288">
        <v>0</v>
      </c>
      <c r="W1288" t="s">
        <v>1267</v>
      </c>
      <c r="AA1288">
        <v>2008</v>
      </c>
      <c r="AB1288">
        <v>9999</v>
      </c>
      <c r="AC1288" t="s">
        <v>1054</v>
      </c>
    </row>
    <row r="1289" spans="1:29" x14ac:dyDescent="0.25">
      <c r="A1289" s="31" t="s">
        <v>1268</v>
      </c>
      <c r="B1289" s="23" t="s">
        <v>1262</v>
      </c>
      <c r="C1289" t="s">
        <v>1605</v>
      </c>
      <c r="D1289">
        <v>1</v>
      </c>
      <c r="E1289" t="s">
        <v>300</v>
      </c>
      <c r="F1289">
        <v>9</v>
      </c>
      <c r="G1289">
        <v>2022</v>
      </c>
      <c r="I1289" s="8">
        <v>420</v>
      </c>
      <c r="J1289" t="s">
        <v>104</v>
      </c>
      <c r="K1289" t="s">
        <v>47</v>
      </c>
      <c r="O1289">
        <v>0</v>
      </c>
      <c r="P1289">
        <v>0</v>
      </c>
      <c r="Q1289">
        <v>0</v>
      </c>
      <c r="R1289">
        <v>0</v>
      </c>
      <c r="S1289">
        <v>1</v>
      </c>
      <c r="T1289">
        <v>1</v>
      </c>
      <c r="U1289">
        <v>1</v>
      </c>
      <c r="V1289">
        <v>0</v>
      </c>
      <c r="W1289" t="s">
        <v>1411</v>
      </c>
      <c r="AA1289">
        <v>2009</v>
      </c>
      <c r="AB1289">
        <v>9999</v>
      </c>
      <c r="AC1289" t="s">
        <v>1239</v>
      </c>
    </row>
    <row r="1290" spans="1:29" x14ac:dyDescent="0.25">
      <c r="A1290" s="31" t="s">
        <v>845</v>
      </c>
      <c r="B1290" s="23" t="s">
        <v>846</v>
      </c>
      <c r="C1290" t="s">
        <v>847</v>
      </c>
      <c r="D1290">
        <v>1</v>
      </c>
      <c r="E1290" t="s">
        <v>300</v>
      </c>
      <c r="F1290">
        <v>9</v>
      </c>
      <c r="G1290">
        <v>2022</v>
      </c>
      <c r="I1290" s="8">
        <v>773.35</v>
      </c>
      <c r="J1290" t="s">
        <v>104</v>
      </c>
      <c r="K1290" t="s">
        <v>47</v>
      </c>
      <c r="O1290">
        <v>0</v>
      </c>
      <c r="P1290">
        <v>0</v>
      </c>
      <c r="Q1290">
        <v>0</v>
      </c>
      <c r="R1290">
        <v>0</v>
      </c>
      <c r="S1290">
        <v>1</v>
      </c>
      <c r="T1290">
        <v>1</v>
      </c>
      <c r="U1290">
        <v>1</v>
      </c>
      <c r="V1290">
        <v>0</v>
      </c>
      <c r="W1290" t="s">
        <v>1517</v>
      </c>
      <c r="AA1290">
        <v>2007</v>
      </c>
      <c r="AB1290">
        <v>9999</v>
      </c>
      <c r="AC1290" t="s">
        <v>35</v>
      </c>
    </row>
    <row r="1291" spans="1:29" x14ac:dyDescent="0.25">
      <c r="A1291" s="31" t="s">
        <v>852</v>
      </c>
      <c r="B1291" s="23" t="s">
        <v>853</v>
      </c>
      <c r="D1291">
        <v>1</v>
      </c>
      <c r="E1291" t="s">
        <v>85</v>
      </c>
      <c r="F1291">
        <v>1</v>
      </c>
      <c r="G1291">
        <v>2022</v>
      </c>
      <c r="H1291" t="s">
        <v>837</v>
      </c>
      <c r="I1291" s="15">
        <v>2.5999999999999999E-2</v>
      </c>
      <c r="J1291" t="s">
        <v>52</v>
      </c>
      <c r="K1291" t="s">
        <v>41</v>
      </c>
      <c r="O1291">
        <v>0</v>
      </c>
      <c r="P1291">
        <v>0</v>
      </c>
      <c r="Q1291">
        <v>0</v>
      </c>
      <c r="R1291">
        <v>0</v>
      </c>
      <c r="S1291">
        <v>0</v>
      </c>
      <c r="T1291">
        <v>0</v>
      </c>
      <c r="U1291">
        <v>0</v>
      </c>
      <c r="V1291">
        <v>0</v>
      </c>
      <c r="W1291" t="s">
        <v>1191</v>
      </c>
      <c r="AA1291">
        <v>2007</v>
      </c>
      <c r="AB1291">
        <v>9999</v>
      </c>
      <c r="AC1291" t="s">
        <v>35</v>
      </c>
    </row>
    <row r="1292" spans="1:29" x14ac:dyDescent="0.25">
      <c r="A1292" s="31" t="s">
        <v>836</v>
      </c>
      <c r="B1292" s="23" t="s">
        <v>1413</v>
      </c>
      <c r="D1292">
        <v>1</v>
      </c>
      <c r="E1292" t="s">
        <v>64</v>
      </c>
      <c r="F1292">
        <v>1</v>
      </c>
      <c r="G1292">
        <v>2022</v>
      </c>
      <c r="I1292" s="8">
        <v>232.88</v>
      </c>
      <c r="J1292" t="s">
        <v>52</v>
      </c>
      <c r="K1292" t="s">
        <v>32</v>
      </c>
      <c r="O1292">
        <v>0</v>
      </c>
      <c r="P1292">
        <v>0</v>
      </c>
      <c r="Q1292">
        <v>0</v>
      </c>
      <c r="R1292">
        <v>0</v>
      </c>
      <c r="S1292">
        <v>1</v>
      </c>
      <c r="T1292">
        <v>1</v>
      </c>
      <c r="U1292">
        <v>1</v>
      </c>
      <c r="V1292">
        <v>0</v>
      </c>
      <c r="W1292" t="s">
        <v>1191</v>
      </c>
      <c r="AA1292">
        <v>2007</v>
      </c>
      <c r="AB1292">
        <v>9999</v>
      </c>
      <c r="AC1292" t="s">
        <v>35</v>
      </c>
    </row>
    <row r="1293" spans="1:29" x14ac:dyDescent="0.25">
      <c r="A1293" s="31" t="s">
        <v>862</v>
      </c>
      <c r="B1293" s="23" t="s">
        <v>863</v>
      </c>
      <c r="C1293" t="s">
        <v>864</v>
      </c>
      <c r="D1293">
        <v>1</v>
      </c>
      <c r="E1293" t="s">
        <v>442</v>
      </c>
      <c r="F1293">
        <v>4</v>
      </c>
      <c r="G1293">
        <v>2022</v>
      </c>
      <c r="I1293" s="8">
        <v>348.96</v>
      </c>
      <c r="J1293" t="s">
        <v>89</v>
      </c>
      <c r="K1293" t="s">
        <v>47</v>
      </c>
      <c r="O1293">
        <v>0</v>
      </c>
      <c r="P1293">
        <v>0</v>
      </c>
      <c r="Q1293">
        <v>0</v>
      </c>
      <c r="R1293">
        <v>0</v>
      </c>
      <c r="S1293">
        <v>1</v>
      </c>
      <c r="T1293">
        <v>1</v>
      </c>
      <c r="U1293">
        <v>1</v>
      </c>
      <c r="V1293">
        <v>0</v>
      </c>
      <c r="W1293" t="s">
        <v>1334</v>
      </c>
      <c r="AA1293">
        <v>2007</v>
      </c>
      <c r="AB1293">
        <v>9999</v>
      </c>
      <c r="AC1293" t="s">
        <v>35</v>
      </c>
    </row>
    <row r="1294" spans="1:29" x14ac:dyDescent="0.25">
      <c r="A1294" s="31" t="s">
        <v>866</v>
      </c>
      <c r="B1294" s="23" t="s">
        <v>867</v>
      </c>
      <c r="C1294" t="s">
        <v>868</v>
      </c>
      <c r="D1294">
        <v>1</v>
      </c>
      <c r="E1294" t="s">
        <v>869</v>
      </c>
      <c r="F1294">
        <v>4</v>
      </c>
      <c r="G1294">
        <v>2022</v>
      </c>
      <c r="I1294" s="8">
        <v>205.76</v>
      </c>
      <c r="J1294" t="s">
        <v>1556</v>
      </c>
      <c r="K1294" t="s">
        <v>32</v>
      </c>
      <c r="O1294">
        <v>0</v>
      </c>
      <c r="P1294">
        <v>0</v>
      </c>
      <c r="Q1294">
        <v>0</v>
      </c>
      <c r="R1294">
        <v>0</v>
      </c>
      <c r="S1294">
        <v>1</v>
      </c>
      <c r="T1294">
        <v>1</v>
      </c>
      <c r="U1294">
        <v>1</v>
      </c>
      <c r="V1294">
        <v>0</v>
      </c>
      <c r="W1294" t="s">
        <v>1199</v>
      </c>
      <c r="AA1294">
        <v>2007</v>
      </c>
      <c r="AB1294">
        <v>9999</v>
      </c>
      <c r="AC1294" t="s">
        <v>35</v>
      </c>
    </row>
    <row r="1295" spans="1:29" x14ac:dyDescent="0.25">
      <c r="A1295" s="31" t="s">
        <v>1023</v>
      </c>
      <c r="B1295" s="23" t="s">
        <v>1200</v>
      </c>
      <c r="D1295">
        <v>1</v>
      </c>
      <c r="E1295" t="s">
        <v>85</v>
      </c>
      <c r="F1295">
        <v>1</v>
      </c>
      <c r="G1295">
        <v>2022</v>
      </c>
      <c r="H1295" t="s">
        <v>39</v>
      </c>
      <c r="I1295" s="15">
        <v>3.5</v>
      </c>
      <c r="J1295" t="s">
        <v>52</v>
      </c>
      <c r="K1295" t="s">
        <v>41</v>
      </c>
      <c r="O1295">
        <v>0</v>
      </c>
      <c r="P1295">
        <v>0</v>
      </c>
      <c r="Q1295">
        <v>0</v>
      </c>
      <c r="R1295">
        <v>0</v>
      </c>
      <c r="S1295">
        <v>0</v>
      </c>
      <c r="T1295">
        <v>0</v>
      </c>
      <c r="U1295">
        <v>0</v>
      </c>
      <c r="V1295">
        <v>0</v>
      </c>
      <c r="W1295" t="s">
        <v>1271</v>
      </c>
      <c r="AA1295">
        <v>2007</v>
      </c>
      <c r="AB1295">
        <v>9999</v>
      </c>
      <c r="AC1295" t="s">
        <v>35</v>
      </c>
    </row>
    <row r="1296" spans="1:29" x14ac:dyDescent="0.25">
      <c r="A1296" s="31" t="s">
        <v>871</v>
      </c>
      <c r="B1296" s="23" t="s">
        <v>872</v>
      </c>
      <c r="C1296" t="s">
        <v>873</v>
      </c>
      <c r="D1296">
        <v>1</v>
      </c>
      <c r="E1296" t="s">
        <v>874</v>
      </c>
      <c r="F1296">
        <v>1</v>
      </c>
      <c r="G1296">
        <v>2022</v>
      </c>
      <c r="I1296" s="8">
        <v>971.42</v>
      </c>
      <c r="J1296" t="s">
        <v>52</v>
      </c>
      <c r="K1296" t="s">
        <v>47</v>
      </c>
      <c r="O1296">
        <v>0</v>
      </c>
      <c r="P1296">
        <v>0</v>
      </c>
      <c r="Q1296">
        <v>0</v>
      </c>
      <c r="R1296">
        <v>0</v>
      </c>
      <c r="S1296">
        <v>1</v>
      </c>
      <c r="T1296">
        <v>1</v>
      </c>
      <c r="U1296">
        <v>1</v>
      </c>
      <c r="V1296">
        <v>0</v>
      </c>
      <c r="W1296" t="s">
        <v>1528</v>
      </c>
      <c r="AA1296">
        <v>2007</v>
      </c>
      <c r="AB1296">
        <v>9999</v>
      </c>
      <c r="AC1296" t="s">
        <v>35</v>
      </c>
    </row>
    <row r="1297" spans="1:29" x14ac:dyDescent="0.25">
      <c r="A1297" s="31" t="s">
        <v>876</v>
      </c>
      <c r="B1297" s="23" t="s">
        <v>877</v>
      </c>
      <c r="C1297" t="s">
        <v>878</v>
      </c>
      <c r="D1297">
        <v>1</v>
      </c>
      <c r="E1297" t="s">
        <v>168</v>
      </c>
      <c r="F1297">
        <v>1</v>
      </c>
      <c r="G1297">
        <v>2022</v>
      </c>
      <c r="I1297" s="8">
        <v>70.25</v>
      </c>
      <c r="J1297" t="s">
        <v>52</v>
      </c>
      <c r="K1297" t="s">
        <v>47</v>
      </c>
      <c r="O1297">
        <v>0</v>
      </c>
      <c r="P1297">
        <v>0</v>
      </c>
      <c r="Q1297">
        <v>0</v>
      </c>
      <c r="R1297">
        <v>0</v>
      </c>
      <c r="S1297">
        <v>1</v>
      </c>
      <c r="T1297">
        <v>1</v>
      </c>
      <c r="U1297">
        <v>1</v>
      </c>
      <c r="V1297">
        <v>0</v>
      </c>
      <c r="W1297" t="s">
        <v>1202</v>
      </c>
      <c r="AA1297">
        <v>2007</v>
      </c>
      <c r="AB1297">
        <v>9999</v>
      </c>
      <c r="AC1297" t="s">
        <v>35</v>
      </c>
    </row>
    <row r="1298" spans="1:29" x14ac:dyDescent="0.25">
      <c r="A1298" s="31" t="s">
        <v>1468</v>
      </c>
      <c r="B1298" s="23" t="s">
        <v>1469</v>
      </c>
      <c r="D1298">
        <v>1</v>
      </c>
      <c r="E1298" s="4">
        <v>941</v>
      </c>
      <c r="F1298">
        <v>9</v>
      </c>
      <c r="G1298">
        <v>2022</v>
      </c>
      <c r="I1298" s="8">
        <v>198.32</v>
      </c>
      <c r="J1298" t="s">
        <v>104</v>
      </c>
      <c r="K1298" t="s">
        <v>53</v>
      </c>
      <c r="L1298" t="s">
        <v>105</v>
      </c>
      <c r="O1298">
        <v>0</v>
      </c>
      <c r="P1298">
        <v>1</v>
      </c>
      <c r="Q1298">
        <v>0</v>
      </c>
      <c r="R1298">
        <v>0</v>
      </c>
      <c r="S1298">
        <v>1</v>
      </c>
      <c r="T1298">
        <v>1</v>
      </c>
      <c r="U1298">
        <v>1</v>
      </c>
      <c r="V1298">
        <v>0</v>
      </c>
      <c r="W1298" t="s">
        <v>106</v>
      </c>
      <c r="AA1298">
        <v>2014</v>
      </c>
      <c r="AB1298">
        <v>9999</v>
      </c>
      <c r="AC1298" t="s">
        <v>1449</v>
      </c>
    </row>
    <row r="1299" spans="1:29" x14ac:dyDescent="0.25">
      <c r="A1299" s="31" t="s">
        <v>880</v>
      </c>
      <c r="B1299" s="23" t="s">
        <v>881</v>
      </c>
      <c r="C1299" t="s">
        <v>882</v>
      </c>
      <c r="D1299">
        <v>1</v>
      </c>
      <c r="E1299" t="s">
        <v>103</v>
      </c>
      <c r="F1299">
        <v>9</v>
      </c>
      <c r="G1299">
        <v>2022</v>
      </c>
      <c r="I1299" s="8">
        <v>4960.75</v>
      </c>
      <c r="J1299" t="s">
        <v>104</v>
      </c>
      <c r="K1299" t="s">
        <v>53</v>
      </c>
      <c r="L1299" t="s">
        <v>105</v>
      </c>
      <c r="O1299">
        <v>0</v>
      </c>
      <c r="P1299">
        <v>1</v>
      </c>
      <c r="Q1299">
        <v>0</v>
      </c>
      <c r="R1299">
        <v>0</v>
      </c>
      <c r="S1299">
        <v>1</v>
      </c>
      <c r="T1299">
        <v>1</v>
      </c>
      <c r="U1299">
        <v>1</v>
      </c>
      <c r="V1299">
        <v>0</v>
      </c>
      <c r="W1299" t="s">
        <v>106</v>
      </c>
      <c r="AA1299">
        <v>2007</v>
      </c>
      <c r="AB1299">
        <v>9999</v>
      </c>
      <c r="AC1299" t="s">
        <v>35</v>
      </c>
    </row>
    <row r="1300" spans="1:29" x14ac:dyDescent="0.25">
      <c r="A1300" s="31" t="s">
        <v>1272</v>
      </c>
      <c r="B1300" s="23" t="s">
        <v>1273</v>
      </c>
      <c r="D1300">
        <v>1</v>
      </c>
      <c r="E1300" t="s">
        <v>1274</v>
      </c>
      <c r="F1300">
        <v>4</v>
      </c>
      <c r="G1300">
        <v>2022</v>
      </c>
      <c r="I1300" s="8">
        <v>276.37</v>
      </c>
      <c r="J1300" t="s">
        <v>31</v>
      </c>
      <c r="K1300" t="s">
        <v>47</v>
      </c>
      <c r="O1300">
        <v>0</v>
      </c>
      <c r="P1300">
        <v>0</v>
      </c>
      <c r="Q1300">
        <v>0</v>
      </c>
      <c r="R1300">
        <v>0</v>
      </c>
      <c r="S1300">
        <v>1</v>
      </c>
      <c r="T1300">
        <v>1</v>
      </c>
      <c r="U1300">
        <v>1</v>
      </c>
      <c r="V1300">
        <v>0</v>
      </c>
      <c r="W1300" t="s">
        <v>1275</v>
      </c>
      <c r="AA1300">
        <v>2009</v>
      </c>
      <c r="AB1300">
        <v>9999</v>
      </c>
      <c r="AC1300" t="s">
        <v>1239</v>
      </c>
    </row>
    <row r="1301" spans="1:29" x14ac:dyDescent="0.25">
      <c r="A1301" s="31" t="s">
        <v>883</v>
      </c>
      <c r="B1301" s="23" t="s">
        <v>884</v>
      </c>
      <c r="C1301" t="s">
        <v>885</v>
      </c>
      <c r="D1301">
        <v>1</v>
      </c>
      <c r="E1301" t="s">
        <v>45</v>
      </c>
      <c r="F1301">
        <v>4</v>
      </c>
      <c r="G1301">
        <v>2022</v>
      </c>
      <c r="I1301" s="8">
        <v>106.9</v>
      </c>
      <c r="J1301" t="s">
        <v>176</v>
      </c>
      <c r="K1301" t="s">
        <v>47</v>
      </c>
      <c r="O1301">
        <v>0</v>
      </c>
      <c r="P1301">
        <v>0</v>
      </c>
      <c r="Q1301">
        <v>0</v>
      </c>
      <c r="R1301">
        <v>0</v>
      </c>
      <c r="S1301">
        <v>1</v>
      </c>
      <c r="T1301">
        <v>1</v>
      </c>
      <c r="U1301">
        <v>1</v>
      </c>
      <c r="V1301">
        <v>0</v>
      </c>
      <c r="W1301" t="s">
        <v>1606</v>
      </c>
      <c r="AA1301">
        <v>2007</v>
      </c>
      <c r="AB1301">
        <v>9999</v>
      </c>
      <c r="AC1301" t="s">
        <v>35</v>
      </c>
    </row>
    <row r="1302" spans="1:29" x14ac:dyDescent="0.25">
      <c r="A1302" s="31" t="s">
        <v>887</v>
      </c>
      <c r="B1302" s="23" t="s">
        <v>888</v>
      </c>
      <c r="C1302" t="s">
        <v>889</v>
      </c>
      <c r="D1302">
        <v>1</v>
      </c>
      <c r="E1302" t="s">
        <v>335</v>
      </c>
      <c r="F1302">
        <v>1</v>
      </c>
      <c r="G1302">
        <v>2022</v>
      </c>
      <c r="I1302" s="8">
        <v>661.63</v>
      </c>
      <c r="J1302" t="s">
        <v>176</v>
      </c>
      <c r="K1302" t="s">
        <v>32</v>
      </c>
      <c r="O1302">
        <v>0</v>
      </c>
      <c r="P1302">
        <v>0</v>
      </c>
      <c r="Q1302">
        <v>0</v>
      </c>
      <c r="R1302">
        <v>0</v>
      </c>
      <c r="S1302">
        <v>1</v>
      </c>
      <c r="T1302">
        <v>1</v>
      </c>
      <c r="U1302">
        <v>1</v>
      </c>
      <c r="V1302">
        <v>0</v>
      </c>
      <c r="W1302" t="s">
        <v>1381</v>
      </c>
      <c r="AA1302">
        <v>2007</v>
      </c>
      <c r="AB1302">
        <v>9999</v>
      </c>
      <c r="AC1302" t="s">
        <v>35</v>
      </c>
    </row>
    <row r="1303" spans="1:29" x14ac:dyDescent="0.25">
      <c r="A1303" s="31" t="s">
        <v>894</v>
      </c>
      <c r="B1303" s="23" t="s">
        <v>895</v>
      </c>
      <c r="D1303">
        <v>1</v>
      </c>
      <c r="E1303" t="s">
        <v>38</v>
      </c>
      <c r="F1303">
        <v>4</v>
      </c>
      <c r="G1303">
        <v>2022</v>
      </c>
      <c r="H1303" t="s">
        <v>715</v>
      </c>
      <c r="I1303" s="15"/>
      <c r="J1303" t="s">
        <v>89</v>
      </c>
      <c r="K1303" t="s">
        <v>53</v>
      </c>
      <c r="L1303" t="s">
        <v>53</v>
      </c>
      <c r="O1303">
        <v>0</v>
      </c>
      <c r="P1303">
        <v>0</v>
      </c>
      <c r="Q1303">
        <v>0</v>
      </c>
      <c r="R1303">
        <v>0</v>
      </c>
      <c r="S1303">
        <v>0</v>
      </c>
      <c r="T1303">
        <v>0</v>
      </c>
      <c r="U1303">
        <v>0</v>
      </c>
      <c r="V1303">
        <v>0</v>
      </c>
      <c r="W1303" t="s">
        <v>897</v>
      </c>
      <c r="AA1303">
        <v>2007</v>
      </c>
      <c r="AB1303">
        <v>9999</v>
      </c>
      <c r="AC1303" t="s">
        <v>35</v>
      </c>
    </row>
    <row r="1304" spans="1:29" x14ac:dyDescent="0.25">
      <c r="A1304" s="31" t="s">
        <v>900</v>
      </c>
      <c r="B1304" s="23" t="s">
        <v>901</v>
      </c>
      <c r="D1304">
        <v>1</v>
      </c>
      <c r="E1304" t="s">
        <v>38</v>
      </c>
      <c r="F1304">
        <v>4</v>
      </c>
      <c r="G1304">
        <v>2022</v>
      </c>
      <c r="H1304" t="s">
        <v>596</v>
      </c>
      <c r="I1304" s="15">
        <v>0.5</v>
      </c>
      <c r="J1304" t="s">
        <v>89</v>
      </c>
      <c r="K1304" t="s">
        <v>53</v>
      </c>
      <c r="L1304" t="s">
        <v>902</v>
      </c>
      <c r="O1304">
        <v>0</v>
      </c>
      <c r="P1304">
        <v>0</v>
      </c>
      <c r="Q1304">
        <v>0</v>
      </c>
      <c r="R1304">
        <v>0</v>
      </c>
      <c r="S1304">
        <v>0</v>
      </c>
      <c r="T1304">
        <v>0</v>
      </c>
      <c r="U1304">
        <v>0</v>
      </c>
      <c r="V1304">
        <v>0</v>
      </c>
      <c r="W1304" t="s">
        <v>903</v>
      </c>
      <c r="AA1304">
        <v>2007</v>
      </c>
      <c r="AB1304">
        <v>9999</v>
      </c>
      <c r="AC1304" t="s">
        <v>35</v>
      </c>
    </row>
    <row r="1305" spans="1:29" x14ac:dyDescent="0.25">
      <c r="A1305" s="31" t="s">
        <v>904</v>
      </c>
      <c r="B1305" s="23" t="s">
        <v>1436</v>
      </c>
      <c r="D1305">
        <v>1</v>
      </c>
      <c r="E1305" t="s">
        <v>38</v>
      </c>
      <c r="F1305">
        <v>4</v>
      </c>
      <c r="G1305">
        <v>2022</v>
      </c>
      <c r="H1305" t="s">
        <v>906</v>
      </c>
      <c r="I1305" s="15">
        <v>0.5</v>
      </c>
      <c r="J1305" t="s">
        <v>59</v>
      </c>
      <c r="K1305" t="s">
        <v>53</v>
      </c>
      <c r="L1305" t="s">
        <v>902</v>
      </c>
      <c r="O1305">
        <v>0</v>
      </c>
      <c r="P1305">
        <v>0</v>
      </c>
      <c r="Q1305">
        <v>0</v>
      </c>
      <c r="R1305">
        <v>0</v>
      </c>
      <c r="S1305">
        <v>0</v>
      </c>
      <c r="T1305">
        <v>0</v>
      </c>
      <c r="U1305">
        <v>0</v>
      </c>
      <c r="V1305">
        <v>0</v>
      </c>
      <c r="W1305" t="s">
        <v>907</v>
      </c>
      <c r="AA1305">
        <v>2007</v>
      </c>
      <c r="AB1305">
        <v>9999</v>
      </c>
      <c r="AC1305" t="s">
        <v>35</v>
      </c>
    </row>
    <row r="1306" spans="1:29" x14ac:dyDescent="0.25">
      <c r="A1306" s="31" t="s">
        <v>908</v>
      </c>
      <c r="B1306" s="23" t="s">
        <v>909</v>
      </c>
      <c r="C1306" t="s">
        <v>910</v>
      </c>
      <c r="D1306">
        <v>1</v>
      </c>
      <c r="E1306" t="s">
        <v>911</v>
      </c>
      <c r="F1306">
        <v>1</v>
      </c>
      <c r="G1306">
        <v>2022</v>
      </c>
      <c r="I1306" s="8">
        <v>115.3</v>
      </c>
      <c r="J1306" t="s">
        <v>176</v>
      </c>
      <c r="K1306" t="s">
        <v>47</v>
      </c>
      <c r="O1306">
        <v>0</v>
      </c>
      <c r="P1306">
        <v>0</v>
      </c>
      <c r="Q1306">
        <v>0</v>
      </c>
      <c r="R1306">
        <v>0</v>
      </c>
      <c r="S1306">
        <v>1</v>
      </c>
      <c r="T1306">
        <v>1</v>
      </c>
      <c r="U1306">
        <v>1</v>
      </c>
      <c r="V1306">
        <v>0</v>
      </c>
      <c r="W1306" t="s">
        <v>1518</v>
      </c>
      <c r="AA1306">
        <v>2007</v>
      </c>
      <c r="AB1306">
        <v>9999</v>
      </c>
      <c r="AC1306" t="s">
        <v>35</v>
      </c>
    </row>
    <row r="1307" spans="1:29" x14ac:dyDescent="0.25">
      <c r="A1307" s="31" t="s">
        <v>913</v>
      </c>
      <c r="B1307" s="23" t="s">
        <v>914</v>
      </c>
      <c r="C1307" t="s">
        <v>915</v>
      </c>
      <c r="D1307">
        <v>1</v>
      </c>
      <c r="E1307" t="s">
        <v>911</v>
      </c>
      <c r="F1307">
        <v>1</v>
      </c>
      <c r="G1307">
        <v>2022</v>
      </c>
      <c r="I1307" s="8">
        <v>13.05</v>
      </c>
      <c r="J1307" t="s">
        <v>268</v>
      </c>
      <c r="K1307" t="s">
        <v>47</v>
      </c>
      <c r="O1307">
        <v>0</v>
      </c>
      <c r="P1307">
        <v>0</v>
      </c>
      <c r="Q1307">
        <v>0</v>
      </c>
      <c r="R1307">
        <v>0</v>
      </c>
      <c r="S1307">
        <v>1</v>
      </c>
      <c r="T1307">
        <v>1</v>
      </c>
      <c r="U1307">
        <v>1</v>
      </c>
      <c r="V1307">
        <v>0</v>
      </c>
      <c r="W1307" t="s">
        <v>1276</v>
      </c>
      <c r="AA1307">
        <v>2007</v>
      </c>
      <c r="AB1307">
        <v>9999</v>
      </c>
      <c r="AC1307" t="s">
        <v>35</v>
      </c>
    </row>
    <row r="1308" spans="1:29" x14ac:dyDescent="0.25">
      <c r="A1308" s="31" t="s">
        <v>1529</v>
      </c>
      <c r="B1308" s="23" t="s">
        <v>1530</v>
      </c>
      <c r="D1308">
        <v>1</v>
      </c>
      <c r="F1308">
        <v>8</v>
      </c>
      <c r="G1308">
        <v>2022</v>
      </c>
      <c r="I1308" s="15">
        <v>5</v>
      </c>
      <c r="J1308" t="s">
        <v>81</v>
      </c>
      <c r="K1308" t="s">
        <v>32</v>
      </c>
      <c r="O1308">
        <v>0</v>
      </c>
      <c r="P1308">
        <v>0</v>
      </c>
      <c r="Q1308">
        <v>0</v>
      </c>
      <c r="R1308">
        <v>0</v>
      </c>
      <c r="S1308">
        <v>0</v>
      </c>
      <c r="T1308">
        <v>0</v>
      </c>
      <c r="U1308">
        <v>1</v>
      </c>
      <c r="V1308">
        <v>0</v>
      </c>
      <c r="W1308" t="s">
        <v>1531</v>
      </c>
      <c r="AA1308">
        <v>2017</v>
      </c>
      <c r="AB1308">
        <v>9999</v>
      </c>
      <c r="AC1308" t="s">
        <v>1532</v>
      </c>
    </row>
    <row r="1309" spans="1:29" x14ac:dyDescent="0.25">
      <c r="A1309" s="31" t="s">
        <v>97</v>
      </c>
      <c r="B1309" s="23" t="s">
        <v>99</v>
      </c>
      <c r="C1309" t="s">
        <v>923</v>
      </c>
      <c r="D1309">
        <v>1</v>
      </c>
      <c r="E1309" t="s">
        <v>45</v>
      </c>
      <c r="F1309">
        <v>4</v>
      </c>
      <c r="G1309">
        <v>2022</v>
      </c>
      <c r="I1309" s="8">
        <v>250.8</v>
      </c>
      <c r="J1309" t="s">
        <v>89</v>
      </c>
      <c r="K1309" t="s">
        <v>47</v>
      </c>
      <c r="O1309">
        <v>0</v>
      </c>
      <c r="P1309">
        <v>0</v>
      </c>
      <c r="Q1309">
        <v>0</v>
      </c>
      <c r="R1309">
        <v>0</v>
      </c>
      <c r="S1309">
        <v>1</v>
      </c>
      <c r="T1309">
        <v>1</v>
      </c>
      <c r="U1309">
        <v>1</v>
      </c>
      <c r="V1309">
        <v>0</v>
      </c>
      <c r="W1309" t="s">
        <v>1277</v>
      </c>
      <c r="AA1309">
        <v>2007</v>
      </c>
      <c r="AB1309">
        <v>9999</v>
      </c>
      <c r="AC1309" t="s">
        <v>35</v>
      </c>
    </row>
    <row r="1310" spans="1:29" x14ac:dyDescent="0.25">
      <c r="A1310" s="31" t="s">
        <v>925</v>
      </c>
      <c r="B1310" s="23" t="s">
        <v>926</v>
      </c>
      <c r="C1310" t="s">
        <v>927</v>
      </c>
      <c r="D1310">
        <v>1</v>
      </c>
      <c r="E1310" t="s">
        <v>103</v>
      </c>
      <c r="F1310">
        <v>9</v>
      </c>
      <c r="G1310">
        <v>2022</v>
      </c>
      <c r="I1310" s="8">
        <v>3187.71</v>
      </c>
      <c r="J1310" t="s">
        <v>89</v>
      </c>
      <c r="K1310" t="s">
        <v>53</v>
      </c>
      <c r="L1310" t="s">
        <v>105</v>
      </c>
      <c r="O1310">
        <v>0</v>
      </c>
      <c r="P1310">
        <v>1</v>
      </c>
      <c r="Q1310">
        <v>0</v>
      </c>
      <c r="R1310">
        <v>0</v>
      </c>
      <c r="S1310">
        <v>1</v>
      </c>
      <c r="T1310">
        <v>1</v>
      </c>
      <c r="U1310">
        <v>1</v>
      </c>
      <c r="V1310">
        <v>0</v>
      </c>
      <c r="W1310" t="s">
        <v>928</v>
      </c>
      <c r="AA1310">
        <v>2007</v>
      </c>
      <c r="AB1310">
        <v>9999</v>
      </c>
      <c r="AC1310" t="s">
        <v>35</v>
      </c>
    </row>
    <row r="1311" spans="1:29" x14ac:dyDescent="0.25">
      <c r="A1311" s="31" t="s">
        <v>929</v>
      </c>
      <c r="B1311" s="23" t="s">
        <v>930</v>
      </c>
      <c r="C1311" t="s">
        <v>931</v>
      </c>
      <c r="D1311">
        <v>1</v>
      </c>
      <c r="E1311" t="s">
        <v>45</v>
      </c>
      <c r="F1311">
        <v>4</v>
      </c>
      <c r="G1311">
        <v>2022</v>
      </c>
      <c r="I1311" s="8">
        <v>578.71</v>
      </c>
      <c r="J1311" t="s">
        <v>31</v>
      </c>
      <c r="K1311" t="s">
        <v>47</v>
      </c>
      <c r="O1311">
        <v>0</v>
      </c>
      <c r="P1311">
        <v>0</v>
      </c>
      <c r="Q1311">
        <v>0</v>
      </c>
      <c r="R1311">
        <v>0</v>
      </c>
      <c r="S1311">
        <v>1</v>
      </c>
      <c r="T1311">
        <v>1</v>
      </c>
      <c r="U1311">
        <v>1</v>
      </c>
      <c r="V1311">
        <v>0</v>
      </c>
      <c r="W1311" t="s">
        <v>1336</v>
      </c>
      <c r="AA1311">
        <v>2007</v>
      </c>
      <c r="AB1311">
        <v>9999</v>
      </c>
      <c r="AC1311" t="s">
        <v>35</v>
      </c>
    </row>
    <row r="1312" spans="1:29" x14ac:dyDescent="0.25">
      <c r="A1312" s="31" t="s">
        <v>1212</v>
      </c>
      <c r="B1312" s="23" t="s">
        <v>1213</v>
      </c>
      <c r="D1312">
        <v>1</v>
      </c>
      <c r="E1312" t="s">
        <v>681</v>
      </c>
      <c r="F1312">
        <v>3</v>
      </c>
      <c r="G1312">
        <v>2022</v>
      </c>
      <c r="I1312" s="8">
        <v>12.95</v>
      </c>
      <c r="J1312" t="s">
        <v>121</v>
      </c>
      <c r="K1312" t="s">
        <v>41</v>
      </c>
      <c r="O1312">
        <v>0</v>
      </c>
      <c r="P1312">
        <v>0</v>
      </c>
      <c r="Q1312">
        <v>0</v>
      </c>
      <c r="R1312">
        <v>0</v>
      </c>
      <c r="S1312">
        <v>0</v>
      </c>
      <c r="T1312">
        <v>1</v>
      </c>
      <c r="U1312">
        <v>1</v>
      </c>
      <c r="V1312">
        <v>0</v>
      </c>
      <c r="W1312" t="s">
        <v>1278</v>
      </c>
      <c r="AA1312">
        <v>2008</v>
      </c>
      <c r="AB1312">
        <v>9999</v>
      </c>
      <c r="AC1312" t="s">
        <v>1054</v>
      </c>
    </row>
    <row r="1313" spans="1:29" x14ac:dyDescent="0.25">
      <c r="A1313" s="31" t="s">
        <v>933</v>
      </c>
      <c r="B1313" s="23" t="s">
        <v>934</v>
      </c>
      <c r="C1313" t="s">
        <v>935</v>
      </c>
      <c r="D1313">
        <v>1</v>
      </c>
      <c r="E1313" t="s">
        <v>681</v>
      </c>
      <c r="F1313">
        <v>3</v>
      </c>
      <c r="G1313">
        <v>2022</v>
      </c>
      <c r="J1313" t="s">
        <v>121</v>
      </c>
      <c r="K1313" t="s">
        <v>47</v>
      </c>
      <c r="O1313">
        <v>0</v>
      </c>
      <c r="P1313">
        <v>0</v>
      </c>
      <c r="Q1313">
        <v>0</v>
      </c>
      <c r="R1313">
        <v>0</v>
      </c>
      <c r="S1313">
        <v>1</v>
      </c>
      <c r="T1313">
        <v>1</v>
      </c>
      <c r="U1313">
        <v>1</v>
      </c>
      <c r="V1313">
        <v>0</v>
      </c>
      <c r="W1313" t="s">
        <v>1508</v>
      </c>
      <c r="AA1313">
        <v>2007</v>
      </c>
      <c r="AB1313">
        <v>9999</v>
      </c>
      <c r="AC1313" t="s">
        <v>35</v>
      </c>
    </row>
    <row r="1314" spans="1:29" x14ac:dyDescent="0.25">
      <c r="A1314" s="31" t="s">
        <v>937</v>
      </c>
      <c r="B1314" s="23" t="s">
        <v>938</v>
      </c>
      <c r="D1314">
        <v>1</v>
      </c>
      <c r="E1314" t="s">
        <v>103</v>
      </c>
      <c r="F1314">
        <v>9</v>
      </c>
      <c r="G1314">
        <v>2022</v>
      </c>
      <c r="I1314" s="8">
        <v>782.07</v>
      </c>
      <c r="J1314" t="s">
        <v>104</v>
      </c>
      <c r="K1314" t="s">
        <v>53</v>
      </c>
      <c r="L1314" t="s">
        <v>105</v>
      </c>
      <c r="O1314">
        <v>0</v>
      </c>
      <c r="P1314">
        <v>1</v>
      </c>
      <c r="Q1314">
        <v>0</v>
      </c>
      <c r="R1314">
        <v>0</v>
      </c>
      <c r="S1314">
        <v>1</v>
      </c>
      <c r="T1314">
        <v>1</v>
      </c>
      <c r="U1314">
        <v>1</v>
      </c>
      <c r="V1314">
        <v>0</v>
      </c>
      <c r="W1314" t="s">
        <v>106</v>
      </c>
      <c r="AA1314">
        <v>2007</v>
      </c>
      <c r="AB1314">
        <v>9999</v>
      </c>
      <c r="AC1314" t="s">
        <v>35</v>
      </c>
    </row>
    <row r="1315" spans="1:29" x14ac:dyDescent="0.25">
      <c r="A1315" s="31" t="s">
        <v>462</v>
      </c>
      <c r="B1315" s="23" t="s">
        <v>1414</v>
      </c>
      <c r="C1315" t="s">
        <v>1280</v>
      </c>
      <c r="D1315">
        <v>1</v>
      </c>
      <c r="E1315" t="s">
        <v>468</v>
      </c>
      <c r="F1315">
        <v>7</v>
      </c>
      <c r="G1315">
        <v>2022</v>
      </c>
      <c r="I1315" s="8">
        <v>135.53</v>
      </c>
      <c r="J1315" t="s">
        <v>40</v>
      </c>
      <c r="K1315" t="s">
        <v>47</v>
      </c>
      <c r="O1315">
        <v>0</v>
      </c>
      <c r="P1315">
        <v>0</v>
      </c>
      <c r="Q1315">
        <v>0</v>
      </c>
      <c r="R1315">
        <v>0</v>
      </c>
      <c r="S1315">
        <v>1</v>
      </c>
      <c r="T1315">
        <v>1</v>
      </c>
      <c r="U1315">
        <v>1</v>
      </c>
      <c r="V1315">
        <v>0</v>
      </c>
      <c r="W1315" t="s">
        <v>1118</v>
      </c>
      <c r="AA1315">
        <v>2007</v>
      </c>
      <c r="AB1315">
        <v>9999</v>
      </c>
      <c r="AC1315" t="s">
        <v>35</v>
      </c>
    </row>
    <row r="1316" spans="1:29" x14ac:dyDescent="0.25">
      <c r="A1316" s="31" t="s">
        <v>1337</v>
      </c>
      <c r="B1316" s="23" t="s">
        <v>1315</v>
      </c>
      <c r="D1316">
        <v>1</v>
      </c>
      <c r="E1316" t="s">
        <v>45</v>
      </c>
      <c r="F1316">
        <v>4</v>
      </c>
      <c r="G1316">
        <v>2022</v>
      </c>
      <c r="I1316" s="8">
        <v>974.49</v>
      </c>
      <c r="J1316" t="s">
        <v>89</v>
      </c>
      <c r="K1316" t="s">
        <v>32</v>
      </c>
      <c r="O1316">
        <v>0</v>
      </c>
      <c r="P1316">
        <v>0</v>
      </c>
      <c r="Q1316">
        <v>0</v>
      </c>
      <c r="R1316">
        <v>0</v>
      </c>
      <c r="S1316">
        <v>1</v>
      </c>
      <c r="T1316">
        <v>1</v>
      </c>
      <c r="U1316">
        <v>1</v>
      </c>
      <c r="V1316">
        <v>0</v>
      </c>
      <c r="W1316" t="s">
        <v>1338</v>
      </c>
      <c r="AA1316">
        <v>2010</v>
      </c>
      <c r="AB1316">
        <v>9999</v>
      </c>
      <c r="AC1316" t="s">
        <v>1292</v>
      </c>
    </row>
    <row r="1317" spans="1:29" x14ac:dyDescent="0.25">
      <c r="A1317" s="31" t="s">
        <v>1509</v>
      </c>
      <c r="B1317" s="23" t="s">
        <v>946</v>
      </c>
      <c r="D1317">
        <v>48</v>
      </c>
      <c r="E1317" t="s">
        <v>155</v>
      </c>
      <c r="F1317">
        <v>3</v>
      </c>
      <c r="G1317">
        <v>2022</v>
      </c>
      <c r="I1317" s="15">
        <v>2993.0513428359682</v>
      </c>
      <c r="J1317" t="s">
        <v>121</v>
      </c>
      <c r="K1317" t="s">
        <v>53</v>
      </c>
      <c r="L1317" t="s">
        <v>60</v>
      </c>
      <c r="O1317">
        <v>1</v>
      </c>
      <c r="P1317">
        <v>0</v>
      </c>
      <c r="Q1317">
        <v>0</v>
      </c>
      <c r="R1317">
        <v>0</v>
      </c>
      <c r="S1317">
        <v>1</v>
      </c>
      <c r="T1317">
        <v>0</v>
      </c>
      <c r="U1317">
        <v>0</v>
      </c>
      <c r="V1317">
        <v>1</v>
      </c>
      <c r="W1317" t="s">
        <v>947</v>
      </c>
      <c r="AA1317">
        <v>2007</v>
      </c>
      <c r="AB1317">
        <v>9999</v>
      </c>
      <c r="AC1317" t="s">
        <v>35</v>
      </c>
    </row>
    <row r="1318" spans="1:29" x14ac:dyDescent="0.25">
      <c r="A1318" s="31" t="s">
        <v>950</v>
      </c>
      <c r="B1318" s="23" t="s">
        <v>951</v>
      </c>
      <c r="C1318" t="s">
        <v>952</v>
      </c>
      <c r="D1318">
        <v>1</v>
      </c>
      <c r="E1318" t="s">
        <v>218</v>
      </c>
      <c r="F1318">
        <v>2</v>
      </c>
      <c r="G1318">
        <v>2022</v>
      </c>
      <c r="I1318" s="8">
        <v>972.24</v>
      </c>
      <c r="J1318" t="s">
        <v>147</v>
      </c>
      <c r="K1318" t="s">
        <v>32</v>
      </c>
      <c r="O1318">
        <v>0</v>
      </c>
      <c r="P1318">
        <v>0</v>
      </c>
      <c r="Q1318">
        <v>0</v>
      </c>
      <c r="R1318">
        <v>0</v>
      </c>
      <c r="S1318">
        <v>1</v>
      </c>
      <c r="T1318">
        <v>1</v>
      </c>
      <c r="U1318">
        <v>1</v>
      </c>
      <c r="V1318">
        <v>0</v>
      </c>
      <c r="W1318" t="s">
        <v>1216</v>
      </c>
      <c r="AA1318">
        <v>2007</v>
      </c>
      <c r="AB1318">
        <v>9999</v>
      </c>
      <c r="AC1318" t="s">
        <v>35</v>
      </c>
    </row>
    <row r="1319" spans="1:29" x14ac:dyDescent="0.25">
      <c r="A1319" s="31" t="s">
        <v>954</v>
      </c>
      <c r="B1319" s="23" t="s">
        <v>1585</v>
      </c>
      <c r="C1319" t="s">
        <v>956</v>
      </c>
      <c r="D1319">
        <v>1</v>
      </c>
      <c r="E1319" t="s">
        <v>218</v>
      </c>
      <c r="F1319">
        <v>2</v>
      </c>
      <c r="G1319">
        <v>2022</v>
      </c>
      <c r="I1319" s="8">
        <v>244.46</v>
      </c>
      <c r="J1319" t="s">
        <v>147</v>
      </c>
      <c r="K1319" t="s">
        <v>47</v>
      </c>
      <c r="O1319">
        <v>0</v>
      </c>
      <c r="P1319">
        <v>0</v>
      </c>
      <c r="Q1319">
        <v>0</v>
      </c>
      <c r="R1319">
        <v>0</v>
      </c>
      <c r="S1319">
        <v>1</v>
      </c>
      <c r="T1319">
        <v>1</v>
      </c>
      <c r="U1319">
        <v>1</v>
      </c>
      <c r="V1319">
        <v>0</v>
      </c>
      <c r="W1319" t="s">
        <v>1384</v>
      </c>
      <c r="AA1319">
        <v>2007</v>
      </c>
      <c r="AB1319">
        <v>9999</v>
      </c>
      <c r="AC1319" t="s">
        <v>35</v>
      </c>
    </row>
    <row r="1320" spans="1:29" x14ac:dyDescent="0.25">
      <c r="A1320" s="31" t="s">
        <v>1385</v>
      </c>
      <c r="B1320" s="23" t="s">
        <v>1386</v>
      </c>
      <c r="D1320">
        <v>1</v>
      </c>
      <c r="E1320" t="s">
        <v>874</v>
      </c>
      <c r="F1320">
        <v>1</v>
      </c>
      <c r="G1320">
        <v>2022</v>
      </c>
      <c r="I1320" s="8">
        <v>33.65</v>
      </c>
      <c r="J1320" t="s">
        <v>1556</v>
      </c>
      <c r="K1320" t="s">
        <v>47</v>
      </c>
      <c r="O1320">
        <v>0</v>
      </c>
      <c r="P1320">
        <v>0</v>
      </c>
      <c r="Q1320">
        <v>0</v>
      </c>
      <c r="R1320">
        <v>0</v>
      </c>
      <c r="S1320">
        <v>1</v>
      </c>
      <c r="T1320">
        <v>1</v>
      </c>
      <c r="U1320">
        <v>1</v>
      </c>
      <c r="V1320">
        <v>0</v>
      </c>
      <c r="W1320" t="s">
        <v>1387</v>
      </c>
      <c r="AA1320">
        <v>2011</v>
      </c>
      <c r="AB1320">
        <v>9999</v>
      </c>
      <c r="AC1320" t="s">
        <v>1365</v>
      </c>
    </row>
    <row r="1321" spans="1:29" x14ac:dyDescent="0.25">
      <c r="A1321" s="31" t="s">
        <v>1388</v>
      </c>
      <c r="B1321" s="23" t="s">
        <v>1389</v>
      </c>
      <c r="D1321">
        <v>1</v>
      </c>
      <c r="E1321" t="s">
        <v>1390</v>
      </c>
      <c r="F1321">
        <v>4</v>
      </c>
      <c r="G1321">
        <v>2022</v>
      </c>
      <c r="I1321" s="8">
        <v>9284.32</v>
      </c>
      <c r="J1321" t="s">
        <v>1556</v>
      </c>
      <c r="K1321" t="s">
        <v>32</v>
      </c>
      <c r="O1321">
        <v>0</v>
      </c>
      <c r="P1321">
        <v>0</v>
      </c>
      <c r="Q1321">
        <v>0</v>
      </c>
      <c r="R1321">
        <v>0</v>
      </c>
      <c r="S1321">
        <v>1</v>
      </c>
      <c r="T1321">
        <v>1</v>
      </c>
      <c r="U1321">
        <v>1</v>
      </c>
      <c r="V1321">
        <v>0</v>
      </c>
      <c r="W1321" t="s">
        <v>1391</v>
      </c>
      <c r="AA1321">
        <v>2011</v>
      </c>
      <c r="AB1321">
        <v>9999</v>
      </c>
      <c r="AC1321" t="s">
        <v>1365</v>
      </c>
    </row>
    <row r="1322" spans="1:29" x14ac:dyDescent="0.25">
      <c r="A1322" s="31" t="s">
        <v>1281</v>
      </c>
      <c r="B1322" s="23" t="s">
        <v>1282</v>
      </c>
      <c r="D1322">
        <v>1</v>
      </c>
      <c r="E1322" t="s">
        <v>625</v>
      </c>
      <c r="F1322">
        <v>4</v>
      </c>
      <c r="G1322">
        <v>2022</v>
      </c>
      <c r="I1322" s="8">
        <v>1899.69</v>
      </c>
      <c r="J1322" t="s">
        <v>1556</v>
      </c>
      <c r="K1322" t="s">
        <v>32</v>
      </c>
      <c r="O1322">
        <v>0</v>
      </c>
      <c r="P1322">
        <v>0</v>
      </c>
      <c r="Q1322">
        <v>0</v>
      </c>
      <c r="R1322">
        <v>0</v>
      </c>
      <c r="S1322">
        <v>1</v>
      </c>
      <c r="T1322">
        <v>1</v>
      </c>
      <c r="U1322">
        <v>1</v>
      </c>
      <c r="V1322">
        <v>0</v>
      </c>
      <c r="W1322" t="s">
        <v>1283</v>
      </c>
      <c r="AA1322">
        <v>2009</v>
      </c>
      <c r="AB1322">
        <v>9999</v>
      </c>
      <c r="AC1322" t="s">
        <v>1239</v>
      </c>
    </row>
    <row r="1323" spans="1:29" x14ac:dyDescent="0.25">
      <c r="A1323" s="31" t="s">
        <v>958</v>
      </c>
      <c r="B1323" s="23" t="s">
        <v>959</v>
      </c>
      <c r="D1323">
        <v>1</v>
      </c>
      <c r="E1323" t="s">
        <v>51</v>
      </c>
      <c r="F1323">
        <v>1</v>
      </c>
      <c r="G1323">
        <v>2022</v>
      </c>
      <c r="I1323">
        <v>60</v>
      </c>
      <c r="J1323" t="s">
        <v>52</v>
      </c>
      <c r="K1323" t="s">
        <v>53</v>
      </c>
      <c r="L1323" t="s">
        <v>54</v>
      </c>
      <c r="O1323">
        <v>0</v>
      </c>
      <c r="P1323">
        <v>0</v>
      </c>
      <c r="Q1323">
        <v>1</v>
      </c>
      <c r="R1323">
        <v>0</v>
      </c>
      <c r="S1323">
        <v>0</v>
      </c>
      <c r="T1323">
        <v>0</v>
      </c>
      <c r="U1323">
        <v>1</v>
      </c>
      <c r="V1323">
        <v>0</v>
      </c>
      <c r="W1323" t="s">
        <v>55</v>
      </c>
      <c r="AA1323">
        <v>2007</v>
      </c>
      <c r="AB1323">
        <v>9999</v>
      </c>
      <c r="AC1323" t="s">
        <v>35</v>
      </c>
    </row>
    <row r="1324" spans="1:29" x14ac:dyDescent="0.25">
      <c r="A1324" s="31" t="s">
        <v>960</v>
      </c>
      <c r="B1324" s="23" t="s">
        <v>961</v>
      </c>
      <c r="D1324">
        <v>1</v>
      </c>
      <c r="E1324" t="s">
        <v>168</v>
      </c>
      <c r="F1324">
        <v>1</v>
      </c>
      <c r="G1324">
        <v>2022</v>
      </c>
      <c r="I1324" s="8">
        <v>2155.35</v>
      </c>
      <c r="J1324" t="s">
        <v>52</v>
      </c>
      <c r="K1324" t="s">
        <v>47</v>
      </c>
      <c r="O1324">
        <v>0</v>
      </c>
      <c r="P1324">
        <v>0</v>
      </c>
      <c r="Q1324">
        <v>0</v>
      </c>
      <c r="R1324">
        <v>0</v>
      </c>
      <c r="S1324">
        <v>1</v>
      </c>
      <c r="T1324">
        <v>1</v>
      </c>
      <c r="U1324">
        <v>1</v>
      </c>
      <c r="V1324">
        <v>0</v>
      </c>
      <c r="W1324" t="s">
        <v>1533</v>
      </c>
      <c r="AA1324">
        <v>2007</v>
      </c>
      <c r="AB1324">
        <v>9999</v>
      </c>
      <c r="AC1324" t="s">
        <v>35</v>
      </c>
    </row>
    <row r="1325" spans="1:29" x14ac:dyDescent="0.25">
      <c r="A1325" s="31" t="s">
        <v>963</v>
      </c>
      <c r="B1325" s="23" t="s">
        <v>658</v>
      </c>
      <c r="D1325">
        <v>1</v>
      </c>
      <c r="E1325" t="s">
        <v>103</v>
      </c>
      <c r="F1325">
        <v>9</v>
      </c>
      <c r="G1325">
        <v>2022</v>
      </c>
      <c r="I1325" s="8">
        <v>3778.57</v>
      </c>
      <c r="J1325" t="s">
        <v>104</v>
      </c>
      <c r="K1325" t="s">
        <v>53</v>
      </c>
      <c r="L1325" t="s">
        <v>105</v>
      </c>
      <c r="O1325">
        <v>0</v>
      </c>
      <c r="P1325">
        <v>1</v>
      </c>
      <c r="Q1325">
        <v>0</v>
      </c>
      <c r="R1325">
        <v>0</v>
      </c>
      <c r="S1325">
        <v>1</v>
      </c>
      <c r="T1325">
        <v>1</v>
      </c>
      <c r="U1325">
        <v>1</v>
      </c>
      <c r="V1325">
        <v>0</v>
      </c>
      <c r="W1325" t="s">
        <v>106</v>
      </c>
      <c r="AA1325">
        <v>2007</v>
      </c>
      <c r="AB1325">
        <v>9999</v>
      </c>
      <c r="AC1325" t="s">
        <v>35</v>
      </c>
    </row>
    <row r="1326" spans="1:29" x14ac:dyDescent="0.25">
      <c r="A1326" s="31" t="s">
        <v>1437</v>
      </c>
      <c r="B1326" s="23" t="s">
        <v>1438</v>
      </c>
      <c r="C1326" t="s">
        <v>1439</v>
      </c>
      <c r="D1326">
        <v>1</v>
      </c>
      <c r="E1326" t="s">
        <v>103</v>
      </c>
      <c r="F1326">
        <v>9</v>
      </c>
      <c r="G1326">
        <v>2022</v>
      </c>
      <c r="I1326" s="8">
        <v>310.60000000000002</v>
      </c>
      <c r="J1326" t="s">
        <v>104</v>
      </c>
      <c r="K1326" t="s">
        <v>32</v>
      </c>
      <c r="O1326">
        <v>0</v>
      </c>
      <c r="P1326">
        <v>0</v>
      </c>
      <c r="Q1326">
        <v>0</v>
      </c>
      <c r="R1326">
        <v>0</v>
      </c>
      <c r="S1326">
        <v>1</v>
      </c>
      <c r="T1326">
        <v>1</v>
      </c>
      <c r="U1326">
        <v>1</v>
      </c>
      <c r="V1326">
        <v>0</v>
      </c>
      <c r="W1326" t="s">
        <v>1440</v>
      </c>
      <c r="AA1326">
        <v>2013</v>
      </c>
      <c r="AB1326">
        <v>9999</v>
      </c>
      <c r="AC1326" t="s">
        <v>1419</v>
      </c>
    </row>
    <row r="1327" spans="1:29" x14ac:dyDescent="0.25">
      <c r="A1327" s="31" t="s">
        <v>1441</v>
      </c>
      <c r="B1327" s="23" t="s">
        <v>1442</v>
      </c>
      <c r="C1327" t="s">
        <v>1443</v>
      </c>
      <c r="D1327">
        <v>1</v>
      </c>
      <c r="E1327" t="s">
        <v>103</v>
      </c>
      <c r="F1327">
        <v>9</v>
      </c>
      <c r="G1327">
        <v>2022</v>
      </c>
      <c r="I1327" s="8">
        <v>96.15</v>
      </c>
      <c r="J1327" t="s">
        <v>104</v>
      </c>
      <c r="K1327" t="s">
        <v>47</v>
      </c>
      <c r="O1327">
        <v>0</v>
      </c>
      <c r="P1327">
        <v>0</v>
      </c>
      <c r="Q1327">
        <v>0</v>
      </c>
      <c r="R1327">
        <v>0</v>
      </c>
      <c r="S1327">
        <v>1</v>
      </c>
      <c r="T1327">
        <v>1</v>
      </c>
      <c r="U1327">
        <v>1</v>
      </c>
      <c r="V1327">
        <v>0</v>
      </c>
      <c r="W1327" t="s">
        <v>1444</v>
      </c>
      <c r="AA1327">
        <v>2013</v>
      </c>
      <c r="AB1327">
        <v>9999</v>
      </c>
      <c r="AC1327" t="s">
        <v>1419</v>
      </c>
    </row>
    <row r="1328" spans="1:29" x14ac:dyDescent="0.25">
      <c r="A1328" s="31" t="s">
        <v>1510</v>
      </c>
      <c r="B1328" s="23" t="s">
        <v>1511</v>
      </c>
      <c r="D1328">
        <v>1</v>
      </c>
      <c r="E1328" s="4">
        <v>411</v>
      </c>
      <c r="F1328">
        <v>4</v>
      </c>
      <c r="G1328">
        <v>2022</v>
      </c>
      <c r="I1328" s="8">
        <v>69.599999999999994</v>
      </c>
      <c r="J1328" t="s">
        <v>52</v>
      </c>
      <c r="K1328" t="s">
        <v>47</v>
      </c>
      <c r="O1328">
        <v>0</v>
      </c>
      <c r="P1328">
        <v>0</v>
      </c>
      <c r="Q1328">
        <v>0</v>
      </c>
      <c r="R1328">
        <v>0</v>
      </c>
      <c r="S1328">
        <v>1</v>
      </c>
      <c r="T1328">
        <v>1</v>
      </c>
      <c r="U1328">
        <v>1</v>
      </c>
      <c r="V1328">
        <v>0</v>
      </c>
      <c r="W1328" t="s">
        <v>1512</v>
      </c>
      <c r="AA1328">
        <v>2015</v>
      </c>
      <c r="AB1328">
        <v>9999</v>
      </c>
      <c r="AC1328" t="s">
        <v>1475</v>
      </c>
    </row>
    <row r="1329" spans="1:29" x14ac:dyDescent="0.25">
      <c r="A1329" s="31" t="s">
        <v>967</v>
      </c>
      <c r="B1329" s="23" t="s">
        <v>661</v>
      </c>
      <c r="D1329">
        <v>1</v>
      </c>
      <c r="E1329" t="s">
        <v>103</v>
      </c>
      <c r="F1329">
        <v>9</v>
      </c>
      <c r="G1329">
        <v>2022</v>
      </c>
      <c r="I1329" s="8">
        <v>6690.25</v>
      </c>
      <c r="J1329" t="s">
        <v>104</v>
      </c>
      <c r="K1329" t="s">
        <v>53</v>
      </c>
      <c r="L1329" t="s">
        <v>105</v>
      </c>
      <c r="O1329">
        <v>0</v>
      </c>
      <c r="P1329">
        <v>1</v>
      </c>
      <c r="Q1329">
        <v>0</v>
      </c>
      <c r="R1329">
        <v>0</v>
      </c>
      <c r="S1329">
        <v>1</v>
      </c>
      <c r="T1329">
        <v>1</v>
      </c>
      <c r="U1329">
        <v>1</v>
      </c>
      <c r="V1329">
        <v>0</v>
      </c>
      <c r="W1329" t="s">
        <v>106</v>
      </c>
      <c r="AA1329">
        <v>2007</v>
      </c>
      <c r="AB1329">
        <v>9999</v>
      </c>
      <c r="AC1329" t="s">
        <v>35</v>
      </c>
    </row>
    <row r="1330" spans="1:29" x14ac:dyDescent="0.25">
      <c r="A1330" s="31" t="s">
        <v>968</v>
      </c>
      <c r="B1330" s="23" t="s">
        <v>969</v>
      </c>
      <c r="D1330">
        <v>1</v>
      </c>
      <c r="E1330" t="s">
        <v>85</v>
      </c>
      <c r="F1330">
        <v>1</v>
      </c>
      <c r="G1330">
        <v>2022</v>
      </c>
      <c r="H1330" t="s">
        <v>970</v>
      </c>
      <c r="I1330" s="15">
        <v>0.1</v>
      </c>
      <c r="J1330" t="s">
        <v>176</v>
      </c>
      <c r="K1330" t="s">
        <v>41</v>
      </c>
      <c r="O1330">
        <v>0</v>
      </c>
      <c r="P1330">
        <v>0</v>
      </c>
      <c r="Q1330">
        <v>0</v>
      </c>
      <c r="R1330">
        <v>0</v>
      </c>
      <c r="S1330">
        <v>0</v>
      </c>
      <c r="T1330">
        <v>0</v>
      </c>
      <c r="U1330">
        <v>0</v>
      </c>
      <c r="V1330">
        <v>0</v>
      </c>
      <c r="W1330" t="s">
        <v>971</v>
      </c>
      <c r="AA1330">
        <v>2007</v>
      </c>
      <c r="AB1330">
        <v>9999</v>
      </c>
      <c r="AC1330" t="s">
        <v>35</v>
      </c>
    </row>
    <row r="1331" spans="1:29" x14ac:dyDescent="0.25">
      <c r="A1331" s="31" t="s">
        <v>975</v>
      </c>
      <c r="B1331" s="23" t="s">
        <v>976</v>
      </c>
      <c r="D1331">
        <v>1</v>
      </c>
      <c r="E1331" t="s">
        <v>977</v>
      </c>
      <c r="F1331">
        <v>1</v>
      </c>
      <c r="G1331">
        <v>2022</v>
      </c>
      <c r="H1331" t="s">
        <v>205</v>
      </c>
      <c r="I1331" s="15">
        <v>32</v>
      </c>
      <c r="J1331" t="s">
        <v>81</v>
      </c>
      <c r="K1331" t="s">
        <v>41</v>
      </c>
      <c r="O1331">
        <v>0</v>
      </c>
      <c r="P1331">
        <v>0</v>
      </c>
      <c r="Q1331">
        <v>0</v>
      </c>
      <c r="R1331">
        <v>0</v>
      </c>
      <c r="S1331">
        <v>0</v>
      </c>
      <c r="T1331">
        <v>0</v>
      </c>
      <c r="U1331">
        <v>0</v>
      </c>
      <c r="V1331">
        <v>0</v>
      </c>
      <c r="W1331" t="s">
        <v>1220</v>
      </c>
      <c r="AA1331">
        <v>2007</v>
      </c>
      <c r="AB1331">
        <v>9999</v>
      </c>
      <c r="AC1331" t="s">
        <v>35</v>
      </c>
    </row>
    <row r="1332" spans="1:29" x14ac:dyDescent="0.25">
      <c r="A1332" s="31" t="s">
        <v>985</v>
      </c>
      <c r="B1332" s="23" t="s">
        <v>986</v>
      </c>
      <c r="C1332" t="s">
        <v>987</v>
      </c>
      <c r="D1332">
        <v>1</v>
      </c>
      <c r="E1332" t="s">
        <v>988</v>
      </c>
      <c r="F1332">
        <v>4</v>
      </c>
      <c r="G1332">
        <v>2022</v>
      </c>
      <c r="I1332" s="8">
        <v>221.75</v>
      </c>
      <c r="J1332" t="s">
        <v>89</v>
      </c>
      <c r="K1332" t="s">
        <v>32</v>
      </c>
      <c r="O1332">
        <v>0</v>
      </c>
      <c r="P1332">
        <v>0</v>
      </c>
      <c r="Q1332">
        <v>0</v>
      </c>
      <c r="R1332">
        <v>0</v>
      </c>
      <c r="S1332">
        <v>1</v>
      </c>
      <c r="T1332">
        <v>1</v>
      </c>
      <c r="U1332">
        <v>1</v>
      </c>
      <c r="V1332">
        <v>0</v>
      </c>
      <c r="W1332" t="s">
        <v>1339</v>
      </c>
      <c r="AA1332">
        <v>2007</v>
      </c>
      <c r="AB1332">
        <v>9999</v>
      </c>
      <c r="AC1332" t="s">
        <v>35</v>
      </c>
    </row>
    <row r="1333" spans="1:29" x14ac:dyDescent="0.25">
      <c r="A1333" s="31" t="s">
        <v>993</v>
      </c>
      <c r="B1333" s="23" t="s">
        <v>129</v>
      </c>
      <c r="D1333">
        <v>1</v>
      </c>
      <c r="E1333" t="s">
        <v>103</v>
      </c>
      <c r="F1333">
        <v>1</v>
      </c>
      <c r="G1333">
        <v>2022</v>
      </c>
      <c r="I1333" s="8">
        <v>234.69</v>
      </c>
      <c r="J1333" t="s">
        <v>104</v>
      </c>
      <c r="K1333" t="s">
        <v>32</v>
      </c>
      <c r="O1333">
        <v>0</v>
      </c>
      <c r="P1333">
        <v>0</v>
      </c>
      <c r="Q1333">
        <v>0</v>
      </c>
      <c r="R1333">
        <v>0</v>
      </c>
      <c r="S1333">
        <v>1</v>
      </c>
      <c r="T1333">
        <v>1</v>
      </c>
      <c r="U1333">
        <v>1</v>
      </c>
      <c r="V1333">
        <v>0</v>
      </c>
      <c r="W1333" t="s">
        <v>1340</v>
      </c>
      <c r="AA1333">
        <v>2007</v>
      </c>
      <c r="AB1333">
        <v>9999</v>
      </c>
      <c r="AC1333" t="s">
        <v>35</v>
      </c>
    </row>
    <row r="1334" spans="1:29" x14ac:dyDescent="0.25">
      <c r="A1334" s="31" t="s">
        <v>1008</v>
      </c>
      <c r="B1334" s="23" t="s">
        <v>1009</v>
      </c>
      <c r="D1334">
        <v>1</v>
      </c>
      <c r="E1334" t="s">
        <v>155</v>
      </c>
      <c r="F1334">
        <v>3</v>
      </c>
      <c r="G1334">
        <v>2022</v>
      </c>
      <c r="I1334" s="8">
        <v>1124.76</v>
      </c>
      <c r="J1334" t="s">
        <v>121</v>
      </c>
      <c r="K1334" t="s">
        <v>47</v>
      </c>
      <c r="O1334">
        <v>0</v>
      </c>
      <c r="P1334">
        <v>0</v>
      </c>
      <c r="Q1334">
        <v>0</v>
      </c>
      <c r="R1334">
        <v>0</v>
      </c>
      <c r="S1334">
        <v>1</v>
      </c>
      <c r="T1334">
        <v>1</v>
      </c>
      <c r="U1334">
        <v>1</v>
      </c>
      <c r="V1334">
        <v>0</v>
      </c>
      <c r="W1334" t="s">
        <v>1519</v>
      </c>
      <c r="AA1334">
        <v>2007</v>
      </c>
      <c r="AB1334">
        <v>9999</v>
      </c>
      <c r="AC1334" t="s">
        <v>35</v>
      </c>
    </row>
    <row r="1335" spans="1:29" x14ac:dyDescent="0.25">
      <c r="A1335" s="31" t="s">
        <v>1011</v>
      </c>
      <c r="B1335" s="23" t="s">
        <v>1012</v>
      </c>
      <c r="D1335">
        <v>1</v>
      </c>
      <c r="E1335" t="s">
        <v>103</v>
      </c>
      <c r="F1335">
        <v>9</v>
      </c>
      <c r="G1335">
        <v>2022</v>
      </c>
      <c r="I1335" s="8">
        <v>1282.99</v>
      </c>
      <c r="J1335" t="s">
        <v>104</v>
      </c>
      <c r="K1335" t="s">
        <v>53</v>
      </c>
      <c r="L1335" t="s">
        <v>105</v>
      </c>
      <c r="O1335">
        <v>0</v>
      </c>
      <c r="P1335">
        <v>1</v>
      </c>
      <c r="Q1335">
        <v>0</v>
      </c>
      <c r="R1335">
        <v>0</v>
      </c>
      <c r="S1335">
        <v>1</v>
      </c>
      <c r="T1335">
        <v>1</v>
      </c>
      <c r="U1335">
        <v>1</v>
      </c>
      <c r="V1335">
        <v>0</v>
      </c>
      <c r="W1335" t="s">
        <v>106</v>
      </c>
      <c r="AA1335">
        <v>2007</v>
      </c>
      <c r="AB1335">
        <v>9999</v>
      </c>
      <c r="AC1335" t="s">
        <v>35</v>
      </c>
    </row>
    <row r="1336" spans="1:29" x14ac:dyDescent="0.25">
      <c r="A1336" s="31" t="s">
        <v>126</v>
      </c>
      <c r="B1336" s="23" t="s">
        <v>1573</v>
      </c>
      <c r="C1336" t="s">
        <v>1607</v>
      </c>
      <c r="D1336">
        <v>1</v>
      </c>
      <c r="E1336" s="5" t="s">
        <v>128</v>
      </c>
      <c r="F1336">
        <v>9</v>
      </c>
      <c r="G1336">
        <v>2022</v>
      </c>
      <c r="H1336" t="s">
        <v>129</v>
      </c>
      <c r="I1336">
        <v>3.5</v>
      </c>
      <c r="J1336" t="s">
        <v>104</v>
      </c>
      <c r="K1336" t="s">
        <v>41</v>
      </c>
      <c r="O1336">
        <v>0</v>
      </c>
      <c r="P1336">
        <v>0</v>
      </c>
      <c r="Q1336">
        <v>0</v>
      </c>
      <c r="R1336">
        <v>0</v>
      </c>
      <c r="S1336">
        <v>0</v>
      </c>
      <c r="T1336">
        <v>1</v>
      </c>
      <c r="U1336">
        <v>0</v>
      </c>
      <c r="V1336">
        <v>0</v>
      </c>
      <c r="W1336" t="s">
        <v>1043</v>
      </c>
      <c r="AA1336">
        <v>2007</v>
      </c>
      <c r="AB1336">
        <v>9999</v>
      </c>
      <c r="AC1336" t="s">
        <v>35</v>
      </c>
    </row>
    <row r="1337" spans="1:29" x14ac:dyDescent="0.25">
      <c r="A1337" s="31" t="s">
        <v>1013</v>
      </c>
      <c r="B1337" s="23" t="s">
        <v>1014</v>
      </c>
      <c r="D1337">
        <v>1</v>
      </c>
      <c r="E1337" t="s">
        <v>128</v>
      </c>
      <c r="F1337">
        <v>9</v>
      </c>
      <c r="G1337">
        <v>2022</v>
      </c>
      <c r="H1337" t="s">
        <v>1513</v>
      </c>
      <c r="I1337" s="15">
        <v>8.5</v>
      </c>
      <c r="J1337" t="s">
        <v>104</v>
      </c>
      <c r="K1337" t="s">
        <v>41</v>
      </c>
      <c r="O1337">
        <v>0</v>
      </c>
      <c r="P1337">
        <v>0</v>
      </c>
      <c r="Q1337">
        <v>0</v>
      </c>
      <c r="R1337">
        <v>0</v>
      </c>
      <c r="S1337">
        <v>0</v>
      </c>
      <c r="T1337">
        <v>0</v>
      </c>
      <c r="U1337">
        <v>0</v>
      </c>
      <c r="V1337">
        <v>0</v>
      </c>
      <c r="W1337" t="s">
        <v>1229</v>
      </c>
      <c r="AA1337">
        <v>2007</v>
      </c>
      <c r="AB1337">
        <v>9999</v>
      </c>
      <c r="AC1337" t="s">
        <v>35</v>
      </c>
    </row>
    <row r="1338" spans="1:29" x14ac:dyDescent="0.25">
      <c r="A1338" s="31" t="s">
        <v>1016</v>
      </c>
      <c r="B1338" s="23" t="s">
        <v>1017</v>
      </c>
      <c r="D1338">
        <v>1</v>
      </c>
      <c r="E1338" t="s">
        <v>396</v>
      </c>
      <c r="F1338">
        <v>3</v>
      </c>
      <c r="G1338">
        <v>2022</v>
      </c>
      <c r="H1338" t="s">
        <v>1018</v>
      </c>
      <c r="I1338" s="15">
        <v>0</v>
      </c>
      <c r="J1338" t="s">
        <v>121</v>
      </c>
      <c r="K1338" t="s">
        <v>41</v>
      </c>
      <c r="O1338">
        <v>0</v>
      </c>
      <c r="P1338">
        <v>0</v>
      </c>
      <c r="Q1338">
        <v>0</v>
      </c>
      <c r="R1338">
        <v>0</v>
      </c>
      <c r="S1338">
        <v>0</v>
      </c>
      <c r="T1338">
        <v>0</v>
      </c>
      <c r="U1338">
        <v>0</v>
      </c>
      <c r="V1338">
        <v>0</v>
      </c>
      <c r="W1338" t="s">
        <v>1230</v>
      </c>
      <c r="AA1338">
        <v>2007</v>
      </c>
      <c r="AB1338">
        <v>9999</v>
      </c>
      <c r="AC1338" t="s">
        <v>35</v>
      </c>
    </row>
    <row r="1339" spans="1:29" x14ac:dyDescent="0.25">
      <c r="A1339" s="31" t="s">
        <v>1020</v>
      </c>
      <c r="B1339" s="23" t="s">
        <v>1021</v>
      </c>
      <c r="D1339">
        <v>1</v>
      </c>
      <c r="E1339" t="s">
        <v>103</v>
      </c>
      <c r="F1339">
        <v>9</v>
      </c>
      <c r="G1339">
        <v>2022</v>
      </c>
      <c r="I1339" s="8">
        <v>17.899999999999999</v>
      </c>
      <c r="J1339" t="s">
        <v>104</v>
      </c>
      <c r="K1339" t="s">
        <v>47</v>
      </c>
      <c r="O1339">
        <v>0</v>
      </c>
      <c r="P1339">
        <v>0</v>
      </c>
      <c r="Q1339">
        <v>0</v>
      </c>
      <c r="R1339">
        <v>0</v>
      </c>
      <c r="S1339">
        <v>0</v>
      </c>
      <c r="T1339">
        <v>1</v>
      </c>
      <c r="U1339">
        <v>1</v>
      </c>
      <c r="V1339">
        <v>0</v>
      </c>
      <c r="W1339" t="s">
        <v>1231</v>
      </c>
      <c r="AA1339">
        <v>2007</v>
      </c>
      <c r="AB1339">
        <v>9999</v>
      </c>
      <c r="AC1339" t="s">
        <v>35</v>
      </c>
    </row>
    <row r="1340" spans="1:29" x14ac:dyDescent="0.25">
      <c r="B1340" s="23" t="s">
        <v>1026</v>
      </c>
      <c r="D1340">
        <v>24</v>
      </c>
      <c r="F1340">
        <v>3</v>
      </c>
      <c r="G1340">
        <v>2022</v>
      </c>
      <c r="H1340" t="s">
        <v>392</v>
      </c>
      <c r="I1340" s="15" t="s">
        <v>1027</v>
      </c>
      <c r="J1340" t="s">
        <v>121</v>
      </c>
      <c r="K1340" t="s">
        <v>41</v>
      </c>
      <c r="O1340">
        <v>0</v>
      </c>
      <c r="P1340">
        <v>0</v>
      </c>
      <c r="Q1340">
        <v>0</v>
      </c>
      <c r="R1340">
        <v>0</v>
      </c>
      <c r="S1340">
        <v>0</v>
      </c>
      <c r="T1340">
        <v>0</v>
      </c>
      <c r="U1340">
        <v>0</v>
      </c>
      <c r="V1340">
        <v>0</v>
      </c>
      <c r="W1340" t="s">
        <v>1232</v>
      </c>
      <c r="AA1340">
        <v>2007</v>
      </c>
      <c r="AB1340">
        <v>9999</v>
      </c>
      <c r="AC1340" t="s">
        <v>35</v>
      </c>
    </row>
    <row r="1341" spans="1:29" x14ac:dyDescent="0.25">
      <c r="A1341" s="31" t="s">
        <v>28</v>
      </c>
      <c r="B1341" s="23" t="s">
        <v>29</v>
      </c>
      <c r="D1341">
        <v>1</v>
      </c>
      <c r="E1341" t="s">
        <v>30</v>
      </c>
      <c r="F1341">
        <v>4</v>
      </c>
      <c r="G1341">
        <v>2021</v>
      </c>
      <c r="I1341" s="8">
        <v>786.7</v>
      </c>
      <c r="J1341" t="s">
        <v>1556</v>
      </c>
      <c r="K1341" t="s">
        <v>32</v>
      </c>
      <c r="L1341" t="s">
        <v>33</v>
      </c>
      <c r="O1341">
        <v>0</v>
      </c>
      <c r="P1341">
        <v>0</v>
      </c>
      <c r="Q1341">
        <v>0</v>
      </c>
      <c r="R1341">
        <v>1</v>
      </c>
      <c r="S1341">
        <v>1</v>
      </c>
      <c r="T1341">
        <v>1</v>
      </c>
      <c r="U1341">
        <v>1</v>
      </c>
      <c r="V1341">
        <v>0</v>
      </c>
      <c r="W1341" t="s">
        <v>1029</v>
      </c>
      <c r="AA1341">
        <v>2007</v>
      </c>
      <c r="AB1341">
        <v>9999</v>
      </c>
      <c r="AC1341" t="s">
        <v>35</v>
      </c>
    </row>
    <row r="1342" spans="1:29" x14ac:dyDescent="0.25">
      <c r="A1342" s="31" t="s">
        <v>36</v>
      </c>
      <c r="B1342" s="23" t="s">
        <v>1445</v>
      </c>
      <c r="D1342">
        <v>1</v>
      </c>
      <c r="E1342" s="5" t="s">
        <v>38</v>
      </c>
      <c r="F1342">
        <v>4</v>
      </c>
      <c r="G1342">
        <v>2021</v>
      </c>
      <c r="H1342" t="s">
        <v>39</v>
      </c>
      <c r="I1342" s="15">
        <v>0.35</v>
      </c>
      <c r="J1342" s="2" t="s">
        <v>40</v>
      </c>
      <c r="K1342" s="2" t="s">
        <v>41</v>
      </c>
      <c r="L1342" s="2"/>
      <c r="O1342">
        <v>0</v>
      </c>
      <c r="P1342">
        <v>0</v>
      </c>
      <c r="Q1342">
        <v>0</v>
      </c>
      <c r="R1342">
        <v>0</v>
      </c>
      <c r="S1342">
        <v>0</v>
      </c>
      <c r="T1342">
        <v>0</v>
      </c>
      <c r="U1342">
        <v>0</v>
      </c>
      <c r="V1342">
        <v>0</v>
      </c>
      <c r="W1342" t="s">
        <v>1030</v>
      </c>
      <c r="AA1342">
        <v>2007</v>
      </c>
      <c r="AB1342">
        <v>9999</v>
      </c>
      <c r="AC1342" t="s">
        <v>35</v>
      </c>
    </row>
    <row r="1343" spans="1:29" x14ac:dyDescent="0.25">
      <c r="A1343" s="31" t="s">
        <v>43</v>
      </c>
      <c r="B1343" s="23" t="s">
        <v>44</v>
      </c>
      <c r="D1343">
        <v>1</v>
      </c>
      <c r="E1343" t="s">
        <v>45</v>
      </c>
      <c r="F1343">
        <v>4</v>
      </c>
      <c r="G1343">
        <v>2021</v>
      </c>
      <c r="I1343">
        <v>49.73</v>
      </c>
      <c r="J1343" t="s">
        <v>52</v>
      </c>
      <c r="K1343" t="s">
        <v>47</v>
      </c>
      <c r="O1343">
        <v>0</v>
      </c>
      <c r="P1343">
        <v>0</v>
      </c>
      <c r="Q1343">
        <v>0</v>
      </c>
      <c r="R1343">
        <v>0</v>
      </c>
      <c r="S1343">
        <v>1</v>
      </c>
      <c r="T1343">
        <v>1</v>
      </c>
      <c r="U1343">
        <v>1</v>
      </c>
      <c r="V1343">
        <v>0</v>
      </c>
      <c r="W1343" t="s">
        <v>1514</v>
      </c>
      <c r="AA1343">
        <v>2007</v>
      </c>
      <c r="AB1343">
        <v>9999</v>
      </c>
      <c r="AC1343" t="s">
        <v>35</v>
      </c>
    </row>
    <row r="1344" spans="1:29" x14ac:dyDescent="0.25">
      <c r="A1344" s="31" t="s">
        <v>49</v>
      </c>
      <c r="B1344" s="25" t="s">
        <v>50</v>
      </c>
      <c r="D1344">
        <v>1</v>
      </c>
      <c r="E1344" t="s">
        <v>51</v>
      </c>
      <c r="F1344">
        <v>1</v>
      </c>
      <c r="G1344">
        <v>2021</v>
      </c>
      <c r="I1344" s="15">
        <v>71</v>
      </c>
      <c r="J1344" t="s">
        <v>52</v>
      </c>
      <c r="K1344" t="s">
        <v>53</v>
      </c>
      <c r="L1344" t="s">
        <v>54</v>
      </c>
      <c r="O1344">
        <v>0</v>
      </c>
      <c r="P1344">
        <v>0</v>
      </c>
      <c r="Q1344">
        <v>1</v>
      </c>
      <c r="R1344">
        <v>0</v>
      </c>
      <c r="S1344">
        <v>0</v>
      </c>
      <c r="T1344">
        <v>0</v>
      </c>
      <c r="U1344">
        <v>1</v>
      </c>
      <c r="V1344">
        <v>0</v>
      </c>
      <c r="W1344" t="s">
        <v>55</v>
      </c>
      <c r="AA1344">
        <v>2007</v>
      </c>
      <c r="AB1344">
        <v>9999</v>
      </c>
      <c r="AC1344" t="s">
        <v>35</v>
      </c>
    </row>
    <row r="1345" spans="1:29" x14ac:dyDescent="0.25">
      <c r="A1345" s="31" t="s">
        <v>996</v>
      </c>
      <c r="B1345" s="23" t="s">
        <v>1342</v>
      </c>
      <c r="D1345">
        <v>1</v>
      </c>
      <c r="E1345" t="s">
        <v>38</v>
      </c>
      <c r="F1345">
        <v>4</v>
      </c>
      <c r="G1345">
        <v>2021</v>
      </c>
      <c r="H1345" t="s">
        <v>998</v>
      </c>
      <c r="I1345" s="15">
        <v>1.25</v>
      </c>
      <c r="J1345" t="s">
        <v>89</v>
      </c>
      <c r="K1345" t="s">
        <v>41</v>
      </c>
      <c r="O1345">
        <v>0</v>
      </c>
      <c r="P1345">
        <v>0</v>
      </c>
      <c r="Q1345">
        <v>0</v>
      </c>
      <c r="R1345">
        <v>0</v>
      </c>
      <c r="S1345">
        <v>0</v>
      </c>
      <c r="T1345">
        <v>0</v>
      </c>
      <c r="U1345">
        <v>0</v>
      </c>
      <c r="V1345">
        <v>0</v>
      </c>
      <c r="W1345" t="s">
        <v>1344</v>
      </c>
      <c r="AA1345">
        <v>2007</v>
      </c>
      <c r="AB1345">
        <v>9999</v>
      </c>
      <c r="AC1345" t="s">
        <v>35</v>
      </c>
    </row>
    <row r="1346" spans="1:29" x14ac:dyDescent="0.25">
      <c r="A1346" s="31" t="s">
        <v>56</v>
      </c>
      <c r="B1346" s="23" t="s">
        <v>57</v>
      </c>
      <c r="D1346">
        <v>1</v>
      </c>
      <c r="E1346" t="s">
        <v>58</v>
      </c>
      <c r="F1346">
        <v>4</v>
      </c>
      <c r="G1346">
        <v>2021</v>
      </c>
      <c r="I1346">
        <v>15.88</v>
      </c>
      <c r="J1346" t="s">
        <v>59</v>
      </c>
      <c r="K1346" t="s">
        <v>53</v>
      </c>
      <c r="L1346" t="s">
        <v>60</v>
      </c>
      <c r="O1346">
        <v>1</v>
      </c>
      <c r="P1346">
        <v>0</v>
      </c>
      <c r="Q1346">
        <v>0</v>
      </c>
      <c r="R1346">
        <v>0</v>
      </c>
      <c r="S1346">
        <v>1</v>
      </c>
      <c r="T1346">
        <v>1</v>
      </c>
      <c r="U1346">
        <v>1</v>
      </c>
      <c r="V1346">
        <v>0</v>
      </c>
      <c r="W1346" t="s">
        <v>61</v>
      </c>
      <c r="AA1346">
        <v>2007</v>
      </c>
      <c r="AB1346">
        <v>9999</v>
      </c>
      <c r="AC1346" t="s">
        <v>35</v>
      </c>
    </row>
    <row r="1347" spans="1:29" x14ac:dyDescent="0.25">
      <c r="A1347" s="31" t="s">
        <v>71</v>
      </c>
      <c r="B1347" s="23" t="s">
        <v>1032</v>
      </c>
      <c r="D1347">
        <v>1</v>
      </c>
      <c r="E1347" t="s">
        <v>309</v>
      </c>
      <c r="F1347">
        <v>10</v>
      </c>
      <c r="G1347">
        <v>2021</v>
      </c>
      <c r="I1347" s="8">
        <v>10343.94</v>
      </c>
      <c r="J1347" t="s">
        <v>59</v>
      </c>
      <c r="K1347" t="s">
        <v>32</v>
      </c>
      <c r="O1347">
        <v>0</v>
      </c>
      <c r="P1347">
        <v>0</v>
      </c>
      <c r="Q1347">
        <v>0</v>
      </c>
      <c r="R1347">
        <v>0</v>
      </c>
      <c r="S1347">
        <v>1</v>
      </c>
      <c r="T1347">
        <v>1</v>
      </c>
      <c r="U1347">
        <v>1</v>
      </c>
      <c r="V1347">
        <v>0</v>
      </c>
      <c r="W1347" t="s">
        <v>1033</v>
      </c>
      <c r="AA1347">
        <v>2007</v>
      </c>
      <c r="AB1347">
        <v>9999</v>
      </c>
      <c r="AC1347" t="s">
        <v>35</v>
      </c>
    </row>
    <row r="1348" spans="1:29" x14ac:dyDescent="0.25">
      <c r="A1348" s="31" t="s">
        <v>62</v>
      </c>
      <c r="B1348" s="23" t="s">
        <v>63</v>
      </c>
      <c r="D1348">
        <v>1</v>
      </c>
      <c r="E1348" t="s">
        <v>64</v>
      </c>
      <c r="F1348">
        <v>1</v>
      </c>
      <c r="G1348">
        <v>2021</v>
      </c>
      <c r="I1348">
        <v>63.15</v>
      </c>
      <c r="J1348" t="s">
        <v>52</v>
      </c>
      <c r="K1348" t="s">
        <v>53</v>
      </c>
      <c r="L1348" t="s">
        <v>65</v>
      </c>
      <c r="O1348">
        <v>0</v>
      </c>
      <c r="P1348">
        <v>0</v>
      </c>
      <c r="Q1348">
        <v>0</v>
      </c>
      <c r="R1348">
        <v>0</v>
      </c>
      <c r="S1348">
        <v>1</v>
      </c>
      <c r="T1348">
        <v>1</v>
      </c>
      <c r="U1348">
        <v>1</v>
      </c>
      <c r="V1348">
        <v>0</v>
      </c>
      <c r="W1348" t="s">
        <v>1034</v>
      </c>
      <c r="AA1348">
        <v>2007</v>
      </c>
      <c r="AB1348">
        <v>9999</v>
      </c>
      <c r="AC1348" t="s">
        <v>35</v>
      </c>
    </row>
    <row r="1349" spans="1:29" x14ac:dyDescent="0.25">
      <c r="A1349" s="31" t="s">
        <v>74</v>
      </c>
      <c r="B1349" s="23" t="s">
        <v>75</v>
      </c>
      <c r="D1349">
        <v>1</v>
      </c>
      <c r="E1349" t="s">
        <v>58</v>
      </c>
      <c r="F1349">
        <v>4</v>
      </c>
      <c r="G1349">
        <v>2021</v>
      </c>
      <c r="I1349">
        <v>613.98</v>
      </c>
      <c r="J1349" t="s">
        <v>59</v>
      </c>
      <c r="K1349" t="s">
        <v>47</v>
      </c>
      <c r="O1349">
        <v>0</v>
      </c>
      <c r="P1349">
        <v>0</v>
      </c>
      <c r="Q1349">
        <v>0</v>
      </c>
      <c r="R1349">
        <v>0</v>
      </c>
      <c r="S1349">
        <v>1</v>
      </c>
      <c r="T1349">
        <v>1</v>
      </c>
      <c r="U1349">
        <v>1</v>
      </c>
      <c r="V1349">
        <v>0</v>
      </c>
      <c r="W1349" t="s">
        <v>1035</v>
      </c>
      <c r="AA1349">
        <v>2007</v>
      </c>
      <c r="AB1349">
        <v>9999</v>
      </c>
      <c r="AC1349" t="s">
        <v>35</v>
      </c>
    </row>
    <row r="1350" spans="1:29" x14ac:dyDescent="0.25">
      <c r="A1350" s="31" t="s">
        <v>83</v>
      </c>
      <c r="B1350" s="23" t="s">
        <v>84</v>
      </c>
      <c r="D1350">
        <v>1</v>
      </c>
      <c r="E1350" t="s">
        <v>85</v>
      </c>
      <c r="F1350">
        <v>1</v>
      </c>
      <c r="G1350">
        <v>2021</v>
      </c>
      <c r="H1350" t="s">
        <v>39</v>
      </c>
      <c r="I1350" s="15">
        <v>29.5</v>
      </c>
      <c r="J1350" s="2" t="s">
        <v>40</v>
      </c>
      <c r="K1350" t="s">
        <v>41</v>
      </c>
      <c r="O1350">
        <v>0</v>
      </c>
      <c r="P1350">
        <v>0</v>
      </c>
      <c r="Q1350">
        <v>0</v>
      </c>
      <c r="R1350">
        <v>0</v>
      </c>
      <c r="S1350">
        <v>0</v>
      </c>
      <c r="T1350">
        <v>0</v>
      </c>
      <c r="U1350">
        <v>0</v>
      </c>
      <c r="V1350">
        <v>0</v>
      </c>
      <c r="W1350" t="s">
        <v>86</v>
      </c>
      <c r="AA1350">
        <v>2007</v>
      </c>
      <c r="AB1350">
        <v>9999</v>
      </c>
      <c r="AC1350" t="s">
        <v>35</v>
      </c>
    </row>
    <row r="1351" spans="1:29" x14ac:dyDescent="0.25">
      <c r="A1351" s="31" t="s">
        <v>92</v>
      </c>
      <c r="B1351" s="23" t="s">
        <v>93</v>
      </c>
      <c r="C1351" t="s">
        <v>94</v>
      </c>
      <c r="D1351">
        <v>1</v>
      </c>
      <c r="E1351" t="s">
        <v>95</v>
      </c>
      <c r="F1351">
        <v>10</v>
      </c>
      <c r="G1351">
        <v>2021</v>
      </c>
      <c r="I1351">
        <v>26.91</v>
      </c>
      <c r="J1351" t="s">
        <v>59</v>
      </c>
      <c r="K1351" t="s">
        <v>47</v>
      </c>
      <c r="O1351">
        <v>0</v>
      </c>
      <c r="P1351">
        <v>0</v>
      </c>
      <c r="Q1351">
        <v>0</v>
      </c>
      <c r="R1351">
        <v>0</v>
      </c>
      <c r="S1351">
        <v>1</v>
      </c>
      <c r="T1351">
        <v>1</v>
      </c>
      <c r="U1351">
        <v>1</v>
      </c>
      <c r="V1351">
        <v>0</v>
      </c>
      <c r="W1351" t="s">
        <v>96</v>
      </c>
      <c r="AA1351">
        <v>2007</v>
      </c>
      <c r="AB1351">
        <v>9999</v>
      </c>
      <c r="AC1351" t="s">
        <v>35</v>
      </c>
    </row>
    <row r="1352" spans="1:29" x14ac:dyDescent="0.25">
      <c r="A1352" s="31" t="s">
        <v>101</v>
      </c>
      <c r="B1352" s="23" t="s">
        <v>102</v>
      </c>
      <c r="D1352">
        <v>1</v>
      </c>
      <c r="E1352" t="s">
        <v>103</v>
      </c>
      <c r="F1352">
        <v>9</v>
      </c>
      <c r="G1352">
        <v>2021</v>
      </c>
      <c r="I1352">
        <v>439.79</v>
      </c>
      <c r="J1352" t="s">
        <v>104</v>
      </c>
      <c r="K1352" t="s">
        <v>53</v>
      </c>
      <c r="L1352" t="s">
        <v>105</v>
      </c>
      <c r="O1352">
        <v>0</v>
      </c>
      <c r="P1352">
        <v>1</v>
      </c>
      <c r="Q1352">
        <v>0</v>
      </c>
      <c r="R1352">
        <v>0</v>
      </c>
      <c r="S1352">
        <v>1</v>
      </c>
      <c r="T1352">
        <v>1</v>
      </c>
      <c r="U1352">
        <v>1</v>
      </c>
      <c r="V1352">
        <v>0</v>
      </c>
      <c r="W1352" t="s">
        <v>106</v>
      </c>
      <c r="AA1352">
        <v>2007</v>
      </c>
      <c r="AB1352">
        <v>9999</v>
      </c>
      <c r="AC1352" t="s">
        <v>35</v>
      </c>
    </row>
    <row r="1353" spans="1:29" x14ac:dyDescent="0.25">
      <c r="A1353" s="31" t="s">
        <v>107</v>
      </c>
      <c r="B1353" s="23" t="s">
        <v>108</v>
      </c>
      <c r="D1353">
        <v>1</v>
      </c>
      <c r="E1353" t="s">
        <v>45</v>
      </c>
      <c r="F1353">
        <v>4</v>
      </c>
      <c r="G1353">
        <v>2021</v>
      </c>
      <c r="I1353">
        <v>5.5</v>
      </c>
      <c r="J1353" t="s">
        <v>52</v>
      </c>
      <c r="K1353" t="s">
        <v>41</v>
      </c>
      <c r="O1353">
        <v>0</v>
      </c>
      <c r="P1353">
        <v>0</v>
      </c>
      <c r="Q1353">
        <v>0</v>
      </c>
      <c r="R1353">
        <v>0</v>
      </c>
      <c r="S1353">
        <v>0</v>
      </c>
      <c r="T1353">
        <v>1</v>
      </c>
      <c r="U1353">
        <v>1</v>
      </c>
      <c r="V1353">
        <v>0</v>
      </c>
      <c r="W1353" t="s">
        <v>1520</v>
      </c>
      <c r="AA1353">
        <v>2007</v>
      </c>
      <c r="AB1353">
        <v>9999</v>
      </c>
      <c r="AC1353" t="s">
        <v>35</v>
      </c>
    </row>
    <row r="1354" spans="1:29" x14ac:dyDescent="0.25">
      <c r="A1354" s="31" t="s">
        <v>110</v>
      </c>
      <c r="B1354" s="23" t="s">
        <v>111</v>
      </c>
      <c r="D1354">
        <v>1</v>
      </c>
      <c r="E1354" t="s">
        <v>45</v>
      </c>
      <c r="F1354">
        <v>4</v>
      </c>
      <c r="G1354">
        <v>2021</v>
      </c>
      <c r="I1354">
        <v>524.48</v>
      </c>
      <c r="J1354" t="s">
        <v>89</v>
      </c>
      <c r="K1354" t="s">
        <v>47</v>
      </c>
      <c r="O1354">
        <v>0</v>
      </c>
      <c r="P1354">
        <v>0</v>
      </c>
      <c r="Q1354">
        <v>0</v>
      </c>
      <c r="R1354">
        <v>0</v>
      </c>
      <c r="S1354">
        <v>1</v>
      </c>
      <c r="T1354">
        <v>1</v>
      </c>
      <c r="U1354">
        <v>1</v>
      </c>
      <c r="V1354">
        <v>0</v>
      </c>
      <c r="W1354" t="s">
        <v>1039</v>
      </c>
      <c r="AA1354">
        <v>2007</v>
      </c>
      <c r="AB1354">
        <v>9999</v>
      </c>
      <c r="AC1354" t="s">
        <v>35</v>
      </c>
    </row>
    <row r="1355" spans="1:29" x14ac:dyDescent="0.25">
      <c r="A1355" s="31" t="s">
        <v>113</v>
      </c>
      <c r="B1355" s="23" t="s">
        <v>114</v>
      </c>
      <c r="D1355">
        <v>1</v>
      </c>
      <c r="E1355" t="s">
        <v>115</v>
      </c>
      <c r="F1355">
        <v>6</v>
      </c>
      <c r="G1355">
        <v>2021</v>
      </c>
      <c r="I1355">
        <v>253.59</v>
      </c>
      <c r="J1355" t="s">
        <v>52</v>
      </c>
      <c r="K1355" t="s">
        <v>47</v>
      </c>
      <c r="O1355">
        <v>0</v>
      </c>
      <c r="P1355">
        <v>0</v>
      </c>
      <c r="Q1355">
        <v>0</v>
      </c>
      <c r="R1355">
        <v>0</v>
      </c>
      <c r="S1355">
        <v>1</v>
      </c>
      <c r="T1355">
        <v>1</v>
      </c>
      <c r="U1355">
        <v>1</v>
      </c>
      <c r="V1355">
        <v>0</v>
      </c>
      <c r="W1355" t="s">
        <v>1415</v>
      </c>
      <c r="AA1355">
        <v>2007</v>
      </c>
      <c r="AB1355">
        <v>9999</v>
      </c>
      <c r="AC1355" t="s">
        <v>35</v>
      </c>
    </row>
    <row r="1356" spans="1:29" x14ac:dyDescent="0.25">
      <c r="A1356" s="31" t="s">
        <v>117</v>
      </c>
      <c r="B1356" s="23" t="s">
        <v>118</v>
      </c>
      <c r="C1356" t="s">
        <v>119</v>
      </c>
      <c r="D1356">
        <v>1</v>
      </c>
      <c r="E1356" t="s">
        <v>120</v>
      </c>
      <c r="F1356">
        <v>3</v>
      </c>
      <c r="G1356">
        <v>2021</v>
      </c>
      <c r="I1356">
        <v>143.18</v>
      </c>
      <c r="J1356" t="s">
        <v>121</v>
      </c>
      <c r="K1356" t="s">
        <v>47</v>
      </c>
      <c r="O1356">
        <v>0</v>
      </c>
      <c r="P1356">
        <v>0</v>
      </c>
      <c r="Q1356">
        <v>0</v>
      </c>
      <c r="R1356">
        <v>0</v>
      </c>
      <c r="S1356">
        <v>1</v>
      </c>
      <c r="T1356">
        <v>1</v>
      </c>
      <c r="U1356">
        <v>1</v>
      </c>
      <c r="V1356">
        <v>0</v>
      </c>
      <c r="W1356" t="s">
        <v>1521</v>
      </c>
      <c r="AA1356">
        <v>2007</v>
      </c>
      <c r="AB1356">
        <v>9999</v>
      </c>
      <c r="AC1356" t="s">
        <v>35</v>
      </c>
    </row>
    <row r="1357" spans="1:29" x14ac:dyDescent="0.25">
      <c r="A1357" s="31" t="s">
        <v>123</v>
      </c>
      <c r="B1357" s="23" t="s">
        <v>124</v>
      </c>
      <c r="D1357">
        <v>1</v>
      </c>
      <c r="E1357" t="s">
        <v>120</v>
      </c>
      <c r="F1357">
        <v>3</v>
      </c>
      <c r="G1357">
        <v>2021</v>
      </c>
      <c r="I1357" s="8">
        <v>55.63</v>
      </c>
      <c r="J1357" t="s">
        <v>121</v>
      </c>
      <c r="K1357" t="s">
        <v>47</v>
      </c>
      <c r="O1357">
        <v>0</v>
      </c>
      <c r="P1357">
        <v>0</v>
      </c>
      <c r="Q1357">
        <v>0</v>
      </c>
      <c r="R1357">
        <v>0</v>
      </c>
      <c r="S1357">
        <v>1</v>
      </c>
      <c r="T1357">
        <v>1</v>
      </c>
      <c r="U1357">
        <v>1</v>
      </c>
      <c r="V1357">
        <v>0</v>
      </c>
      <c r="W1357" t="s">
        <v>1042</v>
      </c>
      <c r="AA1357">
        <v>2007</v>
      </c>
      <c r="AB1357">
        <v>9999</v>
      </c>
      <c r="AC1357" t="s">
        <v>35</v>
      </c>
    </row>
    <row r="1358" spans="1:29" x14ac:dyDescent="0.25">
      <c r="A1358" s="31" t="s">
        <v>1416</v>
      </c>
      <c r="B1358" s="23" t="s">
        <v>1417</v>
      </c>
      <c r="D1358">
        <v>1</v>
      </c>
      <c r="E1358" s="5" t="s">
        <v>38</v>
      </c>
      <c r="F1358">
        <v>4</v>
      </c>
      <c r="G1358">
        <v>2021</v>
      </c>
      <c r="H1358" t="s">
        <v>998</v>
      </c>
      <c r="I1358" s="15">
        <v>0</v>
      </c>
      <c r="J1358" t="s">
        <v>89</v>
      </c>
      <c r="K1358" t="s">
        <v>41</v>
      </c>
      <c r="O1358">
        <v>0</v>
      </c>
      <c r="P1358">
        <v>0</v>
      </c>
      <c r="Q1358">
        <v>0</v>
      </c>
      <c r="R1358">
        <v>0</v>
      </c>
      <c r="S1358">
        <v>0</v>
      </c>
      <c r="T1358">
        <v>0</v>
      </c>
      <c r="U1358">
        <v>0</v>
      </c>
      <c r="V1358">
        <v>0</v>
      </c>
      <c r="W1358" t="s">
        <v>1534</v>
      </c>
      <c r="AA1358">
        <v>2013</v>
      </c>
      <c r="AB1358">
        <v>9999</v>
      </c>
      <c r="AC1358" t="s">
        <v>1419</v>
      </c>
    </row>
    <row r="1359" spans="1:29" x14ac:dyDescent="0.25">
      <c r="A1359" s="31" t="s">
        <v>131</v>
      </c>
      <c r="B1359" s="23" t="s">
        <v>132</v>
      </c>
      <c r="C1359" t="s">
        <v>133</v>
      </c>
      <c r="D1359">
        <v>1</v>
      </c>
      <c r="E1359" t="s">
        <v>134</v>
      </c>
      <c r="F1359">
        <v>9</v>
      </c>
      <c r="G1359">
        <v>2021</v>
      </c>
      <c r="I1359">
        <v>1000.32</v>
      </c>
      <c r="J1359" t="s">
        <v>104</v>
      </c>
      <c r="K1359" t="s">
        <v>47</v>
      </c>
      <c r="O1359">
        <v>0</v>
      </c>
      <c r="P1359">
        <v>0</v>
      </c>
      <c r="Q1359">
        <v>0</v>
      </c>
      <c r="R1359">
        <v>0</v>
      </c>
      <c r="S1359">
        <v>1</v>
      </c>
      <c r="T1359">
        <v>1</v>
      </c>
      <c r="U1359">
        <v>1</v>
      </c>
      <c r="V1359">
        <v>0</v>
      </c>
      <c r="W1359" t="s">
        <v>1522</v>
      </c>
      <c r="AA1359">
        <v>2007</v>
      </c>
      <c r="AB1359">
        <v>9999</v>
      </c>
      <c r="AC1359" t="s">
        <v>35</v>
      </c>
    </row>
    <row r="1360" spans="1:29" ht="30" x14ac:dyDescent="0.25">
      <c r="A1360" s="31" t="s">
        <v>143</v>
      </c>
      <c r="B1360" s="23" t="s">
        <v>144</v>
      </c>
      <c r="D1360">
        <v>1</v>
      </c>
      <c r="E1360" t="s">
        <v>145</v>
      </c>
      <c r="F1360">
        <v>2</v>
      </c>
      <c r="G1360">
        <v>2021</v>
      </c>
      <c r="H1360" t="s">
        <v>146</v>
      </c>
      <c r="I1360" s="15">
        <v>0</v>
      </c>
      <c r="J1360" s="2" t="s">
        <v>147</v>
      </c>
      <c r="K1360" t="s">
        <v>41</v>
      </c>
      <c r="O1360">
        <v>0</v>
      </c>
      <c r="P1360">
        <v>0</v>
      </c>
      <c r="Q1360">
        <v>0</v>
      </c>
      <c r="R1360">
        <v>0</v>
      </c>
      <c r="S1360">
        <v>0</v>
      </c>
      <c r="T1360">
        <v>0</v>
      </c>
      <c r="U1360">
        <v>0</v>
      </c>
      <c r="V1360">
        <v>0</v>
      </c>
      <c r="W1360" t="s">
        <v>1046</v>
      </c>
      <c r="AA1360">
        <v>2007</v>
      </c>
      <c r="AB1360">
        <v>9999</v>
      </c>
      <c r="AC1360" t="s">
        <v>35</v>
      </c>
    </row>
    <row r="1361" spans="1:29" x14ac:dyDescent="0.25">
      <c r="A1361" s="31" t="s">
        <v>1535</v>
      </c>
      <c r="B1361" s="23" t="s">
        <v>1536</v>
      </c>
      <c r="C1361" t="s">
        <v>1537</v>
      </c>
      <c r="D1361">
        <v>1</v>
      </c>
      <c r="E1361" t="s">
        <v>95</v>
      </c>
      <c r="F1361">
        <v>10</v>
      </c>
      <c r="G1361">
        <v>2021</v>
      </c>
      <c r="I1361">
        <v>15.14</v>
      </c>
      <c r="J1361" t="s">
        <v>59</v>
      </c>
      <c r="K1361" t="s">
        <v>47</v>
      </c>
      <c r="O1361">
        <v>0</v>
      </c>
      <c r="P1361">
        <v>0</v>
      </c>
      <c r="Q1361">
        <v>0</v>
      </c>
      <c r="R1361">
        <v>0</v>
      </c>
      <c r="S1361">
        <v>1</v>
      </c>
      <c r="T1361">
        <v>1</v>
      </c>
      <c r="U1361">
        <v>1</v>
      </c>
      <c r="V1361">
        <v>0</v>
      </c>
      <c r="W1361" t="s">
        <v>1538</v>
      </c>
      <c r="AA1361">
        <v>2018</v>
      </c>
      <c r="AB1361">
        <v>2022</v>
      </c>
      <c r="AC1361" t="s">
        <v>1539</v>
      </c>
    </row>
    <row r="1362" spans="1:29" x14ac:dyDescent="0.25">
      <c r="A1362" s="31" t="s">
        <v>353</v>
      </c>
      <c r="B1362" s="23" t="s">
        <v>1233</v>
      </c>
      <c r="C1362" t="s">
        <v>1234</v>
      </c>
      <c r="D1362">
        <v>1</v>
      </c>
      <c r="E1362" t="s">
        <v>58</v>
      </c>
      <c r="F1362">
        <v>4</v>
      </c>
      <c r="G1362">
        <v>2021</v>
      </c>
      <c r="I1362" s="8">
        <v>89.15</v>
      </c>
      <c r="J1362" t="s">
        <v>59</v>
      </c>
      <c r="K1362" t="s">
        <v>47</v>
      </c>
      <c r="O1362">
        <v>0</v>
      </c>
      <c r="P1362">
        <v>0</v>
      </c>
      <c r="Q1362">
        <v>0</v>
      </c>
      <c r="R1362">
        <v>0</v>
      </c>
      <c r="S1362">
        <v>1</v>
      </c>
      <c r="T1362">
        <v>1</v>
      </c>
      <c r="U1362">
        <v>1</v>
      </c>
      <c r="V1362">
        <v>0</v>
      </c>
      <c r="W1362" t="s">
        <v>1235</v>
      </c>
      <c r="AA1362">
        <v>2007</v>
      </c>
      <c r="AB1362">
        <v>9999</v>
      </c>
      <c r="AC1362" t="s">
        <v>35</v>
      </c>
    </row>
    <row r="1363" spans="1:29" x14ac:dyDescent="0.25">
      <c r="A1363" s="31" t="s">
        <v>1236</v>
      </c>
      <c r="B1363" s="23" t="s">
        <v>1237</v>
      </c>
      <c r="D1363">
        <v>1</v>
      </c>
      <c r="E1363" t="s">
        <v>155</v>
      </c>
      <c r="F1363">
        <v>3</v>
      </c>
      <c r="G1363">
        <v>2021</v>
      </c>
      <c r="H1363" t="s">
        <v>154</v>
      </c>
      <c r="I1363">
        <v>7</v>
      </c>
      <c r="J1363" t="s">
        <v>121</v>
      </c>
      <c r="K1363" t="s">
        <v>41</v>
      </c>
      <c r="O1363">
        <v>0</v>
      </c>
      <c r="P1363">
        <v>0</v>
      </c>
      <c r="Q1363">
        <v>0</v>
      </c>
      <c r="R1363">
        <v>0</v>
      </c>
      <c r="S1363">
        <v>0</v>
      </c>
      <c r="T1363">
        <v>1</v>
      </c>
      <c r="U1363">
        <v>1</v>
      </c>
      <c r="V1363">
        <v>0</v>
      </c>
      <c r="W1363" t="s">
        <v>1347</v>
      </c>
      <c r="AA1363">
        <v>2009</v>
      </c>
      <c r="AB1363">
        <v>9999</v>
      </c>
      <c r="AC1363" t="s">
        <v>1239</v>
      </c>
    </row>
    <row r="1364" spans="1:29" x14ac:dyDescent="0.25">
      <c r="A1364" s="31" t="s">
        <v>153</v>
      </c>
      <c r="B1364" s="23" t="s">
        <v>154</v>
      </c>
      <c r="D1364">
        <v>1</v>
      </c>
      <c r="E1364" t="s">
        <v>155</v>
      </c>
      <c r="F1364">
        <v>3</v>
      </c>
      <c r="G1364">
        <v>2021</v>
      </c>
      <c r="I1364" s="8">
        <v>383.14023147233343</v>
      </c>
      <c r="J1364" t="s">
        <v>121</v>
      </c>
      <c r="K1364" t="s">
        <v>47</v>
      </c>
      <c r="O1364">
        <v>0</v>
      </c>
      <c r="P1364">
        <v>0</v>
      </c>
      <c r="Q1364">
        <v>0</v>
      </c>
      <c r="R1364">
        <v>0</v>
      </c>
      <c r="S1364">
        <v>1</v>
      </c>
      <c r="T1364">
        <v>1</v>
      </c>
      <c r="U1364">
        <v>1</v>
      </c>
      <c r="V1364">
        <v>1</v>
      </c>
      <c r="W1364" t="s">
        <v>1047</v>
      </c>
      <c r="AA1364">
        <v>2007</v>
      </c>
      <c r="AB1364">
        <v>9999</v>
      </c>
      <c r="AC1364" t="s">
        <v>35</v>
      </c>
    </row>
    <row r="1365" spans="1:29" x14ac:dyDescent="0.25">
      <c r="A1365" s="31" t="s">
        <v>1446</v>
      </c>
      <c r="B1365" s="23" t="s">
        <v>1470</v>
      </c>
      <c r="D1365">
        <v>1</v>
      </c>
      <c r="E1365" s="4">
        <v>711</v>
      </c>
      <c r="F1365">
        <v>7</v>
      </c>
      <c r="G1365">
        <v>2021</v>
      </c>
      <c r="I1365" s="8">
        <v>300.83999999999997</v>
      </c>
      <c r="J1365" s="2" t="s">
        <v>40</v>
      </c>
      <c r="K1365" t="s">
        <v>32</v>
      </c>
      <c r="O1365">
        <v>0</v>
      </c>
      <c r="P1365">
        <v>0</v>
      </c>
      <c r="Q1365">
        <v>0</v>
      </c>
      <c r="R1365">
        <v>0</v>
      </c>
      <c r="S1365">
        <v>1</v>
      </c>
      <c r="T1365">
        <v>1</v>
      </c>
      <c r="U1365">
        <v>1</v>
      </c>
      <c r="V1365">
        <v>0</v>
      </c>
      <c r="W1365" t="s">
        <v>1448</v>
      </c>
      <c r="AA1365">
        <v>2014</v>
      </c>
      <c r="AB1365">
        <v>9999</v>
      </c>
      <c r="AC1365" t="s">
        <v>1449</v>
      </c>
    </row>
    <row r="1366" spans="1:29" x14ac:dyDescent="0.25">
      <c r="A1366" s="31" t="s">
        <v>159</v>
      </c>
      <c r="B1366" s="23" t="s">
        <v>160</v>
      </c>
      <c r="D1366">
        <v>1</v>
      </c>
      <c r="E1366" t="s">
        <v>155</v>
      </c>
      <c r="F1366">
        <v>3</v>
      </c>
      <c r="G1366">
        <v>2021</v>
      </c>
      <c r="I1366" s="8">
        <v>381.17</v>
      </c>
      <c r="J1366" t="s">
        <v>121</v>
      </c>
      <c r="K1366" t="s">
        <v>47</v>
      </c>
      <c r="O1366">
        <v>0</v>
      </c>
      <c r="P1366">
        <v>0</v>
      </c>
      <c r="Q1366">
        <v>0</v>
      </c>
      <c r="R1366">
        <v>0</v>
      </c>
      <c r="S1366">
        <v>1</v>
      </c>
      <c r="T1366">
        <v>1</v>
      </c>
      <c r="U1366">
        <v>1</v>
      </c>
      <c r="V1366">
        <v>0</v>
      </c>
      <c r="W1366" t="s">
        <v>1515</v>
      </c>
      <c r="AA1366">
        <v>2007</v>
      </c>
      <c r="AB1366">
        <v>9999</v>
      </c>
      <c r="AC1366" t="s">
        <v>35</v>
      </c>
    </row>
    <row r="1367" spans="1:29" x14ac:dyDescent="0.25">
      <c r="A1367" s="31" t="s">
        <v>165</v>
      </c>
      <c r="B1367" s="23" t="s">
        <v>166</v>
      </c>
      <c r="C1367" t="s">
        <v>167</v>
      </c>
      <c r="D1367">
        <v>1</v>
      </c>
      <c r="E1367" t="s">
        <v>168</v>
      </c>
      <c r="F1367">
        <v>1</v>
      </c>
      <c r="G1367">
        <v>2021</v>
      </c>
      <c r="I1367">
        <v>138.32</v>
      </c>
      <c r="J1367" t="s">
        <v>52</v>
      </c>
      <c r="K1367" t="s">
        <v>47</v>
      </c>
      <c r="O1367">
        <v>0</v>
      </c>
      <c r="P1367">
        <v>0</v>
      </c>
      <c r="Q1367">
        <v>0</v>
      </c>
      <c r="R1367">
        <v>0</v>
      </c>
      <c r="S1367">
        <v>1</v>
      </c>
      <c r="T1367">
        <v>1</v>
      </c>
      <c r="U1367">
        <v>1</v>
      </c>
      <c r="V1367">
        <v>0</v>
      </c>
      <c r="W1367" t="s">
        <v>1523</v>
      </c>
      <c r="AA1367">
        <v>2007</v>
      </c>
      <c r="AB1367">
        <v>9999</v>
      </c>
      <c r="AC1367" t="s">
        <v>35</v>
      </c>
    </row>
    <row r="1368" spans="1:29" x14ac:dyDescent="0.25">
      <c r="A1368" s="31" t="s">
        <v>170</v>
      </c>
      <c r="B1368" s="23" t="s">
        <v>171</v>
      </c>
      <c r="D1368">
        <v>1</v>
      </c>
      <c r="E1368" t="s">
        <v>30</v>
      </c>
      <c r="F1368">
        <v>4</v>
      </c>
      <c r="G1368">
        <v>2021</v>
      </c>
      <c r="I1368" s="8">
        <v>55.89</v>
      </c>
      <c r="J1368" t="s">
        <v>1556</v>
      </c>
      <c r="K1368" t="s">
        <v>47</v>
      </c>
      <c r="O1368">
        <v>0</v>
      </c>
      <c r="P1368">
        <v>0</v>
      </c>
      <c r="Q1368">
        <v>0</v>
      </c>
      <c r="R1368">
        <v>0</v>
      </c>
      <c r="S1368">
        <v>1</v>
      </c>
      <c r="T1368">
        <v>1</v>
      </c>
      <c r="U1368">
        <v>1</v>
      </c>
      <c r="V1368">
        <v>0</v>
      </c>
      <c r="W1368" t="s">
        <v>1050</v>
      </c>
      <c r="AA1368">
        <v>2007</v>
      </c>
      <c r="AB1368">
        <v>9999</v>
      </c>
      <c r="AC1368" t="s">
        <v>35</v>
      </c>
    </row>
    <row r="1369" spans="1:29" x14ac:dyDescent="0.25">
      <c r="A1369" s="31" t="s">
        <v>1051</v>
      </c>
      <c r="B1369" s="23" t="s">
        <v>1052</v>
      </c>
      <c r="D1369">
        <v>1</v>
      </c>
      <c r="E1369" t="s">
        <v>30</v>
      </c>
      <c r="F1369">
        <v>4</v>
      </c>
      <c r="G1369">
        <v>2021</v>
      </c>
      <c r="I1369">
        <v>144.80000000000001</v>
      </c>
      <c r="J1369" t="s">
        <v>1556</v>
      </c>
      <c r="K1369" t="s">
        <v>47</v>
      </c>
      <c r="O1369">
        <v>0</v>
      </c>
      <c r="P1369">
        <v>0</v>
      </c>
      <c r="Q1369">
        <v>0</v>
      </c>
      <c r="R1369">
        <v>0</v>
      </c>
      <c r="S1369">
        <v>1</v>
      </c>
      <c r="T1369">
        <v>1</v>
      </c>
      <c r="U1369">
        <v>1</v>
      </c>
      <c r="V1369">
        <v>0</v>
      </c>
      <c r="W1369" t="s">
        <v>1524</v>
      </c>
      <c r="AA1369">
        <v>2008</v>
      </c>
      <c r="AB1369">
        <v>9999</v>
      </c>
      <c r="AC1369" t="s">
        <v>1054</v>
      </c>
    </row>
    <row r="1370" spans="1:29" x14ac:dyDescent="0.25">
      <c r="A1370" s="31" t="s">
        <v>1557</v>
      </c>
      <c r="B1370" s="23" t="s">
        <v>1558</v>
      </c>
      <c r="D1370">
        <v>1</v>
      </c>
      <c r="E1370" s="5" t="s">
        <v>358</v>
      </c>
      <c r="F1370">
        <v>1</v>
      </c>
      <c r="G1370">
        <v>2021</v>
      </c>
      <c r="I1370">
        <v>23.01</v>
      </c>
      <c r="J1370" t="s">
        <v>104</v>
      </c>
      <c r="K1370" t="s">
        <v>47</v>
      </c>
      <c r="O1370">
        <v>0</v>
      </c>
      <c r="P1370">
        <v>0</v>
      </c>
      <c r="Q1370">
        <v>0</v>
      </c>
      <c r="R1370">
        <v>0</v>
      </c>
      <c r="S1370">
        <v>1</v>
      </c>
      <c r="T1370">
        <v>0</v>
      </c>
      <c r="U1370">
        <v>1</v>
      </c>
      <c r="V1370">
        <v>0</v>
      </c>
      <c r="W1370" t="s">
        <v>1559</v>
      </c>
      <c r="AA1370">
        <v>2019</v>
      </c>
      <c r="AB1370">
        <v>9999</v>
      </c>
      <c r="AC1370" t="s">
        <v>1560</v>
      </c>
    </row>
    <row r="1371" spans="1:29" x14ac:dyDescent="0.25">
      <c r="A1371" s="31" t="s">
        <v>173</v>
      </c>
      <c r="B1371" s="23" t="s">
        <v>174</v>
      </c>
      <c r="C1371" t="s">
        <v>175</v>
      </c>
      <c r="D1371">
        <v>1</v>
      </c>
      <c r="E1371" t="s">
        <v>45</v>
      </c>
      <c r="F1371">
        <v>4</v>
      </c>
      <c r="G1371">
        <v>2021</v>
      </c>
      <c r="I1371">
        <v>145.66</v>
      </c>
      <c r="J1371" t="s">
        <v>176</v>
      </c>
      <c r="K1371" t="s">
        <v>32</v>
      </c>
      <c r="O1371">
        <v>0</v>
      </c>
      <c r="P1371">
        <v>0</v>
      </c>
      <c r="Q1371">
        <v>0</v>
      </c>
      <c r="R1371">
        <v>0</v>
      </c>
      <c r="S1371">
        <v>1</v>
      </c>
      <c r="T1371">
        <v>1</v>
      </c>
      <c r="U1371">
        <v>1</v>
      </c>
      <c r="V1371">
        <v>0</v>
      </c>
      <c r="W1371" t="s">
        <v>1055</v>
      </c>
      <c r="AA1371">
        <v>2007</v>
      </c>
      <c r="AB1371">
        <v>9999</v>
      </c>
      <c r="AC1371" t="s">
        <v>35</v>
      </c>
    </row>
    <row r="1372" spans="1:29" x14ac:dyDescent="0.25">
      <c r="A1372" s="31" t="s">
        <v>178</v>
      </c>
      <c r="B1372" s="23" t="s">
        <v>1424</v>
      </c>
      <c r="C1372" t="s">
        <v>1425</v>
      </c>
      <c r="D1372">
        <v>1</v>
      </c>
      <c r="E1372" t="s">
        <v>45</v>
      </c>
      <c r="F1372">
        <v>4</v>
      </c>
      <c r="G1372">
        <v>2021</v>
      </c>
      <c r="I1372">
        <v>26.44</v>
      </c>
      <c r="J1372" t="s">
        <v>52</v>
      </c>
      <c r="K1372" t="s">
        <v>47</v>
      </c>
      <c r="O1372">
        <v>0</v>
      </c>
      <c r="P1372">
        <v>0</v>
      </c>
      <c r="Q1372">
        <v>0</v>
      </c>
      <c r="R1372">
        <v>0</v>
      </c>
      <c r="S1372">
        <v>1</v>
      </c>
      <c r="T1372">
        <v>1</v>
      </c>
      <c r="U1372">
        <v>1</v>
      </c>
      <c r="V1372">
        <v>0</v>
      </c>
      <c r="W1372" t="s">
        <v>1240</v>
      </c>
      <c r="AA1372">
        <v>2007</v>
      </c>
      <c r="AB1372">
        <v>9999</v>
      </c>
      <c r="AC1372" t="s">
        <v>35</v>
      </c>
    </row>
    <row r="1373" spans="1:29" x14ac:dyDescent="0.25">
      <c r="A1373" s="31" t="s">
        <v>181</v>
      </c>
      <c r="B1373" s="23" t="s">
        <v>182</v>
      </c>
      <c r="D1373">
        <v>1</v>
      </c>
      <c r="E1373" t="s">
        <v>38</v>
      </c>
      <c r="F1373">
        <v>4</v>
      </c>
      <c r="G1373">
        <v>2021</v>
      </c>
      <c r="H1373" t="s">
        <v>39</v>
      </c>
      <c r="I1373" s="15">
        <v>0.35</v>
      </c>
      <c r="J1373" t="s">
        <v>121</v>
      </c>
      <c r="K1373" t="s">
        <v>41</v>
      </c>
      <c r="O1373">
        <v>0</v>
      </c>
      <c r="P1373">
        <v>0</v>
      </c>
      <c r="Q1373">
        <v>0</v>
      </c>
      <c r="R1373">
        <v>0</v>
      </c>
      <c r="S1373">
        <v>0</v>
      </c>
      <c r="T1373">
        <v>0</v>
      </c>
      <c r="U1373">
        <v>0</v>
      </c>
      <c r="V1373">
        <v>0</v>
      </c>
      <c r="W1373" t="s">
        <v>1057</v>
      </c>
      <c r="AA1373">
        <v>2007</v>
      </c>
      <c r="AB1373">
        <v>9999</v>
      </c>
      <c r="AC1373" t="s">
        <v>35</v>
      </c>
    </row>
    <row r="1374" spans="1:29" x14ac:dyDescent="0.25">
      <c r="A1374" s="31" t="s">
        <v>184</v>
      </c>
      <c r="B1374" s="23" t="s">
        <v>185</v>
      </c>
      <c r="C1374" t="s">
        <v>186</v>
      </c>
      <c r="D1374">
        <v>1</v>
      </c>
      <c r="E1374" t="s">
        <v>45</v>
      </c>
      <c r="F1374">
        <v>4</v>
      </c>
      <c r="G1374">
        <v>2021</v>
      </c>
      <c r="I1374">
        <v>516.04999999999995</v>
      </c>
      <c r="J1374" t="s">
        <v>52</v>
      </c>
      <c r="K1374" t="s">
        <v>32</v>
      </c>
      <c r="O1374">
        <v>0</v>
      </c>
      <c r="P1374">
        <v>0</v>
      </c>
      <c r="Q1374">
        <v>0</v>
      </c>
      <c r="R1374">
        <v>0</v>
      </c>
      <c r="S1374">
        <v>1</v>
      </c>
      <c r="T1374">
        <v>1</v>
      </c>
      <c r="U1374">
        <v>1</v>
      </c>
      <c r="V1374">
        <v>0</v>
      </c>
      <c r="W1374" t="s">
        <v>1287</v>
      </c>
      <c r="AA1374">
        <v>2007</v>
      </c>
      <c r="AB1374">
        <v>9999</v>
      </c>
      <c r="AC1374" t="s">
        <v>35</v>
      </c>
    </row>
    <row r="1375" spans="1:29" x14ac:dyDescent="0.25">
      <c r="A1375" s="31" t="s">
        <v>1059</v>
      </c>
      <c r="B1375" s="23" t="s">
        <v>1060</v>
      </c>
      <c r="D1375">
        <v>1</v>
      </c>
      <c r="E1375" t="s">
        <v>874</v>
      </c>
      <c r="F1375">
        <v>1</v>
      </c>
      <c r="G1375">
        <v>2021</v>
      </c>
      <c r="I1375">
        <v>5</v>
      </c>
      <c r="J1375" t="s">
        <v>52</v>
      </c>
      <c r="K1375" t="s">
        <v>47</v>
      </c>
      <c r="O1375">
        <v>0</v>
      </c>
      <c r="P1375">
        <v>0</v>
      </c>
      <c r="Q1375">
        <v>0</v>
      </c>
      <c r="R1375">
        <v>0</v>
      </c>
      <c r="S1375">
        <v>1</v>
      </c>
      <c r="T1375">
        <v>1</v>
      </c>
      <c r="U1375">
        <v>1</v>
      </c>
      <c r="V1375">
        <v>0</v>
      </c>
      <c r="W1375" t="s">
        <v>1392</v>
      </c>
      <c r="AA1375">
        <v>2008</v>
      </c>
      <c r="AB1375">
        <v>9999</v>
      </c>
      <c r="AC1375" t="s">
        <v>1054</v>
      </c>
    </row>
    <row r="1376" spans="1:29" x14ac:dyDescent="0.25">
      <c r="A1376" s="31" t="s">
        <v>192</v>
      </c>
      <c r="B1376" s="25" t="s">
        <v>193</v>
      </c>
      <c r="D1376">
        <v>1</v>
      </c>
      <c r="E1376" t="s">
        <v>51</v>
      </c>
      <c r="F1376">
        <v>1</v>
      </c>
      <c r="G1376">
        <v>2021</v>
      </c>
      <c r="I1376">
        <v>61</v>
      </c>
      <c r="J1376" t="s">
        <v>52</v>
      </c>
      <c r="K1376" t="s">
        <v>53</v>
      </c>
      <c r="L1376" t="s">
        <v>54</v>
      </c>
      <c r="O1376">
        <v>0</v>
      </c>
      <c r="P1376">
        <v>0</v>
      </c>
      <c r="Q1376">
        <v>1</v>
      </c>
      <c r="R1376">
        <v>0</v>
      </c>
      <c r="S1376">
        <v>0</v>
      </c>
      <c r="T1376">
        <v>0</v>
      </c>
      <c r="U1376">
        <v>1</v>
      </c>
      <c r="V1376">
        <v>0</v>
      </c>
      <c r="W1376" t="s">
        <v>55</v>
      </c>
      <c r="AA1376">
        <v>2007</v>
      </c>
      <c r="AB1376">
        <v>9999</v>
      </c>
      <c r="AC1376" t="s">
        <v>35</v>
      </c>
    </row>
    <row r="1377" spans="1:29" x14ac:dyDescent="0.25">
      <c r="A1377" s="31" t="s">
        <v>194</v>
      </c>
      <c r="B1377" s="23" t="s">
        <v>195</v>
      </c>
      <c r="C1377" t="s">
        <v>196</v>
      </c>
      <c r="D1377">
        <v>1</v>
      </c>
      <c r="E1377" t="s">
        <v>197</v>
      </c>
      <c r="F1377">
        <v>2</v>
      </c>
      <c r="G1377">
        <v>2021</v>
      </c>
      <c r="I1377" s="8">
        <v>225.83</v>
      </c>
      <c r="J1377" t="s">
        <v>176</v>
      </c>
      <c r="K1377" t="s">
        <v>47</v>
      </c>
      <c r="O1377">
        <v>0</v>
      </c>
      <c r="P1377">
        <v>0</v>
      </c>
      <c r="Q1377">
        <v>0</v>
      </c>
      <c r="R1377">
        <v>0</v>
      </c>
      <c r="S1377">
        <v>1</v>
      </c>
      <c r="T1377">
        <v>1</v>
      </c>
      <c r="U1377">
        <v>1</v>
      </c>
      <c r="V1377">
        <v>0</v>
      </c>
      <c r="W1377" t="s">
        <v>1580</v>
      </c>
      <c r="AA1377">
        <v>2007</v>
      </c>
      <c r="AB1377">
        <v>9999</v>
      </c>
      <c r="AC1377" t="s">
        <v>35</v>
      </c>
    </row>
    <row r="1378" spans="1:29" x14ac:dyDescent="0.25">
      <c r="A1378" s="31" t="s">
        <v>1451</v>
      </c>
      <c r="B1378" s="23" t="s">
        <v>1452</v>
      </c>
      <c r="D1378">
        <v>1</v>
      </c>
      <c r="E1378" s="4">
        <v>760</v>
      </c>
      <c r="F1378">
        <v>7</v>
      </c>
      <c r="G1378">
        <v>2021</v>
      </c>
      <c r="I1378">
        <v>549.20000000000005</v>
      </c>
      <c r="J1378" t="s">
        <v>40</v>
      </c>
      <c r="K1378" t="s">
        <v>47</v>
      </c>
      <c r="O1378">
        <v>0</v>
      </c>
      <c r="P1378">
        <v>0</v>
      </c>
      <c r="Q1378">
        <v>0</v>
      </c>
      <c r="R1378">
        <v>0</v>
      </c>
      <c r="S1378">
        <v>1</v>
      </c>
      <c r="T1378">
        <v>1</v>
      </c>
      <c r="U1378">
        <v>1</v>
      </c>
      <c r="V1378">
        <v>0</v>
      </c>
      <c r="W1378" t="s">
        <v>1453</v>
      </c>
      <c r="AA1378">
        <v>2014</v>
      </c>
      <c r="AB1378">
        <v>9999</v>
      </c>
      <c r="AC1378" t="s">
        <v>1449</v>
      </c>
    </row>
    <row r="1379" spans="1:29" x14ac:dyDescent="0.25">
      <c r="A1379" s="31" t="s">
        <v>203</v>
      </c>
      <c r="B1379" s="23" t="s">
        <v>204</v>
      </c>
      <c r="D1379">
        <v>1</v>
      </c>
      <c r="E1379" t="s">
        <v>201</v>
      </c>
      <c r="F1379">
        <v>1</v>
      </c>
      <c r="G1379">
        <v>2021</v>
      </c>
      <c r="H1379" t="s">
        <v>205</v>
      </c>
      <c r="I1379" s="15">
        <v>1.5</v>
      </c>
      <c r="J1379" t="s">
        <v>52</v>
      </c>
      <c r="K1379" t="s">
        <v>41</v>
      </c>
      <c r="O1379">
        <v>0</v>
      </c>
      <c r="P1379">
        <v>0</v>
      </c>
      <c r="Q1379">
        <v>0</v>
      </c>
      <c r="R1379">
        <v>0</v>
      </c>
      <c r="S1379">
        <v>0</v>
      </c>
      <c r="T1379">
        <v>0</v>
      </c>
      <c r="U1379">
        <v>0</v>
      </c>
      <c r="V1379">
        <v>0</v>
      </c>
      <c r="W1379" t="s">
        <v>1064</v>
      </c>
      <c r="AA1379">
        <v>2007</v>
      </c>
      <c r="AB1379">
        <v>9999</v>
      </c>
      <c r="AC1379" t="s">
        <v>35</v>
      </c>
    </row>
    <row r="1380" spans="1:29" x14ac:dyDescent="0.25">
      <c r="A1380" s="31" t="s">
        <v>207</v>
      </c>
      <c r="B1380" s="23" t="s">
        <v>1472</v>
      </c>
      <c r="C1380" t="s">
        <v>209</v>
      </c>
      <c r="D1380">
        <v>1</v>
      </c>
      <c r="E1380" t="s">
        <v>210</v>
      </c>
      <c r="F1380">
        <v>10</v>
      </c>
      <c r="G1380">
        <v>2021</v>
      </c>
      <c r="I1380" s="8">
        <v>34</v>
      </c>
      <c r="J1380" t="s">
        <v>40</v>
      </c>
      <c r="K1380" t="s">
        <v>32</v>
      </c>
      <c r="O1380">
        <v>0</v>
      </c>
      <c r="P1380">
        <v>0</v>
      </c>
      <c r="Q1380">
        <v>0</v>
      </c>
      <c r="R1380">
        <v>0</v>
      </c>
      <c r="S1380">
        <v>1</v>
      </c>
      <c r="T1380">
        <v>1</v>
      </c>
      <c r="U1380">
        <v>1</v>
      </c>
      <c r="V1380">
        <v>0</v>
      </c>
      <c r="W1380" t="s">
        <v>1065</v>
      </c>
      <c r="AA1380">
        <v>2007</v>
      </c>
      <c r="AB1380">
        <v>9999</v>
      </c>
      <c r="AC1380" t="s">
        <v>35</v>
      </c>
    </row>
    <row r="1381" spans="1:29" ht="30" x14ac:dyDescent="0.25">
      <c r="A1381" s="31" t="s">
        <v>212</v>
      </c>
      <c r="B1381" s="23" t="s">
        <v>213</v>
      </c>
      <c r="C1381" t="s">
        <v>214</v>
      </c>
      <c r="D1381">
        <v>1</v>
      </c>
      <c r="E1381" s="4">
        <v>550</v>
      </c>
      <c r="F1381">
        <v>5</v>
      </c>
      <c r="G1381">
        <v>2021</v>
      </c>
      <c r="I1381">
        <v>83.87</v>
      </c>
      <c r="J1381" s="2" t="s">
        <v>31</v>
      </c>
      <c r="K1381" t="s">
        <v>32</v>
      </c>
      <c r="O1381">
        <v>0</v>
      </c>
      <c r="P1381">
        <v>0</v>
      </c>
      <c r="Q1381">
        <v>0</v>
      </c>
      <c r="R1381">
        <v>0</v>
      </c>
      <c r="S1381">
        <v>1</v>
      </c>
      <c r="T1381">
        <v>1</v>
      </c>
      <c r="U1381">
        <v>1</v>
      </c>
      <c r="V1381">
        <v>0</v>
      </c>
      <c r="W1381" t="s">
        <v>1288</v>
      </c>
      <c r="AA1381">
        <v>2007</v>
      </c>
      <c r="AB1381">
        <v>9999</v>
      </c>
      <c r="AC1381" t="s">
        <v>35</v>
      </c>
    </row>
    <row r="1382" spans="1:29" x14ac:dyDescent="0.25">
      <c r="A1382" s="31" t="s">
        <v>216</v>
      </c>
      <c r="B1382" s="23" t="s">
        <v>217</v>
      </c>
      <c r="D1382">
        <v>1</v>
      </c>
      <c r="E1382" t="s">
        <v>218</v>
      </c>
      <c r="F1382">
        <v>2</v>
      </c>
      <c r="G1382">
        <v>2021</v>
      </c>
      <c r="I1382">
        <v>775.03</v>
      </c>
      <c r="J1382" t="s">
        <v>52</v>
      </c>
      <c r="K1382" t="s">
        <v>32</v>
      </c>
      <c r="O1382">
        <v>0</v>
      </c>
      <c r="P1382">
        <v>0</v>
      </c>
      <c r="Q1382">
        <v>0</v>
      </c>
      <c r="R1382">
        <v>0</v>
      </c>
      <c r="S1382">
        <v>1</v>
      </c>
      <c r="T1382">
        <v>1</v>
      </c>
      <c r="U1382">
        <v>1</v>
      </c>
      <c r="V1382">
        <v>0</v>
      </c>
      <c r="W1382" t="s">
        <v>1067</v>
      </c>
      <c r="AA1382">
        <v>2007</v>
      </c>
      <c r="AB1382">
        <v>9999</v>
      </c>
      <c r="AC1382" t="s">
        <v>35</v>
      </c>
    </row>
    <row r="1383" spans="1:29" x14ac:dyDescent="0.25">
      <c r="A1383" s="31" t="s">
        <v>220</v>
      </c>
      <c r="B1383" s="23" t="s">
        <v>221</v>
      </c>
      <c r="D1383">
        <v>1</v>
      </c>
      <c r="E1383" t="s">
        <v>222</v>
      </c>
      <c r="F1383">
        <v>8</v>
      </c>
      <c r="G1383">
        <v>2021</v>
      </c>
      <c r="I1383">
        <v>42.66</v>
      </c>
      <c r="J1383" t="s">
        <v>81</v>
      </c>
      <c r="K1383" t="s">
        <v>47</v>
      </c>
      <c r="O1383">
        <v>0</v>
      </c>
      <c r="P1383">
        <v>0</v>
      </c>
      <c r="Q1383">
        <v>0</v>
      </c>
      <c r="R1383">
        <v>0</v>
      </c>
      <c r="S1383">
        <v>1</v>
      </c>
      <c r="T1383">
        <v>1</v>
      </c>
      <c r="U1383">
        <v>1</v>
      </c>
      <c r="V1383">
        <v>0</v>
      </c>
      <c r="W1383" t="s">
        <v>1068</v>
      </c>
      <c r="AA1383">
        <v>2007</v>
      </c>
      <c r="AB1383">
        <v>9999</v>
      </c>
      <c r="AC1383" t="s">
        <v>35</v>
      </c>
    </row>
    <row r="1384" spans="1:29" x14ac:dyDescent="0.25">
      <c r="A1384" s="31" t="s">
        <v>224</v>
      </c>
      <c r="B1384" s="25" t="s">
        <v>225</v>
      </c>
      <c r="D1384">
        <v>1</v>
      </c>
      <c r="E1384" t="s">
        <v>51</v>
      </c>
      <c r="F1384">
        <v>1</v>
      </c>
      <c r="G1384">
        <v>2021</v>
      </c>
      <c r="I1384">
        <v>66</v>
      </c>
      <c r="J1384" t="s">
        <v>52</v>
      </c>
      <c r="K1384" t="s">
        <v>53</v>
      </c>
      <c r="L1384" t="s">
        <v>54</v>
      </c>
      <c r="O1384">
        <v>0</v>
      </c>
      <c r="P1384">
        <v>0</v>
      </c>
      <c r="Q1384">
        <v>1</v>
      </c>
      <c r="R1384">
        <v>0</v>
      </c>
      <c r="S1384">
        <v>0</v>
      </c>
      <c r="T1384">
        <v>0</v>
      </c>
      <c r="U1384">
        <v>1</v>
      </c>
      <c r="V1384">
        <v>0</v>
      </c>
      <c r="W1384" t="s">
        <v>55</v>
      </c>
      <c r="AA1384">
        <v>2007</v>
      </c>
      <c r="AB1384">
        <v>9999</v>
      </c>
      <c r="AC1384" t="s">
        <v>35</v>
      </c>
    </row>
    <row r="1385" spans="1:29" x14ac:dyDescent="0.25">
      <c r="A1385" s="31" t="s">
        <v>226</v>
      </c>
      <c r="B1385" s="23" t="s">
        <v>227</v>
      </c>
      <c r="C1385" t="s">
        <v>228</v>
      </c>
      <c r="D1385">
        <v>1</v>
      </c>
      <c r="E1385" t="s">
        <v>218</v>
      </c>
      <c r="F1385">
        <v>2</v>
      </c>
      <c r="G1385">
        <v>2021</v>
      </c>
      <c r="I1385" s="8">
        <v>1911.69</v>
      </c>
      <c r="J1385" t="s">
        <v>147</v>
      </c>
      <c r="K1385" t="s">
        <v>32</v>
      </c>
      <c r="O1385">
        <v>0</v>
      </c>
      <c r="P1385">
        <v>0</v>
      </c>
      <c r="Q1385">
        <v>0</v>
      </c>
      <c r="R1385">
        <v>0</v>
      </c>
      <c r="S1385">
        <v>1</v>
      </c>
      <c r="T1385">
        <v>1</v>
      </c>
      <c r="U1385">
        <v>1</v>
      </c>
      <c r="V1385">
        <v>0</v>
      </c>
      <c r="W1385" t="s">
        <v>1069</v>
      </c>
      <c r="AA1385">
        <v>2007</v>
      </c>
      <c r="AB1385">
        <v>9999</v>
      </c>
      <c r="AC1385" t="s">
        <v>35</v>
      </c>
    </row>
    <row r="1386" spans="1:29" x14ac:dyDescent="0.25">
      <c r="A1386" s="31" t="s">
        <v>230</v>
      </c>
      <c r="B1386" s="23" t="s">
        <v>231</v>
      </c>
      <c r="C1386" t="s">
        <v>232</v>
      </c>
      <c r="D1386">
        <v>1</v>
      </c>
      <c r="E1386" t="s">
        <v>145</v>
      </c>
      <c r="F1386">
        <v>2</v>
      </c>
      <c r="G1386">
        <v>2021</v>
      </c>
      <c r="J1386" t="s">
        <v>147</v>
      </c>
      <c r="K1386" t="s">
        <v>47</v>
      </c>
      <c r="O1386">
        <v>0</v>
      </c>
      <c r="P1386">
        <v>0</v>
      </c>
      <c r="Q1386">
        <v>0</v>
      </c>
      <c r="R1386">
        <v>0</v>
      </c>
      <c r="S1386">
        <v>1</v>
      </c>
      <c r="T1386">
        <v>1</v>
      </c>
      <c r="U1386">
        <v>1</v>
      </c>
      <c r="V1386">
        <v>0</v>
      </c>
      <c r="W1386" t="s">
        <v>1070</v>
      </c>
      <c r="AA1386">
        <v>2007</v>
      </c>
      <c r="AB1386">
        <v>9999</v>
      </c>
      <c r="AC1386" t="s">
        <v>35</v>
      </c>
    </row>
    <row r="1387" spans="1:29" x14ac:dyDescent="0.25">
      <c r="A1387" s="31" t="s">
        <v>237</v>
      </c>
      <c r="B1387" s="23" t="s">
        <v>238</v>
      </c>
      <c r="D1387">
        <v>1</v>
      </c>
      <c r="E1387" t="s">
        <v>218</v>
      </c>
      <c r="F1387">
        <v>2</v>
      </c>
      <c r="G1387">
        <v>2021</v>
      </c>
      <c r="I1387">
        <v>401.42</v>
      </c>
      <c r="J1387" t="s">
        <v>104</v>
      </c>
      <c r="K1387" t="s">
        <v>53</v>
      </c>
      <c r="L1387" t="s">
        <v>105</v>
      </c>
      <c r="O1387">
        <v>0</v>
      </c>
      <c r="P1387">
        <v>1</v>
      </c>
      <c r="Q1387">
        <v>0</v>
      </c>
      <c r="R1387">
        <v>0</v>
      </c>
      <c r="S1387">
        <v>1</v>
      </c>
      <c r="T1387">
        <v>1</v>
      </c>
      <c r="U1387">
        <v>1</v>
      </c>
      <c r="V1387">
        <v>0</v>
      </c>
      <c r="W1387" t="s">
        <v>1072</v>
      </c>
      <c r="AA1387">
        <v>2007</v>
      </c>
      <c r="AB1387">
        <v>9999</v>
      </c>
      <c r="AC1387" t="s">
        <v>35</v>
      </c>
    </row>
    <row r="1388" spans="1:29" x14ac:dyDescent="0.25">
      <c r="A1388" s="31" t="s">
        <v>240</v>
      </c>
      <c r="B1388" s="23" t="s">
        <v>241</v>
      </c>
      <c r="D1388">
        <v>1</v>
      </c>
      <c r="E1388" t="s">
        <v>218</v>
      </c>
      <c r="F1388">
        <v>2</v>
      </c>
      <c r="G1388">
        <v>2021</v>
      </c>
      <c r="I1388" s="8">
        <v>22091.23</v>
      </c>
      <c r="J1388" t="s">
        <v>147</v>
      </c>
      <c r="K1388" t="s">
        <v>47</v>
      </c>
      <c r="O1388">
        <v>0</v>
      </c>
      <c r="P1388">
        <v>0</v>
      </c>
      <c r="Q1388">
        <v>0</v>
      </c>
      <c r="R1388">
        <v>0</v>
      </c>
      <c r="S1388">
        <v>1</v>
      </c>
      <c r="T1388">
        <v>1</v>
      </c>
      <c r="U1388">
        <v>1</v>
      </c>
      <c r="V1388">
        <v>0</v>
      </c>
      <c r="W1388" t="s">
        <v>1073</v>
      </c>
      <c r="AA1388">
        <v>2007</v>
      </c>
      <c r="AB1388">
        <v>9999</v>
      </c>
      <c r="AC1388" t="s">
        <v>35</v>
      </c>
    </row>
    <row r="1389" spans="1:29" x14ac:dyDescent="0.25">
      <c r="A1389" s="31" t="s">
        <v>1289</v>
      </c>
      <c r="B1389" s="23" t="s">
        <v>1290</v>
      </c>
      <c r="D1389">
        <v>1</v>
      </c>
      <c r="E1389" t="s">
        <v>218</v>
      </c>
      <c r="F1389">
        <v>2</v>
      </c>
      <c r="G1389">
        <v>2021</v>
      </c>
      <c r="I1389">
        <v>4</v>
      </c>
      <c r="J1389" t="s">
        <v>147</v>
      </c>
      <c r="K1389" t="s">
        <v>53</v>
      </c>
      <c r="L1389" t="s">
        <v>60</v>
      </c>
      <c r="O1389">
        <v>1</v>
      </c>
      <c r="P1389">
        <v>0</v>
      </c>
      <c r="Q1389">
        <v>0</v>
      </c>
      <c r="R1389">
        <v>0</v>
      </c>
      <c r="S1389">
        <v>1</v>
      </c>
      <c r="T1389">
        <v>1</v>
      </c>
      <c r="U1389">
        <v>1</v>
      </c>
      <c r="V1389">
        <v>0</v>
      </c>
      <c r="W1389" t="s">
        <v>1291</v>
      </c>
      <c r="AA1389">
        <v>2010</v>
      </c>
      <c r="AB1389">
        <v>9999</v>
      </c>
      <c r="AC1389" t="s">
        <v>1292</v>
      </c>
    </row>
    <row r="1390" spans="1:29" x14ac:dyDescent="0.25">
      <c r="A1390" s="31" t="s">
        <v>243</v>
      </c>
      <c r="B1390" s="23" t="s">
        <v>244</v>
      </c>
      <c r="D1390">
        <v>1</v>
      </c>
      <c r="E1390" t="s">
        <v>210</v>
      </c>
      <c r="F1390">
        <v>10</v>
      </c>
      <c r="G1390">
        <v>2021</v>
      </c>
      <c r="I1390">
        <v>12224.62</v>
      </c>
      <c r="J1390" t="s">
        <v>40</v>
      </c>
      <c r="K1390" t="s">
        <v>32</v>
      </c>
      <c r="O1390">
        <v>0</v>
      </c>
      <c r="P1390">
        <v>0</v>
      </c>
      <c r="Q1390">
        <v>0</v>
      </c>
      <c r="R1390">
        <v>0</v>
      </c>
      <c r="S1390">
        <v>1</v>
      </c>
      <c r="T1390">
        <v>1</v>
      </c>
      <c r="U1390">
        <v>1</v>
      </c>
      <c r="V1390">
        <v>0</v>
      </c>
      <c r="W1390" t="s">
        <v>1293</v>
      </c>
      <c r="AA1390">
        <v>2007</v>
      </c>
      <c r="AB1390">
        <v>9999</v>
      </c>
      <c r="AC1390" t="s">
        <v>35</v>
      </c>
    </row>
    <row r="1391" spans="1:29" x14ac:dyDescent="0.25">
      <c r="A1391" s="31" t="s">
        <v>153</v>
      </c>
      <c r="B1391" s="23" t="s">
        <v>1356</v>
      </c>
      <c r="D1391">
        <v>12</v>
      </c>
      <c r="E1391" t="s">
        <v>155</v>
      </c>
      <c r="F1391">
        <v>3</v>
      </c>
      <c r="G1391">
        <v>2021</v>
      </c>
      <c r="I1391" s="15">
        <v>1415.434595009885</v>
      </c>
      <c r="J1391" t="s">
        <v>121</v>
      </c>
      <c r="K1391" t="s">
        <v>53</v>
      </c>
      <c r="L1391" t="s">
        <v>60</v>
      </c>
      <c r="O1391">
        <v>1</v>
      </c>
      <c r="P1391">
        <v>0</v>
      </c>
      <c r="Q1391">
        <v>0</v>
      </c>
      <c r="R1391">
        <v>0</v>
      </c>
      <c r="S1391">
        <v>1</v>
      </c>
      <c r="T1391">
        <v>0</v>
      </c>
      <c r="U1391">
        <v>0</v>
      </c>
      <c r="V1391">
        <v>1</v>
      </c>
      <c r="W1391" t="s">
        <v>477</v>
      </c>
      <c r="AA1391">
        <v>2007</v>
      </c>
      <c r="AB1391">
        <v>9999</v>
      </c>
      <c r="AC1391" t="s">
        <v>35</v>
      </c>
    </row>
    <row r="1392" spans="1:29" x14ac:dyDescent="0.25">
      <c r="A1392" s="31" t="s">
        <v>246</v>
      </c>
      <c r="B1392" s="23" t="s">
        <v>247</v>
      </c>
      <c r="D1392">
        <v>1</v>
      </c>
      <c r="E1392" t="s">
        <v>120</v>
      </c>
      <c r="F1392">
        <v>3</v>
      </c>
      <c r="G1392">
        <v>2021</v>
      </c>
      <c r="H1392" t="s">
        <v>129</v>
      </c>
      <c r="I1392" s="15">
        <v>3.4</v>
      </c>
      <c r="J1392" t="s">
        <v>121</v>
      </c>
      <c r="K1392" t="s">
        <v>41</v>
      </c>
      <c r="O1392">
        <v>0</v>
      </c>
      <c r="P1392">
        <v>0</v>
      </c>
      <c r="Q1392">
        <v>0</v>
      </c>
      <c r="R1392">
        <v>0</v>
      </c>
      <c r="S1392">
        <v>0</v>
      </c>
      <c r="T1392">
        <v>1</v>
      </c>
      <c r="U1392">
        <v>1</v>
      </c>
      <c r="V1392">
        <v>0</v>
      </c>
      <c r="W1392" t="s">
        <v>1075</v>
      </c>
      <c r="AA1392">
        <v>2007</v>
      </c>
      <c r="AB1392">
        <v>9999</v>
      </c>
      <c r="AC1392" t="s">
        <v>35</v>
      </c>
    </row>
    <row r="1393" spans="1:29" x14ac:dyDescent="0.25">
      <c r="A1393" s="31" t="s">
        <v>252</v>
      </c>
      <c r="B1393" s="23" t="s">
        <v>253</v>
      </c>
      <c r="D1393">
        <v>1</v>
      </c>
      <c r="E1393" t="s">
        <v>145</v>
      </c>
      <c r="F1393">
        <v>2</v>
      </c>
      <c r="G1393">
        <v>2021</v>
      </c>
      <c r="H1393" t="s">
        <v>1473</v>
      </c>
      <c r="I1393" s="15">
        <v>0.1</v>
      </c>
      <c r="J1393" s="2" t="s">
        <v>147</v>
      </c>
      <c r="K1393" t="s">
        <v>41</v>
      </c>
      <c r="O1393">
        <v>0</v>
      </c>
      <c r="P1393">
        <v>0</v>
      </c>
      <c r="Q1393">
        <v>0</v>
      </c>
      <c r="R1393">
        <v>0</v>
      </c>
      <c r="S1393">
        <v>0</v>
      </c>
      <c r="T1393">
        <v>0</v>
      </c>
      <c r="U1393">
        <v>0</v>
      </c>
      <c r="V1393">
        <v>0</v>
      </c>
      <c r="W1393" t="s">
        <v>1077</v>
      </c>
      <c r="AA1393">
        <v>2007</v>
      </c>
      <c r="AB1393">
        <v>9999</v>
      </c>
      <c r="AC1393" t="s">
        <v>35</v>
      </c>
    </row>
    <row r="1394" spans="1:29" x14ac:dyDescent="0.25">
      <c r="A1394" s="31" t="s">
        <v>305</v>
      </c>
      <c r="B1394" s="23" t="s">
        <v>1455</v>
      </c>
      <c r="C1394" t="s">
        <v>1456</v>
      </c>
      <c r="D1394">
        <v>1</v>
      </c>
      <c r="E1394" t="s">
        <v>103</v>
      </c>
      <c r="F1394">
        <v>9</v>
      </c>
      <c r="G1394">
        <v>2021</v>
      </c>
      <c r="I1394" s="8">
        <v>141.31</v>
      </c>
      <c r="J1394" t="s">
        <v>104</v>
      </c>
      <c r="K1394" t="s">
        <v>53</v>
      </c>
      <c r="L1394" t="s">
        <v>105</v>
      </c>
      <c r="O1394">
        <v>0</v>
      </c>
      <c r="P1394">
        <v>1</v>
      </c>
      <c r="Q1394">
        <v>0</v>
      </c>
      <c r="R1394">
        <v>0</v>
      </c>
      <c r="S1394">
        <v>1</v>
      </c>
      <c r="T1394">
        <v>1</v>
      </c>
      <c r="U1394">
        <v>1</v>
      </c>
      <c r="V1394">
        <v>0</v>
      </c>
      <c r="W1394" t="s">
        <v>106</v>
      </c>
      <c r="AA1394">
        <v>2007</v>
      </c>
      <c r="AB1394">
        <v>9999</v>
      </c>
      <c r="AC1394" t="s">
        <v>35</v>
      </c>
    </row>
    <row r="1395" spans="1:29" x14ac:dyDescent="0.25">
      <c r="A1395" s="31" t="s">
        <v>259</v>
      </c>
      <c r="B1395" s="23" t="s">
        <v>260</v>
      </c>
      <c r="C1395" t="s">
        <v>261</v>
      </c>
      <c r="D1395">
        <v>1</v>
      </c>
      <c r="E1395" t="s">
        <v>103</v>
      </c>
      <c r="F1395">
        <v>9</v>
      </c>
      <c r="G1395">
        <v>2021</v>
      </c>
      <c r="I1395">
        <v>5689.78</v>
      </c>
      <c r="J1395" t="s">
        <v>104</v>
      </c>
      <c r="K1395" t="s">
        <v>53</v>
      </c>
      <c r="L1395" t="s">
        <v>105</v>
      </c>
      <c r="O1395">
        <v>0</v>
      </c>
      <c r="P1395">
        <v>1</v>
      </c>
      <c r="Q1395">
        <v>0</v>
      </c>
      <c r="R1395">
        <v>0</v>
      </c>
      <c r="S1395">
        <v>1</v>
      </c>
      <c r="T1395">
        <v>1</v>
      </c>
      <c r="U1395">
        <v>1</v>
      </c>
      <c r="V1395">
        <v>0</v>
      </c>
      <c r="W1395" t="s">
        <v>106</v>
      </c>
      <c r="AA1395">
        <v>2007</v>
      </c>
      <c r="AB1395">
        <v>9999</v>
      </c>
      <c r="AC1395" t="s">
        <v>35</v>
      </c>
    </row>
    <row r="1396" spans="1:29" x14ac:dyDescent="0.25">
      <c r="A1396" s="31" t="s">
        <v>266</v>
      </c>
      <c r="B1396" s="23" t="s">
        <v>267</v>
      </c>
      <c r="D1396">
        <v>1</v>
      </c>
      <c r="E1396" t="s">
        <v>85</v>
      </c>
      <c r="F1396">
        <v>4</v>
      </c>
      <c r="G1396">
        <v>2021</v>
      </c>
      <c r="I1396" s="15">
        <v>11</v>
      </c>
      <c r="J1396" t="s">
        <v>268</v>
      </c>
      <c r="K1396" t="s">
        <v>41</v>
      </c>
      <c r="O1396">
        <v>0</v>
      </c>
      <c r="P1396">
        <v>0</v>
      </c>
      <c r="Q1396">
        <v>0</v>
      </c>
      <c r="R1396">
        <v>0</v>
      </c>
      <c r="S1396">
        <v>0</v>
      </c>
      <c r="T1396">
        <v>0</v>
      </c>
      <c r="U1396">
        <v>0</v>
      </c>
      <c r="V1396">
        <v>0</v>
      </c>
      <c r="W1396" t="s">
        <v>1079</v>
      </c>
      <c r="AA1396">
        <v>2007</v>
      </c>
      <c r="AB1396">
        <v>9999</v>
      </c>
      <c r="AC1396" t="s">
        <v>35</v>
      </c>
    </row>
    <row r="1397" spans="1:29" x14ac:dyDescent="0.25">
      <c r="A1397" s="31" t="s">
        <v>1393</v>
      </c>
      <c r="B1397" s="25" t="s">
        <v>1394</v>
      </c>
      <c r="C1397" t="s">
        <v>1395</v>
      </c>
      <c r="D1397">
        <v>1</v>
      </c>
      <c r="E1397" t="s">
        <v>1396</v>
      </c>
      <c r="F1397">
        <v>5</v>
      </c>
      <c r="G1397">
        <v>2021</v>
      </c>
      <c r="I1397">
        <v>293.82</v>
      </c>
      <c r="J1397" t="s">
        <v>31</v>
      </c>
      <c r="K1397" t="s">
        <v>47</v>
      </c>
      <c r="O1397">
        <v>0</v>
      </c>
      <c r="P1397">
        <v>0</v>
      </c>
      <c r="Q1397">
        <v>0</v>
      </c>
      <c r="R1397">
        <v>0</v>
      </c>
      <c r="S1397">
        <v>1</v>
      </c>
      <c r="T1397">
        <v>1</v>
      </c>
      <c r="U1397">
        <v>1</v>
      </c>
      <c r="V1397">
        <v>0</v>
      </c>
      <c r="W1397" t="s">
        <v>1397</v>
      </c>
      <c r="AA1397">
        <v>2012</v>
      </c>
      <c r="AB1397">
        <v>9999</v>
      </c>
      <c r="AC1397" t="s">
        <v>1398</v>
      </c>
    </row>
    <row r="1398" spans="1:29" x14ac:dyDescent="0.25">
      <c r="A1398" s="31" t="s">
        <v>153</v>
      </c>
      <c r="B1398" s="23" t="s">
        <v>270</v>
      </c>
      <c r="D1398">
        <v>6</v>
      </c>
      <c r="E1398" t="s">
        <v>155</v>
      </c>
      <c r="F1398">
        <v>3</v>
      </c>
      <c r="G1398">
        <v>2021</v>
      </c>
      <c r="I1398" s="15">
        <v>719.79459081027687</v>
      </c>
      <c r="J1398" t="s">
        <v>121</v>
      </c>
      <c r="K1398" t="s">
        <v>53</v>
      </c>
      <c r="L1398" t="s">
        <v>60</v>
      </c>
      <c r="O1398">
        <v>1</v>
      </c>
      <c r="P1398">
        <v>0</v>
      </c>
      <c r="Q1398">
        <v>0</v>
      </c>
      <c r="R1398">
        <v>0</v>
      </c>
      <c r="S1398">
        <v>1</v>
      </c>
      <c r="T1398">
        <v>0</v>
      </c>
      <c r="U1398">
        <v>0</v>
      </c>
      <c r="V1398">
        <v>1</v>
      </c>
      <c r="W1398" t="s">
        <v>271</v>
      </c>
      <c r="AA1398">
        <v>2007</v>
      </c>
      <c r="AB1398">
        <v>9999</v>
      </c>
      <c r="AC1398" t="s">
        <v>35</v>
      </c>
    </row>
    <row r="1399" spans="1:29" x14ac:dyDescent="0.25">
      <c r="A1399" s="31" t="s">
        <v>153</v>
      </c>
      <c r="B1399" s="27" t="s">
        <v>272</v>
      </c>
      <c r="D1399">
        <v>8</v>
      </c>
      <c r="E1399" t="s">
        <v>155</v>
      </c>
      <c r="F1399">
        <v>3</v>
      </c>
      <c r="G1399">
        <v>2021</v>
      </c>
      <c r="I1399">
        <v>91.446246195652151</v>
      </c>
      <c r="J1399" s="2" t="s">
        <v>121</v>
      </c>
      <c r="K1399" t="s">
        <v>53</v>
      </c>
      <c r="L1399" t="s">
        <v>60</v>
      </c>
      <c r="O1399">
        <v>1</v>
      </c>
      <c r="P1399">
        <v>0</v>
      </c>
      <c r="Q1399">
        <v>0</v>
      </c>
      <c r="R1399">
        <v>0</v>
      </c>
      <c r="S1399">
        <v>0</v>
      </c>
      <c r="T1399">
        <v>0</v>
      </c>
      <c r="U1399">
        <v>0</v>
      </c>
      <c r="V1399">
        <v>1</v>
      </c>
      <c r="W1399" t="s">
        <v>273</v>
      </c>
      <c r="AA1399">
        <v>2007</v>
      </c>
      <c r="AB1399">
        <v>9999</v>
      </c>
      <c r="AC1399" t="s">
        <v>35</v>
      </c>
    </row>
    <row r="1400" spans="1:29" x14ac:dyDescent="0.25">
      <c r="A1400" s="31" t="s">
        <v>274</v>
      </c>
      <c r="B1400" s="23" t="s">
        <v>275</v>
      </c>
      <c r="C1400" t="s">
        <v>276</v>
      </c>
      <c r="D1400">
        <v>1</v>
      </c>
      <c r="E1400" t="s">
        <v>51</v>
      </c>
      <c r="F1400">
        <v>10</v>
      </c>
      <c r="G1400">
        <v>2021</v>
      </c>
      <c r="H1400" t="s">
        <v>746</v>
      </c>
      <c r="I1400" s="15">
        <v>5</v>
      </c>
      <c r="J1400" s="2" t="s">
        <v>40</v>
      </c>
      <c r="K1400" t="s">
        <v>41</v>
      </c>
      <c r="O1400">
        <v>0</v>
      </c>
      <c r="P1400">
        <v>0</v>
      </c>
      <c r="Q1400">
        <v>0</v>
      </c>
      <c r="R1400">
        <v>0</v>
      </c>
      <c r="S1400">
        <v>0</v>
      </c>
      <c r="T1400">
        <v>0</v>
      </c>
      <c r="U1400">
        <v>0</v>
      </c>
      <c r="V1400">
        <v>0</v>
      </c>
      <c r="W1400" t="s">
        <v>1399</v>
      </c>
      <c r="AA1400">
        <v>2007</v>
      </c>
      <c r="AB1400">
        <v>9999</v>
      </c>
      <c r="AC1400" t="s">
        <v>35</v>
      </c>
    </row>
    <row r="1401" spans="1:29" x14ac:dyDescent="0.25">
      <c r="A1401" s="31" t="s">
        <v>278</v>
      </c>
      <c r="B1401" s="23" t="s">
        <v>279</v>
      </c>
      <c r="D1401">
        <v>1</v>
      </c>
      <c r="E1401" t="s">
        <v>103</v>
      </c>
      <c r="F1401">
        <v>9</v>
      </c>
      <c r="G1401">
        <v>2021</v>
      </c>
      <c r="I1401">
        <v>733.37</v>
      </c>
      <c r="J1401" t="s">
        <v>104</v>
      </c>
      <c r="K1401" t="s">
        <v>53</v>
      </c>
      <c r="L1401" t="s">
        <v>105</v>
      </c>
      <c r="O1401">
        <v>0</v>
      </c>
      <c r="P1401">
        <v>1</v>
      </c>
      <c r="Q1401">
        <v>0</v>
      </c>
      <c r="R1401">
        <v>0</v>
      </c>
      <c r="S1401">
        <v>1</v>
      </c>
      <c r="T1401">
        <v>1</v>
      </c>
      <c r="U1401">
        <v>1</v>
      </c>
      <c r="V1401">
        <v>0</v>
      </c>
      <c r="W1401" t="s">
        <v>106</v>
      </c>
      <c r="AA1401">
        <v>2007</v>
      </c>
      <c r="AB1401">
        <v>9999</v>
      </c>
      <c r="AC1401" t="s">
        <v>35</v>
      </c>
    </row>
    <row r="1402" spans="1:29" x14ac:dyDescent="0.25">
      <c r="A1402" s="31" t="s">
        <v>280</v>
      </c>
      <c r="B1402" s="23" t="s">
        <v>281</v>
      </c>
      <c r="D1402">
        <v>1</v>
      </c>
      <c r="E1402" t="s">
        <v>103</v>
      </c>
      <c r="F1402">
        <v>9</v>
      </c>
      <c r="G1402">
        <v>2021</v>
      </c>
      <c r="I1402">
        <v>703.08</v>
      </c>
      <c r="J1402" t="s">
        <v>104</v>
      </c>
      <c r="K1402" t="s">
        <v>53</v>
      </c>
      <c r="L1402" t="s">
        <v>105</v>
      </c>
      <c r="O1402">
        <v>0</v>
      </c>
      <c r="P1402">
        <v>1</v>
      </c>
      <c r="Q1402">
        <v>0</v>
      </c>
      <c r="R1402">
        <v>0</v>
      </c>
      <c r="S1402">
        <v>1</v>
      </c>
      <c r="T1402">
        <v>1</v>
      </c>
      <c r="U1402">
        <v>1</v>
      </c>
      <c r="V1402">
        <v>0</v>
      </c>
      <c r="W1402" t="s">
        <v>106</v>
      </c>
      <c r="AA1402">
        <v>2007</v>
      </c>
      <c r="AB1402">
        <v>9999</v>
      </c>
      <c r="AC1402" t="s">
        <v>35</v>
      </c>
    </row>
    <row r="1403" spans="1:29" x14ac:dyDescent="0.25">
      <c r="A1403" s="31" t="s">
        <v>282</v>
      </c>
      <c r="B1403" s="23" t="s">
        <v>283</v>
      </c>
      <c r="D1403">
        <v>1</v>
      </c>
      <c r="E1403" t="s">
        <v>103</v>
      </c>
      <c r="F1403">
        <v>9</v>
      </c>
      <c r="G1403">
        <v>2021</v>
      </c>
      <c r="I1403">
        <v>672.17</v>
      </c>
      <c r="J1403" t="s">
        <v>104</v>
      </c>
      <c r="K1403" t="s">
        <v>53</v>
      </c>
      <c r="L1403" t="s">
        <v>105</v>
      </c>
      <c r="O1403">
        <v>0</v>
      </c>
      <c r="P1403">
        <v>1</v>
      </c>
      <c r="Q1403">
        <v>0</v>
      </c>
      <c r="R1403">
        <v>0</v>
      </c>
      <c r="S1403">
        <v>1</v>
      </c>
      <c r="T1403">
        <v>1</v>
      </c>
      <c r="U1403">
        <v>1</v>
      </c>
      <c r="V1403">
        <v>0</v>
      </c>
      <c r="W1403" t="s">
        <v>106</v>
      </c>
      <c r="AA1403">
        <v>2007</v>
      </c>
      <c r="AB1403">
        <v>9999</v>
      </c>
      <c r="AC1403" t="s">
        <v>35</v>
      </c>
    </row>
    <row r="1404" spans="1:29" x14ac:dyDescent="0.25">
      <c r="A1404" s="31" t="s">
        <v>284</v>
      </c>
      <c r="B1404" s="23" t="s">
        <v>285</v>
      </c>
      <c r="D1404">
        <v>1</v>
      </c>
      <c r="E1404" t="s">
        <v>103</v>
      </c>
      <c r="F1404">
        <v>9</v>
      </c>
      <c r="G1404">
        <v>2021</v>
      </c>
      <c r="I1404">
        <v>510.34</v>
      </c>
      <c r="J1404" t="s">
        <v>104</v>
      </c>
      <c r="K1404" t="s">
        <v>53</v>
      </c>
      <c r="L1404" t="s">
        <v>105</v>
      </c>
      <c r="O1404">
        <v>0</v>
      </c>
      <c r="P1404">
        <v>1</v>
      </c>
      <c r="Q1404">
        <v>0</v>
      </c>
      <c r="R1404">
        <v>0</v>
      </c>
      <c r="S1404">
        <v>1</v>
      </c>
      <c r="T1404">
        <v>1</v>
      </c>
      <c r="U1404">
        <v>1</v>
      </c>
      <c r="V1404">
        <v>0</v>
      </c>
      <c r="W1404" t="s">
        <v>106</v>
      </c>
      <c r="AA1404">
        <v>2007</v>
      </c>
      <c r="AB1404">
        <v>9999</v>
      </c>
      <c r="AC1404" t="s">
        <v>35</v>
      </c>
    </row>
    <row r="1405" spans="1:29" x14ac:dyDescent="0.25">
      <c r="A1405" s="31" t="s">
        <v>288</v>
      </c>
      <c r="B1405" s="23" t="s">
        <v>289</v>
      </c>
      <c r="D1405">
        <v>1</v>
      </c>
      <c r="E1405" t="s">
        <v>103</v>
      </c>
      <c r="F1405">
        <v>9</v>
      </c>
      <c r="G1405">
        <v>2021</v>
      </c>
      <c r="I1405">
        <v>467.42</v>
      </c>
      <c r="J1405" t="s">
        <v>104</v>
      </c>
      <c r="K1405" t="s">
        <v>53</v>
      </c>
      <c r="L1405" t="s">
        <v>105</v>
      </c>
      <c r="O1405">
        <v>0</v>
      </c>
      <c r="P1405">
        <v>1</v>
      </c>
      <c r="Q1405">
        <v>0</v>
      </c>
      <c r="R1405">
        <v>0</v>
      </c>
      <c r="S1405">
        <v>1</v>
      </c>
      <c r="T1405">
        <v>1</v>
      </c>
      <c r="U1405">
        <v>1</v>
      </c>
      <c r="V1405">
        <v>0</v>
      </c>
      <c r="W1405" t="s">
        <v>106</v>
      </c>
      <c r="AA1405">
        <v>2007</v>
      </c>
      <c r="AB1405">
        <v>9999</v>
      </c>
      <c r="AC1405" t="s">
        <v>35</v>
      </c>
    </row>
    <row r="1406" spans="1:29" x14ac:dyDescent="0.25">
      <c r="A1406" s="31" t="s">
        <v>1474</v>
      </c>
      <c r="B1406" s="23" t="s">
        <v>290</v>
      </c>
      <c r="D1406">
        <v>1</v>
      </c>
      <c r="E1406" t="s">
        <v>103</v>
      </c>
      <c r="F1406">
        <v>9</v>
      </c>
      <c r="G1406">
        <v>2021</v>
      </c>
      <c r="I1406">
        <v>499.01</v>
      </c>
      <c r="J1406" t="s">
        <v>104</v>
      </c>
      <c r="K1406" t="s">
        <v>53</v>
      </c>
      <c r="L1406" t="s">
        <v>105</v>
      </c>
      <c r="O1406">
        <v>0</v>
      </c>
      <c r="P1406">
        <v>1</v>
      </c>
      <c r="Q1406">
        <v>0</v>
      </c>
      <c r="R1406">
        <v>0</v>
      </c>
      <c r="S1406">
        <v>1</v>
      </c>
      <c r="T1406">
        <v>1</v>
      </c>
      <c r="U1406">
        <v>1</v>
      </c>
      <c r="V1406">
        <v>0</v>
      </c>
      <c r="W1406" t="s">
        <v>106</v>
      </c>
      <c r="AA1406">
        <v>2007</v>
      </c>
      <c r="AB1406">
        <v>9999</v>
      </c>
      <c r="AC1406" t="s">
        <v>1475</v>
      </c>
    </row>
    <row r="1407" spans="1:29" x14ac:dyDescent="0.25">
      <c r="A1407" s="31" t="s">
        <v>293</v>
      </c>
      <c r="B1407" s="23" t="s">
        <v>294</v>
      </c>
      <c r="D1407">
        <v>1</v>
      </c>
      <c r="E1407" t="s">
        <v>103</v>
      </c>
      <c r="F1407">
        <v>9</v>
      </c>
      <c r="G1407">
        <v>2021</v>
      </c>
      <c r="I1407" s="8">
        <v>594.45000000000005</v>
      </c>
      <c r="J1407" t="s">
        <v>104</v>
      </c>
      <c r="K1407" t="s">
        <v>53</v>
      </c>
      <c r="L1407" t="s">
        <v>105</v>
      </c>
      <c r="O1407">
        <v>0</v>
      </c>
      <c r="P1407">
        <v>1</v>
      </c>
      <c r="Q1407">
        <v>0</v>
      </c>
      <c r="R1407">
        <v>0</v>
      </c>
      <c r="S1407">
        <v>1</v>
      </c>
      <c r="T1407">
        <v>1</v>
      </c>
      <c r="U1407">
        <v>1</v>
      </c>
      <c r="V1407">
        <v>0</v>
      </c>
      <c r="W1407" t="s">
        <v>106</v>
      </c>
      <c r="AA1407">
        <v>2007</v>
      </c>
      <c r="AB1407">
        <v>9999</v>
      </c>
      <c r="AC1407" t="s">
        <v>35</v>
      </c>
    </row>
    <row r="1408" spans="1:29" x14ac:dyDescent="0.25">
      <c r="A1408" s="31" t="s">
        <v>295</v>
      </c>
      <c r="B1408" s="23" t="s">
        <v>296</v>
      </c>
      <c r="D1408">
        <v>1</v>
      </c>
      <c r="E1408" t="s">
        <v>128</v>
      </c>
      <c r="F1408">
        <v>9</v>
      </c>
      <c r="G1408">
        <v>2021</v>
      </c>
      <c r="H1408" t="s">
        <v>1428</v>
      </c>
      <c r="I1408" s="15">
        <v>0.1</v>
      </c>
      <c r="J1408" t="s">
        <v>104</v>
      </c>
      <c r="K1408" t="s">
        <v>41</v>
      </c>
      <c r="O1408">
        <v>0</v>
      </c>
      <c r="P1408">
        <v>0</v>
      </c>
      <c r="Q1408">
        <v>0</v>
      </c>
      <c r="R1408">
        <v>0</v>
      </c>
      <c r="S1408">
        <v>0</v>
      </c>
      <c r="T1408">
        <v>0</v>
      </c>
      <c r="U1408">
        <v>0</v>
      </c>
      <c r="V1408">
        <v>0</v>
      </c>
      <c r="W1408" t="s">
        <v>1081</v>
      </c>
      <c r="AA1408">
        <v>2007</v>
      </c>
      <c r="AB1408">
        <v>9999</v>
      </c>
      <c r="AC1408" t="s">
        <v>35</v>
      </c>
    </row>
    <row r="1409" spans="1:29" x14ac:dyDescent="0.25">
      <c r="A1409" s="31" t="s">
        <v>153</v>
      </c>
      <c r="B1409" s="23" t="s">
        <v>1476</v>
      </c>
      <c r="D1409">
        <v>1</v>
      </c>
      <c r="E1409" t="s">
        <v>155</v>
      </c>
      <c r="F1409">
        <v>3</v>
      </c>
      <c r="G1409">
        <v>2021</v>
      </c>
      <c r="I1409" s="11">
        <v>85.460870553359712</v>
      </c>
      <c r="J1409" t="s">
        <v>121</v>
      </c>
      <c r="K1409" t="s">
        <v>53</v>
      </c>
      <c r="L1409" t="s">
        <v>60</v>
      </c>
      <c r="O1409">
        <v>1</v>
      </c>
      <c r="P1409">
        <v>0</v>
      </c>
      <c r="Q1409">
        <v>0</v>
      </c>
      <c r="R1409">
        <v>0</v>
      </c>
      <c r="S1409">
        <v>1</v>
      </c>
      <c r="T1409">
        <v>0</v>
      </c>
      <c r="U1409">
        <v>0</v>
      </c>
      <c r="V1409">
        <v>1</v>
      </c>
      <c r="W1409" t="s">
        <v>304</v>
      </c>
      <c r="AA1409">
        <v>2007</v>
      </c>
      <c r="AB1409">
        <v>9999</v>
      </c>
      <c r="AC1409" t="s">
        <v>35</v>
      </c>
    </row>
    <row r="1410" spans="1:29" x14ac:dyDescent="0.25">
      <c r="A1410" s="31" t="s">
        <v>153</v>
      </c>
      <c r="B1410" s="23" t="s">
        <v>1477</v>
      </c>
      <c r="D1410">
        <v>1</v>
      </c>
      <c r="E1410" t="s">
        <v>155</v>
      </c>
      <c r="F1410">
        <v>3</v>
      </c>
      <c r="G1410">
        <v>2021</v>
      </c>
      <c r="I1410" s="11">
        <v>78.505830039525662</v>
      </c>
      <c r="J1410" t="s">
        <v>121</v>
      </c>
      <c r="K1410" t="s">
        <v>53</v>
      </c>
      <c r="L1410" t="s">
        <v>60</v>
      </c>
      <c r="O1410">
        <v>1</v>
      </c>
      <c r="P1410">
        <v>0</v>
      </c>
      <c r="Q1410">
        <v>0</v>
      </c>
      <c r="R1410">
        <v>0</v>
      </c>
      <c r="S1410">
        <v>1</v>
      </c>
      <c r="T1410">
        <v>0</v>
      </c>
      <c r="U1410">
        <v>0</v>
      </c>
      <c r="V1410">
        <v>1</v>
      </c>
      <c r="W1410" t="s">
        <v>645</v>
      </c>
      <c r="AA1410">
        <v>2007</v>
      </c>
      <c r="AB1410">
        <v>9999</v>
      </c>
      <c r="AC1410" t="s">
        <v>35</v>
      </c>
    </row>
    <row r="1411" spans="1:29" x14ac:dyDescent="0.25">
      <c r="A1411" s="31" t="s">
        <v>307</v>
      </c>
      <c r="B1411" s="23" t="s">
        <v>308</v>
      </c>
      <c r="D1411">
        <v>1</v>
      </c>
      <c r="E1411" t="s">
        <v>309</v>
      </c>
      <c r="F1411">
        <v>10</v>
      </c>
      <c r="G1411">
        <v>2021</v>
      </c>
      <c r="I1411" s="8">
        <v>69.86</v>
      </c>
      <c r="J1411" t="s">
        <v>59</v>
      </c>
      <c r="K1411" t="s">
        <v>47</v>
      </c>
      <c r="O1411">
        <v>0</v>
      </c>
      <c r="P1411">
        <v>0</v>
      </c>
      <c r="Q1411">
        <v>0</v>
      </c>
      <c r="R1411">
        <v>0</v>
      </c>
      <c r="S1411">
        <v>1</v>
      </c>
      <c r="T1411">
        <v>1</v>
      </c>
      <c r="U1411">
        <v>1</v>
      </c>
      <c r="V1411">
        <v>0</v>
      </c>
      <c r="W1411" t="s">
        <v>1083</v>
      </c>
      <c r="AA1411">
        <v>2007</v>
      </c>
      <c r="AB1411">
        <v>9999</v>
      </c>
      <c r="AC1411" t="s">
        <v>35</v>
      </c>
    </row>
    <row r="1412" spans="1:29" x14ac:dyDescent="0.25">
      <c r="A1412" s="31" t="s">
        <v>1294</v>
      </c>
      <c r="B1412" s="23" t="s">
        <v>1295</v>
      </c>
      <c r="C1412" t="s">
        <v>1296</v>
      </c>
      <c r="D1412">
        <v>1</v>
      </c>
      <c r="E1412" t="s">
        <v>95</v>
      </c>
      <c r="F1412">
        <v>10</v>
      </c>
      <c r="G1412">
        <v>2021</v>
      </c>
      <c r="I1412">
        <v>43.8</v>
      </c>
      <c r="J1412" t="s">
        <v>40</v>
      </c>
      <c r="K1412" t="s">
        <v>47</v>
      </c>
      <c r="O1412">
        <v>0</v>
      </c>
      <c r="P1412">
        <v>0</v>
      </c>
      <c r="Q1412">
        <v>0</v>
      </c>
      <c r="R1412">
        <v>0</v>
      </c>
      <c r="S1412">
        <v>1</v>
      </c>
      <c r="T1412">
        <v>1</v>
      </c>
      <c r="U1412">
        <v>1</v>
      </c>
      <c r="V1412">
        <v>0</v>
      </c>
      <c r="W1412" t="s">
        <v>1297</v>
      </c>
      <c r="AA1412">
        <v>2010</v>
      </c>
      <c r="AB1412">
        <v>9999</v>
      </c>
      <c r="AC1412" t="s">
        <v>1292</v>
      </c>
    </row>
    <row r="1413" spans="1:29" x14ac:dyDescent="0.25">
      <c r="A1413" s="31" t="s">
        <v>311</v>
      </c>
      <c r="B1413" s="23" t="s">
        <v>312</v>
      </c>
      <c r="C1413" t="s">
        <v>313</v>
      </c>
      <c r="D1413">
        <v>1</v>
      </c>
      <c r="E1413" t="s">
        <v>314</v>
      </c>
      <c r="F1413">
        <v>2</v>
      </c>
      <c r="G1413">
        <v>2021</v>
      </c>
      <c r="I1413">
        <v>42.53</v>
      </c>
      <c r="J1413" t="s">
        <v>176</v>
      </c>
      <c r="K1413" t="s">
        <v>47</v>
      </c>
      <c r="O1413">
        <v>0</v>
      </c>
      <c r="P1413">
        <v>0</v>
      </c>
      <c r="Q1413">
        <v>0</v>
      </c>
      <c r="R1413">
        <v>0</v>
      </c>
      <c r="S1413">
        <v>1</v>
      </c>
      <c r="T1413">
        <v>1</v>
      </c>
      <c r="U1413">
        <v>1</v>
      </c>
      <c r="V1413">
        <v>0</v>
      </c>
      <c r="W1413" t="s">
        <v>1358</v>
      </c>
      <c r="AA1413">
        <v>2007</v>
      </c>
      <c r="AB1413">
        <v>9999</v>
      </c>
      <c r="AC1413" t="s">
        <v>35</v>
      </c>
    </row>
    <row r="1414" spans="1:29" x14ac:dyDescent="0.25">
      <c r="A1414" s="31" t="s">
        <v>1457</v>
      </c>
      <c r="B1414" s="23" t="s">
        <v>1458</v>
      </c>
      <c r="C1414" t="s">
        <v>1459</v>
      </c>
      <c r="D1414">
        <v>1</v>
      </c>
      <c r="E1414" s="4">
        <v>760</v>
      </c>
      <c r="F1414">
        <v>7</v>
      </c>
      <c r="G1414">
        <v>2021</v>
      </c>
      <c r="I1414">
        <v>721.58</v>
      </c>
      <c r="J1414" t="s">
        <v>40</v>
      </c>
      <c r="K1414" t="s">
        <v>47</v>
      </c>
      <c r="O1414">
        <v>0</v>
      </c>
      <c r="P1414">
        <v>0</v>
      </c>
      <c r="Q1414">
        <v>0</v>
      </c>
      <c r="R1414">
        <v>0</v>
      </c>
      <c r="S1414">
        <v>1</v>
      </c>
      <c r="T1414">
        <v>1</v>
      </c>
      <c r="U1414">
        <v>1</v>
      </c>
      <c r="V1414">
        <v>0</v>
      </c>
      <c r="W1414" t="s">
        <v>1460</v>
      </c>
      <c r="AA1414">
        <v>2014</v>
      </c>
      <c r="AB1414">
        <v>9999</v>
      </c>
      <c r="AC1414" t="s">
        <v>1449</v>
      </c>
    </row>
    <row r="1415" spans="1:29" ht="30" x14ac:dyDescent="0.25">
      <c r="A1415" s="31" t="s">
        <v>316</v>
      </c>
      <c r="B1415" s="24" t="s">
        <v>1461</v>
      </c>
      <c r="C1415" t="s">
        <v>1462</v>
      </c>
      <c r="D1415">
        <v>1</v>
      </c>
      <c r="E1415" t="s">
        <v>318</v>
      </c>
      <c r="F1415">
        <v>4</v>
      </c>
      <c r="G1415">
        <v>2021</v>
      </c>
      <c r="I1415" s="8">
        <v>36.82</v>
      </c>
      <c r="J1415" t="s">
        <v>59</v>
      </c>
      <c r="K1415" t="s">
        <v>47</v>
      </c>
      <c r="O1415">
        <v>0</v>
      </c>
      <c r="P1415">
        <v>0</v>
      </c>
      <c r="Q1415">
        <v>0</v>
      </c>
      <c r="R1415">
        <v>0</v>
      </c>
      <c r="S1415">
        <v>1</v>
      </c>
      <c r="T1415">
        <v>1</v>
      </c>
      <c r="U1415">
        <v>1</v>
      </c>
      <c r="V1415">
        <v>0</v>
      </c>
      <c r="W1415" t="s">
        <v>1085</v>
      </c>
      <c r="AA1415">
        <v>2007</v>
      </c>
      <c r="AB1415">
        <v>9999</v>
      </c>
      <c r="AC1415" t="s">
        <v>35</v>
      </c>
    </row>
    <row r="1416" spans="1:29" x14ac:dyDescent="0.25">
      <c r="A1416" s="31" t="s">
        <v>324</v>
      </c>
      <c r="B1416" s="23" t="s">
        <v>325</v>
      </c>
      <c r="D1416">
        <v>1</v>
      </c>
      <c r="E1416" t="s">
        <v>103</v>
      </c>
      <c r="F1416">
        <v>9</v>
      </c>
      <c r="G1416">
        <v>2021</v>
      </c>
      <c r="I1416">
        <v>103.35</v>
      </c>
      <c r="J1416" t="s">
        <v>104</v>
      </c>
      <c r="K1416" t="s">
        <v>47</v>
      </c>
      <c r="O1416">
        <v>0</v>
      </c>
      <c r="P1416">
        <v>0</v>
      </c>
      <c r="Q1416">
        <v>0</v>
      </c>
      <c r="R1416">
        <v>0</v>
      </c>
      <c r="S1416">
        <v>1</v>
      </c>
      <c r="T1416">
        <v>1</v>
      </c>
      <c r="U1416">
        <v>1</v>
      </c>
      <c r="V1416">
        <v>0</v>
      </c>
      <c r="W1416" t="s">
        <v>1086</v>
      </c>
      <c r="AA1416">
        <v>2007</v>
      </c>
      <c r="AB1416">
        <v>9999</v>
      </c>
      <c r="AC1416" t="s">
        <v>35</v>
      </c>
    </row>
    <row r="1417" spans="1:29" x14ac:dyDescent="0.25">
      <c r="A1417" s="31" t="s">
        <v>327</v>
      </c>
      <c r="B1417" s="23" t="s">
        <v>328</v>
      </c>
      <c r="D1417">
        <v>1</v>
      </c>
      <c r="E1417" t="s">
        <v>80</v>
      </c>
      <c r="F1417">
        <v>8</v>
      </c>
      <c r="G1417">
        <v>2021</v>
      </c>
      <c r="I1417">
        <v>82.22</v>
      </c>
      <c r="J1417" t="s">
        <v>81</v>
      </c>
      <c r="K1417" t="s">
        <v>47</v>
      </c>
      <c r="O1417">
        <v>0</v>
      </c>
      <c r="P1417">
        <v>0</v>
      </c>
      <c r="Q1417">
        <v>0</v>
      </c>
      <c r="R1417">
        <v>0</v>
      </c>
      <c r="S1417">
        <v>1</v>
      </c>
      <c r="T1417">
        <v>1</v>
      </c>
      <c r="U1417">
        <v>1</v>
      </c>
      <c r="V1417">
        <v>0</v>
      </c>
      <c r="W1417" t="s">
        <v>1087</v>
      </c>
      <c r="AA1417">
        <v>2007</v>
      </c>
      <c r="AB1417">
        <v>9999</v>
      </c>
      <c r="AC1417" t="s">
        <v>35</v>
      </c>
    </row>
    <row r="1418" spans="1:29" x14ac:dyDescent="0.25">
      <c r="A1418" s="31" t="s">
        <v>140</v>
      </c>
      <c r="B1418" s="23" t="s">
        <v>1581</v>
      </c>
      <c r="C1418" t="s">
        <v>1582</v>
      </c>
      <c r="D1418">
        <v>1</v>
      </c>
      <c r="E1418" t="s">
        <v>45</v>
      </c>
      <c r="F1418">
        <v>4</v>
      </c>
      <c r="G1418">
        <v>2021</v>
      </c>
      <c r="I1418" s="8">
        <v>84.6</v>
      </c>
      <c r="J1418" t="s">
        <v>121</v>
      </c>
      <c r="K1418" t="s">
        <v>47</v>
      </c>
      <c r="O1418">
        <v>0</v>
      </c>
      <c r="P1418">
        <v>0</v>
      </c>
      <c r="Q1418">
        <v>0</v>
      </c>
      <c r="R1418">
        <v>0</v>
      </c>
      <c r="S1418">
        <v>1</v>
      </c>
      <c r="T1418">
        <v>1</v>
      </c>
      <c r="U1418">
        <v>1</v>
      </c>
      <c r="V1418">
        <v>0</v>
      </c>
      <c r="W1418" t="s">
        <v>1045</v>
      </c>
      <c r="AA1418">
        <v>2007</v>
      </c>
      <c r="AB1418">
        <v>9999</v>
      </c>
      <c r="AC1418" t="s">
        <v>35</v>
      </c>
    </row>
    <row r="1419" spans="1:29" x14ac:dyDescent="0.25">
      <c r="A1419" s="31" t="s">
        <v>346</v>
      </c>
      <c r="B1419" s="23" t="s">
        <v>347</v>
      </c>
      <c r="D1419">
        <v>1</v>
      </c>
      <c r="E1419" t="s">
        <v>348</v>
      </c>
      <c r="F1419">
        <v>1</v>
      </c>
      <c r="G1419">
        <v>2021</v>
      </c>
      <c r="I1419">
        <v>41.4</v>
      </c>
      <c r="J1419" t="s">
        <v>121</v>
      </c>
      <c r="K1419" t="s">
        <v>47</v>
      </c>
      <c r="O1419">
        <v>0</v>
      </c>
      <c r="P1419">
        <v>0</v>
      </c>
      <c r="Q1419">
        <v>0</v>
      </c>
      <c r="R1419">
        <v>0</v>
      </c>
      <c r="S1419">
        <v>1</v>
      </c>
      <c r="T1419">
        <v>1</v>
      </c>
      <c r="U1419">
        <v>1</v>
      </c>
      <c r="V1419">
        <v>0</v>
      </c>
      <c r="W1419" t="s">
        <v>349</v>
      </c>
      <c r="AA1419">
        <v>2007</v>
      </c>
      <c r="AB1419">
        <v>9999</v>
      </c>
      <c r="AC1419" t="s">
        <v>35</v>
      </c>
    </row>
    <row r="1420" spans="1:29" x14ac:dyDescent="0.25">
      <c r="A1420" s="31" t="s">
        <v>1540</v>
      </c>
      <c r="B1420" s="23" t="s">
        <v>1541</v>
      </c>
      <c r="D1420">
        <v>1</v>
      </c>
      <c r="E1420" t="s">
        <v>58</v>
      </c>
      <c r="F1420">
        <v>4</v>
      </c>
      <c r="G1420">
        <v>2021</v>
      </c>
      <c r="I1420">
        <v>83.77</v>
      </c>
      <c r="J1420" t="s">
        <v>59</v>
      </c>
      <c r="K1420" t="s">
        <v>47</v>
      </c>
      <c r="O1420">
        <v>0</v>
      </c>
      <c r="P1420">
        <v>0</v>
      </c>
      <c r="Q1420">
        <v>0</v>
      </c>
      <c r="R1420">
        <v>0</v>
      </c>
      <c r="S1420">
        <v>1</v>
      </c>
      <c r="T1420">
        <v>1</v>
      </c>
      <c r="U1420">
        <v>1</v>
      </c>
      <c r="V1420">
        <v>0</v>
      </c>
      <c r="W1420" t="s">
        <v>1542</v>
      </c>
      <c r="AA1420">
        <v>2018</v>
      </c>
      <c r="AB1420">
        <v>9999</v>
      </c>
      <c r="AC1420" t="s">
        <v>1543</v>
      </c>
    </row>
    <row r="1421" spans="1:29" x14ac:dyDescent="0.25">
      <c r="A1421" s="31" t="s">
        <v>199</v>
      </c>
      <c r="B1421" s="23" t="s">
        <v>39</v>
      </c>
      <c r="D1421">
        <v>1</v>
      </c>
      <c r="E1421" t="s">
        <v>358</v>
      </c>
      <c r="F1421">
        <v>1</v>
      </c>
      <c r="G1421">
        <v>2021</v>
      </c>
      <c r="I1421">
        <v>289.52999999999997</v>
      </c>
      <c r="J1421" t="s">
        <v>52</v>
      </c>
      <c r="K1421" t="s">
        <v>47</v>
      </c>
      <c r="O1421">
        <v>0</v>
      </c>
      <c r="P1421">
        <v>0</v>
      </c>
      <c r="Q1421">
        <v>0</v>
      </c>
      <c r="R1421">
        <v>0</v>
      </c>
      <c r="S1421">
        <v>1</v>
      </c>
      <c r="T1421">
        <v>1</v>
      </c>
      <c r="U1421">
        <v>1</v>
      </c>
      <c r="V1421">
        <v>0</v>
      </c>
      <c r="W1421" t="s">
        <v>1094</v>
      </c>
      <c r="AA1421">
        <v>2007</v>
      </c>
      <c r="AB1421">
        <v>9999</v>
      </c>
      <c r="AC1421" t="s">
        <v>35</v>
      </c>
    </row>
    <row r="1422" spans="1:29" x14ac:dyDescent="0.25">
      <c r="A1422" s="31" t="s">
        <v>1478</v>
      </c>
      <c r="B1422" s="23" t="s">
        <v>360</v>
      </c>
      <c r="D1422">
        <v>4</v>
      </c>
      <c r="E1422" t="s">
        <v>155</v>
      </c>
      <c r="F1422">
        <v>3</v>
      </c>
      <c r="G1422">
        <v>2021</v>
      </c>
      <c r="I1422" s="16">
        <v>408.45143596837926</v>
      </c>
      <c r="J1422" t="s">
        <v>121</v>
      </c>
      <c r="K1422" t="s">
        <v>53</v>
      </c>
      <c r="L1422" t="s">
        <v>60</v>
      </c>
      <c r="O1422">
        <v>1</v>
      </c>
      <c r="P1422">
        <v>0</v>
      </c>
      <c r="Q1422">
        <v>0</v>
      </c>
      <c r="R1422">
        <v>0</v>
      </c>
      <c r="S1422">
        <v>1</v>
      </c>
      <c r="T1422">
        <v>0</v>
      </c>
      <c r="U1422">
        <v>0</v>
      </c>
      <c r="V1422">
        <v>1</v>
      </c>
      <c r="W1422" t="s">
        <v>361</v>
      </c>
      <c r="AA1422">
        <v>2007</v>
      </c>
      <c r="AB1422">
        <v>9999</v>
      </c>
      <c r="AC1422" t="s">
        <v>35</v>
      </c>
    </row>
    <row r="1423" spans="1:29" x14ac:dyDescent="0.25">
      <c r="A1423" s="31" t="s">
        <v>362</v>
      </c>
      <c r="B1423" s="23" t="s">
        <v>363</v>
      </c>
      <c r="D1423">
        <v>1</v>
      </c>
      <c r="E1423" t="s">
        <v>103</v>
      </c>
      <c r="F1423">
        <v>9</v>
      </c>
      <c r="G1423">
        <v>2021</v>
      </c>
      <c r="I1423">
        <v>1141.1500000000001</v>
      </c>
      <c r="J1423" t="s">
        <v>104</v>
      </c>
      <c r="K1423" t="s">
        <v>53</v>
      </c>
      <c r="L1423" t="s">
        <v>105</v>
      </c>
      <c r="O1423">
        <v>0</v>
      </c>
      <c r="P1423">
        <v>1</v>
      </c>
      <c r="Q1423">
        <v>0</v>
      </c>
      <c r="R1423">
        <v>0</v>
      </c>
      <c r="S1423">
        <v>1</v>
      </c>
      <c r="T1423">
        <v>1</v>
      </c>
      <c r="U1423">
        <v>1</v>
      </c>
      <c r="V1423">
        <v>0</v>
      </c>
      <c r="W1423" t="s">
        <v>106</v>
      </c>
      <c r="AA1423">
        <v>2007</v>
      </c>
      <c r="AB1423">
        <v>9999</v>
      </c>
      <c r="AC1423" t="s">
        <v>35</v>
      </c>
    </row>
    <row r="1424" spans="1:29" x14ac:dyDescent="0.25">
      <c r="A1424" s="31" t="s">
        <v>364</v>
      </c>
      <c r="B1424" s="23" t="s">
        <v>365</v>
      </c>
      <c r="C1424" t="s">
        <v>366</v>
      </c>
      <c r="D1424">
        <v>1</v>
      </c>
      <c r="E1424" t="s">
        <v>103</v>
      </c>
      <c r="F1424">
        <v>9</v>
      </c>
      <c r="G1424">
        <v>2021</v>
      </c>
      <c r="I1424">
        <v>4687.49</v>
      </c>
      <c r="J1424" t="s">
        <v>104</v>
      </c>
      <c r="K1424" t="s">
        <v>53</v>
      </c>
      <c r="L1424" t="s">
        <v>105</v>
      </c>
      <c r="O1424">
        <v>0</v>
      </c>
      <c r="P1424">
        <v>1</v>
      </c>
      <c r="Q1424">
        <v>0</v>
      </c>
      <c r="R1424">
        <v>0</v>
      </c>
      <c r="S1424">
        <v>1</v>
      </c>
      <c r="T1424">
        <v>1</v>
      </c>
      <c r="U1424">
        <v>1</v>
      </c>
      <c r="V1424">
        <v>0</v>
      </c>
      <c r="W1424" t="s">
        <v>106</v>
      </c>
      <c r="AA1424">
        <v>2007</v>
      </c>
      <c r="AB1424">
        <v>9999</v>
      </c>
      <c r="AC1424" t="s">
        <v>35</v>
      </c>
    </row>
    <row r="1425" spans="1:29" x14ac:dyDescent="0.25">
      <c r="A1425" s="31" t="s">
        <v>367</v>
      </c>
      <c r="B1425" s="23" t="s">
        <v>368</v>
      </c>
      <c r="C1425" t="s">
        <v>369</v>
      </c>
      <c r="D1425">
        <v>1</v>
      </c>
      <c r="E1425" t="s">
        <v>370</v>
      </c>
      <c r="F1425">
        <v>5</v>
      </c>
      <c r="G1425">
        <v>2021</v>
      </c>
      <c r="I1425">
        <v>255.68</v>
      </c>
      <c r="J1425" t="s">
        <v>31</v>
      </c>
      <c r="K1425" t="s">
        <v>47</v>
      </c>
      <c r="O1425">
        <v>0</v>
      </c>
      <c r="P1425">
        <v>0</v>
      </c>
      <c r="Q1425">
        <v>0</v>
      </c>
      <c r="R1425">
        <v>0</v>
      </c>
      <c r="S1425">
        <v>1</v>
      </c>
      <c r="T1425">
        <v>1</v>
      </c>
      <c r="U1425">
        <v>1</v>
      </c>
      <c r="V1425">
        <v>0</v>
      </c>
      <c r="W1425" t="s">
        <v>1298</v>
      </c>
      <c r="AA1425">
        <v>2007</v>
      </c>
      <c r="AB1425">
        <v>9999</v>
      </c>
      <c r="AC1425" t="s">
        <v>35</v>
      </c>
    </row>
    <row r="1426" spans="1:29" x14ac:dyDescent="0.25">
      <c r="A1426" s="31" t="s">
        <v>1544</v>
      </c>
      <c r="B1426" s="23" t="s">
        <v>1545</v>
      </c>
      <c r="D1426">
        <v>1</v>
      </c>
      <c r="E1426" s="5" t="s">
        <v>1546</v>
      </c>
      <c r="F1426">
        <v>5</v>
      </c>
      <c r="G1426">
        <v>2021</v>
      </c>
      <c r="H1426" t="s">
        <v>214</v>
      </c>
      <c r="I1426" s="15">
        <v>4</v>
      </c>
      <c r="J1426" t="s">
        <v>31</v>
      </c>
      <c r="K1426" t="s">
        <v>41</v>
      </c>
      <c r="O1426">
        <v>0</v>
      </c>
      <c r="P1426">
        <v>0</v>
      </c>
      <c r="Q1426">
        <v>0</v>
      </c>
      <c r="R1426">
        <v>0</v>
      </c>
      <c r="S1426">
        <v>0</v>
      </c>
      <c r="T1426">
        <v>0</v>
      </c>
      <c r="U1426">
        <v>0</v>
      </c>
      <c r="V1426">
        <v>0</v>
      </c>
      <c r="W1426" t="s">
        <v>1547</v>
      </c>
      <c r="AA1426">
        <v>2018</v>
      </c>
      <c r="AB1426">
        <v>9999</v>
      </c>
      <c r="AC1426" t="s">
        <v>1543</v>
      </c>
    </row>
    <row r="1427" spans="1:29" x14ac:dyDescent="0.25">
      <c r="A1427" s="31" t="s">
        <v>372</v>
      </c>
      <c r="B1427" s="23" t="s">
        <v>373</v>
      </c>
      <c r="D1427">
        <v>1</v>
      </c>
      <c r="E1427" t="s">
        <v>45</v>
      </c>
      <c r="F1427">
        <v>4</v>
      </c>
      <c r="G1427">
        <v>2021</v>
      </c>
      <c r="I1427">
        <v>86.1</v>
      </c>
      <c r="J1427" t="s">
        <v>176</v>
      </c>
      <c r="K1427" t="s">
        <v>47</v>
      </c>
      <c r="O1427">
        <v>0</v>
      </c>
      <c r="P1427">
        <v>0</v>
      </c>
      <c r="Q1427">
        <v>0</v>
      </c>
      <c r="R1427">
        <v>0</v>
      </c>
      <c r="S1427">
        <v>1</v>
      </c>
      <c r="T1427">
        <v>1</v>
      </c>
      <c r="U1427">
        <v>1</v>
      </c>
      <c r="V1427">
        <v>0</v>
      </c>
      <c r="W1427" t="s">
        <v>1429</v>
      </c>
      <c r="AA1427">
        <v>2007</v>
      </c>
      <c r="AB1427">
        <v>9999</v>
      </c>
      <c r="AC1427" t="s">
        <v>35</v>
      </c>
    </row>
    <row r="1428" spans="1:29" x14ac:dyDescent="0.25">
      <c r="A1428" s="31" t="s">
        <v>375</v>
      </c>
      <c r="B1428" s="23" t="s">
        <v>163</v>
      </c>
      <c r="D1428">
        <v>1</v>
      </c>
      <c r="E1428" t="s">
        <v>168</v>
      </c>
      <c r="F1428">
        <v>1</v>
      </c>
      <c r="G1428">
        <v>2021</v>
      </c>
      <c r="I1428">
        <v>48.53</v>
      </c>
      <c r="J1428" t="s">
        <v>52</v>
      </c>
      <c r="K1428" t="s">
        <v>47</v>
      </c>
      <c r="O1428">
        <v>0</v>
      </c>
      <c r="P1428">
        <v>0</v>
      </c>
      <c r="Q1428">
        <v>0</v>
      </c>
      <c r="R1428">
        <v>0</v>
      </c>
      <c r="S1428">
        <v>1</v>
      </c>
      <c r="T1428">
        <v>1</v>
      </c>
      <c r="U1428">
        <v>1</v>
      </c>
      <c r="V1428">
        <v>0</v>
      </c>
      <c r="W1428" t="s">
        <v>1097</v>
      </c>
      <c r="AA1428">
        <v>2007</v>
      </c>
      <c r="AB1428">
        <v>9999</v>
      </c>
      <c r="AC1428" t="s">
        <v>35</v>
      </c>
    </row>
    <row r="1429" spans="1:29" x14ac:dyDescent="0.25">
      <c r="A1429" s="31" t="s">
        <v>377</v>
      </c>
      <c r="B1429" s="23" t="s">
        <v>378</v>
      </c>
      <c r="D1429">
        <v>1</v>
      </c>
      <c r="E1429" t="s">
        <v>45</v>
      </c>
      <c r="F1429">
        <v>4</v>
      </c>
      <c r="G1429">
        <v>2021</v>
      </c>
      <c r="I1429">
        <v>146.88</v>
      </c>
      <c r="J1429" t="s">
        <v>89</v>
      </c>
      <c r="K1429" t="s">
        <v>47</v>
      </c>
      <c r="O1429">
        <v>0</v>
      </c>
      <c r="P1429">
        <v>0</v>
      </c>
      <c r="Q1429">
        <v>0</v>
      </c>
      <c r="R1429">
        <v>0</v>
      </c>
      <c r="S1429">
        <v>1</v>
      </c>
      <c r="T1429">
        <v>1</v>
      </c>
      <c r="U1429">
        <v>1</v>
      </c>
      <c r="V1429">
        <v>0</v>
      </c>
      <c r="W1429" t="s">
        <v>1098</v>
      </c>
      <c r="AA1429">
        <v>2007</v>
      </c>
      <c r="AB1429">
        <v>9999</v>
      </c>
      <c r="AC1429" t="s">
        <v>35</v>
      </c>
    </row>
    <row r="1430" spans="1:29" x14ac:dyDescent="0.25">
      <c r="A1430" s="31" t="s">
        <v>380</v>
      </c>
      <c r="B1430" s="23" t="s">
        <v>381</v>
      </c>
      <c r="D1430">
        <v>1</v>
      </c>
      <c r="E1430" t="s">
        <v>103</v>
      </c>
      <c r="F1430">
        <v>9</v>
      </c>
      <c r="G1430">
        <v>2021</v>
      </c>
      <c r="I1430">
        <v>166.93</v>
      </c>
      <c r="J1430" t="s">
        <v>104</v>
      </c>
      <c r="K1430" t="s">
        <v>53</v>
      </c>
      <c r="L1430" t="s">
        <v>105</v>
      </c>
      <c r="O1430">
        <v>0</v>
      </c>
      <c r="P1430">
        <v>1</v>
      </c>
      <c r="Q1430">
        <v>0</v>
      </c>
      <c r="R1430">
        <v>0</v>
      </c>
      <c r="S1430">
        <v>1</v>
      </c>
      <c r="T1430">
        <v>1</v>
      </c>
      <c r="U1430">
        <v>1</v>
      </c>
      <c r="V1430">
        <v>0</v>
      </c>
      <c r="W1430" t="s">
        <v>106</v>
      </c>
      <c r="AA1430">
        <v>2007</v>
      </c>
      <c r="AB1430">
        <v>9999</v>
      </c>
      <c r="AC1430" t="s">
        <v>35</v>
      </c>
    </row>
    <row r="1431" spans="1:29" x14ac:dyDescent="0.25">
      <c r="A1431" s="31" t="s">
        <v>382</v>
      </c>
      <c r="B1431" s="23" t="s">
        <v>383</v>
      </c>
      <c r="D1431">
        <v>1</v>
      </c>
      <c r="E1431" t="s">
        <v>80</v>
      </c>
      <c r="F1431">
        <v>8</v>
      </c>
      <c r="G1431">
        <v>2021</v>
      </c>
      <c r="I1431" s="8">
        <v>37.03</v>
      </c>
      <c r="J1431" t="s">
        <v>81</v>
      </c>
      <c r="K1431" t="s">
        <v>32</v>
      </c>
      <c r="O1431">
        <v>0</v>
      </c>
      <c r="P1431">
        <v>0</v>
      </c>
      <c r="Q1431">
        <v>0</v>
      </c>
      <c r="R1431">
        <v>0</v>
      </c>
      <c r="S1431">
        <v>1</v>
      </c>
      <c r="T1431">
        <v>1</v>
      </c>
      <c r="U1431">
        <v>1</v>
      </c>
      <c r="V1431">
        <v>0</v>
      </c>
      <c r="W1431" t="s">
        <v>1099</v>
      </c>
      <c r="AA1431">
        <v>2007</v>
      </c>
      <c r="AB1431">
        <v>9999</v>
      </c>
      <c r="AC1431" t="s">
        <v>35</v>
      </c>
    </row>
    <row r="1432" spans="1:29" x14ac:dyDescent="0.25">
      <c r="A1432" s="31" t="s">
        <v>385</v>
      </c>
      <c r="B1432" s="23" t="s">
        <v>386</v>
      </c>
      <c r="D1432">
        <v>1</v>
      </c>
      <c r="E1432" t="s">
        <v>45</v>
      </c>
      <c r="F1432">
        <v>4</v>
      </c>
      <c r="G1432">
        <v>2021</v>
      </c>
      <c r="I1432">
        <v>184.51</v>
      </c>
      <c r="J1432" t="s">
        <v>52</v>
      </c>
      <c r="K1432" t="s">
        <v>47</v>
      </c>
      <c r="O1432">
        <v>0</v>
      </c>
      <c r="P1432">
        <v>0</v>
      </c>
      <c r="Q1432">
        <v>0</v>
      </c>
      <c r="R1432">
        <v>0</v>
      </c>
      <c r="S1432">
        <v>1</v>
      </c>
      <c r="T1432">
        <v>1</v>
      </c>
      <c r="U1432">
        <v>1</v>
      </c>
      <c r="V1432">
        <v>0</v>
      </c>
      <c r="W1432" t="s">
        <v>1300</v>
      </c>
      <c r="AA1432">
        <v>2007</v>
      </c>
      <c r="AB1432">
        <v>9999</v>
      </c>
      <c r="AC1432" t="s">
        <v>35</v>
      </c>
    </row>
    <row r="1433" spans="1:29" x14ac:dyDescent="0.25">
      <c r="A1433" s="31" t="s">
        <v>388</v>
      </c>
      <c r="B1433" s="23" t="s">
        <v>389</v>
      </c>
      <c r="D1433">
        <v>1</v>
      </c>
      <c r="E1433" t="s">
        <v>145</v>
      </c>
      <c r="F1433">
        <v>2</v>
      </c>
      <c r="G1433">
        <v>2021</v>
      </c>
      <c r="H1433" t="s">
        <v>185</v>
      </c>
      <c r="I1433" s="15">
        <v>0.5</v>
      </c>
      <c r="J1433" t="s">
        <v>52</v>
      </c>
      <c r="K1433" t="s">
        <v>41</v>
      </c>
      <c r="O1433">
        <v>0</v>
      </c>
      <c r="P1433">
        <v>0</v>
      </c>
      <c r="Q1433">
        <v>0</v>
      </c>
      <c r="R1433">
        <v>0</v>
      </c>
      <c r="S1433">
        <v>0</v>
      </c>
      <c r="T1433">
        <v>0</v>
      </c>
      <c r="U1433">
        <v>0</v>
      </c>
      <c r="V1433">
        <v>0</v>
      </c>
      <c r="W1433" t="s">
        <v>1101</v>
      </c>
      <c r="AA1433">
        <v>2007</v>
      </c>
      <c r="AB1433">
        <v>9999</v>
      </c>
      <c r="AC1433" t="s">
        <v>35</v>
      </c>
    </row>
    <row r="1434" spans="1:29" x14ac:dyDescent="0.25">
      <c r="A1434" s="31" t="s">
        <v>391</v>
      </c>
      <c r="B1434" s="23" t="s">
        <v>392</v>
      </c>
      <c r="D1434">
        <v>1</v>
      </c>
      <c r="E1434" t="s">
        <v>393</v>
      </c>
      <c r="F1434">
        <v>3</v>
      </c>
      <c r="G1434">
        <v>2021</v>
      </c>
      <c r="I1434">
        <v>10633.89</v>
      </c>
      <c r="J1434" t="s">
        <v>121</v>
      </c>
      <c r="K1434" t="s">
        <v>47</v>
      </c>
      <c r="O1434">
        <v>0</v>
      </c>
      <c r="P1434">
        <v>0</v>
      </c>
      <c r="Q1434">
        <v>0</v>
      </c>
      <c r="R1434">
        <v>0</v>
      </c>
      <c r="S1434">
        <v>1</v>
      </c>
      <c r="T1434">
        <v>1</v>
      </c>
      <c r="U1434">
        <v>1</v>
      </c>
      <c r="V1434">
        <v>0</v>
      </c>
      <c r="W1434" t="s">
        <v>1102</v>
      </c>
      <c r="AA1434">
        <v>2007</v>
      </c>
      <c r="AB1434">
        <v>9999</v>
      </c>
      <c r="AC1434" t="s">
        <v>35</v>
      </c>
    </row>
    <row r="1435" spans="1:29" x14ac:dyDescent="0.25">
      <c r="A1435" s="31" t="s">
        <v>401</v>
      </c>
      <c r="B1435" s="23" t="s">
        <v>402</v>
      </c>
      <c r="D1435">
        <v>1</v>
      </c>
      <c r="E1435" t="s">
        <v>155</v>
      </c>
      <c r="F1435">
        <v>3</v>
      </c>
      <c r="G1435">
        <v>2021</v>
      </c>
      <c r="I1435" s="8">
        <v>2091.25</v>
      </c>
      <c r="J1435" t="s">
        <v>52</v>
      </c>
      <c r="K1435" t="s">
        <v>47</v>
      </c>
      <c r="O1435">
        <v>0</v>
      </c>
      <c r="P1435">
        <v>0</v>
      </c>
      <c r="Q1435">
        <v>0</v>
      </c>
      <c r="R1435">
        <v>0</v>
      </c>
      <c r="S1435">
        <v>1</v>
      </c>
      <c r="T1435">
        <v>1</v>
      </c>
      <c r="U1435">
        <v>1</v>
      </c>
      <c r="V1435">
        <v>0</v>
      </c>
      <c r="W1435" t="s">
        <v>1525</v>
      </c>
      <c r="AA1435">
        <v>2007</v>
      </c>
      <c r="AB1435">
        <v>9999</v>
      </c>
      <c r="AC1435" t="s">
        <v>35</v>
      </c>
    </row>
    <row r="1436" spans="1:29" x14ac:dyDescent="0.25">
      <c r="A1436" s="31" t="s">
        <v>404</v>
      </c>
      <c r="B1436" s="23" t="s">
        <v>405</v>
      </c>
      <c r="C1436" t="s">
        <v>406</v>
      </c>
      <c r="D1436">
        <v>1</v>
      </c>
      <c r="E1436" t="s">
        <v>358</v>
      </c>
      <c r="F1436">
        <v>1</v>
      </c>
      <c r="G1436">
        <v>2021</v>
      </c>
      <c r="I1436" s="8">
        <v>328.83</v>
      </c>
      <c r="J1436" t="s">
        <v>104</v>
      </c>
      <c r="K1436" t="s">
        <v>47</v>
      </c>
      <c r="O1436">
        <v>0</v>
      </c>
      <c r="P1436">
        <v>0</v>
      </c>
      <c r="Q1436">
        <v>0</v>
      </c>
      <c r="R1436">
        <v>0</v>
      </c>
      <c r="S1436">
        <v>1</v>
      </c>
      <c r="T1436">
        <v>1</v>
      </c>
      <c r="U1436">
        <v>1</v>
      </c>
      <c r="V1436">
        <v>0</v>
      </c>
      <c r="W1436" t="s">
        <v>1245</v>
      </c>
      <c r="AA1436">
        <v>2007</v>
      </c>
      <c r="AB1436">
        <v>9999</v>
      </c>
      <c r="AC1436" t="s">
        <v>35</v>
      </c>
    </row>
    <row r="1437" spans="1:29" x14ac:dyDescent="0.25">
      <c r="A1437" s="31" t="s">
        <v>408</v>
      </c>
      <c r="B1437" s="23" t="s">
        <v>409</v>
      </c>
      <c r="D1437">
        <v>1</v>
      </c>
      <c r="E1437" t="s">
        <v>103</v>
      </c>
      <c r="F1437">
        <v>9</v>
      </c>
      <c r="G1437">
        <v>2021</v>
      </c>
      <c r="I1437" s="8">
        <v>58.36</v>
      </c>
      <c r="J1437" t="s">
        <v>104</v>
      </c>
      <c r="K1437" t="s">
        <v>53</v>
      </c>
      <c r="L1437" t="s">
        <v>105</v>
      </c>
      <c r="O1437">
        <v>0</v>
      </c>
      <c r="P1437">
        <v>1</v>
      </c>
      <c r="Q1437">
        <v>0</v>
      </c>
      <c r="R1437">
        <v>0</v>
      </c>
      <c r="S1437">
        <v>1</v>
      </c>
      <c r="T1437">
        <v>1</v>
      </c>
      <c r="U1437">
        <v>1</v>
      </c>
      <c r="V1437">
        <v>0</v>
      </c>
      <c r="W1437" t="s">
        <v>106</v>
      </c>
      <c r="AA1437">
        <v>2007</v>
      </c>
      <c r="AB1437">
        <v>9999</v>
      </c>
      <c r="AC1437" t="s">
        <v>35</v>
      </c>
    </row>
    <row r="1438" spans="1:29" x14ac:dyDescent="0.25">
      <c r="A1438" s="31" t="s">
        <v>410</v>
      </c>
      <c r="B1438" s="23" t="s">
        <v>411</v>
      </c>
      <c r="C1438" t="s">
        <v>412</v>
      </c>
      <c r="D1438">
        <v>1</v>
      </c>
      <c r="E1438" t="s">
        <v>103</v>
      </c>
      <c r="F1438">
        <v>9</v>
      </c>
      <c r="G1438">
        <v>2021</v>
      </c>
      <c r="I1438" s="8">
        <v>154.80000000000001</v>
      </c>
      <c r="J1438" t="s">
        <v>104</v>
      </c>
      <c r="K1438" t="s">
        <v>53</v>
      </c>
      <c r="L1438" t="s">
        <v>105</v>
      </c>
      <c r="O1438">
        <v>0</v>
      </c>
      <c r="P1438">
        <v>1</v>
      </c>
      <c r="Q1438">
        <v>0</v>
      </c>
      <c r="R1438">
        <v>0</v>
      </c>
      <c r="S1438">
        <v>1</v>
      </c>
      <c r="T1438">
        <v>1</v>
      </c>
      <c r="U1438">
        <v>1</v>
      </c>
      <c r="V1438">
        <v>0</v>
      </c>
      <c r="W1438" t="s">
        <v>106</v>
      </c>
      <c r="AA1438">
        <v>2007</v>
      </c>
      <c r="AB1438">
        <v>9999</v>
      </c>
      <c r="AC1438" t="s">
        <v>35</v>
      </c>
    </row>
    <row r="1439" spans="1:29" x14ac:dyDescent="0.25">
      <c r="A1439" s="31" t="s">
        <v>413</v>
      </c>
      <c r="B1439" s="23" t="s">
        <v>414</v>
      </c>
      <c r="C1439" t="s">
        <v>415</v>
      </c>
      <c r="D1439">
        <v>1</v>
      </c>
      <c r="E1439" t="s">
        <v>103</v>
      </c>
      <c r="F1439">
        <v>9</v>
      </c>
      <c r="G1439">
        <v>2021</v>
      </c>
      <c r="I1439" s="8">
        <v>4014.38</v>
      </c>
      <c r="J1439" t="s">
        <v>104</v>
      </c>
      <c r="K1439" t="s">
        <v>53</v>
      </c>
      <c r="L1439" t="s">
        <v>105</v>
      </c>
      <c r="O1439">
        <v>0</v>
      </c>
      <c r="P1439">
        <v>1</v>
      </c>
      <c r="Q1439">
        <v>0</v>
      </c>
      <c r="R1439">
        <v>0</v>
      </c>
      <c r="S1439">
        <v>1</v>
      </c>
      <c r="T1439">
        <v>1</v>
      </c>
      <c r="U1439">
        <v>1</v>
      </c>
      <c r="V1439">
        <v>0</v>
      </c>
      <c r="W1439" t="s">
        <v>106</v>
      </c>
      <c r="AA1439">
        <v>2007</v>
      </c>
      <c r="AB1439">
        <v>9999</v>
      </c>
      <c r="AC1439" t="s">
        <v>35</v>
      </c>
    </row>
    <row r="1440" spans="1:29" x14ac:dyDescent="0.25">
      <c r="A1440" s="31" t="s">
        <v>416</v>
      </c>
      <c r="B1440" s="23" t="s">
        <v>417</v>
      </c>
      <c r="C1440" t="s">
        <v>418</v>
      </c>
      <c r="D1440">
        <v>1</v>
      </c>
      <c r="E1440" t="s">
        <v>218</v>
      </c>
      <c r="F1440">
        <v>2</v>
      </c>
      <c r="G1440">
        <v>2021</v>
      </c>
      <c r="I1440" s="8">
        <v>812.1</v>
      </c>
      <c r="J1440" t="s">
        <v>147</v>
      </c>
      <c r="K1440" t="s">
        <v>47</v>
      </c>
      <c r="O1440">
        <v>0</v>
      </c>
      <c r="P1440">
        <v>0</v>
      </c>
      <c r="Q1440">
        <v>0</v>
      </c>
      <c r="R1440">
        <v>0</v>
      </c>
      <c r="S1440">
        <v>1</v>
      </c>
      <c r="T1440">
        <v>1</v>
      </c>
      <c r="U1440">
        <v>1</v>
      </c>
      <c r="V1440">
        <v>0</v>
      </c>
      <c r="W1440" t="s">
        <v>1574</v>
      </c>
      <c r="AA1440">
        <v>2007</v>
      </c>
      <c r="AB1440">
        <v>9999</v>
      </c>
      <c r="AC1440" t="s">
        <v>35</v>
      </c>
    </row>
    <row r="1441" spans="1:29" x14ac:dyDescent="0.25">
      <c r="A1441" s="31" t="s">
        <v>420</v>
      </c>
      <c r="B1441" s="23" t="s">
        <v>421</v>
      </c>
      <c r="D1441">
        <v>1</v>
      </c>
      <c r="E1441" t="s">
        <v>38</v>
      </c>
      <c r="F1441">
        <v>4</v>
      </c>
      <c r="G1441">
        <v>2021</v>
      </c>
      <c r="H1441" t="s">
        <v>39</v>
      </c>
      <c r="I1441" s="15">
        <v>4.5999999999999996</v>
      </c>
      <c r="J1441" t="s">
        <v>31</v>
      </c>
      <c r="K1441" t="s">
        <v>32</v>
      </c>
      <c r="O1441">
        <v>0</v>
      </c>
      <c r="P1441">
        <v>0</v>
      </c>
      <c r="Q1441">
        <v>0</v>
      </c>
      <c r="R1441">
        <v>0</v>
      </c>
      <c r="S1441">
        <v>0</v>
      </c>
      <c r="T1441">
        <v>1</v>
      </c>
      <c r="U1441">
        <v>0</v>
      </c>
      <c r="V1441">
        <v>0</v>
      </c>
      <c r="W1441" t="s">
        <v>1108</v>
      </c>
      <c r="AA1441">
        <v>2007</v>
      </c>
      <c r="AB1441">
        <v>9999</v>
      </c>
      <c r="AC1441" t="s">
        <v>35</v>
      </c>
    </row>
    <row r="1442" spans="1:29" x14ac:dyDescent="0.25">
      <c r="A1442" s="31" t="s">
        <v>423</v>
      </c>
      <c r="B1442" s="23" t="s">
        <v>424</v>
      </c>
      <c r="D1442">
        <v>1</v>
      </c>
      <c r="E1442" t="s">
        <v>85</v>
      </c>
      <c r="F1442">
        <v>1</v>
      </c>
      <c r="G1442">
        <v>2021</v>
      </c>
      <c r="H1442" t="s">
        <v>303</v>
      </c>
      <c r="I1442" s="15">
        <v>7</v>
      </c>
      <c r="J1442" t="s">
        <v>121</v>
      </c>
      <c r="K1442" t="s">
        <v>53</v>
      </c>
      <c r="L1442" t="s">
        <v>425</v>
      </c>
      <c r="O1442">
        <v>0</v>
      </c>
      <c r="P1442">
        <v>0</v>
      </c>
      <c r="Q1442">
        <v>0</v>
      </c>
      <c r="R1442">
        <v>0</v>
      </c>
      <c r="S1442">
        <v>0</v>
      </c>
      <c r="T1442">
        <v>0</v>
      </c>
      <c r="U1442">
        <v>0</v>
      </c>
      <c r="V1442">
        <v>0</v>
      </c>
      <c r="W1442" t="s">
        <v>426</v>
      </c>
      <c r="AA1442">
        <v>2007</v>
      </c>
      <c r="AB1442">
        <v>9999</v>
      </c>
      <c r="AC1442" t="s">
        <v>35</v>
      </c>
    </row>
    <row r="1443" spans="1:29" x14ac:dyDescent="0.25">
      <c r="A1443" s="31" t="s">
        <v>427</v>
      </c>
      <c r="B1443" s="23" t="s">
        <v>1246</v>
      </c>
      <c r="D1443">
        <v>1</v>
      </c>
      <c r="E1443" t="s">
        <v>45</v>
      </c>
      <c r="F1443">
        <v>4</v>
      </c>
      <c r="G1443">
        <v>2021</v>
      </c>
      <c r="I1443" s="8">
        <v>2065.9899999999998</v>
      </c>
      <c r="J1443" t="s">
        <v>52</v>
      </c>
      <c r="K1443" t="s">
        <v>32</v>
      </c>
      <c r="O1443">
        <v>0</v>
      </c>
      <c r="P1443">
        <v>0</v>
      </c>
      <c r="Q1443">
        <v>0</v>
      </c>
      <c r="R1443">
        <v>0</v>
      </c>
      <c r="S1443">
        <v>1</v>
      </c>
      <c r="T1443">
        <v>1</v>
      </c>
      <c r="U1443">
        <v>1</v>
      </c>
      <c r="V1443">
        <v>0</v>
      </c>
      <c r="W1443" t="s">
        <v>1301</v>
      </c>
      <c r="AA1443">
        <v>2007</v>
      </c>
      <c r="AB1443">
        <v>9999</v>
      </c>
      <c r="AC1443" t="s">
        <v>35</v>
      </c>
    </row>
    <row r="1444" spans="1:29" x14ac:dyDescent="0.25">
      <c r="A1444" s="31" t="s">
        <v>430</v>
      </c>
      <c r="B1444" s="23" t="s">
        <v>431</v>
      </c>
      <c r="D1444">
        <v>1</v>
      </c>
      <c r="E1444" t="s">
        <v>103</v>
      </c>
      <c r="F1444">
        <v>9</v>
      </c>
      <c r="G1444">
        <v>2021</v>
      </c>
      <c r="I1444">
        <v>3430.38</v>
      </c>
      <c r="J1444" t="s">
        <v>104</v>
      </c>
      <c r="K1444" t="s">
        <v>53</v>
      </c>
      <c r="L1444" t="s">
        <v>105</v>
      </c>
      <c r="O1444">
        <v>0</v>
      </c>
      <c r="P1444">
        <v>1</v>
      </c>
      <c r="Q1444">
        <v>0</v>
      </c>
      <c r="R1444">
        <v>0</v>
      </c>
      <c r="S1444">
        <v>1</v>
      </c>
      <c r="T1444">
        <v>1</v>
      </c>
      <c r="U1444">
        <v>1</v>
      </c>
      <c r="V1444">
        <v>0</v>
      </c>
      <c r="W1444" t="s">
        <v>106</v>
      </c>
      <c r="AA1444">
        <v>2007</v>
      </c>
      <c r="AB1444">
        <v>9999</v>
      </c>
      <c r="AC1444" t="s">
        <v>35</v>
      </c>
    </row>
    <row r="1445" spans="1:29" x14ac:dyDescent="0.25">
      <c r="A1445" s="31" t="s">
        <v>1302</v>
      </c>
      <c r="B1445" s="23" t="s">
        <v>1303</v>
      </c>
      <c r="D1445">
        <v>1</v>
      </c>
      <c r="E1445" t="s">
        <v>103</v>
      </c>
      <c r="F1445">
        <v>9</v>
      </c>
      <c r="G1445">
        <v>2021</v>
      </c>
      <c r="I1445">
        <v>1807.71</v>
      </c>
      <c r="J1445" t="s">
        <v>104</v>
      </c>
      <c r="K1445" t="s">
        <v>53</v>
      </c>
      <c r="L1445" t="s">
        <v>105</v>
      </c>
      <c r="O1445">
        <v>0</v>
      </c>
      <c r="P1445">
        <v>1</v>
      </c>
      <c r="Q1445">
        <v>0</v>
      </c>
      <c r="R1445">
        <v>0</v>
      </c>
      <c r="S1445">
        <v>1</v>
      </c>
      <c r="T1445">
        <v>1</v>
      </c>
      <c r="U1445">
        <v>1</v>
      </c>
      <c r="V1445">
        <v>0</v>
      </c>
      <c r="W1445" t="s">
        <v>106</v>
      </c>
      <c r="AA1445">
        <v>2010</v>
      </c>
      <c r="AB1445">
        <v>9999</v>
      </c>
      <c r="AC1445" t="s">
        <v>1292</v>
      </c>
    </row>
    <row r="1446" spans="1:29" x14ac:dyDescent="0.25">
      <c r="A1446" s="31" t="s">
        <v>439</v>
      </c>
      <c r="B1446" s="23" t="s">
        <v>440</v>
      </c>
      <c r="C1446" t="s">
        <v>441</v>
      </c>
      <c r="D1446">
        <v>1</v>
      </c>
      <c r="E1446" t="s">
        <v>442</v>
      </c>
      <c r="F1446">
        <v>4</v>
      </c>
      <c r="G1446">
        <v>2021</v>
      </c>
      <c r="I1446">
        <v>554.44000000000005</v>
      </c>
      <c r="J1446" t="s">
        <v>89</v>
      </c>
      <c r="K1446" t="s">
        <v>47</v>
      </c>
      <c r="O1446">
        <v>0</v>
      </c>
      <c r="P1446">
        <v>0</v>
      </c>
      <c r="Q1446">
        <v>0</v>
      </c>
      <c r="R1446">
        <v>0</v>
      </c>
      <c r="S1446">
        <v>1</v>
      </c>
      <c r="T1446">
        <v>1</v>
      </c>
      <c r="U1446">
        <v>1</v>
      </c>
      <c r="V1446">
        <v>0</v>
      </c>
      <c r="W1446" t="s">
        <v>1304</v>
      </c>
      <c r="AA1446">
        <v>2007</v>
      </c>
      <c r="AB1446">
        <v>9999</v>
      </c>
      <c r="AC1446" t="s">
        <v>35</v>
      </c>
    </row>
    <row r="1447" spans="1:29" ht="30" x14ac:dyDescent="0.25">
      <c r="B1447" s="23" t="s">
        <v>444</v>
      </c>
      <c r="C1447" t="s">
        <v>445</v>
      </c>
      <c r="D1447">
        <v>5</v>
      </c>
      <c r="E1447" t="s">
        <v>38</v>
      </c>
      <c r="F1447">
        <v>4</v>
      </c>
      <c r="G1447">
        <v>2021</v>
      </c>
      <c r="I1447" s="8">
        <v>1.54</v>
      </c>
      <c r="J1447" s="2" t="s">
        <v>31</v>
      </c>
      <c r="K1447" t="s">
        <v>41</v>
      </c>
      <c r="O1447">
        <v>0</v>
      </c>
      <c r="P1447">
        <v>0</v>
      </c>
      <c r="Q1447">
        <v>0</v>
      </c>
      <c r="R1447">
        <v>0</v>
      </c>
      <c r="S1447">
        <v>0</v>
      </c>
      <c r="T1447">
        <v>0</v>
      </c>
      <c r="U1447">
        <v>0</v>
      </c>
      <c r="V1447">
        <v>0</v>
      </c>
      <c r="W1447" t="s">
        <v>1114</v>
      </c>
      <c r="AA1447">
        <v>2007</v>
      </c>
      <c r="AB1447">
        <v>9999</v>
      </c>
      <c r="AC1447" t="s">
        <v>35</v>
      </c>
    </row>
    <row r="1448" spans="1:29" x14ac:dyDescent="0.25">
      <c r="A1448" s="31" t="s">
        <v>453</v>
      </c>
      <c r="B1448" s="23" t="s">
        <v>454</v>
      </c>
      <c r="C1448" t="s">
        <v>455</v>
      </c>
      <c r="D1448">
        <v>1</v>
      </c>
      <c r="E1448" t="s">
        <v>456</v>
      </c>
      <c r="F1448">
        <v>4</v>
      </c>
      <c r="G1448">
        <v>2021</v>
      </c>
      <c r="I1448" s="8">
        <v>1060.73</v>
      </c>
      <c r="J1448" t="s">
        <v>1556</v>
      </c>
      <c r="K1448" t="s">
        <v>32</v>
      </c>
      <c r="L1448" t="s">
        <v>33</v>
      </c>
      <c r="O1448">
        <v>0</v>
      </c>
      <c r="P1448">
        <v>0</v>
      </c>
      <c r="Q1448">
        <v>0</v>
      </c>
      <c r="R1448">
        <v>1</v>
      </c>
      <c r="S1448">
        <v>1</v>
      </c>
      <c r="T1448">
        <v>1</v>
      </c>
      <c r="U1448">
        <v>1</v>
      </c>
      <c r="V1448">
        <v>0</v>
      </c>
      <c r="W1448" t="s">
        <v>1360</v>
      </c>
      <c r="AA1448">
        <v>2007</v>
      </c>
      <c r="AB1448">
        <v>9999</v>
      </c>
      <c r="AC1448" t="s">
        <v>35</v>
      </c>
    </row>
    <row r="1449" spans="1:29" x14ac:dyDescent="0.25">
      <c r="A1449" s="31" t="s">
        <v>458</v>
      </c>
      <c r="B1449" s="23" t="s">
        <v>459</v>
      </c>
      <c r="D1449">
        <v>1</v>
      </c>
      <c r="E1449" t="s">
        <v>103</v>
      </c>
      <c r="F1449">
        <v>9</v>
      </c>
      <c r="G1449">
        <v>2021</v>
      </c>
      <c r="I1449">
        <v>1458.83</v>
      </c>
      <c r="J1449" t="s">
        <v>104</v>
      </c>
      <c r="K1449" t="s">
        <v>53</v>
      </c>
      <c r="L1449" t="s">
        <v>105</v>
      </c>
      <c r="O1449">
        <v>0</v>
      </c>
      <c r="P1449">
        <v>1</v>
      </c>
      <c r="Q1449">
        <v>0</v>
      </c>
      <c r="R1449">
        <v>0</v>
      </c>
      <c r="S1449">
        <v>1</v>
      </c>
      <c r="T1449">
        <v>1</v>
      </c>
      <c r="U1449">
        <v>1</v>
      </c>
      <c r="V1449">
        <v>0</v>
      </c>
      <c r="W1449" t="s">
        <v>106</v>
      </c>
      <c r="AA1449">
        <v>2007</v>
      </c>
      <c r="AB1449">
        <v>9999</v>
      </c>
      <c r="AC1449" t="s">
        <v>35</v>
      </c>
    </row>
    <row r="1450" spans="1:29" x14ac:dyDescent="0.25">
      <c r="A1450" s="31" t="s">
        <v>460</v>
      </c>
      <c r="B1450" s="23" t="s">
        <v>461</v>
      </c>
      <c r="D1450">
        <v>1</v>
      </c>
      <c r="E1450" t="s">
        <v>103</v>
      </c>
      <c r="F1450">
        <v>9</v>
      </c>
      <c r="G1450">
        <v>2021</v>
      </c>
      <c r="I1450">
        <v>7409.94</v>
      </c>
      <c r="J1450" t="s">
        <v>104</v>
      </c>
      <c r="K1450" t="s">
        <v>53</v>
      </c>
      <c r="L1450" t="s">
        <v>105</v>
      </c>
      <c r="O1450">
        <v>0</v>
      </c>
      <c r="P1450">
        <v>1</v>
      </c>
      <c r="Q1450">
        <v>0</v>
      </c>
      <c r="R1450">
        <v>0</v>
      </c>
      <c r="S1450">
        <v>1</v>
      </c>
      <c r="T1450">
        <v>1</v>
      </c>
      <c r="U1450">
        <v>1</v>
      </c>
      <c r="V1450">
        <v>0</v>
      </c>
      <c r="W1450" t="s">
        <v>106</v>
      </c>
      <c r="AA1450">
        <v>2007</v>
      </c>
      <c r="AB1450">
        <v>9999</v>
      </c>
      <c r="AC1450" t="s">
        <v>35</v>
      </c>
    </row>
    <row r="1451" spans="1:29" x14ac:dyDescent="0.25">
      <c r="A1451" s="31" t="s">
        <v>465</v>
      </c>
      <c r="B1451" s="23" t="s">
        <v>466</v>
      </c>
      <c r="C1451" t="s">
        <v>467</v>
      </c>
      <c r="D1451">
        <v>1</v>
      </c>
      <c r="E1451" t="s">
        <v>468</v>
      </c>
      <c r="F1451">
        <v>7</v>
      </c>
      <c r="G1451">
        <v>2021</v>
      </c>
      <c r="I1451">
        <v>816.41</v>
      </c>
      <c r="J1451" t="s">
        <v>40</v>
      </c>
      <c r="K1451" t="s">
        <v>32</v>
      </c>
      <c r="O1451">
        <v>0</v>
      </c>
      <c r="P1451">
        <v>0</v>
      </c>
      <c r="Q1451">
        <v>0</v>
      </c>
      <c r="R1451">
        <v>0</v>
      </c>
      <c r="S1451">
        <v>1</v>
      </c>
      <c r="T1451">
        <v>1</v>
      </c>
      <c r="U1451">
        <v>1</v>
      </c>
      <c r="V1451">
        <v>0</v>
      </c>
      <c r="W1451" s="5" t="s">
        <v>1583</v>
      </c>
      <c r="AA1451">
        <v>2007</v>
      </c>
      <c r="AB1451">
        <v>9999</v>
      </c>
      <c r="AC1451" t="s">
        <v>35</v>
      </c>
    </row>
    <row r="1452" spans="1:29" x14ac:dyDescent="0.25">
      <c r="A1452" s="31" t="s">
        <v>478</v>
      </c>
      <c r="B1452" s="23" t="s">
        <v>479</v>
      </c>
      <c r="D1452">
        <v>1</v>
      </c>
      <c r="E1452" t="s">
        <v>348</v>
      </c>
      <c r="F1452">
        <v>1</v>
      </c>
      <c r="G1452">
        <v>2021</v>
      </c>
      <c r="I1452">
        <v>125.75</v>
      </c>
      <c r="J1452" t="s">
        <v>52</v>
      </c>
      <c r="K1452" t="s">
        <v>47</v>
      </c>
      <c r="O1452">
        <v>0</v>
      </c>
      <c r="P1452">
        <v>0</v>
      </c>
      <c r="Q1452">
        <v>0</v>
      </c>
      <c r="R1452">
        <v>0</v>
      </c>
      <c r="S1452">
        <v>1</v>
      </c>
      <c r="T1452">
        <v>1</v>
      </c>
      <c r="U1452">
        <v>1</v>
      </c>
      <c r="V1452">
        <v>0</v>
      </c>
      <c r="W1452" t="s">
        <v>1548</v>
      </c>
      <c r="AA1452">
        <v>2007</v>
      </c>
      <c r="AB1452">
        <v>9999</v>
      </c>
      <c r="AC1452" t="s">
        <v>35</v>
      </c>
    </row>
    <row r="1453" spans="1:29" x14ac:dyDescent="0.25">
      <c r="A1453" s="31" t="s">
        <v>481</v>
      </c>
      <c r="B1453" s="23" t="s">
        <v>482</v>
      </c>
      <c r="D1453">
        <v>1</v>
      </c>
      <c r="E1453" t="s">
        <v>348</v>
      </c>
      <c r="F1453">
        <v>1</v>
      </c>
      <c r="G1453">
        <v>2021</v>
      </c>
      <c r="I1453">
        <v>273.27999999999997</v>
      </c>
      <c r="J1453" t="s">
        <v>52</v>
      </c>
      <c r="K1453" t="s">
        <v>47</v>
      </c>
      <c r="O1453">
        <v>0</v>
      </c>
      <c r="P1453">
        <v>0</v>
      </c>
      <c r="Q1453">
        <v>0</v>
      </c>
      <c r="R1453">
        <v>0</v>
      </c>
      <c r="S1453">
        <v>1</v>
      </c>
      <c r="T1453">
        <v>1</v>
      </c>
      <c r="U1453">
        <v>1</v>
      </c>
      <c r="V1453">
        <v>0</v>
      </c>
      <c r="W1453" t="s">
        <v>1548</v>
      </c>
      <c r="AA1453">
        <v>2007</v>
      </c>
      <c r="AB1453">
        <v>9999</v>
      </c>
      <c r="AC1453" t="s">
        <v>35</v>
      </c>
    </row>
    <row r="1454" spans="1:29" x14ac:dyDescent="0.25">
      <c r="A1454" s="31" t="s">
        <v>483</v>
      </c>
      <c r="B1454" s="23" t="s">
        <v>484</v>
      </c>
      <c r="D1454">
        <v>1</v>
      </c>
      <c r="E1454" t="s">
        <v>348</v>
      </c>
      <c r="F1454">
        <v>1</v>
      </c>
      <c r="G1454">
        <v>2021</v>
      </c>
      <c r="I1454">
        <v>126.22</v>
      </c>
      <c r="J1454" t="s">
        <v>52</v>
      </c>
      <c r="K1454" t="s">
        <v>47</v>
      </c>
      <c r="O1454">
        <v>0</v>
      </c>
      <c r="P1454">
        <v>0</v>
      </c>
      <c r="Q1454">
        <v>0</v>
      </c>
      <c r="R1454">
        <v>0</v>
      </c>
      <c r="S1454">
        <v>1</v>
      </c>
      <c r="T1454">
        <v>1</v>
      </c>
      <c r="U1454">
        <v>1</v>
      </c>
      <c r="V1454">
        <v>0</v>
      </c>
      <c r="W1454" t="s">
        <v>1548</v>
      </c>
      <c r="AA1454">
        <v>2007</v>
      </c>
      <c r="AB1454">
        <v>9999</v>
      </c>
      <c r="AC1454" t="s">
        <v>35</v>
      </c>
    </row>
    <row r="1455" spans="1:29" x14ac:dyDescent="0.25">
      <c r="A1455" s="31" t="s">
        <v>485</v>
      </c>
      <c r="B1455" s="23" t="s">
        <v>486</v>
      </c>
      <c r="D1455">
        <v>1</v>
      </c>
      <c r="E1455" t="s">
        <v>348</v>
      </c>
      <c r="F1455">
        <v>1</v>
      </c>
      <c r="G1455">
        <v>2021</v>
      </c>
      <c r="I1455">
        <v>208.88</v>
      </c>
      <c r="J1455" t="s">
        <v>52</v>
      </c>
      <c r="K1455" t="s">
        <v>47</v>
      </c>
      <c r="O1455">
        <v>0</v>
      </c>
      <c r="P1455">
        <v>0</v>
      </c>
      <c r="Q1455">
        <v>0</v>
      </c>
      <c r="R1455">
        <v>0</v>
      </c>
      <c r="S1455">
        <v>1</v>
      </c>
      <c r="T1455">
        <v>1</v>
      </c>
      <c r="U1455">
        <v>1</v>
      </c>
      <c r="V1455">
        <v>0</v>
      </c>
      <c r="W1455" t="s">
        <v>1548</v>
      </c>
      <c r="AA1455">
        <v>2007</v>
      </c>
      <c r="AB1455">
        <v>9999</v>
      </c>
      <c r="AC1455" t="s">
        <v>35</v>
      </c>
    </row>
    <row r="1456" spans="1:29" x14ac:dyDescent="0.25">
      <c r="A1456" s="31" t="s">
        <v>487</v>
      </c>
      <c r="B1456" s="23" t="s">
        <v>488</v>
      </c>
      <c r="D1456">
        <v>1</v>
      </c>
      <c r="E1456" t="s">
        <v>348</v>
      </c>
      <c r="F1456">
        <v>1</v>
      </c>
      <c r="G1456">
        <v>2021</v>
      </c>
      <c r="I1456">
        <v>207.84</v>
      </c>
      <c r="J1456" t="s">
        <v>52</v>
      </c>
      <c r="K1456" t="s">
        <v>47</v>
      </c>
      <c r="O1456">
        <v>0</v>
      </c>
      <c r="P1456">
        <v>0</v>
      </c>
      <c r="Q1456">
        <v>0</v>
      </c>
      <c r="R1456">
        <v>0</v>
      </c>
      <c r="S1456">
        <v>1</v>
      </c>
      <c r="T1456">
        <v>1</v>
      </c>
      <c r="U1456">
        <v>1</v>
      </c>
      <c r="V1456">
        <v>0</v>
      </c>
      <c r="W1456" t="s">
        <v>1548</v>
      </c>
      <c r="AA1456">
        <v>2007</v>
      </c>
      <c r="AB1456">
        <v>9999</v>
      </c>
      <c r="AC1456" t="s">
        <v>35</v>
      </c>
    </row>
    <row r="1457" spans="1:29" x14ac:dyDescent="0.25">
      <c r="A1457" s="31" t="s">
        <v>489</v>
      </c>
      <c r="B1457" s="23" t="s">
        <v>490</v>
      </c>
      <c r="D1457">
        <v>1</v>
      </c>
      <c r="E1457" t="s">
        <v>348</v>
      </c>
      <c r="F1457">
        <v>1</v>
      </c>
      <c r="G1457">
        <v>2021</v>
      </c>
      <c r="I1457">
        <v>237.73</v>
      </c>
      <c r="J1457" t="s">
        <v>52</v>
      </c>
      <c r="K1457" t="s">
        <v>47</v>
      </c>
      <c r="O1457">
        <v>0</v>
      </c>
      <c r="P1457">
        <v>0</v>
      </c>
      <c r="Q1457">
        <v>0</v>
      </c>
      <c r="R1457">
        <v>0</v>
      </c>
      <c r="S1457">
        <v>1</v>
      </c>
      <c r="T1457">
        <v>1</v>
      </c>
      <c r="U1457">
        <v>1</v>
      </c>
      <c r="V1457">
        <v>0</v>
      </c>
      <c r="W1457" t="s">
        <v>1548</v>
      </c>
      <c r="AA1457">
        <v>2007</v>
      </c>
      <c r="AB1457">
        <v>9999</v>
      </c>
      <c r="AC1457" t="s">
        <v>35</v>
      </c>
    </row>
    <row r="1458" spans="1:29" x14ac:dyDescent="0.25">
      <c r="A1458" s="31" t="s">
        <v>491</v>
      </c>
      <c r="B1458" s="23" t="s">
        <v>492</v>
      </c>
      <c r="D1458">
        <v>1</v>
      </c>
      <c r="E1458" t="s">
        <v>348</v>
      </c>
      <c r="F1458">
        <v>1</v>
      </c>
      <c r="G1458">
        <v>2021</v>
      </c>
      <c r="I1458">
        <v>250.1</v>
      </c>
      <c r="J1458" t="s">
        <v>52</v>
      </c>
      <c r="K1458" t="s">
        <v>47</v>
      </c>
      <c r="O1458">
        <v>0</v>
      </c>
      <c r="P1458">
        <v>0</v>
      </c>
      <c r="Q1458">
        <v>0</v>
      </c>
      <c r="R1458">
        <v>0</v>
      </c>
      <c r="S1458">
        <v>1</v>
      </c>
      <c r="T1458">
        <v>1</v>
      </c>
      <c r="U1458">
        <v>1</v>
      </c>
      <c r="V1458">
        <v>0</v>
      </c>
      <c r="W1458" t="s">
        <v>1548</v>
      </c>
      <c r="AA1458">
        <v>2007</v>
      </c>
      <c r="AB1458">
        <v>9999</v>
      </c>
      <c r="AC1458" t="s">
        <v>35</v>
      </c>
    </row>
    <row r="1459" spans="1:29" x14ac:dyDescent="0.25">
      <c r="A1459" s="31" t="s">
        <v>493</v>
      </c>
      <c r="B1459" s="23" t="s">
        <v>494</v>
      </c>
      <c r="D1459">
        <v>1</v>
      </c>
      <c r="E1459" t="s">
        <v>348</v>
      </c>
      <c r="F1459">
        <v>1</v>
      </c>
      <c r="G1459">
        <v>2021</v>
      </c>
      <c r="I1459">
        <v>250.27</v>
      </c>
      <c r="J1459" t="s">
        <v>52</v>
      </c>
      <c r="K1459" t="s">
        <v>47</v>
      </c>
      <c r="O1459">
        <v>0</v>
      </c>
      <c r="P1459">
        <v>0</v>
      </c>
      <c r="Q1459">
        <v>0</v>
      </c>
      <c r="R1459">
        <v>0</v>
      </c>
      <c r="S1459">
        <v>1</v>
      </c>
      <c r="T1459">
        <v>1</v>
      </c>
      <c r="U1459">
        <v>1</v>
      </c>
      <c r="V1459">
        <v>0</v>
      </c>
      <c r="W1459" t="s">
        <v>1548</v>
      </c>
      <c r="AA1459">
        <v>2007</v>
      </c>
      <c r="AB1459">
        <v>9999</v>
      </c>
      <c r="AC1459" t="s">
        <v>35</v>
      </c>
    </row>
    <row r="1460" spans="1:29" x14ac:dyDescent="0.25">
      <c r="A1460" s="31" t="s">
        <v>495</v>
      </c>
      <c r="B1460" s="23" t="s">
        <v>496</v>
      </c>
      <c r="D1460">
        <v>1</v>
      </c>
      <c r="E1460" t="s">
        <v>348</v>
      </c>
      <c r="F1460">
        <v>1</v>
      </c>
      <c r="G1460">
        <v>2021</v>
      </c>
      <c r="I1460">
        <v>187.43</v>
      </c>
      <c r="J1460" t="s">
        <v>52</v>
      </c>
      <c r="K1460" t="s">
        <v>47</v>
      </c>
      <c r="O1460">
        <v>0</v>
      </c>
      <c r="P1460">
        <v>0</v>
      </c>
      <c r="Q1460">
        <v>0</v>
      </c>
      <c r="R1460">
        <v>0</v>
      </c>
      <c r="S1460">
        <v>1</v>
      </c>
      <c r="T1460">
        <v>1</v>
      </c>
      <c r="U1460">
        <v>1</v>
      </c>
      <c r="V1460">
        <v>0</v>
      </c>
      <c r="W1460" t="s">
        <v>1548</v>
      </c>
      <c r="AA1460">
        <v>2007</v>
      </c>
      <c r="AB1460">
        <v>9999</v>
      </c>
      <c r="AC1460" t="s">
        <v>35</v>
      </c>
    </row>
    <row r="1461" spans="1:29" x14ac:dyDescent="0.25">
      <c r="A1461" s="31" t="s">
        <v>497</v>
      </c>
      <c r="B1461" s="23" t="s">
        <v>498</v>
      </c>
      <c r="D1461">
        <v>1</v>
      </c>
      <c r="E1461" t="s">
        <v>348</v>
      </c>
      <c r="F1461">
        <v>1</v>
      </c>
      <c r="G1461">
        <v>2021</v>
      </c>
      <c r="I1461">
        <v>300.45999999999998</v>
      </c>
      <c r="J1461" t="s">
        <v>52</v>
      </c>
      <c r="K1461" t="s">
        <v>47</v>
      </c>
      <c r="O1461">
        <v>0</v>
      </c>
      <c r="P1461">
        <v>0</v>
      </c>
      <c r="Q1461">
        <v>0</v>
      </c>
      <c r="R1461">
        <v>0</v>
      </c>
      <c r="S1461">
        <v>1</v>
      </c>
      <c r="T1461">
        <v>1</v>
      </c>
      <c r="U1461">
        <v>1</v>
      </c>
      <c r="V1461">
        <v>0</v>
      </c>
      <c r="W1461" t="s">
        <v>1548</v>
      </c>
      <c r="AA1461">
        <v>2007</v>
      </c>
      <c r="AB1461">
        <v>9999</v>
      </c>
      <c r="AC1461" t="s">
        <v>35</v>
      </c>
    </row>
    <row r="1462" spans="1:29" x14ac:dyDescent="0.25">
      <c r="A1462" s="31" t="s">
        <v>499</v>
      </c>
      <c r="B1462" s="23" t="s">
        <v>500</v>
      </c>
      <c r="D1462">
        <v>1</v>
      </c>
      <c r="E1462" t="s">
        <v>348</v>
      </c>
      <c r="F1462">
        <v>1</v>
      </c>
      <c r="G1462">
        <v>2021</v>
      </c>
      <c r="I1462">
        <v>567.92999999999995</v>
      </c>
      <c r="J1462" t="s">
        <v>52</v>
      </c>
      <c r="K1462" t="s">
        <v>47</v>
      </c>
      <c r="O1462">
        <v>0</v>
      </c>
      <c r="P1462">
        <v>0</v>
      </c>
      <c r="Q1462">
        <v>0</v>
      </c>
      <c r="R1462">
        <v>0</v>
      </c>
      <c r="S1462">
        <v>1</v>
      </c>
      <c r="T1462">
        <v>1</v>
      </c>
      <c r="U1462">
        <v>1</v>
      </c>
      <c r="V1462">
        <v>0</v>
      </c>
      <c r="W1462" t="s">
        <v>1548</v>
      </c>
      <c r="AA1462">
        <v>2007</v>
      </c>
      <c r="AB1462">
        <v>9999</v>
      </c>
      <c r="AC1462" t="s">
        <v>35</v>
      </c>
    </row>
    <row r="1463" spans="1:29" x14ac:dyDescent="0.25">
      <c r="A1463" s="31" t="s">
        <v>501</v>
      </c>
      <c r="B1463" s="23" t="s">
        <v>502</v>
      </c>
      <c r="D1463">
        <v>1</v>
      </c>
      <c r="E1463" t="s">
        <v>348</v>
      </c>
      <c r="F1463">
        <v>1</v>
      </c>
      <c r="G1463">
        <v>2021</v>
      </c>
      <c r="I1463">
        <v>505.88</v>
      </c>
      <c r="J1463" t="s">
        <v>52</v>
      </c>
      <c r="K1463" t="s">
        <v>47</v>
      </c>
      <c r="O1463">
        <v>0</v>
      </c>
      <c r="P1463">
        <v>0</v>
      </c>
      <c r="Q1463">
        <v>0</v>
      </c>
      <c r="R1463">
        <v>0</v>
      </c>
      <c r="S1463">
        <v>1</v>
      </c>
      <c r="T1463">
        <v>1</v>
      </c>
      <c r="U1463">
        <v>1</v>
      </c>
      <c r="V1463">
        <v>0</v>
      </c>
      <c r="W1463" t="s">
        <v>1548</v>
      </c>
      <c r="AA1463">
        <v>2007</v>
      </c>
      <c r="AB1463">
        <v>9999</v>
      </c>
      <c r="AC1463" t="s">
        <v>35</v>
      </c>
    </row>
    <row r="1464" spans="1:29" x14ac:dyDescent="0.25">
      <c r="A1464" s="31" t="s">
        <v>503</v>
      </c>
      <c r="B1464" s="23" t="s">
        <v>504</v>
      </c>
      <c r="D1464">
        <v>1</v>
      </c>
      <c r="E1464" t="s">
        <v>348</v>
      </c>
      <c r="F1464">
        <v>1</v>
      </c>
      <c r="G1464">
        <v>2021</v>
      </c>
      <c r="I1464">
        <v>179.16</v>
      </c>
      <c r="J1464" t="s">
        <v>52</v>
      </c>
      <c r="K1464" t="s">
        <v>47</v>
      </c>
      <c r="O1464">
        <v>0</v>
      </c>
      <c r="P1464">
        <v>0</v>
      </c>
      <c r="Q1464">
        <v>0</v>
      </c>
      <c r="R1464">
        <v>0</v>
      </c>
      <c r="S1464">
        <v>1</v>
      </c>
      <c r="T1464">
        <v>1</v>
      </c>
      <c r="U1464">
        <v>1</v>
      </c>
      <c r="V1464">
        <v>0</v>
      </c>
      <c r="W1464" t="s">
        <v>1548</v>
      </c>
      <c r="AA1464">
        <v>2007</v>
      </c>
      <c r="AB1464">
        <v>9999</v>
      </c>
      <c r="AC1464" t="s">
        <v>35</v>
      </c>
    </row>
    <row r="1465" spans="1:29" x14ac:dyDescent="0.25">
      <c r="A1465" s="31" t="s">
        <v>505</v>
      </c>
      <c r="B1465" s="23" t="s">
        <v>506</v>
      </c>
      <c r="D1465">
        <v>1</v>
      </c>
      <c r="E1465" t="s">
        <v>348</v>
      </c>
      <c r="F1465">
        <v>1</v>
      </c>
      <c r="G1465">
        <v>2021</v>
      </c>
      <c r="I1465">
        <v>215.23</v>
      </c>
      <c r="J1465" t="s">
        <v>52</v>
      </c>
      <c r="K1465" t="s">
        <v>47</v>
      </c>
      <c r="O1465">
        <v>0</v>
      </c>
      <c r="P1465">
        <v>0</v>
      </c>
      <c r="Q1465">
        <v>0</v>
      </c>
      <c r="R1465">
        <v>0</v>
      </c>
      <c r="S1465">
        <v>1</v>
      </c>
      <c r="T1465">
        <v>1</v>
      </c>
      <c r="U1465">
        <v>1</v>
      </c>
      <c r="V1465">
        <v>0</v>
      </c>
      <c r="W1465" t="s">
        <v>1548</v>
      </c>
      <c r="AA1465">
        <v>2007</v>
      </c>
      <c r="AB1465">
        <v>9999</v>
      </c>
      <c r="AC1465" t="s">
        <v>35</v>
      </c>
    </row>
    <row r="1466" spans="1:29" x14ac:dyDescent="0.25">
      <c r="A1466" s="31" t="s">
        <v>507</v>
      </c>
      <c r="B1466" s="23" t="s">
        <v>508</v>
      </c>
      <c r="D1466">
        <v>1</v>
      </c>
      <c r="E1466" t="s">
        <v>348</v>
      </c>
      <c r="F1466">
        <v>1</v>
      </c>
      <c r="G1466">
        <v>2021</v>
      </c>
      <c r="I1466">
        <v>211.57</v>
      </c>
      <c r="J1466" t="s">
        <v>52</v>
      </c>
      <c r="K1466" t="s">
        <v>47</v>
      </c>
      <c r="O1466">
        <v>0</v>
      </c>
      <c r="P1466">
        <v>0</v>
      </c>
      <c r="Q1466">
        <v>0</v>
      </c>
      <c r="R1466">
        <v>0</v>
      </c>
      <c r="S1466">
        <v>1</v>
      </c>
      <c r="T1466">
        <v>1</v>
      </c>
      <c r="U1466">
        <v>1</v>
      </c>
      <c r="V1466">
        <v>0</v>
      </c>
      <c r="W1466" t="s">
        <v>1548</v>
      </c>
      <c r="AA1466">
        <v>2007</v>
      </c>
      <c r="AB1466">
        <v>9999</v>
      </c>
      <c r="AC1466" t="s">
        <v>35</v>
      </c>
    </row>
    <row r="1467" spans="1:29" x14ac:dyDescent="0.25">
      <c r="A1467" s="31" t="s">
        <v>509</v>
      </c>
      <c r="B1467" s="23" t="s">
        <v>510</v>
      </c>
      <c r="D1467">
        <v>1</v>
      </c>
      <c r="E1467" t="s">
        <v>348</v>
      </c>
      <c r="F1467">
        <v>1</v>
      </c>
      <c r="G1467">
        <v>2021</v>
      </c>
      <c r="I1467">
        <v>269.51</v>
      </c>
      <c r="J1467" t="s">
        <v>52</v>
      </c>
      <c r="K1467" t="s">
        <v>47</v>
      </c>
      <c r="O1467">
        <v>0</v>
      </c>
      <c r="P1467">
        <v>0</v>
      </c>
      <c r="Q1467">
        <v>0</v>
      </c>
      <c r="R1467">
        <v>0</v>
      </c>
      <c r="S1467">
        <v>1</v>
      </c>
      <c r="T1467">
        <v>1</v>
      </c>
      <c r="U1467">
        <v>1</v>
      </c>
      <c r="V1467">
        <v>0</v>
      </c>
      <c r="W1467" t="s">
        <v>1548</v>
      </c>
      <c r="AA1467">
        <v>2007</v>
      </c>
      <c r="AB1467">
        <v>9999</v>
      </c>
      <c r="AC1467" t="s">
        <v>35</v>
      </c>
    </row>
    <row r="1468" spans="1:29" x14ac:dyDescent="0.25">
      <c r="A1468" s="31" t="s">
        <v>511</v>
      </c>
      <c r="B1468" s="23" t="s">
        <v>512</v>
      </c>
      <c r="D1468">
        <v>1</v>
      </c>
      <c r="E1468" t="s">
        <v>348</v>
      </c>
      <c r="F1468">
        <v>1</v>
      </c>
      <c r="G1468">
        <v>2021</v>
      </c>
      <c r="I1468">
        <v>230.78</v>
      </c>
      <c r="J1468" t="s">
        <v>52</v>
      </c>
      <c r="K1468" t="s">
        <v>47</v>
      </c>
      <c r="O1468">
        <v>0</v>
      </c>
      <c r="P1468">
        <v>0</v>
      </c>
      <c r="Q1468">
        <v>0</v>
      </c>
      <c r="R1468">
        <v>0</v>
      </c>
      <c r="S1468">
        <v>1</v>
      </c>
      <c r="T1468">
        <v>1</v>
      </c>
      <c r="U1468">
        <v>1</v>
      </c>
      <c r="V1468">
        <v>0</v>
      </c>
      <c r="W1468" t="s">
        <v>1548</v>
      </c>
      <c r="AA1468">
        <v>2007</v>
      </c>
      <c r="AB1468">
        <v>9999</v>
      </c>
      <c r="AC1468" t="s">
        <v>35</v>
      </c>
    </row>
    <row r="1469" spans="1:29" x14ac:dyDescent="0.25">
      <c r="A1469" s="31" t="s">
        <v>513</v>
      </c>
      <c r="B1469" s="23" t="s">
        <v>514</v>
      </c>
      <c r="D1469">
        <v>1</v>
      </c>
      <c r="E1469" t="s">
        <v>348</v>
      </c>
      <c r="F1469">
        <v>1</v>
      </c>
      <c r="G1469">
        <v>2021</v>
      </c>
      <c r="I1469">
        <v>179.86</v>
      </c>
      <c r="J1469" t="s">
        <v>52</v>
      </c>
      <c r="K1469" t="s">
        <v>47</v>
      </c>
      <c r="O1469">
        <v>0</v>
      </c>
      <c r="P1469">
        <v>0</v>
      </c>
      <c r="Q1469">
        <v>0</v>
      </c>
      <c r="R1469">
        <v>0</v>
      </c>
      <c r="S1469">
        <v>1</v>
      </c>
      <c r="T1469">
        <v>1</v>
      </c>
      <c r="U1469">
        <v>1</v>
      </c>
      <c r="V1469">
        <v>0</v>
      </c>
      <c r="W1469" t="s">
        <v>1548</v>
      </c>
      <c r="AA1469">
        <v>2007</v>
      </c>
      <c r="AB1469">
        <v>9999</v>
      </c>
      <c r="AC1469" t="s">
        <v>35</v>
      </c>
    </row>
    <row r="1470" spans="1:29" x14ac:dyDescent="0.25">
      <c r="A1470" s="31" t="s">
        <v>515</v>
      </c>
      <c r="B1470" s="23" t="s">
        <v>516</v>
      </c>
      <c r="D1470">
        <v>1</v>
      </c>
      <c r="E1470" t="s">
        <v>348</v>
      </c>
      <c r="F1470">
        <v>1</v>
      </c>
      <c r="G1470">
        <v>2021</v>
      </c>
      <c r="I1470">
        <v>898.64</v>
      </c>
      <c r="J1470" t="s">
        <v>52</v>
      </c>
      <c r="K1470" t="s">
        <v>47</v>
      </c>
      <c r="O1470">
        <v>0</v>
      </c>
      <c r="P1470">
        <v>0</v>
      </c>
      <c r="Q1470">
        <v>0</v>
      </c>
      <c r="R1470">
        <v>0</v>
      </c>
      <c r="S1470">
        <v>1</v>
      </c>
      <c r="T1470">
        <v>1</v>
      </c>
      <c r="U1470">
        <v>1</v>
      </c>
      <c r="V1470">
        <v>0</v>
      </c>
      <c r="W1470" t="s">
        <v>1548</v>
      </c>
      <c r="AA1470">
        <v>2007</v>
      </c>
      <c r="AB1470">
        <v>9999</v>
      </c>
      <c r="AC1470" t="s">
        <v>35</v>
      </c>
    </row>
    <row r="1471" spans="1:29" x14ac:dyDescent="0.25">
      <c r="A1471" s="31" t="s">
        <v>517</v>
      </c>
      <c r="B1471" s="23" t="s">
        <v>518</v>
      </c>
      <c r="D1471">
        <v>1</v>
      </c>
      <c r="E1471" t="s">
        <v>348</v>
      </c>
      <c r="F1471">
        <v>1</v>
      </c>
      <c r="G1471">
        <v>2021</v>
      </c>
      <c r="I1471">
        <v>196.46</v>
      </c>
      <c r="J1471" t="s">
        <v>52</v>
      </c>
      <c r="K1471" t="s">
        <v>47</v>
      </c>
      <c r="O1471">
        <v>0</v>
      </c>
      <c r="P1471">
        <v>0</v>
      </c>
      <c r="Q1471">
        <v>0</v>
      </c>
      <c r="R1471">
        <v>0</v>
      </c>
      <c r="S1471">
        <v>1</v>
      </c>
      <c r="T1471">
        <v>1</v>
      </c>
      <c r="U1471">
        <v>1</v>
      </c>
      <c r="V1471">
        <v>0</v>
      </c>
      <c r="W1471" t="s">
        <v>1548</v>
      </c>
      <c r="AA1471">
        <v>2007</v>
      </c>
      <c r="AB1471">
        <v>9999</v>
      </c>
      <c r="AC1471" t="s">
        <v>35</v>
      </c>
    </row>
    <row r="1472" spans="1:29" x14ac:dyDescent="0.25">
      <c r="A1472" s="31" t="s">
        <v>519</v>
      </c>
      <c r="B1472" s="23" t="s">
        <v>520</v>
      </c>
      <c r="D1472">
        <v>1</v>
      </c>
      <c r="E1472" t="s">
        <v>348</v>
      </c>
      <c r="F1472">
        <v>1</v>
      </c>
      <c r="G1472">
        <v>2021</v>
      </c>
      <c r="I1472">
        <v>305.19</v>
      </c>
      <c r="J1472" t="s">
        <v>52</v>
      </c>
      <c r="K1472" t="s">
        <v>47</v>
      </c>
      <c r="O1472">
        <v>0</v>
      </c>
      <c r="P1472">
        <v>0</v>
      </c>
      <c r="Q1472">
        <v>0</v>
      </c>
      <c r="R1472">
        <v>0</v>
      </c>
      <c r="S1472">
        <v>1</v>
      </c>
      <c r="T1472">
        <v>1</v>
      </c>
      <c r="U1472">
        <v>1</v>
      </c>
      <c r="V1472">
        <v>0</v>
      </c>
      <c r="W1472" t="s">
        <v>1548</v>
      </c>
      <c r="AA1472">
        <v>2007</v>
      </c>
      <c r="AB1472">
        <v>9999</v>
      </c>
      <c r="AC1472" t="s">
        <v>35</v>
      </c>
    </row>
    <row r="1473" spans="1:29" x14ac:dyDescent="0.25">
      <c r="A1473" s="31" t="s">
        <v>523</v>
      </c>
      <c r="B1473" s="23" t="s">
        <v>1549</v>
      </c>
      <c r="D1473">
        <v>1</v>
      </c>
      <c r="E1473" t="s">
        <v>103</v>
      </c>
      <c r="F1473">
        <v>9</v>
      </c>
      <c r="G1473">
        <v>2021</v>
      </c>
      <c r="I1473">
        <v>1604.65</v>
      </c>
      <c r="J1473" t="s">
        <v>104</v>
      </c>
      <c r="K1473" t="s">
        <v>53</v>
      </c>
      <c r="L1473" t="s">
        <v>105</v>
      </c>
      <c r="O1473">
        <v>0</v>
      </c>
      <c r="P1473">
        <v>1</v>
      </c>
      <c r="Q1473">
        <v>0</v>
      </c>
      <c r="R1473">
        <v>0</v>
      </c>
      <c r="S1473">
        <v>1</v>
      </c>
      <c r="T1473">
        <v>1</v>
      </c>
      <c r="U1473">
        <v>1</v>
      </c>
      <c r="V1473">
        <v>0</v>
      </c>
      <c r="W1473" t="s">
        <v>106</v>
      </c>
      <c r="AA1473">
        <v>2007</v>
      </c>
      <c r="AB1473">
        <v>9999</v>
      </c>
      <c r="AC1473" t="s">
        <v>35</v>
      </c>
    </row>
    <row r="1474" spans="1:29" x14ac:dyDescent="0.25">
      <c r="A1474" s="31" t="s">
        <v>529</v>
      </c>
      <c r="B1474" s="23" t="s">
        <v>530</v>
      </c>
      <c r="D1474">
        <v>1</v>
      </c>
      <c r="E1474" t="s">
        <v>58</v>
      </c>
      <c r="F1474">
        <v>4</v>
      </c>
      <c r="G1474">
        <v>2021</v>
      </c>
      <c r="I1474">
        <v>12.12</v>
      </c>
      <c r="J1474" t="s">
        <v>59</v>
      </c>
      <c r="K1474" t="s">
        <v>47</v>
      </c>
      <c r="O1474">
        <v>0</v>
      </c>
      <c r="P1474">
        <v>0</v>
      </c>
      <c r="Q1474">
        <v>0</v>
      </c>
      <c r="R1474">
        <v>0</v>
      </c>
      <c r="S1474">
        <v>1</v>
      </c>
      <c r="T1474">
        <v>1</v>
      </c>
      <c r="U1474">
        <v>1</v>
      </c>
      <c r="V1474">
        <v>0</v>
      </c>
      <c r="W1474" t="s">
        <v>1121</v>
      </c>
      <c r="AA1474">
        <v>2007</v>
      </c>
      <c r="AB1474">
        <v>9999</v>
      </c>
      <c r="AC1474" t="s">
        <v>35</v>
      </c>
    </row>
    <row r="1475" spans="1:29" x14ac:dyDescent="0.25">
      <c r="A1475" s="31" t="s">
        <v>532</v>
      </c>
      <c r="B1475" s="23" t="s">
        <v>533</v>
      </c>
      <c r="D1475">
        <v>1</v>
      </c>
      <c r="E1475" t="s">
        <v>534</v>
      </c>
      <c r="F1475">
        <v>10</v>
      </c>
      <c r="G1475">
        <v>2021</v>
      </c>
      <c r="I1475" s="8">
        <v>4539.41</v>
      </c>
      <c r="J1475" t="s">
        <v>121</v>
      </c>
      <c r="K1475" t="s">
        <v>47</v>
      </c>
      <c r="O1475">
        <v>0</v>
      </c>
      <c r="P1475">
        <v>0</v>
      </c>
      <c r="Q1475">
        <v>0</v>
      </c>
      <c r="R1475">
        <v>0</v>
      </c>
      <c r="S1475">
        <v>1</v>
      </c>
      <c r="T1475">
        <v>1</v>
      </c>
      <c r="U1475">
        <v>1</v>
      </c>
      <c r="V1475">
        <v>0</v>
      </c>
      <c r="W1475" t="s">
        <v>1575</v>
      </c>
      <c r="AA1475">
        <v>2007</v>
      </c>
      <c r="AB1475">
        <v>9999</v>
      </c>
      <c r="AC1475" t="s">
        <v>35</v>
      </c>
    </row>
    <row r="1476" spans="1:29" x14ac:dyDescent="0.25">
      <c r="A1476" s="31" t="s">
        <v>536</v>
      </c>
      <c r="B1476" s="23" t="s">
        <v>537</v>
      </c>
      <c r="D1476">
        <v>1</v>
      </c>
      <c r="E1476" t="s">
        <v>103</v>
      </c>
      <c r="F1476">
        <v>9</v>
      </c>
      <c r="G1476">
        <v>2021</v>
      </c>
      <c r="I1476">
        <v>928.1</v>
      </c>
      <c r="J1476" t="s">
        <v>104</v>
      </c>
      <c r="K1476" t="s">
        <v>53</v>
      </c>
      <c r="L1476" t="s">
        <v>105</v>
      </c>
      <c r="O1476">
        <v>0</v>
      </c>
      <c r="P1476">
        <v>1</v>
      </c>
      <c r="Q1476">
        <v>0</v>
      </c>
      <c r="R1476">
        <v>0</v>
      </c>
      <c r="S1476">
        <v>1</v>
      </c>
      <c r="T1476">
        <v>1</v>
      </c>
      <c r="U1476">
        <v>1</v>
      </c>
      <c r="V1476">
        <v>0</v>
      </c>
      <c r="W1476" t="s">
        <v>106</v>
      </c>
      <c r="AA1476">
        <v>2007</v>
      </c>
      <c r="AB1476">
        <v>9999</v>
      </c>
      <c r="AC1476" t="s">
        <v>35</v>
      </c>
    </row>
    <row r="1477" spans="1:29" x14ac:dyDescent="0.25">
      <c r="A1477" s="31" t="s">
        <v>538</v>
      </c>
      <c r="B1477" s="23" t="s">
        <v>539</v>
      </c>
      <c r="D1477">
        <v>1</v>
      </c>
      <c r="E1477" t="s">
        <v>80</v>
      </c>
      <c r="F1477">
        <v>8</v>
      </c>
      <c r="G1477">
        <v>2021</v>
      </c>
      <c r="I1477">
        <v>113.08</v>
      </c>
      <c r="J1477" t="s">
        <v>81</v>
      </c>
      <c r="K1477" t="s">
        <v>47</v>
      </c>
      <c r="O1477">
        <v>0</v>
      </c>
      <c r="P1477">
        <v>0</v>
      </c>
      <c r="Q1477">
        <v>0</v>
      </c>
      <c r="R1477">
        <v>0</v>
      </c>
      <c r="S1477">
        <v>1</v>
      </c>
      <c r="T1477">
        <v>1</v>
      </c>
      <c r="U1477">
        <v>1</v>
      </c>
      <c r="V1477">
        <v>0</v>
      </c>
      <c r="W1477" t="s">
        <v>1123</v>
      </c>
      <c r="AA1477">
        <v>2007</v>
      </c>
      <c r="AB1477">
        <v>9999</v>
      </c>
      <c r="AC1477" t="s">
        <v>35</v>
      </c>
    </row>
    <row r="1478" spans="1:29" x14ac:dyDescent="0.25">
      <c r="A1478" s="31" t="s">
        <v>1561</v>
      </c>
      <c r="B1478" s="23" t="s">
        <v>1562</v>
      </c>
      <c r="C1478" t="s">
        <v>1563</v>
      </c>
      <c r="D1478">
        <v>1</v>
      </c>
      <c r="F1478">
        <v>4</v>
      </c>
      <c r="G1478">
        <v>2021</v>
      </c>
      <c r="I1478">
        <v>16.260000000000002</v>
      </c>
      <c r="J1478" t="s">
        <v>59</v>
      </c>
      <c r="K1478" t="s">
        <v>47</v>
      </c>
      <c r="O1478">
        <v>0</v>
      </c>
      <c r="P1478">
        <v>0</v>
      </c>
      <c r="Q1478">
        <v>0</v>
      </c>
      <c r="R1478">
        <v>0</v>
      </c>
      <c r="S1478">
        <v>1</v>
      </c>
      <c r="T1478">
        <v>1</v>
      </c>
      <c r="U1478">
        <v>1</v>
      </c>
      <c r="V1478">
        <v>0</v>
      </c>
      <c r="W1478" t="s">
        <v>1564</v>
      </c>
      <c r="AA1478">
        <v>2019</v>
      </c>
      <c r="AB1478">
        <v>9999</v>
      </c>
      <c r="AC1478" t="s">
        <v>1560</v>
      </c>
    </row>
    <row r="1479" spans="1:29" x14ac:dyDescent="0.25">
      <c r="A1479" s="31" t="s">
        <v>541</v>
      </c>
      <c r="B1479" s="23" t="s">
        <v>1479</v>
      </c>
      <c r="D1479">
        <v>1</v>
      </c>
      <c r="E1479" t="s">
        <v>543</v>
      </c>
      <c r="F1479">
        <v>10</v>
      </c>
      <c r="G1479">
        <v>2021</v>
      </c>
      <c r="I1479">
        <v>41.4</v>
      </c>
      <c r="J1479" t="s">
        <v>40</v>
      </c>
      <c r="K1479" t="s">
        <v>47</v>
      </c>
      <c r="O1479">
        <v>0</v>
      </c>
      <c r="P1479">
        <v>0</v>
      </c>
      <c r="Q1479">
        <v>0</v>
      </c>
      <c r="R1479">
        <v>0</v>
      </c>
      <c r="S1479">
        <v>1</v>
      </c>
      <c r="T1479">
        <v>1</v>
      </c>
      <c r="U1479">
        <v>1</v>
      </c>
      <c r="V1479">
        <v>0</v>
      </c>
      <c r="W1479" t="s">
        <v>1480</v>
      </c>
      <c r="AA1479">
        <v>2007</v>
      </c>
      <c r="AB1479">
        <v>9999</v>
      </c>
      <c r="AC1479" t="s">
        <v>35</v>
      </c>
    </row>
    <row r="1480" spans="1:29" x14ac:dyDescent="0.25">
      <c r="A1480" s="31" t="s">
        <v>1565</v>
      </c>
      <c r="B1480" s="23" t="s">
        <v>1566</v>
      </c>
      <c r="C1480" t="s">
        <v>1567</v>
      </c>
      <c r="D1480">
        <v>1</v>
      </c>
      <c r="F1480">
        <v>1</v>
      </c>
      <c r="G1480">
        <v>2021</v>
      </c>
      <c r="I1480">
        <v>76.7</v>
      </c>
      <c r="J1480" t="s">
        <v>1556</v>
      </c>
      <c r="K1480" t="s">
        <v>47</v>
      </c>
      <c r="O1480">
        <v>0</v>
      </c>
      <c r="P1480">
        <v>0</v>
      </c>
      <c r="Q1480">
        <v>0</v>
      </c>
      <c r="R1480">
        <v>0</v>
      </c>
      <c r="S1480">
        <v>1</v>
      </c>
      <c r="T1480">
        <v>1</v>
      </c>
      <c r="U1480">
        <v>1</v>
      </c>
      <c r="V1480">
        <v>0</v>
      </c>
      <c r="W1480" t="s">
        <v>1568</v>
      </c>
      <c r="AA1480">
        <v>2019</v>
      </c>
      <c r="AB1480">
        <v>9999</v>
      </c>
      <c r="AC1480" t="s">
        <v>1560</v>
      </c>
    </row>
    <row r="1481" spans="1:29" x14ac:dyDescent="0.25">
      <c r="A1481" s="31" t="s">
        <v>545</v>
      </c>
      <c r="B1481" s="23" t="s">
        <v>1481</v>
      </c>
      <c r="C1481" t="s">
        <v>1482</v>
      </c>
      <c r="D1481">
        <v>1</v>
      </c>
      <c r="E1481" t="s">
        <v>1361</v>
      </c>
      <c r="F1481">
        <v>10</v>
      </c>
      <c r="G1481">
        <v>2021</v>
      </c>
      <c r="I1481">
        <v>24.9</v>
      </c>
      <c r="J1481" t="s">
        <v>40</v>
      </c>
      <c r="K1481" t="s">
        <v>47</v>
      </c>
      <c r="O1481">
        <v>0</v>
      </c>
      <c r="P1481">
        <v>0</v>
      </c>
      <c r="Q1481">
        <v>0</v>
      </c>
      <c r="R1481">
        <v>0</v>
      </c>
      <c r="S1481">
        <v>1</v>
      </c>
      <c r="T1481">
        <v>1</v>
      </c>
      <c r="U1481">
        <v>1</v>
      </c>
      <c r="V1481">
        <v>0</v>
      </c>
      <c r="W1481" t="s">
        <v>1550</v>
      </c>
      <c r="AA1481">
        <v>2007</v>
      </c>
      <c r="AB1481">
        <v>9999</v>
      </c>
      <c r="AC1481" t="s">
        <v>35</v>
      </c>
    </row>
    <row r="1482" spans="1:29" x14ac:dyDescent="0.25">
      <c r="A1482" s="31" t="s">
        <v>1400</v>
      </c>
      <c r="B1482" s="25" t="s">
        <v>1401</v>
      </c>
      <c r="D1482">
        <v>1</v>
      </c>
      <c r="E1482" t="s">
        <v>80</v>
      </c>
      <c r="F1482">
        <v>8</v>
      </c>
      <c r="G1482">
        <v>2021</v>
      </c>
      <c r="I1482" s="8">
        <v>12.73</v>
      </c>
      <c r="J1482" t="s">
        <v>81</v>
      </c>
      <c r="K1482" t="s">
        <v>47</v>
      </c>
      <c r="O1482">
        <v>0</v>
      </c>
      <c r="P1482">
        <v>0</v>
      </c>
      <c r="Q1482">
        <v>0</v>
      </c>
      <c r="R1482">
        <v>0</v>
      </c>
      <c r="S1482">
        <v>1</v>
      </c>
      <c r="T1482">
        <v>1</v>
      </c>
      <c r="U1482">
        <v>1</v>
      </c>
      <c r="V1482">
        <v>0</v>
      </c>
      <c r="W1482" t="s">
        <v>1402</v>
      </c>
      <c r="AA1482">
        <v>2012</v>
      </c>
      <c r="AB1482">
        <v>9999</v>
      </c>
      <c r="AC1482" t="s">
        <v>1398</v>
      </c>
    </row>
    <row r="1483" spans="1:29" x14ac:dyDescent="0.25">
      <c r="A1483" s="31" t="s">
        <v>1362</v>
      </c>
      <c r="B1483" s="23" t="s">
        <v>1483</v>
      </c>
      <c r="D1483">
        <v>1</v>
      </c>
      <c r="E1483" t="s">
        <v>631</v>
      </c>
      <c r="F1483">
        <v>8</v>
      </c>
      <c r="G1483">
        <v>2021</v>
      </c>
      <c r="I1483">
        <v>37.08</v>
      </c>
      <c r="J1483" t="s">
        <v>81</v>
      </c>
      <c r="K1483" t="s">
        <v>47</v>
      </c>
      <c r="O1483">
        <v>0</v>
      </c>
      <c r="P1483">
        <v>0</v>
      </c>
      <c r="Q1483">
        <v>0</v>
      </c>
      <c r="R1483">
        <v>0</v>
      </c>
      <c r="S1483">
        <v>1</v>
      </c>
      <c r="T1483">
        <v>1</v>
      </c>
      <c r="U1483">
        <v>1</v>
      </c>
      <c r="V1483">
        <v>0</v>
      </c>
      <c r="W1483" t="s">
        <v>1584</v>
      </c>
      <c r="AA1483">
        <v>2011</v>
      </c>
      <c r="AB1483">
        <v>9999</v>
      </c>
      <c r="AC1483" t="s">
        <v>1365</v>
      </c>
    </row>
    <row r="1484" spans="1:29" x14ac:dyDescent="0.25">
      <c r="A1484" s="31" t="s">
        <v>1248</v>
      </c>
      <c r="B1484" s="23" t="s">
        <v>1249</v>
      </c>
      <c r="C1484" t="s">
        <v>1250</v>
      </c>
      <c r="D1484">
        <v>1</v>
      </c>
      <c r="E1484" t="s">
        <v>1251</v>
      </c>
      <c r="F1484">
        <v>2</v>
      </c>
      <c r="G1484">
        <v>2021</v>
      </c>
      <c r="I1484" s="8">
        <v>1224.4100000000001</v>
      </c>
      <c r="J1484" t="s">
        <v>121</v>
      </c>
      <c r="K1484" t="s">
        <v>47</v>
      </c>
      <c r="O1484">
        <v>0</v>
      </c>
      <c r="P1484">
        <v>0</v>
      </c>
      <c r="Q1484">
        <v>0</v>
      </c>
      <c r="R1484">
        <v>0</v>
      </c>
      <c r="S1484">
        <v>1</v>
      </c>
      <c r="T1484">
        <v>1</v>
      </c>
      <c r="U1484">
        <v>1</v>
      </c>
      <c r="V1484">
        <v>0</v>
      </c>
      <c r="W1484" t="s">
        <v>1252</v>
      </c>
      <c r="AA1484">
        <v>2009</v>
      </c>
      <c r="AB1484">
        <v>9999</v>
      </c>
      <c r="AC1484" t="s">
        <v>1239</v>
      </c>
    </row>
    <row r="1485" spans="1:29" x14ac:dyDescent="0.25">
      <c r="A1485" s="31" t="s">
        <v>590</v>
      </c>
      <c r="B1485" s="23" t="s">
        <v>1551</v>
      </c>
      <c r="C1485" t="s">
        <v>1552</v>
      </c>
      <c r="D1485">
        <v>1</v>
      </c>
      <c r="E1485" t="s">
        <v>592</v>
      </c>
      <c r="F1485">
        <v>8</v>
      </c>
      <c r="G1485">
        <v>2021</v>
      </c>
      <c r="I1485">
        <v>11.19</v>
      </c>
      <c r="J1485" t="s">
        <v>81</v>
      </c>
      <c r="K1485" t="s">
        <v>47</v>
      </c>
      <c r="O1485">
        <v>0</v>
      </c>
      <c r="P1485">
        <v>0</v>
      </c>
      <c r="Q1485">
        <v>0</v>
      </c>
      <c r="R1485">
        <v>0</v>
      </c>
      <c r="S1485">
        <v>1</v>
      </c>
      <c r="T1485">
        <v>1</v>
      </c>
      <c r="U1485">
        <v>1</v>
      </c>
      <c r="V1485">
        <v>0</v>
      </c>
      <c r="W1485" t="s">
        <v>1553</v>
      </c>
      <c r="AA1485">
        <v>2007</v>
      </c>
      <c r="AB1485">
        <v>9999</v>
      </c>
      <c r="AC1485" t="s">
        <v>35</v>
      </c>
    </row>
    <row r="1486" spans="1:29" x14ac:dyDescent="0.25">
      <c r="A1486" s="31" t="s">
        <v>939</v>
      </c>
      <c r="B1486" s="23" t="s">
        <v>1463</v>
      </c>
      <c r="D1486">
        <v>1</v>
      </c>
      <c r="E1486" t="s">
        <v>80</v>
      </c>
      <c r="F1486">
        <v>8</v>
      </c>
      <c r="G1486">
        <v>2021</v>
      </c>
      <c r="I1486">
        <v>74.75</v>
      </c>
      <c r="J1486" t="s">
        <v>81</v>
      </c>
      <c r="K1486" t="s">
        <v>47</v>
      </c>
      <c r="O1486">
        <v>0</v>
      </c>
      <c r="P1486">
        <v>0</v>
      </c>
      <c r="Q1486">
        <v>0</v>
      </c>
      <c r="R1486">
        <v>0</v>
      </c>
      <c r="S1486">
        <v>1</v>
      </c>
      <c r="T1486">
        <v>1</v>
      </c>
      <c r="U1486">
        <v>1</v>
      </c>
      <c r="V1486">
        <v>0</v>
      </c>
      <c r="W1486" t="s">
        <v>1464</v>
      </c>
      <c r="AA1486">
        <v>2007</v>
      </c>
      <c r="AB1486">
        <v>9999</v>
      </c>
      <c r="AC1486" t="s">
        <v>35</v>
      </c>
    </row>
    <row r="1487" spans="1:29" ht="30" x14ac:dyDescent="0.25">
      <c r="A1487" s="31" t="s">
        <v>1305</v>
      </c>
      <c r="B1487" s="23" t="s">
        <v>1306</v>
      </c>
      <c r="C1487" t="s">
        <v>1307</v>
      </c>
      <c r="D1487">
        <v>1</v>
      </c>
      <c r="E1487" t="s">
        <v>45</v>
      </c>
      <c r="F1487">
        <v>4</v>
      </c>
      <c r="G1487">
        <v>2021</v>
      </c>
      <c r="I1487" s="8">
        <v>38.799999999999997</v>
      </c>
      <c r="J1487" t="s">
        <v>89</v>
      </c>
      <c r="K1487" t="s">
        <v>47</v>
      </c>
      <c r="O1487">
        <v>0</v>
      </c>
      <c r="P1487">
        <v>0</v>
      </c>
      <c r="Q1487">
        <v>0</v>
      </c>
      <c r="R1487">
        <v>0</v>
      </c>
      <c r="S1487">
        <v>1</v>
      </c>
      <c r="T1487">
        <v>1</v>
      </c>
      <c r="U1487">
        <v>1</v>
      </c>
      <c r="V1487">
        <v>0</v>
      </c>
      <c r="W1487" t="s">
        <v>1526</v>
      </c>
      <c r="AA1487">
        <v>2010</v>
      </c>
      <c r="AB1487">
        <v>9999</v>
      </c>
      <c r="AC1487" t="s">
        <v>1292</v>
      </c>
    </row>
    <row r="1488" spans="1:29" x14ac:dyDescent="0.25">
      <c r="A1488" s="31" t="s">
        <v>964</v>
      </c>
      <c r="B1488" s="23" t="s">
        <v>1484</v>
      </c>
      <c r="C1488" t="s">
        <v>1485</v>
      </c>
      <c r="D1488">
        <v>1</v>
      </c>
      <c r="E1488" t="s">
        <v>80</v>
      </c>
      <c r="F1488">
        <v>8</v>
      </c>
      <c r="G1488">
        <v>2021</v>
      </c>
      <c r="I1488">
        <v>84.9</v>
      </c>
      <c r="J1488" t="s">
        <v>81</v>
      </c>
      <c r="K1488" t="s">
        <v>47</v>
      </c>
      <c r="O1488">
        <v>0</v>
      </c>
      <c r="P1488">
        <v>0</v>
      </c>
      <c r="Q1488">
        <v>0</v>
      </c>
      <c r="R1488">
        <v>0</v>
      </c>
      <c r="S1488">
        <v>1</v>
      </c>
      <c r="T1488">
        <v>1</v>
      </c>
      <c r="U1488">
        <v>1</v>
      </c>
      <c r="V1488">
        <v>0</v>
      </c>
      <c r="W1488" t="s">
        <v>1569</v>
      </c>
      <c r="AA1488">
        <v>2007</v>
      </c>
      <c r="AB1488">
        <v>9999</v>
      </c>
      <c r="AC1488" t="s">
        <v>35</v>
      </c>
    </row>
    <row r="1489" spans="1:29" x14ac:dyDescent="0.25">
      <c r="A1489" s="31" t="s">
        <v>1366</v>
      </c>
      <c r="B1489" s="23" t="s">
        <v>1487</v>
      </c>
      <c r="C1489" t="s">
        <v>1368</v>
      </c>
      <c r="D1489">
        <v>1</v>
      </c>
      <c r="E1489" t="s">
        <v>468</v>
      </c>
      <c r="F1489">
        <v>7</v>
      </c>
      <c r="G1489">
        <v>2021</v>
      </c>
      <c r="I1489">
        <v>41.83</v>
      </c>
      <c r="J1489" t="s">
        <v>40</v>
      </c>
      <c r="K1489" t="s">
        <v>32</v>
      </c>
      <c r="O1489">
        <v>0</v>
      </c>
      <c r="P1489">
        <v>0</v>
      </c>
      <c r="Q1489">
        <v>0</v>
      </c>
      <c r="R1489">
        <v>0</v>
      </c>
      <c r="S1489">
        <v>1</v>
      </c>
      <c r="T1489">
        <v>1</v>
      </c>
      <c r="U1489">
        <v>1</v>
      </c>
      <c r="V1489">
        <v>0</v>
      </c>
      <c r="W1489" t="s">
        <v>1369</v>
      </c>
      <c r="AA1489">
        <v>2011</v>
      </c>
      <c r="AB1489">
        <v>9999</v>
      </c>
      <c r="AC1489" t="s">
        <v>1365</v>
      </c>
    </row>
    <row r="1490" spans="1:29" x14ac:dyDescent="0.25">
      <c r="A1490" s="31" t="s">
        <v>1309</v>
      </c>
      <c r="B1490" s="23" t="s">
        <v>1310</v>
      </c>
      <c r="C1490" t="s">
        <v>1311</v>
      </c>
      <c r="D1490">
        <v>1</v>
      </c>
      <c r="E1490" t="s">
        <v>1312</v>
      </c>
      <c r="F1490">
        <v>9</v>
      </c>
      <c r="G1490">
        <v>2021</v>
      </c>
      <c r="I1490">
        <v>121.96</v>
      </c>
      <c r="J1490" t="s">
        <v>104</v>
      </c>
      <c r="K1490" t="s">
        <v>47</v>
      </c>
      <c r="O1490">
        <v>0</v>
      </c>
      <c r="P1490">
        <v>0</v>
      </c>
      <c r="Q1490">
        <v>0</v>
      </c>
      <c r="R1490">
        <v>0</v>
      </c>
      <c r="S1490">
        <v>1</v>
      </c>
      <c r="T1490">
        <v>1</v>
      </c>
      <c r="U1490">
        <v>1</v>
      </c>
      <c r="V1490">
        <v>0</v>
      </c>
      <c r="W1490" t="s">
        <v>1404</v>
      </c>
      <c r="AA1490">
        <v>2010</v>
      </c>
      <c r="AB1490">
        <v>9999</v>
      </c>
      <c r="AC1490" t="s">
        <v>1292</v>
      </c>
    </row>
    <row r="1491" spans="1:29" x14ac:dyDescent="0.25">
      <c r="A1491" s="31" t="s">
        <v>559</v>
      </c>
      <c r="B1491" s="23" t="s">
        <v>560</v>
      </c>
      <c r="C1491" t="s">
        <v>561</v>
      </c>
      <c r="D1491">
        <v>1</v>
      </c>
      <c r="E1491" t="s">
        <v>103</v>
      </c>
      <c r="F1491">
        <v>9</v>
      </c>
      <c r="G1491">
        <v>2021</v>
      </c>
      <c r="I1491">
        <v>921.19</v>
      </c>
      <c r="J1491" t="s">
        <v>104</v>
      </c>
      <c r="K1491" t="s">
        <v>53</v>
      </c>
      <c r="L1491" t="s">
        <v>105</v>
      </c>
      <c r="O1491">
        <v>0</v>
      </c>
      <c r="P1491">
        <v>1</v>
      </c>
      <c r="Q1491">
        <v>0</v>
      </c>
      <c r="R1491">
        <v>0</v>
      </c>
      <c r="S1491">
        <v>1</v>
      </c>
      <c r="T1491">
        <v>1</v>
      </c>
      <c r="U1491">
        <v>1</v>
      </c>
      <c r="V1491">
        <v>0</v>
      </c>
      <c r="W1491" t="s">
        <v>106</v>
      </c>
      <c r="AA1491">
        <v>2007</v>
      </c>
      <c r="AB1491">
        <v>9999</v>
      </c>
      <c r="AC1491" t="s">
        <v>35</v>
      </c>
    </row>
    <row r="1492" spans="1:29" x14ac:dyDescent="0.25">
      <c r="A1492" s="31" t="s">
        <v>562</v>
      </c>
      <c r="B1492" s="23" t="s">
        <v>1554</v>
      </c>
      <c r="D1492">
        <v>1</v>
      </c>
      <c r="E1492" t="s">
        <v>80</v>
      </c>
      <c r="F1492">
        <v>8</v>
      </c>
      <c r="G1492">
        <v>2021</v>
      </c>
      <c r="I1492">
        <v>119.2</v>
      </c>
      <c r="J1492" t="s">
        <v>81</v>
      </c>
      <c r="K1492" t="s">
        <v>47</v>
      </c>
      <c r="O1492">
        <v>0</v>
      </c>
      <c r="P1492">
        <v>0</v>
      </c>
      <c r="Q1492">
        <v>0</v>
      </c>
      <c r="R1492">
        <v>0</v>
      </c>
      <c r="S1492">
        <v>1</v>
      </c>
      <c r="T1492">
        <v>1</v>
      </c>
      <c r="U1492">
        <v>1</v>
      </c>
      <c r="V1492">
        <v>0</v>
      </c>
      <c r="W1492" t="s">
        <v>1128</v>
      </c>
      <c r="AA1492">
        <v>2007</v>
      </c>
      <c r="AB1492">
        <v>9999</v>
      </c>
      <c r="AC1492" t="s">
        <v>35</v>
      </c>
    </row>
    <row r="1493" spans="1:29" x14ac:dyDescent="0.25">
      <c r="A1493" s="31" t="s">
        <v>568</v>
      </c>
      <c r="B1493" s="23" t="s">
        <v>569</v>
      </c>
      <c r="D1493">
        <v>1</v>
      </c>
      <c r="E1493" t="s">
        <v>80</v>
      </c>
      <c r="F1493">
        <v>8</v>
      </c>
      <c r="G1493">
        <v>2021</v>
      </c>
      <c r="I1493">
        <v>210.44</v>
      </c>
      <c r="J1493" t="s">
        <v>81</v>
      </c>
      <c r="K1493" t="s">
        <v>47</v>
      </c>
      <c r="O1493">
        <v>0</v>
      </c>
      <c r="P1493">
        <v>0</v>
      </c>
      <c r="Q1493">
        <v>0</v>
      </c>
      <c r="R1493">
        <v>0</v>
      </c>
      <c r="S1493">
        <v>1</v>
      </c>
      <c r="T1493">
        <v>1</v>
      </c>
      <c r="U1493">
        <v>1</v>
      </c>
      <c r="V1493">
        <v>0</v>
      </c>
      <c r="W1493" t="s">
        <v>1129</v>
      </c>
      <c r="AA1493">
        <v>2007</v>
      </c>
      <c r="AB1493">
        <v>9999</v>
      </c>
      <c r="AC1493" t="s">
        <v>35</v>
      </c>
    </row>
    <row r="1494" spans="1:29" x14ac:dyDescent="0.25">
      <c r="A1494" s="31" t="s">
        <v>571</v>
      </c>
      <c r="B1494" s="23" t="s">
        <v>572</v>
      </c>
      <c r="D1494">
        <v>1</v>
      </c>
      <c r="E1494" t="s">
        <v>370</v>
      </c>
      <c r="F1494">
        <v>5</v>
      </c>
      <c r="G1494">
        <v>2021</v>
      </c>
      <c r="I1494">
        <v>643.35</v>
      </c>
      <c r="J1494" t="s">
        <v>31</v>
      </c>
      <c r="K1494" t="s">
        <v>47</v>
      </c>
      <c r="O1494">
        <v>0</v>
      </c>
      <c r="P1494">
        <v>0</v>
      </c>
      <c r="Q1494">
        <v>0</v>
      </c>
      <c r="R1494">
        <v>0</v>
      </c>
      <c r="S1494">
        <v>1</v>
      </c>
      <c r="T1494">
        <v>1</v>
      </c>
      <c r="U1494">
        <v>1</v>
      </c>
      <c r="V1494">
        <v>0</v>
      </c>
      <c r="W1494" t="s">
        <v>1430</v>
      </c>
      <c r="AA1494">
        <v>2007</v>
      </c>
      <c r="AB1494">
        <v>9999</v>
      </c>
      <c r="AC1494" t="s">
        <v>35</v>
      </c>
    </row>
    <row r="1495" spans="1:29" x14ac:dyDescent="0.25">
      <c r="A1495" s="31" t="s">
        <v>574</v>
      </c>
      <c r="B1495" s="23" t="s">
        <v>575</v>
      </c>
      <c r="D1495">
        <v>1</v>
      </c>
      <c r="E1495" t="s">
        <v>222</v>
      </c>
      <c r="F1495">
        <v>1</v>
      </c>
      <c r="G1495">
        <v>2021</v>
      </c>
      <c r="I1495">
        <v>27.5</v>
      </c>
      <c r="J1495" t="s">
        <v>176</v>
      </c>
      <c r="K1495" t="s">
        <v>47</v>
      </c>
      <c r="O1495">
        <v>0</v>
      </c>
      <c r="P1495">
        <v>0</v>
      </c>
      <c r="Q1495">
        <v>0</v>
      </c>
      <c r="R1495">
        <v>0</v>
      </c>
      <c r="S1495">
        <v>1</v>
      </c>
      <c r="T1495">
        <v>1</v>
      </c>
      <c r="U1495">
        <v>1</v>
      </c>
      <c r="V1495">
        <v>0</v>
      </c>
      <c r="W1495" t="s">
        <v>1131</v>
      </c>
      <c r="AA1495">
        <v>2007</v>
      </c>
      <c r="AB1495">
        <v>9999</v>
      </c>
      <c r="AC1495" t="s">
        <v>35</v>
      </c>
    </row>
    <row r="1496" spans="1:29" x14ac:dyDescent="0.25">
      <c r="A1496" s="31" t="s">
        <v>577</v>
      </c>
      <c r="B1496" s="23" t="s">
        <v>578</v>
      </c>
      <c r="D1496">
        <v>1</v>
      </c>
      <c r="E1496" t="s">
        <v>396</v>
      </c>
      <c r="F1496">
        <v>3</v>
      </c>
      <c r="G1496">
        <v>2021</v>
      </c>
      <c r="H1496" t="s">
        <v>579</v>
      </c>
      <c r="I1496" s="15">
        <v>0.15</v>
      </c>
      <c r="J1496" t="s">
        <v>121</v>
      </c>
      <c r="K1496" t="s">
        <v>41</v>
      </c>
      <c r="O1496">
        <v>0</v>
      </c>
      <c r="P1496">
        <v>0</v>
      </c>
      <c r="Q1496">
        <v>0</v>
      </c>
      <c r="R1496">
        <v>0</v>
      </c>
      <c r="S1496">
        <v>0</v>
      </c>
      <c r="T1496">
        <v>0</v>
      </c>
      <c r="U1496">
        <v>0</v>
      </c>
      <c r="V1496">
        <v>0</v>
      </c>
      <c r="W1496" t="s">
        <v>1132</v>
      </c>
      <c r="AA1496">
        <v>2007</v>
      </c>
      <c r="AB1496">
        <v>9999</v>
      </c>
      <c r="AC1496" t="s">
        <v>35</v>
      </c>
    </row>
    <row r="1497" spans="1:29" x14ac:dyDescent="0.25">
      <c r="A1497" s="31" t="s">
        <v>581</v>
      </c>
      <c r="B1497" s="23" t="s">
        <v>582</v>
      </c>
      <c r="D1497">
        <v>1</v>
      </c>
      <c r="E1497" t="s">
        <v>80</v>
      </c>
      <c r="F1497">
        <v>8</v>
      </c>
      <c r="G1497">
        <v>2021</v>
      </c>
      <c r="H1497" t="s">
        <v>1315</v>
      </c>
      <c r="I1497" s="15">
        <v>3</v>
      </c>
      <c r="J1497" t="s">
        <v>81</v>
      </c>
      <c r="K1497" t="s">
        <v>41</v>
      </c>
      <c r="O1497">
        <v>0</v>
      </c>
      <c r="P1497">
        <v>0</v>
      </c>
      <c r="Q1497">
        <v>0</v>
      </c>
      <c r="R1497">
        <v>0</v>
      </c>
      <c r="S1497">
        <v>0</v>
      </c>
      <c r="T1497">
        <v>0</v>
      </c>
      <c r="U1497">
        <v>1</v>
      </c>
      <c r="V1497">
        <v>0</v>
      </c>
      <c r="W1497" t="s">
        <v>1133</v>
      </c>
      <c r="AA1497">
        <v>2007</v>
      </c>
      <c r="AB1497">
        <v>9999</v>
      </c>
      <c r="AC1497" t="s">
        <v>35</v>
      </c>
    </row>
    <row r="1498" spans="1:29" x14ac:dyDescent="0.25">
      <c r="A1498" s="31" t="s">
        <v>1576</v>
      </c>
      <c r="B1498" s="23" t="s">
        <v>1577</v>
      </c>
      <c r="D1498">
        <v>1</v>
      </c>
      <c r="E1498" s="5" t="s">
        <v>358</v>
      </c>
      <c r="F1498">
        <v>1</v>
      </c>
      <c r="G1498">
        <v>2021</v>
      </c>
      <c r="H1498" t="s">
        <v>1558</v>
      </c>
      <c r="I1498" s="15">
        <v>1</v>
      </c>
      <c r="J1498" t="s">
        <v>104</v>
      </c>
      <c r="K1498" t="s">
        <v>41</v>
      </c>
      <c r="O1498">
        <v>0</v>
      </c>
      <c r="P1498">
        <v>0</v>
      </c>
      <c r="Q1498">
        <v>0</v>
      </c>
      <c r="R1498">
        <v>0</v>
      </c>
      <c r="S1498">
        <v>0</v>
      </c>
      <c r="T1498">
        <v>0</v>
      </c>
      <c r="U1498">
        <v>0</v>
      </c>
      <c r="V1498">
        <v>0</v>
      </c>
      <c r="W1498" t="s">
        <v>1578</v>
      </c>
      <c r="AA1498">
        <v>2020</v>
      </c>
      <c r="AB1498">
        <v>9999</v>
      </c>
      <c r="AC1498" t="s">
        <v>1579</v>
      </c>
    </row>
    <row r="1499" spans="1:29" x14ac:dyDescent="0.25">
      <c r="A1499" s="31" t="s">
        <v>594</v>
      </c>
      <c r="B1499" s="23" t="s">
        <v>595</v>
      </c>
      <c r="D1499">
        <v>1</v>
      </c>
      <c r="E1499" t="s">
        <v>38</v>
      </c>
      <c r="F1499">
        <v>4</v>
      </c>
      <c r="G1499">
        <v>2021</v>
      </c>
      <c r="H1499" t="s">
        <v>906</v>
      </c>
      <c r="I1499" s="15">
        <v>0</v>
      </c>
      <c r="J1499" t="s">
        <v>59</v>
      </c>
      <c r="K1499" t="s">
        <v>41</v>
      </c>
      <c r="O1499">
        <v>0</v>
      </c>
      <c r="P1499">
        <v>0</v>
      </c>
      <c r="Q1499">
        <v>0</v>
      </c>
      <c r="R1499">
        <v>0</v>
      </c>
      <c r="S1499">
        <v>0</v>
      </c>
      <c r="T1499">
        <v>0</v>
      </c>
      <c r="U1499">
        <v>0</v>
      </c>
      <c r="V1499">
        <v>0</v>
      </c>
      <c r="W1499" t="s">
        <v>1135</v>
      </c>
      <c r="AA1499">
        <v>2007</v>
      </c>
      <c r="AB1499">
        <v>9999</v>
      </c>
      <c r="AC1499" t="s">
        <v>35</v>
      </c>
    </row>
    <row r="1500" spans="1:29" x14ac:dyDescent="0.25">
      <c r="A1500" s="31" t="s">
        <v>1253</v>
      </c>
      <c r="B1500" s="23" t="s">
        <v>598</v>
      </c>
      <c r="D1500">
        <v>1</v>
      </c>
      <c r="E1500" t="s">
        <v>38</v>
      </c>
      <c r="F1500">
        <v>4</v>
      </c>
      <c r="G1500">
        <v>2021</v>
      </c>
      <c r="H1500" t="s">
        <v>39</v>
      </c>
      <c r="I1500" s="15">
        <v>0</v>
      </c>
      <c r="J1500" t="s">
        <v>59</v>
      </c>
      <c r="K1500" t="s">
        <v>41</v>
      </c>
      <c r="O1500">
        <v>0</v>
      </c>
      <c r="P1500">
        <v>0</v>
      </c>
      <c r="Q1500">
        <v>0</v>
      </c>
      <c r="R1500">
        <v>0</v>
      </c>
      <c r="S1500">
        <v>0</v>
      </c>
      <c r="T1500">
        <v>0</v>
      </c>
      <c r="U1500">
        <v>0</v>
      </c>
      <c r="V1500">
        <v>0</v>
      </c>
      <c r="W1500" t="s">
        <v>1254</v>
      </c>
      <c r="AA1500">
        <v>2009</v>
      </c>
      <c r="AB1500">
        <v>9999</v>
      </c>
      <c r="AC1500" t="s">
        <v>1239</v>
      </c>
    </row>
    <row r="1501" spans="1:29" x14ac:dyDescent="0.25">
      <c r="A1501" s="31" t="s">
        <v>601</v>
      </c>
      <c r="B1501" s="23" t="s">
        <v>602</v>
      </c>
      <c r="D1501">
        <v>1</v>
      </c>
      <c r="E1501" t="s">
        <v>145</v>
      </c>
      <c r="F1501">
        <v>2</v>
      </c>
      <c r="G1501">
        <v>2021</v>
      </c>
      <c r="H1501" t="s">
        <v>1570</v>
      </c>
      <c r="I1501" s="15">
        <v>2.5000000000000001E-2</v>
      </c>
      <c r="J1501" t="s">
        <v>1556</v>
      </c>
      <c r="K1501" t="s">
        <v>41</v>
      </c>
      <c r="O1501">
        <v>0</v>
      </c>
      <c r="P1501">
        <v>0</v>
      </c>
      <c r="Q1501">
        <v>0</v>
      </c>
      <c r="R1501">
        <v>0</v>
      </c>
      <c r="S1501">
        <v>0</v>
      </c>
      <c r="T1501">
        <v>0</v>
      </c>
      <c r="U1501">
        <v>0</v>
      </c>
      <c r="V1501">
        <v>0</v>
      </c>
      <c r="W1501" t="s">
        <v>1137</v>
      </c>
      <c r="AA1501">
        <v>2007</v>
      </c>
      <c r="AB1501">
        <v>9999</v>
      </c>
      <c r="AC1501" t="s">
        <v>35</v>
      </c>
    </row>
    <row r="1502" spans="1:29" x14ac:dyDescent="0.25">
      <c r="A1502" s="31" t="s">
        <v>613</v>
      </c>
      <c r="B1502" s="23" t="s">
        <v>254</v>
      </c>
      <c r="C1502" t="s">
        <v>614</v>
      </c>
      <c r="D1502">
        <v>1</v>
      </c>
      <c r="E1502" t="s">
        <v>45</v>
      </c>
      <c r="F1502">
        <v>4</v>
      </c>
      <c r="G1502">
        <v>2021</v>
      </c>
      <c r="I1502">
        <v>305.01</v>
      </c>
      <c r="J1502" t="s">
        <v>89</v>
      </c>
      <c r="K1502" t="s">
        <v>47</v>
      </c>
      <c r="O1502">
        <v>0</v>
      </c>
      <c r="P1502">
        <v>0</v>
      </c>
      <c r="Q1502">
        <v>0</v>
      </c>
      <c r="R1502">
        <v>0</v>
      </c>
      <c r="S1502">
        <v>1</v>
      </c>
      <c r="T1502">
        <v>1</v>
      </c>
      <c r="U1502">
        <v>1</v>
      </c>
      <c r="V1502">
        <v>0</v>
      </c>
      <c r="W1502" t="s">
        <v>1140</v>
      </c>
      <c r="AA1502">
        <v>2007</v>
      </c>
      <c r="AB1502">
        <v>9999</v>
      </c>
      <c r="AC1502" t="s">
        <v>35</v>
      </c>
    </row>
    <row r="1503" spans="1:29" x14ac:dyDescent="0.25">
      <c r="A1503" s="31" t="s">
        <v>1370</v>
      </c>
      <c r="B1503" s="23" t="s">
        <v>1371</v>
      </c>
      <c r="D1503">
        <v>1</v>
      </c>
      <c r="E1503" s="4">
        <v>411</v>
      </c>
      <c r="F1503">
        <v>4</v>
      </c>
      <c r="G1503">
        <v>2021</v>
      </c>
      <c r="H1503" t="s">
        <v>111</v>
      </c>
      <c r="I1503" s="15">
        <v>0.8</v>
      </c>
      <c r="J1503" t="s">
        <v>89</v>
      </c>
      <c r="K1503" t="s">
        <v>41</v>
      </c>
      <c r="O1503">
        <v>0</v>
      </c>
      <c r="P1503">
        <v>0</v>
      </c>
      <c r="Q1503">
        <v>0</v>
      </c>
      <c r="R1503">
        <v>0</v>
      </c>
      <c r="S1503">
        <v>0</v>
      </c>
      <c r="T1503">
        <v>1</v>
      </c>
      <c r="U1503">
        <v>0</v>
      </c>
      <c r="V1503">
        <v>0</v>
      </c>
      <c r="W1503" t="s">
        <v>1372</v>
      </c>
      <c r="AA1503">
        <v>2011</v>
      </c>
      <c r="AB1503">
        <v>9999</v>
      </c>
      <c r="AC1503" t="s">
        <v>1365</v>
      </c>
    </row>
    <row r="1504" spans="1:29" x14ac:dyDescent="0.25">
      <c r="A1504" s="31" t="s">
        <v>1317</v>
      </c>
      <c r="B1504" s="23" t="s">
        <v>1318</v>
      </c>
      <c r="D1504">
        <v>1</v>
      </c>
      <c r="E1504" t="s">
        <v>1319</v>
      </c>
      <c r="F1504">
        <v>10</v>
      </c>
      <c r="G1504">
        <v>2021</v>
      </c>
      <c r="I1504">
        <v>1485.78</v>
      </c>
      <c r="J1504" t="s">
        <v>40</v>
      </c>
      <c r="K1504" t="s">
        <v>32</v>
      </c>
      <c r="O1504">
        <v>0</v>
      </c>
      <c r="P1504">
        <v>0</v>
      </c>
      <c r="Q1504">
        <v>0</v>
      </c>
      <c r="R1504">
        <v>0</v>
      </c>
      <c r="S1504">
        <v>1</v>
      </c>
      <c r="T1504">
        <v>1</v>
      </c>
      <c r="U1504">
        <v>1</v>
      </c>
      <c r="V1504">
        <v>0</v>
      </c>
      <c r="W1504" t="s">
        <v>1320</v>
      </c>
      <c r="AA1504">
        <v>2010</v>
      </c>
      <c r="AB1504">
        <v>9999</v>
      </c>
      <c r="AC1504" t="s">
        <v>1292</v>
      </c>
    </row>
    <row r="1505" spans="1:29" x14ac:dyDescent="0.25">
      <c r="A1505" s="31" t="s">
        <v>1489</v>
      </c>
      <c r="B1505" s="23" t="s">
        <v>619</v>
      </c>
      <c r="D1505">
        <v>1</v>
      </c>
      <c r="E1505" t="s">
        <v>620</v>
      </c>
      <c r="F1505">
        <v>5</v>
      </c>
      <c r="G1505">
        <v>2021</v>
      </c>
      <c r="I1505">
        <v>29</v>
      </c>
      <c r="J1505" t="s">
        <v>104</v>
      </c>
      <c r="K1505" t="s">
        <v>47</v>
      </c>
      <c r="O1505">
        <v>0</v>
      </c>
      <c r="P1505">
        <v>0</v>
      </c>
      <c r="Q1505">
        <v>0</v>
      </c>
      <c r="R1505">
        <v>0</v>
      </c>
      <c r="S1505">
        <v>1</v>
      </c>
      <c r="T1505">
        <v>1</v>
      </c>
      <c r="U1505">
        <v>1</v>
      </c>
      <c r="V1505">
        <v>0</v>
      </c>
      <c r="W1505" t="s">
        <v>1141</v>
      </c>
      <c r="AA1505">
        <v>2007</v>
      </c>
      <c r="AB1505">
        <v>9999</v>
      </c>
      <c r="AC1505" t="s">
        <v>1475</v>
      </c>
    </row>
    <row r="1506" spans="1:29" x14ac:dyDescent="0.25">
      <c r="A1506" s="31" t="s">
        <v>472</v>
      </c>
      <c r="B1506" s="23" t="s">
        <v>1490</v>
      </c>
      <c r="D1506">
        <v>1</v>
      </c>
      <c r="E1506" t="s">
        <v>681</v>
      </c>
      <c r="F1506">
        <v>3</v>
      </c>
      <c r="G1506">
        <v>2021</v>
      </c>
      <c r="I1506">
        <v>31995.26</v>
      </c>
      <c r="J1506" t="s">
        <v>121</v>
      </c>
      <c r="K1506" t="s">
        <v>47</v>
      </c>
      <c r="O1506">
        <v>0</v>
      </c>
      <c r="P1506">
        <v>0</v>
      </c>
      <c r="Q1506">
        <v>0</v>
      </c>
      <c r="R1506">
        <v>0</v>
      </c>
      <c r="S1506">
        <v>1</v>
      </c>
      <c r="T1506">
        <v>1</v>
      </c>
      <c r="U1506">
        <v>1</v>
      </c>
      <c r="V1506">
        <v>0</v>
      </c>
      <c r="W1506" t="s">
        <v>1491</v>
      </c>
      <c r="AA1506">
        <v>2007</v>
      </c>
      <c r="AB1506">
        <v>9999</v>
      </c>
      <c r="AC1506" t="s">
        <v>35</v>
      </c>
    </row>
    <row r="1507" spans="1:29" x14ac:dyDescent="0.25">
      <c r="A1507" s="31" t="s">
        <v>622</v>
      </c>
      <c r="B1507" s="23" t="s">
        <v>623</v>
      </c>
      <c r="C1507" t="s">
        <v>624</v>
      </c>
      <c r="D1507">
        <v>1</v>
      </c>
      <c r="E1507" t="s">
        <v>625</v>
      </c>
      <c r="F1507">
        <v>4</v>
      </c>
      <c r="G1507">
        <v>2021</v>
      </c>
      <c r="I1507">
        <v>331.66</v>
      </c>
      <c r="J1507" t="s">
        <v>1556</v>
      </c>
      <c r="K1507" t="s">
        <v>32</v>
      </c>
      <c r="O1507">
        <v>0</v>
      </c>
      <c r="P1507">
        <v>0</v>
      </c>
      <c r="Q1507">
        <v>0</v>
      </c>
      <c r="R1507">
        <v>0</v>
      </c>
      <c r="S1507">
        <v>1</v>
      </c>
      <c r="T1507">
        <v>1</v>
      </c>
      <c r="U1507">
        <v>1</v>
      </c>
      <c r="V1507">
        <v>0</v>
      </c>
      <c r="W1507" t="s">
        <v>1142</v>
      </c>
      <c r="AA1507">
        <v>2007</v>
      </c>
      <c r="AB1507">
        <v>9999</v>
      </c>
      <c r="AC1507" t="s">
        <v>35</v>
      </c>
    </row>
    <row r="1508" spans="1:29" x14ac:dyDescent="0.25">
      <c r="A1508" s="31" t="s">
        <v>641</v>
      </c>
      <c r="B1508" s="23" t="s">
        <v>642</v>
      </c>
      <c r="D1508">
        <v>1</v>
      </c>
      <c r="E1508" t="s">
        <v>348</v>
      </c>
      <c r="F1508">
        <v>1</v>
      </c>
      <c r="G1508">
        <v>2021</v>
      </c>
      <c r="I1508" s="8">
        <v>4014.43</v>
      </c>
      <c r="J1508" t="s">
        <v>268</v>
      </c>
      <c r="K1508" t="s">
        <v>53</v>
      </c>
      <c r="L1508" t="s">
        <v>642</v>
      </c>
      <c r="O1508">
        <v>0</v>
      </c>
      <c r="P1508">
        <v>0</v>
      </c>
      <c r="Q1508">
        <v>0</v>
      </c>
      <c r="R1508">
        <v>0</v>
      </c>
      <c r="S1508">
        <v>0</v>
      </c>
      <c r="T1508">
        <v>1</v>
      </c>
      <c r="U1508">
        <v>1</v>
      </c>
      <c r="V1508">
        <v>0</v>
      </c>
      <c r="W1508" t="s">
        <v>643</v>
      </c>
      <c r="AA1508">
        <v>2007</v>
      </c>
      <c r="AB1508">
        <v>9999</v>
      </c>
      <c r="AC1508" t="s">
        <v>35</v>
      </c>
    </row>
    <row r="1509" spans="1:29" x14ac:dyDescent="0.25">
      <c r="A1509" s="31" t="s">
        <v>667</v>
      </c>
      <c r="B1509" s="23" t="s">
        <v>1527</v>
      </c>
      <c r="D1509">
        <v>1</v>
      </c>
      <c r="E1509" t="s">
        <v>45</v>
      </c>
      <c r="F1509">
        <v>4</v>
      </c>
      <c r="G1509">
        <v>2021</v>
      </c>
      <c r="I1509">
        <v>23.09</v>
      </c>
      <c r="J1509" t="s">
        <v>121</v>
      </c>
      <c r="K1509" t="s">
        <v>47</v>
      </c>
      <c r="O1509">
        <v>0</v>
      </c>
      <c r="P1509">
        <v>0</v>
      </c>
      <c r="Q1509">
        <v>0</v>
      </c>
      <c r="R1509">
        <v>0</v>
      </c>
      <c r="S1509">
        <v>1</v>
      </c>
      <c r="T1509">
        <v>1</v>
      </c>
      <c r="U1509">
        <v>1</v>
      </c>
      <c r="V1509">
        <v>0</v>
      </c>
      <c r="W1509" t="s">
        <v>1149</v>
      </c>
      <c r="AA1509">
        <v>2007</v>
      </c>
      <c r="AB1509">
        <v>9999</v>
      </c>
      <c r="AC1509" t="s">
        <v>35</v>
      </c>
    </row>
    <row r="1510" spans="1:29" x14ac:dyDescent="0.25">
      <c r="A1510" s="31" t="s">
        <v>670</v>
      </c>
      <c r="B1510" s="23" t="s">
        <v>671</v>
      </c>
      <c r="D1510">
        <v>1</v>
      </c>
      <c r="E1510" t="s">
        <v>80</v>
      </c>
      <c r="F1510">
        <v>8</v>
      </c>
      <c r="G1510">
        <v>2021</v>
      </c>
      <c r="I1510">
        <v>232.29</v>
      </c>
      <c r="J1510" t="s">
        <v>81</v>
      </c>
      <c r="K1510" t="s">
        <v>47</v>
      </c>
      <c r="O1510">
        <v>0</v>
      </c>
      <c r="P1510">
        <v>0</v>
      </c>
      <c r="Q1510">
        <v>0</v>
      </c>
      <c r="R1510">
        <v>0</v>
      </c>
      <c r="S1510">
        <v>1</v>
      </c>
      <c r="T1510">
        <v>1</v>
      </c>
      <c r="U1510">
        <v>1</v>
      </c>
      <c r="V1510">
        <v>0</v>
      </c>
      <c r="W1510" t="s">
        <v>1498</v>
      </c>
      <c r="AA1510">
        <v>2007</v>
      </c>
      <c r="AB1510">
        <v>9999</v>
      </c>
      <c r="AC1510" t="s">
        <v>35</v>
      </c>
    </row>
    <row r="1511" spans="1:29" x14ac:dyDescent="0.25">
      <c r="A1511" s="31" t="s">
        <v>673</v>
      </c>
      <c r="B1511" s="23" t="s">
        <v>1321</v>
      </c>
      <c r="D1511">
        <v>1</v>
      </c>
      <c r="E1511" t="s">
        <v>358</v>
      </c>
      <c r="F1511">
        <v>1</v>
      </c>
      <c r="G1511">
        <v>2021</v>
      </c>
      <c r="I1511">
        <v>411.48</v>
      </c>
      <c r="J1511" t="s">
        <v>81</v>
      </c>
      <c r="K1511" t="s">
        <v>47</v>
      </c>
      <c r="O1511">
        <v>0</v>
      </c>
      <c r="P1511">
        <v>0</v>
      </c>
      <c r="Q1511">
        <v>0</v>
      </c>
      <c r="R1511">
        <v>0</v>
      </c>
      <c r="S1511">
        <v>1</v>
      </c>
      <c r="T1511">
        <v>1</v>
      </c>
      <c r="U1511">
        <v>1</v>
      </c>
      <c r="V1511">
        <v>0</v>
      </c>
      <c r="W1511" t="s">
        <v>1322</v>
      </c>
      <c r="AA1511">
        <v>2007</v>
      </c>
      <c r="AB1511">
        <v>9999</v>
      </c>
      <c r="AC1511" t="s">
        <v>35</v>
      </c>
    </row>
    <row r="1512" spans="1:29" x14ac:dyDescent="0.25">
      <c r="A1512" s="31" t="s">
        <v>676</v>
      </c>
      <c r="B1512" s="23" t="s">
        <v>677</v>
      </c>
      <c r="C1512" t="s">
        <v>678</v>
      </c>
      <c r="D1512">
        <v>1</v>
      </c>
      <c r="E1512" t="s">
        <v>168</v>
      </c>
      <c r="F1512">
        <v>1</v>
      </c>
      <c r="G1512">
        <v>2021</v>
      </c>
      <c r="I1512">
        <v>209.41</v>
      </c>
      <c r="J1512" t="s">
        <v>52</v>
      </c>
      <c r="K1512" t="s">
        <v>32</v>
      </c>
      <c r="O1512">
        <v>0</v>
      </c>
      <c r="P1512">
        <v>0</v>
      </c>
      <c r="Q1512">
        <v>0</v>
      </c>
      <c r="R1512">
        <v>0</v>
      </c>
      <c r="S1512">
        <v>1</v>
      </c>
      <c r="T1512">
        <v>1</v>
      </c>
      <c r="U1512">
        <v>1</v>
      </c>
      <c r="V1512">
        <v>0</v>
      </c>
      <c r="W1512" t="s">
        <v>1152</v>
      </c>
      <c r="AA1512">
        <v>2007</v>
      </c>
      <c r="AB1512">
        <v>9999</v>
      </c>
      <c r="AC1512" t="s">
        <v>35</v>
      </c>
    </row>
    <row r="1513" spans="1:29" x14ac:dyDescent="0.25">
      <c r="A1513" s="31" t="s">
        <v>688</v>
      </c>
      <c r="B1513" s="23" t="s">
        <v>689</v>
      </c>
      <c r="D1513">
        <v>1</v>
      </c>
      <c r="E1513" t="s">
        <v>145</v>
      </c>
      <c r="F1513">
        <v>2</v>
      </c>
      <c r="G1513">
        <v>2021</v>
      </c>
      <c r="H1513" t="s">
        <v>146</v>
      </c>
      <c r="I1513" s="15">
        <v>0.02</v>
      </c>
      <c r="J1513" s="2" t="s">
        <v>147</v>
      </c>
      <c r="K1513" t="s">
        <v>41</v>
      </c>
      <c r="O1513">
        <v>0</v>
      </c>
      <c r="P1513">
        <v>0</v>
      </c>
      <c r="Q1513">
        <v>0</v>
      </c>
      <c r="R1513">
        <v>0</v>
      </c>
      <c r="S1513">
        <v>0</v>
      </c>
      <c r="T1513">
        <v>0</v>
      </c>
      <c r="U1513">
        <v>0</v>
      </c>
      <c r="V1513">
        <v>0</v>
      </c>
      <c r="W1513" t="s">
        <v>1154</v>
      </c>
      <c r="AA1513">
        <v>2007</v>
      </c>
      <c r="AB1513">
        <v>9999</v>
      </c>
      <c r="AC1513" t="s">
        <v>35</v>
      </c>
    </row>
    <row r="1514" spans="1:29" x14ac:dyDescent="0.25">
      <c r="A1514" s="31" t="s">
        <v>691</v>
      </c>
      <c r="B1514" s="23" t="s">
        <v>692</v>
      </c>
      <c r="D1514">
        <v>1</v>
      </c>
      <c r="E1514" t="s">
        <v>625</v>
      </c>
      <c r="F1514">
        <v>4</v>
      </c>
      <c r="G1514">
        <v>2021</v>
      </c>
      <c r="I1514" s="8">
        <v>22.25</v>
      </c>
      <c r="J1514" t="s">
        <v>104</v>
      </c>
      <c r="K1514" t="s">
        <v>32</v>
      </c>
      <c r="O1514">
        <v>0</v>
      </c>
      <c r="P1514">
        <v>0</v>
      </c>
      <c r="Q1514">
        <v>0</v>
      </c>
      <c r="R1514">
        <v>0</v>
      </c>
      <c r="S1514">
        <v>1</v>
      </c>
      <c r="T1514">
        <v>1</v>
      </c>
      <c r="U1514">
        <v>1</v>
      </c>
      <c r="V1514">
        <v>0</v>
      </c>
      <c r="W1514" t="s">
        <v>1155</v>
      </c>
      <c r="AA1514">
        <v>2007</v>
      </c>
      <c r="AB1514">
        <v>9999</v>
      </c>
      <c r="AC1514" t="s">
        <v>35</v>
      </c>
    </row>
    <row r="1515" spans="1:29" x14ac:dyDescent="0.25">
      <c r="A1515" s="31" t="s">
        <v>694</v>
      </c>
      <c r="B1515" s="25" t="s">
        <v>695</v>
      </c>
      <c r="C1515" t="s">
        <v>696</v>
      </c>
      <c r="D1515">
        <v>1</v>
      </c>
      <c r="E1515" t="s">
        <v>58</v>
      </c>
      <c r="F1515">
        <v>4</v>
      </c>
      <c r="G1515">
        <v>2021</v>
      </c>
      <c r="I1515" s="8">
        <v>123.3</v>
      </c>
      <c r="J1515" t="s">
        <v>59</v>
      </c>
      <c r="K1515" t="s">
        <v>47</v>
      </c>
      <c r="O1515">
        <v>0</v>
      </c>
      <c r="P1515">
        <v>0</v>
      </c>
      <c r="Q1515">
        <v>0</v>
      </c>
      <c r="R1515">
        <v>0</v>
      </c>
      <c r="S1515">
        <v>1</v>
      </c>
      <c r="T1515">
        <v>1</v>
      </c>
      <c r="U1515">
        <v>1</v>
      </c>
      <c r="V1515">
        <v>0</v>
      </c>
      <c r="W1515" t="s">
        <v>1156</v>
      </c>
      <c r="AA1515">
        <v>2007</v>
      </c>
      <c r="AB1515">
        <v>9999</v>
      </c>
      <c r="AC1515" t="s">
        <v>35</v>
      </c>
    </row>
    <row r="1516" spans="1:29" x14ac:dyDescent="0.25">
      <c r="A1516" s="31" t="s">
        <v>698</v>
      </c>
      <c r="B1516" s="23" t="s">
        <v>699</v>
      </c>
      <c r="D1516">
        <v>1</v>
      </c>
      <c r="E1516" t="s">
        <v>155</v>
      </c>
      <c r="F1516">
        <v>3</v>
      </c>
      <c r="G1516">
        <v>2021</v>
      </c>
      <c r="H1516" t="s">
        <v>700</v>
      </c>
      <c r="I1516">
        <v>3.8339920948616601</v>
      </c>
      <c r="J1516" t="s">
        <v>121</v>
      </c>
      <c r="K1516" t="s">
        <v>47</v>
      </c>
      <c r="O1516">
        <v>0</v>
      </c>
      <c r="P1516">
        <v>0</v>
      </c>
      <c r="Q1516">
        <v>0</v>
      </c>
      <c r="R1516">
        <v>0</v>
      </c>
      <c r="S1516">
        <v>1</v>
      </c>
      <c r="T1516">
        <v>0</v>
      </c>
      <c r="U1516">
        <v>0</v>
      </c>
      <c r="V1516">
        <v>1</v>
      </c>
      <c r="W1516" t="s">
        <v>1157</v>
      </c>
      <c r="AA1516">
        <v>2007</v>
      </c>
      <c r="AB1516">
        <v>9999</v>
      </c>
      <c r="AC1516" t="s">
        <v>35</v>
      </c>
    </row>
    <row r="1517" spans="1:29" x14ac:dyDescent="0.25">
      <c r="A1517" s="31" t="s">
        <v>702</v>
      </c>
      <c r="B1517" s="23" t="s">
        <v>703</v>
      </c>
      <c r="D1517">
        <v>1</v>
      </c>
      <c r="E1517" t="s">
        <v>155</v>
      </c>
      <c r="F1517">
        <v>3</v>
      </c>
      <c r="G1517">
        <v>2021</v>
      </c>
      <c r="H1517" t="s">
        <v>704</v>
      </c>
      <c r="I1517">
        <v>0.76309523809523794</v>
      </c>
      <c r="J1517" t="s">
        <v>121</v>
      </c>
      <c r="K1517" t="s">
        <v>41</v>
      </c>
      <c r="O1517">
        <v>0</v>
      </c>
      <c r="P1517">
        <v>0</v>
      </c>
      <c r="Q1517">
        <v>0</v>
      </c>
      <c r="R1517">
        <v>0</v>
      </c>
      <c r="S1517">
        <v>0</v>
      </c>
      <c r="T1517">
        <v>0</v>
      </c>
      <c r="U1517">
        <v>0</v>
      </c>
      <c r="V1517">
        <v>1</v>
      </c>
      <c r="W1517" t="s">
        <v>1158</v>
      </c>
      <c r="AA1517">
        <v>2007</v>
      </c>
      <c r="AB1517">
        <v>9999</v>
      </c>
      <c r="AC1517" t="s">
        <v>35</v>
      </c>
    </row>
    <row r="1518" spans="1:29" x14ac:dyDescent="0.25">
      <c r="A1518" s="31" t="s">
        <v>706</v>
      </c>
      <c r="B1518" s="23" t="s">
        <v>707</v>
      </c>
      <c r="C1518" t="s">
        <v>708</v>
      </c>
      <c r="D1518">
        <v>1</v>
      </c>
      <c r="E1518" t="s">
        <v>155</v>
      </c>
      <c r="F1518">
        <v>3</v>
      </c>
      <c r="G1518">
        <v>2021</v>
      </c>
      <c r="I1518">
        <v>501.11</v>
      </c>
      <c r="J1518" t="s">
        <v>121</v>
      </c>
      <c r="K1518" t="s">
        <v>47</v>
      </c>
      <c r="O1518">
        <v>0</v>
      </c>
      <c r="P1518">
        <v>0</v>
      </c>
      <c r="Q1518">
        <v>0</v>
      </c>
      <c r="R1518">
        <v>0</v>
      </c>
      <c r="S1518">
        <v>1</v>
      </c>
      <c r="T1518">
        <v>1</v>
      </c>
      <c r="U1518">
        <v>1</v>
      </c>
      <c r="V1518">
        <v>0</v>
      </c>
      <c r="W1518" t="s">
        <v>1159</v>
      </c>
      <c r="AA1518">
        <v>2007</v>
      </c>
      <c r="AB1518">
        <v>9999</v>
      </c>
      <c r="AC1518" t="s">
        <v>35</v>
      </c>
    </row>
    <row r="1519" spans="1:29" x14ac:dyDescent="0.25">
      <c r="A1519" s="31" t="s">
        <v>710</v>
      </c>
      <c r="B1519" s="23" t="s">
        <v>711</v>
      </c>
      <c r="D1519">
        <v>1</v>
      </c>
      <c r="E1519" t="s">
        <v>712</v>
      </c>
      <c r="F1519">
        <v>9</v>
      </c>
      <c r="G1519">
        <v>2021</v>
      </c>
      <c r="I1519">
        <v>113.32</v>
      </c>
      <c r="J1519" t="s">
        <v>104</v>
      </c>
      <c r="K1519" t="s">
        <v>41</v>
      </c>
      <c r="O1519">
        <v>0</v>
      </c>
      <c r="P1519">
        <v>0</v>
      </c>
      <c r="Q1519">
        <v>0</v>
      </c>
      <c r="R1519">
        <v>0</v>
      </c>
      <c r="S1519">
        <v>0</v>
      </c>
      <c r="T1519">
        <v>1</v>
      </c>
      <c r="U1519">
        <v>1</v>
      </c>
      <c r="V1519">
        <v>0</v>
      </c>
      <c r="W1519" t="s">
        <v>1406</v>
      </c>
      <c r="AA1519">
        <v>2007</v>
      </c>
      <c r="AB1519">
        <v>9999</v>
      </c>
      <c r="AC1519" t="s">
        <v>35</v>
      </c>
    </row>
    <row r="1520" spans="1:29" x14ac:dyDescent="0.25">
      <c r="A1520" s="31" t="s">
        <v>714</v>
      </c>
      <c r="B1520" s="23" t="s">
        <v>715</v>
      </c>
      <c r="D1520">
        <v>1</v>
      </c>
      <c r="E1520" t="s">
        <v>80</v>
      </c>
      <c r="F1520">
        <v>8</v>
      </c>
      <c r="G1520">
        <v>2021</v>
      </c>
      <c r="I1520">
        <v>53.97</v>
      </c>
      <c r="J1520" t="s">
        <v>81</v>
      </c>
      <c r="K1520" t="s">
        <v>76</v>
      </c>
      <c r="O1520">
        <v>0</v>
      </c>
      <c r="P1520">
        <v>0</v>
      </c>
      <c r="Q1520">
        <v>0</v>
      </c>
      <c r="R1520">
        <v>0</v>
      </c>
      <c r="S1520">
        <v>0</v>
      </c>
      <c r="T1520">
        <v>1</v>
      </c>
      <c r="U1520">
        <v>1</v>
      </c>
      <c r="V1520">
        <v>0</v>
      </c>
      <c r="W1520" t="s">
        <v>1323</v>
      </c>
      <c r="AA1520">
        <v>2007</v>
      </c>
      <c r="AB1520">
        <v>9999</v>
      </c>
      <c r="AC1520" t="s">
        <v>35</v>
      </c>
    </row>
    <row r="1521" spans="1:29" x14ac:dyDescent="0.25">
      <c r="A1521" s="31" t="s">
        <v>717</v>
      </c>
      <c r="B1521" s="25" t="s">
        <v>718</v>
      </c>
      <c r="D1521">
        <v>1</v>
      </c>
      <c r="E1521" t="s">
        <v>51</v>
      </c>
      <c r="F1521">
        <v>1</v>
      </c>
      <c r="G1521">
        <v>2021</v>
      </c>
      <c r="I1521">
        <v>38</v>
      </c>
      <c r="J1521" t="s">
        <v>52</v>
      </c>
      <c r="K1521" t="s">
        <v>53</v>
      </c>
      <c r="L1521" t="s">
        <v>54</v>
      </c>
      <c r="O1521">
        <v>0</v>
      </c>
      <c r="P1521">
        <v>0</v>
      </c>
      <c r="Q1521">
        <v>1</v>
      </c>
      <c r="R1521">
        <v>0</v>
      </c>
      <c r="S1521">
        <v>0</v>
      </c>
      <c r="T1521">
        <v>0</v>
      </c>
      <c r="U1521">
        <v>1</v>
      </c>
      <c r="V1521">
        <v>0</v>
      </c>
      <c r="W1521" t="s">
        <v>55</v>
      </c>
      <c r="AA1521">
        <v>2007</v>
      </c>
      <c r="AB1521">
        <v>9999</v>
      </c>
      <c r="AC1521" t="s">
        <v>35</v>
      </c>
    </row>
    <row r="1522" spans="1:29" x14ac:dyDescent="0.25">
      <c r="A1522" s="31" t="s">
        <v>719</v>
      </c>
      <c r="B1522" s="25" t="s">
        <v>720</v>
      </c>
      <c r="D1522">
        <v>1</v>
      </c>
      <c r="E1522" t="s">
        <v>51</v>
      </c>
      <c r="F1522">
        <v>1</v>
      </c>
      <c r="G1522">
        <v>2021</v>
      </c>
      <c r="I1522">
        <v>31</v>
      </c>
      <c r="J1522" t="s">
        <v>52</v>
      </c>
      <c r="K1522" t="s">
        <v>53</v>
      </c>
      <c r="L1522" t="s">
        <v>54</v>
      </c>
      <c r="O1522">
        <v>0</v>
      </c>
      <c r="P1522">
        <v>0</v>
      </c>
      <c r="Q1522">
        <v>1</v>
      </c>
      <c r="R1522">
        <v>0</v>
      </c>
      <c r="S1522">
        <v>0</v>
      </c>
      <c r="T1522">
        <v>0</v>
      </c>
      <c r="U1522">
        <v>1</v>
      </c>
      <c r="V1522">
        <v>0</v>
      </c>
      <c r="W1522" t="s">
        <v>721</v>
      </c>
      <c r="AA1522">
        <v>2007</v>
      </c>
      <c r="AB1522">
        <v>9999</v>
      </c>
      <c r="AC1522" t="s">
        <v>35</v>
      </c>
    </row>
    <row r="1523" spans="1:29" x14ac:dyDescent="0.25">
      <c r="A1523" s="31" t="s">
        <v>722</v>
      </c>
      <c r="B1523" s="23" t="s">
        <v>723</v>
      </c>
      <c r="D1523">
        <v>1</v>
      </c>
      <c r="E1523" t="s">
        <v>724</v>
      </c>
      <c r="F1523">
        <v>4</v>
      </c>
      <c r="G1523">
        <v>2021</v>
      </c>
      <c r="I1523" s="8">
        <v>1328.82</v>
      </c>
      <c r="J1523" t="s">
        <v>1556</v>
      </c>
      <c r="K1523" t="s">
        <v>32</v>
      </c>
      <c r="L1523" t="s">
        <v>33</v>
      </c>
      <c r="O1523">
        <v>0</v>
      </c>
      <c r="P1523">
        <v>0</v>
      </c>
      <c r="Q1523">
        <v>0</v>
      </c>
      <c r="R1523">
        <v>1</v>
      </c>
      <c r="S1523">
        <v>1</v>
      </c>
      <c r="T1523">
        <v>1</v>
      </c>
      <c r="U1523">
        <v>1</v>
      </c>
      <c r="V1523">
        <v>0</v>
      </c>
      <c r="W1523" t="s">
        <v>1161</v>
      </c>
      <c r="AA1523">
        <v>2007</v>
      </c>
      <c r="AB1523">
        <v>9999</v>
      </c>
      <c r="AC1523" t="s">
        <v>35</v>
      </c>
    </row>
    <row r="1524" spans="1:29" x14ac:dyDescent="0.25">
      <c r="A1524" s="31" t="s">
        <v>726</v>
      </c>
      <c r="B1524" s="23" t="s">
        <v>727</v>
      </c>
      <c r="D1524">
        <v>1</v>
      </c>
      <c r="E1524" t="s">
        <v>85</v>
      </c>
      <c r="F1524">
        <v>1</v>
      </c>
      <c r="G1524">
        <v>2021</v>
      </c>
      <c r="H1524" t="s">
        <v>205</v>
      </c>
      <c r="I1524" s="15">
        <v>10</v>
      </c>
      <c r="J1524" t="s">
        <v>52</v>
      </c>
      <c r="K1524" t="s">
        <v>41</v>
      </c>
      <c r="O1524">
        <v>0</v>
      </c>
      <c r="P1524">
        <v>0</v>
      </c>
      <c r="Q1524">
        <v>0</v>
      </c>
      <c r="R1524">
        <v>0</v>
      </c>
      <c r="S1524">
        <v>0</v>
      </c>
      <c r="T1524">
        <v>0</v>
      </c>
      <c r="U1524">
        <v>0</v>
      </c>
      <c r="V1524">
        <v>0</v>
      </c>
      <c r="W1524" t="s">
        <v>1162</v>
      </c>
      <c r="AA1524">
        <v>2007</v>
      </c>
      <c r="AB1524">
        <v>9999</v>
      </c>
      <c r="AC1524" t="s">
        <v>35</v>
      </c>
    </row>
    <row r="1525" spans="1:29" x14ac:dyDescent="0.25">
      <c r="A1525" s="31" t="s">
        <v>729</v>
      </c>
      <c r="B1525" s="23" t="s">
        <v>205</v>
      </c>
      <c r="D1525">
        <v>1</v>
      </c>
      <c r="E1525" t="s">
        <v>168</v>
      </c>
      <c r="F1525">
        <v>1</v>
      </c>
      <c r="G1525">
        <v>2021</v>
      </c>
      <c r="I1525" s="8">
        <v>9511</v>
      </c>
      <c r="J1525" t="s">
        <v>52</v>
      </c>
      <c r="K1525" t="s">
        <v>32</v>
      </c>
      <c r="O1525">
        <v>0</v>
      </c>
      <c r="P1525">
        <v>0</v>
      </c>
      <c r="Q1525">
        <v>0</v>
      </c>
      <c r="R1525">
        <v>0</v>
      </c>
      <c r="S1525">
        <v>1</v>
      </c>
      <c r="T1525">
        <v>1</v>
      </c>
      <c r="U1525">
        <v>1</v>
      </c>
      <c r="V1525">
        <v>0</v>
      </c>
      <c r="W1525" t="s">
        <v>1555</v>
      </c>
      <c r="AA1525">
        <v>2007</v>
      </c>
      <c r="AB1525">
        <v>9999</v>
      </c>
      <c r="AC1525" t="s">
        <v>35</v>
      </c>
    </row>
    <row r="1526" spans="1:29" x14ac:dyDescent="0.25">
      <c r="A1526" s="31" t="s">
        <v>731</v>
      </c>
      <c r="B1526" s="23" t="s">
        <v>732</v>
      </c>
      <c r="D1526">
        <v>1</v>
      </c>
      <c r="E1526" t="s">
        <v>51</v>
      </c>
      <c r="F1526">
        <v>10</v>
      </c>
      <c r="G1526">
        <v>2021</v>
      </c>
      <c r="H1526" t="s">
        <v>39</v>
      </c>
      <c r="I1526" s="15">
        <v>1.5</v>
      </c>
      <c r="J1526" t="s">
        <v>52</v>
      </c>
      <c r="K1526" t="s">
        <v>41</v>
      </c>
      <c r="O1526">
        <v>0</v>
      </c>
      <c r="P1526">
        <v>0</v>
      </c>
      <c r="Q1526">
        <v>0</v>
      </c>
      <c r="R1526">
        <v>0</v>
      </c>
      <c r="S1526">
        <v>0</v>
      </c>
      <c r="T1526">
        <v>0</v>
      </c>
      <c r="U1526">
        <v>0</v>
      </c>
      <c r="V1526">
        <v>0</v>
      </c>
      <c r="W1526" t="s">
        <v>1164</v>
      </c>
      <c r="AA1526">
        <v>2007</v>
      </c>
      <c r="AB1526">
        <v>9999</v>
      </c>
      <c r="AC1526" t="s">
        <v>35</v>
      </c>
    </row>
    <row r="1527" spans="1:29" x14ac:dyDescent="0.25">
      <c r="A1527" s="31" t="s">
        <v>734</v>
      </c>
      <c r="B1527" s="23" t="s">
        <v>735</v>
      </c>
      <c r="D1527">
        <v>1</v>
      </c>
      <c r="E1527" t="s">
        <v>736</v>
      </c>
      <c r="F1527">
        <v>4</v>
      </c>
      <c r="G1527">
        <v>2021</v>
      </c>
      <c r="I1527">
        <v>730.01</v>
      </c>
      <c r="J1527" t="s">
        <v>89</v>
      </c>
      <c r="K1527" t="s">
        <v>32</v>
      </c>
      <c r="O1527">
        <v>0</v>
      </c>
      <c r="P1527">
        <v>0</v>
      </c>
      <c r="Q1527">
        <v>0</v>
      </c>
      <c r="R1527">
        <v>0</v>
      </c>
      <c r="S1527">
        <v>1</v>
      </c>
      <c r="T1527">
        <v>1</v>
      </c>
      <c r="U1527">
        <v>1</v>
      </c>
      <c r="V1527">
        <v>0</v>
      </c>
      <c r="W1527" t="s">
        <v>1324</v>
      </c>
      <c r="AA1527">
        <v>2007</v>
      </c>
      <c r="AB1527">
        <v>9999</v>
      </c>
      <c r="AC1527" t="s">
        <v>35</v>
      </c>
    </row>
    <row r="1528" spans="1:29" x14ac:dyDescent="0.25">
      <c r="A1528" s="31" t="s">
        <v>1499</v>
      </c>
      <c r="B1528" s="23" t="s">
        <v>1500</v>
      </c>
      <c r="D1528">
        <v>1</v>
      </c>
      <c r="E1528" s="4">
        <v>960</v>
      </c>
      <c r="F1528">
        <v>9</v>
      </c>
      <c r="G1528">
        <v>2021</v>
      </c>
      <c r="I1528">
        <v>15.14</v>
      </c>
      <c r="J1528" t="s">
        <v>104</v>
      </c>
      <c r="K1528" t="s">
        <v>47</v>
      </c>
      <c r="O1528">
        <v>0</v>
      </c>
      <c r="P1528">
        <v>0</v>
      </c>
      <c r="Q1528">
        <v>0</v>
      </c>
      <c r="R1528">
        <v>0</v>
      </c>
      <c r="S1528">
        <v>1</v>
      </c>
      <c r="T1528">
        <v>1</v>
      </c>
      <c r="U1528">
        <v>1</v>
      </c>
      <c r="V1528">
        <v>0</v>
      </c>
      <c r="W1528" t="s">
        <v>1501</v>
      </c>
      <c r="AA1528">
        <v>2015</v>
      </c>
      <c r="AB1528">
        <v>9999</v>
      </c>
      <c r="AC1528" t="s">
        <v>1475</v>
      </c>
    </row>
    <row r="1529" spans="1:29" x14ac:dyDescent="0.25">
      <c r="A1529" s="31" t="s">
        <v>738</v>
      </c>
      <c r="B1529" s="23" t="s">
        <v>739</v>
      </c>
      <c r="D1529">
        <v>1</v>
      </c>
      <c r="E1529" t="s">
        <v>128</v>
      </c>
      <c r="F1529">
        <v>9</v>
      </c>
      <c r="G1529">
        <v>2021</v>
      </c>
      <c r="H1529" t="s">
        <v>1502</v>
      </c>
      <c r="I1529" s="15">
        <v>6.45</v>
      </c>
      <c r="J1529" t="s">
        <v>104</v>
      </c>
      <c r="K1529" t="s">
        <v>41</v>
      </c>
      <c r="O1529">
        <v>0</v>
      </c>
      <c r="P1529">
        <v>0</v>
      </c>
      <c r="Q1529">
        <v>0</v>
      </c>
      <c r="R1529">
        <v>0</v>
      </c>
      <c r="S1529">
        <v>0</v>
      </c>
      <c r="T1529">
        <v>0</v>
      </c>
      <c r="U1529">
        <v>0</v>
      </c>
      <c r="V1529">
        <v>0</v>
      </c>
      <c r="W1529" t="s">
        <v>1166</v>
      </c>
      <c r="AA1529">
        <v>2007</v>
      </c>
      <c r="AB1529">
        <v>9999</v>
      </c>
      <c r="AC1529" t="s">
        <v>35</v>
      </c>
    </row>
    <row r="1530" spans="1:29" x14ac:dyDescent="0.25">
      <c r="A1530" s="31" t="s">
        <v>745</v>
      </c>
      <c r="B1530" s="23" t="s">
        <v>746</v>
      </c>
      <c r="D1530">
        <v>1</v>
      </c>
      <c r="E1530" t="s">
        <v>468</v>
      </c>
      <c r="F1530">
        <v>7</v>
      </c>
      <c r="G1530">
        <v>2021</v>
      </c>
      <c r="I1530" s="8">
        <v>753.76</v>
      </c>
      <c r="J1530" t="s">
        <v>40</v>
      </c>
      <c r="K1530" t="s">
        <v>32</v>
      </c>
      <c r="O1530">
        <v>0</v>
      </c>
      <c r="P1530">
        <v>0</v>
      </c>
      <c r="Q1530">
        <v>0</v>
      </c>
      <c r="R1530">
        <v>0</v>
      </c>
      <c r="S1530">
        <v>1</v>
      </c>
      <c r="T1530">
        <v>1</v>
      </c>
      <c r="U1530">
        <v>1</v>
      </c>
      <c r="V1530">
        <v>0</v>
      </c>
      <c r="W1530" t="s">
        <v>1516</v>
      </c>
      <c r="AA1530">
        <v>2007</v>
      </c>
      <c r="AB1530">
        <v>9999</v>
      </c>
      <c r="AC1530" t="s">
        <v>35</v>
      </c>
    </row>
    <row r="1531" spans="1:29" x14ac:dyDescent="0.25">
      <c r="A1531" s="31" t="s">
        <v>1263</v>
      </c>
      <c r="B1531" s="23" t="s">
        <v>1264</v>
      </c>
      <c r="C1531" t="s">
        <v>1265</v>
      </c>
      <c r="D1531">
        <v>1</v>
      </c>
      <c r="E1531" t="s">
        <v>712</v>
      </c>
      <c r="F1531">
        <v>9</v>
      </c>
      <c r="G1531">
        <v>2021</v>
      </c>
      <c r="I1531">
        <v>1117.3699999999999</v>
      </c>
      <c r="J1531" t="s">
        <v>104</v>
      </c>
      <c r="K1531" t="s">
        <v>47</v>
      </c>
      <c r="O1531">
        <v>0</v>
      </c>
      <c r="P1531">
        <v>0</v>
      </c>
      <c r="Q1531">
        <v>0</v>
      </c>
      <c r="R1531">
        <v>0</v>
      </c>
      <c r="S1531">
        <v>1</v>
      </c>
      <c r="T1531">
        <v>1</v>
      </c>
      <c r="U1531">
        <v>1</v>
      </c>
      <c r="V1531">
        <v>0</v>
      </c>
      <c r="W1531" t="s">
        <v>1407</v>
      </c>
      <c r="AA1531">
        <v>2009</v>
      </c>
      <c r="AB1531">
        <v>9999</v>
      </c>
      <c r="AC1531" t="s">
        <v>1239</v>
      </c>
    </row>
    <row r="1532" spans="1:29" x14ac:dyDescent="0.25">
      <c r="A1532" s="31" t="s">
        <v>447</v>
      </c>
      <c r="B1532" s="23" t="s">
        <v>1571</v>
      </c>
      <c r="D1532">
        <v>1</v>
      </c>
      <c r="E1532" t="s">
        <v>45</v>
      </c>
      <c r="F1532">
        <v>4</v>
      </c>
      <c r="G1532">
        <v>2021</v>
      </c>
      <c r="I1532">
        <v>64.5</v>
      </c>
      <c r="J1532" t="s">
        <v>52</v>
      </c>
      <c r="K1532" t="s">
        <v>32</v>
      </c>
      <c r="O1532">
        <v>0</v>
      </c>
      <c r="P1532">
        <v>0</v>
      </c>
      <c r="Q1532">
        <v>0</v>
      </c>
      <c r="R1532">
        <v>0</v>
      </c>
      <c r="S1532">
        <v>1</v>
      </c>
      <c r="T1532">
        <v>1</v>
      </c>
      <c r="U1532">
        <v>1</v>
      </c>
      <c r="V1532">
        <v>0</v>
      </c>
      <c r="W1532" t="s">
        <v>1572</v>
      </c>
      <c r="AA1532">
        <v>2007</v>
      </c>
      <c r="AB1532">
        <v>9999</v>
      </c>
      <c r="AC1532" t="s">
        <v>35</v>
      </c>
    </row>
    <row r="1533" spans="1:29" x14ac:dyDescent="0.25">
      <c r="A1533" s="31" t="s">
        <v>754</v>
      </c>
      <c r="B1533" s="23" t="s">
        <v>755</v>
      </c>
      <c r="D1533">
        <v>1</v>
      </c>
      <c r="E1533" t="s">
        <v>85</v>
      </c>
      <c r="F1533">
        <v>1</v>
      </c>
      <c r="G1533">
        <v>2021</v>
      </c>
      <c r="H1533" t="s">
        <v>1503</v>
      </c>
      <c r="I1533" s="15">
        <v>0.05</v>
      </c>
      <c r="J1533" t="s">
        <v>52</v>
      </c>
      <c r="K1533" t="s">
        <v>41</v>
      </c>
      <c r="O1533">
        <v>0</v>
      </c>
      <c r="P1533">
        <v>0</v>
      </c>
      <c r="Q1533">
        <v>0</v>
      </c>
      <c r="R1533">
        <v>0</v>
      </c>
      <c r="S1533">
        <v>0</v>
      </c>
      <c r="T1533">
        <v>0</v>
      </c>
      <c r="U1533">
        <v>0</v>
      </c>
      <c r="V1533">
        <v>0</v>
      </c>
      <c r="W1533" t="s">
        <v>1169</v>
      </c>
      <c r="AA1533">
        <v>2007</v>
      </c>
      <c r="AB1533">
        <v>9999</v>
      </c>
      <c r="AC1533" t="s">
        <v>35</v>
      </c>
    </row>
    <row r="1534" spans="1:29" ht="30" x14ac:dyDescent="0.25">
      <c r="A1534" s="31" t="s">
        <v>758</v>
      </c>
      <c r="B1534" s="23" t="s">
        <v>1504</v>
      </c>
      <c r="C1534" t="s">
        <v>1505</v>
      </c>
      <c r="D1534">
        <v>1</v>
      </c>
      <c r="E1534" t="s">
        <v>760</v>
      </c>
      <c r="F1534">
        <v>7</v>
      </c>
      <c r="G1534">
        <v>2021</v>
      </c>
      <c r="I1534">
        <v>78.069999999999993</v>
      </c>
      <c r="J1534" t="s">
        <v>40</v>
      </c>
      <c r="K1534" t="s">
        <v>47</v>
      </c>
      <c r="O1534">
        <v>0</v>
      </c>
      <c r="P1534">
        <v>0</v>
      </c>
      <c r="Q1534">
        <v>0</v>
      </c>
      <c r="R1534">
        <v>0</v>
      </c>
      <c r="S1534">
        <v>1</v>
      </c>
      <c r="T1534">
        <v>1</v>
      </c>
      <c r="U1534">
        <v>1</v>
      </c>
      <c r="V1534">
        <v>0</v>
      </c>
      <c r="W1534" t="s">
        <v>1170</v>
      </c>
      <c r="AA1534">
        <v>2007</v>
      </c>
      <c r="AB1534">
        <v>9999</v>
      </c>
      <c r="AC1534" t="s">
        <v>35</v>
      </c>
    </row>
    <row r="1535" spans="1:29" x14ac:dyDescent="0.25">
      <c r="A1535" s="31" t="s">
        <v>78</v>
      </c>
      <c r="B1535" s="23" t="s">
        <v>1465</v>
      </c>
      <c r="C1535" t="s">
        <v>1466</v>
      </c>
      <c r="D1535">
        <v>1</v>
      </c>
      <c r="E1535" t="s">
        <v>80</v>
      </c>
      <c r="F1535">
        <v>8</v>
      </c>
      <c r="G1535">
        <v>2021</v>
      </c>
      <c r="I1535">
        <v>35.549999999999997</v>
      </c>
      <c r="J1535" t="s">
        <v>81</v>
      </c>
      <c r="K1535" t="s">
        <v>47</v>
      </c>
      <c r="O1535">
        <v>0</v>
      </c>
      <c r="P1535">
        <v>0</v>
      </c>
      <c r="Q1535">
        <v>0</v>
      </c>
      <c r="R1535">
        <v>0</v>
      </c>
      <c r="S1535">
        <v>1</v>
      </c>
      <c r="T1535">
        <v>1</v>
      </c>
      <c r="U1535">
        <v>1</v>
      </c>
      <c r="V1535">
        <v>0</v>
      </c>
      <c r="W1535" t="s">
        <v>1467</v>
      </c>
      <c r="AA1535">
        <v>2007</v>
      </c>
      <c r="AB1535">
        <v>9999</v>
      </c>
      <c r="AC1535" t="s">
        <v>35</v>
      </c>
    </row>
    <row r="1536" spans="1:29" x14ac:dyDescent="0.25">
      <c r="A1536" s="31" t="s">
        <v>768</v>
      </c>
      <c r="B1536" s="23" t="s">
        <v>769</v>
      </c>
      <c r="C1536" t="s">
        <v>770</v>
      </c>
      <c r="D1536">
        <v>1</v>
      </c>
      <c r="E1536" t="s">
        <v>30</v>
      </c>
      <c r="F1536">
        <v>4</v>
      </c>
      <c r="G1536">
        <v>2021</v>
      </c>
      <c r="I1536">
        <v>362.5</v>
      </c>
      <c r="J1536" t="s">
        <v>1556</v>
      </c>
      <c r="K1536" t="s">
        <v>47</v>
      </c>
      <c r="O1536">
        <v>0</v>
      </c>
      <c r="P1536">
        <v>0</v>
      </c>
      <c r="Q1536">
        <v>0</v>
      </c>
      <c r="R1536">
        <v>0</v>
      </c>
      <c r="S1536">
        <v>1</v>
      </c>
      <c r="T1536">
        <v>1</v>
      </c>
      <c r="U1536">
        <v>1</v>
      </c>
      <c r="V1536">
        <v>0</v>
      </c>
      <c r="W1536" t="s">
        <v>1506</v>
      </c>
      <c r="AA1536">
        <v>2007</v>
      </c>
      <c r="AB1536">
        <v>9999</v>
      </c>
      <c r="AC1536" t="s">
        <v>35</v>
      </c>
    </row>
    <row r="1537" spans="1:29" x14ac:dyDescent="0.25">
      <c r="A1537" s="31" t="s">
        <v>772</v>
      </c>
      <c r="B1537" s="23" t="s">
        <v>773</v>
      </c>
      <c r="C1537" t="s">
        <v>774</v>
      </c>
      <c r="D1537">
        <v>1</v>
      </c>
      <c r="E1537" t="s">
        <v>358</v>
      </c>
      <c r="F1537">
        <v>1</v>
      </c>
      <c r="G1537">
        <v>2021</v>
      </c>
      <c r="I1537" s="8">
        <v>479.35</v>
      </c>
      <c r="J1537" t="s">
        <v>52</v>
      </c>
      <c r="K1537" t="s">
        <v>32</v>
      </c>
      <c r="O1537">
        <v>0</v>
      </c>
      <c r="P1537">
        <v>0</v>
      </c>
      <c r="Q1537">
        <v>0</v>
      </c>
      <c r="R1537">
        <v>0</v>
      </c>
      <c r="S1537">
        <v>1</v>
      </c>
      <c r="T1537">
        <v>1</v>
      </c>
      <c r="U1537">
        <v>1</v>
      </c>
      <c r="V1537">
        <v>0</v>
      </c>
      <c r="W1537" t="s">
        <v>1174</v>
      </c>
      <c r="AA1537">
        <v>2007</v>
      </c>
      <c r="AB1537">
        <v>9999</v>
      </c>
      <c r="AC1537" t="s">
        <v>35</v>
      </c>
    </row>
    <row r="1538" spans="1:29" x14ac:dyDescent="0.25">
      <c r="A1538" s="31" t="s">
        <v>779</v>
      </c>
      <c r="B1538" s="23" t="s">
        <v>780</v>
      </c>
      <c r="D1538">
        <v>1</v>
      </c>
      <c r="E1538" t="s">
        <v>80</v>
      </c>
      <c r="F1538">
        <v>8</v>
      </c>
      <c r="G1538">
        <v>2021</v>
      </c>
      <c r="I1538">
        <v>70.900000000000006</v>
      </c>
      <c r="J1538" t="s">
        <v>81</v>
      </c>
      <c r="K1538" t="s">
        <v>47</v>
      </c>
      <c r="O1538">
        <v>0</v>
      </c>
      <c r="P1538">
        <v>0</v>
      </c>
      <c r="Q1538">
        <v>0</v>
      </c>
      <c r="R1538">
        <v>0</v>
      </c>
      <c r="S1538">
        <v>1</v>
      </c>
      <c r="T1538">
        <v>1</v>
      </c>
      <c r="U1538">
        <v>1</v>
      </c>
      <c r="V1538">
        <v>0</v>
      </c>
      <c r="W1538" t="s">
        <v>1176</v>
      </c>
      <c r="AA1538">
        <v>2007</v>
      </c>
      <c r="AB1538">
        <v>9999</v>
      </c>
      <c r="AC1538" t="s">
        <v>35</v>
      </c>
    </row>
    <row r="1539" spans="1:29" x14ac:dyDescent="0.25">
      <c r="A1539" s="31" t="s">
        <v>782</v>
      </c>
      <c r="B1539" s="23" t="s">
        <v>783</v>
      </c>
      <c r="D1539">
        <v>1</v>
      </c>
      <c r="E1539" t="s">
        <v>784</v>
      </c>
      <c r="F1539">
        <v>6</v>
      </c>
      <c r="G1539">
        <v>2021</v>
      </c>
      <c r="I1539">
        <v>90.68</v>
      </c>
      <c r="J1539" t="s">
        <v>31</v>
      </c>
      <c r="K1539" t="s">
        <v>47</v>
      </c>
      <c r="O1539">
        <v>0</v>
      </c>
      <c r="P1539">
        <v>0</v>
      </c>
      <c r="Q1539">
        <v>0</v>
      </c>
      <c r="R1539">
        <v>0</v>
      </c>
      <c r="S1539">
        <v>1</v>
      </c>
      <c r="T1539">
        <v>1</v>
      </c>
      <c r="U1539">
        <v>1</v>
      </c>
      <c r="V1539">
        <v>0</v>
      </c>
      <c r="W1539" t="s">
        <v>1326</v>
      </c>
      <c r="AA1539">
        <v>2007</v>
      </c>
      <c r="AB1539">
        <v>9999</v>
      </c>
      <c r="AC1539" t="s">
        <v>35</v>
      </c>
    </row>
    <row r="1540" spans="1:29" x14ac:dyDescent="0.25">
      <c r="A1540" s="31" t="s">
        <v>786</v>
      </c>
      <c r="B1540" s="23" t="s">
        <v>787</v>
      </c>
      <c r="C1540" t="s">
        <v>788</v>
      </c>
      <c r="D1540">
        <v>1</v>
      </c>
      <c r="E1540" t="s">
        <v>120</v>
      </c>
      <c r="F1540">
        <v>3</v>
      </c>
      <c r="G1540">
        <v>2021</v>
      </c>
      <c r="I1540">
        <v>26.65</v>
      </c>
      <c r="J1540" t="s">
        <v>121</v>
      </c>
      <c r="K1540" t="s">
        <v>47</v>
      </c>
      <c r="O1540">
        <v>0</v>
      </c>
      <c r="P1540">
        <v>0</v>
      </c>
      <c r="Q1540">
        <v>0</v>
      </c>
      <c r="R1540">
        <v>0</v>
      </c>
      <c r="S1540">
        <v>1</v>
      </c>
      <c r="T1540">
        <v>1</v>
      </c>
      <c r="U1540">
        <v>1</v>
      </c>
      <c r="V1540">
        <v>0</v>
      </c>
      <c r="W1540" t="s">
        <v>1178</v>
      </c>
      <c r="AA1540">
        <v>2007</v>
      </c>
      <c r="AB1540">
        <v>9999</v>
      </c>
      <c r="AC1540" t="s">
        <v>35</v>
      </c>
    </row>
    <row r="1541" spans="1:29" x14ac:dyDescent="0.25">
      <c r="A1541" s="31" t="s">
        <v>790</v>
      </c>
      <c r="B1541" s="23" t="s">
        <v>791</v>
      </c>
      <c r="D1541">
        <v>1</v>
      </c>
      <c r="E1541" t="s">
        <v>80</v>
      </c>
      <c r="F1541">
        <v>8</v>
      </c>
      <c r="G1541">
        <v>2021</v>
      </c>
      <c r="I1541">
        <v>250.55</v>
      </c>
      <c r="J1541" t="s">
        <v>81</v>
      </c>
      <c r="K1541" t="s">
        <v>47</v>
      </c>
      <c r="O1541">
        <v>0</v>
      </c>
      <c r="P1541">
        <v>0</v>
      </c>
      <c r="Q1541">
        <v>0</v>
      </c>
      <c r="R1541">
        <v>0</v>
      </c>
      <c r="S1541">
        <v>1</v>
      </c>
      <c r="T1541">
        <v>1</v>
      </c>
      <c r="U1541">
        <v>1</v>
      </c>
      <c r="V1541">
        <v>0</v>
      </c>
      <c r="W1541" t="s">
        <v>1507</v>
      </c>
      <c r="AA1541">
        <v>2007</v>
      </c>
      <c r="AB1541">
        <v>9999</v>
      </c>
      <c r="AC1541" t="s">
        <v>35</v>
      </c>
    </row>
    <row r="1542" spans="1:29" ht="26.25" x14ac:dyDescent="0.25">
      <c r="A1542" s="31" t="s">
        <v>1327</v>
      </c>
      <c r="B1542" s="26" t="s">
        <v>1328</v>
      </c>
      <c r="C1542" t="s">
        <v>1329</v>
      </c>
      <c r="D1542">
        <v>1</v>
      </c>
      <c r="E1542" t="s">
        <v>218</v>
      </c>
      <c r="F1542">
        <v>2</v>
      </c>
      <c r="G1542">
        <v>2021</v>
      </c>
      <c r="I1542" s="8">
        <v>5</v>
      </c>
      <c r="J1542" t="s">
        <v>147</v>
      </c>
      <c r="K1542" t="s">
        <v>41</v>
      </c>
      <c r="O1542">
        <v>0</v>
      </c>
      <c r="P1542">
        <v>0</v>
      </c>
      <c r="Q1542">
        <v>0</v>
      </c>
      <c r="R1542">
        <v>0</v>
      </c>
      <c r="S1542">
        <v>0</v>
      </c>
      <c r="T1542">
        <v>1</v>
      </c>
      <c r="U1542">
        <v>1</v>
      </c>
      <c r="V1542">
        <v>0</v>
      </c>
      <c r="W1542" t="s">
        <v>1330</v>
      </c>
      <c r="AA1542">
        <v>2010</v>
      </c>
      <c r="AB1542">
        <v>9999</v>
      </c>
      <c r="AC1542" t="s">
        <v>1292</v>
      </c>
    </row>
    <row r="1543" spans="1:29" x14ac:dyDescent="0.25">
      <c r="A1543" s="31" t="s">
        <v>796</v>
      </c>
      <c r="B1543" s="23" t="s">
        <v>797</v>
      </c>
      <c r="C1543" t="s">
        <v>798</v>
      </c>
      <c r="D1543">
        <v>1</v>
      </c>
      <c r="E1543" t="s">
        <v>534</v>
      </c>
      <c r="F1543">
        <v>10</v>
      </c>
      <c r="G1543">
        <v>2021</v>
      </c>
      <c r="I1543">
        <v>3472.77</v>
      </c>
      <c r="J1543" t="s">
        <v>40</v>
      </c>
      <c r="K1543" t="s">
        <v>47</v>
      </c>
      <c r="O1543">
        <v>0</v>
      </c>
      <c r="P1543">
        <v>0</v>
      </c>
      <c r="Q1543">
        <v>0</v>
      </c>
      <c r="R1543">
        <v>0</v>
      </c>
      <c r="S1543">
        <v>1</v>
      </c>
      <c r="T1543">
        <v>1</v>
      </c>
      <c r="U1543">
        <v>1</v>
      </c>
      <c r="V1543">
        <v>0</v>
      </c>
      <c r="W1543" t="s">
        <v>1181</v>
      </c>
      <c r="AA1543">
        <v>2007</v>
      </c>
      <c r="AB1543">
        <v>9999</v>
      </c>
      <c r="AC1543" t="s">
        <v>35</v>
      </c>
    </row>
    <row r="1544" spans="1:29" x14ac:dyDescent="0.25">
      <c r="A1544" s="31" t="s">
        <v>800</v>
      </c>
      <c r="B1544" s="23" t="s">
        <v>801</v>
      </c>
      <c r="C1544" t="s">
        <v>802</v>
      </c>
      <c r="D1544">
        <v>1</v>
      </c>
      <c r="E1544" t="s">
        <v>442</v>
      </c>
      <c r="F1544">
        <v>4</v>
      </c>
      <c r="G1544">
        <v>2021</v>
      </c>
      <c r="I1544">
        <v>1504.75</v>
      </c>
      <c r="J1544" t="s">
        <v>89</v>
      </c>
      <c r="K1544" t="s">
        <v>32</v>
      </c>
      <c r="O1544">
        <v>0</v>
      </c>
      <c r="P1544">
        <v>0</v>
      </c>
      <c r="Q1544">
        <v>0</v>
      </c>
      <c r="R1544">
        <v>0</v>
      </c>
      <c r="S1544">
        <v>1</v>
      </c>
      <c r="T1544">
        <v>1</v>
      </c>
      <c r="U1544">
        <v>1</v>
      </c>
      <c r="V1544">
        <v>0</v>
      </c>
      <c r="W1544" t="s">
        <v>1331</v>
      </c>
      <c r="AA1544">
        <v>2007</v>
      </c>
      <c r="AB1544">
        <v>9999</v>
      </c>
      <c r="AC1544" t="s">
        <v>35</v>
      </c>
    </row>
    <row r="1545" spans="1:29" x14ac:dyDescent="0.25">
      <c r="A1545" s="31" t="s">
        <v>808</v>
      </c>
      <c r="B1545" s="23" t="s">
        <v>809</v>
      </c>
      <c r="D1545">
        <v>1</v>
      </c>
      <c r="E1545" t="s">
        <v>80</v>
      </c>
      <c r="F1545">
        <v>8</v>
      </c>
      <c r="G1545">
        <v>2021</v>
      </c>
      <c r="I1545">
        <v>24</v>
      </c>
      <c r="J1545" t="s">
        <v>81</v>
      </c>
      <c r="K1545" t="s">
        <v>47</v>
      </c>
      <c r="O1545">
        <v>0</v>
      </c>
      <c r="P1545">
        <v>0</v>
      </c>
      <c r="Q1545">
        <v>0</v>
      </c>
      <c r="R1545">
        <v>0</v>
      </c>
      <c r="S1545">
        <v>1</v>
      </c>
      <c r="T1545">
        <v>1</v>
      </c>
      <c r="U1545">
        <v>1</v>
      </c>
      <c r="V1545">
        <v>0</v>
      </c>
      <c r="W1545" t="s">
        <v>1184</v>
      </c>
      <c r="AA1545">
        <v>2007</v>
      </c>
      <c r="AB1545">
        <v>9999</v>
      </c>
      <c r="AC1545" t="s">
        <v>35</v>
      </c>
    </row>
    <row r="1546" spans="1:29" x14ac:dyDescent="0.25">
      <c r="A1546" s="31" t="s">
        <v>814</v>
      </c>
      <c r="B1546" s="23" t="s">
        <v>815</v>
      </c>
      <c r="D1546">
        <v>1</v>
      </c>
      <c r="E1546" t="s">
        <v>80</v>
      </c>
      <c r="F1546">
        <v>8</v>
      </c>
      <c r="G1546">
        <v>2021</v>
      </c>
      <c r="I1546" s="8">
        <v>106.41</v>
      </c>
      <c r="J1546" t="s">
        <v>81</v>
      </c>
      <c r="K1546" t="s">
        <v>32</v>
      </c>
      <c r="O1546">
        <v>0</v>
      </c>
      <c r="P1546">
        <v>0</v>
      </c>
      <c r="Q1546">
        <v>0</v>
      </c>
      <c r="R1546">
        <v>0</v>
      </c>
      <c r="S1546">
        <v>1</v>
      </c>
      <c r="T1546">
        <v>1</v>
      </c>
      <c r="U1546">
        <v>1</v>
      </c>
      <c r="V1546">
        <v>0</v>
      </c>
      <c r="W1546" t="s">
        <v>1432</v>
      </c>
      <c r="AA1546">
        <v>2007</v>
      </c>
      <c r="AB1546">
        <v>9999</v>
      </c>
      <c r="AC1546" t="s">
        <v>35</v>
      </c>
    </row>
    <row r="1547" spans="1:29" x14ac:dyDescent="0.25">
      <c r="A1547" s="31" t="s">
        <v>822</v>
      </c>
      <c r="B1547" s="23" t="s">
        <v>823</v>
      </c>
      <c r="D1547">
        <v>1</v>
      </c>
      <c r="E1547" t="s">
        <v>80</v>
      </c>
      <c r="F1547">
        <v>8</v>
      </c>
      <c r="G1547">
        <v>2021</v>
      </c>
      <c r="I1547" s="8">
        <v>216.12</v>
      </c>
      <c r="J1547" t="s">
        <v>81</v>
      </c>
      <c r="K1547" t="s">
        <v>47</v>
      </c>
      <c r="O1547">
        <v>0</v>
      </c>
      <c r="P1547">
        <v>0</v>
      </c>
      <c r="Q1547">
        <v>0</v>
      </c>
      <c r="R1547">
        <v>0</v>
      </c>
      <c r="S1547">
        <v>1</v>
      </c>
      <c r="T1547">
        <v>1</v>
      </c>
      <c r="U1547">
        <v>1</v>
      </c>
      <c r="V1547">
        <v>0</v>
      </c>
      <c r="W1547" t="s">
        <v>1187</v>
      </c>
      <c r="AA1547">
        <v>2007</v>
      </c>
      <c r="AB1547">
        <v>9999</v>
      </c>
      <c r="AC1547" t="s">
        <v>35</v>
      </c>
    </row>
    <row r="1548" spans="1:29" x14ac:dyDescent="0.25">
      <c r="A1548" s="31" t="s">
        <v>1374</v>
      </c>
      <c r="B1548" s="23" t="s">
        <v>1375</v>
      </c>
      <c r="D1548">
        <v>1</v>
      </c>
      <c r="E1548" t="s">
        <v>80</v>
      </c>
      <c r="F1548">
        <v>8</v>
      </c>
      <c r="G1548">
        <v>2021</v>
      </c>
      <c r="I1548">
        <v>22.3</v>
      </c>
      <c r="J1548" t="s">
        <v>81</v>
      </c>
      <c r="K1548" t="s">
        <v>47</v>
      </c>
      <c r="O1548">
        <v>0</v>
      </c>
      <c r="P1548">
        <v>0</v>
      </c>
      <c r="Q1548">
        <v>0</v>
      </c>
      <c r="R1548">
        <v>0</v>
      </c>
      <c r="S1548">
        <v>1</v>
      </c>
      <c r="T1548">
        <v>1</v>
      </c>
      <c r="U1548">
        <v>1</v>
      </c>
      <c r="V1548">
        <v>0</v>
      </c>
      <c r="W1548" t="s">
        <v>1376</v>
      </c>
      <c r="AA1548">
        <v>2011</v>
      </c>
      <c r="AB1548">
        <v>2023</v>
      </c>
      <c r="AC1548" t="s">
        <v>1377</v>
      </c>
    </row>
    <row r="1549" spans="1:29" x14ac:dyDescent="0.25">
      <c r="A1549" s="31" t="s">
        <v>825</v>
      </c>
      <c r="B1549" s="23" t="s">
        <v>826</v>
      </c>
      <c r="D1549">
        <v>1</v>
      </c>
      <c r="E1549" t="s">
        <v>80</v>
      </c>
      <c r="F1549">
        <v>8</v>
      </c>
      <c r="G1549">
        <v>2021</v>
      </c>
      <c r="I1549">
        <v>116.14</v>
      </c>
      <c r="J1549" t="s">
        <v>81</v>
      </c>
      <c r="K1549" t="s">
        <v>47</v>
      </c>
      <c r="O1549">
        <v>0</v>
      </c>
      <c r="P1549">
        <v>0</v>
      </c>
      <c r="Q1549">
        <v>0</v>
      </c>
      <c r="R1549">
        <v>0</v>
      </c>
      <c r="S1549">
        <v>1</v>
      </c>
      <c r="T1549">
        <v>1</v>
      </c>
      <c r="U1549">
        <v>1</v>
      </c>
      <c r="V1549">
        <v>0</v>
      </c>
      <c r="W1549" t="s">
        <v>1188</v>
      </c>
      <c r="AA1549">
        <v>2007</v>
      </c>
      <c r="AB1549">
        <v>9999</v>
      </c>
      <c r="AC1549" t="s">
        <v>35</v>
      </c>
    </row>
    <row r="1550" spans="1:29" x14ac:dyDescent="0.25">
      <c r="A1550" s="31" t="s">
        <v>828</v>
      </c>
      <c r="B1550" s="25" t="s">
        <v>1408</v>
      </c>
      <c r="C1550" t="s">
        <v>1409</v>
      </c>
      <c r="D1550">
        <v>1</v>
      </c>
      <c r="E1550" t="s">
        <v>80</v>
      </c>
      <c r="F1550">
        <v>8</v>
      </c>
      <c r="G1550">
        <v>2021</v>
      </c>
      <c r="I1550" s="8">
        <v>71.58</v>
      </c>
      <c r="J1550" t="s">
        <v>81</v>
      </c>
      <c r="K1550" t="s">
        <v>47</v>
      </c>
      <c r="O1550">
        <v>0</v>
      </c>
      <c r="P1550">
        <v>0</v>
      </c>
      <c r="Q1550">
        <v>0</v>
      </c>
      <c r="R1550">
        <v>0</v>
      </c>
      <c r="S1550">
        <v>1</v>
      </c>
      <c r="T1550">
        <v>1</v>
      </c>
      <c r="U1550">
        <v>1</v>
      </c>
      <c r="V1550">
        <v>0</v>
      </c>
      <c r="W1550" t="s">
        <v>1410</v>
      </c>
      <c r="AA1550">
        <v>2007</v>
      </c>
      <c r="AB1550">
        <v>9999</v>
      </c>
      <c r="AC1550" t="s">
        <v>35</v>
      </c>
    </row>
    <row r="1551" spans="1:29" x14ac:dyDescent="0.25">
      <c r="A1551" s="31" t="s">
        <v>831</v>
      </c>
      <c r="B1551" s="23" t="s">
        <v>832</v>
      </c>
      <c r="C1551" t="s">
        <v>833</v>
      </c>
      <c r="D1551">
        <v>1</v>
      </c>
      <c r="E1551" t="s">
        <v>38</v>
      </c>
      <c r="F1551">
        <v>4</v>
      </c>
      <c r="G1551">
        <v>2021</v>
      </c>
      <c r="H1551" t="s">
        <v>906</v>
      </c>
      <c r="I1551" s="15">
        <v>0.05</v>
      </c>
      <c r="J1551" t="s">
        <v>59</v>
      </c>
      <c r="K1551" t="s">
        <v>41</v>
      </c>
      <c r="O1551">
        <v>0</v>
      </c>
      <c r="P1551">
        <v>0</v>
      </c>
      <c r="Q1551">
        <v>0</v>
      </c>
      <c r="R1551">
        <v>0</v>
      </c>
      <c r="S1551">
        <v>0</v>
      </c>
      <c r="T1551">
        <v>0</v>
      </c>
      <c r="U1551">
        <v>0</v>
      </c>
      <c r="V1551">
        <v>0</v>
      </c>
      <c r="W1551" t="s">
        <v>1190</v>
      </c>
      <c r="AA1551">
        <v>2007</v>
      </c>
      <c r="AB1551">
        <v>9999</v>
      </c>
      <c r="AC1551" t="s">
        <v>35</v>
      </c>
    </row>
    <row r="1552" spans="1:29" x14ac:dyDescent="0.25">
      <c r="A1552" s="31" t="s">
        <v>1433</v>
      </c>
      <c r="B1552" s="23" t="s">
        <v>1434</v>
      </c>
      <c r="D1552">
        <v>1</v>
      </c>
      <c r="E1552" s="4">
        <v>133</v>
      </c>
      <c r="F1552">
        <v>1</v>
      </c>
      <c r="G1552">
        <v>2021</v>
      </c>
      <c r="I1552">
        <v>1302.9000000000001</v>
      </c>
      <c r="J1552" t="s">
        <v>52</v>
      </c>
      <c r="K1552" t="s">
        <v>32</v>
      </c>
      <c r="O1552">
        <v>0</v>
      </c>
      <c r="P1552">
        <v>0</v>
      </c>
      <c r="Q1552">
        <v>0</v>
      </c>
      <c r="R1552">
        <v>0</v>
      </c>
      <c r="S1552">
        <v>1</v>
      </c>
      <c r="T1552">
        <v>1</v>
      </c>
      <c r="U1552">
        <v>1</v>
      </c>
      <c r="V1552">
        <v>0</v>
      </c>
      <c r="W1552" t="s">
        <v>1435</v>
      </c>
      <c r="AA1552">
        <v>2013</v>
      </c>
      <c r="AB1552">
        <v>9999</v>
      </c>
      <c r="AC1552" t="s">
        <v>1419</v>
      </c>
    </row>
    <row r="1553" spans="1:29" x14ac:dyDescent="0.25">
      <c r="A1553" s="31" t="s">
        <v>1194</v>
      </c>
      <c r="B1553" s="23" t="s">
        <v>1195</v>
      </c>
      <c r="D1553">
        <v>1</v>
      </c>
      <c r="E1553" t="s">
        <v>85</v>
      </c>
      <c r="F1553">
        <v>1</v>
      </c>
      <c r="G1553">
        <v>2021</v>
      </c>
      <c r="H1553" t="s">
        <v>39</v>
      </c>
      <c r="I1553" s="15">
        <v>0.18</v>
      </c>
      <c r="J1553" t="s">
        <v>52</v>
      </c>
      <c r="K1553" t="s">
        <v>41</v>
      </c>
      <c r="O1553">
        <v>0</v>
      </c>
      <c r="P1553">
        <v>0</v>
      </c>
      <c r="Q1553">
        <v>0</v>
      </c>
      <c r="R1553">
        <v>0</v>
      </c>
      <c r="S1553">
        <v>0</v>
      </c>
      <c r="T1553">
        <v>0</v>
      </c>
      <c r="U1553">
        <v>0</v>
      </c>
      <c r="V1553">
        <v>0</v>
      </c>
      <c r="W1553" t="s">
        <v>1267</v>
      </c>
      <c r="AA1553">
        <v>2008</v>
      </c>
      <c r="AB1553">
        <v>9999</v>
      </c>
      <c r="AC1553" t="s">
        <v>1054</v>
      </c>
    </row>
    <row r="1554" spans="1:29" x14ac:dyDescent="0.25">
      <c r="A1554" s="31" t="s">
        <v>1268</v>
      </c>
      <c r="B1554" s="23" t="s">
        <v>1262</v>
      </c>
      <c r="D1554">
        <v>1</v>
      </c>
      <c r="E1554" t="s">
        <v>300</v>
      </c>
      <c r="F1554">
        <v>9</v>
      </c>
      <c r="G1554">
        <v>2021</v>
      </c>
      <c r="I1554">
        <v>425</v>
      </c>
      <c r="J1554" t="s">
        <v>104</v>
      </c>
      <c r="K1554" t="s">
        <v>47</v>
      </c>
      <c r="O1554">
        <v>0</v>
      </c>
      <c r="P1554">
        <v>0</v>
      </c>
      <c r="Q1554">
        <v>0</v>
      </c>
      <c r="R1554">
        <v>0</v>
      </c>
      <c r="S1554">
        <v>1</v>
      </c>
      <c r="T1554">
        <v>1</v>
      </c>
      <c r="U1554">
        <v>1</v>
      </c>
      <c r="V1554">
        <v>0</v>
      </c>
      <c r="W1554" t="s">
        <v>1411</v>
      </c>
      <c r="AA1554">
        <v>2009</v>
      </c>
      <c r="AB1554">
        <v>9999</v>
      </c>
      <c r="AC1554" t="s">
        <v>1239</v>
      </c>
    </row>
    <row r="1555" spans="1:29" x14ac:dyDescent="0.25">
      <c r="A1555" s="31" t="s">
        <v>845</v>
      </c>
      <c r="B1555" s="23" t="s">
        <v>846</v>
      </c>
      <c r="C1555" t="s">
        <v>847</v>
      </c>
      <c r="D1555">
        <v>1</v>
      </c>
      <c r="E1555" t="s">
        <v>300</v>
      </c>
      <c r="F1555">
        <v>9</v>
      </c>
      <c r="G1555">
        <v>2021</v>
      </c>
      <c r="I1555">
        <v>745.34</v>
      </c>
      <c r="J1555" t="s">
        <v>104</v>
      </c>
      <c r="K1555" t="s">
        <v>47</v>
      </c>
      <c r="O1555">
        <v>0</v>
      </c>
      <c r="P1555">
        <v>0</v>
      </c>
      <c r="Q1555">
        <v>0</v>
      </c>
      <c r="R1555">
        <v>0</v>
      </c>
      <c r="S1555">
        <v>1</v>
      </c>
      <c r="T1555">
        <v>1</v>
      </c>
      <c r="U1555">
        <v>1</v>
      </c>
      <c r="V1555">
        <v>0</v>
      </c>
      <c r="W1555" t="s">
        <v>1517</v>
      </c>
      <c r="AA1555">
        <v>2007</v>
      </c>
      <c r="AB1555">
        <v>9999</v>
      </c>
      <c r="AC1555" t="s">
        <v>35</v>
      </c>
    </row>
    <row r="1556" spans="1:29" x14ac:dyDescent="0.25">
      <c r="A1556" s="31" t="s">
        <v>852</v>
      </c>
      <c r="B1556" s="23" t="s">
        <v>853</v>
      </c>
      <c r="D1556">
        <v>1</v>
      </c>
      <c r="E1556" t="s">
        <v>85</v>
      </c>
      <c r="F1556">
        <v>1</v>
      </c>
      <c r="G1556">
        <v>2021</v>
      </c>
      <c r="H1556" t="s">
        <v>837</v>
      </c>
      <c r="I1556" s="15">
        <v>1.2999999999999999E-2</v>
      </c>
      <c r="J1556" t="s">
        <v>52</v>
      </c>
      <c r="K1556" t="s">
        <v>41</v>
      </c>
      <c r="O1556">
        <v>0</v>
      </c>
      <c r="P1556">
        <v>0</v>
      </c>
      <c r="Q1556">
        <v>0</v>
      </c>
      <c r="R1556">
        <v>0</v>
      </c>
      <c r="S1556">
        <v>0</v>
      </c>
      <c r="T1556">
        <v>0</v>
      </c>
      <c r="U1556">
        <v>0</v>
      </c>
      <c r="V1556">
        <v>0</v>
      </c>
      <c r="W1556" t="s">
        <v>1191</v>
      </c>
      <c r="AA1556">
        <v>2007</v>
      </c>
      <c r="AB1556">
        <v>9999</v>
      </c>
      <c r="AC1556" t="s">
        <v>35</v>
      </c>
    </row>
    <row r="1557" spans="1:29" x14ac:dyDescent="0.25">
      <c r="A1557" s="31" t="s">
        <v>836</v>
      </c>
      <c r="B1557" s="23" t="s">
        <v>1413</v>
      </c>
      <c r="D1557">
        <v>1</v>
      </c>
      <c r="E1557" t="s">
        <v>64</v>
      </c>
      <c r="F1557">
        <v>1</v>
      </c>
      <c r="G1557">
        <v>2021</v>
      </c>
      <c r="I1557">
        <v>236.3</v>
      </c>
      <c r="J1557" t="s">
        <v>52</v>
      </c>
      <c r="K1557" t="s">
        <v>32</v>
      </c>
      <c r="O1557">
        <v>0</v>
      </c>
      <c r="P1557">
        <v>0</v>
      </c>
      <c r="Q1557">
        <v>0</v>
      </c>
      <c r="R1557">
        <v>0</v>
      </c>
      <c r="S1557">
        <v>1</v>
      </c>
      <c r="T1557">
        <v>1</v>
      </c>
      <c r="U1557">
        <v>1</v>
      </c>
      <c r="V1557">
        <v>0</v>
      </c>
      <c r="W1557" t="s">
        <v>1191</v>
      </c>
      <c r="AA1557">
        <v>2007</v>
      </c>
      <c r="AB1557">
        <v>9999</v>
      </c>
      <c r="AC1557" t="s">
        <v>35</v>
      </c>
    </row>
    <row r="1558" spans="1:29" x14ac:dyDescent="0.25">
      <c r="A1558" s="31" t="s">
        <v>862</v>
      </c>
      <c r="B1558" s="23" t="s">
        <v>863</v>
      </c>
      <c r="C1558" t="s">
        <v>864</v>
      </c>
      <c r="D1558">
        <v>1</v>
      </c>
      <c r="E1558" t="s">
        <v>442</v>
      </c>
      <c r="F1558">
        <v>4</v>
      </c>
      <c r="G1558">
        <v>2021</v>
      </c>
      <c r="I1558" s="8">
        <v>347.15</v>
      </c>
      <c r="J1558" t="s">
        <v>89</v>
      </c>
      <c r="K1558" t="s">
        <v>47</v>
      </c>
      <c r="O1558">
        <v>0</v>
      </c>
      <c r="P1558">
        <v>0</v>
      </c>
      <c r="Q1558">
        <v>0</v>
      </c>
      <c r="R1558">
        <v>0</v>
      </c>
      <c r="S1558">
        <v>1</v>
      </c>
      <c r="T1558">
        <v>1</v>
      </c>
      <c r="U1558">
        <v>1</v>
      </c>
      <c r="V1558">
        <v>0</v>
      </c>
      <c r="W1558" t="s">
        <v>1334</v>
      </c>
      <c r="AA1558">
        <v>2007</v>
      </c>
      <c r="AB1558">
        <v>9999</v>
      </c>
      <c r="AC1558" t="s">
        <v>35</v>
      </c>
    </row>
    <row r="1559" spans="1:29" x14ac:dyDescent="0.25">
      <c r="A1559" s="31" t="s">
        <v>866</v>
      </c>
      <c r="B1559" s="23" t="s">
        <v>867</v>
      </c>
      <c r="C1559" t="s">
        <v>868</v>
      </c>
      <c r="D1559">
        <v>1</v>
      </c>
      <c r="E1559" t="s">
        <v>869</v>
      </c>
      <c r="F1559">
        <v>4</v>
      </c>
      <c r="G1559">
        <v>2021</v>
      </c>
      <c r="I1559">
        <v>205.28</v>
      </c>
      <c r="J1559" t="s">
        <v>1556</v>
      </c>
      <c r="K1559" t="s">
        <v>32</v>
      </c>
      <c r="O1559">
        <v>0</v>
      </c>
      <c r="P1559">
        <v>0</v>
      </c>
      <c r="Q1559">
        <v>0</v>
      </c>
      <c r="R1559">
        <v>0</v>
      </c>
      <c r="S1559">
        <v>1</v>
      </c>
      <c r="T1559">
        <v>1</v>
      </c>
      <c r="U1559">
        <v>1</v>
      </c>
      <c r="V1559">
        <v>0</v>
      </c>
      <c r="W1559" t="s">
        <v>1199</v>
      </c>
      <c r="AA1559">
        <v>2007</v>
      </c>
      <c r="AB1559">
        <v>9999</v>
      </c>
      <c r="AC1559" t="s">
        <v>35</v>
      </c>
    </row>
    <row r="1560" spans="1:29" x14ac:dyDescent="0.25">
      <c r="A1560" s="31" t="s">
        <v>1023</v>
      </c>
      <c r="B1560" s="23" t="s">
        <v>1200</v>
      </c>
      <c r="D1560">
        <v>1</v>
      </c>
      <c r="E1560" t="s">
        <v>85</v>
      </c>
      <c r="F1560">
        <v>1</v>
      </c>
      <c r="G1560">
        <v>2021</v>
      </c>
      <c r="H1560" t="s">
        <v>39</v>
      </c>
      <c r="I1560" s="15">
        <v>3.5</v>
      </c>
      <c r="J1560" t="s">
        <v>52</v>
      </c>
      <c r="K1560" t="s">
        <v>41</v>
      </c>
      <c r="O1560">
        <v>0</v>
      </c>
      <c r="P1560">
        <v>0</v>
      </c>
      <c r="Q1560">
        <v>0</v>
      </c>
      <c r="R1560">
        <v>0</v>
      </c>
      <c r="S1560">
        <v>0</v>
      </c>
      <c r="T1560">
        <v>0</v>
      </c>
      <c r="U1560">
        <v>0</v>
      </c>
      <c r="V1560">
        <v>0</v>
      </c>
      <c r="W1560" t="s">
        <v>1271</v>
      </c>
      <c r="AA1560">
        <v>2007</v>
      </c>
      <c r="AB1560">
        <v>9999</v>
      </c>
      <c r="AC1560" t="s">
        <v>35</v>
      </c>
    </row>
    <row r="1561" spans="1:29" x14ac:dyDescent="0.25">
      <c r="A1561" s="31" t="s">
        <v>871</v>
      </c>
      <c r="B1561" s="23" t="s">
        <v>872</v>
      </c>
      <c r="C1561" t="s">
        <v>873</v>
      </c>
      <c r="D1561">
        <v>1</v>
      </c>
      <c r="E1561" t="s">
        <v>874</v>
      </c>
      <c r="F1561">
        <v>1</v>
      </c>
      <c r="G1561">
        <v>2021</v>
      </c>
      <c r="I1561">
        <v>1033.92</v>
      </c>
      <c r="J1561" t="s">
        <v>52</v>
      </c>
      <c r="K1561" t="s">
        <v>47</v>
      </c>
      <c r="O1561">
        <v>0</v>
      </c>
      <c r="P1561">
        <v>0</v>
      </c>
      <c r="Q1561">
        <v>0</v>
      </c>
      <c r="R1561">
        <v>0</v>
      </c>
      <c r="S1561">
        <v>1</v>
      </c>
      <c r="T1561">
        <v>1</v>
      </c>
      <c r="U1561">
        <v>1</v>
      </c>
      <c r="V1561">
        <v>0</v>
      </c>
      <c r="W1561" t="s">
        <v>1528</v>
      </c>
      <c r="AA1561">
        <v>2007</v>
      </c>
      <c r="AB1561">
        <v>9999</v>
      </c>
      <c r="AC1561" t="s">
        <v>35</v>
      </c>
    </row>
    <row r="1562" spans="1:29" x14ac:dyDescent="0.25">
      <c r="A1562" s="31" t="s">
        <v>876</v>
      </c>
      <c r="B1562" s="23" t="s">
        <v>877</v>
      </c>
      <c r="C1562" t="s">
        <v>878</v>
      </c>
      <c r="D1562">
        <v>1</v>
      </c>
      <c r="E1562" t="s">
        <v>168</v>
      </c>
      <c r="F1562">
        <v>1</v>
      </c>
      <c r="G1562">
        <v>2021</v>
      </c>
      <c r="I1562" s="8">
        <v>75.25</v>
      </c>
      <c r="J1562" t="s">
        <v>52</v>
      </c>
      <c r="K1562" t="s">
        <v>47</v>
      </c>
      <c r="O1562">
        <v>0</v>
      </c>
      <c r="P1562">
        <v>0</v>
      </c>
      <c r="Q1562">
        <v>0</v>
      </c>
      <c r="R1562">
        <v>0</v>
      </c>
      <c r="S1562">
        <v>1</v>
      </c>
      <c r="T1562">
        <v>1</v>
      </c>
      <c r="U1562">
        <v>1</v>
      </c>
      <c r="V1562">
        <v>0</v>
      </c>
      <c r="W1562" t="s">
        <v>1202</v>
      </c>
      <c r="AA1562">
        <v>2007</v>
      </c>
      <c r="AB1562">
        <v>9999</v>
      </c>
      <c r="AC1562" t="s">
        <v>35</v>
      </c>
    </row>
    <row r="1563" spans="1:29" x14ac:dyDescent="0.25">
      <c r="A1563" s="31" t="s">
        <v>1468</v>
      </c>
      <c r="B1563" s="24" t="s">
        <v>1469</v>
      </c>
      <c r="D1563">
        <v>1</v>
      </c>
      <c r="E1563" s="4">
        <v>941</v>
      </c>
      <c r="F1563">
        <v>9</v>
      </c>
      <c r="G1563">
        <v>2021</v>
      </c>
      <c r="I1563">
        <v>202.86</v>
      </c>
      <c r="J1563" t="s">
        <v>104</v>
      </c>
      <c r="K1563" t="s">
        <v>53</v>
      </c>
      <c r="L1563" t="s">
        <v>105</v>
      </c>
      <c r="O1563">
        <v>0</v>
      </c>
      <c r="P1563">
        <v>1</v>
      </c>
      <c r="Q1563">
        <v>0</v>
      </c>
      <c r="R1563">
        <v>0</v>
      </c>
      <c r="S1563">
        <v>1</v>
      </c>
      <c r="T1563">
        <v>1</v>
      </c>
      <c r="U1563">
        <v>1</v>
      </c>
      <c r="V1563">
        <v>0</v>
      </c>
      <c r="W1563" t="s">
        <v>106</v>
      </c>
      <c r="AA1563">
        <v>2014</v>
      </c>
      <c r="AB1563">
        <v>9999</v>
      </c>
      <c r="AC1563" t="s">
        <v>1449</v>
      </c>
    </row>
    <row r="1564" spans="1:29" x14ac:dyDescent="0.25">
      <c r="A1564" s="31" t="s">
        <v>880</v>
      </c>
      <c r="B1564" s="23" t="s">
        <v>881</v>
      </c>
      <c r="C1564" t="s">
        <v>882</v>
      </c>
      <c r="D1564">
        <v>1</v>
      </c>
      <c r="E1564" t="s">
        <v>103</v>
      </c>
      <c r="F1564">
        <v>9</v>
      </c>
      <c r="G1564">
        <v>2021</v>
      </c>
      <c r="I1564">
        <v>4990.59</v>
      </c>
      <c r="J1564" t="s">
        <v>104</v>
      </c>
      <c r="K1564" t="s">
        <v>53</v>
      </c>
      <c r="L1564" t="s">
        <v>105</v>
      </c>
      <c r="O1564">
        <v>0</v>
      </c>
      <c r="P1564">
        <v>1</v>
      </c>
      <c r="Q1564">
        <v>0</v>
      </c>
      <c r="R1564">
        <v>0</v>
      </c>
      <c r="S1564">
        <v>1</v>
      </c>
      <c r="T1564">
        <v>1</v>
      </c>
      <c r="U1564">
        <v>1</v>
      </c>
      <c r="V1564">
        <v>0</v>
      </c>
      <c r="W1564" t="s">
        <v>106</v>
      </c>
      <c r="AA1564">
        <v>2007</v>
      </c>
      <c r="AB1564">
        <v>9999</v>
      </c>
      <c r="AC1564" t="s">
        <v>35</v>
      </c>
    </row>
    <row r="1565" spans="1:29" x14ac:dyDescent="0.25">
      <c r="A1565" s="31" t="s">
        <v>1272</v>
      </c>
      <c r="B1565" s="23" t="s">
        <v>1273</v>
      </c>
      <c r="D1565">
        <v>1</v>
      </c>
      <c r="E1565" t="s">
        <v>1274</v>
      </c>
      <c r="F1565">
        <v>4</v>
      </c>
      <c r="G1565">
        <v>2021</v>
      </c>
      <c r="I1565">
        <v>279.08999999999997</v>
      </c>
      <c r="J1565" t="s">
        <v>31</v>
      </c>
      <c r="K1565" t="s">
        <v>47</v>
      </c>
      <c r="O1565">
        <v>0</v>
      </c>
      <c r="P1565">
        <v>0</v>
      </c>
      <c r="Q1565">
        <v>0</v>
      </c>
      <c r="R1565">
        <v>0</v>
      </c>
      <c r="S1565">
        <v>1</v>
      </c>
      <c r="T1565">
        <v>1</v>
      </c>
      <c r="U1565">
        <v>1</v>
      </c>
      <c r="V1565">
        <v>0</v>
      </c>
      <c r="W1565" t="s">
        <v>1275</v>
      </c>
      <c r="AA1565">
        <v>2009</v>
      </c>
      <c r="AB1565">
        <v>9999</v>
      </c>
      <c r="AC1565" t="s">
        <v>1239</v>
      </c>
    </row>
    <row r="1566" spans="1:29" x14ac:dyDescent="0.25">
      <c r="A1566" s="31" t="s">
        <v>883</v>
      </c>
      <c r="B1566" s="23" t="s">
        <v>884</v>
      </c>
      <c r="C1566" t="s">
        <v>885</v>
      </c>
      <c r="D1566">
        <v>1</v>
      </c>
      <c r="E1566" t="s">
        <v>45</v>
      </c>
      <c r="F1566">
        <v>4</v>
      </c>
      <c r="G1566">
        <v>2021</v>
      </c>
      <c r="I1566" s="8">
        <v>107.75</v>
      </c>
      <c r="J1566" t="s">
        <v>176</v>
      </c>
      <c r="K1566" t="s">
        <v>47</v>
      </c>
      <c r="O1566">
        <v>0</v>
      </c>
      <c r="P1566">
        <v>0</v>
      </c>
      <c r="Q1566">
        <v>0</v>
      </c>
      <c r="R1566">
        <v>0</v>
      </c>
      <c r="S1566">
        <v>1</v>
      </c>
      <c r="T1566">
        <v>1</v>
      </c>
      <c r="U1566">
        <v>1</v>
      </c>
      <c r="V1566">
        <v>0</v>
      </c>
      <c r="W1566" t="s">
        <v>1335</v>
      </c>
      <c r="AA1566">
        <v>2007</v>
      </c>
      <c r="AB1566">
        <v>9999</v>
      </c>
      <c r="AC1566" t="s">
        <v>35</v>
      </c>
    </row>
    <row r="1567" spans="1:29" x14ac:dyDescent="0.25">
      <c r="A1567" s="31" t="s">
        <v>887</v>
      </c>
      <c r="B1567" s="23" t="s">
        <v>888</v>
      </c>
      <c r="C1567" t="s">
        <v>889</v>
      </c>
      <c r="D1567">
        <v>1</v>
      </c>
      <c r="E1567" t="s">
        <v>335</v>
      </c>
      <c r="F1567">
        <v>1</v>
      </c>
      <c r="G1567">
        <v>2021</v>
      </c>
      <c r="I1567" s="8">
        <v>646.38</v>
      </c>
      <c r="J1567" t="s">
        <v>176</v>
      </c>
      <c r="K1567" t="s">
        <v>32</v>
      </c>
      <c r="O1567">
        <v>0</v>
      </c>
      <c r="P1567">
        <v>0</v>
      </c>
      <c r="Q1567">
        <v>0</v>
      </c>
      <c r="R1567">
        <v>0</v>
      </c>
      <c r="S1567">
        <v>1</v>
      </c>
      <c r="T1567">
        <v>1</v>
      </c>
      <c r="U1567">
        <v>1</v>
      </c>
      <c r="V1567">
        <v>0</v>
      </c>
      <c r="W1567" t="s">
        <v>1381</v>
      </c>
      <c r="AA1567">
        <v>2007</v>
      </c>
      <c r="AB1567">
        <v>9999</v>
      </c>
      <c r="AC1567" t="s">
        <v>35</v>
      </c>
    </row>
    <row r="1568" spans="1:29" x14ac:dyDescent="0.25">
      <c r="A1568" s="31" t="s">
        <v>894</v>
      </c>
      <c r="B1568" s="23" t="s">
        <v>895</v>
      </c>
      <c r="D1568">
        <v>1</v>
      </c>
      <c r="E1568" t="s">
        <v>38</v>
      </c>
      <c r="F1568">
        <v>4</v>
      </c>
      <c r="G1568">
        <v>2021</v>
      </c>
      <c r="H1568" t="s">
        <v>715</v>
      </c>
      <c r="I1568" s="15">
        <v>0</v>
      </c>
      <c r="J1568" s="2" t="s">
        <v>89</v>
      </c>
      <c r="K1568" t="s">
        <v>53</v>
      </c>
      <c r="L1568" t="s">
        <v>53</v>
      </c>
      <c r="O1568">
        <v>0</v>
      </c>
      <c r="P1568">
        <v>0</v>
      </c>
      <c r="Q1568">
        <v>0</v>
      </c>
      <c r="R1568">
        <v>0</v>
      </c>
      <c r="S1568">
        <v>0</v>
      </c>
      <c r="T1568">
        <v>0</v>
      </c>
      <c r="U1568">
        <v>0</v>
      </c>
      <c r="V1568">
        <v>0</v>
      </c>
      <c r="W1568" t="s">
        <v>897</v>
      </c>
      <c r="AA1568">
        <v>2007</v>
      </c>
      <c r="AB1568">
        <v>9999</v>
      </c>
      <c r="AC1568" t="s">
        <v>35</v>
      </c>
    </row>
    <row r="1569" spans="1:29" x14ac:dyDescent="0.25">
      <c r="A1569" s="31" t="s">
        <v>900</v>
      </c>
      <c r="B1569" s="23" t="s">
        <v>901</v>
      </c>
      <c r="D1569">
        <v>1</v>
      </c>
      <c r="E1569" t="s">
        <v>38</v>
      </c>
      <c r="F1569">
        <v>4</v>
      </c>
      <c r="G1569">
        <v>2021</v>
      </c>
      <c r="H1569" t="s">
        <v>596</v>
      </c>
      <c r="I1569" s="15">
        <v>0.5</v>
      </c>
      <c r="J1569" t="s">
        <v>89</v>
      </c>
      <c r="K1569" t="s">
        <v>53</v>
      </c>
      <c r="L1569" t="s">
        <v>902</v>
      </c>
      <c r="O1569">
        <v>0</v>
      </c>
      <c r="P1569">
        <v>0</v>
      </c>
      <c r="Q1569">
        <v>0</v>
      </c>
      <c r="R1569">
        <v>0</v>
      </c>
      <c r="S1569">
        <v>0</v>
      </c>
      <c r="T1569">
        <v>0</v>
      </c>
      <c r="U1569">
        <v>0</v>
      </c>
      <c r="V1569">
        <v>0</v>
      </c>
      <c r="W1569" t="s">
        <v>903</v>
      </c>
      <c r="AA1569">
        <v>2007</v>
      </c>
      <c r="AB1569">
        <v>9999</v>
      </c>
      <c r="AC1569" t="s">
        <v>35</v>
      </c>
    </row>
    <row r="1570" spans="1:29" x14ac:dyDescent="0.25">
      <c r="A1570" s="31" t="s">
        <v>904</v>
      </c>
      <c r="B1570" s="23" t="s">
        <v>1436</v>
      </c>
      <c r="D1570">
        <v>1</v>
      </c>
      <c r="E1570" t="s">
        <v>38</v>
      </c>
      <c r="F1570">
        <v>4</v>
      </c>
      <c r="G1570">
        <v>2021</v>
      </c>
      <c r="H1570" t="s">
        <v>906</v>
      </c>
      <c r="I1570" s="15">
        <v>0.5</v>
      </c>
      <c r="J1570" t="s">
        <v>59</v>
      </c>
      <c r="K1570" t="s">
        <v>53</v>
      </c>
      <c r="L1570" t="s">
        <v>902</v>
      </c>
      <c r="O1570">
        <v>0</v>
      </c>
      <c r="P1570">
        <v>0</v>
      </c>
      <c r="Q1570">
        <v>0</v>
      </c>
      <c r="R1570">
        <v>0</v>
      </c>
      <c r="S1570">
        <v>0</v>
      </c>
      <c r="T1570">
        <v>0</v>
      </c>
      <c r="U1570">
        <v>0</v>
      </c>
      <c r="V1570">
        <v>0</v>
      </c>
      <c r="W1570" t="s">
        <v>907</v>
      </c>
      <c r="AA1570">
        <v>2007</v>
      </c>
      <c r="AB1570">
        <v>9999</v>
      </c>
      <c r="AC1570" t="s">
        <v>35</v>
      </c>
    </row>
    <row r="1571" spans="1:29" x14ac:dyDescent="0.25">
      <c r="A1571" s="31" t="s">
        <v>908</v>
      </c>
      <c r="B1571" s="23" t="s">
        <v>909</v>
      </c>
      <c r="C1571" t="s">
        <v>910</v>
      </c>
      <c r="D1571">
        <v>1</v>
      </c>
      <c r="E1571" t="s">
        <v>911</v>
      </c>
      <c r="F1571">
        <v>1</v>
      </c>
      <c r="G1571">
        <v>2021</v>
      </c>
      <c r="I1571" s="8">
        <v>112.5</v>
      </c>
      <c r="J1571" t="s">
        <v>176</v>
      </c>
      <c r="K1571" t="s">
        <v>47</v>
      </c>
      <c r="O1571">
        <v>0</v>
      </c>
      <c r="P1571">
        <v>0</v>
      </c>
      <c r="Q1571">
        <v>0</v>
      </c>
      <c r="R1571">
        <v>0</v>
      </c>
      <c r="S1571">
        <v>1</v>
      </c>
      <c r="T1571">
        <v>1</v>
      </c>
      <c r="U1571">
        <v>1</v>
      </c>
      <c r="V1571">
        <v>0</v>
      </c>
      <c r="W1571" t="s">
        <v>1518</v>
      </c>
      <c r="AA1571">
        <v>2007</v>
      </c>
      <c r="AB1571">
        <v>9999</v>
      </c>
      <c r="AC1571" t="s">
        <v>35</v>
      </c>
    </row>
    <row r="1572" spans="1:29" x14ac:dyDescent="0.25">
      <c r="A1572" s="31" t="s">
        <v>913</v>
      </c>
      <c r="B1572" s="23" t="s">
        <v>914</v>
      </c>
      <c r="C1572" t="s">
        <v>915</v>
      </c>
      <c r="D1572">
        <v>1</v>
      </c>
      <c r="E1572" t="s">
        <v>911</v>
      </c>
      <c r="F1572">
        <v>1</v>
      </c>
      <c r="G1572">
        <v>2021</v>
      </c>
      <c r="I1572" s="8">
        <v>11.2</v>
      </c>
      <c r="J1572" t="s">
        <v>268</v>
      </c>
      <c r="K1572" t="s">
        <v>47</v>
      </c>
      <c r="O1572">
        <v>0</v>
      </c>
      <c r="P1572">
        <v>0</v>
      </c>
      <c r="Q1572">
        <v>0</v>
      </c>
      <c r="R1572">
        <v>0</v>
      </c>
      <c r="S1572">
        <v>1</v>
      </c>
      <c r="T1572">
        <v>1</v>
      </c>
      <c r="U1572">
        <v>1</v>
      </c>
      <c r="V1572">
        <v>0</v>
      </c>
      <c r="W1572" t="s">
        <v>1276</v>
      </c>
      <c r="AA1572">
        <v>2007</v>
      </c>
      <c r="AB1572">
        <v>9999</v>
      </c>
      <c r="AC1572" t="s">
        <v>35</v>
      </c>
    </row>
    <row r="1573" spans="1:29" x14ac:dyDescent="0.25">
      <c r="A1573" s="31" t="s">
        <v>1529</v>
      </c>
      <c r="B1573" s="23" t="s">
        <v>1530</v>
      </c>
      <c r="D1573">
        <v>1</v>
      </c>
      <c r="F1573">
        <v>8</v>
      </c>
      <c r="G1573">
        <v>2021</v>
      </c>
      <c r="I1573" s="15">
        <v>0</v>
      </c>
      <c r="J1573" t="s">
        <v>81</v>
      </c>
      <c r="K1573" t="s">
        <v>32</v>
      </c>
      <c r="O1573">
        <v>0</v>
      </c>
      <c r="P1573">
        <v>0</v>
      </c>
      <c r="Q1573">
        <v>0</v>
      </c>
      <c r="R1573">
        <v>0</v>
      </c>
      <c r="S1573">
        <v>0</v>
      </c>
      <c r="T1573">
        <v>0</v>
      </c>
      <c r="U1573">
        <v>1</v>
      </c>
      <c r="V1573">
        <v>0</v>
      </c>
      <c r="W1573" t="s">
        <v>1531</v>
      </c>
      <c r="AA1573">
        <v>2017</v>
      </c>
      <c r="AB1573">
        <v>9999</v>
      </c>
      <c r="AC1573" t="s">
        <v>1532</v>
      </c>
    </row>
    <row r="1574" spans="1:29" x14ac:dyDescent="0.25">
      <c r="A1574" s="31" t="s">
        <v>97</v>
      </c>
      <c r="B1574" s="23" t="s">
        <v>99</v>
      </c>
      <c r="C1574" t="s">
        <v>923</v>
      </c>
      <c r="D1574">
        <v>1</v>
      </c>
      <c r="E1574" t="s">
        <v>45</v>
      </c>
      <c r="F1574">
        <v>4</v>
      </c>
      <c r="G1574">
        <v>2021</v>
      </c>
      <c r="I1574">
        <v>256.98</v>
      </c>
      <c r="J1574" t="s">
        <v>89</v>
      </c>
      <c r="K1574" t="s">
        <v>47</v>
      </c>
      <c r="O1574">
        <v>0</v>
      </c>
      <c r="P1574">
        <v>0</v>
      </c>
      <c r="Q1574">
        <v>0</v>
      </c>
      <c r="R1574">
        <v>0</v>
      </c>
      <c r="S1574">
        <v>1</v>
      </c>
      <c r="T1574">
        <v>1</v>
      </c>
      <c r="U1574">
        <v>1</v>
      </c>
      <c r="V1574">
        <v>0</v>
      </c>
      <c r="W1574" t="s">
        <v>1277</v>
      </c>
      <c r="AA1574">
        <v>2007</v>
      </c>
      <c r="AB1574">
        <v>9999</v>
      </c>
      <c r="AC1574" t="s">
        <v>35</v>
      </c>
    </row>
    <row r="1575" spans="1:29" x14ac:dyDescent="0.25">
      <c r="A1575" s="31" t="s">
        <v>925</v>
      </c>
      <c r="B1575" s="23" t="s">
        <v>926</v>
      </c>
      <c r="C1575" t="s">
        <v>927</v>
      </c>
      <c r="D1575">
        <v>1</v>
      </c>
      <c r="E1575" t="s">
        <v>103</v>
      </c>
      <c r="F1575">
        <v>9</v>
      </c>
      <c r="G1575">
        <v>2021</v>
      </c>
      <c r="I1575">
        <v>3202.86</v>
      </c>
      <c r="J1575" t="s">
        <v>89</v>
      </c>
      <c r="K1575" t="s">
        <v>53</v>
      </c>
      <c r="L1575" t="s">
        <v>105</v>
      </c>
      <c r="O1575">
        <v>0</v>
      </c>
      <c r="P1575">
        <v>1</v>
      </c>
      <c r="Q1575">
        <v>0</v>
      </c>
      <c r="R1575">
        <v>0</v>
      </c>
      <c r="S1575">
        <v>1</v>
      </c>
      <c r="T1575">
        <v>1</v>
      </c>
      <c r="U1575">
        <v>1</v>
      </c>
      <c r="V1575">
        <v>0</v>
      </c>
      <c r="W1575" t="s">
        <v>928</v>
      </c>
      <c r="AA1575">
        <v>2007</v>
      </c>
      <c r="AB1575">
        <v>9999</v>
      </c>
      <c r="AC1575" t="s">
        <v>35</v>
      </c>
    </row>
    <row r="1576" spans="1:29" x14ac:dyDescent="0.25">
      <c r="A1576" s="31" t="s">
        <v>929</v>
      </c>
      <c r="B1576" s="23" t="s">
        <v>930</v>
      </c>
      <c r="C1576" t="s">
        <v>931</v>
      </c>
      <c r="D1576">
        <v>1</v>
      </c>
      <c r="E1576" t="s">
        <v>45</v>
      </c>
      <c r="F1576">
        <v>4</v>
      </c>
      <c r="G1576">
        <v>2021</v>
      </c>
      <c r="I1576" s="8">
        <v>587.07000000000005</v>
      </c>
      <c r="J1576" t="s">
        <v>31</v>
      </c>
      <c r="K1576" t="s">
        <v>47</v>
      </c>
      <c r="O1576">
        <v>0</v>
      </c>
      <c r="P1576">
        <v>0</v>
      </c>
      <c r="Q1576">
        <v>0</v>
      </c>
      <c r="R1576">
        <v>0</v>
      </c>
      <c r="S1576">
        <v>1</v>
      </c>
      <c r="T1576">
        <v>1</v>
      </c>
      <c r="U1576">
        <v>1</v>
      </c>
      <c r="V1576">
        <v>0</v>
      </c>
      <c r="W1576" t="s">
        <v>1336</v>
      </c>
      <c r="AA1576">
        <v>2007</v>
      </c>
      <c r="AB1576">
        <v>9999</v>
      </c>
      <c r="AC1576" t="s">
        <v>35</v>
      </c>
    </row>
    <row r="1577" spans="1:29" x14ac:dyDescent="0.25">
      <c r="A1577" s="31" t="s">
        <v>1212</v>
      </c>
      <c r="B1577" s="23" t="s">
        <v>1213</v>
      </c>
      <c r="D1577">
        <v>1</v>
      </c>
      <c r="E1577" t="s">
        <v>681</v>
      </c>
      <c r="F1577">
        <v>3</v>
      </c>
      <c r="G1577">
        <v>2021</v>
      </c>
      <c r="I1577">
        <v>16.68</v>
      </c>
      <c r="J1577" t="s">
        <v>121</v>
      </c>
      <c r="K1577" t="s">
        <v>41</v>
      </c>
      <c r="O1577">
        <v>0</v>
      </c>
      <c r="P1577">
        <v>0</v>
      </c>
      <c r="Q1577">
        <v>0</v>
      </c>
      <c r="R1577">
        <v>0</v>
      </c>
      <c r="S1577">
        <v>0</v>
      </c>
      <c r="T1577">
        <v>1</v>
      </c>
      <c r="U1577">
        <v>1</v>
      </c>
      <c r="V1577">
        <v>0</v>
      </c>
      <c r="W1577" t="s">
        <v>1278</v>
      </c>
      <c r="AA1577">
        <v>2008</v>
      </c>
      <c r="AB1577">
        <v>9999</v>
      </c>
      <c r="AC1577" t="s">
        <v>1054</v>
      </c>
    </row>
    <row r="1578" spans="1:29" x14ac:dyDescent="0.25">
      <c r="A1578" s="31" t="s">
        <v>933</v>
      </c>
      <c r="B1578" s="23" t="s">
        <v>934</v>
      </c>
      <c r="C1578" t="s">
        <v>935</v>
      </c>
      <c r="D1578">
        <v>1</v>
      </c>
      <c r="E1578" t="s">
        <v>681</v>
      </c>
      <c r="F1578">
        <v>3</v>
      </c>
      <c r="G1578">
        <v>2021</v>
      </c>
      <c r="I1578" s="15"/>
      <c r="J1578" t="s">
        <v>121</v>
      </c>
      <c r="K1578" t="s">
        <v>47</v>
      </c>
      <c r="O1578">
        <v>0</v>
      </c>
      <c r="P1578">
        <v>0</v>
      </c>
      <c r="Q1578">
        <v>0</v>
      </c>
      <c r="R1578">
        <v>0</v>
      </c>
      <c r="S1578">
        <v>1</v>
      </c>
      <c r="T1578">
        <v>1</v>
      </c>
      <c r="U1578">
        <v>1</v>
      </c>
      <c r="V1578">
        <v>0</v>
      </c>
      <c r="W1578" t="s">
        <v>1508</v>
      </c>
      <c r="AA1578">
        <v>2007</v>
      </c>
      <c r="AB1578">
        <v>9999</v>
      </c>
      <c r="AC1578" t="s">
        <v>35</v>
      </c>
    </row>
    <row r="1579" spans="1:29" x14ac:dyDescent="0.25">
      <c r="A1579" s="31" t="s">
        <v>937</v>
      </c>
      <c r="B1579" s="23" t="s">
        <v>938</v>
      </c>
      <c r="D1579">
        <v>1</v>
      </c>
      <c r="E1579" t="s">
        <v>103</v>
      </c>
      <c r="F1579">
        <v>9</v>
      </c>
      <c r="G1579">
        <v>2021</v>
      </c>
      <c r="I1579">
        <v>796.75</v>
      </c>
      <c r="J1579" t="s">
        <v>104</v>
      </c>
      <c r="K1579" t="s">
        <v>53</v>
      </c>
      <c r="L1579" t="s">
        <v>105</v>
      </c>
      <c r="O1579">
        <v>0</v>
      </c>
      <c r="P1579">
        <v>1</v>
      </c>
      <c r="Q1579">
        <v>0</v>
      </c>
      <c r="R1579">
        <v>0</v>
      </c>
      <c r="S1579">
        <v>1</v>
      </c>
      <c r="T1579">
        <v>1</v>
      </c>
      <c r="U1579">
        <v>1</v>
      </c>
      <c r="V1579">
        <v>0</v>
      </c>
      <c r="W1579" t="s">
        <v>106</v>
      </c>
      <c r="AA1579">
        <v>2007</v>
      </c>
      <c r="AB1579">
        <v>9999</v>
      </c>
      <c r="AC1579" t="s">
        <v>35</v>
      </c>
    </row>
    <row r="1580" spans="1:29" x14ac:dyDescent="0.25">
      <c r="A1580" s="31" t="s">
        <v>462</v>
      </c>
      <c r="B1580" s="23" t="s">
        <v>1414</v>
      </c>
      <c r="C1580" t="s">
        <v>1280</v>
      </c>
      <c r="D1580">
        <v>1</v>
      </c>
      <c r="E1580" t="s">
        <v>468</v>
      </c>
      <c r="F1580">
        <v>7</v>
      </c>
      <c r="G1580">
        <v>2021</v>
      </c>
      <c r="I1580">
        <v>125.7</v>
      </c>
      <c r="J1580" t="s">
        <v>40</v>
      </c>
      <c r="K1580" t="s">
        <v>47</v>
      </c>
      <c r="O1580">
        <v>0</v>
      </c>
      <c r="P1580">
        <v>0</v>
      </c>
      <c r="Q1580">
        <v>0</v>
      </c>
      <c r="R1580">
        <v>0</v>
      </c>
      <c r="S1580">
        <v>1</v>
      </c>
      <c r="T1580">
        <v>1</v>
      </c>
      <c r="U1580">
        <v>1</v>
      </c>
      <c r="V1580">
        <v>0</v>
      </c>
      <c r="W1580" t="s">
        <v>1118</v>
      </c>
      <c r="AA1580">
        <v>2007</v>
      </c>
      <c r="AB1580">
        <v>9999</v>
      </c>
      <c r="AC1580" t="s">
        <v>35</v>
      </c>
    </row>
    <row r="1581" spans="1:29" x14ac:dyDescent="0.25">
      <c r="A1581" s="31" t="s">
        <v>1337</v>
      </c>
      <c r="B1581" s="23" t="s">
        <v>1315</v>
      </c>
      <c r="D1581">
        <v>1</v>
      </c>
      <c r="E1581" t="s">
        <v>45</v>
      </c>
      <c r="F1581">
        <v>4</v>
      </c>
      <c r="G1581">
        <v>2021</v>
      </c>
      <c r="I1581">
        <v>628.03</v>
      </c>
      <c r="J1581" t="s">
        <v>89</v>
      </c>
      <c r="K1581" t="s">
        <v>32</v>
      </c>
      <c r="O1581">
        <v>0</v>
      </c>
      <c r="P1581">
        <v>0</v>
      </c>
      <c r="Q1581">
        <v>0</v>
      </c>
      <c r="R1581">
        <v>0</v>
      </c>
      <c r="S1581">
        <v>1</v>
      </c>
      <c r="T1581">
        <v>1</v>
      </c>
      <c r="U1581">
        <v>1</v>
      </c>
      <c r="V1581">
        <v>0</v>
      </c>
      <c r="W1581" t="s">
        <v>1338</v>
      </c>
      <c r="AA1581">
        <v>2010</v>
      </c>
      <c r="AB1581">
        <v>9999</v>
      </c>
      <c r="AC1581" t="s">
        <v>1292</v>
      </c>
    </row>
    <row r="1582" spans="1:29" x14ac:dyDescent="0.25">
      <c r="A1582" s="31" t="s">
        <v>1509</v>
      </c>
      <c r="B1582" s="23" t="s">
        <v>946</v>
      </c>
      <c r="D1582">
        <v>48</v>
      </c>
      <c r="E1582" t="s">
        <v>155</v>
      </c>
      <c r="F1582">
        <v>3</v>
      </c>
      <c r="G1582">
        <v>2021</v>
      </c>
      <c r="I1582" s="15">
        <v>2983.2223736166015</v>
      </c>
      <c r="J1582" t="s">
        <v>121</v>
      </c>
      <c r="K1582" t="s">
        <v>53</v>
      </c>
      <c r="L1582" t="s">
        <v>60</v>
      </c>
      <c r="O1582">
        <v>1</v>
      </c>
      <c r="P1582">
        <v>0</v>
      </c>
      <c r="Q1582">
        <v>0</v>
      </c>
      <c r="R1582">
        <v>0</v>
      </c>
      <c r="S1582">
        <v>1</v>
      </c>
      <c r="T1582">
        <v>0</v>
      </c>
      <c r="U1582">
        <v>0</v>
      </c>
      <c r="V1582">
        <v>1</v>
      </c>
      <c r="W1582" t="s">
        <v>947</v>
      </c>
      <c r="AA1582">
        <v>2007</v>
      </c>
      <c r="AB1582">
        <v>9999</v>
      </c>
      <c r="AC1582" t="s">
        <v>35</v>
      </c>
    </row>
    <row r="1583" spans="1:29" x14ac:dyDescent="0.25">
      <c r="A1583" s="31" t="s">
        <v>950</v>
      </c>
      <c r="B1583" s="23" t="s">
        <v>951</v>
      </c>
      <c r="C1583" t="s">
        <v>952</v>
      </c>
      <c r="D1583">
        <v>1</v>
      </c>
      <c r="E1583" t="s">
        <v>218</v>
      </c>
      <c r="F1583">
        <v>2</v>
      </c>
      <c r="G1583">
        <v>2021</v>
      </c>
      <c r="I1583" s="8">
        <v>923.32</v>
      </c>
      <c r="J1583" t="s">
        <v>147</v>
      </c>
      <c r="K1583" t="s">
        <v>32</v>
      </c>
      <c r="O1583">
        <v>0</v>
      </c>
      <c r="P1583">
        <v>0</v>
      </c>
      <c r="Q1583">
        <v>0</v>
      </c>
      <c r="R1583">
        <v>0</v>
      </c>
      <c r="S1583">
        <v>1</v>
      </c>
      <c r="T1583">
        <v>1</v>
      </c>
      <c r="U1583">
        <v>1</v>
      </c>
      <c r="V1583">
        <v>0</v>
      </c>
      <c r="W1583" t="s">
        <v>1216</v>
      </c>
      <c r="AA1583">
        <v>2007</v>
      </c>
      <c r="AB1583">
        <v>9999</v>
      </c>
      <c r="AC1583" t="s">
        <v>35</v>
      </c>
    </row>
    <row r="1584" spans="1:29" x14ac:dyDescent="0.25">
      <c r="A1584" s="31" t="s">
        <v>954</v>
      </c>
      <c r="B1584" s="23" t="s">
        <v>1585</v>
      </c>
      <c r="C1584" t="s">
        <v>956</v>
      </c>
      <c r="D1584">
        <v>1</v>
      </c>
      <c r="E1584" t="s">
        <v>218</v>
      </c>
      <c r="F1584">
        <v>2</v>
      </c>
      <c r="G1584">
        <v>2021</v>
      </c>
      <c r="I1584" s="8">
        <v>250.2</v>
      </c>
      <c r="J1584" t="s">
        <v>147</v>
      </c>
      <c r="K1584" t="s">
        <v>47</v>
      </c>
      <c r="O1584">
        <v>0</v>
      </c>
      <c r="P1584">
        <v>0</v>
      </c>
      <c r="Q1584">
        <v>0</v>
      </c>
      <c r="R1584">
        <v>0</v>
      </c>
      <c r="S1584">
        <v>1</v>
      </c>
      <c r="T1584">
        <v>1</v>
      </c>
      <c r="U1584">
        <v>1</v>
      </c>
      <c r="V1584">
        <v>0</v>
      </c>
      <c r="W1584" t="s">
        <v>1384</v>
      </c>
      <c r="AA1584">
        <v>2007</v>
      </c>
      <c r="AB1584">
        <v>9999</v>
      </c>
      <c r="AC1584" t="s">
        <v>35</v>
      </c>
    </row>
    <row r="1585" spans="1:29" x14ac:dyDescent="0.25">
      <c r="A1585" s="31" t="s">
        <v>1385</v>
      </c>
      <c r="B1585" s="23" t="s">
        <v>1386</v>
      </c>
      <c r="D1585">
        <v>1</v>
      </c>
      <c r="E1585" t="s">
        <v>874</v>
      </c>
      <c r="F1585">
        <v>1</v>
      </c>
      <c r="G1585">
        <v>2021</v>
      </c>
      <c r="I1585">
        <v>35.450000000000003</v>
      </c>
      <c r="J1585" t="s">
        <v>1556</v>
      </c>
      <c r="K1585" t="s">
        <v>47</v>
      </c>
      <c r="O1585">
        <v>0</v>
      </c>
      <c r="P1585">
        <v>0</v>
      </c>
      <c r="Q1585">
        <v>0</v>
      </c>
      <c r="R1585">
        <v>0</v>
      </c>
      <c r="S1585">
        <v>1</v>
      </c>
      <c r="T1585">
        <v>1</v>
      </c>
      <c r="U1585">
        <v>1</v>
      </c>
      <c r="V1585">
        <v>0</v>
      </c>
      <c r="W1585" t="s">
        <v>1387</v>
      </c>
      <c r="AA1585">
        <v>2011</v>
      </c>
      <c r="AB1585">
        <v>9999</v>
      </c>
      <c r="AC1585" t="s">
        <v>1365</v>
      </c>
    </row>
    <row r="1586" spans="1:29" x14ac:dyDescent="0.25">
      <c r="A1586" s="31" t="s">
        <v>1388</v>
      </c>
      <c r="B1586" s="23" t="s">
        <v>1389</v>
      </c>
      <c r="D1586">
        <v>1</v>
      </c>
      <c r="E1586" t="s">
        <v>1390</v>
      </c>
      <c r="F1586">
        <v>4</v>
      </c>
      <c r="G1586">
        <v>2021</v>
      </c>
      <c r="I1586">
        <v>9081.7999999999993</v>
      </c>
      <c r="J1586" t="s">
        <v>1556</v>
      </c>
      <c r="K1586" t="s">
        <v>32</v>
      </c>
      <c r="O1586">
        <v>0</v>
      </c>
      <c r="P1586">
        <v>0</v>
      </c>
      <c r="Q1586">
        <v>0</v>
      </c>
      <c r="R1586">
        <v>0</v>
      </c>
      <c r="S1586">
        <v>1</v>
      </c>
      <c r="T1586">
        <v>1</v>
      </c>
      <c r="U1586">
        <v>1</v>
      </c>
      <c r="V1586">
        <v>0</v>
      </c>
      <c r="W1586" t="s">
        <v>1391</v>
      </c>
      <c r="AA1586">
        <v>2011</v>
      </c>
      <c r="AB1586">
        <v>9999</v>
      </c>
      <c r="AC1586" t="s">
        <v>1365</v>
      </c>
    </row>
    <row r="1587" spans="1:29" x14ac:dyDescent="0.25">
      <c r="A1587" s="31" t="s">
        <v>1281</v>
      </c>
      <c r="B1587" s="23" t="s">
        <v>1282</v>
      </c>
      <c r="D1587">
        <v>1</v>
      </c>
      <c r="E1587" t="s">
        <v>625</v>
      </c>
      <c r="F1587">
        <v>4</v>
      </c>
      <c r="G1587">
        <v>2021</v>
      </c>
      <c r="I1587">
        <v>1922.81</v>
      </c>
      <c r="J1587" t="s">
        <v>1556</v>
      </c>
      <c r="K1587" t="s">
        <v>32</v>
      </c>
      <c r="O1587">
        <v>0</v>
      </c>
      <c r="P1587">
        <v>0</v>
      </c>
      <c r="Q1587">
        <v>0</v>
      </c>
      <c r="R1587">
        <v>0</v>
      </c>
      <c r="S1587">
        <v>1</v>
      </c>
      <c r="T1587">
        <v>1</v>
      </c>
      <c r="U1587">
        <v>1</v>
      </c>
      <c r="V1587">
        <v>0</v>
      </c>
      <c r="W1587" t="s">
        <v>1283</v>
      </c>
      <c r="AA1587">
        <v>2009</v>
      </c>
      <c r="AB1587">
        <v>9999</v>
      </c>
      <c r="AC1587" t="s">
        <v>1239</v>
      </c>
    </row>
    <row r="1588" spans="1:29" x14ac:dyDescent="0.25">
      <c r="A1588" s="31" t="s">
        <v>958</v>
      </c>
      <c r="B1588" s="25" t="s">
        <v>959</v>
      </c>
      <c r="D1588">
        <v>1</v>
      </c>
      <c r="E1588" t="s">
        <v>51</v>
      </c>
      <c r="F1588">
        <v>1</v>
      </c>
      <c r="G1588">
        <v>2021</v>
      </c>
      <c r="I1588">
        <v>60</v>
      </c>
      <c r="J1588" t="s">
        <v>52</v>
      </c>
      <c r="K1588" t="s">
        <v>53</v>
      </c>
      <c r="L1588" t="s">
        <v>54</v>
      </c>
      <c r="O1588">
        <v>0</v>
      </c>
      <c r="P1588">
        <v>0</v>
      </c>
      <c r="Q1588">
        <v>1</v>
      </c>
      <c r="R1588">
        <v>0</v>
      </c>
      <c r="S1588">
        <v>0</v>
      </c>
      <c r="T1588">
        <v>0</v>
      </c>
      <c r="U1588">
        <v>1</v>
      </c>
      <c r="V1588">
        <v>0</v>
      </c>
      <c r="W1588" t="s">
        <v>55</v>
      </c>
      <c r="AA1588">
        <v>2007</v>
      </c>
      <c r="AB1588">
        <v>9999</v>
      </c>
      <c r="AC1588" t="s">
        <v>35</v>
      </c>
    </row>
    <row r="1589" spans="1:29" x14ac:dyDescent="0.25">
      <c r="A1589" s="31" t="s">
        <v>960</v>
      </c>
      <c r="B1589" s="23" t="s">
        <v>961</v>
      </c>
      <c r="D1589">
        <v>1</v>
      </c>
      <c r="E1589" t="s">
        <v>168</v>
      </c>
      <c r="F1589">
        <v>1</v>
      </c>
      <c r="G1589">
        <v>2021</v>
      </c>
      <c r="I1589">
        <v>2172.87</v>
      </c>
      <c r="J1589" t="s">
        <v>52</v>
      </c>
      <c r="K1589" t="s">
        <v>47</v>
      </c>
      <c r="O1589">
        <v>0</v>
      </c>
      <c r="P1589">
        <v>0</v>
      </c>
      <c r="Q1589">
        <v>0</v>
      </c>
      <c r="R1589">
        <v>0</v>
      </c>
      <c r="S1589">
        <v>1</v>
      </c>
      <c r="T1589">
        <v>1</v>
      </c>
      <c r="U1589">
        <v>1</v>
      </c>
      <c r="V1589">
        <v>0</v>
      </c>
      <c r="W1589" t="s">
        <v>1533</v>
      </c>
      <c r="AA1589">
        <v>2007</v>
      </c>
      <c r="AB1589">
        <v>9999</v>
      </c>
      <c r="AC1589" t="s">
        <v>35</v>
      </c>
    </row>
    <row r="1590" spans="1:29" x14ac:dyDescent="0.25">
      <c r="A1590" s="31" t="s">
        <v>963</v>
      </c>
      <c r="B1590" s="23" t="s">
        <v>658</v>
      </c>
      <c r="D1590">
        <v>1</v>
      </c>
      <c r="E1590" t="s">
        <v>103</v>
      </c>
      <c r="F1590">
        <v>9</v>
      </c>
      <c r="G1590">
        <v>2021</v>
      </c>
      <c r="I1590">
        <v>3696.4</v>
      </c>
      <c r="J1590" t="s">
        <v>104</v>
      </c>
      <c r="K1590" t="s">
        <v>53</v>
      </c>
      <c r="L1590" t="s">
        <v>105</v>
      </c>
      <c r="O1590">
        <v>0</v>
      </c>
      <c r="P1590">
        <v>1</v>
      </c>
      <c r="Q1590">
        <v>0</v>
      </c>
      <c r="R1590">
        <v>0</v>
      </c>
      <c r="S1590">
        <v>1</v>
      </c>
      <c r="T1590">
        <v>1</v>
      </c>
      <c r="U1590">
        <v>1</v>
      </c>
      <c r="V1590">
        <v>0</v>
      </c>
      <c r="W1590" t="s">
        <v>106</v>
      </c>
      <c r="AA1590">
        <v>2007</v>
      </c>
      <c r="AB1590">
        <v>9999</v>
      </c>
      <c r="AC1590" t="s">
        <v>35</v>
      </c>
    </row>
    <row r="1591" spans="1:29" x14ac:dyDescent="0.25">
      <c r="A1591" s="31" t="s">
        <v>1437</v>
      </c>
      <c r="B1591" s="23" t="s">
        <v>1438</v>
      </c>
      <c r="C1591" t="s">
        <v>1439</v>
      </c>
      <c r="D1591">
        <v>1</v>
      </c>
      <c r="E1591" t="s">
        <v>103</v>
      </c>
      <c r="F1591">
        <v>9</v>
      </c>
      <c r="G1591">
        <v>2021</v>
      </c>
      <c r="I1591">
        <v>288.05</v>
      </c>
      <c r="J1591" t="s">
        <v>104</v>
      </c>
      <c r="K1591" t="s">
        <v>32</v>
      </c>
      <c r="O1591">
        <v>0</v>
      </c>
      <c r="P1591">
        <v>0</v>
      </c>
      <c r="Q1591">
        <v>0</v>
      </c>
      <c r="R1591">
        <v>0</v>
      </c>
      <c r="S1591">
        <v>1</v>
      </c>
      <c r="T1591">
        <v>1</v>
      </c>
      <c r="U1591">
        <v>1</v>
      </c>
      <c r="V1591">
        <v>0</v>
      </c>
      <c r="W1591" t="s">
        <v>1440</v>
      </c>
      <c r="AA1591">
        <v>2013</v>
      </c>
      <c r="AB1591">
        <v>9999</v>
      </c>
      <c r="AC1591" t="s">
        <v>1419</v>
      </c>
    </row>
    <row r="1592" spans="1:29" x14ac:dyDescent="0.25">
      <c r="A1592" s="31" t="s">
        <v>1441</v>
      </c>
      <c r="B1592" s="23" t="s">
        <v>1442</v>
      </c>
      <c r="C1592" t="s">
        <v>1443</v>
      </c>
      <c r="D1592">
        <v>1</v>
      </c>
      <c r="E1592" t="s">
        <v>103</v>
      </c>
      <c r="F1592">
        <v>9</v>
      </c>
      <c r="G1592">
        <v>2021</v>
      </c>
      <c r="I1592" s="8">
        <v>104.77</v>
      </c>
      <c r="J1592" t="s">
        <v>104</v>
      </c>
      <c r="K1592" t="s">
        <v>47</v>
      </c>
      <c r="O1592">
        <v>0</v>
      </c>
      <c r="P1592">
        <v>0</v>
      </c>
      <c r="Q1592">
        <v>0</v>
      </c>
      <c r="R1592">
        <v>0</v>
      </c>
      <c r="S1592">
        <v>1</v>
      </c>
      <c r="T1592">
        <v>1</v>
      </c>
      <c r="U1592">
        <v>1</v>
      </c>
      <c r="V1592">
        <v>0</v>
      </c>
      <c r="W1592" t="s">
        <v>1444</v>
      </c>
      <c r="AA1592">
        <v>2013</v>
      </c>
      <c r="AB1592">
        <v>9999</v>
      </c>
      <c r="AC1592" t="s">
        <v>1419</v>
      </c>
    </row>
    <row r="1593" spans="1:29" x14ac:dyDescent="0.25">
      <c r="A1593" s="31" t="s">
        <v>1510</v>
      </c>
      <c r="B1593" s="23" t="s">
        <v>1511</v>
      </c>
      <c r="D1593">
        <v>1</v>
      </c>
      <c r="E1593" s="4">
        <v>411</v>
      </c>
      <c r="F1593">
        <v>4</v>
      </c>
      <c r="G1593">
        <v>2021</v>
      </c>
      <c r="I1593">
        <v>64.53</v>
      </c>
      <c r="J1593" t="s">
        <v>52</v>
      </c>
      <c r="K1593" t="s">
        <v>47</v>
      </c>
      <c r="O1593">
        <v>0</v>
      </c>
      <c r="P1593">
        <v>0</v>
      </c>
      <c r="Q1593">
        <v>0</v>
      </c>
      <c r="R1593">
        <v>0</v>
      </c>
      <c r="S1593">
        <v>1</v>
      </c>
      <c r="T1593">
        <v>1</v>
      </c>
      <c r="U1593">
        <v>1</v>
      </c>
      <c r="V1593">
        <v>0</v>
      </c>
      <c r="W1593" t="s">
        <v>1512</v>
      </c>
      <c r="AA1593">
        <v>2015</v>
      </c>
      <c r="AB1593">
        <v>9999</v>
      </c>
      <c r="AC1593" t="s">
        <v>1475</v>
      </c>
    </row>
    <row r="1594" spans="1:29" x14ac:dyDescent="0.25">
      <c r="A1594" s="31" t="s">
        <v>967</v>
      </c>
      <c r="B1594" s="23" t="s">
        <v>661</v>
      </c>
      <c r="D1594">
        <v>1</v>
      </c>
      <c r="E1594" t="s">
        <v>103</v>
      </c>
      <c r="F1594">
        <v>9</v>
      </c>
      <c r="G1594">
        <v>2021</v>
      </c>
      <c r="I1594">
        <v>6488.02</v>
      </c>
      <c r="J1594" t="s">
        <v>104</v>
      </c>
      <c r="K1594" t="s">
        <v>53</v>
      </c>
      <c r="L1594" t="s">
        <v>105</v>
      </c>
      <c r="O1594">
        <v>0</v>
      </c>
      <c r="P1594">
        <v>1</v>
      </c>
      <c r="Q1594">
        <v>0</v>
      </c>
      <c r="R1594">
        <v>0</v>
      </c>
      <c r="S1594">
        <v>1</v>
      </c>
      <c r="T1594">
        <v>1</v>
      </c>
      <c r="U1594">
        <v>1</v>
      </c>
      <c r="V1594">
        <v>0</v>
      </c>
      <c r="W1594" t="s">
        <v>106</v>
      </c>
      <c r="AA1594">
        <v>2007</v>
      </c>
      <c r="AB1594">
        <v>9999</v>
      </c>
      <c r="AC1594" t="s">
        <v>35</v>
      </c>
    </row>
    <row r="1595" spans="1:29" x14ac:dyDescent="0.25">
      <c r="A1595" s="31" t="s">
        <v>968</v>
      </c>
      <c r="B1595" s="23" t="s">
        <v>969</v>
      </c>
      <c r="D1595">
        <v>1</v>
      </c>
      <c r="E1595" t="s">
        <v>85</v>
      </c>
      <c r="F1595">
        <v>1</v>
      </c>
      <c r="G1595">
        <v>2021</v>
      </c>
      <c r="H1595" t="s">
        <v>970</v>
      </c>
      <c r="I1595" s="15">
        <v>0.1</v>
      </c>
      <c r="J1595" t="s">
        <v>176</v>
      </c>
      <c r="K1595" t="s">
        <v>41</v>
      </c>
      <c r="O1595">
        <v>0</v>
      </c>
      <c r="P1595">
        <v>0</v>
      </c>
      <c r="Q1595">
        <v>0</v>
      </c>
      <c r="R1595">
        <v>0</v>
      </c>
      <c r="S1595">
        <v>0</v>
      </c>
      <c r="T1595">
        <v>0</v>
      </c>
      <c r="U1595">
        <v>0</v>
      </c>
      <c r="V1595">
        <v>0</v>
      </c>
      <c r="W1595" t="s">
        <v>971</v>
      </c>
      <c r="AA1595">
        <v>2007</v>
      </c>
      <c r="AB1595">
        <v>9999</v>
      </c>
      <c r="AC1595" t="s">
        <v>35</v>
      </c>
    </row>
    <row r="1596" spans="1:29" x14ac:dyDescent="0.25">
      <c r="A1596" s="31" t="s">
        <v>975</v>
      </c>
      <c r="B1596" s="23" t="s">
        <v>976</v>
      </c>
      <c r="D1596">
        <v>1</v>
      </c>
      <c r="E1596" t="s">
        <v>977</v>
      </c>
      <c r="F1596">
        <v>1</v>
      </c>
      <c r="G1596">
        <v>2021</v>
      </c>
      <c r="H1596" t="s">
        <v>205</v>
      </c>
      <c r="I1596" s="15">
        <v>20</v>
      </c>
      <c r="J1596" t="s">
        <v>81</v>
      </c>
      <c r="K1596" t="s">
        <v>41</v>
      </c>
      <c r="O1596">
        <v>0</v>
      </c>
      <c r="P1596">
        <v>0</v>
      </c>
      <c r="Q1596">
        <v>0</v>
      </c>
      <c r="R1596">
        <v>0</v>
      </c>
      <c r="S1596">
        <v>0</v>
      </c>
      <c r="T1596">
        <v>0</v>
      </c>
      <c r="U1596">
        <v>0</v>
      </c>
      <c r="V1596">
        <v>0</v>
      </c>
      <c r="W1596" t="s">
        <v>1220</v>
      </c>
      <c r="AA1596">
        <v>2007</v>
      </c>
      <c r="AB1596">
        <v>9999</v>
      </c>
      <c r="AC1596" t="s">
        <v>35</v>
      </c>
    </row>
    <row r="1597" spans="1:29" x14ac:dyDescent="0.25">
      <c r="A1597" s="31" t="s">
        <v>985</v>
      </c>
      <c r="B1597" s="23" t="s">
        <v>986</v>
      </c>
      <c r="C1597" t="s">
        <v>987</v>
      </c>
      <c r="D1597">
        <v>1</v>
      </c>
      <c r="E1597" t="s">
        <v>988</v>
      </c>
      <c r="F1597">
        <v>4</v>
      </c>
      <c r="G1597">
        <v>2021</v>
      </c>
      <c r="I1597">
        <v>198.95</v>
      </c>
      <c r="J1597" t="s">
        <v>89</v>
      </c>
      <c r="K1597" t="s">
        <v>32</v>
      </c>
      <c r="O1597">
        <v>0</v>
      </c>
      <c r="P1597">
        <v>0</v>
      </c>
      <c r="Q1597">
        <v>0</v>
      </c>
      <c r="R1597">
        <v>0</v>
      </c>
      <c r="S1597">
        <v>1</v>
      </c>
      <c r="T1597">
        <v>1</v>
      </c>
      <c r="U1597">
        <v>1</v>
      </c>
      <c r="V1597">
        <v>0</v>
      </c>
      <c r="W1597" t="s">
        <v>1339</v>
      </c>
      <c r="AA1597">
        <v>2007</v>
      </c>
      <c r="AB1597">
        <v>9999</v>
      </c>
      <c r="AC1597" t="s">
        <v>35</v>
      </c>
    </row>
    <row r="1598" spans="1:29" x14ac:dyDescent="0.25">
      <c r="A1598" s="31" t="s">
        <v>993</v>
      </c>
      <c r="B1598" s="23" t="s">
        <v>129</v>
      </c>
      <c r="D1598">
        <v>1</v>
      </c>
      <c r="E1598" t="s">
        <v>103</v>
      </c>
      <c r="F1598">
        <v>1</v>
      </c>
      <c r="G1598">
        <v>2021</v>
      </c>
      <c r="I1598">
        <v>225.41</v>
      </c>
      <c r="J1598" t="s">
        <v>104</v>
      </c>
      <c r="K1598" t="s">
        <v>32</v>
      </c>
      <c r="O1598">
        <v>0</v>
      </c>
      <c r="P1598">
        <v>0</v>
      </c>
      <c r="Q1598">
        <v>0</v>
      </c>
      <c r="R1598">
        <v>0</v>
      </c>
      <c r="S1598">
        <v>1</v>
      </c>
      <c r="T1598">
        <v>1</v>
      </c>
      <c r="U1598">
        <v>1</v>
      </c>
      <c r="V1598">
        <v>0</v>
      </c>
      <c r="W1598" t="s">
        <v>1340</v>
      </c>
      <c r="AA1598">
        <v>2007</v>
      </c>
      <c r="AB1598">
        <v>9999</v>
      </c>
      <c r="AC1598" t="s">
        <v>35</v>
      </c>
    </row>
    <row r="1599" spans="1:29" x14ac:dyDescent="0.25">
      <c r="A1599" s="31" t="s">
        <v>1008</v>
      </c>
      <c r="B1599" s="23" t="s">
        <v>1009</v>
      </c>
      <c r="D1599">
        <v>1</v>
      </c>
      <c r="E1599" t="s">
        <v>155</v>
      </c>
      <c r="F1599">
        <v>3</v>
      </c>
      <c r="G1599">
        <v>2021</v>
      </c>
      <c r="I1599" s="8">
        <v>1400.83</v>
      </c>
      <c r="J1599" t="s">
        <v>121</v>
      </c>
      <c r="K1599" t="s">
        <v>47</v>
      </c>
      <c r="O1599">
        <v>0</v>
      </c>
      <c r="P1599">
        <v>0</v>
      </c>
      <c r="Q1599">
        <v>0</v>
      </c>
      <c r="R1599">
        <v>0</v>
      </c>
      <c r="S1599">
        <v>1</v>
      </c>
      <c r="T1599">
        <v>1</v>
      </c>
      <c r="U1599">
        <v>1</v>
      </c>
      <c r="V1599">
        <v>0</v>
      </c>
      <c r="W1599" t="s">
        <v>1519</v>
      </c>
      <c r="AA1599">
        <v>2007</v>
      </c>
      <c r="AB1599">
        <v>9999</v>
      </c>
      <c r="AC1599" t="s">
        <v>35</v>
      </c>
    </row>
    <row r="1600" spans="1:29" x14ac:dyDescent="0.25">
      <c r="A1600" s="31" t="s">
        <v>1011</v>
      </c>
      <c r="B1600" s="23" t="s">
        <v>1012</v>
      </c>
      <c r="D1600">
        <v>1</v>
      </c>
      <c r="E1600" t="s">
        <v>103</v>
      </c>
      <c r="F1600">
        <v>9</v>
      </c>
      <c r="G1600">
        <v>2021</v>
      </c>
      <c r="I1600">
        <v>1291.33</v>
      </c>
      <c r="J1600" t="s">
        <v>104</v>
      </c>
      <c r="K1600" t="s">
        <v>53</v>
      </c>
      <c r="L1600" t="s">
        <v>105</v>
      </c>
      <c r="O1600">
        <v>0</v>
      </c>
      <c r="P1600">
        <v>1</v>
      </c>
      <c r="Q1600">
        <v>0</v>
      </c>
      <c r="R1600">
        <v>0</v>
      </c>
      <c r="S1600">
        <v>1</v>
      </c>
      <c r="T1600">
        <v>1</v>
      </c>
      <c r="U1600">
        <v>1</v>
      </c>
      <c r="V1600">
        <v>0</v>
      </c>
      <c r="W1600" t="s">
        <v>106</v>
      </c>
      <c r="AA1600">
        <v>2007</v>
      </c>
      <c r="AB1600">
        <v>9999</v>
      </c>
      <c r="AC1600" t="s">
        <v>35</v>
      </c>
    </row>
    <row r="1601" spans="1:29" x14ac:dyDescent="0.25">
      <c r="A1601" s="31" t="s">
        <v>126</v>
      </c>
      <c r="B1601" s="25" t="s">
        <v>1573</v>
      </c>
      <c r="C1601" s="3" t="s">
        <v>127</v>
      </c>
      <c r="D1601">
        <v>1</v>
      </c>
      <c r="E1601" s="5" t="s">
        <v>128</v>
      </c>
      <c r="F1601">
        <v>9</v>
      </c>
      <c r="G1601">
        <v>2021</v>
      </c>
      <c r="H1601" t="s">
        <v>129</v>
      </c>
      <c r="I1601" s="15">
        <v>0</v>
      </c>
      <c r="J1601" t="s">
        <v>104</v>
      </c>
      <c r="K1601" t="s">
        <v>41</v>
      </c>
      <c r="O1601">
        <v>0</v>
      </c>
      <c r="P1601">
        <v>0</v>
      </c>
      <c r="Q1601">
        <v>0</v>
      </c>
      <c r="R1601">
        <v>0</v>
      </c>
      <c r="S1601">
        <v>0</v>
      </c>
      <c r="T1601">
        <v>1</v>
      </c>
      <c r="U1601">
        <v>0</v>
      </c>
      <c r="V1601">
        <v>0</v>
      </c>
      <c r="W1601" t="s">
        <v>1043</v>
      </c>
      <c r="AA1601">
        <v>2007</v>
      </c>
      <c r="AB1601">
        <v>9999</v>
      </c>
      <c r="AC1601" t="s">
        <v>35</v>
      </c>
    </row>
    <row r="1602" spans="1:29" x14ac:dyDescent="0.25">
      <c r="A1602" s="31" t="s">
        <v>1013</v>
      </c>
      <c r="B1602" s="23" t="s">
        <v>1014</v>
      </c>
      <c r="D1602">
        <v>1</v>
      </c>
      <c r="E1602" t="s">
        <v>128</v>
      </c>
      <c r="F1602">
        <v>9</v>
      </c>
      <c r="G1602">
        <v>2021</v>
      </c>
      <c r="H1602" t="s">
        <v>1513</v>
      </c>
      <c r="I1602" s="15">
        <v>7.7</v>
      </c>
      <c r="J1602" t="s">
        <v>104</v>
      </c>
      <c r="K1602" t="s">
        <v>41</v>
      </c>
      <c r="O1602">
        <v>0</v>
      </c>
      <c r="P1602">
        <v>0</v>
      </c>
      <c r="Q1602">
        <v>0</v>
      </c>
      <c r="R1602">
        <v>0</v>
      </c>
      <c r="S1602">
        <v>0</v>
      </c>
      <c r="T1602">
        <v>0</v>
      </c>
      <c r="U1602">
        <v>0</v>
      </c>
      <c r="V1602">
        <v>0</v>
      </c>
      <c r="W1602" t="s">
        <v>1229</v>
      </c>
      <c r="AA1602">
        <v>2007</v>
      </c>
      <c r="AB1602">
        <v>9999</v>
      </c>
      <c r="AC1602" t="s">
        <v>35</v>
      </c>
    </row>
    <row r="1603" spans="1:29" x14ac:dyDescent="0.25">
      <c r="A1603" s="31" t="s">
        <v>1016</v>
      </c>
      <c r="B1603" s="23" t="s">
        <v>1017</v>
      </c>
      <c r="D1603">
        <v>1</v>
      </c>
      <c r="E1603" t="s">
        <v>396</v>
      </c>
      <c r="F1603">
        <v>3</v>
      </c>
      <c r="G1603">
        <v>2021</v>
      </c>
      <c r="H1603" t="s">
        <v>1018</v>
      </c>
      <c r="I1603" s="15">
        <v>0</v>
      </c>
      <c r="J1603" t="s">
        <v>121</v>
      </c>
      <c r="K1603" t="s">
        <v>41</v>
      </c>
      <c r="O1603">
        <v>0</v>
      </c>
      <c r="P1603">
        <v>0</v>
      </c>
      <c r="Q1603">
        <v>0</v>
      </c>
      <c r="R1603">
        <v>0</v>
      </c>
      <c r="S1603">
        <v>0</v>
      </c>
      <c r="T1603">
        <v>0</v>
      </c>
      <c r="U1603">
        <v>0</v>
      </c>
      <c r="V1603">
        <v>0</v>
      </c>
      <c r="W1603" t="s">
        <v>1230</v>
      </c>
      <c r="AA1603">
        <v>2007</v>
      </c>
      <c r="AB1603">
        <v>9999</v>
      </c>
      <c r="AC1603" t="s">
        <v>35</v>
      </c>
    </row>
    <row r="1604" spans="1:29" x14ac:dyDescent="0.25">
      <c r="A1604" s="31" t="s">
        <v>1020</v>
      </c>
      <c r="B1604" s="23" t="s">
        <v>1021</v>
      </c>
      <c r="D1604">
        <v>1</v>
      </c>
      <c r="E1604" t="s">
        <v>103</v>
      </c>
      <c r="F1604">
        <v>9</v>
      </c>
      <c r="G1604">
        <v>2021</v>
      </c>
      <c r="I1604">
        <v>18.350000000000001</v>
      </c>
      <c r="J1604" t="s">
        <v>104</v>
      </c>
      <c r="K1604" t="s">
        <v>47</v>
      </c>
      <c r="O1604">
        <v>0</v>
      </c>
      <c r="P1604">
        <v>0</v>
      </c>
      <c r="Q1604">
        <v>0</v>
      </c>
      <c r="R1604">
        <v>0</v>
      </c>
      <c r="S1604">
        <v>0</v>
      </c>
      <c r="T1604">
        <v>1</v>
      </c>
      <c r="U1604">
        <v>1</v>
      </c>
      <c r="V1604">
        <v>0</v>
      </c>
      <c r="W1604" t="s">
        <v>1231</v>
      </c>
      <c r="AA1604">
        <v>2007</v>
      </c>
      <c r="AB1604">
        <v>9999</v>
      </c>
      <c r="AC1604" t="s">
        <v>35</v>
      </c>
    </row>
    <row r="1605" spans="1:29" x14ac:dyDescent="0.25">
      <c r="B1605" s="23" t="s">
        <v>1026</v>
      </c>
      <c r="D1605">
        <v>24</v>
      </c>
      <c r="F1605">
        <v>3</v>
      </c>
      <c r="G1605">
        <v>2021</v>
      </c>
      <c r="H1605" t="s">
        <v>392</v>
      </c>
      <c r="I1605" s="15" t="s">
        <v>1027</v>
      </c>
      <c r="J1605" t="s">
        <v>121</v>
      </c>
      <c r="K1605" t="s">
        <v>41</v>
      </c>
      <c r="O1605">
        <v>0</v>
      </c>
      <c r="P1605">
        <v>0</v>
      </c>
      <c r="Q1605">
        <v>0</v>
      </c>
      <c r="R1605">
        <v>0</v>
      </c>
      <c r="S1605">
        <v>0</v>
      </c>
      <c r="T1605">
        <v>0</v>
      </c>
      <c r="U1605">
        <v>0</v>
      </c>
      <c r="V1605">
        <v>0</v>
      </c>
      <c r="W1605" t="s">
        <v>1232</v>
      </c>
      <c r="AA1605">
        <v>2007</v>
      </c>
      <c r="AB1605">
        <v>9999</v>
      </c>
      <c r="AC1605" t="s">
        <v>35</v>
      </c>
    </row>
    <row r="1606" spans="1:29" x14ac:dyDescent="0.25">
      <c r="A1606" s="31" t="s">
        <v>28</v>
      </c>
      <c r="B1606" s="23" t="s">
        <v>29</v>
      </c>
      <c r="D1606">
        <v>1</v>
      </c>
      <c r="E1606" t="s">
        <v>30</v>
      </c>
      <c r="F1606">
        <v>4</v>
      </c>
      <c r="G1606">
        <v>2020</v>
      </c>
      <c r="I1606" s="8">
        <v>659.2</v>
      </c>
      <c r="J1606" s="2" t="s">
        <v>89</v>
      </c>
      <c r="K1606" t="s">
        <v>32</v>
      </c>
      <c r="L1606" t="s">
        <v>33</v>
      </c>
      <c r="O1606">
        <v>0</v>
      </c>
      <c r="P1606">
        <v>0</v>
      </c>
      <c r="Q1606">
        <v>0</v>
      </c>
      <c r="R1606">
        <v>1</v>
      </c>
      <c r="S1606">
        <v>1</v>
      </c>
      <c r="T1606">
        <v>1</v>
      </c>
      <c r="U1606">
        <v>1</v>
      </c>
      <c r="V1606">
        <v>0</v>
      </c>
      <c r="W1606" t="s">
        <v>1029</v>
      </c>
      <c r="AA1606">
        <v>2007</v>
      </c>
      <c r="AB1606">
        <v>9999</v>
      </c>
      <c r="AC1606" t="s">
        <v>35</v>
      </c>
    </row>
    <row r="1607" spans="1:29" x14ac:dyDescent="0.25">
      <c r="A1607" s="31" t="s">
        <v>36</v>
      </c>
      <c r="B1607" s="23" t="s">
        <v>1445</v>
      </c>
      <c r="D1607">
        <v>1</v>
      </c>
      <c r="E1607" s="5" t="s">
        <v>38</v>
      </c>
      <c r="F1607">
        <v>4</v>
      </c>
      <c r="G1607">
        <v>2020</v>
      </c>
      <c r="H1607" t="s">
        <v>39</v>
      </c>
      <c r="I1607">
        <v>0.35</v>
      </c>
      <c r="J1607" s="2" t="s">
        <v>40</v>
      </c>
      <c r="K1607" s="2" t="s">
        <v>41</v>
      </c>
      <c r="L1607" s="2"/>
      <c r="O1607">
        <v>0</v>
      </c>
      <c r="P1607">
        <v>0</v>
      </c>
      <c r="Q1607">
        <v>0</v>
      </c>
      <c r="R1607">
        <v>0</v>
      </c>
      <c r="S1607">
        <v>0</v>
      </c>
      <c r="T1607">
        <v>0</v>
      </c>
      <c r="U1607">
        <v>0</v>
      </c>
      <c r="V1607">
        <v>0</v>
      </c>
      <c r="W1607" t="s">
        <v>1030</v>
      </c>
      <c r="AA1607">
        <v>2007</v>
      </c>
      <c r="AB1607">
        <v>9999</v>
      </c>
      <c r="AC1607" t="s">
        <v>35</v>
      </c>
    </row>
    <row r="1608" spans="1:29" x14ac:dyDescent="0.25">
      <c r="A1608" s="31" t="s">
        <v>43</v>
      </c>
      <c r="B1608" s="23" t="s">
        <v>44</v>
      </c>
      <c r="D1608">
        <v>1</v>
      </c>
      <c r="E1608" t="s">
        <v>45</v>
      </c>
      <c r="F1608">
        <v>4</v>
      </c>
      <c r="G1608">
        <v>2020</v>
      </c>
      <c r="I1608" s="8">
        <v>53</v>
      </c>
      <c r="J1608" t="s">
        <v>52</v>
      </c>
      <c r="K1608" t="s">
        <v>47</v>
      </c>
      <c r="O1608">
        <v>0</v>
      </c>
      <c r="P1608">
        <v>0</v>
      </c>
      <c r="Q1608">
        <v>0</v>
      </c>
      <c r="R1608">
        <v>0</v>
      </c>
      <c r="S1608">
        <v>1</v>
      </c>
      <c r="T1608">
        <v>1</v>
      </c>
      <c r="U1608">
        <v>1</v>
      </c>
      <c r="V1608">
        <v>0</v>
      </c>
      <c r="W1608" t="s">
        <v>1514</v>
      </c>
      <c r="AA1608">
        <v>2007</v>
      </c>
      <c r="AB1608">
        <v>9999</v>
      </c>
      <c r="AC1608" t="s">
        <v>35</v>
      </c>
    </row>
    <row r="1609" spans="1:29" x14ac:dyDescent="0.25">
      <c r="A1609" s="31" t="s">
        <v>49</v>
      </c>
      <c r="B1609" s="25" t="s">
        <v>50</v>
      </c>
      <c r="D1609">
        <v>1</v>
      </c>
      <c r="E1609" t="s">
        <v>51</v>
      </c>
      <c r="F1609">
        <v>1</v>
      </c>
      <c r="G1609">
        <v>2020</v>
      </c>
      <c r="I1609">
        <v>70</v>
      </c>
      <c r="J1609" t="s">
        <v>52</v>
      </c>
      <c r="K1609" t="s">
        <v>53</v>
      </c>
      <c r="L1609" t="s">
        <v>54</v>
      </c>
      <c r="O1609">
        <v>0</v>
      </c>
      <c r="P1609">
        <v>0</v>
      </c>
      <c r="Q1609">
        <v>1</v>
      </c>
      <c r="R1609">
        <v>0</v>
      </c>
      <c r="S1609">
        <v>0</v>
      </c>
      <c r="T1609">
        <v>0</v>
      </c>
      <c r="U1609">
        <v>1</v>
      </c>
      <c r="V1609">
        <v>0</v>
      </c>
      <c r="W1609" t="s">
        <v>55</v>
      </c>
      <c r="AA1609">
        <v>2007</v>
      </c>
      <c r="AB1609">
        <v>9999</v>
      </c>
      <c r="AC1609" t="s">
        <v>35</v>
      </c>
    </row>
    <row r="1610" spans="1:29" x14ac:dyDescent="0.25">
      <c r="A1610" s="31" t="s">
        <v>996</v>
      </c>
      <c r="B1610" s="23" t="s">
        <v>1342</v>
      </c>
      <c r="D1610">
        <v>1</v>
      </c>
      <c r="E1610" t="s">
        <v>38</v>
      </c>
      <c r="F1610">
        <v>4</v>
      </c>
      <c r="G1610">
        <v>2020</v>
      </c>
      <c r="H1610" t="s">
        <v>998</v>
      </c>
      <c r="I1610">
        <v>1.25</v>
      </c>
      <c r="J1610" t="s">
        <v>89</v>
      </c>
      <c r="K1610" t="s">
        <v>41</v>
      </c>
      <c r="O1610">
        <v>0</v>
      </c>
      <c r="P1610">
        <v>0</v>
      </c>
      <c r="Q1610">
        <v>0</v>
      </c>
      <c r="R1610">
        <v>0</v>
      </c>
      <c r="S1610">
        <v>0</v>
      </c>
      <c r="T1610">
        <v>0</v>
      </c>
      <c r="U1610">
        <v>0</v>
      </c>
      <c r="V1610">
        <v>0</v>
      </c>
      <c r="W1610" t="s">
        <v>1344</v>
      </c>
      <c r="AA1610">
        <v>2007</v>
      </c>
      <c r="AB1610">
        <v>9999</v>
      </c>
      <c r="AC1610" t="s">
        <v>35</v>
      </c>
    </row>
    <row r="1611" spans="1:29" x14ac:dyDescent="0.25">
      <c r="A1611" s="31" t="s">
        <v>56</v>
      </c>
      <c r="B1611" s="23" t="s">
        <v>57</v>
      </c>
      <c r="D1611">
        <v>1</v>
      </c>
      <c r="E1611" t="s">
        <v>58</v>
      </c>
      <c r="F1611">
        <v>4</v>
      </c>
      <c r="G1611">
        <v>2020</v>
      </c>
      <c r="I1611" s="8">
        <v>17.899999999999999</v>
      </c>
      <c r="J1611" t="s">
        <v>59</v>
      </c>
      <c r="K1611" t="s">
        <v>53</v>
      </c>
      <c r="L1611" t="s">
        <v>60</v>
      </c>
      <c r="O1611">
        <v>1</v>
      </c>
      <c r="P1611">
        <v>0</v>
      </c>
      <c r="Q1611">
        <v>0</v>
      </c>
      <c r="R1611">
        <v>0</v>
      </c>
      <c r="S1611">
        <v>1</v>
      </c>
      <c r="T1611">
        <v>1</v>
      </c>
      <c r="U1611">
        <v>1</v>
      </c>
      <c r="V1611">
        <v>0</v>
      </c>
      <c r="W1611" t="s">
        <v>61</v>
      </c>
      <c r="AA1611">
        <v>2007</v>
      </c>
      <c r="AB1611">
        <v>9999</v>
      </c>
      <c r="AC1611" t="s">
        <v>35</v>
      </c>
    </row>
    <row r="1612" spans="1:29" x14ac:dyDescent="0.25">
      <c r="A1612" s="31" t="s">
        <v>71</v>
      </c>
      <c r="B1612" s="23" t="s">
        <v>1032</v>
      </c>
      <c r="D1612">
        <v>1</v>
      </c>
      <c r="E1612" t="s">
        <v>309</v>
      </c>
      <c r="F1612">
        <v>10</v>
      </c>
      <c r="G1612">
        <v>2020</v>
      </c>
      <c r="I1612" s="8">
        <v>9164.1</v>
      </c>
      <c r="J1612" t="s">
        <v>59</v>
      </c>
      <c r="K1612" t="s">
        <v>32</v>
      </c>
      <c r="O1612">
        <v>0</v>
      </c>
      <c r="P1612">
        <v>0</v>
      </c>
      <c r="Q1612">
        <v>0</v>
      </c>
      <c r="R1612">
        <v>0</v>
      </c>
      <c r="S1612">
        <v>1</v>
      </c>
      <c r="T1612">
        <v>1</v>
      </c>
      <c r="U1612">
        <v>1</v>
      </c>
      <c r="V1612">
        <v>0</v>
      </c>
      <c r="W1612" t="s">
        <v>1033</v>
      </c>
      <c r="AA1612">
        <v>2007</v>
      </c>
      <c r="AB1612">
        <v>9999</v>
      </c>
      <c r="AC1612" t="s">
        <v>35</v>
      </c>
    </row>
    <row r="1613" spans="1:29" x14ac:dyDescent="0.25">
      <c r="A1613" s="31" t="s">
        <v>62</v>
      </c>
      <c r="B1613" s="23" t="s">
        <v>63</v>
      </c>
      <c r="D1613">
        <v>1</v>
      </c>
      <c r="E1613" t="s">
        <v>64</v>
      </c>
      <c r="F1613">
        <v>1</v>
      </c>
      <c r="G1613">
        <v>2020</v>
      </c>
      <c r="I1613" s="8">
        <v>59.1</v>
      </c>
      <c r="J1613" t="s">
        <v>52</v>
      </c>
      <c r="K1613" t="s">
        <v>53</v>
      </c>
      <c r="L1613" t="s">
        <v>65</v>
      </c>
      <c r="O1613">
        <v>0</v>
      </c>
      <c r="P1613">
        <v>0</v>
      </c>
      <c r="Q1613">
        <v>0</v>
      </c>
      <c r="R1613">
        <v>0</v>
      </c>
      <c r="S1613">
        <v>1</v>
      </c>
      <c r="T1613">
        <v>1</v>
      </c>
      <c r="U1613">
        <v>1</v>
      </c>
      <c r="V1613">
        <v>0</v>
      </c>
      <c r="W1613" t="s">
        <v>1034</v>
      </c>
      <c r="AA1613">
        <v>2007</v>
      </c>
      <c r="AB1613">
        <v>9999</v>
      </c>
      <c r="AC1613" t="s">
        <v>35</v>
      </c>
    </row>
    <row r="1614" spans="1:29" x14ac:dyDescent="0.25">
      <c r="A1614" s="31" t="s">
        <v>74</v>
      </c>
      <c r="B1614" s="23" t="s">
        <v>75</v>
      </c>
      <c r="D1614">
        <v>1</v>
      </c>
      <c r="E1614" t="s">
        <v>58</v>
      </c>
      <c r="F1614">
        <v>4</v>
      </c>
      <c r="G1614">
        <v>2020</v>
      </c>
      <c r="I1614" s="8">
        <v>595.9</v>
      </c>
      <c r="J1614" t="s">
        <v>59</v>
      </c>
      <c r="K1614" t="s">
        <v>47</v>
      </c>
      <c r="O1614">
        <v>0</v>
      </c>
      <c r="P1614">
        <v>0</v>
      </c>
      <c r="Q1614">
        <v>0</v>
      </c>
      <c r="R1614">
        <v>0</v>
      </c>
      <c r="S1614">
        <v>1</v>
      </c>
      <c r="T1614">
        <v>1</v>
      </c>
      <c r="U1614">
        <v>1</v>
      </c>
      <c r="V1614">
        <v>0</v>
      </c>
      <c r="W1614" t="s">
        <v>1035</v>
      </c>
      <c r="AA1614">
        <v>2007</v>
      </c>
      <c r="AB1614">
        <v>9999</v>
      </c>
      <c r="AC1614" t="s">
        <v>35</v>
      </c>
    </row>
    <row r="1615" spans="1:29" x14ac:dyDescent="0.25">
      <c r="A1615" s="31" t="s">
        <v>83</v>
      </c>
      <c r="B1615" s="23" t="s">
        <v>84</v>
      </c>
      <c r="D1615">
        <v>1</v>
      </c>
      <c r="E1615" t="s">
        <v>85</v>
      </c>
      <c r="F1615">
        <v>1</v>
      </c>
      <c r="G1615">
        <v>2020</v>
      </c>
      <c r="H1615" t="s">
        <v>39</v>
      </c>
      <c r="I1615">
        <v>29.5</v>
      </c>
      <c r="J1615" s="2" t="s">
        <v>40</v>
      </c>
      <c r="K1615" t="s">
        <v>41</v>
      </c>
      <c r="O1615">
        <v>0</v>
      </c>
      <c r="P1615">
        <v>0</v>
      </c>
      <c r="Q1615">
        <v>0</v>
      </c>
      <c r="R1615">
        <v>0</v>
      </c>
      <c r="S1615">
        <v>0</v>
      </c>
      <c r="T1615">
        <v>0</v>
      </c>
      <c r="U1615">
        <v>0</v>
      </c>
      <c r="V1615">
        <v>0</v>
      </c>
      <c r="W1615" t="s">
        <v>86</v>
      </c>
      <c r="AA1615">
        <v>2007</v>
      </c>
      <c r="AB1615">
        <v>9999</v>
      </c>
      <c r="AC1615" t="s">
        <v>35</v>
      </c>
    </row>
    <row r="1616" spans="1:29" x14ac:dyDescent="0.25">
      <c r="A1616" s="31" t="s">
        <v>92</v>
      </c>
      <c r="B1616" s="23" t="s">
        <v>93</v>
      </c>
      <c r="C1616" t="s">
        <v>94</v>
      </c>
      <c r="D1616">
        <v>1</v>
      </c>
      <c r="E1616" t="s">
        <v>95</v>
      </c>
      <c r="F1616">
        <v>10</v>
      </c>
      <c r="G1616">
        <v>2020</v>
      </c>
      <c r="I1616" s="8">
        <v>25</v>
      </c>
      <c r="J1616" t="s">
        <v>59</v>
      </c>
      <c r="K1616" t="s">
        <v>47</v>
      </c>
      <c r="O1616">
        <v>0</v>
      </c>
      <c r="P1616">
        <v>0</v>
      </c>
      <c r="Q1616">
        <v>0</v>
      </c>
      <c r="R1616">
        <v>0</v>
      </c>
      <c r="S1616">
        <v>1</v>
      </c>
      <c r="T1616">
        <v>1</v>
      </c>
      <c r="U1616">
        <v>1</v>
      </c>
      <c r="V1616">
        <v>0</v>
      </c>
      <c r="W1616" t="s">
        <v>96</v>
      </c>
      <c r="AA1616">
        <v>2007</v>
      </c>
      <c r="AB1616">
        <v>9999</v>
      </c>
      <c r="AC1616" t="s">
        <v>35</v>
      </c>
    </row>
    <row r="1617" spans="1:29" x14ac:dyDescent="0.25">
      <c r="A1617" s="31" t="s">
        <v>101</v>
      </c>
      <c r="B1617" s="23" t="s">
        <v>102</v>
      </c>
      <c r="D1617">
        <v>1</v>
      </c>
      <c r="E1617" t="s">
        <v>103</v>
      </c>
      <c r="F1617">
        <v>9</v>
      </c>
      <c r="G1617">
        <v>2020</v>
      </c>
      <c r="I1617" s="8">
        <v>428.7</v>
      </c>
      <c r="J1617" t="s">
        <v>104</v>
      </c>
      <c r="K1617" t="s">
        <v>53</v>
      </c>
      <c r="L1617" t="s">
        <v>105</v>
      </c>
      <c r="O1617">
        <v>0</v>
      </c>
      <c r="P1617">
        <v>1</v>
      </c>
      <c r="Q1617">
        <v>0</v>
      </c>
      <c r="R1617">
        <v>0</v>
      </c>
      <c r="S1617">
        <v>1</v>
      </c>
      <c r="T1617">
        <v>1</v>
      </c>
      <c r="U1617">
        <v>1</v>
      </c>
      <c r="V1617">
        <v>0</v>
      </c>
      <c r="W1617" t="s">
        <v>106</v>
      </c>
      <c r="AA1617">
        <v>2007</v>
      </c>
      <c r="AB1617">
        <v>9999</v>
      </c>
      <c r="AC1617" t="s">
        <v>35</v>
      </c>
    </row>
    <row r="1618" spans="1:29" x14ac:dyDescent="0.25">
      <c r="A1618" s="31" t="s">
        <v>107</v>
      </c>
      <c r="B1618" s="23" t="s">
        <v>108</v>
      </c>
      <c r="D1618">
        <v>1</v>
      </c>
      <c r="E1618" t="s">
        <v>45</v>
      </c>
      <c r="F1618">
        <v>4</v>
      </c>
      <c r="G1618">
        <v>2020</v>
      </c>
      <c r="I1618" s="8">
        <v>4.8</v>
      </c>
      <c r="J1618" t="s">
        <v>52</v>
      </c>
      <c r="K1618" t="s">
        <v>41</v>
      </c>
      <c r="O1618">
        <v>0</v>
      </c>
      <c r="P1618">
        <v>0</v>
      </c>
      <c r="Q1618">
        <v>0</v>
      </c>
      <c r="R1618">
        <v>0</v>
      </c>
      <c r="S1618">
        <v>0</v>
      </c>
      <c r="T1618">
        <v>1</v>
      </c>
      <c r="U1618">
        <v>1</v>
      </c>
      <c r="V1618">
        <v>0</v>
      </c>
      <c r="W1618" t="s">
        <v>1520</v>
      </c>
      <c r="AA1618">
        <v>2007</v>
      </c>
      <c r="AB1618">
        <v>9999</v>
      </c>
      <c r="AC1618" t="s">
        <v>35</v>
      </c>
    </row>
    <row r="1619" spans="1:29" x14ac:dyDescent="0.25">
      <c r="A1619" s="31" t="s">
        <v>110</v>
      </c>
      <c r="B1619" s="23" t="s">
        <v>111</v>
      </c>
      <c r="D1619">
        <v>1</v>
      </c>
      <c r="E1619" t="s">
        <v>45</v>
      </c>
      <c r="F1619">
        <v>4</v>
      </c>
      <c r="G1619">
        <v>2020</v>
      </c>
      <c r="I1619" s="8">
        <v>489.1</v>
      </c>
      <c r="J1619" t="s">
        <v>89</v>
      </c>
      <c r="K1619" t="s">
        <v>47</v>
      </c>
      <c r="O1619">
        <v>0</v>
      </c>
      <c r="P1619">
        <v>0</v>
      </c>
      <c r="Q1619">
        <v>0</v>
      </c>
      <c r="R1619">
        <v>0</v>
      </c>
      <c r="S1619">
        <v>1</v>
      </c>
      <c r="T1619">
        <v>1</v>
      </c>
      <c r="U1619">
        <v>1</v>
      </c>
      <c r="V1619">
        <v>0</v>
      </c>
      <c r="W1619" t="s">
        <v>1039</v>
      </c>
      <c r="AA1619">
        <v>2007</v>
      </c>
      <c r="AB1619">
        <v>9999</v>
      </c>
      <c r="AC1619" t="s">
        <v>35</v>
      </c>
    </row>
    <row r="1620" spans="1:29" x14ac:dyDescent="0.25">
      <c r="A1620" s="31" t="s">
        <v>113</v>
      </c>
      <c r="B1620" s="23" t="s">
        <v>114</v>
      </c>
      <c r="D1620">
        <v>1</v>
      </c>
      <c r="E1620" t="s">
        <v>115</v>
      </c>
      <c r="F1620">
        <v>6</v>
      </c>
      <c r="G1620">
        <v>2020</v>
      </c>
      <c r="I1620" s="8">
        <v>275.2</v>
      </c>
      <c r="J1620" t="s">
        <v>52</v>
      </c>
      <c r="K1620" t="s">
        <v>47</v>
      </c>
      <c r="O1620">
        <v>0</v>
      </c>
      <c r="P1620">
        <v>0</v>
      </c>
      <c r="Q1620">
        <v>0</v>
      </c>
      <c r="R1620">
        <v>0</v>
      </c>
      <c r="S1620">
        <v>1</v>
      </c>
      <c r="T1620">
        <v>1</v>
      </c>
      <c r="U1620">
        <v>1</v>
      </c>
      <c r="V1620">
        <v>0</v>
      </c>
      <c r="W1620" t="s">
        <v>1415</v>
      </c>
      <c r="AA1620">
        <v>2007</v>
      </c>
      <c r="AB1620">
        <v>9999</v>
      </c>
      <c r="AC1620" t="s">
        <v>35</v>
      </c>
    </row>
    <row r="1621" spans="1:29" x14ac:dyDescent="0.25">
      <c r="A1621" s="31" t="s">
        <v>117</v>
      </c>
      <c r="B1621" s="23" t="s">
        <v>118</v>
      </c>
      <c r="C1621" t="s">
        <v>119</v>
      </c>
      <c r="D1621">
        <v>1</v>
      </c>
      <c r="E1621" t="s">
        <v>120</v>
      </c>
      <c r="F1621">
        <v>3</v>
      </c>
      <c r="G1621">
        <v>2020</v>
      </c>
      <c r="I1621" s="8">
        <v>137.6</v>
      </c>
      <c r="J1621" t="s">
        <v>121</v>
      </c>
      <c r="K1621" t="s">
        <v>47</v>
      </c>
      <c r="O1621">
        <v>0</v>
      </c>
      <c r="P1621">
        <v>0</v>
      </c>
      <c r="Q1621">
        <v>0</v>
      </c>
      <c r="R1621">
        <v>0</v>
      </c>
      <c r="S1621">
        <v>1</v>
      </c>
      <c r="T1621">
        <v>1</v>
      </c>
      <c r="U1621">
        <v>1</v>
      </c>
      <c r="V1621">
        <v>0</v>
      </c>
      <c r="W1621" t="s">
        <v>1521</v>
      </c>
      <c r="AA1621">
        <v>2007</v>
      </c>
      <c r="AB1621">
        <v>9999</v>
      </c>
      <c r="AC1621" t="s">
        <v>35</v>
      </c>
    </row>
    <row r="1622" spans="1:29" x14ac:dyDescent="0.25">
      <c r="A1622" s="31" t="s">
        <v>123</v>
      </c>
      <c r="B1622" s="23" t="s">
        <v>124</v>
      </c>
      <c r="D1622">
        <v>1</v>
      </c>
      <c r="E1622" t="s">
        <v>120</v>
      </c>
      <c r="F1622">
        <v>3</v>
      </c>
      <c r="G1622">
        <v>2020</v>
      </c>
      <c r="I1622" s="8">
        <v>53.7</v>
      </c>
      <c r="J1622" t="s">
        <v>121</v>
      </c>
      <c r="K1622" t="s">
        <v>47</v>
      </c>
      <c r="O1622">
        <v>0</v>
      </c>
      <c r="P1622">
        <v>0</v>
      </c>
      <c r="Q1622">
        <v>0</v>
      </c>
      <c r="R1622">
        <v>0</v>
      </c>
      <c r="S1622">
        <v>1</v>
      </c>
      <c r="T1622">
        <v>1</v>
      </c>
      <c r="U1622">
        <v>1</v>
      </c>
      <c r="V1622">
        <v>0</v>
      </c>
      <c r="W1622" t="s">
        <v>1042</v>
      </c>
      <c r="AA1622">
        <v>2007</v>
      </c>
      <c r="AB1622">
        <v>9999</v>
      </c>
      <c r="AC1622" t="s">
        <v>35</v>
      </c>
    </row>
    <row r="1623" spans="1:29" x14ac:dyDescent="0.25">
      <c r="A1623" s="31" t="s">
        <v>1416</v>
      </c>
      <c r="B1623" s="23" t="s">
        <v>1417</v>
      </c>
      <c r="D1623">
        <v>1</v>
      </c>
      <c r="E1623" s="5" t="s">
        <v>38</v>
      </c>
      <c r="F1623">
        <v>4</v>
      </c>
      <c r="G1623">
        <v>2020</v>
      </c>
      <c r="H1623" t="s">
        <v>998</v>
      </c>
      <c r="I1623" s="8">
        <v>0</v>
      </c>
      <c r="J1623" t="s">
        <v>89</v>
      </c>
      <c r="K1623" t="s">
        <v>41</v>
      </c>
      <c r="O1623">
        <v>0</v>
      </c>
      <c r="P1623">
        <v>0</v>
      </c>
      <c r="Q1623">
        <v>0</v>
      </c>
      <c r="R1623">
        <v>0</v>
      </c>
      <c r="S1623">
        <v>0</v>
      </c>
      <c r="T1623">
        <v>0</v>
      </c>
      <c r="U1623">
        <v>0</v>
      </c>
      <c r="V1623">
        <v>0</v>
      </c>
      <c r="W1623" t="s">
        <v>1534</v>
      </c>
      <c r="AA1623">
        <v>2013</v>
      </c>
      <c r="AB1623">
        <v>9999</v>
      </c>
      <c r="AC1623" t="s">
        <v>1419</v>
      </c>
    </row>
    <row r="1624" spans="1:29" x14ac:dyDescent="0.25">
      <c r="A1624" s="31" t="s">
        <v>131</v>
      </c>
      <c r="B1624" s="23" t="s">
        <v>132</v>
      </c>
      <c r="C1624" t="s">
        <v>133</v>
      </c>
      <c r="D1624">
        <v>1</v>
      </c>
      <c r="E1624" t="s">
        <v>134</v>
      </c>
      <c r="F1624">
        <v>9</v>
      </c>
      <c r="G1624">
        <v>2020</v>
      </c>
      <c r="I1624" s="8">
        <v>882.7</v>
      </c>
      <c r="J1624" t="s">
        <v>104</v>
      </c>
      <c r="K1624" t="s">
        <v>47</v>
      </c>
      <c r="O1624">
        <v>0</v>
      </c>
      <c r="P1624">
        <v>0</v>
      </c>
      <c r="Q1624">
        <v>0</v>
      </c>
      <c r="R1624">
        <v>0</v>
      </c>
      <c r="S1624">
        <v>1</v>
      </c>
      <c r="T1624">
        <v>1</v>
      </c>
      <c r="U1624">
        <v>1</v>
      </c>
      <c r="V1624">
        <v>0</v>
      </c>
      <c r="W1624" t="s">
        <v>1522</v>
      </c>
      <c r="AA1624">
        <v>2007</v>
      </c>
      <c r="AB1624">
        <v>9999</v>
      </c>
      <c r="AC1624" t="s">
        <v>35</v>
      </c>
    </row>
    <row r="1625" spans="1:29" x14ac:dyDescent="0.25">
      <c r="A1625" s="31" t="s">
        <v>140</v>
      </c>
      <c r="B1625" s="23" t="s">
        <v>141</v>
      </c>
      <c r="D1625">
        <v>1</v>
      </c>
      <c r="E1625" t="s">
        <v>45</v>
      </c>
      <c r="F1625">
        <v>4</v>
      </c>
      <c r="G1625">
        <v>2020</v>
      </c>
      <c r="I1625" s="8">
        <v>82</v>
      </c>
      <c r="J1625" t="s">
        <v>121</v>
      </c>
      <c r="K1625" t="s">
        <v>47</v>
      </c>
      <c r="O1625">
        <v>0</v>
      </c>
      <c r="P1625">
        <v>0</v>
      </c>
      <c r="Q1625">
        <v>0</v>
      </c>
      <c r="R1625">
        <v>0</v>
      </c>
      <c r="S1625">
        <v>1</v>
      </c>
      <c r="T1625">
        <v>1</v>
      </c>
      <c r="U1625">
        <v>1</v>
      </c>
      <c r="V1625">
        <v>0</v>
      </c>
      <c r="W1625" t="s">
        <v>1045</v>
      </c>
      <c r="AA1625">
        <v>2007</v>
      </c>
      <c r="AB1625">
        <v>9999</v>
      </c>
      <c r="AC1625" t="s">
        <v>35</v>
      </c>
    </row>
    <row r="1626" spans="1:29" ht="30" x14ac:dyDescent="0.25">
      <c r="A1626" s="31" t="s">
        <v>143</v>
      </c>
      <c r="B1626" s="23" t="s">
        <v>144</v>
      </c>
      <c r="D1626">
        <v>1</v>
      </c>
      <c r="E1626" t="s">
        <v>145</v>
      </c>
      <c r="F1626">
        <v>2</v>
      </c>
      <c r="G1626">
        <v>2020</v>
      </c>
      <c r="H1626" t="s">
        <v>146</v>
      </c>
      <c r="I1626">
        <v>0</v>
      </c>
      <c r="J1626" s="2" t="s">
        <v>147</v>
      </c>
      <c r="K1626" t="s">
        <v>41</v>
      </c>
      <c r="O1626">
        <v>0</v>
      </c>
      <c r="P1626">
        <v>0</v>
      </c>
      <c r="Q1626">
        <v>0</v>
      </c>
      <c r="R1626">
        <v>0</v>
      </c>
      <c r="S1626">
        <v>0</v>
      </c>
      <c r="T1626">
        <v>0</v>
      </c>
      <c r="U1626">
        <v>0</v>
      </c>
      <c r="V1626">
        <v>0</v>
      </c>
      <c r="W1626" t="s">
        <v>1046</v>
      </c>
      <c r="AA1626">
        <v>2007</v>
      </c>
      <c r="AB1626">
        <v>9999</v>
      </c>
      <c r="AC1626" t="s">
        <v>35</v>
      </c>
    </row>
    <row r="1627" spans="1:29" x14ac:dyDescent="0.25">
      <c r="A1627" s="31" t="s">
        <v>1535</v>
      </c>
      <c r="B1627" s="23" t="s">
        <v>1536</v>
      </c>
      <c r="C1627" t="s">
        <v>1537</v>
      </c>
      <c r="D1627">
        <v>1</v>
      </c>
      <c r="E1627" t="s">
        <v>95</v>
      </c>
      <c r="F1627">
        <v>10</v>
      </c>
      <c r="G1627">
        <v>2020</v>
      </c>
      <c r="I1627">
        <v>13.8</v>
      </c>
      <c r="J1627" t="s">
        <v>59</v>
      </c>
      <c r="K1627" t="s">
        <v>47</v>
      </c>
      <c r="O1627">
        <v>0</v>
      </c>
      <c r="P1627">
        <v>0</v>
      </c>
      <c r="Q1627">
        <v>0</v>
      </c>
      <c r="R1627">
        <v>0</v>
      </c>
      <c r="S1627">
        <v>1</v>
      </c>
      <c r="T1627">
        <v>1</v>
      </c>
      <c r="U1627">
        <v>1</v>
      </c>
      <c r="V1627">
        <v>0</v>
      </c>
      <c r="W1627" t="s">
        <v>1538</v>
      </c>
      <c r="AA1627">
        <v>2018</v>
      </c>
      <c r="AB1627">
        <v>2022</v>
      </c>
      <c r="AC1627" t="s">
        <v>1539</v>
      </c>
    </row>
    <row r="1628" spans="1:29" x14ac:dyDescent="0.25">
      <c r="A1628" s="31" t="s">
        <v>353</v>
      </c>
      <c r="B1628" s="23" t="s">
        <v>1233</v>
      </c>
      <c r="C1628" t="s">
        <v>1234</v>
      </c>
      <c r="D1628">
        <v>1</v>
      </c>
      <c r="E1628" t="s">
        <v>58</v>
      </c>
      <c r="F1628">
        <v>4</v>
      </c>
      <c r="G1628">
        <v>2020</v>
      </c>
      <c r="I1628" s="8">
        <v>89.9</v>
      </c>
      <c r="J1628" t="s">
        <v>59</v>
      </c>
      <c r="K1628" t="s">
        <v>47</v>
      </c>
      <c r="O1628">
        <v>0</v>
      </c>
      <c r="P1628">
        <v>0</v>
      </c>
      <c r="Q1628">
        <v>0</v>
      </c>
      <c r="R1628">
        <v>0</v>
      </c>
      <c r="S1628">
        <v>1</v>
      </c>
      <c r="T1628">
        <v>1</v>
      </c>
      <c r="U1628">
        <v>1</v>
      </c>
      <c r="V1628">
        <v>0</v>
      </c>
      <c r="W1628" t="s">
        <v>1235</v>
      </c>
      <c r="AA1628">
        <v>2007</v>
      </c>
      <c r="AB1628">
        <v>9999</v>
      </c>
      <c r="AC1628" t="s">
        <v>35</v>
      </c>
    </row>
    <row r="1629" spans="1:29" x14ac:dyDescent="0.25">
      <c r="A1629" s="31" t="s">
        <v>1236</v>
      </c>
      <c r="B1629" s="23" t="s">
        <v>1237</v>
      </c>
      <c r="D1629">
        <v>1</v>
      </c>
      <c r="E1629" t="s">
        <v>155</v>
      </c>
      <c r="F1629">
        <v>3</v>
      </c>
      <c r="G1629">
        <v>2020</v>
      </c>
      <c r="H1629" t="s">
        <v>154</v>
      </c>
      <c r="I1629" s="8">
        <v>5</v>
      </c>
      <c r="J1629" t="s">
        <v>121</v>
      </c>
      <c r="K1629" t="s">
        <v>41</v>
      </c>
      <c r="O1629">
        <v>0</v>
      </c>
      <c r="P1629">
        <v>0</v>
      </c>
      <c r="Q1629">
        <v>0</v>
      </c>
      <c r="R1629">
        <v>0</v>
      </c>
      <c r="S1629">
        <v>0</v>
      </c>
      <c r="T1629">
        <v>1</v>
      </c>
      <c r="U1629">
        <v>1</v>
      </c>
      <c r="V1629">
        <v>0</v>
      </c>
      <c r="W1629" t="s">
        <v>1347</v>
      </c>
      <c r="AA1629">
        <v>2009</v>
      </c>
      <c r="AB1629">
        <v>9999</v>
      </c>
      <c r="AC1629" t="s">
        <v>1239</v>
      </c>
    </row>
    <row r="1630" spans="1:29" x14ac:dyDescent="0.25">
      <c r="A1630" s="31" t="s">
        <v>153</v>
      </c>
      <c r="B1630" s="23" t="s">
        <v>154</v>
      </c>
      <c r="D1630">
        <v>1</v>
      </c>
      <c r="E1630" t="s">
        <v>155</v>
      </c>
      <c r="F1630">
        <v>3</v>
      </c>
      <c r="G1630">
        <v>2020</v>
      </c>
      <c r="I1630" s="14">
        <v>362.36483134920798</v>
      </c>
      <c r="J1630" t="s">
        <v>121</v>
      </c>
      <c r="K1630" t="s">
        <v>47</v>
      </c>
      <c r="O1630">
        <v>0</v>
      </c>
      <c r="P1630">
        <v>0</v>
      </c>
      <c r="Q1630">
        <v>0</v>
      </c>
      <c r="R1630">
        <v>0</v>
      </c>
      <c r="S1630">
        <v>1</v>
      </c>
      <c r="T1630">
        <v>1</v>
      </c>
      <c r="U1630">
        <v>1</v>
      </c>
      <c r="V1630">
        <v>1</v>
      </c>
      <c r="W1630" t="s">
        <v>1047</v>
      </c>
      <c r="AA1630">
        <v>2007</v>
      </c>
      <c r="AB1630">
        <v>9999</v>
      </c>
      <c r="AC1630" t="s">
        <v>35</v>
      </c>
    </row>
    <row r="1631" spans="1:29" x14ac:dyDescent="0.25">
      <c r="A1631" s="31" t="s">
        <v>1446</v>
      </c>
      <c r="B1631" s="23" t="s">
        <v>1470</v>
      </c>
      <c r="D1631">
        <v>1</v>
      </c>
      <c r="E1631" s="4">
        <v>711</v>
      </c>
      <c r="F1631">
        <v>7</v>
      </c>
      <c r="G1631">
        <v>2020</v>
      </c>
      <c r="I1631" s="15">
        <v>267.2</v>
      </c>
      <c r="J1631" s="2" t="s">
        <v>40</v>
      </c>
      <c r="K1631" t="s">
        <v>32</v>
      </c>
      <c r="O1631">
        <v>0</v>
      </c>
      <c r="P1631">
        <v>0</v>
      </c>
      <c r="Q1631">
        <v>0</v>
      </c>
      <c r="R1631">
        <v>0</v>
      </c>
      <c r="S1631">
        <v>1</v>
      </c>
      <c r="T1631">
        <v>1</v>
      </c>
      <c r="U1631">
        <v>1</v>
      </c>
      <c r="V1631">
        <v>0</v>
      </c>
      <c r="W1631" t="s">
        <v>1448</v>
      </c>
      <c r="AA1631">
        <v>2014</v>
      </c>
      <c r="AB1631">
        <v>9999</v>
      </c>
      <c r="AC1631" t="s">
        <v>1449</v>
      </c>
    </row>
    <row r="1632" spans="1:29" x14ac:dyDescent="0.25">
      <c r="A1632" s="31" t="s">
        <v>159</v>
      </c>
      <c r="B1632" s="23" t="s">
        <v>160</v>
      </c>
      <c r="D1632">
        <v>1</v>
      </c>
      <c r="E1632" t="s">
        <v>155</v>
      </c>
      <c r="F1632">
        <v>3</v>
      </c>
      <c r="G1632">
        <v>2020</v>
      </c>
      <c r="I1632" s="15">
        <v>267.2</v>
      </c>
      <c r="J1632" t="s">
        <v>121</v>
      </c>
      <c r="K1632" t="s">
        <v>47</v>
      </c>
      <c r="O1632">
        <v>0</v>
      </c>
      <c r="P1632">
        <v>0</v>
      </c>
      <c r="Q1632">
        <v>0</v>
      </c>
      <c r="R1632">
        <v>0</v>
      </c>
      <c r="S1632">
        <v>1</v>
      </c>
      <c r="T1632">
        <v>1</v>
      </c>
      <c r="U1632">
        <v>1</v>
      </c>
      <c r="V1632">
        <v>0</v>
      </c>
      <c r="W1632" t="s">
        <v>1515</v>
      </c>
      <c r="AA1632">
        <v>2007</v>
      </c>
      <c r="AB1632">
        <v>9999</v>
      </c>
      <c r="AC1632" t="s">
        <v>35</v>
      </c>
    </row>
    <row r="1633" spans="1:29" x14ac:dyDescent="0.25">
      <c r="A1633" s="31" t="s">
        <v>165</v>
      </c>
      <c r="B1633" s="23" t="s">
        <v>166</v>
      </c>
      <c r="C1633" t="s">
        <v>167</v>
      </c>
      <c r="D1633">
        <v>1</v>
      </c>
      <c r="E1633" t="s">
        <v>168</v>
      </c>
      <c r="F1633">
        <v>1</v>
      </c>
      <c r="G1633">
        <v>2020</v>
      </c>
      <c r="I1633" s="15">
        <v>134.80000000000001</v>
      </c>
      <c r="J1633" t="s">
        <v>52</v>
      </c>
      <c r="K1633" t="s">
        <v>47</v>
      </c>
      <c r="O1633">
        <v>0</v>
      </c>
      <c r="P1633">
        <v>0</v>
      </c>
      <c r="Q1633">
        <v>0</v>
      </c>
      <c r="R1633">
        <v>0</v>
      </c>
      <c r="S1633">
        <v>1</v>
      </c>
      <c r="T1633">
        <v>1</v>
      </c>
      <c r="U1633">
        <v>1</v>
      </c>
      <c r="V1633">
        <v>0</v>
      </c>
      <c r="W1633" t="s">
        <v>1523</v>
      </c>
      <c r="AA1633">
        <v>2007</v>
      </c>
      <c r="AB1633">
        <v>9999</v>
      </c>
      <c r="AC1633" t="s">
        <v>35</v>
      </c>
    </row>
    <row r="1634" spans="1:29" x14ac:dyDescent="0.25">
      <c r="A1634" s="31" t="s">
        <v>170</v>
      </c>
      <c r="B1634" s="23" t="s">
        <v>171</v>
      </c>
      <c r="D1634">
        <v>1</v>
      </c>
      <c r="E1634" t="s">
        <v>30</v>
      </c>
      <c r="F1634">
        <v>4</v>
      </c>
      <c r="G1634">
        <v>2020</v>
      </c>
      <c r="I1634" s="15">
        <v>47.6</v>
      </c>
      <c r="J1634" t="s">
        <v>1556</v>
      </c>
      <c r="K1634" t="s">
        <v>47</v>
      </c>
      <c r="O1634">
        <v>0</v>
      </c>
      <c r="P1634">
        <v>0</v>
      </c>
      <c r="Q1634">
        <v>0</v>
      </c>
      <c r="R1634">
        <v>0</v>
      </c>
      <c r="S1634">
        <v>1</v>
      </c>
      <c r="T1634">
        <v>1</v>
      </c>
      <c r="U1634">
        <v>1</v>
      </c>
      <c r="V1634">
        <v>0</v>
      </c>
      <c r="W1634" t="s">
        <v>1050</v>
      </c>
      <c r="AA1634">
        <v>2007</v>
      </c>
      <c r="AB1634">
        <v>9999</v>
      </c>
      <c r="AC1634" t="s">
        <v>35</v>
      </c>
    </row>
    <row r="1635" spans="1:29" x14ac:dyDescent="0.25">
      <c r="A1635" s="31" t="s">
        <v>1051</v>
      </c>
      <c r="B1635" s="23" t="s">
        <v>1052</v>
      </c>
      <c r="D1635">
        <v>1</v>
      </c>
      <c r="E1635" t="s">
        <v>30</v>
      </c>
      <c r="F1635">
        <v>4</v>
      </c>
      <c r="G1635">
        <v>2020</v>
      </c>
      <c r="I1635" s="15">
        <v>127.2</v>
      </c>
      <c r="J1635" t="s">
        <v>1556</v>
      </c>
      <c r="K1635" t="s">
        <v>47</v>
      </c>
      <c r="O1635">
        <v>0</v>
      </c>
      <c r="P1635">
        <v>0</v>
      </c>
      <c r="Q1635">
        <v>0</v>
      </c>
      <c r="R1635">
        <v>0</v>
      </c>
      <c r="S1635">
        <v>1</v>
      </c>
      <c r="T1635">
        <v>1</v>
      </c>
      <c r="U1635">
        <v>1</v>
      </c>
      <c r="V1635">
        <v>0</v>
      </c>
      <c r="W1635" t="s">
        <v>1524</v>
      </c>
      <c r="AA1635">
        <v>2008</v>
      </c>
      <c r="AB1635">
        <v>9999</v>
      </c>
      <c r="AC1635" t="s">
        <v>1054</v>
      </c>
    </row>
    <row r="1636" spans="1:29" x14ac:dyDescent="0.25">
      <c r="A1636" s="31" t="s">
        <v>1557</v>
      </c>
      <c r="B1636" s="23" t="s">
        <v>1558</v>
      </c>
      <c r="D1636">
        <v>1</v>
      </c>
      <c r="E1636" s="5" t="s">
        <v>358</v>
      </c>
      <c r="F1636">
        <v>1</v>
      </c>
      <c r="G1636">
        <v>2020</v>
      </c>
      <c r="I1636" s="15">
        <v>27.8</v>
      </c>
      <c r="J1636" t="s">
        <v>104</v>
      </c>
      <c r="K1636" t="s">
        <v>47</v>
      </c>
      <c r="O1636">
        <v>0</v>
      </c>
      <c r="P1636">
        <v>0</v>
      </c>
      <c r="Q1636">
        <v>0</v>
      </c>
      <c r="R1636">
        <v>0</v>
      </c>
      <c r="S1636">
        <v>1</v>
      </c>
      <c r="T1636">
        <v>0</v>
      </c>
      <c r="U1636">
        <v>1</v>
      </c>
      <c r="V1636">
        <v>0</v>
      </c>
      <c r="W1636" t="s">
        <v>1559</v>
      </c>
      <c r="AA1636">
        <v>2019</v>
      </c>
      <c r="AB1636">
        <v>9999</v>
      </c>
      <c r="AC1636" t="s">
        <v>1560</v>
      </c>
    </row>
    <row r="1637" spans="1:29" x14ac:dyDescent="0.25">
      <c r="A1637" s="31" t="s">
        <v>173</v>
      </c>
      <c r="B1637" s="23" t="s">
        <v>174</v>
      </c>
      <c r="C1637" t="s">
        <v>175</v>
      </c>
      <c r="D1637">
        <v>1</v>
      </c>
      <c r="E1637" t="s">
        <v>45</v>
      </c>
      <c r="F1637">
        <v>4</v>
      </c>
      <c r="G1637">
        <v>2020</v>
      </c>
      <c r="I1637" s="15">
        <v>136.4</v>
      </c>
      <c r="J1637" t="s">
        <v>176</v>
      </c>
      <c r="K1637" t="s">
        <v>32</v>
      </c>
      <c r="O1637">
        <v>0</v>
      </c>
      <c r="P1637">
        <v>0</v>
      </c>
      <c r="Q1637">
        <v>0</v>
      </c>
      <c r="R1637">
        <v>0</v>
      </c>
      <c r="S1637">
        <v>1</v>
      </c>
      <c r="T1637">
        <v>1</v>
      </c>
      <c r="U1637">
        <v>1</v>
      </c>
      <c r="V1637">
        <v>0</v>
      </c>
      <c r="W1637" t="s">
        <v>1055</v>
      </c>
      <c r="AA1637">
        <v>2007</v>
      </c>
      <c r="AB1637">
        <v>9999</v>
      </c>
      <c r="AC1637" t="s">
        <v>35</v>
      </c>
    </row>
    <row r="1638" spans="1:29" x14ac:dyDescent="0.25">
      <c r="A1638" s="31" t="s">
        <v>178</v>
      </c>
      <c r="B1638" s="23" t="s">
        <v>1424</v>
      </c>
      <c r="C1638" t="s">
        <v>1425</v>
      </c>
      <c r="D1638">
        <v>1</v>
      </c>
      <c r="E1638" t="s">
        <v>45</v>
      </c>
      <c r="F1638">
        <v>4</v>
      </c>
      <c r="G1638">
        <v>2020</v>
      </c>
      <c r="I1638" s="15">
        <v>20.9</v>
      </c>
      <c r="J1638" t="s">
        <v>52</v>
      </c>
      <c r="K1638" t="s">
        <v>47</v>
      </c>
      <c r="O1638">
        <v>0</v>
      </c>
      <c r="P1638">
        <v>0</v>
      </c>
      <c r="Q1638">
        <v>0</v>
      </c>
      <c r="R1638">
        <v>0</v>
      </c>
      <c r="S1638">
        <v>1</v>
      </c>
      <c r="T1638">
        <v>1</v>
      </c>
      <c r="U1638">
        <v>1</v>
      </c>
      <c r="V1638">
        <v>0</v>
      </c>
      <c r="W1638" t="s">
        <v>1240</v>
      </c>
      <c r="AA1638">
        <v>2007</v>
      </c>
      <c r="AB1638">
        <v>9999</v>
      </c>
      <c r="AC1638" t="s">
        <v>35</v>
      </c>
    </row>
    <row r="1639" spans="1:29" x14ac:dyDescent="0.25">
      <c r="A1639" s="31" t="s">
        <v>181</v>
      </c>
      <c r="B1639" s="23" t="s">
        <v>182</v>
      </c>
      <c r="D1639">
        <v>1</v>
      </c>
      <c r="E1639" t="s">
        <v>38</v>
      </c>
      <c r="F1639">
        <v>4</v>
      </c>
      <c r="G1639">
        <v>2020</v>
      </c>
      <c r="H1639" t="s">
        <v>39</v>
      </c>
      <c r="I1639" s="15">
        <v>0.35</v>
      </c>
      <c r="J1639" t="s">
        <v>121</v>
      </c>
      <c r="K1639" t="s">
        <v>41</v>
      </c>
      <c r="O1639">
        <v>0</v>
      </c>
      <c r="P1639">
        <v>0</v>
      </c>
      <c r="Q1639">
        <v>0</v>
      </c>
      <c r="R1639">
        <v>0</v>
      </c>
      <c r="S1639">
        <v>0</v>
      </c>
      <c r="T1639">
        <v>0</v>
      </c>
      <c r="U1639">
        <v>0</v>
      </c>
      <c r="V1639">
        <v>0</v>
      </c>
      <c r="W1639" t="s">
        <v>1057</v>
      </c>
      <c r="AA1639">
        <v>2007</v>
      </c>
      <c r="AB1639">
        <v>9999</v>
      </c>
      <c r="AC1639" t="s">
        <v>35</v>
      </c>
    </row>
    <row r="1640" spans="1:29" x14ac:dyDescent="0.25">
      <c r="A1640" s="31" t="s">
        <v>184</v>
      </c>
      <c r="B1640" s="23" t="s">
        <v>185</v>
      </c>
      <c r="C1640" t="s">
        <v>186</v>
      </c>
      <c r="D1640">
        <v>1</v>
      </c>
      <c r="E1640" t="s">
        <v>45</v>
      </c>
      <c r="F1640">
        <v>4</v>
      </c>
      <c r="G1640">
        <v>2020</v>
      </c>
      <c r="I1640" s="15">
        <v>536.29999999999995</v>
      </c>
      <c r="J1640" t="s">
        <v>52</v>
      </c>
      <c r="K1640" t="s">
        <v>32</v>
      </c>
      <c r="O1640">
        <v>0</v>
      </c>
      <c r="P1640">
        <v>0</v>
      </c>
      <c r="Q1640">
        <v>0</v>
      </c>
      <c r="R1640">
        <v>0</v>
      </c>
      <c r="S1640">
        <v>1</v>
      </c>
      <c r="T1640">
        <v>1</v>
      </c>
      <c r="U1640">
        <v>1</v>
      </c>
      <c r="V1640">
        <v>0</v>
      </c>
      <c r="W1640" t="s">
        <v>1287</v>
      </c>
      <c r="AA1640">
        <v>2007</v>
      </c>
      <c r="AB1640">
        <v>9999</v>
      </c>
      <c r="AC1640" t="s">
        <v>35</v>
      </c>
    </row>
    <row r="1641" spans="1:29" x14ac:dyDescent="0.25">
      <c r="A1641" s="31" t="s">
        <v>1059</v>
      </c>
      <c r="B1641" s="23" t="s">
        <v>1060</v>
      </c>
      <c r="D1641">
        <v>1</v>
      </c>
      <c r="E1641" t="s">
        <v>874</v>
      </c>
      <c r="F1641">
        <v>1</v>
      </c>
      <c r="G1641">
        <v>2020</v>
      </c>
      <c r="I1641" s="15">
        <v>6.8</v>
      </c>
      <c r="J1641" t="s">
        <v>52</v>
      </c>
      <c r="K1641" t="s">
        <v>47</v>
      </c>
      <c r="O1641">
        <v>0</v>
      </c>
      <c r="P1641">
        <v>0</v>
      </c>
      <c r="Q1641">
        <v>0</v>
      </c>
      <c r="R1641">
        <v>0</v>
      </c>
      <c r="S1641">
        <v>1</v>
      </c>
      <c r="T1641">
        <v>1</v>
      </c>
      <c r="U1641">
        <v>1</v>
      </c>
      <c r="V1641">
        <v>0</v>
      </c>
      <c r="W1641" t="s">
        <v>1392</v>
      </c>
      <c r="AA1641">
        <v>2008</v>
      </c>
      <c r="AB1641">
        <v>9999</v>
      </c>
      <c r="AC1641" t="s">
        <v>1054</v>
      </c>
    </row>
    <row r="1642" spans="1:29" x14ac:dyDescent="0.25">
      <c r="A1642" s="31" t="s">
        <v>192</v>
      </c>
      <c r="B1642" s="25" t="s">
        <v>193</v>
      </c>
      <c r="D1642">
        <v>1</v>
      </c>
      <c r="E1642" t="s">
        <v>51</v>
      </c>
      <c r="F1642">
        <v>1</v>
      </c>
      <c r="G1642">
        <v>2020</v>
      </c>
      <c r="I1642" s="15">
        <v>56</v>
      </c>
      <c r="J1642" t="s">
        <v>52</v>
      </c>
      <c r="K1642" t="s">
        <v>53</v>
      </c>
      <c r="L1642" t="s">
        <v>54</v>
      </c>
      <c r="O1642">
        <v>0</v>
      </c>
      <c r="P1642">
        <v>0</v>
      </c>
      <c r="Q1642">
        <v>1</v>
      </c>
      <c r="R1642">
        <v>0</v>
      </c>
      <c r="S1642">
        <v>0</v>
      </c>
      <c r="T1642">
        <v>0</v>
      </c>
      <c r="U1642">
        <v>1</v>
      </c>
      <c r="V1642">
        <v>0</v>
      </c>
      <c r="W1642" t="s">
        <v>55</v>
      </c>
      <c r="AA1642">
        <v>2007</v>
      </c>
      <c r="AB1642">
        <v>9999</v>
      </c>
      <c r="AC1642" t="s">
        <v>35</v>
      </c>
    </row>
    <row r="1643" spans="1:29" x14ac:dyDescent="0.25">
      <c r="A1643" s="31" t="s">
        <v>194</v>
      </c>
      <c r="B1643" s="23" t="s">
        <v>195</v>
      </c>
      <c r="C1643" t="s">
        <v>196</v>
      </c>
      <c r="D1643">
        <v>1</v>
      </c>
      <c r="E1643" t="s">
        <v>197</v>
      </c>
      <c r="F1643">
        <v>2</v>
      </c>
      <c r="G1643">
        <v>2020</v>
      </c>
      <c r="I1643" s="8">
        <v>243.7</v>
      </c>
      <c r="J1643" t="s">
        <v>176</v>
      </c>
      <c r="K1643" t="s">
        <v>47</v>
      </c>
      <c r="O1643">
        <v>0</v>
      </c>
      <c r="P1643">
        <v>0</v>
      </c>
      <c r="Q1643">
        <v>0</v>
      </c>
      <c r="R1643">
        <v>0</v>
      </c>
      <c r="S1643">
        <v>1</v>
      </c>
      <c r="T1643">
        <v>1</v>
      </c>
      <c r="U1643">
        <v>1</v>
      </c>
      <c r="V1643">
        <v>0</v>
      </c>
      <c r="W1643" t="s">
        <v>1450</v>
      </c>
      <c r="AA1643">
        <v>2007</v>
      </c>
      <c r="AB1643">
        <v>9999</v>
      </c>
      <c r="AC1643" t="s">
        <v>35</v>
      </c>
    </row>
    <row r="1644" spans="1:29" x14ac:dyDescent="0.25">
      <c r="A1644" s="31" t="s">
        <v>1451</v>
      </c>
      <c r="B1644" s="23" t="s">
        <v>1452</v>
      </c>
      <c r="D1644">
        <v>1</v>
      </c>
      <c r="E1644" s="4">
        <v>760</v>
      </c>
      <c r="F1644">
        <v>7</v>
      </c>
      <c r="G1644">
        <v>2020</v>
      </c>
      <c r="I1644" s="8">
        <v>473.7</v>
      </c>
      <c r="J1644" t="s">
        <v>40</v>
      </c>
      <c r="K1644" t="s">
        <v>47</v>
      </c>
      <c r="O1644">
        <v>0</v>
      </c>
      <c r="P1644">
        <v>0</v>
      </c>
      <c r="Q1644">
        <v>0</v>
      </c>
      <c r="R1644">
        <v>0</v>
      </c>
      <c r="S1644">
        <v>1</v>
      </c>
      <c r="T1644">
        <v>1</v>
      </c>
      <c r="U1644">
        <v>1</v>
      </c>
      <c r="V1644">
        <v>0</v>
      </c>
      <c r="W1644" t="s">
        <v>1453</v>
      </c>
      <c r="AA1644">
        <v>2014</v>
      </c>
      <c r="AB1644">
        <v>9999</v>
      </c>
      <c r="AC1644" t="s">
        <v>1449</v>
      </c>
    </row>
    <row r="1645" spans="1:29" x14ac:dyDescent="0.25">
      <c r="A1645" s="31" t="s">
        <v>203</v>
      </c>
      <c r="B1645" s="23" t="s">
        <v>204</v>
      </c>
      <c r="D1645">
        <v>1</v>
      </c>
      <c r="E1645" t="s">
        <v>201</v>
      </c>
      <c r="F1645">
        <v>1</v>
      </c>
      <c r="G1645">
        <v>2020</v>
      </c>
      <c r="H1645" t="s">
        <v>205</v>
      </c>
      <c r="I1645">
        <v>1.5</v>
      </c>
      <c r="J1645" t="s">
        <v>52</v>
      </c>
      <c r="K1645" t="s">
        <v>41</v>
      </c>
      <c r="O1645">
        <v>0</v>
      </c>
      <c r="P1645">
        <v>0</v>
      </c>
      <c r="Q1645">
        <v>0</v>
      </c>
      <c r="R1645">
        <v>0</v>
      </c>
      <c r="S1645">
        <v>0</v>
      </c>
      <c r="T1645">
        <v>0</v>
      </c>
      <c r="U1645">
        <v>0</v>
      </c>
      <c r="V1645">
        <v>0</v>
      </c>
      <c r="W1645" t="s">
        <v>1064</v>
      </c>
      <c r="AA1645">
        <v>2007</v>
      </c>
      <c r="AB1645">
        <v>9999</v>
      </c>
      <c r="AC1645" t="s">
        <v>35</v>
      </c>
    </row>
    <row r="1646" spans="1:29" x14ac:dyDescent="0.25">
      <c r="A1646" s="31" t="s">
        <v>207</v>
      </c>
      <c r="B1646" s="23" t="s">
        <v>1472</v>
      </c>
      <c r="C1646" t="s">
        <v>209</v>
      </c>
      <c r="D1646">
        <v>1</v>
      </c>
      <c r="E1646" t="s">
        <v>210</v>
      </c>
      <c r="F1646">
        <v>10</v>
      </c>
      <c r="G1646">
        <v>2020</v>
      </c>
      <c r="I1646" s="8">
        <v>35.6</v>
      </c>
      <c r="J1646" t="s">
        <v>40</v>
      </c>
      <c r="K1646" t="s">
        <v>32</v>
      </c>
      <c r="O1646">
        <v>0</v>
      </c>
      <c r="P1646">
        <v>0</v>
      </c>
      <c r="Q1646">
        <v>0</v>
      </c>
      <c r="R1646">
        <v>0</v>
      </c>
      <c r="S1646">
        <v>1</v>
      </c>
      <c r="T1646">
        <v>1</v>
      </c>
      <c r="U1646">
        <v>1</v>
      </c>
      <c r="V1646">
        <v>0</v>
      </c>
      <c r="W1646" t="s">
        <v>1065</v>
      </c>
      <c r="AA1646">
        <v>2007</v>
      </c>
      <c r="AB1646">
        <v>9999</v>
      </c>
      <c r="AC1646" t="s">
        <v>35</v>
      </c>
    </row>
    <row r="1647" spans="1:29" ht="30" x14ac:dyDescent="0.25">
      <c r="A1647" s="31" t="s">
        <v>212</v>
      </c>
      <c r="B1647" s="23" t="s">
        <v>213</v>
      </c>
      <c r="C1647" t="s">
        <v>214</v>
      </c>
      <c r="D1647">
        <v>1</v>
      </c>
      <c r="E1647" s="4">
        <v>550</v>
      </c>
      <c r="F1647">
        <v>5</v>
      </c>
      <c r="G1647">
        <v>2020</v>
      </c>
      <c r="I1647" s="8">
        <v>78.599999999999994</v>
      </c>
      <c r="J1647" s="2" t="s">
        <v>31</v>
      </c>
      <c r="K1647" t="s">
        <v>32</v>
      </c>
      <c r="O1647">
        <v>0</v>
      </c>
      <c r="P1647">
        <v>0</v>
      </c>
      <c r="Q1647">
        <v>0</v>
      </c>
      <c r="R1647">
        <v>0</v>
      </c>
      <c r="S1647">
        <v>1</v>
      </c>
      <c r="T1647">
        <v>1</v>
      </c>
      <c r="U1647">
        <v>1</v>
      </c>
      <c r="V1647">
        <v>0</v>
      </c>
      <c r="W1647" t="s">
        <v>1288</v>
      </c>
      <c r="AA1647">
        <v>2007</v>
      </c>
      <c r="AB1647">
        <v>9999</v>
      </c>
      <c r="AC1647" t="s">
        <v>35</v>
      </c>
    </row>
    <row r="1648" spans="1:29" x14ac:dyDescent="0.25">
      <c r="A1648" s="31" t="s">
        <v>216</v>
      </c>
      <c r="B1648" s="23" t="s">
        <v>217</v>
      </c>
      <c r="D1648">
        <v>1</v>
      </c>
      <c r="E1648" t="s">
        <v>218</v>
      </c>
      <c r="F1648">
        <v>2</v>
      </c>
      <c r="G1648">
        <v>2020</v>
      </c>
      <c r="I1648" s="8">
        <v>668.7</v>
      </c>
      <c r="J1648" t="s">
        <v>52</v>
      </c>
      <c r="K1648" t="s">
        <v>32</v>
      </c>
      <c r="O1648">
        <v>0</v>
      </c>
      <c r="P1648">
        <v>0</v>
      </c>
      <c r="Q1648">
        <v>0</v>
      </c>
      <c r="R1648">
        <v>0</v>
      </c>
      <c r="S1648">
        <v>1</v>
      </c>
      <c r="T1648">
        <v>1</v>
      </c>
      <c r="U1648">
        <v>1</v>
      </c>
      <c r="V1648">
        <v>0</v>
      </c>
      <c r="W1648" t="s">
        <v>1067</v>
      </c>
      <c r="AA1648">
        <v>2007</v>
      </c>
      <c r="AB1648">
        <v>9999</v>
      </c>
      <c r="AC1648" t="s">
        <v>35</v>
      </c>
    </row>
    <row r="1649" spans="1:29" x14ac:dyDescent="0.25">
      <c r="A1649" s="31" t="s">
        <v>220</v>
      </c>
      <c r="B1649" s="23" t="s">
        <v>221</v>
      </c>
      <c r="D1649">
        <v>1</v>
      </c>
      <c r="E1649" t="s">
        <v>222</v>
      </c>
      <c r="F1649">
        <v>8</v>
      </c>
      <c r="G1649">
        <v>2020</v>
      </c>
      <c r="I1649" s="8">
        <v>35.700000000000003</v>
      </c>
      <c r="J1649" t="s">
        <v>81</v>
      </c>
      <c r="K1649" t="s">
        <v>47</v>
      </c>
      <c r="O1649">
        <v>0</v>
      </c>
      <c r="P1649">
        <v>0</v>
      </c>
      <c r="Q1649">
        <v>0</v>
      </c>
      <c r="R1649">
        <v>0</v>
      </c>
      <c r="S1649">
        <v>1</v>
      </c>
      <c r="T1649">
        <v>1</v>
      </c>
      <c r="U1649">
        <v>1</v>
      </c>
      <c r="V1649">
        <v>0</v>
      </c>
      <c r="W1649" t="s">
        <v>1068</v>
      </c>
      <c r="AA1649">
        <v>2007</v>
      </c>
      <c r="AB1649">
        <v>9999</v>
      </c>
      <c r="AC1649" t="s">
        <v>35</v>
      </c>
    </row>
    <row r="1650" spans="1:29" x14ac:dyDescent="0.25">
      <c r="A1650" s="31" t="s">
        <v>224</v>
      </c>
      <c r="B1650" s="25" t="s">
        <v>225</v>
      </c>
      <c r="D1650">
        <v>1</v>
      </c>
      <c r="E1650" t="s">
        <v>51</v>
      </c>
      <c r="F1650">
        <v>1</v>
      </c>
      <c r="G1650">
        <v>2020</v>
      </c>
      <c r="I1650" s="8">
        <v>65</v>
      </c>
      <c r="J1650" t="s">
        <v>52</v>
      </c>
      <c r="K1650" t="s">
        <v>53</v>
      </c>
      <c r="L1650" t="s">
        <v>54</v>
      </c>
      <c r="O1650">
        <v>0</v>
      </c>
      <c r="P1650">
        <v>0</v>
      </c>
      <c r="Q1650">
        <v>1</v>
      </c>
      <c r="R1650">
        <v>0</v>
      </c>
      <c r="S1650">
        <v>0</v>
      </c>
      <c r="T1650">
        <v>0</v>
      </c>
      <c r="U1650">
        <v>1</v>
      </c>
      <c r="V1650">
        <v>0</v>
      </c>
      <c r="W1650" t="s">
        <v>55</v>
      </c>
      <c r="AA1650">
        <v>2007</v>
      </c>
      <c r="AB1650">
        <v>9999</v>
      </c>
      <c r="AC1650" t="s">
        <v>35</v>
      </c>
    </row>
    <row r="1651" spans="1:29" x14ac:dyDescent="0.25">
      <c r="A1651" s="31" t="s">
        <v>226</v>
      </c>
      <c r="B1651" s="23" t="s">
        <v>227</v>
      </c>
      <c r="C1651" t="s">
        <v>228</v>
      </c>
      <c r="D1651">
        <v>1</v>
      </c>
      <c r="E1651" t="s">
        <v>218</v>
      </c>
      <c r="F1651">
        <v>2</v>
      </c>
      <c r="G1651">
        <v>2020</v>
      </c>
      <c r="I1651" s="8">
        <v>1666.2</v>
      </c>
      <c r="J1651" t="s">
        <v>147</v>
      </c>
      <c r="K1651" t="s">
        <v>32</v>
      </c>
      <c r="O1651">
        <v>0</v>
      </c>
      <c r="P1651">
        <v>0</v>
      </c>
      <c r="Q1651">
        <v>0</v>
      </c>
      <c r="R1651">
        <v>0</v>
      </c>
      <c r="S1651">
        <v>1</v>
      </c>
      <c r="T1651">
        <v>1</v>
      </c>
      <c r="U1651">
        <v>1</v>
      </c>
      <c r="V1651">
        <v>0</v>
      </c>
      <c r="W1651" t="s">
        <v>1069</v>
      </c>
      <c r="AA1651">
        <v>2007</v>
      </c>
      <c r="AB1651">
        <v>9999</v>
      </c>
      <c r="AC1651" t="s">
        <v>35</v>
      </c>
    </row>
    <row r="1652" spans="1:29" x14ac:dyDescent="0.25">
      <c r="A1652" s="31" t="s">
        <v>230</v>
      </c>
      <c r="B1652" s="23" t="s">
        <v>231</v>
      </c>
      <c r="C1652" t="s">
        <v>232</v>
      </c>
      <c r="D1652">
        <v>1</v>
      </c>
      <c r="E1652" t="s">
        <v>145</v>
      </c>
      <c r="F1652">
        <v>2</v>
      </c>
      <c r="G1652">
        <v>2020</v>
      </c>
      <c r="J1652" t="s">
        <v>147</v>
      </c>
      <c r="K1652" t="s">
        <v>47</v>
      </c>
      <c r="O1652">
        <v>0</v>
      </c>
      <c r="P1652">
        <v>0</v>
      </c>
      <c r="Q1652">
        <v>0</v>
      </c>
      <c r="R1652">
        <v>0</v>
      </c>
      <c r="S1652">
        <v>1</v>
      </c>
      <c r="T1652">
        <v>1</v>
      </c>
      <c r="U1652">
        <v>1</v>
      </c>
      <c r="V1652">
        <v>0</v>
      </c>
      <c r="W1652" t="s">
        <v>1070</v>
      </c>
      <c r="AA1652">
        <v>2007</v>
      </c>
      <c r="AB1652">
        <v>9999</v>
      </c>
      <c r="AC1652" t="s">
        <v>35</v>
      </c>
    </row>
    <row r="1653" spans="1:29" x14ac:dyDescent="0.25">
      <c r="A1653" s="31" t="s">
        <v>237</v>
      </c>
      <c r="B1653" s="23" t="s">
        <v>238</v>
      </c>
      <c r="D1653">
        <v>1</v>
      </c>
      <c r="E1653" t="s">
        <v>218</v>
      </c>
      <c r="F1653">
        <v>2</v>
      </c>
      <c r="G1653">
        <v>2020</v>
      </c>
      <c r="I1653" s="15">
        <v>378.9</v>
      </c>
      <c r="J1653" t="s">
        <v>104</v>
      </c>
      <c r="K1653" t="s">
        <v>53</v>
      </c>
      <c r="L1653" t="s">
        <v>105</v>
      </c>
      <c r="O1653">
        <v>0</v>
      </c>
      <c r="P1653">
        <v>1</v>
      </c>
      <c r="Q1653">
        <v>0</v>
      </c>
      <c r="R1653">
        <v>0</v>
      </c>
      <c r="S1653">
        <v>1</v>
      </c>
      <c r="T1653">
        <v>1</v>
      </c>
      <c r="U1653">
        <v>1</v>
      </c>
      <c r="V1653">
        <v>0</v>
      </c>
      <c r="W1653" t="s">
        <v>1072</v>
      </c>
      <c r="AA1653">
        <v>2007</v>
      </c>
      <c r="AB1653">
        <v>9999</v>
      </c>
      <c r="AC1653" t="s">
        <v>35</v>
      </c>
    </row>
    <row r="1654" spans="1:29" x14ac:dyDescent="0.25">
      <c r="A1654" s="31" t="s">
        <v>240</v>
      </c>
      <c r="B1654" s="23" t="s">
        <v>241</v>
      </c>
      <c r="D1654">
        <v>1</v>
      </c>
      <c r="E1654" t="s">
        <v>218</v>
      </c>
      <c r="F1654">
        <v>2</v>
      </c>
      <c r="G1654">
        <v>2020</v>
      </c>
      <c r="I1654" s="16">
        <v>21192.9</v>
      </c>
      <c r="J1654" t="s">
        <v>147</v>
      </c>
      <c r="K1654" t="s">
        <v>47</v>
      </c>
      <c r="O1654">
        <v>0</v>
      </c>
      <c r="P1654">
        <v>0</v>
      </c>
      <c r="Q1654">
        <v>0</v>
      </c>
      <c r="R1654">
        <v>0</v>
      </c>
      <c r="S1654">
        <v>1</v>
      </c>
      <c r="T1654">
        <v>1</v>
      </c>
      <c r="U1654">
        <v>1</v>
      </c>
      <c r="V1654">
        <v>0</v>
      </c>
      <c r="W1654" t="s">
        <v>1073</v>
      </c>
      <c r="AA1654">
        <v>2007</v>
      </c>
      <c r="AB1654">
        <v>9999</v>
      </c>
      <c r="AC1654" t="s">
        <v>35</v>
      </c>
    </row>
    <row r="1655" spans="1:29" x14ac:dyDescent="0.25">
      <c r="A1655" s="31" t="s">
        <v>1289</v>
      </c>
      <c r="B1655" s="23" t="s">
        <v>1290</v>
      </c>
      <c r="D1655">
        <v>1</v>
      </c>
      <c r="E1655" t="s">
        <v>218</v>
      </c>
      <c r="F1655">
        <v>2</v>
      </c>
      <c r="G1655">
        <v>2020</v>
      </c>
      <c r="I1655" s="15">
        <v>4.0999999999999996</v>
      </c>
      <c r="J1655" t="s">
        <v>147</v>
      </c>
      <c r="K1655" t="s">
        <v>53</v>
      </c>
      <c r="L1655" t="s">
        <v>60</v>
      </c>
      <c r="O1655">
        <v>1</v>
      </c>
      <c r="P1655">
        <v>0</v>
      </c>
      <c r="Q1655">
        <v>0</v>
      </c>
      <c r="R1655">
        <v>0</v>
      </c>
      <c r="S1655">
        <v>1</v>
      </c>
      <c r="T1655">
        <v>1</v>
      </c>
      <c r="U1655">
        <v>1</v>
      </c>
      <c r="V1655">
        <v>0</v>
      </c>
      <c r="W1655" t="s">
        <v>1291</v>
      </c>
      <c r="AA1655">
        <v>2010</v>
      </c>
      <c r="AB1655">
        <v>9999</v>
      </c>
      <c r="AC1655" t="s">
        <v>1292</v>
      </c>
    </row>
    <row r="1656" spans="1:29" x14ac:dyDescent="0.25">
      <c r="A1656" s="31" t="s">
        <v>243</v>
      </c>
      <c r="B1656" s="23" t="s">
        <v>244</v>
      </c>
      <c r="D1656">
        <v>1</v>
      </c>
      <c r="E1656" t="s">
        <v>210</v>
      </c>
      <c r="F1656">
        <v>10</v>
      </c>
      <c r="G1656">
        <v>2020</v>
      </c>
      <c r="I1656" s="16">
        <v>12439.2</v>
      </c>
      <c r="J1656" t="s">
        <v>40</v>
      </c>
      <c r="K1656" t="s">
        <v>32</v>
      </c>
      <c r="O1656">
        <v>0</v>
      </c>
      <c r="P1656">
        <v>0</v>
      </c>
      <c r="Q1656">
        <v>0</v>
      </c>
      <c r="R1656">
        <v>0</v>
      </c>
      <c r="S1656">
        <v>1</v>
      </c>
      <c r="T1656">
        <v>1</v>
      </c>
      <c r="U1656">
        <v>1</v>
      </c>
      <c r="V1656">
        <v>0</v>
      </c>
      <c r="W1656" t="s">
        <v>1293</v>
      </c>
      <c r="AA1656">
        <v>2007</v>
      </c>
      <c r="AB1656">
        <v>9999</v>
      </c>
      <c r="AC1656" t="s">
        <v>35</v>
      </c>
    </row>
    <row r="1657" spans="1:29" x14ac:dyDescent="0.25">
      <c r="A1657" s="31" t="s">
        <v>153</v>
      </c>
      <c r="B1657" s="23" t="s">
        <v>1356</v>
      </c>
      <c r="D1657">
        <v>12</v>
      </c>
      <c r="E1657" t="s">
        <v>155</v>
      </c>
      <c r="F1657">
        <v>3</v>
      </c>
      <c r="G1657">
        <v>2020</v>
      </c>
      <c r="I1657" s="8">
        <v>1460.0890339285756</v>
      </c>
      <c r="J1657" t="s">
        <v>121</v>
      </c>
      <c r="K1657" t="s">
        <v>53</v>
      </c>
      <c r="L1657" t="s">
        <v>60</v>
      </c>
      <c r="O1657">
        <v>1</v>
      </c>
      <c r="P1657">
        <v>0</v>
      </c>
      <c r="Q1657">
        <v>0</v>
      </c>
      <c r="R1657">
        <v>0</v>
      </c>
      <c r="S1657">
        <v>1</v>
      </c>
      <c r="T1657">
        <v>0</v>
      </c>
      <c r="U1657">
        <v>0</v>
      </c>
      <c r="V1657">
        <v>1</v>
      </c>
      <c r="W1657" t="s">
        <v>477</v>
      </c>
      <c r="AA1657">
        <v>2007</v>
      </c>
      <c r="AB1657">
        <v>9999</v>
      </c>
      <c r="AC1657" t="s">
        <v>35</v>
      </c>
    </row>
    <row r="1658" spans="1:29" x14ac:dyDescent="0.25">
      <c r="A1658" s="31" t="s">
        <v>246</v>
      </c>
      <c r="B1658" s="23" t="s">
        <v>247</v>
      </c>
      <c r="D1658">
        <v>1</v>
      </c>
      <c r="E1658" t="s">
        <v>120</v>
      </c>
      <c r="F1658">
        <v>3</v>
      </c>
      <c r="G1658">
        <v>2020</v>
      </c>
      <c r="H1658" t="s">
        <v>129</v>
      </c>
      <c r="I1658" s="15">
        <v>3.4</v>
      </c>
      <c r="J1658" t="s">
        <v>121</v>
      </c>
      <c r="K1658" t="s">
        <v>41</v>
      </c>
      <c r="O1658">
        <v>0</v>
      </c>
      <c r="P1658">
        <v>0</v>
      </c>
      <c r="Q1658">
        <v>0</v>
      </c>
      <c r="R1658">
        <v>0</v>
      </c>
      <c r="S1658">
        <v>0</v>
      </c>
      <c r="T1658">
        <v>1</v>
      </c>
      <c r="U1658">
        <v>1</v>
      </c>
      <c r="V1658">
        <v>0</v>
      </c>
      <c r="W1658" t="s">
        <v>1075</v>
      </c>
      <c r="AA1658">
        <v>2007</v>
      </c>
      <c r="AB1658">
        <v>9999</v>
      </c>
      <c r="AC1658" t="s">
        <v>35</v>
      </c>
    </row>
    <row r="1659" spans="1:29" x14ac:dyDescent="0.25">
      <c r="A1659" s="31" t="s">
        <v>252</v>
      </c>
      <c r="B1659" s="23" t="s">
        <v>253</v>
      </c>
      <c r="D1659">
        <v>1</v>
      </c>
      <c r="E1659" t="s">
        <v>145</v>
      </c>
      <c r="F1659">
        <v>2</v>
      </c>
      <c r="G1659">
        <v>2020</v>
      </c>
      <c r="H1659" t="s">
        <v>1473</v>
      </c>
      <c r="I1659" s="15">
        <v>0.1</v>
      </c>
      <c r="J1659" s="2" t="s">
        <v>147</v>
      </c>
      <c r="K1659" t="s">
        <v>41</v>
      </c>
      <c r="O1659">
        <v>0</v>
      </c>
      <c r="P1659">
        <v>0</v>
      </c>
      <c r="Q1659">
        <v>0</v>
      </c>
      <c r="R1659">
        <v>0</v>
      </c>
      <c r="S1659">
        <v>0</v>
      </c>
      <c r="T1659">
        <v>0</v>
      </c>
      <c r="U1659">
        <v>0</v>
      </c>
      <c r="V1659">
        <v>0</v>
      </c>
      <c r="W1659" t="s">
        <v>1077</v>
      </c>
      <c r="AA1659">
        <v>2007</v>
      </c>
      <c r="AB1659">
        <v>9999</v>
      </c>
      <c r="AC1659" t="s">
        <v>35</v>
      </c>
    </row>
    <row r="1660" spans="1:29" x14ac:dyDescent="0.25">
      <c r="A1660" s="31" t="s">
        <v>305</v>
      </c>
      <c r="B1660" s="23" t="s">
        <v>1455</v>
      </c>
      <c r="C1660" t="s">
        <v>1456</v>
      </c>
      <c r="D1660">
        <v>1</v>
      </c>
      <c r="E1660" t="s">
        <v>103</v>
      </c>
      <c r="F1660">
        <v>9</v>
      </c>
      <c r="G1660">
        <v>2020</v>
      </c>
      <c r="I1660" s="15">
        <v>137.5</v>
      </c>
      <c r="J1660" t="s">
        <v>104</v>
      </c>
      <c r="K1660" t="s">
        <v>53</v>
      </c>
      <c r="L1660" t="s">
        <v>105</v>
      </c>
      <c r="O1660">
        <v>0</v>
      </c>
      <c r="P1660">
        <v>1</v>
      </c>
      <c r="Q1660">
        <v>0</v>
      </c>
      <c r="R1660">
        <v>0</v>
      </c>
      <c r="S1660">
        <v>1</v>
      </c>
      <c r="T1660">
        <v>1</v>
      </c>
      <c r="U1660">
        <v>1</v>
      </c>
      <c r="V1660">
        <v>0</v>
      </c>
      <c r="W1660" t="s">
        <v>106</v>
      </c>
      <c r="AA1660">
        <v>2007</v>
      </c>
      <c r="AB1660">
        <v>9999</v>
      </c>
      <c r="AC1660" t="s">
        <v>35</v>
      </c>
    </row>
    <row r="1661" spans="1:29" x14ac:dyDescent="0.25">
      <c r="A1661" s="31" t="s">
        <v>259</v>
      </c>
      <c r="B1661" s="23" t="s">
        <v>260</v>
      </c>
      <c r="C1661" t="s">
        <v>261</v>
      </c>
      <c r="D1661">
        <v>1</v>
      </c>
      <c r="E1661" t="s">
        <v>103</v>
      </c>
      <c r="F1661">
        <v>9</v>
      </c>
      <c r="G1661">
        <v>2020</v>
      </c>
      <c r="I1661" s="16">
        <v>5682.3</v>
      </c>
      <c r="J1661" t="s">
        <v>104</v>
      </c>
      <c r="K1661" t="s">
        <v>53</v>
      </c>
      <c r="L1661" t="s">
        <v>105</v>
      </c>
      <c r="O1661">
        <v>0</v>
      </c>
      <c r="P1661">
        <v>1</v>
      </c>
      <c r="Q1661">
        <v>0</v>
      </c>
      <c r="R1661">
        <v>0</v>
      </c>
      <c r="S1661">
        <v>1</v>
      </c>
      <c r="T1661">
        <v>1</v>
      </c>
      <c r="U1661">
        <v>1</v>
      </c>
      <c r="V1661">
        <v>0</v>
      </c>
      <c r="W1661" t="s">
        <v>106</v>
      </c>
      <c r="AA1661">
        <v>2007</v>
      </c>
      <c r="AB1661">
        <v>9999</v>
      </c>
      <c r="AC1661" t="s">
        <v>35</v>
      </c>
    </row>
    <row r="1662" spans="1:29" x14ac:dyDescent="0.25">
      <c r="A1662" s="31" t="s">
        <v>266</v>
      </c>
      <c r="B1662" s="23" t="s">
        <v>267</v>
      </c>
      <c r="D1662">
        <v>1</v>
      </c>
      <c r="E1662" t="s">
        <v>85</v>
      </c>
      <c r="F1662">
        <v>4</v>
      </c>
      <c r="G1662">
        <v>2020</v>
      </c>
      <c r="I1662" s="15">
        <v>11</v>
      </c>
      <c r="J1662" t="s">
        <v>268</v>
      </c>
      <c r="K1662" t="s">
        <v>41</v>
      </c>
      <c r="O1662">
        <v>0</v>
      </c>
      <c r="P1662">
        <v>0</v>
      </c>
      <c r="Q1662">
        <v>0</v>
      </c>
      <c r="R1662">
        <v>0</v>
      </c>
      <c r="S1662">
        <v>0</v>
      </c>
      <c r="T1662">
        <v>0</v>
      </c>
      <c r="U1662">
        <v>0</v>
      </c>
      <c r="V1662">
        <v>0</v>
      </c>
      <c r="W1662" t="s">
        <v>1079</v>
      </c>
      <c r="AA1662">
        <v>2007</v>
      </c>
      <c r="AB1662">
        <v>9999</v>
      </c>
      <c r="AC1662" t="s">
        <v>35</v>
      </c>
    </row>
    <row r="1663" spans="1:29" x14ac:dyDescent="0.25">
      <c r="A1663" s="31" t="s">
        <v>1393</v>
      </c>
      <c r="B1663" s="25" t="s">
        <v>1394</v>
      </c>
      <c r="C1663" t="s">
        <v>1395</v>
      </c>
      <c r="D1663">
        <v>1</v>
      </c>
      <c r="E1663" t="s">
        <v>1396</v>
      </c>
      <c r="F1663">
        <v>5</v>
      </c>
      <c r="G1663">
        <v>2020</v>
      </c>
      <c r="I1663" s="15">
        <v>296.10000000000002</v>
      </c>
      <c r="J1663" t="s">
        <v>31</v>
      </c>
      <c r="K1663" t="s">
        <v>47</v>
      </c>
      <c r="O1663">
        <v>0</v>
      </c>
      <c r="P1663">
        <v>0</v>
      </c>
      <c r="Q1663">
        <v>0</v>
      </c>
      <c r="R1663">
        <v>0</v>
      </c>
      <c r="S1663">
        <v>1</v>
      </c>
      <c r="T1663">
        <v>1</v>
      </c>
      <c r="U1663">
        <v>1</v>
      </c>
      <c r="V1663">
        <v>0</v>
      </c>
      <c r="W1663" t="s">
        <v>1397</v>
      </c>
      <c r="AA1663">
        <v>2012</v>
      </c>
      <c r="AB1663">
        <v>9999</v>
      </c>
      <c r="AC1663" t="s">
        <v>1398</v>
      </c>
    </row>
    <row r="1664" spans="1:29" x14ac:dyDescent="0.25">
      <c r="A1664" s="31" t="s">
        <v>153</v>
      </c>
      <c r="B1664" s="23" t="s">
        <v>270</v>
      </c>
      <c r="D1664">
        <v>6</v>
      </c>
      <c r="E1664" t="s">
        <v>155</v>
      </c>
      <c r="F1664">
        <v>3</v>
      </c>
      <c r="G1664">
        <v>2020</v>
      </c>
      <c r="I1664" s="15">
        <v>687.7457335317464</v>
      </c>
      <c r="J1664" t="s">
        <v>121</v>
      </c>
      <c r="K1664" t="s">
        <v>53</v>
      </c>
      <c r="L1664" t="s">
        <v>60</v>
      </c>
      <c r="O1664">
        <v>1</v>
      </c>
      <c r="P1664">
        <v>0</v>
      </c>
      <c r="Q1664">
        <v>0</v>
      </c>
      <c r="R1664">
        <v>0</v>
      </c>
      <c r="S1664">
        <v>1</v>
      </c>
      <c r="T1664">
        <v>0</v>
      </c>
      <c r="U1664">
        <v>0</v>
      </c>
      <c r="V1664">
        <v>1</v>
      </c>
      <c r="W1664" t="s">
        <v>271</v>
      </c>
      <c r="AA1664">
        <v>2007</v>
      </c>
      <c r="AB1664">
        <v>9999</v>
      </c>
      <c r="AC1664" t="s">
        <v>35</v>
      </c>
    </row>
    <row r="1665" spans="1:29" x14ac:dyDescent="0.25">
      <c r="A1665" s="31" t="s">
        <v>153</v>
      </c>
      <c r="B1665" s="27" t="s">
        <v>272</v>
      </c>
      <c r="D1665">
        <v>8</v>
      </c>
      <c r="E1665" t="s">
        <v>155</v>
      </c>
      <c r="F1665">
        <v>3</v>
      </c>
      <c r="G1665">
        <v>2020</v>
      </c>
      <c r="I1665">
        <v>84.136508581349204</v>
      </c>
      <c r="J1665" s="2" t="s">
        <v>121</v>
      </c>
      <c r="K1665" t="s">
        <v>53</v>
      </c>
      <c r="L1665" t="s">
        <v>60</v>
      </c>
      <c r="O1665">
        <v>1</v>
      </c>
      <c r="P1665">
        <v>0</v>
      </c>
      <c r="Q1665">
        <v>0</v>
      </c>
      <c r="R1665">
        <v>0</v>
      </c>
      <c r="S1665">
        <v>0</v>
      </c>
      <c r="T1665">
        <v>0</v>
      </c>
      <c r="U1665">
        <v>0</v>
      </c>
      <c r="V1665">
        <v>1</v>
      </c>
      <c r="W1665" t="s">
        <v>273</v>
      </c>
      <c r="AA1665">
        <v>2007</v>
      </c>
      <c r="AB1665">
        <v>9999</v>
      </c>
      <c r="AC1665" t="s">
        <v>35</v>
      </c>
    </row>
    <row r="1666" spans="1:29" x14ac:dyDescent="0.25">
      <c r="A1666" s="31" t="s">
        <v>274</v>
      </c>
      <c r="B1666" s="23" t="s">
        <v>275</v>
      </c>
      <c r="C1666" t="s">
        <v>276</v>
      </c>
      <c r="D1666">
        <v>1</v>
      </c>
      <c r="E1666" t="s">
        <v>51</v>
      </c>
      <c r="F1666">
        <v>10</v>
      </c>
      <c r="G1666">
        <v>2020</v>
      </c>
      <c r="H1666" t="s">
        <v>746</v>
      </c>
      <c r="I1666" s="8">
        <v>5</v>
      </c>
      <c r="J1666" s="2" t="s">
        <v>40</v>
      </c>
      <c r="K1666" t="s">
        <v>41</v>
      </c>
      <c r="O1666">
        <v>0</v>
      </c>
      <c r="P1666">
        <v>0</v>
      </c>
      <c r="Q1666">
        <v>0</v>
      </c>
      <c r="R1666">
        <v>0</v>
      </c>
      <c r="S1666">
        <v>0</v>
      </c>
      <c r="T1666">
        <v>0</v>
      </c>
      <c r="U1666">
        <v>0</v>
      </c>
      <c r="V1666">
        <v>0</v>
      </c>
      <c r="W1666" t="s">
        <v>1399</v>
      </c>
      <c r="AA1666">
        <v>2007</v>
      </c>
      <c r="AB1666">
        <v>9999</v>
      </c>
      <c r="AC1666" t="s">
        <v>35</v>
      </c>
    </row>
    <row r="1667" spans="1:29" x14ac:dyDescent="0.25">
      <c r="A1667" s="31" t="s">
        <v>278</v>
      </c>
      <c r="B1667" s="23" t="s">
        <v>279</v>
      </c>
      <c r="D1667">
        <v>1</v>
      </c>
      <c r="E1667" t="s">
        <v>103</v>
      </c>
      <c r="F1667">
        <v>9</v>
      </c>
      <c r="G1667">
        <v>2020</v>
      </c>
      <c r="I1667" s="15">
        <v>683.4</v>
      </c>
      <c r="J1667" t="s">
        <v>104</v>
      </c>
      <c r="K1667" t="s">
        <v>53</v>
      </c>
      <c r="L1667" t="s">
        <v>105</v>
      </c>
      <c r="O1667">
        <v>0</v>
      </c>
      <c r="P1667">
        <v>1</v>
      </c>
      <c r="Q1667">
        <v>0</v>
      </c>
      <c r="R1667">
        <v>0</v>
      </c>
      <c r="S1667">
        <v>1</v>
      </c>
      <c r="T1667">
        <v>1</v>
      </c>
      <c r="U1667">
        <v>1</v>
      </c>
      <c r="V1667">
        <v>0</v>
      </c>
      <c r="W1667" t="s">
        <v>106</v>
      </c>
      <c r="AA1667">
        <v>2007</v>
      </c>
      <c r="AB1667">
        <v>9999</v>
      </c>
      <c r="AC1667" t="s">
        <v>35</v>
      </c>
    </row>
    <row r="1668" spans="1:29" x14ac:dyDescent="0.25">
      <c r="A1668" s="31" t="s">
        <v>280</v>
      </c>
      <c r="B1668" s="23" t="s">
        <v>281</v>
      </c>
      <c r="D1668">
        <v>1</v>
      </c>
      <c r="E1668" t="s">
        <v>103</v>
      </c>
      <c r="F1668">
        <v>9</v>
      </c>
      <c r="G1668">
        <v>2020</v>
      </c>
      <c r="I1668" s="15">
        <v>672.5</v>
      </c>
      <c r="J1668" t="s">
        <v>104</v>
      </c>
      <c r="K1668" t="s">
        <v>53</v>
      </c>
      <c r="L1668" t="s">
        <v>105</v>
      </c>
      <c r="O1668">
        <v>0</v>
      </c>
      <c r="P1668">
        <v>1</v>
      </c>
      <c r="Q1668">
        <v>0</v>
      </c>
      <c r="R1668">
        <v>0</v>
      </c>
      <c r="S1668">
        <v>1</v>
      </c>
      <c r="T1668">
        <v>1</v>
      </c>
      <c r="U1668">
        <v>1</v>
      </c>
      <c r="V1668">
        <v>0</v>
      </c>
      <c r="W1668" t="s">
        <v>106</v>
      </c>
      <c r="AA1668">
        <v>2007</v>
      </c>
      <c r="AB1668">
        <v>9999</v>
      </c>
      <c r="AC1668" t="s">
        <v>35</v>
      </c>
    </row>
    <row r="1669" spans="1:29" x14ac:dyDescent="0.25">
      <c r="A1669" s="31" t="s">
        <v>282</v>
      </c>
      <c r="B1669" s="23" t="s">
        <v>283</v>
      </c>
      <c r="D1669">
        <v>1</v>
      </c>
      <c r="E1669" t="s">
        <v>103</v>
      </c>
      <c r="F1669">
        <v>9</v>
      </c>
      <c r="G1669">
        <v>2020</v>
      </c>
      <c r="I1669" s="15">
        <v>662</v>
      </c>
      <c r="J1669" t="s">
        <v>104</v>
      </c>
      <c r="K1669" t="s">
        <v>53</v>
      </c>
      <c r="L1669" t="s">
        <v>105</v>
      </c>
      <c r="O1669">
        <v>0</v>
      </c>
      <c r="P1669">
        <v>1</v>
      </c>
      <c r="Q1669">
        <v>0</v>
      </c>
      <c r="R1669">
        <v>0</v>
      </c>
      <c r="S1669">
        <v>1</v>
      </c>
      <c r="T1669">
        <v>1</v>
      </c>
      <c r="U1669">
        <v>1</v>
      </c>
      <c r="V1669">
        <v>0</v>
      </c>
      <c r="W1669" t="s">
        <v>106</v>
      </c>
      <c r="AA1669">
        <v>2007</v>
      </c>
      <c r="AB1669">
        <v>9999</v>
      </c>
      <c r="AC1669" t="s">
        <v>35</v>
      </c>
    </row>
    <row r="1670" spans="1:29" x14ac:dyDescent="0.25">
      <c r="A1670" s="31" t="s">
        <v>284</v>
      </c>
      <c r="B1670" s="23" t="s">
        <v>285</v>
      </c>
      <c r="D1670">
        <v>1</v>
      </c>
      <c r="E1670" t="s">
        <v>103</v>
      </c>
      <c r="F1670">
        <v>9</v>
      </c>
      <c r="G1670">
        <v>2020</v>
      </c>
      <c r="I1670" s="15">
        <v>523.20000000000005</v>
      </c>
      <c r="J1670" t="s">
        <v>104</v>
      </c>
      <c r="K1670" t="s">
        <v>53</v>
      </c>
      <c r="L1670" t="s">
        <v>105</v>
      </c>
      <c r="O1670">
        <v>0</v>
      </c>
      <c r="P1670">
        <v>1</v>
      </c>
      <c r="Q1670">
        <v>0</v>
      </c>
      <c r="R1670">
        <v>0</v>
      </c>
      <c r="S1670">
        <v>1</v>
      </c>
      <c r="T1670">
        <v>1</v>
      </c>
      <c r="U1670">
        <v>1</v>
      </c>
      <c r="V1670">
        <v>0</v>
      </c>
      <c r="W1670" t="s">
        <v>106</v>
      </c>
      <c r="AA1670">
        <v>2007</v>
      </c>
      <c r="AB1670">
        <v>9999</v>
      </c>
      <c r="AC1670" t="s">
        <v>35</v>
      </c>
    </row>
    <row r="1671" spans="1:29" x14ac:dyDescent="0.25">
      <c r="A1671" s="31" t="s">
        <v>288</v>
      </c>
      <c r="B1671" s="23" t="s">
        <v>289</v>
      </c>
      <c r="D1671">
        <v>1</v>
      </c>
      <c r="E1671" t="s">
        <v>103</v>
      </c>
      <c r="F1671">
        <v>9</v>
      </c>
      <c r="G1671">
        <v>2020</v>
      </c>
      <c r="I1671" s="15">
        <v>462.9</v>
      </c>
      <c r="J1671" t="s">
        <v>104</v>
      </c>
      <c r="K1671" t="s">
        <v>53</v>
      </c>
      <c r="L1671" t="s">
        <v>105</v>
      </c>
      <c r="O1671">
        <v>0</v>
      </c>
      <c r="P1671">
        <v>1</v>
      </c>
      <c r="Q1671">
        <v>0</v>
      </c>
      <c r="R1671">
        <v>0</v>
      </c>
      <c r="S1671">
        <v>1</v>
      </c>
      <c r="T1671">
        <v>1</v>
      </c>
      <c r="U1671">
        <v>1</v>
      </c>
      <c r="V1671">
        <v>0</v>
      </c>
      <c r="W1671" t="s">
        <v>106</v>
      </c>
      <c r="AA1671">
        <v>2007</v>
      </c>
      <c r="AB1671">
        <v>9999</v>
      </c>
      <c r="AC1671" t="s">
        <v>35</v>
      </c>
    </row>
    <row r="1672" spans="1:29" x14ac:dyDescent="0.25">
      <c r="A1672" s="31" t="s">
        <v>1474</v>
      </c>
      <c r="B1672" s="23" t="s">
        <v>290</v>
      </c>
      <c r="D1672">
        <v>1</v>
      </c>
      <c r="E1672" t="s">
        <v>103</v>
      </c>
      <c r="F1672">
        <v>9</v>
      </c>
      <c r="G1672">
        <v>2020</v>
      </c>
      <c r="I1672" s="15">
        <v>497.3</v>
      </c>
      <c r="J1672" t="s">
        <v>104</v>
      </c>
      <c r="K1672" t="s">
        <v>53</v>
      </c>
      <c r="L1672" t="s">
        <v>105</v>
      </c>
      <c r="O1672">
        <v>0</v>
      </c>
      <c r="P1672">
        <v>1</v>
      </c>
      <c r="Q1672">
        <v>0</v>
      </c>
      <c r="R1672">
        <v>0</v>
      </c>
      <c r="S1672">
        <v>1</v>
      </c>
      <c r="T1672">
        <v>1</v>
      </c>
      <c r="U1672">
        <v>1</v>
      </c>
      <c r="V1672">
        <v>0</v>
      </c>
      <c r="W1672" t="s">
        <v>106</v>
      </c>
      <c r="AA1672">
        <v>2007</v>
      </c>
      <c r="AB1672">
        <v>9999</v>
      </c>
      <c r="AC1672" t="s">
        <v>1475</v>
      </c>
    </row>
    <row r="1673" spans="1:29" x14ac:dyDescent="0.25">
      <c r="A1673" s="31" t="s">
        <v>293</v>
      </c>
      <c r="B1673" s="23" t="s">
        <v>294</v>
      </c>
      <c r="D1673">
        <v>1</v>
      </c>
      <c r="E1673" t="s">
        <v>103</v>
      </c>
      <c r="F1673">
        <v>9</v>
      </c>
      <c r="G1673">
        <v>2020</v>
      </c>
      <c r="I1673" s="15">
        <v>569.1</v>
      </c>
      <c r="J1673" t="s">
        <v>104</v>
      </c>
      <c r="K1673" t="s">
        <v>53</v>
      </c>
      <c r="L1673" t="s">
        <v>105</v>
      </c>
      <c r="O1673">
        <v>0</v>
      </c>
      <c r="P1673">
        <v>1</v>
      </c>
      <c r="Q1673">
        <v>0</v>
      </c>
      <c r="R1673">
        <v>0</v>
      </c>
      <c r="S1673">
        <v>1</v>
      </c>
      <c r="T1673">
        <v>1</v>
      </c>
      <c r="U1673">
        <v>1</v>
      </c>
      <c r="V1673">
        <v>0</v>
      </c>
      <c r="W1673" t="s">
        <v>106</v>
      </c>
      <c r="AA1673">
        <v>2007</v>
      </c>
      <c r="AB1673">
        <v>9999</v>
      </c>
      <c r="AC1673" t="s">
        <v>35</v>
      </c>
    </row>
    <row r="1674" spans="1:29" x14ac:dyDescent="0.25">
      <c r="A1674" s="31" t="s">
        <v>295</v>
      </c>
      <c r="B1674" s="23" t="s">
        <v>296</v>
      </c>
      <c r="D1674">
        <v>1</v>
      </c>
      <c r="E1674" t="s">
        <v>128</v>
      </c>
      <c r="F1674">
        <v>9</v>
      </c>
      <c r="G1674">
        <v>2020</v>
      </c>
      <c r="H1674" t="s">
        <v>1428</v>
      </c>
      <c r="I1674" s="15">
        <v>0.1</v>
      </c>
      <c r="J1674" t="s">
        <v>104</v>
      </c>
      <c r="K1674" t="s">
        <v>41</v>
      </c>
      <c r="O1674">
        <v>0</v>
      </c>
      <c r="P1674">
        <v>0</v>
      </c>
      <c r="Q1674">
        <v>0</v>
      </c>
      <c r="R1674">
        <v>0</v>
      </c>
      <c r="S1674">
        <v>0</v>
      </c>
      <c r="T1674">
        <v>0</v>
      </c>
      <c r="U1674">
        <v>0</v>
      </c>
      <c r="V1674">
        <v>0</v>
      </c>
      <c r="W1674" t="s">
        <v>1081</v>
      </c>
      <c r="AA1674">
        <v>2007</v>
      </c>
      <c r="AB1674">
        <v>9999</v>
      </c>
      <c r="AC1674" t="s">
        <v>35</v>
      </c>
    </row>
    <row r="1675" spans="1:29" x14ac:dyDescent="0.25">
      <c r="A1675" s="31" t="s">
        <v>153</v>
      </c>
      <c r="B1675" s="23" t="s">
        <v>1476</v>
      </c>
      <c r="D1675">
        <v>1</v>
      </c>
      <c r="E1675" t="s">
        <v>155</v>
      </c>
      <c r="F1675">
        <v>3</v>
      </c>
      <c r="G1675">
        <v>2020</v>
      </c>
      <c r="I1675" s="11">
        <v>81.718055357142902</v>
      </c>
      <c r="J1675" t="s">
        <v>121</v>
      </c>
      <c r="K1675" t="s">
        <v>53</v>
      </c>
      <c r="L1675" t="s">
        <v>60</v>
      </c>
      <c r="O1675">
        <v>1</v>
      </c>
      <c r="P1675">
        <v>0</v>
      </c>
      <c r="Q1675">
        <v>0</v>
      </c>
      <c r="R1675">
        <v>0</v>
      </c>
      <c r="S1675">
        <v>1</v>
      </c>
      <c r="T1675">
        <v>0</v>
      </c>
      <c r="U1675">
        <v>0</v>
      </c>
      <c r="V1675">
        <v>1</v>
      </c>
      <c r="W1675" t="s">
        <v>304</v>
      </c>
      <c r="AA1675">
        <v>2007</v>
      </c>
      <c r="AB1675">
        <v>9999</v>
      </c>
      <c r="AC1675" t="s">
        <v>35</v>
      </c>
    </row>
    <row r="1676" spans="1:29" x14ac:dyDescent="0.25">
      <c r="A1676" s="31" t="s">
        <v>153</v>
      </c>
      <c r="B1676" s="23" t="s">
        <v>1477</v>
      </c>
      <c r="D1676">
        <v>1</v>
      </c>
      <c r="E1676" t="s">
        <v>155</v>
      </c>
      <c r="F1676">
        <v>3</v>
      </c>
      <c r="G1676">
        <v>2020</v>
      </c>
      <c r="I1676" s="11">
        <v>78.178472222222183</v>
      </c>
      <c r="J1676" t="s">
        <v>121</v>
      </c>
      <c r="K1676" t="s">
        <v>53</v>
      </c>
      <c r="L1676" t="s">
        <v>60</v>
      </c>
      <c r="O1676">
        <v>1</v>
      </c>
      <c r="P1676">
        <v>0</v>
      </c>
      <c r="Q1676">
        <v>0</v>
      </c>
      <c r="R1676">
        <v>0</v>
      </c>
      <c r="S1676">
        <v>1</v>
      </c>
      <c r="T1676">
        <v>0</v>
      </c>
      <c r="U1676">
        <v>0</v>
      </c>
      <c r="V1676">
        <v>1</v>
      </c>
      <c r="W1676" t="s">
        <v>645</v>
      </c>
      <c r="AA1676">
        <v>2007</v>
      </c>
      <c r="AB1676">
        <v>9999</v>
      </c>
      <c r="AC1676" t="s">
        <v>35</v>
      </c>
    </row>
    <row r="1677" spans="1:29" x14ac:dyDescent="0.25">
      <c r="A1677" s="31" t="s">
        <v>307</v>
      </c>
      <c r="B1677" s="23" t="s">
        <v>308</v>
      </c>
      <c r="D1677">
        <v>1</v>
      </c>
      <c r="E1677" t="s">
        <v>309</v>
      </c>
      <c r="F1677">
        <v>10</v>
      </c>
      <c r="G1677">
        <v>2020</v>
      </c>
      <c r="I1677" s="15">
        <v>65.400000000000006</v>
      </c>
      <c r="J1677" t="s">
        <v>59</v>
      </c>
      <c r="K1677" t="s">
        <v>47</v>
      </c>
      <c r="O1677">
        <v>0</v>
      </c>
      <c r="P1677">
        <v>0</v>
      </c>
      <c r="Q1677">
        <v>0</v>
      </c>
      <c r="R1677">
        <v>0</v>
      </c>
      <c r="S1677">
        <v>1</v>
      </c>
      <c r="T1677">
        <v>1</v>
      </c>
      <c r="U1677">
        <v>1</v>
      </c>
      <c r="V1677">
        <v>0</v>
      </c>
      <c r="W1677" t="s">
        <v>1083</v>
      </c>
      <c r="AA1677">
        <v>2007</v>
      </c>
      <c r="AB1677">
        <v>9999</v>
      </c>
      <c r="AC1677" t="s">
        <v>35</v>
      </c>
    </row>
    <row r="1678" spans="1:29" x14ac:dyDescent="0.25">
      <c r="A1678" s="31" t="s">
        <v>1294</v>
      </c>
      <c r="B1678" s="23" t="s">
        <v>1295</v>
      </c>
      <c r="C1678" t="s">
        <v>1296</v>
      </c>
      <c r="D1678">
        <v>1</v>
      </c>
      <c r="E1678" t="s">
        <v>95</v>
      </c>
      <c r="F1678">
        <v>10</v>
      </c>
      <c r="G1678">
        <v>2020</v>
      </c>
      <c r="I1678" s="15">
        <v>40.5</v>
      </c>
      <c r="J1678" t="s">
        <v>40</v>
      </c>
      <c r="K1678" t="s">
        <v>47</v>
      </c>
      <c r="O1678">
        <v>0</v>
      </c>
      <c r="P1678">
        <v>0</v>
      </c>
      <c r="Q1678">
        <v>0</v>
      </c>
      <c r="R1678">
        <v>0</v>
      </c>
      <c r="S1678">
        <v>1</v>
      </c>
      <c r="T1678">
        <v>1</v>
      </c>
      <c r="U1678">
        <v>1</v>
      </c>
      <c r="V1678">
        <v>0</v>
      </c>
      <c r="W1678" t="s">
        <v>1297</v>
      </c>
      <c r="AA1678">
        <v>2010</v>
      </c>
      <c r="AB1678">
        <v>9999</v>
      </c>
      <c r="AC1678" t="s">
        <v>1292</v>
      </c>
    </row>
    <row r="1679" spans="1:29" x14ac:dyDescent="0.25">
      <c r="A1679" s="31" t="s">
        <v>311</v>
      </c>
      <c r="B1679" s="23" t="s">
        <v>312</v>
      </c>
      <c r="C1679" t="s">
        <v>313</v>
      </c>
      <c r="D1679">
        <v>1</v>
      </c>
      <c r="E1679" t="s">
        <v>314</v>
      </c>
      <c r="F1679">
        <v>2</v>
      </c>
      <c r="G1679">
        <v>2020</v>
      </c>
      <c r="I1679" s="15">
        <v>39.200000000000003</v>
      </c>
      <c r="J1679" t="s">
        <v>176</v>
      </c>
      <c r="K1679" t="s">
        <v>47</v>
      </c>
      <c r="O1679">
        <v>0</v>
      </c>
      <c r="P1679">
        <v>0</v>
      </c>
      <c r="Q1679">
        <v>0</v>
      </c>
      <c r="R1679">
        <v>0</v>
      </c>
      <c r="S1679">
        <v>1</v>
      </c>
      <c r="T1679">
        <v>1</v>
      </c>
      <c r="U1679">
        <v>1</v>
      </c>
      <c r="V1679">
        <v>0</v>
      </c>
      <c r="W1679" t="s">
        <v>1358</v>
      </c>
      <c r="AA1679">
        <v>2007</v>
      </c>
      <c r="AB1679">
        <v>9999</v>
      </c>
      <c r="AC1679" t="s">
        <v>35</v>
      </c>
    </row>
    <row r="1680" spans="1:29" x14ac:dyDescent="0.25">
      <c r="A1680" s="31" t="s">
        <v>1457</v>
      </c>
      <c r="B1680" s="23" t="s">
        <v>1458</v>
      </c>
      <c r="C1680" t="s">
        <v>1459</v>
      </c>
      <c r="D1680">
        <v>1</v>
      </c>
      <c r="E1680" s="4">
        <v>760</v>
      </c>
      <c r="F1680">
        <v>7</v>
      </c>
      <c r="G1680">
        <v>2020</v>
      </c>
      <c r="I1680" s="15">
        <v>699.9</v>
      </c>
      <c r="J1680" t="s">
        <v>40</v>
      </c>
      <c r="K1680" t="s">
        <v>47</v>
      </c>
      <c r="O1680">
        <v>0</v>
      </c>
      <c r="P1680">
        <v>0</v>
      </c>
      <c r="Q1680">
        <v>0</v>
      </c>
      <c r="R1680">
        <v>0</v>
      </c>
      <c r="S1680">
        <v>1</v>
      </c>
      <c r="T1680">
        <v>1</v>
      </c>
      <c r="U1680">
        <v>1</v>
      </c>
      <c r="V1680">
        <v>0</v>
      </c>
      <c r="W1680" t="s">
        <v>1460</v>
      </c>
      <c r="AA1680">
        <v>2014</v>
      </c>
      <c r="AB1680">
        <v>9999</v>
      </c>
      <c r="AC1680" t="s">
        <v>1449</v>
      </c>
    </row>
    <row r="1681" spans="1:29" ht="30" x14ac:dyDescent="0.25">
      <c r="A1681" s="31" t="s">
        <v>316</v>
      </c>
      <c r="B1681" s="24" t="s">
        <v>1461</v>
      </c>
      <c r="C1681" t="s">
        <v>1462</v>
      </c>
      <c r="D1681">
        <v>1</v>
      </c>
      <c r="E1681" t="s">
        <v>318</v>
      </c>
      <c r="F1681">
        <v>4</v>
      </c>
      <c r="G1681">
        <v>2020</v>
      </c>
      <c r="I1681" s="15">
        <v>36.9</v>
      </c>
      <c r="J1681" t="s">
        <v>59</v>
      </c>
      <c r="K1681" t="s">
        <v>47</v>
      </c>
      <c r="O1681">
        <v>0</v>
      </c>
      <c r="P1681">
        <v>0</v>
      </c>
      <c r="Q1681">
        <v>0</v>
      </c>
      <c r="R1681">
        <v>0</v>
      </c>
      <c r="S1681">
        <v>1</v>
      </c>
      <c r="T1681">
        <v>1</v>
      </c>
      <c r="U1681">
        <v>1</v>
      </c>
      <c r="V1681">
        <v>0</v>
      </c>
      <c r="W1681" t="s">
        <v>1085</v>
      </c>
      <c r="AA1681">
        <v>2007</v>
      </c>
      <c r="AB1681">
        <v>9999</v>
      </c>
      <c r="AC1681" t="s">
        <v>35</v>
      </c>
    </row>
    <row r="1682" spans="1:29" x14ac:dyDescent="0.25">
      <c r="A1682" s="31" t="s">
        <v>324</v>
      </c>
      <c r="B1682" s="23" t="s">
        <v>325</v>
      </c>
      <c r="D1682">
        <v>1</v>
      </c>
      <c r="E1682" t="s">
        <v>103</v>
      </c>
      <c r="F1682">
        <v>9</v>
      </c>
      <c r="G1682">
        <v>2020</v>
      </c>
      <c r="I1682" s="15">
        <v>93.7</v>
      </c>
      <c r="J1682" t="s">
        <v>104</v>
      </c>
      <c r="K1682" t="s">
        <v>47</v>
      </c>
      <c r="O1682">
        <v>0</v>
      </c>
      <c r="P1682">
        <v>0</v>
      </c>
      <c r="Q1682">
        <v>0</v>
      </c>
      <c r="R1682">
        <v>0</v>
      </c>
      <c r="S1682">
        <v>1</v>
      </c>
      <c r="T1682">
        <v>1</v>
      </c>
      <c r="U1682">
        <v>1</v>
      </c>
      <c r="V1682">
        <v>0</v>
      </c>
      <c r="W1682" t="s">
        <v>1086</v>
      </c>
      <c r="AA1682">
        <v>2007</v>
      </c>
      <c r="AB1682">
        <v>9999</v>
      </c>
      <c r="AC1682" t="s">
        <v>35</v>
      </c>
    </row>
    <row r="1683" spans="1:29" x14ac:dyDescent="0.25">
      <c r="A1683" s="31" t="s">
        <v>327</v>
      </c>
      <c r="B1683" s="23" t="s">
        <v>328</v>
      </c>
      <c r="D1683">
        <v>1</v>
      </c>
      <c r="E1683" t="s">
        <v>80</v>
      </c>
      <c r="F1683">
        <v>8</v>
      </c>
      <c r="G1683">
        <v>2020</v>
      </c>
      <c r="I1683" s="15">
        <v>79.2</v>
      </c>
      <c r="J1683" t="s">
        <v>81</v>
      </c>
      <c r="K1683" t="s">
        <v>47</v>
      </c>
      <c r="O1683">
        <v>0</v>
      </c>
      <c r="P1683">
        <v>0</v>
      </c>
      <c r="Q1683">
        <v>0</v>
      </c>
      <c r="R1683">
        <v>0</v>
      </c>
      <c r="S1683">
        <v>1</v>
      </c>
      <c r="T1683">
        <v>1</v>
      </c>
      <c r="U1683">
        <v>1</v>
      </c>
      <c r="V1683">
        <v>0</v>
      </c>
      <c r="W1683" t="s">
        <v>1087</v>
      </c>
      <c r="AA1683">
        <v>2007</v>
      </c>
      <c r="AB1683">
        <v>9999</v>
      </c>
      <c r="AC1683" t="s">
        <v>35</v>
      </c>
    </row>
    <row r="1684" spans="1:29" x14ac:dyDescent="0.25">
      <c r="A1684" s="31" t="s">
        <v>346</v>
      </c>
      <c r="B1684" s="23" t="s">
        <v>347</v>
      </c>
      <c r="D1684">
        <v>1</v>
      </c>
      <c r="E1684" t="s">
        <v>348</v>
      </c>
      <c r="F1684">
        <v>1</v>
      </c>
      <c r="G1684">
        <v>2020</v>
      </c>
      <c r="I1684" s="15">
        <v>37.4</v>
      </c>
      <c r="J1684" t="s">
        <v>121</v>
      </c>
      <c r="K1684" t="s">
        <v>47</v>
      </c>
      <c r="O1684">
        <v>0</v>
      </c>
      <c r="P1684">
        <v>0</v>
      </c>
      <c r="Q1684">
        <v>0</v>
      </c>
      <c r="R1684">
        <v>0</v>
      </c>
      <c r="S1684">
        <v>1</v>
      </c>
      <c r="T1684">
        <v>1</v>
      </c>
      <c r="U1684">
        <v>1</v>
      </c>
      <c r="V1684">
        <v>0</v>
      </c>
      <c r="W1684" t="s">
        <v>349</v>
      </c>
      <c r="AA1684">
        <v>2007</v>
      </c>
      <c r="AB1684">
        <v>9999</v>
      </c>
      <c r="AC1684" t="s">
        <v>35</v>
      </c>
    </row>
    <row r="1685" spans="1:29" x14ac:dyDescent="0.25">
      <c r="A1685" s="31" t="s">
        <v>1540</v>
      </c>
      <c r="B1685" s="23" t="s">
        <v>1541</v>
      </c>
      <c r="D1685">
        <v>1</v>
      </c>
      <c r="E1685" t="s">
        <v>58</v>
      </c>
      <c r="F1685">
        <v>4</v>
      </c>
      <c r="G1685">
        <v>2020</v>
      </c>
      <c r="I1685" s="15">
        <v>66.2</v>
      </c>
      <c r="J1685" t="s">
        <v>59</v>
      </c>
      <c r="K1685" t="s">
        <v>47</v>
      </c>
      <c r="O1685">
        <v>0</v>
      </c>
      <c r="P1685">
        <v>0</v>
      </c>
      <c r="Q1685">
        <v>0</v>
      </c>
      <c r="R1685">
        <v>0</v>
      </c>
      <c r="S1685">
        <v>1</v>
      </c>
      <c r="T1685">
        <v>1</v>
      </c>
      <c r="U1685">
        <v>1</v>
      </c>
      <c r="V1685">
        <v>0</v>
      </c>
      <c r="W1685" t="s">
        <v>1542</v>
      </c>
      <c r="AA1685">
        <v>2018</v>
      </c>
      <c r="AB1685">
        <v>9999</v>
      </c>
      <c r="AC1685" t="s">
        <v>1543</v>
      </c>
    </row>
    <row r="1686" spans="1:29" x14ac:dyDescent="0.25">
      <c r="A1686" s="31" t="s">
        <v>199</v>
      </c>
      <c r="B1686" s="23" t="s">
        <v>39</v>
      </c>
      <c r="D1686">
        <v>1</v>
      </c>
      <c r="E1686" t="s">
        <v>358</v>
      </c>
      <c r="F1686">
        <v>1</v>
      </c>
      <c r="G1686">
        <v>2020</v>
      </c>
      <c r="I1686" s="15">
        <v>244.8</v>
      </c>
      <c r="J1686" t="s">
        <v>52</v>
      </c>
      <c r="K1686" t="s">
        <v>47</v>
      </c>
      <c r="O1686">
        <v>0</v>
      </c>
      <c r="P1686">
        <v>0</v>
      </c>
      <c r="Q1686">
        <v>0</v>
      </c>
      <c r="R1686">
        <v>0</v>
      </c>
      <c r="S1686">
        <v>1</v>
      </c>
      <c r="T1686">
        <v>1</v>
      </c>
      <c r="U1686">
        <v>1</v>
      </c>
      <c r="V1686">
        <v>0</v>
      </c>
      <c r="W1686" t="s">
        <v>1094</v>
      </c>
      <c r="AA1686">
        <v>2007</v>
      </c>
      <c r="AB1686">
        <v>9999</v>
      </c>
      <c r="AC1686" t="s">
        <v>35</v>
      </c>
    </row>
    <row r="1687" spans="1:29" x14ac:dyDescent="0.25">
      <c r="A1687" s="31" t="s">
        <v>1478</v>
      </c>
      <c r="B1687" s="23" t="s">
        <v>360</v>
      </c>
      <c r="D1687">
        <v>4</v>
      </c>
      <c r="E1687" t="s">
        <v>155</v>
      </c>
      <c r="F1687">
        <v>3</v>
      </c>
      <c r="G1687">
        <v>2020</v>
      </c>
      <c r="I1687" s="16">
        <v>403.08268368055565</v>
      </c>
      <c r="J1687" t="s">
        <v>121</v>
      </c>
      <c r="K1687" t="s">
        <v>53</v>
      </c>
      <c r="L1687" t="s">
        <v>60</v>
      </c>
      <c r="O1687">
        <v>1</v>
      </c>
      <c r="P1687">
        <v>0</v>
      </c>
      <c r="Q1687">
        <v>0</v>
      </c>
      <c r="R1687">
        <v>0</v>
      </c>
      <c r="S1687">
        <v>1</v>
      </c>
      <c r="T1687">
        <v>0</v>
      </c>
      <c r="U1687">
        <v>0</v>
      </c>
      <c r="V1687">
        <v>1</v>
      </c>
      <c r="W1687" t="s">
        <v>361</v>
      </c>
      <c r="AA1687">
        <v>2007</v>
      </c>
      <c r="AB1687">
        <v>9999</v>
      </c>
      <c r="AC1687" t="s">
        <v>35</v>
      </c>
    </row>
    <row r="1688" spans="1:29" x14ac:dyDescent="0.25">
      <c r="A1688" s="31" t="s">
        <v>362</v>
      </c>
      <c r="B1688" s="23" t="s">
        <v>363</v>
      </c>
      <c r="D1688">
        <v>1</v>
      </c>
      <c r="E1688" t="s">
        <v>103</v>
      </c>
      <c r="F1688">
        <v>9</v>
      </c>
      <c r="G1688">
        <v>2020</v>
      </c>
      <c r="I1688" s="16">
        <v>1119.5999999999999</v>
      </c>
      <c r="J1688" t="s">
        <v>104</v>
      </c>
      <c r="K1688" t="s">
        <v>53</v>
      </c>
      <c r="L1688" t="s">
        <v>105</v>
      </c>
      <c r="O1688">
        <v>0</v>
      </c>
      <c r="P1688">
        <v>1</v>
      </c>
      <c r="Q1688">
        <v>0</v>
      </c>
      <c r="R1688">
        <v>0</v>
      </c>
      <c r="S1688">
        <v>1</v>
      </c>
      <c r="T1688">
        <v>1</v>
      </c>
      <c r="U1688">
        <v>1</v>
      </c>
      <c r="V1688">
        <v>0</v>
      </c>
      <c r="W1688" t="s">
        <v>106</v>
      </c>
      <c r="AA1688">
        <v>2007</v>
      </c>
      <c r="AB1688">
        <v>9999</v>
      </c>
      <c r="AC1688" t="s">
        <v>35</v>
      </c>
    </row>
    <row r="1689" spans="1:29" x14ac:dyDescent="0.25">
      <c r="A1689" s="31" t="s">
        <v>364</v>
      </c>
      <c r="B1689" s="23" t="s">
        <v>365</v>
      </c>
      <c r="C1689" t="s">
        <v>366</v>
      </c>
      <c r="D1689">
        <v>1</v>
      </c>
      <c r="E1689" t="s">
        <v>103</v>
      </c>
      <c r="F1689">
        <v>9</v>
      </c>
      <c r="G1689">
        <v>2020</v>
      </c>
      <c r="I1689" s="16">
        <v>4626.3</v>
      </c>
      <c r="J1689" t="s">
        <v>104</v>
      </c>
      <c r="K1689" t="s">
        <v>53</v>
      </c>
      <c r="L1689" t="s">
        <v>105</v>
      </c>
      <c r="O1689">
        <v>0</v>
      </c>
      <c r="P1689">
        <v>1</v>
      </c>
      <c r="Q1689">
        <v>0</v>
      </c>
      <c r="R1689">
        <v>0</v>
      </c>
      <c r="S1689">
        <v>1</v>
      </c>
      <c r="T1689">
        <v>1</v>
      </c>
      <c r="U1689">
        <v>1</v>
      </c>
      <c r="V1689">
        <v>0</v>
      </c>
      <c r="W1689" t="s">
        <v>106</v>
      </c>
      <c r="AA1689">
        <v>2007</v>
      </c>
      <c r="AB1689">
        <v>9999</v>
      </c>
      <c r="AC1689" t="s">
        <v>35</v>
      </c>
    </row>
    <row r="1690" spans="1:29" x14ac:dyDescent="0.25">
      <c r="A1690" s="31" t="s">
        <v>367</v>
      </c>
      <c r="B1690" s="23" t="s">
        <v>368</v>
      </c>
      <c r="C1690" t="s">
        <v>369</v>
      </c>
      <c r="D1690">
        <v>1</v>
      </c>
      <c r="E1690" t="s">
        <v>370</v>
      </c>
      <c r="F1690">
        <v>5</v>
      </c>
      <c r="G1690">
        <v>2020</v>
      </c>
      <c r="I1690" s="15">
        <v>243.8</v>
      </c>
      <c r="J1690" t="s">
        <v>31</v>
      </c>
      <c r="K1690" t="s">
        <v>47</v>
      </c>
      <c r="O1690">
        <v>0</v>
      </c>
      <c r="P1690">
        <v>0</v>
      </c>
      <c r="Q1690">
        <v>0</v>
      </c>
      <c r="R1690">
        <v>0</v>
      </c>
      <c r="S1690">
        <v>1</v>
      </c>
      <c r="T1690">
        <v>1</v>
      </c>
      <c r="U1690">
        <v>1</v>
      </c>
      <c r="V1690">
        <v>0</v>
      </c>
      <c r="W1690" t="s">
        <v>1298</v>
      </c>
      <c r="AA1690">
        <v>2007</v>
      </c>
      <c r="AB1690">
        <v>9999</v>
      </c>
      <c r="AC1690" t="s">
        <v>35</v>
      </c>
    </row>
    <row r="1691" spans="1:29" x14ac:dyDescent="0.25">
      <c r="A1691" s="31" t="s">
        <v>1544</v>
      </c>
      <c r="B1691" s="23" t="s">
        <v>1545</v>
      </c>
      <c r="D1691">
        <v>1</v>
      </c>
      <c r="E1691" s="5" t="s">
        <v>1546</v>
      </c>
      <c r="F1691">
        <v>5</v>
      </c>
      <c r="G1691">
        <v>2020</v>
      </c>
      <c r="H1691" t="s">
        <v>214</v>
      </c>
      <c r="I1691" s="15">
        <v>4</v>
      </c>
      <c r="J1691" t="s">
        <v>31</v>
      </c>
      <c r="K1691" t="s">
        <v>41</v>
      </c>
      <c r="O1691">
        <v>0</v>
      </c>
      <c r="P1691">
        <v>0</v>
      </c>
      <c r="Q1691">
        <v>0</v>
      </c>
      <c r="R1691">
        <v>0</v>
      </c>
      <c r="S1691">
        <v>0</v>
      </c>
      <c r="T1691">
        <v>0</v>
      </c>
      <c r="U1691">
        <v>0</v>
      </c>
      <c r="V1691">
        <v>0</v>
      </c>
      <c r="W1691" t="s">
        <v>1547</v>
      </c>
      <c r="AA1691">
        <v>2018</v>
      </c>
      <c r="AB1691">
        <v>9999</v>
      </c>
      <c r="AC1691" t="s">
        <v>1543</v>
      </c>
    </row>
    <row r="1692" spans="1:29" x14ac:dyDescent="0.25">
      <c r="A1692" s="31" t="s">
        <v>372</v>
      </c>
      <c r="B1692" s="23" t="s">
        <v>373</v>
      </c>
      <c r="D1692">
        <v>1</v>
      </c>
      <c r="E1692" t="s">
        <v>45</v>
      </c>
      <c r="F1692">
        <v>4</v>
      </c>
      <c r="G1692">
        <v>2020</v>
      </c>
      <c r="I1692" s="15">
        <v>81.7</v>
      </c>
      <c r="J1692" t="s">
        <v>176</v>
      </c>
      <c r="K1692" t="s">
        <v>47</v>
      </c>
      <c r="O1692">
        <v>0</v>
      </c>
      <c r="P1692">
        <v>0</v>
      </c>
      <c r="Q1692">
        <v>0</v>
      </c>
      <c r="R1692">
        <v>0</v>
      </c>
      <c r="S1692">
        <v>1</v>
      </c>
      <c r="T1692">
        <v>1</v>
      </c>
      <c r="U1692">
        <v>1</v>
      </c>
      <c r="V1692">
        <v>0</v>
      </c>
      <c r="W1692" t="s">
        <v>1429</v>
      </c>
      <c r="AA1692">
        <v>2007</v>
      </c>
      <c r="AB1692">
        <v>9999</v>
      </c>
      <c r="AC1692" t="s">
        <v>35</v>
      </c>
    </row>
    <row r="1693" spans="1:29" x14ac:dyDescent="0.25">
      <c r="A1693" s="31" t="s">
        <v>375</v>
      </c>
      <c r="B1693" s="23" t="s">
        <v>163</v>
      </c>
      <c r="D1693">
        <v>1</v>
      </c>
      <c r="E1693" t="s">
        <v>168</v>
      </c>
      <c r="F1693">
        <v>1</v>
      </c>
      <c r="G1693">
        <v>2020</v>
      </c>
      <c r="I1693" s="15">
        <v>46.2</v>
      </c>
      <c r="J1693" t="s">
        <v>52</v>
      </c>
      <c r="K1693" t="s">
        <v>47</v>
      </c>
      <c r="O1693">
        <v>0</v>
      </c>
      <c r="P1693">
        <v>0</v>
      </c>
      <c r="Q1693">
        <v>0</v>
      </c>
      <c r="R1693">
        <v>0</v>
      </c>
      <c r="S1693">
        <v>1</v>
      </c>
      <c r="T1693">
        <v>1</v>
      </c>
      <c r="U1693">
        <v>1</v>
      </c>
      <c r="V1693">
        <v>0</v>
      </c>
      <c r="W1693" t="s">
        <v>1097</v>
      </c>
      <c r="AA1693">
        <v>2007</v>
      </c>
      <c r="AB1693">
        <v>9999</v>
      </c>
      <c r="AC1693" t="s">
        <v>35</v>
      </c>
    </row>
    <row r="1694" spans="1:29" x14ac:dyDescent="0.25">
      <c r="A1694" s="31" t="s">
        <v>377</v>
      </c>
      <c r="B1694" s="23" t="s">
        <v>378</v>
      </c>
      <c r="D1694">
        <v>1</v>
      </c>
      <c r="E1694" t="s">
        <v>45</v>
      </c>
      <c r="F1694">
        <v>4</v>
      </c>
      <c r="G1694">
        <v>2020</v>
      </c>
      <c r="I1694" s="15">
        <v>151.9</v>
      </c>
      <c r="J1694" t="s">
        <v>89</v>
      </c>
      <c r="K1694" t="s">
        <v>47</v>
      </c>
      <c r="O1694">
        <v>0</v>
      </c>
      <c r="P1694">
        <v>0</v>
      </c>
      <c r="Q1694">
        <v>0</v>
      </c>
      <c r="R1694">
        <v>0</v>
      </c>
      <c r="S1694">
        <v>1</v>
      </c>
      <c r="T1694">
        <v>1</v>
      </c>
      <c r="U1694">
        <v>1</v>
      </c>
      <c r="V1694">
        <v>0</v>
      </c>
      <c r="W1694" t="s">
        <v>1098</v>
      </c>
      <c r="AA1694">
        <v>2007</v>
      </c>
      <c r="AB1694">
        <v>9999</v>
      </c>
      <c r="AC1694" t="s">
        <v>35</v>
      </c>
    </row>
    <row r="1695" spans="1:29" x14ac:dyDescent="0.25">
      <c r="A1695" s="31" t="s">
        <v>380</v>
      </c>
      <c r="B1695" s="23" t="s">
        <v>381</v>
      </c>
      <c r="D1695">
        <v>1</v>
      </c>
      <c r="E1695" t="s">
        <v>103</v>
      </c>
      <c r="F1695">
        <v>9</v>
      </c>
      <c r="G1695">
        <v>2020</v>
      </c>
      <c r="I1695" s="15">
        <v>161</v>
      </c>
      <c r="J1695" t="s">
        <v>104</v>
      </c>
      <c r="K1695" t="s">
        <v>53</v>
      </c>
      <c r="L1695" t="s">
        <v>105</v>
      </c>
      <c r="O1695">
        <v>0</v>
      </c>
      <c r="P1695">
        <v>1</v>
      </c>
      <c r="Q1695">
        <v>0</v>
      </c>
      <c r="R1695">
        <v>0</v>
      </c>
      <c r="S1695">
        <v>1</v>
      </c>
      <c r="T1695">
        <v>1</v>
      </c>
      <c r="U1695">
        <v>1</v>
      </c>
      <c r="V1695">
        <v>0</v>
      </c>
      <c r="W1695" t="s">
        <v>106</v>
      </c>
      <c r="AA1695">
        <v>2007</v>
      </c>
      <c r="AB1695">
        <v>9999</v>
      </c>
      <c r="AC1695" t="s">
        <v>35</v>
      </c>
    </row>
    <row r="1696" spans="1:29" x14ac:dyDescent="0.25">
      <c r="A1696" s="31" t="s">
        <v>382</v>
      </c>
      <c r="B1696" s="23" t="s">
        <v>383</v>
      </c>
      <c r="D1696">
        <v>1</v>
      </c>
      <c r="E1696" t="s">
        <v>80</v>
      </c>
      <c r="F1696">
        <v>8</v>
      </c>
      <c r="G1696">
        <v>2020</v>
      </c>
      <c r="I1696" s="15">
        <v>30.1</v>
      </c>
      <c r="J1696" t="s">
        <v>81</v>
      </c>
      <c r="K1696" t="s">
        <v>32</v>
      </c>
      <c r="O1696">
        <v>0</v>
      </c>
      <c r="P1696">
        <v>0</v>
      </c>
      <c r="Q1696">
        <v>0</v>
      </c>
      <c r="R1696">
        <v>0</v>
      </c>
      <c r="S1696">
        <v>1</v>
      </c>
      <c r="T1696">
        <v>1</v>
      </c>
      <c r="U1696">
        <v>1</v>
      </c>
      <c r="V1696">
        <v>0</v>
      </c>
      <c r="W1696" t="s">
        <v>1099</v>
      </c>
      <c r="AA1696">
        <v>2007</v>
      </c>
      <c r="AB1696">
        <v>9999</v>
      </c>
      <c r="AC1696" t="s">
        <v>35</v>
      </c>
    </row>
    <row r="1697" spans="1:29" x14ac:dyDescent="0.25">
      <c r="A1697" s="31" t="s">
        <v>385</v>
      </c>
      <c r="B1697" s="23" t="s">
        <v>386</v>
      </c>
      <c r="D1697">
        <v>1</v>
      </c>
      <c r="E1697" t="s">
        <v>45</v>
      </c>
      <c r="F1697">
        <v>4</v>
      </c>
      <c r="G1697">
        <v>2020</v>
      </c>
      <c r="I1697" s="15">
        <v>174.4</v>
      </c>
      <c r="J1697" t="s">
        <v>52</v>
      </c>
      <c r="K1697" t="s">
        <v>47</v>
      </c>
      <c r="O1697">
        <v>0</v>
      </c>
      <c r="P1697">
        <v>0</v>
      </c>
      <c r="Q1697">
        <v>0</v>
      </c>
      <c r="R1697">
        <v>0</v>
      </c>
      <c r="S1697">
        <v>1</v>
      </c>
      <c r="T1697">
        <v>1</v>
      </c>
      <c r="U1697">
        <v>1</v>
      </c>
      <c r="V1697">
        <v>0</v>
      </c>
      <c r="W1697" t="s">
        <v>1300</v>
      </c>
      <c r="AA1697">
        <v>2007</v>
      </c>
      <c r="AB1697">
        <v>9999</v>
      </c>
      <c r="AC1697" t="s">
        <v>35</v>
      </c>
    </row>
    <row r="1698" spans="1:29" x14ac:dyDescent="0.25">
      <c r="A1698" s="31" t="s">
        <v>388</v>
      </c>
      <c r="B1698" s="23" t="s">
        <v>389</v>
      </c>
      <c r="D1698">
        <v>1</v>
      </c>
      <c r="E1698" t="s">
        <v>145</v>
      </c>
      <c r="F1698">
        <v>2</v>
      </c>
      <c r="G1698">
        <v>2020</v>
      </c>
      <c r="H1698" t="s">
        <v>185</v>
      </c>
      <c r="I1698" s="15">
        <v>0.5</v>
      </c>
      <c r="J1698" t="s">
        <v>52</v>
      </c>
      <c r="K1698" t="s">
        <v>41</v>
      </c>
      <c r="O1698">
        <v>0</v>
      </c>
      <c r="P1698">
        <v>0</v>
      </c>
      <c r="Q1698">
        <v>0</v>
      </c>
      <c r="R1698">
        <v>0</v>
      </c>
      <c r="S1698">
        <v>0</v>
      </c>
      <c r="T1698">
        <v>0</v>
      </c>
      <c r="U1698">
        <v>0</v>
      </c>
      <c r="V1698">
        <v>0</v>
      </c>
      <c r="W1698" t="s">
        <v>1101</v>
      </c>
      <c r="AA1698">
        <v>2007</v>
      </c>
      <c r="AB1698">
        <v>9999</v>
      </c>
      <c r="AC1698" t="s">
        <v>35</v>
      </c>
    </row>
    <row r="1699" spans="1:29" x14ac:dyDescent="0.25">
      <c r="A1699" s="31" t="s">
        <v>391</v>
      </c>
      <c r="B1699" s="23" t="s">
        <v>392</v>
      </c>
      <c r="D1699">
        <v>1</v>
      </c>
      <c r="E1699" t="s">
        <v>393</v>
      </c>
      <c r="F1699">
        <v>3</v>
      </c>
      <c r="G1699">
        <v>2020</v>
      </c>
      <c r="I1699" s="16">
        <v>9810</v>
      </c>
      <c r="J1699" t="s">
        <v>121</v>
      </c>
      <c r="K1699" t="s">
        <v>47</v>
      </c>
      <c r="O1699">
        <v>0</v>
      </c>
      <c r="P1699">
        <v>0</v>
      </c>
      <c r="Q1699">
        <v>0</v>
      </c>
      <c r="R1699">
        <v>0</v>
      </c>
      <c r="S1699">
        <v>1</v>
      </c>
      <c r="T1699">
        <v>1</v>
      </c>
      <c r="U1699">
        <v>1</v>
      </c>
      <c r="V1699">
        <v>0</v>
      </c>
      <c r="W1699" t="s">
        <v>1102</v>
      </c>
      <c r="AA1699">
        <v>2007</v>
      </c>
      <c r="AB1699">
        <v>9999</v>
      </c>
      <c r="AC1699" t="s">
        <v>35</v>
      </c>
    </row>
    <row r="1700" spans="1:29" x14ac:dyDescent="0.25">
      <c r="A1700" s="31" t="s">
        <v>401</v>
      </c>
      <c r="B1700" s="23" t="s">
        <v>402</v>
      </c>
      <c r="D1700">
        <v>1</v>
      </c>
      <c r="E1700" t="s">
        <v>155</v>
      </c>
      <c r="F1700">
        <v>3</v>
      </c>
      <c r="G1700">
        <v>2020</v>
      </c>
      <c r="I1700" s="16">
        <v>1976.1</v>
      </c>
      <c r="J1700" t="s">
        <v>52</v>
      </c>
      <c r="K1700" t="s">
        <v>47</v>
      </c>
      <c r="O1700">
        <v>0</v>
      </c>
      <c r="P1700">
        <v>0</v>
      </c>
      <c r="Q1700">
        <v>0</v>
      </c>
      <c r="R1700">
        <v>0</v>
      </c>
      <c r="S1700">
        <v>1</v>
      </c>
      <c r="T1700">
        <v>1</v>
      </c>
      <c r="U1700">
        <v>1</v>
      </c>
      <c r="V1700">
        <v>0</v>
      </c>
      <c r="W1700" t="s">
        <v>1525</v>
      </c>
      <c r="AA1700">
        <v>2007</v>
      </c>
      <c r="AB1700">
        <v>9999</v>
      </c>
      <c r="AC1700" t="s">
        <v>35</v>
      </c>
    </row>
    <row r="1701" spans="1:29" x14ac:dyDescent="0.25">
      <c r="A1701" s="31" t="s">
        <v>404</v>
      </c>
      <c r="B1701" s="23" t="s">
        <v>405</v>
      </c>
      <c r="C1701" t="s">
        <v>406</v>
      </c>
      <c r="D1701">
        <v>1</v>
      </c>
      <c r="E1701" t="s">
        <v>358</v>
      </c>
      <c r="F1701">
        <v>1</v>
      </c>
      <c r="G1701">
        <v>2020</v>
      </c>
      <c r="I1701" s="15">
        <v>305.7</v>
      </c>
      <c r="J1701" t="s">
        <v>104</v>
      </c>
      <c r="K1701" t="s">
        <v>47</v>
      </c>
      <c r="O1701">
        <v>0</v>
      </c>
      <c r="P1701">
        <v>0</v>
      </c>
      <c r="Q1701">
        <v>0</v>
      </c>
      <c r="R1701">
        <v>0</v>
      </c>
      <c r="S1701">
        <v>1</v>
      </c>
      <c r="T1701">
        <v>1</v>
      </c>
      <c r="U1701">
        <v>1</v>
      </c>
      <c r="V1701">
        <v>0</v>
      </c>
      <c r="W1701" t="s">
        <v>1245</v>
      </c>
      <c r="AA1701">
        <v>2007</v>
      </c>
      <c r="AB1701">
        <v>9999</v>
      </c>
      <c r="AC1701" t="s">
        <v>35</v>
      </c>
    </row>
    <row r="1702" spans="1:29" x14ac:dyDescent="0.25">
      <c r="A1702" s="31" t="s">
        <v>408</v>
      </c>
      <c r="B1702" s="23" t="s">
        <v>409</v>
      </c>
      <c r="D1702">
        <v>1</v>
      </c>
      <c r="E1702" t="s">
        <v>103</v>
      </c>
      <c r="F1702">
        <v>9</v>
      </c>
      <c r="G1702">
        <v>2020</v>
      </c>
      <c r="I1702" s="15">
        <v>58.6</v>
      </c>
      <c r="J1702" t="s">
        <v>104</v>
      </c>
      <c r="K1702" t="s">
        <v>53</v>
      </c>
      <c r="L1702" t="s">
        <v>105</v>
      </c>
      <c r="O1702">
        <v>0</v>
      </c>
      <c r="P1702">
        <v>1</v>
      </c>
      <c r="Q1702">
        <v>0</v>
      </c>
      <c r="R1702">
        <v>0</v>
      </c>
      <c r="S1702">
        <v>1</v>
      </c>
      <c r="T1702">
        <v>1</v>
      </c>
      <c r="U1702">
        <v>1</v>
      </c>
      <c r="V1702">
        <v>0</v>
      </c>
      <c r="W1702" t="s">
        <v>106</v>
      </c>
      <c r="AA1702">
        <v>2007</v>
      </c>
      <c r="AB1702">
        <v>9999</v>
      </c>
      <c r="AC1702" t="s">
        <v>35</v>
      </c>
    </row>
    <row r="1703" spans="1:29" x14ac:dyDescent="0.25">
      <c r="A1703" s="31" t="s">
        <v>410</v>
      </c>
      <c r="B1703" s="23" t="s">
        <v>411</v>
      </c>
      <c r="C1703" t="s">
        <v>412</v>
      </c>
      <c r="D1703">
        <v>1</v>
      </c>
      <c r="E1703" t="s">
        <v>103</v>
      </c>
      <c r="F1703">
        <v>9</v>
      </c>
      <c r="G1703">
        <v>2020</v>
      </c>
      <c r="I1703" s="15">
        <v>147.4</v>
      </c>
      <c r="J1703" t="s">
        <v>104</v>
      </c>
      <c r="K1703" t="s">
        <v>53</v>
      </c>
      <c r="L1703" t="s">
        <v>105</v>
      </c>
      <c r="O1703">
        <v>0</v>
      </c>
      <c r="P1703">
        <v>1</v>
      </c>
      <c r="Q1703">
        <v>0</v>
      </c>
      <c r="R1703">
        <v>0</v>
      </c>
      <c r="S1703">
        <v>1</v>
      </c>
      <c r="T1703">
        <v>1</v>
      </c>
      <c r="U1703">
        <v>1</v>
      </c>
      <c r="V1703">
        <v>0</v>
      </c>
      <c r="W1703" t="s">
        <v>106</v>
      </c>
      <c r="AA1703">
        <v>2007</v>
      </c>
      <c r="AB1703">
        <v>9999</v>
      </c>
      <c r="AC1703" t="s">
        <v>35</v>
      </c>
    </row>
    <row r="1704" spans="1:29" x14ac:dyDescent="0.25">
      <c r="A1704" s="31" t="s">
        <v>413</v>
      </c>
      <c r="B1704" s="23" t="s">
        <v>414</v>
      </c>
      <c r="C1704" t="s">
        <v>415</v>
      </c>
      <c r="D1704">
        <v>1</v>
      </c>
      <c r="E1704" t="s">
        <v>103</v>
      </c>
      <c r="F1704">
        <v>9</v>
      </c>
      <c r="G1704">
        <v>2020</v>
      </c>
      <c r="I1704" s="16">
        <v>3857.9</v>
      </c>
      <c r="J1704" t="s">
        <v>104</v>
      </c>
      <c r="K1704" t="s">
        <v>53</v>
      </c>
      <c r="L1704" t="s">
        <v>105</v>
      </c>
      <c r="O1704">
        <v>0</v>
      </c>
      <c r="P1704">
        <v>1</v>
      </c>
      <c r="Q1704">
        <v>0</v>
      </c>
      <c r="R1704">
        <v>0</v>
      </c>
      <c r="S1704">
        <v>1</v>
      </c>
      <c r="T1704">
        <v>1</v>
      </c>
      <c r="U1704">
        <v>1</v>
      </c>
      <c r="V1704">
        <v>0</v>
      </c>
      <c r="W1704" t="s">
        <v>106</v>
      </c>
      <c r="AA1704">
        <v>2007</v>
      </c>
      <c r="AB1704">
        <v>9999</v>
      </c>
      <c r="AC1704" t="s">
        <v>35</v>
      </c>
    </row>
    <row r="1705" spans="1:29" x14ac:dyDescent="0.25">
      <c r="A1705" s="31" t="s">
        <v>416</v>
      </c>
      <c r="B1705" s="23" t="s">
        <v>417</v>
      </c>
      <c r="C1705" t="s">
        <v>418</v>
      </c>
      <c r="D1705">
        <v>1</v>
      </c>
      <c r="E1705" t="s">
        <v>218</v>
      </c>
      <c r="F1705">
        <v>2</v>
      </c>
      <c r="G1705">
        <v>2020</v>
      </c>
      <c r="I1705" s="15">
        <v>792.9</v>
      </c>
      <c r="J1705" t="s">
        <v>147</v>
      </c>
      <c r="K1705" t="s">
        <v>47</v>
      </c>
      <c r="O1705">
        <v>0</v>
      </c>
      <c r="P1705">
        <v>0</v>
      </c>
      <c r="Q1705">
        <v>0</v>
      </c>
      <c r="R1705">
        <v>0</v>
      </c>
      <c r="S1705">
        <v>1</v>
      </c>
      <c r="T1705">
        <v>1</v>
      </c>
      <c r="U1705">
        <v>1</v>
      </c>
      <c r="V1705">
        <v>0</v>
      </c>
      <c r="W1705" t="s">
        <v>1574</v>
      </c>
      <c r="AA1705">
        <v>2007</v>
      </c>
      <c r="AB1705">
        <v>9999</v>
      </c>
      <c r="AC1705" t="s">
        <v>35</v>
      </c>
    </row>
    <row r="1706" spans="1:29" x14ac:dyDescent="0.25">
      <c r="A1706" s="31" t="s">
        <v>420</v>
      </c>
      <c r="B1706" s="23" t="s">
        <v>421</v>
      </c>
      <c r="D1706">
        <v>1</v>
      </c>
      <c r="E1706" t="s">
        <v>38</v>
      </c>
      <c r="F1706">
        <v>4</v>
      </c>
      <c r="G1706">
        <v>2020</v>
      </c>
      <c r="H1706" t="s">
        <v>39</v>
      </c>
      <c r="I1706" s="15">
        <v>4.5999999999999996</v>
      </c>
      <c r="J1706" t="s">
        <v>31</v>
      </c>
      <c r="K1706" t="s">
        <v>32</v>
      </c>
      <c r="O1706">
        <v>0</v>
      </c>
      <c r="P1706">
        <v>0</v>
      </c>
      <c r="Q1706">
        <v>0</v>
      </c>
      <c r="R1706">
        <v>0</v>
      </c>
      <c r="S1706">
        <v>0</v>
      </c>
      <c r="T1706">
        <v>1</v>
      </c>
      <c r="U1706">
        <v>0</v>
      </c>
      <c r="V1706">
        <v>0</v>
      </c>
      <c r="W1706" t="s">
        <v>1108</v>
      </c>
      <c r="AA1706">
        <v>2007</v>
      </c>
      <c r="AB1706">
        <v>9999</v>
      </c>
      <c r="AC1706" t="s">
        <v>35</v>
      </c>
    </row>
    <row r="1707" spans="1:29" x14ac:dyDescent="0.25">
      <c r="A1707" s="31" t="s">
        <v>423</v>
      </c>
      <c r="B1707" s="23" t="s">
        <v>424</v>
      </c>
      <c r="D1707">
        <v>1</v>
      </c>
      <c r="E1707" t="s">
        <v>85</v>
      </c>
      <c r="F1707">
        <v>1</v>
      </c>
      <c r="G1707">
        <v>2020</v>
      </c>
      <c r="H1707" t="s">
        <v>303</v>
      </c>
      <c r="I1707" s="15">
        <v>7</v>
      </c>
      <c r="J1707" t="s">
        <v>121</v>
      </c>
      <c r="K1707" t="s">
        <v>53</v>
      </c>
      <c r="L1707" t="s">
        <v>425</v>
      </c>
      <c r="O1707">
        <v>0</v>
      </c>
      <c r="P1707">
        <v>0</v>
      </c>
      <c r="Q1707">
        <v>0</v>
      </c>
      <c r="R1707">
        <v>0</v>
      </c>
      <c r="S1707">
        <v>0</v>
      </c>
      <c r="T1707">
        <v>0</v>
      </c>
      <c r="U1707">
        <v>0</v>
      </c>
      <c r="V1707">
        <v>0</v>
      </c>
      <c r="W1707" t="s">
        <v>426</v>
      </c>
      <c r="AA1707">
        <v>2007</v>
      </c>
      <c r="AB1707">
        <v>9999</v>
      </c>
      <c r="AC1707" t="s">
        <v>35</v>
      </c>
    </row>
    <row r="1708" spans="1:29" x14ac:dyDescent="0.25">
      <c r="A1708" s="31" t="s">
        <v>427</v>
      </c>
      <c r="B1708" s="23" t="s">
        <v>1246</v>
      </c>
      <c r="D1708">
        <v>1</v>
      </c>
      <c r="E1708" t="s">
        <v>45</v>
      </c>
      <c r="F1708">
        <v>4</v>
      </c>
      <c r="G1708">
        <v>2020</v>
      </c>
      <c r="I1708" s="16">
        <v>2067.3000000000002</v>
      </c>
      <c r="J1708" t="s">
        <v>52</v>
      </c>
      <c r="K1708" t="s">
        <v>32</v>
      </c>
      <c r="O1708">
        <v>0</v>
      </c>
      <c r="P1708">
        <v>0</v>
      </c>
      <c r="Q1708">
        <v>0</v>
      </c>
      <c r="R1708">
        <v>0</v>
      </c>
      <c r="S1708">
        <v>1</v>
      </c>
      <c r="T1708">
        <v>1</v>
      </c>
      <c r="U1708">
        <v>1</v>
      </c>
      <c r="V1708">
        <v>0</v>
      </c>
      <c r="W1708" t="s">
        <v>1301</v>
      </c>
      <c r="AA1708">
        <v>2007</v>
      </c>
      <c r="AB1708">
        <v>9999</v>
      </c>
      <c r="AC1708" t="s">
        <v>35</v>
      </c>
    </row>
    <row r="1709" spans="1:29" x14ac:dyDescent="0.25">
      <c r="A1709" s="31" t="s">
        <v>430</v>
      </c>
      <c r="B1709" s="23" t="s">
        <v>431</v>
      </c>
      <c r="D1709">
        <v>1</v>
      </c>
      <c r="E1709" t="s">
        <v>103</v>
      </c>
      <c r="F1709">
        <v>9</v>
      </c>
      <c r="G1709">
        <v>2020</v>
      </c>
      <c r="I1709" s="16">
        <v>3306.7</v>
      </c>
      <c r="J1709" t="s">
        <v>104</v>
      </c>
      <c r="K1709" t="s">
        <v>53</v>
      </c>
      <c r="L1709" t="s">
        <v>105</v>
      </c>
      <c r="O1709">
        <v>0</v>
      </c>
      <c r="P1709">
        <v>1</v>
      </c>
      <c r="Q1709">
        <v>0</v>
      </c>
      <c r="R1709">
        <v>0</v>
      </c>
      <c r="S1709">
        <v>1</v>
      </c>
      <c r="T1709">
        <v>1</v>
      </c>
      <c r="U1709">
        <v>1</v>
      </c>
      <c r="V1709">
        <v>0</v>
      </c>
      <c r="W1709" t="s">
        <v>106</v>
      </c>
      <c r="AA1709">
        <v>2007</v>
      </c>
      <c r="AB1709">
        <v>9999</v>
      </c>
      <c r="AC1709" t="s">
        <v>35</v>
      </c>
    </row>
    <row r="1710" spans="1:29" x14ac:dyDescent="0.25">
      <c r="A1710" s="31" t="s">
        <v>1302</v>
      </c>
      <c r="B1710" s="23" t="s">
        <v>1303</v>
      </c>
      <c r="D1710">
        <v>1</v>
      </c>
      <c r="E1710" t="s">
        <v>103</v>
      </c>
      <c r="F1710">
        <v>9</v>
      </c>
      <c r="G1710">
        <v>2020</v>
      </c>
      <c r="I1710" s="16">
        <v>1808.1</v>
      </c>
      <c r="J1710" t="s">
        <v>104</v>
      </c>
      <c r="K1710" t="s">
        <v>53</v>
      </c>
      <c r="L1710" t="s">
        <v>105</v>
      </c>
      <c r="O1710">
        <v>0</v>
      </c>
      <c r="P1710">
        <v>1</v>
      </c>
      <c r="Q1710">
        <v>0</v>
      </c>
      <c r="R1710">
        <v>0</v>
      </c>
      <c r="S1710">
        <v>1</v>
      </c>
      <c r="T1710">
        <v>1</v>
      </c>
      <c r="U1710">
        <v>1</v>
      </c>
      <c r="V1710">
        <v>0</v>
      </c>
      <c r="W1710" t="s">
        <v>106</v>
      </c>
      <c r="AA1710">
        <v>2010</v>
      </c>
      <c r="AB1710">
        <v>9999</v>
      </c>
      <c r="AC1710" t="s">
        <v>1292</v>
      </c>
    </row>
    <row r="1711" spans="1:29" x14ac:dyDescent="0.25">
      <c r="A1711" s="31" t="s">
        <v>439</v>
      </c>
      <c r="B1711" s="23" t="s">
        <v>440</v>
      </c>
      <c r="C1711" t="s">
        <v>441</v>
      </c>
      <c r="D1711">
        <v>1</v>
      </c>
      <c r="E1711" t="s">
        <v>442</v>
      </c>
      <c r="F1711">
        <v>4</v>
      </c>
      <c r="G1711">
        <v>2020</v>
      </c>
      <c r="I1711" s="15">
        <v>583.6</v>
      </c>
      <c r="J1711" t="s">
        <v>89</v>
      </c>
      <c r="K1711" t="s">
        <v>47</v>
      </c>
      <c r="O1711">
        <v>0</v>
      </c>
      <c r="P1711">
        <v>0</v>
      </c>
      <c r="Q1711">
        <v>0</v>
      </c>
      <c r="R1711">
        <v>0</v>
      </c>
      <c r="S1711">
        <v>1</v>
      </c>
      <c r="T1711">
        <v>1</v>
      </c>
      <c r="U1711">
        <v>1</v>
      </c>
      <c r="V1711">
        <v>0</v>
      </c>
      <c r="W1711" t="s">
        <v>1304</v>
      </c>
      <c r="AA1711">
        <v>2007</v>
      </c>
      <c r="AB1711">
        <v>9999</v>
      </c>
      <c r="AC1711" t="s">
        <v>35</v>
      </c>
    </row>
    <row r="1712" spans="1:29" ht="30" x14ac:dyDescent="0.25">
      <c r="B1712" s="23" t="s">
        <v>444</v>
      </c>
      <c r="C1712" t="s">
        <v>445</v>
      </c>
      <c r="D1712">
        <v>5</v>
      </c>
      <c r="E1712" t="s">
        <v>38</v>
      </c>
      <c r="F1712">
        <v>4</v>
      </c>
      <c r="G1712">
        <v>2020</v>
      </c>
      <c r="I1712" s="8">
        <v>1.54</v>
      </c>
      <c r="J1712" s="2" t="s">
        <v>31</v>
      </c>
      <c r="K1712" t="s">
        <v>41</v>
      </c>
      <c r="O1712">
        <v>0</v>
      </c>
      <c r="P1712">
        <v>0</v>
      </c>
      <c r="Q1712">
        <v>0</v>
      </c>
      <c r="R1712">
        <v>0</v>
      </c>
      <c r="S1712">
        <v>0</v>
      </c>
      <c r="T1712">
        <v>0</v>
      </c>
      <c r="U1712">
        <v>0</v>
      </c>
      <c r="V1712">
        <v>0</v>
      </c>
      <c r="W1712" t="s">
        <v>1114</v>
      </c>
      <c r="AA1712">
        <v>2007</v>
      </c>
      <c r="AB1712">
        <v>9999</v>
      </c>
      <c r="AC1712" t="s">
        <v>35</v>
      </c>
    </row>
    <row r="1713" spans="1:29" x14ac:dyDescent="0.25">
      <c r="A1713" s="31" t="s">
        <v>453</v>
      </c>
      <c r="B1713" s="23" t="s">
        <v>454</v>
      </c>
      <c r="C1713" t="s">
        <v>455</v>
      </c>
      <c r="D1713">
        <v>1</v>
      </c>
      <c r="E1713" t="s">
        <v>456</v>
      </c>
      <c r="F1713">
        <v>4</v>
      </c>
      <c r="G1713">
        <v>2020</v>
      </c>
      <c r="I1713" s="16">
        <v>1095.7</v>
      </c>
      <c r="J1713" t="s">
        <v>1556</v>
      </c>
      <c r="K1713" t="s">
        <v>32</v>
      </c>
      <c r="L1713" t="s">
        <v>33</v>
      </c>
      <c r="O1713">
        <v>0</v>
      </c>
      <c r="P1713">
        <v>0</v>
      </c>
      <c r="Q1713">
        <v>0</v>
      </c>
      <c r="R1713">
        <v>1</v>
      </c>
      <c r="S1713">
        <v>1</v>
      </c>
      <c r="T1713">
        <v>1</v>
      </c>
      <c r="U1713">
        <v>1</v>
      </c>
      <c r="V1713">
        <v>0</v>
      </c>
      <c r="W1713" t="s">
        <v>1360</v>
      </c>
      <c r="AA1713">
        <v>2007</v>
      </c>
      <c r="AB1713">
        <v>9999</v>
      </c>
      <c r="AC1713" t="s">
        <v>35</v>
      </c>
    </row>
    <row r="1714" spans="1:29" x14ac:dyDescent="0.25">
      <c r="A1714" s="31" t="s">
        <v>458</v>
      </c>
      <c r="B1714" s="23" t="s">
        <v>459</v>
      </c>
      <c r="D1714">
        <v>1</v>
      </c>
      <c r="E1714" t="s">
        <v>103</v>
      </c>
      <c r="F1714">
        <v>9</v>
      </c>
      <c r="G1714">
        <v>2020</v>
      </c>
      <c r="I1714" s="16">
        <v>1398.1</v>
      </c>
      <c r="J1714" t="s">
        <v>104</v>
      </c>
      <c r="K1714" t="s">
        <v>53</v>
      </c>
      <c r="L1714" t="s">
        <v>105</v>
      </c>
      <c r="O1714">
        <v>0</v>
      </c>
      <c r="P1714">
        <v>1</v>
      </c>
      <c r="Q1714">
        <v>0</v>
      </c>
      <c r="R1714">
        <v>0</v>
      </c>
      <c r="S1714">
        <v>1</v>
      </c>
      <c r="T1714">
        <v>1</v>
      </c>
      <c r="U1714">
        <v>1</v>
      </c>
      <c r="V1714">
        <v>0</v>
      </c>
      <c r="W1714" t="s">
        <v>106</v>
      </c>
      <c r="AA1714">
        <v>2007</v>
      </c>
      <c r="AB1714">
        <v>9999</v>
      </c>
      <c r="AC1714" t="s">
        <v>35</v>
      </c>
    </row>
    <row r="1715" spans="1:29" x14ac:dyDescent="0.25">
      <c r="A1715" s="31" t="s">
        <v>460</v>
      </c>
      <c r="B1715" s="23" t="s">
        <v>461</v>
      </c>
      <c r="D1715">
        <v>1</v>
      </c>
      <c r="E1715" t="s">
        <v>103</v>
      </c>
      <c r="F1715">
        <v>9</v>
      </c>
      <c r="G1715">
        <v>2020</v>
      </c>
      <c r="I1715" s="16">
        <v>7181.7</v>
      </c>
      <c r="J1715" t="s">
        <v>104</v>
      </c>
      <c r="K1715" t="s">
        <v>53</v>
      </c>
      <c r="L1715" t="s">
        <v>105</v>
      </c>
      <c r="O1715">
        <v>0</v>
      </c>
      <c r="P1715">
        <v>1</v>
      </c>
      <c r="Q1715">
        <v>0</v>
      </c>
      <c r="R1715">
        <v>0</v>
      </c>
      <c r="S1715">
        <v>1</v>
      </c>
      <c r="T1715">
        <v>1</v>
      </c>
      <c r="U1715">
        <v>1</v>
      </c>
      <c r="V1715">
        <v>0</v>
      </c>
      <c r="W1715" t="s">
        <v>106</v>
      </c>
      <c r="AA1715">
        <v>2007</v>
      </c>
      <c r="AB1715">
        <v>9999</v>
      </c>
      <c r="AC1715" t="s">
        <v>35</v>
      </c>
    </row>
    <row r="1716" spans="1:29" x14ac:dyDescent="0.25">
      <c r="A1716" s="31" t="s">
        <v>465</v>
      </c>
      <c r="B1716" s="23" t="s">
        <v>466</v>
      </c>
      <c r="C1716" t="s">
        <v>467</v>
      </c>
      <c r="D1716">
        <v>1</v>
      </c>
      <c r="E1716" t="s">
        <v>468</v>
      </c>
      <c r="F1716">
        <v>7</v>
      </c>
      <c r="G1716">
        <v>2020</v>
      </c>
      <c r="I1716" s="15">
        <v>806.9</v>
      </c>
      <c r="J1716" t="s">
        <v>40</v>
      </c>
      <c r="K1716" t="s">
        <v>32</v>
      </c>
      <c r="O1716">
        <v>0</v>
      </c>
      <c r="P1716">
        <v>0</v>
      </c>
      <c r="Q1716">
        <v>0</v>
      </c>
      <c r="R1716">
        <v>0</v>
      </c>
      <c r="S1716">
        <v>1</v>
      </c>
      <c r="T1716">
        <v>1</v>
      </c>
      <c r="U1716">
        <v>1</v>
      </c>
      <c r="V1716">
        <v>0</v>
      </c>
      <c r="W1716" t="s">
        <v>1119</v>
      </c>
      <c r="AA1716">
        <v>2007</v>
      </c>
      <c r="AB1716">
        <v>9999</v>
      </c>
      <c r="AC1716" t="s">
        <v>35</v>
      </c>
    </row>
    <row r="1717" spans="1:29" x14ac:dyDescent="0.25">
      <c r="A1717" s="31" t="s">
        <v>478</v>
      </c>
      <c r="B1717" s="23" t="s">
        <v>479</v>
      </c>
      <c r="D1717">
        <v>1</v>
      </c>
      <c r="E1717" t="s">
        <v>348</v>
      </c>
      <c r="F1717">
        <v>1</v>
      </c>
      <c r="G1717">
        <v>2020</v>
      </c>
      <c r="I1717" s="15">
        <v>117.5</v>
      </c>
      <c r="J1717" t="s">
        <v>52</v>
      </c>
      <c r="K1717" t="s">
        <v>47</v>
      </c>
      <c r="O1717">
        <v>0</v>
      </c>
      <c r="P1717">
        <v>0</v>
      </c>
      <c r="Q1717">
        <v>0</v>
      </c>
      <c r="R1717">
        <v>0</v>
      </c>
      <c r="S1717">
        <v>1</v>
      </c>
      <c r="T1717">
        <v>1</v>
      </c>
      <c r="U1717">
        <v>1</v>
      </c>
      <c r="V1717">
        <v>0</v>
      </c>
      <c r="W1717" t="s">
        <v>1548</v>
      </c>
      <c r="AA1717">
        <v>2007</v>
      </c>
      <c r="AB1717">
        <v>9999</v>
      </c>
      <c r="AC1717" t="s">
        <v>35</v>
      </c>
    </row>
    <row r="1718" spans="1:29" x14ac:dyDescent="0.25">
      <c r="A1718" s="31" t="s">
        <v>481</v>
      </c>
      <c r="B1718" s="23" t="s">
        <v>482</v>
      </c>
      <c r="D1718">
        <v>1</v>
      </c>
      <c r="E1718" t="s">
        <v>348</v>
      </c>
      <c r="F1718">
        <v>1</v>
      </c>
      <c r="G1718">
        <v>2020</v>
      </c>
      <c r="I1718" s="15">
        <v>241.6</v>
      </c>
      <c r="J1718" t="s">
        <v>52</v>
      </c>
      <c r="K1718" t="s">
        <v>47</v>
      </c>
      <c r="O1718">
        <v>0</v>
      </c>
      <c r="P1718">
        <v>0</v>
      </c>
      <c r="Q1718">
        <v>0</v>
      </c>
      <c r="R1718">
        <v>0</v>
      </c>
      <c r="S1718">
        <v>1</v>
      </c>
      <c r="T1718">
        <v>1</v>
      </c>
      <c r="U1718">
        <v>1</v>
      </c>
      <c r="V1718">
        <v>0</v>
      </c>
      <c r="W1718" t="s">
        <v>1548</v>
      </c>
      <c r="AA1718">
        <v>2007</v>
      </c>
      <c r="AB1718">
        <v>9999</v>
      </c>
      <c r="AC1718" t="s">
        <v>35</v>
      </c>
    </row>
    <row r="1719" spans="1:29" x14ac:dyDescent="0.25">
      <c r="A1719" s="31" t="s">
        <v>483</v>
      </c>
      <c r="B1719" s="23" t="s">
        <v>484</v>
      </c>
      <c r="D1719">
        <v>1</v>
      </c>
      <c r="E1719" t="s">
        <v>348</v>
      </c>
      <c r="F1719">
        <v>1</v>
      </c>
      <c r="G1719">
        <v>2020</v>
      </c>
      <c r="I1719" s="15">
        <v>127.9</v>
      </c>
      <c r="J1719" t="s">
        <v>52</v>
      </c>
      <c r="K1719" t="s">
        <v>47</v>
      </c>
      <c r="O1719">
        <v>0</v>
      </c>
      <c r="P1719">
        <v>0</v>
      </c>
      <c r="Q1719">
        <v>0</v>
      </c>
      <c r="R1719">
        <v>0</v>
      </c>
      <c r="S1719">
        <v>1</v>
      </c>
      <c r="T1719">
        <v>1</v>
      </c>
      <c r="U1719">
        <v>1</v>
      </c>
      <c r="V1719">
        <v>0</v>
      </c>
      <c r="W1719" t="s">
        <v>1548</v>
      </c>
      <c r="AA1719">
        <v>2007</v>
      </c>
      <c r="AB1719">
        <v>9999</v>
      </c>
      <c r="AC1719" t="s">
        <v>35</v>
      </c>
    </row>
    <row r="1720" spans="1:29" x14ac:dyDescent="0.25">
      <c r="A1720" s="31" t="s">
        <v>485</v>
      </c>
      <c r="B1720" s="23" t="s">
        <v>486</v>
      </c>
      <c r="D1720">
        <v>1</v>
      </c>
      <c r="E1720" t="s">
        <v>348</v>
      </c>
      <c r="F1720">
        <v>1</v>
      </c>
      <c r="G1720">
        <v>2020</v>
      </c>
      <c r="I1720" s="15">
        <v>204.1</v>
      </c>
      <c r="J1720" t="s">
        <v>52</v>
      </c>
      <c r="K1720" t="s">
        <v>47</v>
      </c>
      <c r="O1720">
        <v>0</v>
      </c>
      <c r="P1720">
        <v>0</v>
      </c>
      <c r="Q1720">
        <v>0</v>
      </c>
      <c r="R1720">
        <v>0</v>
      </c>
      <c r="S1720">
        <v>1</v>
      </c>
      <c r="T1720">
        <v>1</v>
      </c>
      <c r="U1720">
        <v>1</v>
      </c>
      <c r="V1720">
        <v>0</v>
      </c>
      <c r="W1720" t="s">
        <v>1548</v>
      </c>
      <c r="AA1720">
        <v>2007</v>
      </c>
      <c r="AB1720">
        <v>9999</v>
      </c>
      <c r="AC1720" t="s">
        <v>35</v>
      </c>
    </row>
    <row r="1721" spans="1:29" x14ac:dyDescent="0.25">
      <c r="A1721" s="31" t="s">
        <v>487</v>
      </c>
      <c r="B1721" s="23" t="s">
        <v>488</v>
      </c>
      <c r="D1721">
        <v>1</v>
      </c>
      <c r="E1721" t="s">
        <v>348</v>
      </c>
      <c r="F1721">
        <v>1</v>
      </c>
      <c r="G1721">
        <v>2020</v>
      </c>
      <c r="I1721" s="15">
        <v>180.2</v>
      </c>
      <c r="J1721" t="s">
        <v>52</v>
      </c>
      <c r="K1721" t="s">
        <v>47</v>
      </c>
      <c r="O1721">
        <v>0</v>
      </c>
      <c r="P1721">
        <v>0</v>
      </c>
      <c r="Q1721">
        <v>0</v>
      </c>
      <c r="R1721">
        <v>0</v>
      </c>
      <c r="S1721">
        <v>1</v>
      </c>
      <c r="T1721">
        <v>1</v>
      </c>
      <c r="U1721">
        <v>1</v>
      </c>
      <c r="V1721">
        <v>0</v>
      </c>
      <c r="W1721" t="s">
        <v>1548</v>
      </c>
      <c r="AA1721">
        <v>2007</v>
      </c>
      <c r="AB1721">
        <v>9999</v>
      </c>
      <c r="AC1721" t="s">
        <v>35</v>
      </c>
    </row>
    <row r="1722" spans="1:29" x14ac:dyDescent="0.25">
      <c r="A1722" s="31" t="s">
        <v>489</v>
      </c>
      <c r="B1722" s="23" t="s">
        <v>490</v>
      </c>
      <c r="D1722">
        <v>1</v>
      </c>
      <c r="E1722" t="s">
        <v>348</v>
      </c>
      <c r="F1722">
        <v>1</v>
      </c>
      <c r="G1722">
        <v>2020</v>
      </c>
      <c r="I1722" s="15">
        <v>234.2</v>
      </c>
      <c r="J1722" t="s">
        <v>52</v>
      </c>
      <c r="K1722" t="s">
        <v>47</v>
      </c>
      <c r="O1722">
        <v>0</v>
      </c>
      <c r="P1722">
        <v>0</v>
      </c>
      <c r="Q1722">
        <v>0</v>
      </c>
      <c r="R1722">
        <v>0</v>
      </c>
      <c r="S1722">
        <v>1</v>
      </c>
      <c r="T1722">
        <v>1</v>
      </c>
      <c r="U1722">
        <v>1</v>
      </c>
      <c r="V1722">
        <v>0</v>
      </c>
      <c r="W1722" t="s">
        <v>1548</v>
      </c>
      <c r="AA1722">
        <v>2007</v>
      </c>
      <c r="AB1722">
        <v>9999</v>
      </c>
      <c r="AC1722" t="s">
        <v>35</v>
      </c>
    </row>
    <row r="1723" spans="1:29" x14ac:dyDescent="0.25">
      <c r="A1723" s="31" t="s">
        <v>491</v>
      </c>
      <c r="B1723" s="23" t="s">
        <v>492</v>
      </c>
      <c r="D1723">
        <v>1</v>
      </c>
      <c r="E1723" t="s">
        <v>348</v>
      </c>
      <c r="F1723">
        <v>1</v>
      </c>
      <c r="G1723">
        <v>2020</v>
      </c>
      <c r="I1723" s="15">
        <v>225.5</v>
      </c>
      <c r="J1723" t="s">
        <v>52</v>
      </c>
      <c r="K1723" t="s">
        <v>47</v>
      </c>
      <c r="O1723">
        <v>0</v>
      </c>
      <c r="P1723">
        <v>0</v>
      </c>
      <c r="Q1723">
        <v>0</v>
      </c>
      <c r="R1723">
        <v>0</v>
      </c>
      <c r="S1723">
        <v>1</v>
      </c>
      <c r="T1723">
        <v>1</v>
      </c>
      <c r="U1723">
        <v>1</v>
      </c>
      <c r="V1723">
        <v>0</v>
      </c>
      <c r="W1723" t="s">
        <v>1548</v>
      </c>
      <c r="AA1723">
        <v>2007</v>
      </c>
      <c r="AB1723">
        <v>9999</v>
      </c>
      <c r="AC1723" t="s">
        <v>35</v>
      </c>
    </row>
    <row r="1724" spans="1:29" x14ac:dyDescent="0.25">
      <c r="A1724" s="31" t="s">
        <v>493</v>
      </c>
      <c r="B1724" s="23" t="s">
        <v>494</v>
      </c>
      <c r="D1724">
        <v>1</v>
      </c>
      <c r="E1724" t="s">
        <v>348</v>
      </c>
      <c r="F1724">
        <v>1</v>
      </c>
      <c r="G1724">
        <v>2020</v>
      </c>
      <c r="I1724" s="15">
        <v>233.3</v>
      </c>
      <c r="J1724" t="s">
        <v>52</v>
      </c>
      <c r="K1724" t="s">
        <v>47</v>
      </c>
      <c r="O1724">
        <v>0</v>
      </c>
      <c r="P1724">
        <v>0</v>
      </c>
      <c r="Q1724">
        <v>0</v>
      </c>
      <c r="R1724">
        <v>0</v>
      </c>
      <c r="S1724">
        <v>1</v>
      </c>
      <c r="T1724">
        <v>1</v>
      </c>
      <c r="U1724">
        <v>1</v>
      </c>
      <c r="V1724">
        <v>0</v>
      </c>
      <c r="W1724" t="s">
        <v>1548</v>
      </c>
      <c r="AA1724">
        <v>2007</v>
      </c>
      <c r="AB1724">
        <v>9999</v>
      </c>
      <c r="AC1724" t="s">
        <v>35</v>
      </c>
    </row>
    <row r="1725" spans="1:29" x14ac:dyDescent="0.25">
      <c r="A1725" s="31" t="s">
        <v>495</v>
      </c>
      <c r="B1725" s="23" t="s">
        <v>496</v>
      </c>
      <c r="D1725">
        <v>1</v>
      </c>
      <c r="E1725" t="s">
        <v>348</v>
      </c>
      <c r="F1725">
        <v>1</v>
      </c>
      <c r="G1725">
        <v>2020</v>
      </c>
      <c r="I1725" s="15">
        <v>184.9</v>
      </c>
      <c r="J1725" t="s">
        <v>52</v>
      </c>
      <c r="K1725" t="s">
        <v>47</v>
      </c>
      <c r="O1725">
        <v>0</v>
      </c>
      <c r="P1725">
        <v>0</v>
      </c>
      <c r="Q1725">
        <v>0</v>
      </c>
      <c r="R1725">
        <v>0</v>
      </c>
      <c r="S1725">
        <v>1</v>
      </c>
      <c r="T1725">
        <v>1</v>
      </c>
      <c r="U1725">
        <v>1</v>
      </c>
      <c r="V1725">
        <v>0</v>
      </c>
      <c r="W1725" t="s">
        <v>1548</v>
      </c>
      <c r="AA1725">
        <v>2007</v>
      </c>
      <c r="AB1725">
        <v>9999</v>
      </c>
      <c r="AC1725" t="s">
        <v>35</v>
      </c>
    </row>
    <row r="1726" spans="1:29" x14ac:dyDescent="0.25">
      <c r="A1726" s="31" t="s">
        <v>497</v>
      </c>
      <c r="B1726" s="23" t="s">
        <v>498</v>
      </c>
      <c r="D1726">
        <v>1</v>
      </c>
      <c r="E1726" t="s">
        <v>348</v>
      </c>
      <c r="F1726">
        <v>1</v>
      </c>
      <c r="G1726">
        <v>2020</v>
      </c>
      <c r="I1726" s="15">
        <v>282.60000000000002</v>
      </c>
      <c r="J1726" t="s">
        <v>52</v>
      </c>
      <c r="K1726" t="s">
        <v>47</v>
      </c>
      <c r="O1726">
        <v>0</v>
      </c>
      <c r="P1726">
        <v>0</v>
      </c>
      <c r="Q1726">
        <v>0</v>
      </c>
      <c r="R1726">
        <v>0</v>
      </c>
      <c r="S1726">
        <v>1</v>
      </c>
      <c r="T1726">
        <v>1</v>
      </c>
      <c r="U1726">
        <v>1</v>
      </c>
      <c r="V1726">
        <v>0</v>
      </c>
      <c r="W1726" t="s">
        <v>1548</v>
      </c>
      <c r="AA1726">
        <v>2007</v>
      </c>
      <c r="AB1726">
        <v>9999</v>
      </c>
      <c r="AC1726" t="s">
        <v>35</v>
      </c>
    </row>
    <row r="1727" spans="1:29" x14ac:dyDescent="0.25">
      <c r="A1727" s="31" t="s">
        <v>499</v>
      </c>
      <c r="B1727" s="23" t="s">
        <v>500</v>
      </c>
      <c r="D1727">
        <v>1</v>
      </c>
      <c r="E1727" t="s">
        <v>348</v>
      </c>
      <c r="F1727">
        <v>1</v>
      </c>
      <c r="G1727">
        <v>2020</v>
      </c>
      <c r="I1727" s="15">
        <v>516.29999999999995</v>
      </c>
      <c r="J1727" t="s">
        <v>52</v>
      </c>
      <c r="K1727" t="s">
        <v>47</v>
      </c>
      <c r="O1727">
        <v>0</v>
      </c>
      <c r="P1727">
        <v>0</v>
      </c>
      <c r="Q1727">
        <v>0</v>
      </c>
      <c r="R1727">
        <v>0</v>
      </c>
      <c r="S1727">
        <v>1</v>
      </c>
      <c r="T1727">
        <v>1</v>
      </c>
      <c r="U1727">
        <v>1</v>
      </c>
      <c r="V1727">
        <v>0</v>
      </c>
      <c r="W1727" t="s">
        <v>1548</v>
      </c>
      <c r="AA1727">
        <v>2007</v>
      </c>
      <c r="AB1727">
        <v>9999</v>
      </c>
      <c r="AC1727" t="s">
        <v>35</v>
      </c>
    </row>
    <row r="1728" spans="1:29" x14ac:dyDescent="0.25">
      <c r="A1728" s="31" t="s">
        <v>501</v>
      </c>
      <c r="B1728" s="23" t="s">
        <v>502</v>
      </c>
      <c r="D1728">
        <v>1</v>
      </c>
      <c r="E1728" t="s">
        <v>348</v>
      </c>
      <c r="F1728">
        <v>1</v>
      </c>
      <c r="G1728">
        <v>2020</v>
      </c>
      <c r="I1728" s="15">
        <v>473.1</v>
      </c>
      <c r="J1728" t="s">
        <v>52</v>
      </c>
      <c r="K1728" t="s">
        <v>47</v>
      </c>
      <c r="O1728">
        <v>0</v>
      </c>
      <c r="P1728">
        <v>0</v>
      </c>
      <c r="Q1728">
        <v>0</v>
      </c>
      <c r="R1728">
        <v>0</v>
      </c>
      <c r="S1728">
        <v>1</v>
      </c>
      <c r="T1728">
        <v>1</v>
      </c>
      <c r="U1728">
        <v>1</v>
      </c>
      <c r="V1728">
        <v>0</v>
      </c>
      <c r="W1728" t="s">
        <v>1548</v>
      </c>
      <c r="AA1728">
        <v>2007</v>
      </c>
      <c r="AB1728">
        <v>9999</v>
      </c>
      <c r="AC1728" t="s">
        <v>35</v>
      </c>
    </row>
    <row r="1729" spans="1:29" x14ac:dyDescent="0.25">
      <c r="A1729" s="31" t="s">
        <v>503</v>
      </c>
      <c r="B1729" s="23" t="s">
        <v>504</v>
      </c>
      <c r="D1729">
        <v>1</v>
      </c>
      <c r="E1729" t="s">
        <v>348</v>
      </c>
      <c r="F1729">
        <v>1</v>
      </c>
      <c r="G1729">
        <v>2020</v>
      </c>
      <c r="I1729" s="15">
        <v>169.3</v>
      </c>
      <c r="J1729" t="s">
        <v>52</v>
      </c>
      <c r="K1729" t="s">
        <v>47</v>
      </c>
      <c r="O1729">
        <v>0</v>
      </c>
      <c r="P1729">
        <v>0</v>
      </c>
      <c r="Q1729">
        <v>0</v>
      </c>
      <c r="R1729">
        <v>0</v>
      </c>
      <c r="S1729">
        <v>1</v>
      </c>
      <c r="T1729">
        <v>1</v>
      </c>
      <c r="U1729">
        <v>1</v>
      </c>
      <c r="V1729">
        <v>0</v>
      </c>
      <c r="W1729" t="s">
        <v>1548</v>
      </c>
      <c r="AA1729">
        <v>2007</v>
      </c>
      <c r="AB1729">
        <v>9999</v>
      </c>
      <c r="AC1729" t="s">
        <v>35</v>
      </c>
    </row>
    <row r="1730" spans="1:29" x14ac:dyDescent="0.25">
      <c r="A1730" s="31" t="s">
        <v>505</v>
      </c>
      <c r="B1730" s="23" t="s">
        <v>506</v>
      </c>
      <c r="D1730">
        <v>1</v>
      </c>
      <c r="E1730" t="s">
        <v>348</v>
      </c>
      <c r="F1730">
        <v>1</v>
      </c>
      <c r="G1730">
        <v>2020</v>
      </c>
      <c r="I1730" s="15">
        <v>199.7</v>
      </c>
      <c r="J1730" t="s">
        <v>52</v>
      </c>
      <c r="K1730" t="s">
        <v>47</v>
      </c>
      <c r="O1730">
        <v>0</v>
      </c>
      <c r="P1730">
        <v>0</v>
      </c>
      <c r="Q1730">
        <v>0</v>
      </c>
      <c r="R1730">
        <v>0</v>
      </c>
      <c r="S1730">
        <v>1</v>
      </c>
      <c r="T1730">
        <v>1</v>
      </c>
      <c r="U1730">
        <v>1</v>
      </c>
      <c r="V1730">
        <v>0</v>
      </c>
      <c r="W1730" t="s">
        <v>1548</v>
      </c>
      <c r="AA1730">
        <v>2007</v>
      </c>
      <c r="AB1730">
        <v>9999</v>
      </c>
      <c r="AC1730" t="s">
        <v>35</v>
      </c>
    </row>
    <row r="1731" spans="1:29" x14ac:dyDescent="0.25">
      <c r="A1731" s="31" t="s">
        <v>507</v>
      </c>
      <c r="B1731" s="23" t="s">
        <v>508</v>
      </c>
      <c r="D1731">
        <v>1</v>
      </c>
      <c r="E1731" t="s">
        <v>348</v>
      </c>
      <c r="F1731">
        <v>1</v>
      </c>
      <c r="G1731">
        <v>2020</v>
      </c>
      <c r="I1731" s="15">
        <v>206.3</v>
      </c>
      <c r="J1731" t="s">
        <v>52</v>
      </c>
      <c r="K1731" t="s">
        <v>47</v>
      </c>
      <c r="O1731">
        <v>0</v>
      </c>
      <c r="P1731">
        <v>0</v>
      </c>
      <c r="Q1731">
        <v>0</v>
      </c>
      <c r="R1731">
        <v>0</v>
      </c>
      <c r="S1731">
        <v>1</v>
      </c>
      <c r="T1731">
        <v>1</v>
      </c>
      <c r="U1731">
        <v>1</v>
      </c>
      <c r="V1731">
        <v>0</v>
      </c>
      <c r="W1731" t="s">
        <v>1548</v>
      </c>
      <c r="AA1731">
        <v>2007</v>
      </c>
      <c r="AB1731">
        <v>9999</v>
      </c>
      <c r="AC1731" t="s">
        <v>35</v>
      </c>
    </row>
    <row r="1732" spans="1:29" x14ac:dyDescent="0.25">
      <c r="A1732" s="31" t="s">
        <v>509</v>
      </c>
      <c r="B1732" s="23" t="s">
        <v>510</v>
      </c>
      <c r="D1732">
        <v>1</v>
      </c>
      <c r="E1732" t="s">
        <v>348</v>
      </c>
      <c r="F1732">
        <v>1</v>
      </c>
      <c r="G1732">
        <v>2020</v>
      </c>
      <c r="I1732" s="15">
        <v>258.39999999999998</v>
      </c>
      <c r="J1732" t="s">
        <v>52</v>
      </c>
      <c r="K1732" t="s">
        <v>47</v>
      </c>
      <c r="O1732">
        <v>0</v>
      </c>
      <c r="P1732">
        <v>0</v>
      </c>
      <c r="Q1732">
        <v>0</v>
      </c>
      <c r="R1732">
        <v>0</v>
      </c>
      <c r="S1732">
        <v>1</v>
      </c>
      <c r="T1732">
        <v>1</v>
      </c>
      <c r="U1732">
        <v>1</v>
      </c>
      <c r="V1732">
        <v>0</v>
      </c>
      <c r="W1732" t="s">
        <v>1548</v>
      </c>
      <c r="AA1732">
        <v>2007</v>
      </c>
      <c r="AB1732">
        <v>9999</v>
      </c>
      <c r="AC1732" t="s">
        <v>35</v>
      </c>
    </row>
    <row r="1733" spans="1:29" x14ac:dyDescent="0.25">
      <c r="A1733" s="31" t="s">
        <v>511</v>
      </c>
      <c r="B1733" s="23" t="s">
        <v>512</v>
      </c>
      <c r="D1733">
        <v>1</v>
      </c>
      <c r="E1733" t="s">
        <v>348</v>
      </c>
      <c r="F1733">
        <v>1</v>
      </c>
      <c r="G1733">
        <v>2020</v>
      </c>
      <c r="I1733" s="15">
        <v>215.3</v>
      </c>
      <c r="J1733" t="s">
        <v>52</v>
      </c>
      <c r="K1733" t="s">
        <v>47</v>
      </c>
      <c r="O1733">
        <v>0</v>
      </c>
      <c r="P1733">
        <v>0</v>
      </c>
      <c r="Q1733">
        <v>0</v>
      </c>
      <c r="R1733">
        <v>0</v>
      </c>
      <c r="S1733">
        <v>1</v>
      </c>
      <c r="T1733">
        <v>1</v>
      </c>
      <c r="U1733">
        <v>1</v>
      </c>
      <c r="V1733">
        <v>0</v>
      </c>
      <c r="W1733" t="s">
        <v>1548</v>
      </c>
      <c r="AA1733">
        <v>2007</v>
      </c>
      <c r="AB1733">
        <v>9999</v>
      </c>
      <c r="AC1733" t="s">
        <v>35</v>
      </c>
    </row>
    <row r="1734" spans="1:29" x14ac:dyDescent="0.25">
      <c r="A1734" s="31" t="s">
        <v>513</v>
      </c>
      <c r="B1734" s="23" t="s">
        <v>514</v>
      </c>
      <c r="D1734">
        <v>1</v>
      </c>
      <c r="E1734" t="s">
        <v>348</v>
      </c>
      <c r="F1734">
        <v>1</v>
      </c>
      <c r="G1734">
        <v>2020</v>
      </c>
      <c r="I1734" s="15">
        <v>175.2</v>
      </c>
      <c r="J1734" t="s">
        <v>52</v>
      </c>
      <c r="K1734" t="s">
        <v>47</v>
      </c>
      <c r="O1734">
        <v>0</v>
      </c>
      <c r="P1734">
        <v>0</v>
      </c>
      <c r="Q1734">
        <v>0</v>
      </c>
      <c r="R1734">
        <v>0</v>
      </c>
      <c r="S1734">
        <v>1</v>
      </c>
      <c r="T1734">
        <v>1</v>
      </c>
      <c r="U1734">
        <v>1</v>
      </c>
      <c r="V1734">
        <v>0</v>
      </c>
      <c r="W1734" t="s">
        <v>1548</v>
      </c>
      <c r="AA1734">
        <v>2007</v>
      </c>
      <c r="AB1734">
        <v>9999</v>
      </c>
      <c r="AC1734" t="s">
        <v>35</v>
      </c>
    </row>
    <row r="1735" spans="1:29" x14ac:dyDescent="0.25">
      <c r="A1735" s="31" t="s">
        <v>515</v>
      </c>
      <c r="B1735" s="23" t="s">
        <v>516</v>
      </c>
      <c r="D1735">
        <v>1</v>
      </c>
      <c r="E1735" t="s">
        <v>348</v>
      </c>
      <c r="F1735">
        <v>1</v>
      </c>
      <c r="G1735">
        <v>2020</v>
      </c>
      <c r="I1735" s="15">
        <v>822.5</v>
      </c>
      <c r="J1735" t="s">
        <v>52</v>
      </c>
      <c r="K1735" t="s">
        <v>47</v>
      </c>
      <c r="O1735">
        <v>0</v>
      </c>
      <c r="P1735">
        <v>0</v>
      </c>
      <c r="Q1735">
        <v>0</v>
      </c>
      <c r="R1735">
        <v>0</v>
      </c>
      <c r="S1735">
        <v>1</v>
      </c>
      <c r="T1735">
        <v>1</v>
      </c>
      <c r="U1735">
        <v>1</v>
      </c>
      <c r="V1735">
        <v>0</v>
      </c>
      <c r="W1735" t="s">
        <v>1548</v>
      </c>
      <c r="AA1735">
        <v>2007</v>
      </c>
      <c r="AB1735">
        <v>9999</v>
      </c>
      <c r="AC1735" t="s">
        <v>35</v>
      </c>
    </row>
    <row r="1736" spans="1:29" x14ac:dyDescent="0.25">
      <c r="A1736" s="31" t="s">
        <v>517</v>
      </c>
      <c r="B1736" s="23" t="s">
        <v>518</v>
      </c>
      <c r="D1736">
        <v>1</v>
      </c>
      <c r="E1736" t="s">
        <v>348</v>
      </c>
      <c r="F1736">
        <v>1</v>
      </c>
      <c r="G1736">
        <v>2020</v>
      </c>
      <c r="I1736" s="15">
        <v>190.4</v>
      </c>
      <c r="J1736" t="s">
        <v>52</v>
      </c>
      <c r="K1736" t="s">
        <v>47</v>
      </c>
      <c r="O1736">
        <v>0</v>
      </c>
      <c r="P1736">
        <v>0</v>
      </c>
      <c r="Q1736">
        <v>0</v>
      </c>
      <c r="R1736">
        <v>0</v>
      </c>
      <c r="S1736">
        <v>1</v>
      </c>
      <c r="T1736">
        <v>1</v>
      </c>
      <c r="U1736">
        <v>1</v>
      </c>
      <c r="V1736">
        <v>0</v>
      </c>
      <c r="W1736" t="s">
        <v>1548</v>
      </c>
      <c r="AA1736">
        <v>2007</v>
      </c>
      <c r="AB1736">
        <v>9999</v>
      </c>
      <c r="AC1736" t="s">
        <v>35</v>
      </c>
    </row>
    <row r="1737" spans="1:29" x14ac:dyDescent="0.25">
      <c r="A1737" s="31" t="s">
        <v>519</v>
      </c>
      <c r="B1737" s="23" t="s">
        <v>520</v>
      </c>
      <c r="D1737">
        <v>1</v>
      </c>
      <c r="E1737" t="s">
        <v>348</v>
      </c>
      <c r="F1737">
        <v>1</v>
      </c>
      <c r="G1737">
        <v>2020</v>
      </c>
      <c r="I1737" s="15">
        <v>279.2</v>
      </c>
      <c r="J1737" t="s">
        <v>52</v>
      </c>
      <c r="K1737" t="s">
        <v>47</v>
      </c>
      <c r="O1737">
        <v>0</v>
      </c>
      <c r="P1737">
        <v>0</v>
      </c>
      <c r="Q1737">
        <v>0</v>
      </c>
      <c r="R1737">
        <v>0</v>
      </c>
      <c r="S1737">
        <v>1</v>
      </c>
      <c r="T1737">
        <v>1</v>
      </c>
      <c r="U1737">
        <v>1</v>
      </c>
      <c r="V1737">
        <v>0</v>
      </c>
      <c r="W1737" t="s">
        <v>1548</v>
      </c>
      <c r="AA1737">
        <v>2007</v>
      </c>
      <c r="AB1737">
        <v>9999</v>
      </c>
      <c r="AC1737" t="s">
        <v>35</v>
      </c>
    </row>
    <row r="1738" spans="1:29" x14ac:dyDescent="0.25">
      <c r="A1738" s="31" t="s">
        <v>523</v>
      </c>
      <c r="B1738" s="23" t="s">
        <v>1549</v>
      </c>
      <c r="D1738">
        <v>1</v>
      </c>
      <c r="E1738" t="s">
        <v>103</v>
      </c>
      <c r="F1738">
        <v>9</v>
      </c>
      <c r="G1738">
        <v>2020</v>
      </c>
      <c r="I1738" s="16">
        <v>1524.9</v>
      </c>
      <c r="J1738" t="s">
        <v>104</v>
      </c>
      <c r="K1738" t="s">
        <v>53</v>
      </c>
      <c r="L1738" t="s">
        <v>105</v>
      </c>
      <c r="O1738">
        <v>0</v>
      </c>
      <c r="P1738">
        <v>1</v>
      </c>
      <c r="Q1738">
        <v>0</v>
      </c>
      <c r="R1738">
        <v>0</v>
      </c>
      <c r="S1738">
        <v>1</v>
      </c>
      <c r="T1738">
        <v>1</v>
      </c>
      <c r="U1738">
        <v>1</v>
      </c>
      <c r="V1738">
        <v>0</v>
      </c>
      <c r="W1738" t="s">
        <v>106</v>
      </c>
      <c r="AA1738">
        <v>2007</v>
      </c>
      <c r="AB1738">
        <v>9999</v>
      </c>
      <c r="AC1738" t="s">
        <v>35</v>
      </c>
    </row>
    <row r="1739" spans="1:29" x14ac:dyDescent="0.25">
      <c r="A1739" s="31" t="s">
        <v>529</v>
      </c>
      <c r="B1739" s="23" t="s">
        <v>530</v>
      </c>
      <c r="D1739">
        <v>1</v>
      </c>
      <c r="E1739" t="s">
        <v>58</v>
      </c>
      <c r="F1739">
        <v>4</v>
      </c>
      <c r="G1739">
        <v>2020</v>
      </c>
      <c r="I1739" s="15">
        <v>9</v>
      </c>
      <c r="J1739" t="s">
        <v>59</v>
      </c>
      <c r="K1739" t="s">
        <v>47</v>
      </c>
      <c r="O1739">
        <v>0</v>
      </c>
      <c r="P1739">
        <v>0</v>
      </c>
      <c r="Q1739">
        <v>0</v>
      </c>
      <c r="R1739">
        <v>0</v>
      </c>
      <c r="S1739">
        <v>1</v>
      </c>
      <c r="T1739">
        <v>1</v>
      </c>
      <c r="U1739">
        <v>1</v>
      </c>
      <c r="V1739">
        <v>0</v>
      </c>
      <c r="W1739" t="s">
        <v>1121</v>
      </c>
      <c r="AA1739">
        <v>2007</v>
      </c>
      <c r="AB1739">
        <v>9999</v>
      </c>
      <c r="AC1739" t="s">
        <v>35</v>
      </c>
    </row>
    <row r="1740" spans="1:29" x14ac:dyDescent="0.25">
      <c r="A1740" s="31" t="s">
        <v>532</v>
      </c>
      <c r="B1740" s="23" t="s">
        <v>533</v>
      </c>
      <c r="D1740">
        <v>1</v>
      </c>
      <c r="E1740" t="s">
        <v>534</v>
      </c>
      <c r="F1740">
        <v>10</v>
      </c>
      <c r="G1740">
        <v>2020</v>
      </c>
      <c r="I1740" s="16">
        <v>5106.6000000000004</v>
      </c>
      <c r="J1740" t="s">
        <v>121</v>
      </c>
      <c r="K1740" t="s">
        <v>47</v>
      </c>
      <c r="O1740">
        <v>0</v>
      </c>
      <c r="P1740">
        <v>0</v>
      </c>
      <c r="Q1740">
        <v>0</v>
      </c>
      <c r="R1740">
        <v>0</v>
      </c>
      <c r="S1740">
        <v>1</v>
      </c>
      <c r="T1740">
        <v>1</v>
      </c>
      <c r="U1740">
        <v>1</v>
      </c>
      <c r="V1740">
        <v>0</v>
      </c>
      <c r="W1740" t="s">
        <v>1575</v>
      </c>
      <c r="AA1740">
        <v>2007</v>
      </c>
      <c r="AB1740">
        <v>9999</v>
      </c>
      <c r="AC1740" t="s">
        <v>35</v>
      </c>
    </row>
    <row r="1741" spans="1:29" x14ac:dyDescent="0.25">
      <c r="A1741" s="31" t="s">
        <v>536</v>
      </c>
      <c r="B1741" s="23" t="s">
        <v>537</v>
      </c>
      <c r="D1741">
        <v>1</v>
      </c>
      <c r="E1741" t="s">
        <v>103</v>
      </c>
      <c r="F1741">
        <v>9</v>
      </c>
      <c r="G1741">
        <v>2020</v>
      </c>
      <c r="I1741" s="15">
        <v>914.5</v>
      </c>
      <c r="J1741" t="s">
        <v>104</v>
      </c>
      <c r="K1741" t="s">
        <v>53</v>
      </c>
      <c r="L1741" t="s">
        <v>105</v>
      </c>
      <c r="O1741">
        <v>0</v>
      </c>
      <c r="P1741">
        <v>1</v>
      </c>
      <c r="Q1741">
        <v>0</v>
      </c>
      <c r="R1741">
        <v>0</v>
      </c>
      <c r="S1741">
        <v>1</v>
      </c>
      <c r="T1741">
        <v>1</v>
      </c>
      <c r="U1741">
        <v>1</v>
      </c>
      <c r="V1741">
        <v>0</v>
      </c>
      <c r="W1741" t="s">
        <v>106</v>
      </c>
      <c r="AA1741">
        <v>2007</v>
      </c>
      <c r="AB1741">
        <v>9999</v>
      </c>
      <c r="AC1741" t="s">
        <v>35</v>
      </c>
    </row>
    <row r="1742" spans="1:29" x14ac:dyDescent="0.25">
      <c r="A1742" s="31" t="s">
        <v>538</v>
      </c>
      <c r="B1742" s="23" t="s">
        <v>539</v>
      </c>
      <c r="D1742">
        <v>1</v>
      </c>
      <c r="E1742" t="s">
        <v>80</v>
      </c>
      <c r="F1742">
        <v>8</v>
      </c>
      <c r="G1742">
        <v>2020</v>
      </c>
      <c r="I1742" s="15">
        <v>129.6</v>
      </c>
      <c r="J1742" t="s">
        <v>81</v>
      </c>
      <c r="K1742" t="s">
        <v>47</v>
      </c>
      <c r="O1742">
        <v>0</v>
      </c>
      <c r="P1742">
        <v>0</v>
      </c>
      <c r="Q1742">
        <v>0</v>
      </c>
      <c r="R1742">
        <v>0</v>
      </c>
      <c r="S1742">
        <v>1</v>
      </c>
      <c r="T1742">
        <v>1</v>
      </c>
      <c r="U1742">
        <v>1</v>
      </c>
      <c r="V1742">
        <v>0</v>
      </c>
      <c r="W1742" t="s">
        <v>1123</v>
      </c>
      <c r="AA1742">
        <v>2007</v>
      </c>
      <c r="AB1742">
        <v>9999</v>
      </c>
      <c r="AC1742" t="s">
        <v>35</v>
      </c>
    </row>
    <row r="1743" spans="1:29" x14ac:dyDescent="0.25">
      <c r="A1743" s="31" t="s">
        <v>1561</v>
      </c>
      <c r="B1743" s="23" t="s">
        <v>1562</v>
      </c>
      <c r="C1743" t="s">
        <v>1563</v>
      </c>
      <c r="D1743">
        <v>1</v>
      </c>
      <c r="F1743">
        <v>4</v>
      </c>
      <c r="G1743">
        <v>2020</v>
      </c>
      <c r="I1743" s="15">
        <v>13.5</v>
      </c>
      <c r="J1743" t="s">
        <v>59</v>
      </c>
      <c r="K1743" t="s">
        <v>47</v>
      </c>
      <c r="O1743">
        <v>0</v>
      </c>
      <c r="P1743">
        <v>0</v>
      </c>
      <c r="Q1743">
        <v>0</v>
      </c>
      <c r="R1743">
        <v>0</v>
      </c>
      <c r="S1743">
        <v>1</v>
      </c>
      <c r="T1743">
        <v>1</v>
      </c>
      <c r="U1743">
        <v>1</v>
      </c>
      <c r="V1743">
        <v>0</v>
      </c>
      <c r="W1743" t="s">
        <v>1564</v>
      </c>
      <c r="AA1743">
        <v>2019</v>
      </c>
      <c r="AB1743">
        <v>9999</v>
      </c>
      <c r="AC1743" t="s">
        <v>1560</v>
      </c>
    </row>
    <row r="1744" spans="1:29" x14ac:dyDescent="0.25">
      <c r="A1744" s="31" t="s">
        <v>541</v>
      </c>
      <c r="B1744" s="23" t="s">
        <v>1479</v>
      </c>
      <c r="D1744">
        <v>1</v>
      </c>
      <c r="E1744" t="s">
        <v>543</v>
      </c>
      <c r="F1744">
        <v>10</v>
      </c>
      <c r="G1744">
        <v>2020</v>
      </c>
      <c r="I1744" s="15">
        <v>44.6</v>
      </c>
      <c r="J1744" t="s">
        <v>40</v>
      </c>
      <c r="K1744" t="s">
        <v>47</v>
      </c>
      <c r="O1744">
        <v>0</v>
      </c>
      <c r="P1744">
        <v>0</v>
      </c>
      <c r="Q1744">
        <v>0</v>
      </c>
      <c r="R1744">
        <v>0</v>
      </c>
      <c r="S1744">
        <v>1</v>
      </c>
      <c r="T1744">
        <v>1</v>
      </c>
      <c r="U1744">
        <v>1</v>
      </c>
      <c r="V1744">
        <v>0</v>
      </c>
      <c r="W1744" t="s">
        <v>1480</v>
      </c>
      <c r="AA1744">
        <v>2007</v>
      </c>
      <c r="AB1744">
        <v>9999</v>
      </c>
      <c r="AC1744" t="s">
        <v>35</v>
      </c>
    </row>
    <row r="1745" spans="1:29" x14ac:dyDescent="0.25">
      <c r="A1745" s="31" t="s">
        <v>1565</v>
      </c>
      <c r="B1745" s="23" t="s">
        <v>1566</v>
      </c>
      <c r="C1745" t="s">
        <v>1567</v>
      </c>
      <c r="D1745">
        <v>1</v>
      </c>
      <c r="F1745">
        <v>1</v>
      </c>
      <c r="G1745">
        <v>2020</v>
      </c>
      <c r="I1745" s="15">
        <v>50.9</v>
      </c>
      <c r="J1745" t="s">
        <v>1556</v>
      </c>
      <c r="K1745" t="s">
        <v>47</v>
      </c>
      <c r="O1745">
        <v>0</v>
      </c>
      <c r="P1745">
        <v>0</v>
      </c>
      <c r="Q1745">
        <v>0</v>
      </c>
      <c r="R1745">
        <v>0</v>
      </c>
      <c r="S1745">
        <v>1</v>
      </c>
      <c r="T1745">
        <v>1</v>
      </c>
      <c r="U1745">
        <v>1</v>
      </c>
      <c r="V1745">
        <v>0</v>
      </c>
      <c r="W1745" t="s">
        <v>1568</v>
      </c>
      <c r="AA1745">
        <v>2019</v>
      </c>
      <c r="AB1745">
        <v>9999</v>
      </c>
      <c r="AC1745" t="s">
        <v>1560</v>
      </c>
    </row>
    <row r="1746" spans="1:29" x14ac:dyDescent="0.25">
      <c r="A1746" s="31" t="s">
        <v>545</v>
      </c>
      <c r="B1746" s="23" t="s">
        <v>1481</v>
      </c>
      <c r="C1746" t="s">
        <v>1482</v>
      </c>
      <c r="D1746">
        <v>1</v>
      </c>
      <c r="E1746" t="s">
        <v>1361</v>
      </c>
      <c r="F1746">
        <v>10</v>
      </c>
      <c r="G1746">
        <v>2020</v>
      </c>
      <c r="I1746" s="15">
        <v>19.3</v>
      </c>
      <c r="J1746" t="s">
        <v>40</v>
      </c>
      <c r="K1746" t="s">
        <v>47</v>
      </c>
      <c r="O1746">
        <v>0</v>
      </c>
      <c r="P1746">
        <v>0</v>
      </c>
      <c r="Q1746">
        <v>0</v>
      </c>
      <c r="R1746">
        <v>0</v>
      </c>
      <c r="S1746">
        <v>1</v>
      </c>
      <c r="T1746">
        <v>1</v>
      </c>
      <c r="U1746">
        <v>1</v>
      </c>
      <c r="V1746">
        <v>0</v>
      </c>
      <c r="W1746" t="s">
        <v>1550</v>
      </c>
      <c r="AA1746">
        <v>2007</v>
      </c>
      <c r="AB1746">
        <v>9999</v>
      </c>
      <c r="AC1746" t="s">
        <v>35</v>
      </c>
    </row>
    <row r="1747" spans="1:29" x14ac:dyDescent="0.25">
      <c r="A1747" s="31" t="s">
        <v>1400</v>
      </c>
      <c r="B1747" s="25" t="s">
        <v>1401</v>
      </c>
      <c r="D1747">
        <v>1</v>
      </c>
      <c r="E1747" t="s">
        <v>80</v>
      </c>
      <c r="F1747">
        <v>8</v>
      </c>
      <c r="G1747">
        <v>2020</v>
      </c>
      <c r="I1747" s="15">
        <v>11.1</v>
      </c>
      <c r="J1747" t="s">
        <v>81</v>
      </c>
      <c r="K1747" t="s">
        <v>47</v>
      </c>
      <c r="O1747">
        <v>0</v>
      </c>
      <c r="P1747">
        <v>0</v>
      </c>
      <c r="Q1747">
        <v>0</v>
      </c>
      <c r="R1747">
        <v>0</v>
      </c>
      <c r="S1747">
        <v>1</v>
      </c>
      <c r="T1747">
        <v>1</v>
      </c>
      <c r="U1747">
        <v>1</v>
      </c>
      <c r="V1747">
        <v>0</v>
      </c>
      <c r="W1747" t="s">
        <v>1402</v>
      </c>
      <c r="AA1747">
        <v>2012</v>
      </c>
      <c r="AB1747">
        <v>9999</v>
      </c>
      <c r="AC1747" t="s">
        <v>1398</v>
      </c>
    </row>
    <row r="1748" spans="1:29" x14ac:dyDescent="0.25">
      <c r="A1748" s="31" t="s">
        <v>1362</v>
      </c>
      <c r="B1748" s="23" t="s">
        <v>1483</v>
      </c>
      <c r="D1748">
        <v>1</v>
      </c>
      <c r="E1748" t="s">
        <v>631</v>
      </c>
      <c r="F1748">
        <v>8</v>
      </c>
      <c r="G1748">
        <v>2020</v>
      </c>
      <c r="I1748" s="15">
        <v>36.1</v>
      </c>
      <c r="J1748" t="s">
        <v>81</v>
      </c>
      <c r="K1748" t="s">
        <v>47</v>
      </c>
      <c r="O1748">
        <v>0</v>
      </c>
      <c r="P1748">
        <v>0</v>
      </c>
      <c r="Q1748">
        <v>0</v>
      </c>
      <c r="R1748">
        <v>0</v>
      </c>
      <c r="S1748">
        <v>1</v>
      </c>
      <c r="T1748">
        <v>1</v>
      </c>
      <c r="U1748">
        <v>1</v>
      </c>
      <c r="V1748">
        <v>0</v>
      </c>
      <c r="W1748" t="s">
        <v>1364</v>
      </c>
      <c r="AA1748">
        <v>2011</v>
      </c>
      <c r="AB1748">
        <v>9999</v>
      </c>
      <c r="AC1748" t="s">
        <v>1365</v>
      </c>
    </row>
    <row r="1749" spans="1:29" x14ac:dyDescent="0.25">
      <c r="A1749" s="31" t="s">
        <v>1248</v>
      </c>
      <c r="B1749" s="23" t="s">
        <v>1249</v>
      </c>
      <c r="C1749" t="s">
        <v>1250</v>
      </c>
      <c r="D1749">
        <v>1</v>
      </c>
      <c r="E1749" t="s">
        <v>1251</v>
      </c>
      <c r="F1749">
        <v>2</v>
      </c>
      <c r="G1749">
        <v>2020</v>
      </c>
      <c r="I1749" s="16">
        <v>1183.3</v>
      </c>
      <c r="J1749" t="s">
        <v>121</v>
      </c>
      <c r="K1749" t="s">
        <v>47</v>
      </c>
      <c r="O1749">
        <v>0</v>
      </c>
      <c r="P1749">
        <v>0</v>
      </c>
      <c r="Q1749">
        <v>0</v>
      </c>
      <c r="R1749">
        <v>0</v>
      </c>
      <c r="S1749">
        <v>1</v>
      </c>
      <c r="T1749">
        <v>1</v>
      </c>
      <c r="U1749">
        <v>1</v>
      </c>
      <c r="V1749">
        <v>0</v>
      </c>
      <c r="W1749" t="s">
        <v>1252</v>
      </c>
      <c r="AA1749">
        <v>2009</v>
      </c>
      <c r="AB1749">
        <v>9999</v>
      </c>
      <c r="AC1749" t="s">
        <v>1239</v>
      </c>
    </row>
    <row r="1750" spans="1:29" x14ac:dyDescent="0.25">
      <c r="A1750" s="31" t="s">
        <v>590</v>
      </c>
      <c r="B1750" s="23" t="s">
        <v>1551</v>
      </c>
      <c r="C1750" t="s">
        <v>1552</v>
      </c>
      <c r="D1750">
        <v>1</v>
      </c>
      <c r="E1750" t="s">
        <v>592</v>
      </c>
      <c r="F1750">
        <v>8</v>
      </c>
      <c r="G1750">
        <v>2020</v>
      </c>
      <c r="I1750" s="15">
        <v>8.6999999999999993</v>
      </c>
      <c r="J1750" t="s">
        <v>81</v>
      </c>
      <c r="K1750" t="s">
        <v>47</v>
      </c>
      <c r="O1750">
        <v>0</v>
      </c>
      <c r="P1750">
        <v>0</v>
      </c>
      <c r="Q1750">
        <v>0</v>
      </c>
      <c r="R1750">
        <v>0</v>
      </c>
      <c r="S1750">
        <v>1</v>
      </c>
      <c r="T1750">
        <v>1</v>
      </c>
      <c r="U1750">
        <v>1</v>
      </c>
      <c r="V1750">
        <v>0</v>
      </c>
      <c r="W1750" t="s">
        <v>1553</v>
      </c>
      <c r="AA1750">
        <v>2007</v>
      </c>
      <c r="AB1750">
        <v>9999</v>
      </c>
      <c r="AC1750" t="s">
        <v>35</v>
      </c>
    </row>
    <row r="1751" spans="1:29" x14ac:dyDescent="0.25">
      <c r="A1751" s="31" t="s">
        <v>939</v>
      </c>
      <c r="B1751" s="23" t="s">
        <v>1463</v>
      </c>
      <c r="D1751">
        <v>1</v>
      </c>
      <c r="E1751" t="s">
        <v>80</v>
      </c>
      <c r="F1751">
        <v>8</v>
      </c>
      <c r="G1751">
        <v>2020</v>
      </c>
      <c r="I1751" s="15">
        <v>66.2</v>
      </c>
      <c r="J1751" t="s">
        <v>81</v>
      </c>
      <c r="K1751" t="s">
        <v>47</v>
      </c>
      <c r="O1751">
        <v>0</v>
      </c>
      <c r="P1751">
        <v>0</v>
      </c>
      <c r="Q1751">
        <v>0</v>
      </c>
      <c r="R1751">
        <v>0</v>
      </c>
      <c r="S1751">
        <v>1</v>
      </c>
      <c r="T1751">
        <v>1</v>
      </c>
      <c r="U1751">
        <v>1</v>
      </c>
      <c r="V1751">
        <v>0</v>
      </c>
      <c r="W1751" t="s">
        <v>1464</v>
      </c>
      <c r="AA1751">
        <v>2007</v>
      </c>
      <c r="AB1751">
        <v>9999</v>
      </c>
      <c r="AC1751" t="s">
        <v>35</v>
      </c>
    </row>
    <row r="1752" spans="1:29" ht="30" x14ac:dyDescent="0.25">
      <c r="A1752" s="31" t="s">
        <v>1305</v>
      </c>
      <c r="B1752" s="23" t="s">
        <v>1306</v>
      </c>
      <c r="C1752" t="s">
        <v>1307</v>
      </c>
      <c r="D1752">
        <v>1</v>
      </c>
      <c r="E1752" t="s">
        <v>45</v>
      </c>
      <c r="F1752">
        <v>4</v>
      </c>
      <c r="G1752">
        <v>2020</v>
      </c>
      <c r="I1752" s="15">
        <v>38.700000000000003</v>
      </c>
      <c r="J1752" t="s">
        <v>89</v>
      </c>
      <c r="K1752" t="s">
        <v>47</v>
      </c>
      <c r="O1752">
        <v>0</v>
      </c>
      <c r="P1752">
        <v>0</v>
      </c>
      <c r="Q1752">
        <v>0</v>
      </c>
      <c r="R1752">
        <v>0</v>
      </c>
      <c r="S1752">
        <v>1</v>
      </c>
      <c r="T1752">
        <v>1</v>
      </c>
      <c r="U1752">
        <v>1</v>
      </c>
      <c r="V1752">
        <v>0</v>
      </c>
      <c r="W1752" t="s">
        <v>1526</v>
      </c>
      <c r="AA1752">
        <v>2010</v>
      </c>
      <c r="AB1752">
        <v>9999</v>
      </c>
      <c r="AC1752" t="s">
        <v>1292</v>
      </c>
    </row>
    <row r="1753" spans="1:29" x14ac:dyDescent="0.25">
      <c r="A1753" s="31" t="s">
        <v>964</v>
      </c>
      <c r="B1753" s="23" t="s">
        <v>1484</v>
      </c>
      <c r="C1753" t="s">
        <v>1485</v>
      </c>
      <c r="D1753">
        <v>1</v>
      </c>
      <c r="E1753" t="s">
        <v>80</v>
      </c>
      <c r="F1753">
        <v>8</v>
      </c>
      <c r="G1753">
        <v>2020</v>
      </c>
      <c r="I1753" s="15">
        <v>79.2</v>
      </c>
      <c r="J1753" t="s">
        <v>81</v>
      </c>
      <c r="K1753" t="s">
        <v>47</v>
      </c>
      <c r="O1753">
        <v>0</v>
      </c>
      <c r="P1753">
        <v>0</v>
      </c>
      <c r="Q1753">
        <v>0</v>
      </c>
      <c r="R1753">
        <v>0</v>
      </c>
      <c r="S1753">
        <v>1</v>
      </c>
      <c r="T1753">
        <v>1</v>
      </c>
      <c r="U1753">
        <v>1</v>
      </c>
      <c r="V1753">
        <v>0</v>
      </c>
      <c r="W1753" t="s">
        <v>1569</v>
      </c>
      <c r="AA1753">
        <v>2007</v>
      </c>
      <c r="AB1753">
        <v>9999</v>
      </c>
      <c r="AC1753" t="s">
        <v>35</v>
      </c>
    </row>
    <row r="1754" spans="1:29" x14ac:dyDescent="0.25">
      <c r="A1754" s="31" t="s">
        <v>1366</v>
      </c>
      <c r="B1754" s="23" t="s">
        <v>1487</v>
      </c>
      <c r="C1754" t="s">
        <v>1368</v>
      </c>
      <c r="D1754">
        <v>1</v>
      </c>
      <c r="E1754" t="s">
        <v>468</v>
      </c>
      <c r="F1754">
        <v>7</v>
      </c>
      <c r="G1754">
        <v>2020</v>
      </c>
      <c r="I1754" s="15">
        <v>41.1</v>
      </c>
      <c r="J1754" t="s">
        <v>40</v>
      </c>
      <c r="K1754" t="s">
        <v>32</v>
      </c>
      <c r="O1754">
        <v>0</v>
      </c>
      <c r="P1754">
        <v>0</v>
      </c>
      <c r="Q1754">
        <v>0</v>
      </c>
      <c r="R1754">
        <v>0</v>
      </c>
      <c r="S1754">
        <v>1</v>
      </c>
      <c r="T1754">
        <v>1</v>
      </c>
      <c r="U1754">
        <v>1</v>
      </c>
      <c r="V1754">
        <v>0</v>
      </c>
      <c r="W1754" t="s">
        <v>1369</v>
      </c>
      <c r="AA1754">
        <v>2011</v>
      </c>
      <c r="AB1754">
        <v>9999</v>
      </c>
      <c r="AC1754" t="s">
        <v>1365</v>
      </c>
    </row>
    <row r="1755" spans="1:29" x14ac:dyDescent="0.25">
      <c r="A1755" s="31" t="s">
        <v>1309</v>
      </c>
      <c r="B1755" s="23" t="s">
        <v>1310</v>
      </c>
      <c r="C1755" t="s">
        <v>1311</v>
      </c>
      <c r="D1755">
        <v>1</v>
      </c>
      <c r="E1755" t="s">
        <v>1312</v>
      </c>
      <c r="F1755">
        <v>9</v>
      </c>
      <c r="G1755">
        <v>2020</v>
      </c>
      <c r="I1755" s="15">
        <v>107.7</v>
      </c>
      <c r="J1755" t="s">
        <v>104</v>
      </c>
      <c r="K1755" t="s">
        <v>47</v>
      </c>
      <c r="O1755">
        <v>0</v>
      </c>
      <c r="P1755">
        <v>0</v>
      </c>
      <c r="Q1755">
        <v>0</v>
      </c>
      <c r="R1755">
        <v>0</v>
      </c>
      <c r="S1755">
        <v>1</v>
      </c>
      <c r="T1755">
        <v>1</v>
      </c>
      <c r="U1755">
        <v>1</v>
      </c>
      <c r="V1755">
        <v>0</v>
      </c>
      <c r="W1755" t="s">
        <v>1404</v>
      </c>
      <c r="AA1755">
        <v>2010</v>
      </c>
      <c r="AB1755">
        <v>9999</v>
      </c>
      <c r="AC1755" t="s">
        <v>1292</v>
      </c>
    </row>
    <row r="1756" spans="1:29" x14ac:dyDescent="0.25">
      <c r="A1756" s="31" t="s">
        <v>559</v>
      </c>
      <c r="B1756" s="23" t="s">
        <v>560</v>
      </c>
      <c r="C1756" t="s">
        <v>561</v>
      </c>
      <c r="D1756">
        <v>1</v>
      </c>
      <c r="E1756" t="s">
        <v>103</v>
      </c>
      <c r="F1756">
        <v>9</v>
      </c>
      <c r="G1756">
        <v>2020</v>
      </c>
      <c r="I1756" s="15">
        <v>915.5</v>
      </c>
      <c r="J1756" t="s">
        <v>104</v>
      </c>
      <c r="K1756" t="s">
        <v>53</v>
      </c>
      <c r="L1756" t="s">
        <v>105</v>
      </c>
      <c r="O1756">
        <v>0</v>
      </c>
      <c r="P1756">
        <v>1</v>
      </c>
      <c r="Q1756">
        <v>0</v>
      </c>
      <c r="R1756">
        <v>0</v>
      </c>
      <c r="S1756">
        <v>1</v>
      </c>
      <c r="T1756">
        <v>1</v>
      </c>
      <c r="U1756">
        <v>1</v>
      </c>
      <c r="V1756">
        <v>0</v>
      </c>
      <c r="W1756" t="s">
        <v>106</v>
      </c>
      <c r="AA1756">
        <v>2007</v>
      </c>
      <c r="AB1756">
        <v>9999</v>
      </c>
      <c r="AC1756" t="s">
        <v>35</v>
      </c>
    </row>
    <row r="1757" spans="1:29" x14ac:dyDescent="0.25">
      <c r="A1757" s="31" t="s">
        <v>562</v>
      </c>
      <c r="B1757" s="23" t="s">
        <v>1554</v>
      </c>
      <c r="D1757">
        <v>1</v>
      </c>
      <c r="E1757" t="s">
        <v>80</v>
      </c>
      <c r="F1757">
        <v>8</v>
      </c>
      <c r="G1757">
        <v>2020</v>
      </c>
      <c r="I1757" s="15">
        <v>131.30000000000001</v>
      </c>
      <c r="J1757" t="s">
        <v>81</v>
      </c>
      <c r="K1757" t="s">
        <v>47</v>
      </c>
      <c r="O1757">
        <v>0</v>
      </c>
      <c r="P1757">
        <v>0</v>
      </c>
      <c r="Q1757">
        <v>0</v>
      </c>
      <c r="R1757">
        <v>0</v>
      </c>
      <c r="S1757">
        <v>1</v>
      </c>
      <c r="T1757">
        <v>1</v>
      </c>
      <c r="U1757">
        <v>1</v>
      </c>
      <c r="V1757">
        <v>0</v>
      </c>
      <c r="W1757" t="s">
        <v>1128</v>
      </c>
      <c r="AA1757">
        <v>2007</v>
      </c>
      <c r="AB1757">
        <v>9999</v>
      </c>
      <c r="AC1757" t="s">
        <v>35</v>
      </c>
    </row>
    <row r="1758" spans="1:29" x14ac:dyDescent="0.25">
      <c r="A1758" s="31" t="s">
        <v>568</v>
      </c>
      <c r="B1758" s="23" t="s">
        <v>569</v>
      </c>
      <c r="D1758">
        <v>1</v>
      </c>
      <c r="E1758" t="s">
        <v>80</v>
      </c>
      <c r="F1758">
        <v>8</v>
      </c>
      <c r="G1758">
        <v>2020</v>
      </c>
      <c r="I1758" s="15">
        <v>223.5</v>
      </c>
      <c r="J1758" t="s">
        <v>81</v>
      </c>
      <c r="K1758" t="s">
        <v>47</v>
      </c>
      <c r="O1758">
        <v>0</v>
      </c>
      <c r="P1758">
        <v>0</v>
      </c>
      <c r="Q1758">
        <v>0</v>
      </c>
      <c r="R1758">
        <v>0</v>
      </c>
      <c r="S1758">
        <v>1</v>
      </c>
      <c r="T1758">
        <v>1</v>
      </c>
      <c r="U1758">
        <v>1</v>
      </c>
      <c r="V1758">
        <v>0</v>
      </c>
      <c r="W1758" t="s">
        <v>1129</v>
      </c>
      <c r="AA1758">
        <v>2007</v>
      </c>
      <c r="AB1758">
        <v>9999</v>
      </c>
      <c r="AC1758" t="s">
        <v>35</v>
      </c>
    </row>
    <row r="1759" spans="1:29" x14ac:dyDescent="0.25">
      <c r="A1759" s="31" t="s">
        <v>571</v>
      </c>
      <c r="B1759" s="23" t="s">
        <v>572</v>
      </c>
      <c r="D1759">
        <v>1</v>
      </c>
      <c r="E1759" t="s">
        <v>370</v>
      </c>
      <c r="F1759">
        <v>5</v>
      </c>
      <c r="G1759">
        <v>2020</v>
      </c>
      <c r="I1759" s="15">
        <v>576.79999999999995</v>
      </c>
      <c r="J1759" t="s">
        <v>31</v>
      </c>
      <c r="K1759" t="s">
        <v>47</v>
      </c>
      <c r="O1759">
        <v>0</v>
      </c>
      <c r="P1759">
        <v>0</v>
      </c>
      <c r="Q1759">
        <v>0</v>
      </c>
      <c r="R1759">
        <v>0</v>
      </c>
      <c r="S1759">
        <v>1</v>
      </c>
      <c r="T1759">
        <v>1</v>
      </c>
      <c r="U1759">
        <v>1</v>
      </c>
      <c r="V1759">
        <v>0</v>
      </c>
      <c r="W1759" t="s">
        <v>1430</v>
      </c>
      <c r="AA1759">
        <v>2007</v>
      </c>
      <c r="AB1759">
        <v>9999</v>
      </c>
      <c r="AC1759" t="s">
        <v>35</v>
      </c>
    </row>
    <row r="1760" spans="1:29" x14ac:dyDescent="0.25">
      <c r="A1760" s="31" t="s">
        <v>574</v>
      </c>
      <c r="B1760" s="23" t="s">
        <v>575</v>
      </c>
      <c r="D1760">
        <v>1</v>
      </c>
      <c r="E1760" t="s">
        <v>222</v>
      </c>
      <c r="F1760">
        <v>1</v>
      </c>
      <c r="G1760">
        <v>2020</v>
      </c>
      <c r="I1760" s="15">
        <v>29.5</v>
      </c>
      <c r="J1760" t="s">
        <v>176</v>
      </c>
      <c r="K1760" t="s">
        <v>47</v>
      </c>
      <c r="O1760">
        <v>0</v>
      </c>
      <c r="P1760">
        <v>0</v>
      </c>
      <c r="Q1760">
        <v>0</v>
      </c>
      <c r="R1760">
        <v>0</v>
      </c>
      <c r="S1760">
        <v>1</v>
      </c>
      <c r="T1760">
        <v>1</v>
      </c>
      <c r="U1760">
        <v>1</v>
      </c>
      <c r="V1760">
        <v>0</v>
      </c>
      <c r="W1760" t="s">
        <v>1131</v>
      </c>
      <c r="AA1760">
        <v>2007</v>
      </c>
      <c r="AB1760">
        <v>9999</v>
      </c>
      <c r="AC1760" t="s">
        <v>35</v>
      </c>
    </row>
    <row r="1761" spans="1:29" x14ac:dyDescent="0.25">
      <c r="A1761" s="31" t="s">
        <v>577</v>
      </c>
      <c r="B1761" s="23" t="s">
        <v>578</v>
      </c>
      <c r="D1761">
        <v>1</v>
      </c>
      <c r="E1761" t="s">
        <v>396</v>
      </c>
      <c r="F1761">
        <v>3</v>
      </c>
      <c r="G1761">
        <v>2020</v>
      </c>
      <c r="H1761" t="s">
        <v>579</v>
      </c>
      <c r="I1761" s="15">
        <v>0.15</v>
      </c>
      <c r="J1761" t="s">
        <v>121</v>
      </c>
      <c r="K1761" t="s">
        <v>41</v>
      </c>
      <c r="O1761">
        <v>0</v>
      </c>
      <c r="P1761">
        <v>0</v>
      </c>
      <c r="Q1761">
        <v>0</v>
      </c>
      <c r="R1761">
        <v>0</v>
      </c>
      <c r="S1761">
        <v>0</v>
      </c>
      <c r="T1761">
        <v>0</v>
      </c>
      <c r="U1761">
        <v>0</v>
      </c>
      <c r="V1761">
        <v>0</v>
      </c>
      <c r="W1761" t="s">
        <v>1132</v>
      </c>
      <c r="AA1761">
        <v>2007</v>
      </c>
      <c r="AB1761">
        <v>9999</v>
      </c>
      <c r="AC1761" t="s">
        <v>35</v>
      </c>
    </row>
    <row r="1762" spans="1:29" x14ac:dyDescent="0.25">
      <c r="A1762" s="31" t="s">
        <v>581</v>
      </c>
      <c r="B1762" s="23" t="s">
        <v>582</v>
      </c>
      <c r="D1762">
        <v>1</v>
      </c>
      <c r="E1762" t="s">
        <v>80</v>
      </c>
      <c r="F1762">
        <v>8</v>
      </c>
      <c r="G1762">
        <v>2020</v>
      </c>
      <c r="H1762" t="s">
        <v>1315</v>
      </c>
      <c r="I1762" s="15">
        <v>3</v>
      </c>
      <c r="J1762" t="s">
        <v>81</v>
      </c>
      <c r="K1762" t="s">
        <v>41</v>
      </c>
      <c r="O1762">
        <v>0</v>
      </c>
      <c r="P1762">
        <v>0</v>
      </c>
      <c r="Q1762">
        <v>0</v>
      </c>
      <c r="R1762">
        <v>0</v>
      </c>
      <c r="S1762">
        <v>0</v>
      </c>
      <c r="T1762">
        <v>0</v>
      </c>
      <c r="U1762">
        <v>1</v>
      </c>
      <c r="V1762">
        <v>0</v>
      </c>
      <c r="W1762" t="s">
        <v>1133</v>
      </c>
      <c r="AA1762">
        <v>2007</v>
      </c>
      <c r="AB1762">
        <v>9999</v>
      </c>
      <c r="AC1762" t="s">
        <v>35</v>
      </c>
    </row>
    <row r="1763" spans="1:29" x14ac:dyDescent="0.25">
      <c r="A1763" s="31" t="s">
        <v>1576</v>
      </c>
      <c r="B1763" s="23" t="s">
        <v>1577</v>
      </c>
      <c r="D1763">
        <v>1</v>
      </c>
      <c r="E1763" s="5" t="s">
        <v>358</v>
      </c>
      <c r="F1763">
        <v>1</v>
      </c>
      <c r="G1763">
        <v>2020</v>
      </c>
      <c r="H1763" t="s">
        <v>1558</v>
      </c>
      <c r="I1763" s="15">
        <v>1</v>
      </c>
      <c r="J1763" t="s">
        <v>104</v>
      </c>
      <c r="K1763" t="s">
        <v>41</v>
      </c>
      <c r="O1763">
        <v>0</v>
      </c>
      <c r="P1763">
        <v>0</v>
      </c>
      <c r="Q1763">
        <v>0</v>
      </c>
      <c r="R1763">
        <v>0</v>
      </c>
      <c r="S1763">
        <v>0</v>
      </c>
      <c r="T1763">
        <v>0</v>
      </c>
      <c r="U1763">
        <v>0</v>
      </c>
      <c r="V1763">
        <v>0</v>
      </c>
      <c r="W1763" t="s">
        <v>1578</v>
      </c>
      <c r="AA1763">
        <v>2020</v>
      </c>
      <c r="AB1763">
        <v>9999</v>
      </c>
      <c r="AC1763" t="s">
        <v>1579</v>
      </c>
    </row>
    <row r="1764" spans="1:29" x14ac:dyDescent="0.25">
      <c r="A1764" s="31" t="s">
        <v>594</v>
      </c>
      <c r="B1764" s="23" t="s">
        <v>595</v>
      </c>
      <c r="D1764">
        <v>1</v>
      </c>
      <c r="E1764" t="s">
        <v>38</v>
      </c>
      <c r="F1764">
        <v>4</v>
      </c>
      <c r="G1764">
        <v>2020</v>
      </c>
      <c r="H1764" t="s">
        <v>906</v>
      </c>
      <c r="I1764" s="15">
        <v>0</v>
      </c>
      <c r="J1764" t="s">
        <v>59</v>
      </c>
      <c r="K1764" t="s">
        <v>41</v>
      </c>
      <c r="O1764">
        <v>0</v>
      </c>
      <c r="P1764">
        <v>0</v>
      </c>
      <c r="Q1764">
        <v>0</v>
      </c>
      <c r="R1764">
        <v>0</v>
      </c>
      <c r="S1764">
        <v>0</v>
      </c>
      <c r="T1764">
        <v>0</v>
      </c>
      <c r="U1764">
        <v>0</v>
      </c>
      <c r="V1764">
        <v>0</v>
      </c>
      <c r="W1764" t="s">
        <v>1135</v>
      </c>
      <c r="AA1764">
        <v>2007</v>
      </c>
      <c r="AB1764">
        <v>9999</v>
      </c>
      <c r="AC1764" t="s">
        <v>35</v>
      </c>
    </row>
    <row r="1765" spans="1:29" x14ac:dyDescent="0.25">
      <c r="A1765" s="31" t="s">
        <v>1253</v>
      </c>
      <c r="B1765" s="23" t="s">
        <v>598</v>
      </c>
      <c r="D1765">
        <v>1</v>
      </c>
      <c r="E1765" t="s">
        <v>38</v>
      </c>
      <c r="F1765">
        <v>4</v>
      </c>
      <c r="G1765">
        <v>2020</v>
      </c>
      <c r="H1765" t="s">
        <v>39</v>
      </c>
      <c r="I1765" s="15">
        <v>0</v>
      </c>
      <c r="J1765" t="s">
        <v>59</v>
      </c>
      <c r="K1765" t="s">
        <v>41</v>
      </c>
      <c r="O1765">
        <v>0</v>
      </c>
      <c r="P1765">
        <v>0</v>
      </c>
      <c r="Q1765">
        <v>0</v>
      </c>
      <c r="R1765">
        <v>0</v>
      </c>
      <c r="S1765">
        <v>0</v>
      </c>
      <c r="T1765">
        <v>0</v>
      </c>
      <c r="U1765">
        <v>0</v>
      </c>
      <c r="V1765">
        <v>0</v>
      </c>
      <c r="W1765" t="s">
        <v>1254</v>
      </c>
      <c r="AA1765">
        <v>2009</v>
      </c>
      <c r="AB1765">
        <v>9999</v>
      </c>
      <c r="AC1765" t="s">
        <v>1239</v>
      </c>
    </row>
    <row r="1766" spans="1:29" x14ac:dyDescent="0.25">
      <c r="A1766" s="31" t="s">
        <v>601</v>
      </c>
      <c r="B1766" s="23" t="s">
        <v>602</v>
      </c>
      <c r="D1766">
        <v>1</v>
      </c>
      <c r="E1766" t="s">
        <v>145</v>
      </c>
      <c r="F1766">
        <v>2</v>
      </c>
      <c r="G1766">
        <v>2020</v>
      </c>
      <c r="H1766" t="s">
        <v>1570</v>
      </c>
      <c r="I1766" s="15">
        <v>2.5000000000000001E-2</v>
      </c>
      <c r="J1766" t="s">
        <v>1556</v>
      </c>
      <c r="K1766" t="s">
        <v>41</v>
      </c>
      <c r="O1766">
        <v>0</v>
      </c>
      <c r="P1766">
        <v>0</v>
      </c>
      <c r="Q1766">
        <v>0</v>
      </c>
      <c r="R1766">
        <v>0</v>
      </c>
      <c r="S1766">
        <v>0</v>
      </c>
      <c r="T1766">
        <v>0</v>
      </c>
      <c r="U1766">
        <v>0</v>
      </c>
      <c r="V1766">
        <v>0</v>
      </c>
      <c r="W1766" t="s">
        <v>1137</v>
      </c>
      <c r="AA1766">
        <v>2007</v>
      </c>
      <c r="AB1766">
        <v>9999</v>
      </c>
      <c r="AC1766" t="s">
        <v>35</v>
      </c>
    </row>
    <row r="1767" spans="1:29" x14ac:dyDescent="0.25">
      <c r="A1767" s="31" t="s">
        <v>613</v>
      </c>
      <c r="B176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c>
      <c r="V1767">
        <v>0</v>
      </c>
      <c r="W1767" t="s">
        <v>1140</v>
      </c>
      <c r="AA1767">
        <v>2007</v>
      </c>
      <c r="AB1767">
        <v>9999</v>
      </c>
      <c r="AC1767" t="s">
        <v>35</v>
      </c>
    </row>
    <row r="1768" spans="1:29" x14ac:dyDescent="0.25">
      <c r="A1768" s="31" t="s">
        <v>1370</v>
      </c>
      <c r="B1768" s="23" t="s">
        <v>1371</v>
      </c>
      <c r="D1768">
        <v>1</v>
      </c>
      <c r="E1768" s="4">
        <v>411</v>
      </c>
      <c r="F1768">
        <v>4</v>
      </c>
      <c r="G1768">
        <v>2020</v>
      </c>
      <c r="H1768" t="s">
        <v>111</v>
      </c>
      <c r="I1768" s="15">
        <v>0.8</v>
      </c>
      <c r="J1768" t="s">
        <v>89</v>
      </c>
      <c r="K1768" t="s">
        <v>41</v>
      </c>
      <c r="O1768">
        <v>0</v>
      </c>
      <c r="P1768">
        <v>0</v>
      </c>
      <c r="Q1768">
        <v>0</v>
      </c>
      <c r="R1768">
        <v>0</v>
      </c>
      <c r="S1768">
        <v>0</v>
      </c>
      <c r="T1768">
        <v>1</v>
      </c>
      <c r="U1768">
        <v>0</v>
      </c>
      <c r="V1768">
        <v>0</v>
      </c>
      <c r="W1768" t="s">
        <v>1372</v>
      </c>
      <c r="AA1768">
        <v>2011</v>
      </c>
      <c r="AB1768">
        <v>9999</v>
      </c>
      <c r="AC1768" t="s">
        <v>1365</v>
      </c>
    </row>
    <row r="1769" spans="1:29" x14ac:dyDescent="0.25">
      <c r="A1769" s="31" t="s">
        <v>1317</v>
      </c>
      <c r="B1769" s="23" t="s">
        <v>1318</v>
      </c>
      <c r="D1769">
        <v>1</v>
      </c>
      <c r="E1769" t="s">
        <v>1319</v>
      </c>
      <c r="F1769">
        <v>10</v>
      </c>
      <c r="G1769">
        <v>2020</v>
      </c>
      <c r="I1769" s="16">
        <v>1333.3</v>
      </c>
      <c r="J1769" t="s">
        <v>40</v>
      </c>
      <c r="K1769" t="s">
        <v>32</v>
      </c>
      <c r="O1769">
        <v>0</v>
      </c>
      <c r="P1769">
        <v>0</v>
      </c>
      <c r="Q1769">
        <v>0</v>
      </c>
      <c r="R1769">
        <v>0</v>
      </c>
      <c r="S1769">
        <v>1</v>
      </c>
      <c r="T1769">
        <v>1</v>
      </c>
      <c r="U1769">
        <v>1</v>
      </c>
      <c r="V1769">
        <v>0</v>
      </c>
      <c r="W1769" t="s">
        <v>1320</v>
      </c>
      <c r="AA1769">
        <v>2010</v>
      </c>
      <c r="AB1769">
        <v>9999</v>
      </c>
      <c r="AC1769" t="s">
        <v>1292</v>
      </c>
    </row>
    <row r="1770" spans="1:29" x14ac:dyDescent="0.25">
      <c r="A1770" s="31" t="s">
        <v>1489</v>
      </c>
      <c r="B1770" s="23" t="s">
        <v>619</v>
      </c>
      <c r="D1770">
        <v>1</v>
      </c>
      <c r="E1770" t="s">
        <v>620</v>
      </c>
      <c r="F1770">
        <v>5</v>
      </c>
      <c r="G1770">
        <v>2020</v>
      </c>
      <c r="I1770" s="15">
        <v>33.799999999999997</v>
      </c>
      <c r="J1770" t="s">
        <v>104</v>
      </c>
      <c r="K1770" t="s">
        <v>47</v>
      </c>
      <c r="O1770">
        <v>0</v>
      </c>
      <c r="P1770">
        <v>0</v>
      </c>
      <c r="Q1770">
        <v>0</v>
      </c>
      <c r="R1770">
        <v>0</v>
      </c>
      <c r="S1770">
        <v>1</v>
      </c>
      <c r="T1770">
        <v>1</v>
      </c>
      <c r="U1770">
        <v>1</v>
      </c>
      <c r="V1770">
        <v>0</v>
      </c>
      <c r="W1770" t="s">
        <v>1141</v>
      </c>
      <c r="AA1770">
        <v>2007</v>
      </c>
      <c r="AB1770">
        <v>9999</v>
      </c>
      <c r="AC1770" t="s">
        <v>1475</v>
      </c>
    </row>
    <row r="1771" spans="1:29" x14ac:dyDescent="0.25">
      <c r="A1771" s="31" t="s">
        <v>472</v>
      </c>
      <c r="B1771" s="23" t="s">
        <v>1490</v>
      </c>
      <c r="D1771">
        <v>1</v>
      </c>
      <c r="E1771" t="s">
        <v>681</v>
      </c>
      <c r="F1771">
        <v>3</v>
      </c>
      <c r="G1771">
        <v>2020</v>
      </c>
      <c r="I1771" s="16">
        <v>29804.3</v>
      </c>
      <c r="J1771" t="s">
        <v>121</v>
      </c>
      <c r="K1771" t="s">
        <v>47</v>
      </c>
      <c r="O1771">
        <v>0</v>
      </c>
      <c r="P1771">
        <v>0</v>
      </c>
      <c r="Q1771">
        <v>0</v>
      </c>
      <c r="R1771">
        <v>0</v>
      </c>
      <c r="S1771">
        <v>1</v>
      </c>
      <c r="T1771">
        <v>1</v>
      </c>
      <c r="U1771">
        <v>1</v>
      </c>
      <c r="V1771">
        <v>0</v>
      </c>
      <c r="W1771" t="s">
        <v>1491</v>
      </c>
      <c r="AA1771">
        <v>2007</v>
      </c>
      <c r="AB1771">
        <v>9999</v>
      </c>
      <c r="AC1771" t="s">
        <v>35</v>
      </c>
    </row>
    <row r="1772" spans="1:29" x14ac:dyDescent="0.25">
      <c r="A1772" s="31" t="s">
        <v>622</v>
      </c>
      <c r="B1772" s="23" t="s">
        <v>623</v>
      </c>
      <c r="C1772" t="s">
        <v>624</v>
      </c>
      <c r="D1772">
        <v>1</v>
      </c>
      <c r="E1772" t="s">
        <v>625</v>
      </c>
      <c r="F1772">
        <v>4</v>
      </c>
      <c r="G1772">
        <v>2020</v>
      </c>
      <c r="I1772" s="15">
        <v>307.2</v>
      </c>
      <c r="J1772" t="s">
        <v>1556</v>
      </c>
      <c r="K1772" t="s">
        <v>32</v>
      </c>
      <c r="O1772">
        <v>0</v>
      </c>
      <c r="P1772">
        <v>0</v>
      </c>
      <c r="Q1772">
        <v>0</v>
      </c>
      <c r="R1772">
        <v>0</v>
      </c>
      <c r="S1772">
        <v>1</v>
      </c>
      <c r="T1772">
        <v>1</v>
      </c>
      <c r="U1772">
        <v>1</v>
      </c>
      <c r="V1772">
        <v>0</v>
      </c>
      <c r="W1772" t="s">
        <v>1142</v>
      </c>
      <c r="AA1772">
        <v>2007</v>
      </c>
      <c r="AB1772">
        <v>9999</v>
      </c>
      <c r="AC1772" t="s">
        <v>35</v>
      </c>
    </row>
    <row r="1773" spans="1:29" x14ac:dyDescent="0.25">
      <c r="A1773" s="31" t="s">
        <v>641</v>
      </c>
      <c r="B1773" s="23" t="s">
        <v>642</v>
      </c>
      <c r="D1773">
        <v>1</v>
      </c>
      <c r="E1773" t="s">
        <v>348</v>
      </c>
      <c r="F1773">
        <v>1</v>
      </c>
      <c r="G1773">
        <v>2020</v>
      </c>
      <c r="I1773" s="16">
        <v>3948.7</v>
      </c>
      <c r="J1773" t="s">
        <v>268</v>
      </c>
      <c r="K1773" t="s">
        <v>53</v>
      </c>
      <c r="L1773" t="s">
        <v>642</v>
      </c>
      <c r="O1773">
        <v>0</v>
      </c>
      <c r="P1773">
        <v>0</v>
      </c>
      <c r="Q1773">
        <v>0</v>
      </c>
      <c r="R1773">
        <v>0</v>
      </c>
      <c r="S1773">
        <v>0</v>
      </c>
      <c r="T1773">
        <v>1</v>
      </c>
      <c r="U1773">
        <v>1</v>
      </c>
      <c r="V1773">
        <v>0</v>
      </c>
      <c r="W1773" t="s">
        <v>643</v>
      </c>
      <c r="AA1773">
        <v>2007</v>
      </c>
      <c r="AB1773">
        <v>9999</v>
      </c>
      <c r="AC1773" t="s">
        <v>35</v>
      </c>
    </row>
    <row r="1774" spans="1:29" x14ac:dyDescent="0.25">
      <c r="A1774" s="31" t="s">
        <v>667</v>
      </c>
      <c r="B1774" s="23" t="s">
        <v>1527</v>
      </c>
      <c r="D1774">
        <v>1</v>
      </c>
      <c r="E1774" t="s">
        <v>45</v>
      </c>
      <c r="F1774">
        <v>4</v>
      </c>
      <c r="G1774">
        <v>2020</v>
      </c>
      <c r="I1774" s="15">
        <v>22.7</v>
      </c>
      <c r="J1774" t="s">
        <v>121</v>
      </c>
      <c r="K1774" t="s">
        <v>47</v>
      </c>
      <c r="O1774">
        <v>0</v>
      </c>
      <c r="P1774">
        <v>0</v>
      </c>
      <c r="Q1774">
        <v>0</v>
      </c>
      <c r="R1774">
        <v>0</v>
      </c>
      <c r="S1774">
        <v>1</v>
      </c>
      <c r="T1774">
        <v>1</v>
      </c>
      <c r="U1774">
        <v>1</v>
      </c>
      <c r="V1774">
        <v>0</v>
      </c>
      <c r="W1774" t="s">
        <v>1149</v>
      </c>
      <c r="AA1774">
        <v>2007</v>
      </c>
      <c r="AB1774">
        <v>9999</v>
      </c>
      <c r="AC1774" t="s">
        <v>35</v>
      </c>
    </row>
    <row r="1775" spans="1:29" x14ac:dyDescent="0.25">
      <c r="A1775" s="31" t="s">
        <v>670</v>
      </c>
      <c r="B1775" s="23" t="s">
        <v>671</v>
      </c>
      <c r="D1775">
        <v>1</v>
      </c>
      <c r="E1775" t="s">
        <v>80</v>
      </c>
      <c r="F1775">
        <v>8</v>
      </c>
      <c r="G1775">
        <v>2020</v>
      </c>
      <c r="I1775" s="15">
        <v>229.6</v>
      </c>
      <c r="J1775" t="s">
        <v>81</v>
      </c>
      <c r="K1775" t="s">
        <v>47</v>
      </c>
      <c r="O1775">
        <v>0</v>
      </c>
      <c r="P1775">
        <v>0</v>
      </c>
      <c r="Q1775">
        <v>0</v>
      </c>
      <c r="R1775">
        <v>0</v>
      </c>
      <c r="S1775">
        <v>1</v>
      </c>
      <c r="T1775">
        <v>1</v>
      </c>
      <c r="U1775">
        <v>1</v>
      </c>
      <c r="V1775">
        <v>0</v>
      </c>
      <c r="W1775" t="s">
        <v>1498</v>
      </c>
      <c r="AA1775">
        <v>2007</v>
      </c>
      <c r="AB1775">
        <v>9999</v>
      </c>
      <c r="AC1775" t="s">
        <v>35</v>
      </c>
    </row>
    <row r="1776" spans="1:29" x14ac:dyDescent="0.25">
      <c r="A1776" s="31" t="s">
        <v>673</v>
      </c>
      <c r="B1776" s="23" t="s">
        <v>1321</v>
      </c>
      <c r="D1776">
        <v>1</v>
      </c>
      <c r="E1776" t="s">
        <v>358</v>
      </c>
      <c r="F1776">
        <v>1</v>
      </c>
      <c r="G1776">
        <v>2020</v>
      </c>
      <c r="I1776" s="15">
        <v>413.5</v>
      </c>
      <c r="J1776" t="s">
        <v>81</v>
      </c>
      <c r="K1776" t="s">
        <v>47</v>
      </c>
      <c r="O1776">
        <v>0</v>
      </c>
      <c r="P1776">
        <v>0</v>
      </c>
      <c r="Q1776">
        <v>0</v>
      </c>
      <c r="R1776">
        <v>0</v>
      </c>
      <c r="S1776">
        <v>1</v>
      </c>
      <c r="T1776">
        <v>1</v>
      </c>
      <c r="U1776">
        <v>1</v>
      </c>
      <c r="V1776">
        <v>0</v>
      </c>
      <c r="W1776" t="s">
        <v>1322</v>
      </c>
      <c r="AA1776">
        <v>2007</v>
      </c>
      <c r="AB1776">
        <v>9999</v>
      </c>
      <c r="AC1776" t="s">
        <v>35</v>
      </c>
    </row>
    <row r="1777" spans="1:29" x14ac:dyDescent="0.25">
      <c r="A1777" s="31" t="s">
        <v>676</v>
      </c>
      <c r="B1777" s="23" t="s">
        <v>677</v>
      </c>
      <c r="C1777" t="s">
        <v>678</v>
      </c>
      <c r="D1777">
        <v>1</v>
      </c>
      <c r="E1777" t="s">
        <v>168</v>
      </c>
      <c r="F1777">
        <v>1</v>
      </c>
      <c r="G1777">
        <v>2020</v>
      </c>
      <c r="I1777" s="15">
        <v>203.3</v>
      </c>
      <c r="J1777" t="s">
        <v>52</v>
      </c>
      <c r="K1777" t="s">
        <v>32</v>
      </c>
      <c r="O1777">
        <v>0</v>
      </c>
      <c r="P1777">
        <v>0</v>
      </c>
      <c r="Q1777">
        <v>0</v>
      </c>
      <c r="R1777">
        <v>0</v>
      </c>
      <c r="S1777">
        <v>1</v>
      </c>
      <c r="T1777">
        <v>1</v>
      </c>
      <c r="U1777">
        <v>1</v>
      </c>
      <c r="V1777">
        <v>0</v>
      </c>
      <c r="W1777" t="s">
        <v>1152</v>
      </c>
      <c r="AA1777">
        <v>2007</v>
      </c>
      <c r="AB1777">
        <v>9999</v>
      </c>
      <c r="AC1777" t="s">
        <v>35</v>
      </c>
    </row>
    <row r="1778" spans="1:29" x14ac:dyDescent="0.25">
      <c r="A1778" s="31" t="s">
        <v>688</v>
      </c>
      <c r="B1778" s="23" t="s">
        <v>689</v>
      </c>
      <c r="D1778">
        <v>1</v>
      </c>
      <c r="E1778" t="s">
        <v>145</v>
      </c>
      <c r="F1778">
        <v>2</v>
      </c>
      <c r="G1778">
        <v>2020</v>
      </c>
      <c r="H1778" t="s">
        <v>146</v>
      </c>
      <c r="I1778" s="15">
        <v>0.02</v>
      </c>
      <c r="J1778" s="2" t="s">
        <v>147</v>
      </c>
      <c r="K1778" t="s">
        <v>41</v>
      </c>
      <c r="O1778">
        <v>0</v>
      </c>
      <c r="P1778">
        <v>0</v>
      </c>
      <c r="Q1778">
        <v>0</v>
      </c>
      <c r="R1778">
        <v>0</v>
      </c>
      <c r="S1778">
        <v>0</v>
      </c>
      <c r="T1778">
        <v>0</v>
      </c>
      <c r="U1778">
        <v>0</v>
      </c>
      <c r="V1778">
        <v>0</v>
      </c>
      <c r="W1778" t="s">
        <v>1154</v>
      </c>
      <c r="AA1778">
        <v>2007</v>
      </c>
      <c r="AB1778">
        <v>9999</v>
      </c>
      <c r="AC1778" t="s">
        <v>35</v>
      </c>
    </row>
    <row r="1779" spans="1:29" x14ac:dyDescent="0.25">
      <c r="A1779" s="31" t="s">
        <v>691</v>
      </c>
      <c r="B1779" s="23" t="s">
        <v>692</v>
      </c>
      <c r="D1779">
        <v>1</v>
      </c>
      <c r="E1779" t="s">
        <v>625</v>
      </c>
      <c r="F1779">
        <v>4</v>
      </c>
      <c r="G1779">
        <v>2020</v>
      </c>
      <c r="I1779" s="15">
        <v>19.5</v>
      </c>
      <c r="J1779" t="s">
        <v>104</v>
      </c>
      <c r="K1779" t="s">
        <v>32</v>
      </c>
      <c r="O1779">
        <v>0</v>
      </c>
      <c r="P1779">
        <v>0</v>
      </c>
      <c r="Q1779">
        <v>0</v>
      </c>
      <c r="R1779">
        <v>0</v>
      </c>
      <c r="S1779">
        <v>1</v>
      </c>
      <c r="T1779">
        <v>1</v>
      </c>
      <c r="U1779">
        <v>1</v>
      </c>
      <c r="V1779">
        <v>0</v>
      </c>
      <c r="W1779" t="s">
        <v>1155</v>
      </c>
      <c r="AA1779">
        <v>2007</v>
      </c>
      <c r="AB1779">
        <v>9999</v>
      </c>
      <c r="AC1779" t="s">
        <v>35</v>
      </c>
    </row>
    <row r="1780" spans="1:29" x14ac:dyDescent="0.25">
      <c r="A1780" s="31" t="s">
        <v>694</v>
      </c>
      <c r="B1780" s="25" t="s">
        <v>695</v>
      </c>
      <c r="C1780" t="s">
        <v>696</v>
      </c>
      <c r="D1780">
        <v>1</v>
      </c>
      <c r="E1780" t="s">
        <v>58</v>
      </c>
      <c r="F1780">
        <v>4</v>
      </c>
      <c r="G1780">
        <v>2020</v>
      </c>
      <c r="I1780" s="15">
        <v>125.1</v>
      </c>
      <c r="J1780" t="s">
        <v>59</v>
      </c>
      <c r="K1780" t="s">
        <v>47</v>
      </c>
      <c r="O1780">
        <v>0</v>
      </c>
      <c r="P1780">
        <v>0</v>
      </c>
      <c r="Q1780">
        <v>0</v>
      </c>
      <c r="R1780">
        <v>0</v>
      </c>
      <c r="S1780">
        <v>1</v>
      </c>
      <c r="T1780">
        <v>1</v>
      </c>
      <c r="U1780">
        <v>1</v>
      </c>
      <c r="V1780">
        <v>0</v>
      </c>
      <c r="W1780" t="s">
        <v>1156</v>
      </c>
      <c r="AA1780">
        <v>2007</v>
      </c>
      <c r="AB1780">
        <v>9999</v>
      </c>
      <c r="AC1780" t="s">
        <v>35</v>
      </c>
    </row>
    <row r="1781" spans="1:29" x14ac:dyDescent="0.25">
      <c r="A1781" s="31" t="s">
        <v>698</v>
      </c>
      <c r="B1781" s="23" t="s">
        <v>699</v>
      </c>
      <c r="D1781">
        <v>1</v>
      </c>
      <c r="E1781" t="s">
        <v>155</v>
      </c>
      <c r="F1781">
        <v>3</v>
      </c>
      <c r="G1781">
        <v>2020</v>
      </c>
      <c r="H1781" t="s">
        <v>700</v>
      </c>
      <c r="I1781">
        <v>2.581746031746031</v>
      </c>
      <c r="J1781" t="s">
        <v>121</v>
      </c>
      <c r="K1781" t="s">
        <v>47</v>
      </c>
      <c r="O1781">
        <v>0</v>
      </c>
      <c r="P1781">
        <v>0</v>
      </c>
      <c r="Q1781">
        <v>0</v>
      </c>
      <c r="R1781">
        <v>0</v>
      </c>
      <c r="S1781">
        <v>1</v>
      </c>
      <c r="T1781">
        <v>0</v>
      </c>
      <c r="U1781">
        <v>0</v>
      </c>
      <c r="V1781">
        <v>1</v>
      </c>
      <c r="W1781" t="s">
        <v>1157</v>
      </c>
      <c r="AA1781">
        <v>2007</v>
      </c>
      <c r="AB1781">
        <v>9999</v>
      </c>
      <c r="AC1781" t="s">
        <v>35</v>
      </c>
    </row>
    <row r="1782" spans="1:29" x14ac:dyDescent="0.25">
      <c r="A1782" s="31" t="s">
        <v>702</v>
      </c>
      <c r="B1782" s="23" t="s">
        <v>703</v>
      </c>
      <c r="D1782">
        <v>1</v>
      </c>
      <c r="E1782" t="s">
        <v>155</v>
      </c>
      <c r="F1782">
        <v>3</v>
      </c>
      <c r="G1782">
        <v>2020</v>
      </c>
      <c r="H1782" t="s">
        <v>704</v>
      </c>
      <c r="I1782">
        <v>0.61</v>
      </c>
      <c r="J1782" t="s">
        <v>121</v>
      </c>
      <c r="K1782" t="s">
        <v>41</v>
      </c>
      <c r="O1782">
        <v>0</v>
      </c>
      <c r="P1782">
        <v>0</v>
      </c>
      <c r="Q1782">
        <v>0</v>
      </c>
      <c r="R1782">
        <v>0</v>
      </c>
      <c r="S1782">
        <v>0</v>
      </c>
      <c r="T1782">
        <v>0</v>
      </c>
      <c r="U1782">
        <v>0</v>
      </c>
      <c r="V1782">
        <v>1</v>
      </c>
      <c r="W1782" t="s">
        <v>1158</v>
      </c>
      <c r="AA1782">
        <v>2007</v>
      </c>
      <c r="AB1782">
        <v>9999</v>
      </c>
      <c r="AC1782" t="s">
        <v>35</v>
      </c>
    </row>
    <row r="1783" spans="1:29" x14ac:dyDescent="0.25">
      <c r="A1783" s="31" t="s">
        <v>706</v>
      </c>
      <c r="B1783" s="23" t="s">
        <v>707</v>
      </c>
      <c r="C1783" t="s">
        <v>708</v>
      </c>
      <c r="D1783">
        <v>1</v>
      </c>
      <c r="E1783" t="s">
        <v>155</v>
      </c>
      <c r="F1783">
        <v>3</v>
      </c>
      <c r="G1783">
        <v>2020</v>
      </c>
      <c r="I1783" s="15">
        <v>502.3</v>
      </c>
      <c r="J1783" t="s">
        <v>121</v>
      </c>
      <c r="K1783" t="s">
        <v>47</v>
      </c>
      <c r="O1783">
        <v>0</v>
      </c>
      <c r="P1783">
        <v>0</v>
      </c>
      <c r="Q1783">
        <v>0</v>
      </c>
      <c r="R1783">
        <v>0</v>
      </c>
      <c r="S1783">
        <v>1</v>
      </c>
      <c r="T1783">
        <v>1</v>
      </c>
      <c r="U1783">
        <v>1</v>
      </c>
      <c r="V1783">
        <v>0</v>
      </c>
      <c r="W1783" t="s">
        <v>1159</v>
      </c>
      <c r="AA1783">
        <v>2007</v>
      </c>
      <c r="AB1783">
        <v>9999</v>
      </c>
      <c r="AC1783" t="s">
        <v>35</v>
      </c>
    </row>
    <row r="1784" spans="1:29" x14ac:dyDescent="0.25">
      <c r="A1784" s="31" t="s">
        <v>710</v>
      </c>
      <c r="B1784" s="23" t="s">
        <v>711</v>
      </c>
      <c r="D1784">
        <v>1</v>
      </c>
      <c r="E1784" t="s">
        <v>712</v>
      </c>
      <c r="F1784">
        <v>9</v>
      </c>
      <c r="G1784">
        <v>2020</v>
      </c>
      <c r="I1784" s="15">
        <v>108.4</v>
      </c>
      <c r="J1784" t="s">
        <v>104</v>
      </c>
      <c r="K1784" t="s">
        <v>41</v>
      </c>
      <c r="O1784">
        <v>0</v>
      </c>
      <c r="P1784">
        <v>0</v>
      </c>
      <c r="Q1784">
        <v>0</v>
      </c>
      <c r="R1784">
        <v>0</v>
      </c>
      <c r="S1784">
        <v>0</v>
      </c>
      <c r="T1784">
        <v>1</v>
      </c>
      <c r="U1784">
        <v>1</v>
      </c>
      <c r="V1784">
        <v>0</v>
      </c>
      <c r="W1784" t="s">
        <v>1406</v>
      </c>
      <c r="AA1784">
        <v>2007</v>
      </c>
      <c r="AB1784">
        <v>9999</v>
      </c>
      <c r="AC1784" t="s">
        <v>35</v>
      </c>
    </row>
    <row r="1785" spans="1:29" x14ac:dyDescent="0.25">
      <c r="A1785" s="31" t="s">
        <v>714</v>
      </c>
      <c r="B1785" s="23" t="s">
        <v>715</v>
      </c>
      <c r="D1785">
        <v>1</v>
      </c>
      <c r="E1785" t="s">
        <v>80</v>
      </c>
      <c r="F1785">
        <v>8</v>
      </c>
      <c r="G1785">
        <v>2020</v>
      </c>
      <c r="I1785" s="15">
        <v>58.7</v>
      </c>
      <c r="J1785" t="s">
        <v>81</v>
      </c>
      <c r="K1785" t="s">
        <v>76</v>
      </c>
      <c r="O1785">
        <v>0</v>
      </c>
      <c r="P1785">
        <v>0</v>
      </c>
      <c r="Q1785">
        <v>0</v>
      </c>
      <c r="R1785">
        <v>0</v>
      </c>
      <c r="S1785">
        <v>0</v>
      </c>
      <c r="T1785">
        <v>1</v>
      </c>
      <c r="U1785">
        <v>1</v>
      </c>
      <c r="V1785">
        <v>0</v>
      </c>
      <c r="W1785" t="s">
        <v>1323</v>
      </c>
      <c r="AA1785">
        <v>2007</v>
      </c>
      <c r="AB1785">
        <v>9999</v>
      </c>
      <c r="AC1785" t="s">
        <v>35</v>
      </c>
    </row>
    <row r="1786" spans="1:29" x14ac:dyDescent="0.25">
      <c r="A1786" s="31" t="s">
        <v>717</v>
      </c>
      <c r="B1786" s="25" t="s">
        <v>718</v>
      </c>
      <c r="D1786">
        <v>1</v>
      </c>
      <c r="E1786" t="s">
        <v>51</v>
      </c>
      <c r="F1786">
        <v>1</v>
      </c>
      <c r="G1786">
        <v>2020</v>
      </c>
      <c r="I1786" s="15">
        <v>36</v>
      </c>
      <c r="J1786" t="s">
        <v>52</v>
      </c>
      <c r="K1786" t="s">
        <v>53</v>
      </c>
      <c r="L1786" t="s">
        <v>54</v>
      </c>
      <c r="O1786">
        <v>0</v>
      </c>
      <c r="P1786">
        <v>0</v>
      </c>
      <c r="Q1786">
        <v>1</v>
      </c>
      <c r="R1786">
        <v>0</v>
      </c>
      <c r="S1786">
        <v>0</v>
      </c>
      <c r="T1786">
        <v>0</v>
      </c>
      <c r="U1786">
        <v>1</v>
      </c>
      <c r="V1786">
        <v>0</v>
      </c>
      <c r="W1786" t="s">
        <v>55</v>
      </c>
      <c r="AA1786">
        <v>2007</v>
      </c>
      <c r="AB1786">
        <v>9999</v>
      </c>
      <c r="AC1786" t="s">
        <v>35</v>
      </c>
    </row>
    <row r="1787" spans="1:29" x14ac:dyDescent="0.25">
      <c r="A1787" s="31" t="s">
        <v>719</v>
      </c>
      <c r="B1787" s="25" t="s">
        <v>720</v>
      </c>
      <c r="D1787">
        <v>1</v>
      </c>
      <c r="E1787" t="s">
        <v>51</v>
      </c>
      <c r="F1787">
        <v>1</v>
      </c>
      <c r="G1787">
        <v>2020</v>
      </c>
      <c r="I1787" s="15">
        <v>31</v>
      </c>
      <c r="J1787" t="s">
        <v>52</v>
      </c>
      <c r="K1787" t="s">
        <v>53</v>
      </c>
      <c r="L1787" t="s">
        <v>54</v>
      </c>
      <c r="O1787">
        <v>0</v>
      </c>
      <c r="P1787">
        <v>0</v>
      </c>
      <c r="Q1787">
        <v>1</v>
      </c>
      <c r="R1787">
        <v>0</v>
      </c>
      <c r="S1787">
        <v>0</v>
      </c>
      <c r="T1787">
        <v>0</v>
      </c>
      <c r="U1787">
        <v>1</v>
      </c>
      <c r="V1787">
        <v>0</v>
      </c>
      <c r="W1787" t="s">
        <v>721</v>
      </c>
      <c r="AA1787">
        <v>2007</v>
      </c>
      <c r="AB1787">
        <v>9999</v>
      </c>
      <c r="AC1787" t="s">
        <v>35</v>
      </c>
    </row>
    <row r="1788" spans="1:29" x14ac:dyDescent="0.25">
      <c r="A1788" s="31" t="s">
        <v>722</v>
      </c>
      <c r="B1788" s="23" t="s">
        <v>723</v>
      </c>
      <c r="D1788">
        <v>1</v>
      </c>
      <c r="E1788" t="s">
        <v>724</v>
      </c>
      <c r="F1788">
        <v>4</v>
      </c>
      <c r="G1788">
        <v>2020</v>
      </c>
      <c r="I1788" s="15">
        <v>1238.9000000000001</v>
      </c>
      <c r="J1788" t="s">
        <v>1556</v>
      </c>
      <c r="K1788" t="s">
        <v>32</v>
      </c>
      <c r="L1788" t="s">
        <v>33</v>
      </c>
      <c r="O1788">
        <v>0</v>
      </c>
      <c r="P1788">
        <v>0</v>
      </c>
      <c r="Q1788">
        <v>0</v>
      </c>
      <c r="R1788">
        <v>1</v>
      </c>
      <c r="S1788">
        <v>1</v>
      </c>
      <c r="T1788">
        <v>1</v>
      </c>
      <c r="U1788">
        <v>1</v>
      </c>
      <c r="V1788">
        <v>0</v>
      </c>
      <c r="W1788" t="s">
        <v>1161</v>
      </c>
      <c r="AA1788">
        <v>2007</v>
      </c>
      <c r="AB1788">
        <v>9999</v>
      </c>
      <c r="AC1788" t="s">
        <v>35</v>
      </c>
    </row>
    <row r="1789" spans="1:29" x14ac:dyDescent="0.25">
      <c r="A1789" s="31" t="s">
        <v>726</v>
      </c>
      <c r="B1789" s="23" t="s">
        <v>727</v>
      </c>
      <c r="D1789">
        <v>1</v>
      </c>
      <c r="E1789" t="s">
        <v>85</v>
      </c>
      <c r="F1789">
        <v>1</v>
      </c>
      <c r="G1789">
        <v>2020</v>
      </c>
      <c r="H1789" t="s">
        <v>205</v>
      </c>
      <c r="I1789" s="15">
        <v>10</v>
      </c>
      <c r="J1789" t="s">
        <v>52</v>
      </c>
      <c r="K1789" t="s">
        <v>41</v>
      </c>
      <c r="O1789">
        <v>0</v>
      </c>
      <c r="P1789">
        <v>0</v>
      </c>
      <c r="Q1789">
        <v>0</v>
      </c>
      <c r="R1789">
        <v>0</v>
      </c>
      <c r="S1789">
        <v>0</v>
      </c>
      <c r="T1789">
        <v>0</v>
      </c>
      <c r="U1789">
        <v>0</v>
      </c>
      <c r="V1789">
        <v>0</v>
      </c>
      <c r="W1789" t="s">
        <v>1162</v>
      </c>
      <c r="AA1789">
        <v>2007</v>
      </c>
      <c r="AB1789">
        <v>9999</v>
      </c>
      <c r="AC1789" t="s">
        <v>35</v>
      </c>
    </row>
    <row r="1790" spans="1:29" x14ac:dyDescent="0.25">
      <c r="A1790" s="31" t="s">
        <v>729</v>
      </c>
      <c r="B1790" s="23" t="s">
        <v>205</v>
      </c>
      <c r="D1790">
        <v>1</v>
      </c>
      <c r="E1790" t="s">
        <v>168</v>
      </c>
      <c r="F1790">
        <v>1</v>
      </c>
      <c r="G1790">
        <v>2020</v>
      </c>
      <c r="I1790" s="16">
        <v>9179.2999999999993</v>
      </c>
      <c r="J1790" t="s">
        <v>52</v>
      </c>
      <c r="K1790" t="s">
        <v>32</v>
      </c>
      <c r="O1790">
        <v>0</v>
      </c>
      <c r="P1790">
        <v>0</v>
      </c>
      <c r="Q1790">
        <v>0</v>
      </c>
      <c r="R1790">
        <v>0</v>
      </c>
      <c r="S1790">
        <v>1</v>
      </c>
      <c r="T1790">
        <v>1</v>
      </c>
      <c r="U1790">
        <v>1</v>
      </c>
      <c r="V1790">
        <v>0</v>
      </c>
      <c r="W1790" t="s">
        <v>1555</v>
      </c>
      <c r="AA1790">
        <v>2007</v>
      </c>
      <c r="AB1790">
        <v>9999</v>
      </c>
      <c r="AC1790" t="s">
        <v>35</v>
      </c>
    </row>
    <row r="1791" spans="1:29" x14ac:dyDescent="0.25">
      <c r="A1791" s="31" t="s">
        <v>731</v>
      </c>
      <c r="B1791" s="23" t="s">
        <v>732</v>
      </c>
      <c r="D1791">
        <v>1</v>
      </c>
      <c r="E1791" t="s">
        <v>51</v>
      </c>
      <c r="F1791">
        <v>10</v>
      </c>
      <c r="G1791">
        <v>2020</v>
      </c>
      <c r="H1791" t="s">
        <v>39</v>
      </c>
      <c r="I1791" s="15">
        <v>1.5</v>
      </c>
      <c r="J1791" t="s">
        <v>52</v>
      </c>
      <c r="K1791" t="s">
        <v>41</v>
      </c>
      <c r="O1791">
        <v>0</v>
      </c>
      <c r="P1791">
        <v>0</v>
      </c>
      <c r="Q1791">
        <v>0</v>
      </c>
      <c r="R1791">
        <v>0</v>
      </c>
      <c r="S1791">
        <v>0</v>
      </c>
      <c r="T1791">
        <v>0</v>
      </c>
      <c r="U1791">
        <v>0</v>
      </c>
      <c r="V1791">
        <v>0</v>
      </c>
      <c r="W1791" t="s">
        <v>1164</v>
      </c>
      <c r="AA1791">
        <v>2007</v>
      </c>
      <c r="AB1791">
        <v>9999</v>
      </c>
      <c r="AC1791" t="s">
        <v>35</v>
      </c>
    </row>
    <row r="1792" spans="1:29" x14ac:dyDescent="0.25">
      <c r="A1792" s="31" t="s">
        <v>734</v>
      </c>
      <c r="B1792" s="23" t="s">
        <v>735</v>
      </c>
      <c r="D1792">
        <v>1</v>
      </c>
      <c r="E1792" t="s">
        <v>736</v>
      </c>
      <c r="F1792">
        <v>4</v>
      </c>
      <c r="G1792">
        <v>2020</v>
      </c>
      <c r="I1792" s="15">
        <v>674.7</v>
      </c>
      <c r="J1792" t="s">
        <v>89</v>
      </c>
      <c r="K1792" t="s">
        <v>32</v>
      </c>
      <c r="O1792">
        <v>0</v>
      </c>
      <c r="P1792">
        <v>0</v>
      </c>
      <c r="Q1792">
        <v>0</v>
      </c>
      <c r="R1792">
        <v>0</v>
      </c>
      <c r="S1792">
        <v>1</v>
      </c>
      <c r="T1792">
        <v>1</v>
      </c>
      <c r="U1792">
        <v>1</v>
      </c>
      <c r="V1792">
        <v>0</v>
      </c>
      <c r="W1792" t="s">
        <v>1324</v>
      </c>
      <c r="AA1792">
        <v>2007</v>
      </c>
      <c r="AB1792">
        <v>9999</v>
      </c>
      <c r="AC1792" t="s">
        <v>35</v>
      </c>
    </row>
    <row r="1793" spans="1:29" x14ac:dyDescent="0.25">
      <c r="A1793" s="31" t="s">
        <v>1499</v>
      </c>
      <c r="B1793" s="23" t="s">
        <v>1500</v>
      </c>
      <c r="D1793">
        <v>1</v>
      </c>
      <c r="E1793" s="4">
        <v>960</v>
      </c>
      <c r="F1793">
        <v>9</v>
      </c>
      <c r="G1793">
        <v>2020</v>
      </c>
      <c r="I1793" s="15">
        <v>15.1</v>
      </c>
      <c r="J1793" t="s">
        <v>104</v>
      </c>
      <c r="K1793" t="s">
        <v>47</v>
      </c>
      <c r="O1793">
        <v>0</v>
      </c>
      <c r="P1793">
        <v>0</v>
      </c>
      <c r="Q1793">
        <v>0</v>
      </c>
      <c r="R1793">
        <v>0</v>
      </c>
      <c r="S1793">
        <v>1</v>
      </c>
      <c r="T1793">
        <v>1</v>
      </c>
      <c r="U1793">
        <v>1</v>
      </c>
      <c r="V1793">
        <v>0</v>
      </c>
      <c r="W1793" t="s">
        <v>1501</v>
      </c>
      <c r="AA1793">
        <v>2015</v>
      </c>
      <c r="AB1793">
        <v>9999</v>
      </c>
      <c r="AC1793" t="s">
        <v>1475</v>
      </c>
    </row>
    <row r="1794" spans="1:29" x14ac:dyDescent="0.25">
      <c r="A1794" s="31" t="s">
        <v>738</v>
      </c>
      <c r="B1794" s="23" t="s">
        <v>739</v>
      </c>
      <c r="D1794">
        <v>1</v>
      </c>
      <c r="E1794" t="s">
        <v>128</v>
      </c>
      <c r="F1794">
        <v>9</v>
      </c>
      <c r="G1794">
        <v>2020</v>
      </c>
      <c r="H1794" t="s">
        <v>1502</v>
      </c>
      <c r="I1794" s="15">
        <v>6.45</v>
      </c>
      <c r="J1794" t="s">
        <v>104</v>
      </c>
      <c r="K1794" t="s">
        <v>41</v>
      </c>
      <c r="O1794">
        <v>0</v>
      </c>
      <c r="P1794">
        <v>0</v>
      </c>
      <c r="Q1794">
        <v>0</v>
      </c>
      <c r="R1794">
        <v>0</v>
      </c>
      <c r="S1794">
        <v>0</v>
      </c>
      <c r="T1794">
        <v>0</v>
      </c>
      <c r="U1794">
        <v>0</v>
      </c>
      <c r="V1794">
        <v>0</v>
      </c>
      <c r="W1794" t="s">
        <v>1166</v>
      </c>
      <c r="AA1794">
        <v>2007</v>
      </c>
      <c r="AB1794">
        <v>9999</v>
      </c>
      <c r="AC1794" t="s">
        <v>35</v>
      </c>
    </row>
    <row r="1795" spans="1:29" x14ac:dyDescent="0.25">
      <c r="A1795" s="31" t="s">
        <v>745</v>
      </c>
      <c r="B1795" s="23" t="s">
        <v>746</v>
      </c>
      <c r="D1795">
        <v>1</v>
      </c>
      <c r="E1795" t="s">
        <v>468</v>
      </c>
      <c r="F1795">
        <v>7</v>
      </c>
      <c r="G1795">
        <v>2020</v>
      </c>
      <c r="I1795" s="15">
        <v>685.5</v>
      </c>
      <c r="J1795" t="s">
        <v>40</v>
      </c>
      <c r="K1795" t="s">
        <v>32</v>
      </c>
      <c r="O1795">
        <v>0</v>
      </c>
      <c r="P1795">
        <v>0</v>
      </c>
      <c r="Q1795">
        <v>0</v>
      </c>
      <c r="R1795">
        <v>0</v>
      </c>
      <c r="S1795">
        <v>1</v>
      </c>
      <c r="T1795">
        <v>1</v>
      </c>
      <c r="U1795">
        <v>1</v>
      </c>
      <c r="V1795">
        <v>0</v>
      </c>
      <c r="W1795" t="s">
        <v>1516</v>
      </c>
      <c r="AA1795">
        <v>2007</v>
      </c>
      <c r="AB1795">
        <v>9999</v>
      </c>
      <c r="AC1795" t="s">
        <v>35</v>
      </c>
    </row>
    <row r="1796" spans="1:29" x14ac:dyDescent="0.25">
      <c r="A1796" s="31" t="s">
        <v>1263</v>
      </c>
      <c r="B1796" s="23" t="s">
        <v>1264</v>
      </c>
      <c r="C1796" t="s">
        <v>1265</v>
      </c>
      <c r="D1796">
        <v>1</v>
      </c>
      <c r="E1796" t="s">
        <v>712</v>
      </c>
      <c r="F1796">
        <v>9</v>
      </c>
      <c r="G1796">
        <v>2020</v>
      </c>
      <c r="I1796" s="16">
        <v>1105.4000000000001</v>
      </c>
      <c r="J1796" t="s">
        <v>104</v>
      </c>
      <c r="K1796" t="s">
        <v>47</v>
      </c>
      <c r="O1796">
        <v>0</v>
      </c>
      <c r="P1796">
        <v>0</v>
      </c>
      <c r="Q1796">
        <v>0</v>
      </c>
      <c r="R1796">
        <v>0</v>
      </c>
      <c r="S1796">
        <v>1</v>
      </c>
      <c r="T1796">
        <v>1</v>
      </c>
      <c r="U1796">
        <v>1</v>
      </c>
      <c r="V1796">
        <v>0</v>
      </c>
      <c r="W1796" t="s">
        <v>1407</v>
      </c>
      <c r="AA1796">
        <v>2009</v>
      </c>
      <c r="AB1796">
        <v>9999</v>
      </c>
      <c r="AC1796" t="s">
        <v>1239</v>
      </c>
    </row>
    <row r="1797" spans="1:29" x14ac:dyDescent="0.25">
      <c r="A1797" s="31" t="s">
        <v>447</v>
      </c>
      <c r="B1797" s="23" t="s">
        <v>1571</v>
      </c>
      <c r="D1797">
        <v>1</v>
      </c>
      <c r="E1797" t="s">
        <v>45</v>
      </c>
      <c r="F1797">
        <v>4</v>
      </c>
      <c r="G1797">
        <v>2020</v>
      </c>
      <c r="I1797" s="15">
        <v>58.9</v>
      </c>
      <c r="J1797" t="s">
        <v>52</v>
      </c>
      <c r="K1797" t="s">
        <v>32</v>
      </c>
      <c r="O1797">
        <v>0</v>
      </c>
      <c r="P1797">
        <v>0</v>
      </c>
      <c r="Q1797">
        <v>0</v>
      </c>
      <c r="R1797">
        <v>0</v>
      </c>
      <c r="S1797">
        <v>1</v>
      </c>
      <c r="T1797">
        <v>1</v>
      </c>
      <c r="U1797">
        <v>1</v>
      </c>
      <c r="V1797">
        <v>0</v>
      </c>
      <c r="W1797" t="s">
        <v>1572</v>
      </c>
      <c r="AA1797">
        <v>2007</v>
      </c>
      <c r="AB1797">
        <v>9999</v>
      </c>
      <c r="AC1797" t="s">
        <v>35</v>
      </c>
    </row>
    <row r="1798" spans="1:29" x14ac:dyDescent="0.25">
      <c r="A1798" s="31" t="s">
        <v>754</v>
      </c>
      <c r="B1798" s="23" t="s">
        <v>755</v>
      </c>
      <c r="D1798">
        <v>1</v>
      </c>
      <c r="E1798" t="s">
        <v>85</v>
      </c>
      <c r="F1798">
        <v>1</v>
      </c>
      <c r="G1798">
        <v>2020</v>
      </c>
      <c r="H1798" t="s">
        <v>1503</v>
      </c>
      <c r="I1798" s="15">
        <v>0.05</v>
      </c>
      <c r="J1798" t="s">
        <v>52</v>
      </c>
      <c r="K1798" t="s">
        <v>41</v>
      </c>
      <c r="O1798">
        <v>0</v>
      </c>
      <c r="P1798">
        <v>0</v>
      </c>
      <c r="Q1798">
        <v>0</v>
      </c>
      <c r="R1798">
        <v>0</v>
      </c>
      <c r="S1798">
        <v>0</v>
      </c>
      <c r="T1798">
        <v>0</v>
      </c>
      <c r="U1798">
        <v>0</v>
      </c>
      <c r="V1798">
        <v>0</v>
      </c>
      <c r="W1798" t="s">
        <v>1169</v>
      </c>
      <c r="AA1798">
        <v>2007</v>
      </c>
      <c r="AB1798">
        <v>9999</v>
      </c>
      <c r="AC1798" t="s">
        <v>35</v>
      </c>
    </row>
    <row r="1799" spans="1:29" ht="30" x14ac:dyDescent="0.25">
      <c r="A1799" s="31" t="s">
        <v>758</v>
      </c>
      <c r="B1799" s="23" t="s">
        <v>1504</v>
      </c>
      <c r="C1799" t="s">
        <v>1505</v>
      </c>
      <c r="D1799">
        <v>1</v>
      </c>
      <c r="E1799" t="s">
        <v>760</v>
      </c>
      <c r="F1799">
        <v>7</v>
      </c>
      <c r="G1799">
        <v>2020</v>
      </c>
      <c r="I1799" s="15">
        <v>75.2</v>
      </c>
      <c r="J1799" t="s">
        <v>40</v>
      </c>
      <c r="K1799" t="s">
        <v>47</v>
      </c>
      <c r="O1799">
        <v>0</v>
      </c>
      <c r="P1799">
        <v>0</v>
      </c>
      <c r="Q1799">
        <v>0</v>
      </c>
      <c r="R1799">
        <v>0</v>
      </c>
      <c r="S1799">
        <v>1</v>
      </c>
      <c r="T1799">
        <v>1</v>
      </c>
      <c r="U1799">
        <v>1</v>
      </c>
      <c r="V1799">
        <v>0</v>
      </c>
      <c r="W1799" t="s">
        <v>1170</v>
      </c>
      <c r="AA1799">
        <v>2007</v>
      </c>
      <c r="AB1799">
        <v>9999</v>
      </c>
      <c r="AC1799" t="s">
        <v>35</v>
      </c>
    </row>
    <row r="1800" spans="1:29" x14ac:dyDescent="0.25">
      <c r="A1800" s="31" t="s">
        <v>78</v>
      </c>
      <c r="B1800" s="23" t="s">
        <v>1465</v>
      </c>
      <c r="C1800" t="s">
        <v>1466</v>
      </c>
      <c r="D1800">
        <v>1</v>
      </c>
      <c r="E1800" t="s">
        <v>80</v>
      </c>
      <c r="F1800">
        <v>8</v>
      </c>
      <c r="G1800">
        <v>2020</v>
      </c>
      <c r="I1800" s="15">
        <v>33</v>
      </c>
      <c r="J1800" t="s">
        <v>81</v>
      </c>
      <c r="K1800" t="s">
        <v>47</v>
      </c>
      <c r="O1800">
        <v>0</v>
      </c>
      <c r="P1800">
        <v>0</v>
      </c>
      <c r="Q1800">
        <v>0</v>
      </c>
      <c r="R1800">
        <v>0</v>
      </c>
      <c r="S1800">
        <v>1</v>
      </c>
      <c r="T1800">
        <v>1</v>
      </c>
      <c r="U1800">
        <v>1</v>
      </c>
      <c r="V1800">
        <v>0</v>
      </c>
      <c r="W1800" t="s">
        <v>1467</v>
      </c>
      <c r="AA1800">
        <v>2007</v>
      </c>
      <c r="AB1800">
        <v>9999</v>
      </c>
      <c r="AC1800" t="s">
        <v>35</v>
      </c>
    </row>
    <row r="1801" spans="1:29" x14ac:dyDescent="0.25">
      <c r="A1801" s="31" t="s">
        <v>768</v>
      </c>
      <c r="B1801" s="23" t="s">
        <v>769</v>
      </c>
      <c r="C1801" t="s">
        <v>770</v>
      </c>
      <c r="D1801">
        <v>1</v>
      </c>
      <c r="E1801" t="s">
        <v>30</v>
      </c>
      <c r="F1801">
        <v>4</v>
      </c>
      <c r="G1801">
        <v>2020</v>
      </c>
      <c r="I1801" s="15">
        <v>400.4</v>
      </c>
      <c r="J1801" t="s">
        <v>1556</v>
      </c>
      <c r="K1801" t="s">
        <v>47</v>
      </c>
      <c r="O1801">
        <v>0</v>
      </c>
      <c r="P1801">
        <v>0</v>
      </c>
      <c r="Q1801">
        <v>0</v>
      </c>
      <c r="R1801">
        <v>0</v>
      </c>
      <c r="S1801">
        <v>1</v>
      </c>
      <c r="T1801">
        <v>1</v>
      </c>
      <c r="U1801">
        <v>1</v>
      </c>
      <c r="V1801">
        <v>0</v>
      </c>
      <c r="W1801" t="s">
        <v>1506</v>
      </c>
      <c r="AA1801">
        <v>2007</v>
      </c>
      <c r="AB1801">
        <v>9999</v>
      </c>
      <c r="AC1801" t="s">
        <v>35</v>
      </c>
    </row>
    <row r="1802" spans="1:29" x14ac:dyDescent="0.25">
      <c r="A1802" s="31" t="s">
        <v>772</v>
      </c>
      <c r="B1802" s="23" t="s">
        <v>773</v>
      </c>
      <c r="C1802" t="s">
        <v>774</v>
      </c>
      <c r="D1802">
        <v>1</v>
      </c>
      <c r="E1802" t="s">
        <v>358</v>
      </c>
      <c r="F1802">
        <v>1</v>
      </c>
      <c r="G1802">
        <v>2020</v>
      </c>
      <c r="I1802" s="15">
        <v>435.2</v>
      </c>
      <c r="J1802" t="s">
        <v>52</v>
      </c>
      <c r="K1802" t="s">
        <v>32</v>
      </c>
      <c r="O1802">
        <v>0</v>
      </c>
      <c r="P1802">
        <v>0</v>
      </c>
      <c r="Q1802">
        <v>0</v>
      </c>
      <c r="R1802">
        <v>0</v>
      </c>
      <c r="S1802">
        <v>1</v>
      </c>
      <c r="T1802">
        <v>1</v>
      </c>
      <c r="U1802">
        <v>1</v>
      </c>
      <c r="V1802">
        <v>0</v>
      </c>
      <c r="W1802" t="s">
        <v>1174</v>
      </c>
      <c r="AA1802">
        <v>2007</v>
      </c>
      <c r="AB1802">
        <v>9999</v>
      </c>
      <c r="AC1802" t="s">
        <v>35</v>
      </c>
    </row>
    <row r="1803" spans="1:29" x14ac:dyDescent="0.25">
      <c r="A1803" s="31" t="s">
        <v>779</v>
      </c>
      <c r="B1803" s="23" t="s">
        <v>780</v>
      </c>
      <c r="D1803">
        <v>1</v>
      </c>
      <c r="E1803" t="s">
        <v>80</v>
      </c>
      <c r="F1803">
        <v>8</v>
      </c>
      <c r="G1803">
        <v>2020</v>
      </c>
      <c r="I1803" s="15">
        <v>66.8</v>
      </c>
      <c r="J1803" t="s">
        <v>81</v>
      </c>
      <c r="K1803" t="s">
        <v>47</v>
      </c>
      <c r="O1803">
        <v>0</v>
      </c>
      <c r="P1803">
        <v>0</v>
      </c>
      <c r="Q1803">
        <v>0</v>
      </c>
      <c r="R1803">
        <v>0</v>
      </c>
      <c r="S1803">
        <v>1</v>
      </c>
      <c r="T1803">
        <v>1</v>
      </c>
      <c r="U1803">
        <v>1</v>
      </c>
      <c r="V1803">
        <v>0</v>
      </c>
      <c r="W1803" t="s">
        <v>1176</v>
      </c>
      <c r="AA1803">
        <v>2007</v>
      </c>
      <c r="AB1803">
        <v>9999</v>
      </c>
      <c r="AC1803" t="s">
        <v>35</v>
      </c>
    </row>
    <row r="1804" spans="1:29" x14ac:dyDescent="0.25">
      <c r="A1804" s="31" t="s">
        <v>782</v>
      </c>
      <c r="B1804" s="23" t="s">
        <v>783</v>
      </c>
      <c r="D1804">
        <v>1</v>
      </c>
      <c r="E1804" t="s">
        <v>784</v>
      </c>
      <c r="F1804">
        <v>6</v>
      </c>
      <c r="G1804">
        <v>2020</v>
      </c>
      <c r="I1804" s="15">
        <v>81.900000000000006</v>
      </c>
      <c r="J1804" t="s">
        <v>31</v>
      </c>
      <c r="K1804" t="s">
        <v>47</v>
      </c>
      <c r="O1804">
        <v>0</v>
      </c>
      <c r="P1804">
        <v>0</v>
      </c>
      <c r="Q1804">
        <v>0</v>
      </c>
      <c r="R1804">
        <v>0</v>
      </c>
      <c r="S1804">
        <v>1</v>
      </c>
      <c r="T1804">
        <v>1</v>
      </c>
      <c r="U1804">
        <v>1</v>
      </c>
      <c r="V1804">
        <v>0</v>
      </c>
      <c r="W1804" t="s">
        <v>1326</v>
      </c>
      <c r="AA1804">
        <v>2007</v>
      </c>
      <c r="AB1804">
        <v>9999</v>
      </c>
      <c r="AC1804" t="s">
        <v>35</v>
      </c>
    </row>
    <row r="1805" spans="1:29" x14ac:dyDescent="0.25">
      <c r="A1805" s="31" t="s">
        <v>786</v>
      </c>
      <c r="B1805" s="23" t="s">
        <v>787</v>
      </c>
      <c r="C1805" t="s">
        <v>788</v>
      </c>
      <c r="D1805">
        <v>1</v>
      </c>
      <c r="E1805" t="s">
        <v>120</v>
      </c>
      <c r="F1805">
        <v>3</v>
      </c>
      <c r="G1805">
        <v>2020</v>
      </c>
      <c r="I1805" s="15">
        <v>28.8</v>
      </c>
      <c r="J1805" t="s">
        <v>121</v>
      </c>
      <c r="K1805" t="s">
        <v>47</v>
      </c>
      <c r="O1805">
        <v>0</v>
      </c>
      <c r="P1805">
        <v>0</v>
      </c>
      <c r="Q1805">
        <v>0</v>
      </c>
      <c r="R1805">
        <v>0</v>
      </c>
      <c r="S1805">
        <v>1</v>
      </c>
      <c r="T1805">
        <v>1</v>
      </c>
      <c r="U1805">
        <v>1</v>
      </c>
      <c r="V1805">
        <v>0</v>
      </c>
      <c r="W1805" t="s">
        <v>1178</v>
      </c>
      <c r="AA1805">
        <v>2007</v>
      </c>
      <c r="AB1805">
        <v>9999</v>
      </c>
      <c r="AC1805" t="s">
        <v>35</v>
      </c>
    </row>
    <row r="1806" spans="1:29" x14ac:dyDescent="0.25">
      <c r="A1806" s="31" t="s">
        <v>790</v>
      </c>
      <c r="B1806" s="23" t="s">
        <v>791</v>
      </c>
      <c r="D1806">
        <v>1</v>
      </c>
      <c r="E1806" t="s">
        <v>80</v>
      </c>
      <c r="F1806">
        <v>8</v>
      </c>
      <c r="G1806">
        <v>2020</v>
      </c>
      <c r="I1806" s="15">
        <v>266.10000000000002</v>
      </c>
      <c r="J1806" t="s">
        <v>81</v>
      </c>
      <c r="K1806" t="s">
        <v>47</v>
      </c>
      <c r="O1806">
        <v>0</v>
      </c>
      <c r="P1806">
        <v>0</v>
      </c>
      <c r="Q1806">
        <v>0</v>
      </c>
      <c r="R1806">
        <v>0</v>
      </c>
      <c r="S1806">
        <v>1</v>
      </c>
      <c r="T1806">
        <v>1</v>
      </c>
      <c r="U1806">
        <v>1</v>
      </c>
      <c r="V1806">
        <v>0</v>
      </c>
      <c r="W1806" t="s">
        <v>1507</v>
      </c>
      <c r="AA1806">
        <v>2007</v>
      </c>
      <c r="AB1806">
        <v>9999</v>
      </c>
      <c r="AC1806" t="s">
        <v>35</v>
      </c>
    </row>
    <row r="1807" spans="1:29" ht="26.25" x14ac:dyDescent="0.25">
      <c r="A1807" s="31" t="s">
        <v>1327</v>
      </c>
      <c r="B1807" s="26" t="s">
        <v>1328</v>
      </c>
      <c r="C1807" t="s">
        <v>1329</v>
      </c>
      <c r="D1807">
        <v>1</v>
      </c>
      <c r="E1807" t="s">
        <v>218</v>
      </c>
      <c r="F1807">
        <v>2</v>
      </c>
      <c r="G1807">
        <v>2020</v>
      </c>
      <c r="I1807" s="15">
        <v>5.8</v>
      </c>
      <c r="J1807" t="s">
        <v>147</v>
      </c>
      <c r="K1807" t="s">
        <v>41</v>
      </c>
      <c r="O1807">
        <v>0</v>
      </c>
      <c r="P1807">
        <v>0</v>
      </c>
      <c r="Q1807">
        <v>0</v>
      </c>
      <c r="R1807">
        <v>0</v>
      </c>
      <c r="S1807">
        <v>0</v>
      </c>
      <c r="T1807">
        <v>1</v>
      </c>
      <c r="U1807">
        <v>1</v>
      </c>
      <c r="V1807">
        <v>0</v>
      </c>
      <c r="W1807" t="s">
        <v>1330</v>
      </c>
      <c r="AA1807">
        <v>2010</v>
      </c>
      <c r="AB1807">
        <v>9999</v>
      </c>
      <c r="AC1807" t="s">
        <v>1292</v>
      </c>
    </row>
    <row r="1808" spans="1:29" x14ac:dyDescent="0.25">
      <c r="A1808" s="31" t="s">
        <v>796</v>
      </c>
      <c r="B1808" s="23" t="s">
        <v>797</v>
      </c>
      <c r="C1808" t="s">
        <v>798</v>
      </c>
      <c r="D1808">
        <v>1</v>
      </c>
      <c r="E1808" t="s">
        <v>534</v>
      </c>
      <c r="F1808">
        <v>10</v>
      </c>
      <c r="G1808">
        <v>2020</v>
      </c>
      <c r="I1808" s="16">
        <v>3509.6</v>
      </c>
      <c r="J1808" t="s">
        <v>40</v>
      </c>
      <c r="K1808" t="s">
        <v>47</v>
      </c>
      <c r="O1808">
        <v>0</v>
      </c>
      <c r="P1808">
        <v>0</v>
      </c>
      <c r="Q1808">
        <v>0</v>
      </c>
      <c r="R1808">
        <v>0</v>
      </c>
      <c r="S1808">
        <v>1</v>
      </c>
      <c r="T1808">
        <v>1</v>
      </c>
      <c r="U1808">
        <v>1</v>
      </c>
      <c r="V1808">
        <v>0</v>
      </c>
      <c r="W1808" t="s">
        <v>1181</v>
      </c>
      <c r="AA1808">
        <v>2007</v>
      </c>
      <c r="AB1808">
        <v>9999</v>
      </c>
      <c r="AC1808" t="s">
        <v>35</v>
      </c>
    </row>
    <row r="1809" spans="1:29" x14ac:dyDescent="0.25">
      <c r="A1809" s="31" t="s">
        <v>800</v>
      </c>
      <c r="B1809" s="23" t="s">
        <v>801</v>
      </c>
      <c r="C1809" t="s">
        <v>802</v>
      </c>
      <c r="D1809">
        <v>1</v>
      </c>
      <c r="E1809" t="s">
        <v>442</v>
      </c>
      <c r="F1809">
        <v>4</v>
      </c>
      <c r="G1809">
        <v>2020</v>
      </c>
      <c r="I1809" s="16">
        <v>1463.1</v>
      </c>
      <c r="J1809" t="s">
        <v>89</v>
      </c>
      <c r="K1809" t="s">
        <v>32</v>
      </c>
      <c r="O1809">
        <v>0</v>
      </c>
      <c r="P1809">
        <v>0</v>
      </c>
      <c r="Q1809">
        <v>0</v>
      </c>
      <c r="R1809">
        <v>0</v>
      </c>
      <c r="S1809">
        <v>1</v>
      </c>
      <c r="T1809">
        <v>1</v>
      </c>
      <c r="U1809">
        <v>1</v>
      </c>
      <c r="V1809">
        <v>0</v>
      </c>
      <c r="W1809" t="s">
        <v>1331</v>
      </c>
      <c r="AA1809">
        <v>2007</v>
      </c>
      <c r="AB1809">
        <v>9999</v>
      </c>
      <c r="AC1809" t="s">
        <v>35</v>
      </c>
    </row>
    <row r="1810" spans="1:29" x14ac:dyDescent="0.25">
      <c r="A1810" s="31" t="s">
        <v>808</v>
      </c>
      <c r="B1810" s="23" t="s">
        <v>809</v>
      </c>
      <c r="D1810">
        <v>1</v>
      </c>
      <c r="E1810" t="s">
        <v>80</v>
      </c>
      <c r="F1810">
        <v>8</v>
      </c>
      <c r="G1810">
        <v>2020</v>
      </c>
      <c r="I1810" s="15">
        <v>25.3</v>
      </c>
      <c r="J1810" t="s">
        <v>81</v>
      </c>
      <c r="K1810" t="s">
        <v>47</v>
      </c>
      <c r="O1810">
        <v>0</v>
      </c>
      <c r="P1810">
        <v>0</v>
      </c>
      <c r="Q1810">
        <v>0</v>
      </c>
      <c r="R1810">
        <v>0</v>
      </c>
      <c r="S1810">
        <v>1</v>
      </c>
      <c r="T1810">
        <v>1</v>
      </c>
      <c r="U1810">
        <v>1</v>
      </c>
      <c r="V1810">
        <v>0</v>
      </c>
      <c r="W1810" t="s">
        <v>1184</v>
      </c>
      <c r="AA1810">
        <v>2007</v>
      </c>
      <c r="AB1810">
        <v>9999</v>
      </c>
      <c r="AC1810" t="s">
        <v>35</v>
      </c>
    </row>
    <row r="1811" spans="1:29" x14ac:dyDescent="0.25">
      <c r="A1811" s="31" t="s">
        <v>814</v>
      </c>
      <c r="B1811" s="23" t="s">
        <v>815</v>
      </c>
      <c r="D1811">
        <v>1</v>
      </c>
      <c r="E1811" t="s">
        <v>80</v>
      </c>
      <c r="F1811">
        <v>8</v>
      </c>
      <c r="G1811">
        <v>2020</v>
      </c>
      <c r="I1811" s="15">
        <v>84.1</v>
      </c>
      <c r="J1811" t="s">
        <v>81</v>
      </c>
      <c r="K1811" t="s">
        <v>32</v>
      </c>
      <c r="O1811">
        <v>0</v>
      </c>
      <c r="P1811">
        <v>0</v>
      </c>
      <c r="Q1811">
        <v>0</v>
      </c>
      <c r="R1811">
        <v>0</v>
      </c>
      <c r="S1811">
        <v>1</v>
      </c>
      <c r="T1811">
        <v>1</v>
      </c>
      <c r="U1811">
        <v>1</v>
      </c>
      <c r="V1811">
        <v>0</v>
      </c>
      <c r="W1811" t="s">
        <v>1432</v>
      </c>
      <c r="AA1811">
        <v>2007</v>
      </c>
      <c r="AB1811">
        <v>9999</v>
      </c>
      <c r="AC1811" t="s">
        <v>35</v>
      </c>
    </row>
    <row r="1812" spans="1:29" x14ac:dyDescent="0.25">
      <c r="A1812" s="31" t="s">
        <v>822</v>
      </c>
      <c r="B1812" s="23" t="s">
        <v>823</v>
      </c>
      <c r="D1812">
        <v>1</v>
      </c>
      <c r="E1812" t="s">
        <v>80</v>
      </c>
      <c r="F1812">
        <v>8</v>
      </c>
      <c r="G1812">
        <v>2020</v>
      </c>
      <c r="I1812" s="15">
        <v>254.9</v>
      </c>
      <c r="J1812" t="s">
        <v>81</v>
      </c>
      <c r="K1812" t="s">
        <v>47</v>
      </c>
      <c r="O1812">
        <v>0</v>
      </c>
      <c r="P1812">
        <v>0</v>
      </c>
      <c r="Q1812">
        <v>0</v>
      </c>
      <c r="R1812">
        <v>0</v>
      </c>
      <c r="S1812">
        <v>1</v>
      </c>
      <c r="T1812">
        <v>1</v>
      </c>
      <c r="U1812">
        <v>1</v>
      </c>
      <c r="V1812">
        <v>0</v>
      </c>
      <c r="W1812" t="s">
        <v>1187</v>
      </c>
      <c r="AA1812">
        <v>2007</v>
      </c>
      <c r="AB1812">
        <v>9999</v>
      </c>
      <c r="AC1812" t="s">
        <v>35</v>
      </c>
    </row>
    <row r="1813" spans="1:29" x14ac:dyDescent="0.25">
      <c r="A1813" s="31" t="s">
        <v>1374</v>
      </c>
      <c r="B1813" s="23" t="s">
        <v>1375</v>
      </c>
      <c r="D1813">
        <v>1</v>
      </c>
      <c r="E1813" t="s">
        <v>80</v>
      </c>
      <c r="F1813">
        <v>8</v>
      </c>
      <c r="G1813">
        <v>2020</v>
      </c>
      <c r="I1813" s="15">
        <v>19</v>
      </c>
      <c r="J1813" t="s">
        <v>81</v>
      </c>
      <c r="K1813" t="s">
        <v>47</v>
      </c>
      <c r="O1813">
        <v>0</v>
      </c>
      <c r="P1813">
        <v>0</v>
      </c>
      <c r="Q1813">
        <v>0</v>
      </c>
      <c r="R1813">
        <v>0</v>
      </c>
      <c r="S1813">
        <v>1</v>
      </c>
      <c r="T1813">
        <v>1</v>
      </c>
      <c r="U1813">
        <v>1</v>
      </c>
      <c r="V1813">
        <v>0</v>
      </c>
      <c r="W1813" t="s">
        <v>1376</v>
      </c>
      <c r="AA1813">
        <v>2011</v>
      </c>
      <c r="AB1813">
        <v>2023</v>
      </c>
      <c r="AC1813" t="s">
        <v>1377</v>
      </c>
    </row>
    <row r="1814" spans="1:29" x14ac:dyDescent="0.25">
      <c r="A1814" s="31" t="s">
        <v>825</v>
      </c>
      <c r="B1814" s="23" t="s">
        <v>826</v>
      </c>
      <c r="D1814">
        <v>1</v>
      </c>
      <c r="E1814" t="s">
        <v>80</v>
      </c>
      <c r="F1814">
        <v>8</v>
      </c>
      <c r="G1814">
        <v>2020</v>
      </c>
      <c r="I1814" s="15">
        <v>135.30000000000001</v>
      </c>
      <c r="J1814" t="s">
        <v>81</v>
      </c>
      <c r="K1814" t="s">
        <v>47</v>
      </c>
      <c r="O1814">
        <v>0</v>
      </c>
      <c r="P1814">
        <v>0</v>
      </c>
      <c r="Q1814">
        <v>0</v>
      </c>
      <c r="R1814">
        <v>0</v>
      </c>
      <c r="S1814">
        <v>1</v>
      </c>
      <c r="T1814">
        <v>1</v>
      </c>
      <c r="U1814">
        <v>1</v>
      </c>
      <c r="V1814">
        <v>0</v>
      </c>
      <c r="W1814" t="s">
        <v>1188</v>
      </c>
      <c r="AA1814">
        <v>2007</v>
      </c>
      <c r="AB1814">
        <v>9999</v>
      </c>
      <c r="AC1814" t="s">
        <v>35</v>
      </c>
    </row>
    <row r="1815" spans="1:29" x14ac:dyDescent="0.25">
      <c r="A1815" s="31" t="s">
        <v>828</v>
      </c>
      <c r="B1815" s="25" t="s">
        <v>1408</v>
      </c>
      <c r="C1815" t="s">
        <v>1409</v>
      </c>
      <c r="D1815">
        <v>1</v>
      </c>
      <c r="E1815" t="s">
        <v>80</v>
      </c>
      <c r="F1815">
        <v>8</v>
      </c>
      <c r="G1815">
        <v>2020</v>
      </c>
      <c r="I1815" s="15">
        <v>70.2</v>
      </c>
      <c r="J1815" t="s">
        <v>81</v>
      </c>
      <c r="K1815" t="s">
        <v>47</v>
      </c>
      <c r="O1815">
        <v>0</v>
      </c>
      <c r="P1815">
        <v>0</v>
      </c>
      <c r="Q1815">
        <v>0</v>
      </c>
      <c r="R1815">
        <v>0</v>
      </c>
      <c r="S1815">
        <v>1</v>
      </c>
      <c r="T1815">
        <v>1</v>
      </c>
      <c r="U1815">
        <v>1</v>
      </c>
      <c r="V1815">
        <v>0</v>
      </c>
      <c r="W1815" t="s">
        <v>1410</v>
      </c>
      <c r="AA1815">
        <v>2007</v>
      </c>
      <c r="AB1815">
        <v>9999</v>
      </c>
      <c r="AC1815" t="s">
        <v>35</v>
      </c>
    </row>
    <row r="1816" spans="1:29" x14ac:dyDescent="0.25">
      <c r="A1816" s="31" t="s">
        <v>831</v>
      </c>
      <c r="B1816" s="23" t="s">
        <v>832</v>
      </c>
      <c r="C1816" t="s">
        <v>833</v>
      </c>
      <c r="D1816">
        <v>1</v>
      </c>
      <c r="E1816" t="s">
        <v>38</v>
      </c>
      <c r="F1816">
        <v>4</v>
      </c>
      <c r="G1816">
        <v>2020</v>
      </c>
      <c r="H1816" t="s">
        <v>906</v>
      </c>
      <c r="I1816" s="15">
        <v>0.05</v>
      </c>
      <c r="J1816" t="s">
        <v>59</v>
      </c>
      <c r="K1816" t="s">
        <v>41</v>
      </c>
      <c r="O1816">
        <v>0</v>
      </c>
      <c r="P1816">
        <v>0</v>
      </c>
      <c r="Q1816">
        <v>0</v>
      </c>
      <c r="R1816">
        <v>0</v>
      </c>
      <c r="S1816">
        <v>0</v>
      </c>
      <c r="T1816">
        <v>0</v>
      </c>
      <c r="U1816">
        <v>0</v>
      </c>
      <c r="V1816">
        <v>0</v>
      </c>
      <c r="W1816" t="s">
        <v>1190</v>
      </c>
      <c r="AA1816">
        <v>2007</v>
      </c>
      <c r="AB1816">
        <v>9999</v>
      </c>
      <c r="AC1816" t="s">
        <v>35</v>
      </c>
    </row>
    <row r="1817" spans="1:29" x14ac:dyDescent="0.25">
      <c r="A1817" s="31" t="s">
        <v>1433</v>
      </c>
      <c r="B1817" s="23" t="s">
        <v>1434</v>
      </c>
      <c r="D1817">
        <v>1</v>
      </c>
      <c r="E1817" s="4">
        <v>133</v>
      </c>
      <c r="F1817">
        <v>1</v>
      </c>
      <c r="G1817">
        <v>2020</v>
      </c>
      <c r="I1817" s="15">
        <v>1207.3</v>
      </c>
      <c r="J1817" t="s">
        <v>52</v>
      </c>
      <c r="K1817" t="s">
        <v>32</v>
      </c>
      <c r="O1817">
        <v>0</v>
      </c>
      <c r="P1817">
        <v>0</v>
      </c>
      <c r="Q1817">
        <v>0</v>
      </c>
      <c r="R1817">
        <v>0</v>
      </c>
      <c r="S1817">
        <v>1</v>
      </c>
      <c r="T1817">
        <v>1</v>
      </c>
      <c r="U1817">
        <v>1</v>
      </c>
      <c r="V1817">
        <v>0</v>
      </c>
      <c r="W1817" t="s">
        <v>1435</v>
      </c>
      <c r="AA1817">
        <v>2013</v>
      </c>
      <c r="AB1817">
        <v>9999</v>
      </c>
      <c r="AC1817" t="s">
        <v>1419</v>
      </c>
    </row>
    <row r="1818" spans="1:29" x14ac:dyDescent="0.25">
      <c r="A1818" s="31" t="s">
        <v>1194</v>
      </c>
      <c r="B1818" s="23" t="s">
        <v>1195</v>
      </c>
      <c r="D1818">
        <v>1</v>
      </c>
      <c r="E1818" t="s">
        <v>85</v>
      </c>
      <c r="F1818">
        <v>1</v>
      </c>
      <c r="G1818">
        <v>2020</v>
      </c>
      <c r="H1818" t="s">
        <v>39</v>
      </c>
      <c r="I1818" s="15">
        <v>0.18</v>
      </c>
      <c r="J1818" t="s">
        <v>52</v>
      </c>
      <c r="K1818" t="s">
        <v>41</v>
      </c>
      <c r="O1818">
        <v>0</v>
      </c>
      <c r="P1818">
        <v>0</v>
      </c>
      <c r="Q1818">
        <v>0</v>
      </c>
      <c r="R1818">
        <v>0</v>
      </c>
      <c r="S1818">
        <v>0</v>
      </c>
      <c r="T1818">
        <v>0</v>
      </c>
      <c r="U1818">
        <v>0</v>
      </c>
      <c r="V1818">
        <v>0</v>
      </c>
      <c r="W1818" t="s">
        <v>1267</v>
      </c>
      <c r="AA1818">
        <v>2008</v>
      </c>
      <c r="AB1818">
        <v>9999</v>
      </c>
      <c r="AC1818" t="s">
        <v>1054</v>
      </c>
    </row>
    <row r="1819" spans="1:29" x14ac:dyDescent="0.25">
      <c r="A1819" s="31" t="s">
        <v>1268</v>
      </c>
      <c r="B1819" s="23" t="s">
        <v>1262</v>
      </c>
      <c r="D1819">
        <v>1</v>
      </c>
      <c r="E1819" t="s">
        <v>300</v>
      </c>
      <c r="F1819">
        <v>9</v>
      </c>
      <c r="G1819">
        <v>2020</v>
      </c>
      <c r="I1819" s="15">
        <v>371.6</v>
      </c>
      <c r="J1819" t="s">
        <v>104</v>
      </c>
      <c r="K1819" t="s">
        <v>47</v>
      </c>
      <c r="O1819">
        <v>0</v>
      </c>
      <c r="P1819">
        <v>0</v>
      </c>
      <c r="Q1819">
        <v>0</v>
      </c>
      <c r="R1819">
        <v>0</v>
      </c>
      <c r="S1819">
        <v>1</v>
      </c>
      <c r="T1819">
        <v>1</v>
      </c>
      <c r="U1819">
        <v>1</v>
      </c>
      <c r="V1819">
        <v>0</v>
      </c>
      <c r="W1819" t="s">
        <v>1411</v>
      </c>
      <c r="AA1819">
        <v>2009</v>
      </c>
      <c r="AB1819">
        <v>9999</v>
      </c>
      <c r="AC1819" t="s">
        <v>1239</v>
      </c>
    </row>
    <row r="1820" spans="1:29" x14ac:dyDescent="0.25">
      <c r="A1820" s="31" t="s">
        <v>845</v>
      </c>
      <c r="B1820" s="23" t="s">
        <v>846</v>
      </c>
      <c r="C1820" t="s">
        <v>847</v>
      </c>
      <c r="D1820">
        <v>1</v>
      </c>
      <c r="E1820" t="s">
        <v>300</v>
      </c>
      <c r="F1820">
        <v>9</v>
      </c>
      <c r="G1820">
        <v>2020</v>
      </c>
      <c r="I1820" s="15">
        <v>684.6</v>
      </c>
      <c r="J1820" t="s">
        <v>104</v>
      </c>
      <c r="K1820" t="s">
        <v>47</v>
      </c>
      <c r="O1820">
        <v>0</v>
      </c>
      <c r="P1820">
        <v>0</v>
      </c>
      <c r="Q1820">
        <v>0</v>
      </c>
      <c r="R1820">
        <v>0</v>
      </c>
      <c r="S1820">
        <v>1</v>
      </c>
      <c r="T1820">
        <v>1</v>
      </c>
      <c r="U1820">
        <v>1</v>
      </c>
      <c r="V1820">
        <v>0</v>
      </c>
      <c r="W1820" t="s">
        <v>1517</v>
      </c>
      <c r="AA1820">
        <v>2007</v>
      </c>
      <c r="AB1820">
        <v>9999</v>
      </c>
      <c r="AC1820" t="s">
        <v>35</v>
      </c>
    </row>
    <row r="1821" spans="1:29" x14ac:dyDescent="0.25">
      <c r="A1821" s="31" t="s">
        <v>852</v>
      </c>
      <c r="B1821" s="23" t="s">
        <v>853</v>
      </c>
      <c r="D1821">
        <v>1</v>
      </c>
      <c r="E1821" t="s">
        <v>85</v>
      </c>
      <c r="F1821">
        <v>1</v>
      </c>
      <c r="G1821">
        <v>2020</v>
      </c>
      <c r="H1821" t="s">
        <v>837</v>
      </c>
      <c r="I1821" s="15">
        <v>1.2999999999999999E-2</v>
      </c>
      <c r="J1821" t="s">
        <v>52</v>
      </c>
      <c r="K1821" t="s">
        <v>41</v>
      </c>
      <c r="O1821">
        <v>0</v>
      </c>
      <c r="P1821">
        <v>0</v>
      </c>
      <c r="Q1821">
        <v>0</v>
      </c>
      <c r="R1821">
        <v>0</v>
      </c>
      <c r="S1821">
        <v>0</v>
      </c>
      <c r="T1821">
        <v>0</v>
      </c>
      <c r="U1821">
        <v>0</v>
      </c>
      <c r="V1821">
        <v>0</v>
      </c>
      <c r="W1821" t="s">
        <v>1191</v>
      </c>
      <c r="AA1821">
        <v>2007</v>
      </c>
      <c r="AB1821">
        <v>9999</v>
      </c>
      <c r="AC1821" t="s">
        <v>35</v>
      </c>
    </row>
    <row r="1822" spans="1:29" x14ac:dyDescent="0.25">
      <c r="A1822" s="31" t="s">
        <v>836</v>
      </c>
      <c r="B1822" s="23" t="s">
        <v>1413</v>
      </c>
      <c r="D1822">
        <v>1</v>
      </c>
      <c r="E1822" t="s">
        <v>64</v>
      </c>
      <c r="F1822">
        <v>1</v>
      </c>
      <c r="G1822">
        <v>2020</v>
      </c>
      <c r="I1822" s="15">
        <v>232.9</v>
      </c>
      <c r="J1822" t="s">
        <v>52</v>
      </c>
      <c r="K1822" t="s">
        <v>32</v>
      </c>
      <c r="O1822">
        <v>0</v>
      </c>
      <c r="P1822">
        <v>0</v>
      </c>
      <c r="Q1822">
        <v>0</v>
      </c>
      <c r="R1822">
        <v>0</v>
      </c>
      <c r="S1822">
        <v>1</v>
      </c>
      <c r="T1822">
        <v>1</v>
      </c>
      <c r="U1822">
        <v>1</v>
      </c>
      <c r="V1822">
        <v>0</v>
      </c>
      <c r="W1822" t="s">
        <v>1191</v>
      </c>
      <c r="AA1822">
        <v>2007</v>
      </c>
      <c r="AB1822">
        <v>9999</v>
      </c>
      <c r="AC1822" t="s">
        <v>35</v>
      </c>
    </row>
    <row r="1823" spans="1:29" x14ac:dyDescent="0.25">
      <c r="A1823" s="31" t="s">
        <v>862</v>
      </c>
      <c r="B1823" s="23" t="s">
        <v>863</v>
      </c>
      <c r="C1823" t="s">
        <v>864</v>
      </c>
      <c r="D1823">
        <v>1</v>
      </c>
      <c r="E1823" t="s">
        <v>442</v>
      </c>
      <c r="F1823">
        <v>4</v>
      </c>
      <c r="G1823">
        <v>2020</v>
      </c>
      <c r="I1823" s="15">
        <v>320.7</v>
      </c>
      <c r="J1823" t="s">
        <v>89</v>
      </c>
      <c r="K1823" t="s">
        <v>47</v>
      </c>
      <c r="O1823">
        <v>0</v>
      </c>
      <c r="P1823">
        <v>0</v>
      </c>
      <c r="Q1823">
        <v>0</v>
      </c>
      <c r="R1823">
        <v>0</v>
      </c>
      <c r="S1823">
        <v>1</v>
      </c>
      <c r="T1823">
        <v>1</v>
      </c>
      <c r="U1823">
        <v>1</v>
      </c>
      <c r="V1823">
        <v>0</v>
      </c>
      <c r="W1823" t="s">
        <v>1334</v>
      </c>
      <c r="AA1823">
        <v>2007</v>
      </c>
      <c r="AB1823">
        <v>9999</v>
      </c>
      <c r="AC1823" t="s">
        <v>35</v>
      </c>
    </row>
    <row r="1824" spans="1:29" x14ac:dyDescent="0.25">
      <c r="A1824" s="31" t="s">
        <v>866</v>
      </c>
      <c r="B1824" s="23" t="s">
        <v>867</v>
      </c>
      <c r="C1824" t="s">
        <v>868</v>
      </c>
      <c r="D1824">
        <v>1</v>
      </c>
      <c r="E1824" t="s">
        <v>869</v>
      </c>
      <c r="F1824">
        <v>4</v>
      </c>
      <c r="G1824">
        <v>2020</v>
      </c>
      <c r="I1824" s="15">
        <v>196.8</v>
      </c>
      <c r="J1824" t="s">
        <v>1556</v>
      </c>
      <c r="K1824" t="s">
        <v>32</v>
      </c>
      <c r="O1824">
        <v>0</v>
      </c>
      <c r="P1824">
        <v>0</v>
      </c>
      <c r="Q1824">
        <v>0</v>
      </c>
      <c r="R1824">
        <v>0</v>
      </c>
      <c r="S1824">
        <v>1</v>
      </c>
      <c r="T1824">
        <v>1</v>
      </c>
      <c r="U1824">
        <v>1</v>
      </c>
      <c r="V1824">
        <v>0</v>
      </c>
      <c r="W1824" t="s">
        <v>1199</v>
      </c>
      <c r="AA1824">
        <v>2007</v>
      </c>
      <c r="AB1824">
        <v>9999</v>
      </c>
      <c r="AC1824" t="s">
        <v>35</v>
      </c>
    </row>
    <row r="1825" spans="1:29" x14ac:dyDescent="0.25">
      <c r="A1825" s="31" t="s">
        <v>1023</v>
      </c>
      <c r="B1825" s="23" t="s">
        <v>1200</v>
      </c>
      <c r="D1825">
        <v>1</v>
      </c>
      <c r="E1825" t="s">
        <v>85</v>
      </c>
      <c r="F1825">
        <v>1</v>
      </c>
      <c r="G1825">
        <v>2020</v>
      </c>
      <c r="H1825" t="s">
        <v>39</v>
      </c>
      <c r="I1825" s="15">
        <v>3.5</v>
      </c>
      <c r="J1825" t="s">
        <v>52</v>
      </c>
      <c r="K1825" t="s">
        <v>41</v>
      </c>
      <c r="O1825">
        <v>0</v>
      </c>
      <c r="P1825">
        <v>0</v>
      </c>
      <c r="Q1825">
        <v>0</v>
      </c>
      <c r="R1825">
        <v>0</v>
      </c>
      <c r="S1825">
        <v>0</v>
      </c>
      <c r="T1825">
        <v>0</v>
      </c>
      <c r="U1825">
        <v>0</v>
      </c>
      <c r="V1825">
        <v>0</v>
      </c>
      <c r="W1825" t="s">
        <v>1271</v>
      </c>
      <c r="AA1825">
        <v>2007</v>
      </c>
      <c r="AB1825">
        <v>9999</v>
      </c>
      <c r="AC1825" t="s">
        <v>35</v>
      </c>
    </row>
    <row r="1826" spans="1:29" x14ac:dyDescent="0.25">
      <c r="A1826" s="31" t="s">
        <v>871</v>
      </c>
      <c r="B1826" s="23" t="s">
        <v>872</v>
      </c>
      <c r="C1826" t="s">
        <v>873</v>
      </c>
      <c r="D1826">
        <v>1</v>
      </c>
      <c r="E1826" t="s">
        <v>874</v>
      </c>
      <c r="F1826">
        <v>1</v>
      </c>
      <c r="G1826">
        <v>2020</v>
      </c>
      <c r="I1826" s="16">
        <v>1059.5</v>
      </c>
      <c r="J1826" t="s">
        <v>52</v>
      </c>
      <c r="K1826" t="s">
        <v>47</v>
      </c>
      <c r="O1826">
        <v>0</v>
      </c>
      <c r="P1826">
        <v>0</v>
      </c>
      <c r="Q1826">
        <v>0</v>
      </c>
      <c r="R1826">
        <v>0</v>
      </c>
      <c r="S1826">
        <v>1</v>
      </c>
      <c r="T1826">
        <v>1</v>
      </c>
      <c r="U1826">
        <v>1</v>
      </c>
      <c r="V1826">
        <v>0</v>
      </c>
      <c r="W1826" t="s">
        <v>1528</v>
      </c>
      <c r="AA1826">
        <v>2007</v>
      </c>
      <c r="AB1826">
        <v>9999</v>
      </c>
      <c r="AC1826" t="s">
        <v>35</v>
      </c>
    </row>
    <row r="1827" spans="1:29" x14ac:dyDescent="0.25">
      <c r="A1827" s="31" t="s">
        <v>876</v>
      </c>
      <c r="B1827" s="23" t="s">
        <v>877</v>
      </c>
      <c r="C1827" t="s">
        <v>878</v>
      </c>
      <c r="D1827">
        <v>1</v>
      </c>
      <c r="E1827" t="s">
        <v>168</v>
      </c>
      <c r="F1827">
        <v>1</v>
      </c>
      <c r="G1827">
        <v>2020</v>
      </c>
      <c r="I1827" s="15">
        <v>70.400000000000006</v>
      </c>
      <c r="J1827" t="s">
        <v>52</v>
      </c>
      <c r="K1827" t="s">
        <v>47</v>
      </c>
      <c r="O1827">
        <v>0</v>
      </c>
      <c r="P1827">
        <v>0</v>
      </c>
      <c r="Q1827">
        <v>0</v>
      </c>
      <c r="R1827">
        <v>0</v>
      </c>
      <c r="S1827">
        <v>1</v>
      </c>
      <c r="T1827">
        <v>1</v>
      </c>
      <c r="U1827">
        <v>1</v>
      </c>
      <c r="V1827">
        <v>0</v>
      </c>
      <c r="W1827" t="s">
        <v>1202</v>
      </c>
      <c r="AA1827">
        <v>2007</v>
      </c>
      <c r="AB1827">
        <v>9999</v>
      </c>
      <c r="AC1827" t="s">
        <v>35</v>
      </c>
    </row>
    <row r="1828" spans="1:29" x14ac:dyDescent="0.25">
      <c r="A1828" s="31" t="s">
        <v>1468</v>
      </c>
      <c r="B1828" s="24" t="s">
        <v>1469</v>
      </c>
      <c r="D1828">
        <v>1</v>
      </c>
      <c r="E1828" s="4">
        <v>941</v>
      </c>
      <c r="F1828">
        <v>9</v>
      </c>
      <c r="G1828">
        <v>2020</v>
      </c>
      <c r="I1828" s="15">
        <v>203.3</v>
      </c>
      <c r="J1828" t="s">
        <v>104</v>
      </c>
      <c r="K1828" t="s">
        <v>53</v>
      </c>
      <c r="L1828" t="s">
        <v>105</v>
      </c>
      <c r="O1828">
        <v>0</v>
      </c>
      <c r="P1828">
        <v>1</v>
      </c>
      <c r="Q1828">
        <v>0</v>
      </c>
      <c r="R1828">
        <v>0</v>
      </c>
      <c r="S1828">
        <v>1</v>
      </c>
      <c r="T1828">
        <v>1</v>
      </c>
      <c r="U1828">
        <v>1</v>
      </c>
      <c r="V1828">
        <v>0</v>
      </c>
      <c r="W1828" t="s">
        <v>106</v>
      </c>
      <c r="AA1828">
        <v>2014</v>
      </c>
      <c r="AB1828">
        <v>9999</v>
      </c>
      <c r="AC1828" t="s">
        <v>1449</v>
      </c>
    </row>
    <row r="1829" spans="1:29" x14ac:dyDescent="0.25">
      <c r="A1829" s="31" t="s">
        <v>880</v>
      </c>
      <c r="B1829" s="23" t="s">
        <v>881</v>
      </c>
      <c r="C1829" t="s">
        <v>882</v>
      </c>
      <c r="D1829">
        <v>1</v>
      </c>
      <c r="E1829" t="s">
        <v>103</v>
      </c>
      <c r="F1829">
        <v>9</v>
      </c>
      <c r="G1829">
        <v>2020</v>
      </c>
      <c r="I1829" s="16">
        <v>5027.3</v>
      </c>
      <c r="J1829" t="s">
        <v>104</v>
      </c>
      <c r="K1829" t="s">
        <v>53</v>
      </c>
      <c r="L1829" t="s">
        <v>105</v>
      </c>
      <c r="O1829">
        <v>0</v>
      </c>
      <c r="P1829">
        <v>1</v>
      </c>
      <c r="Q1829">
        <v>0</v>
      </c>
      <c r="R1829">
        <v>0</v>
      </c>
      <c r="S1829">
        <v>1</v>
      </c>
      <c r="T1829">
        <v>1</v>
      </c>
      <c r="U1829">
        <v>1</v>
      </c>
      <c r="V1829">
        <v>0</v>
      </c>
      <c r="W1829" t="s">
        <v>106</v>
      </c>
      <c r="AA1829">
        <v>2007</v>
      </c>
      <c r="AB1829">
        <v>9999</v>
      </c>
      <c r="AC1829" t="s">
        <v>35</v>
      </c>
    </row>
    <row r="1830" spans="1:29" x14ac:dyDescent="0.25">
      <c r="A1830" s="31" t="s">
        <v>1272</v>
      </c>
      <c r="B1830" s="23" t="s">
        <v>1273</v>
      </c>
      <c r="D1830">
        <v>1</v>
      </c>
      <c r="E1830" t="s">
        <v>1274</v>
      </c>
      <c r="F1830">
        <v>4</v>
      </c>
      <c r="G1830">
        <v>2020</v>
      </c>
      <c r="I1830" s="15">
        <v>293.3</v>
      </c>
      <c r="J1830" t="s">
        <v>31</v>
      </c>
      <c r="K1830" t="s">
        <v>47</v>
      </c>
      <c r="O1830">
        <v>0</v>
      </c>
      <c r="P1830">
        <v>0</v>
      </c>
      <c r="Q1830">
        <v>0</v>
      </c>
      <c r="R1830">
        <v>0</v>
      </c>
      <c r="S1830">
        <v>1</v>
      </c>
      <c r="T1830">
        <v>1</v>
      </c>
      <c r="U1830">
        <v>1</v>
      </c>
      <c r="V1830">
        <v>0</v>
      </c>
      <c r="W1830" t="s">
        <v>1275</v>
      </c>
      <c r="AA1830">
        <v>2009</v>
      </c>
      <c r="AB1830">
        <v>9999</v>
      </c>
      <c r="AC1830" t="s">
        <v>1239</v>
      </c>
    </row>
    <row r="1831" spans="1:29" x14ac:dyDescent="0.25">
      <c r="A1831" s="31" t="s">
        <v>883</v>
      </c>
      <c r="B1831" s="23" t="s">
        <v>884</v>
      </c>
      <c r="C1831" t="s">
        <v>885</v>
      </c>
      <c r="D1831">
        <v>1</v>
      </c>
      <c r="E1831" t="s">
        <v>45</v>
      </c>
      <c r="F1831">
        <v>4</v>
      </c>
      <c r="G1831">
        <v>2020</v>
      </c>
      <c r="I1831" s="15">
        <v>99.4</v>
      </c>
      <c r="J1831" t="s">
        <v>176</v>
      </c>
      <c r="K1831" t="s">
        <v>47</v>
      </c>
      <c r="O1831">
        <v>0</v>
      </c>
      <c r="P1831">
        <v>0</v>
      </c>
      <c r="Q1831">
        <v>0</v>
      </c>
      <c r="R1831">
        <v>0</v>
      </c>
      <c r="S1831">
        <v>1</v>
      </c>
      <c r="T1831">
        <v>1</v>
      </c>
      <c r="U1831">
        <v>1</v>
      </c>
      <c r="V1831">
        <v>0</v>
      </c>
      <c r="W1831" t="s">
        <v>1335</v>
      </c>
      <c r="AA1831">
        <v>2007</v>
      </c>
      <c r="AB1831">
        <v>9999</v>
      </c>
      <c r="AC1831" t="s">
        <v>35</v>
      </c>
    </row>
    <row r="1832" spans="1:29" x14ac:dyDescent="0.25">
      <c r="A1832" s="31" t="s">
        <v>887</v>
      </c>
      <c r="B1832" s="23" t="s">
        <v>888</v>
      </c>
      <c r="C1832" t="s">
        <v>889</v>
      </c>
      <c r="D1832">
        <v>1</v>
      </c>
      <c r="E1832" t="s">
        <v>335</v>
      </c>
      <c r="F1832">
        <v>1</v>
      </c>
      <c r="G1832">
        <v>2020</v>
      </c>
      <c r="I1832" s="15">
        <v>545.4</v>
      </c>
      <c r="J1832" t="s">
        <v>176</v>
      </c>
      <c r="K1832" t="s">
        <v>32</v>
      </c>
      <c r="O1832">
        <v>0</v>
      </c>
      <c r="P1832">
        <v>0</v>
      </c>
      <c r="Q1832">
        <v>0</v>
      </c>
      <c r="R1832">
        <v>0</v>
      </c>
      <c r="S1832">
        <v>1</v>
      </c>
      <c r="T1832">
        <v>1</v>
      </c>
      <c r="U1832">
        <v>1</v>
      </c>
      <c r="V1832">
        <v>0</v>
      </c>
      <c r="W1832" t="s">
        <v>1381</v>
      </c>
      <c r="AA1832">
        <v>2007</v>
      </c>
      <c r="AB1832">
        <v>9999</v>
      </c>
      <c r="AC1832" t="s">
        <v>35</v>
      </c>
    </row>
    <row r="1833" spans="1:29" x14ac:dyDescent="0.25">
      <c r="A1833" s="31" t="s">
        <v>894</v>
      </c>
      <c r="B1833" s="23" t="s">
        <v>895</v>
      </c>
      <c r="D1833">
        <v>1</v>
      </c>
      <c r="E1833" t="s">
        <v>38</v>
      </c>
      <c r="F1833">
        <v>4</v>
      </c>
      <c r="G1833">
        <v>2020</v>
      </c>
      <c r="H1833" t="s">
        <v>715</v>
      </c>
      <c r="I1833" s="15">
        <v>0</v>
      </c>
      <c r="J1833" s="2" t="s">
        <v>89</v>
      </c>
      <c r="K1833" t="s">
        <v>53</v>
      </c>
      <c r="L1833" t="s">
        <v>53</v>
      </c>
      <c r="O1833">
        <v>0</v>
      </c>
      <c r="P1833">
        <v>0</v>
      </c>
      <c r="Q1833">
        <v>0</v>
      </c>
      <c r="R1833">
        <v>0</v>
      </c>
      <c r="S1833">
        <v>0</v>
      </c>
      <c r="T1833">
        <v>0</v>
      </c>
      <c r="U1833">
        <v>0</v>
      </c>
      <c r="V1833">
        <v>0</v>
      </c>
      <c r="W1833" t="s">
        <v>897</v>
      </c>
      <c r="AA1833">
        <v>2007</v>
      </c>
      <c r="AB1833">
        <v>9999</v>
      </c>
      <c r="AC1833" t="s">
        <v>35</v>
      </c>
    </row>
    <row r="1834" spans="1:29" x14ac:dyDescent="0.25">
      <c r="A1834" s="31" t="s">
        <v>900</v>
      </c>
      <c r="B1834" s="23" t="s">
        <v>901</v>
      </c>
      <c r="D1834">
        <v>1</v>
      </c>
      <c r="E1834" t="s">
        <v>38</v>
      </c>
      <c r="F1834">
        <v>4</v>
      </c>
      <c r="G1834">
        <v>2020</v>
      </c>
      <c r="H1834" t="s">
        <v>596</v>
      </c>
      <c r="I1834" s="15">
        <v>0.5</v>
      </c>
      <c r="J1834" t="s">
        <v>89</v>
      </c>
      <c r="K1834" t="s">
        <v>53</v>
      </c>
      <c r="L1834" t="s">
        <v>902</v>
      </c>
      <c r="O1834">
        <v>0</v>
      </c>
      <c r="P1834">
        <v>0</v>
      </c>
      <c r="Q1834">
        <v>0</v>
      </c>
      <c r="R1834">
        <v>0</v>
      </c>
      <c r="S1834">
        <v>0</v>
      </c>
      <c r="T1834">
        <v>0</v>
      </c>
      <c r="U1834">
        <v>0</v>
      </c>
      <c r="V1834">
        <v>0</v>
      </c>
      <c r="W1834" t="s">
        <v>903</v>
      </c>
      <c r="AA1834">
        <v>2007</v>
      </c>
      <c r="AB1834">
        <v>9999</v>
      </c>
      <c r="AC1834" t="s">
        <v>35</v>
      </c>
    </row>
    <row r="1835" spans="1:29" x14ac:dyDescent="0.25">
      <c r="A1835" s="31" t="s">
        <v>904</v>
      </c>
      <c r="B1835" s="23" t="s">
        <v>1436</v>
      </c>
      <c r="D1835">
        <v>1</v>
      </c>
      <c r="E1835" t="s">
        <v>38</v>
      </c>
      <c r="F1835">
        <v>4</v>
      </c>
      <c r="G1835">
        <v>2020</v>
      </c>
      <c r="H1835" t="s">
        <v>906</v>
      </c>
      <c r="I1835" s="15">
        <v>0.5</v>
      </c>
      <c r="J1835" t="s">
        <v>59</v>
      </c>
      <c r="K1835" t="s">
        <v>53</v>
      </c>
      <c r="L1835" t="s">
        <v>902</v>
      </c>
      <c r="O1835">
        <v>0</v>
      </c>
      <c r="P1835">
        <v>0</v>
      </c>
      <c r="Q1835">
        <v>0</v>
      </c>
      <c r="R1835">
        <v>0</v>
      </c>
      <c r="S1835">
        <v>0</v>
      </c>
      <c r="T1835">
        <v>0</v>
      </c>
      <c r="U1835">
        <v>0</v>
      </c>
      <c r="V1835">
        <v>0</v>
      </c>
      <c r="W1835" t="s">
        <v>907</v>
      </c>
      <c r="AA1835">
        <v>2007</v>
      </c>
      <c r="AB1835">
        <v>9999</v>
      </c>
      <c r="AC1835" t="s">
        <v>35</v>
      </c>
    </row>
    <row r="1836" spans="1:29" x14ac:dyDescent="0.25">
      <c r="A1836" s="31" t="s">
        <v>908</v>
      </c>
      <c r="B1836" s="23" t="s">
        <v>909</v>
      </c>
      <c r="C1836" t="s">
        <v>910</v>
      </c>
      <c r="D1836">
        <v>1</v>
      </c>
      <c r="E1836" t="s">
        <v>911</v>
      </c>
      <c r="F1836">
        <v>1</v>
      </c>
      <c r="G1836">
        <v>2020</v>
      </c>
      <c r="I1836" s="15">
        <v>119.9</v>
      </c>
      <c r="J1836" t="s">
        <v>176</v>
      </c>
      <c r="K1836" t="s">
        <v>47</v>
      </c>
      <c r="O1836">
        <v>0</v>
      </c>
      <c r="P1836">
        <v>0</v>
      </c>
      <c r="Q1836">
        <v>0</v>
      </c>
      <c r="R1836">
        <v>0</v>
      </c>
      <c r="S1836">
        <v>1</v>
      </c>
      <c r="T1836">
        <v>1</v>
      </c>
      <c r="U1836">
        <v>1</v>
      </c>
      <c r="V1836">
        <v>0</v>
      </c>
      <c r="W1836" t="s">
        <v>1518</v>
      </c>
      <c r="AA1836">
        <v>2007</v>
      </c>
      <c r="AB1836">
        <v>9999</v>
      </c>
      <c r="AC1836" t="s">
        <v>35</v>
      </c>
    </row>
    <row r="1837" spans="1:29" x14ac:dyDescent="0.25">
      <c r="A1837" s="31" t="s">
        <v>913</v>
      </c>
      <c r="B1837" s="23" t="s">
        <v>914</v>
      </c>
      <c r="C1837" t="s">
        <v>915</v>
      </c>
      <c r="D1837">
        <v>1</v>
      </c>
      <c r="E1837" t="s">
        <v>911</v>
      </c>
      <c r="F1837">
        <v>1</v>
      </c>
      <c r="G1837">
        <v>2020</v>
      </c>
      <c r="I1837" s="15">
        <v>11.9</v>
      </c>
      <c r="J1837" t="s">
        <v>268</v>
      </c>
      <c r="K1837" t="s">
        <v>47</v>
      </c>
      <c r="O1837">
        <v>0</v>
      </c>
      <c r="P1837">
        <v>0</v>
      </c>
      <c r="Q1837">
        <v>0</v>
      </c>
      <c r="R1837">
        <v>0</v>
      </c>
      <c r="S1837">
        <v>1</v>
      </c>
      <c r="T1837">
        <v>1</v>
      </c>
      <c r="U1837">
        <v>1</v>
      </c>
      <c r="V1837">
        <v>0</v>
      </c>
      <c r="W1837" t="s">
        <v>1276</v>
      </c>
      <c r="AA1837">
        <v>2007</v>
      </c>
      <c r="AB1837">
        <v>9999</v>
      </c>
      <c r="AC1837" t="s">
        <v>35</v>
      </c>
    </row>
    <row r="1838" spans="1:29" x14ac:dyDescent="0.25">
      <c r="A1838" s="31" t="s">
        <v>1529</v>
      </c>
      <c r="B1838" s="23" t="s">
        <v>1530</v>
      </c>
      <c r="D1838">
        <v>1</v>
      </c>
      <c r="F1838">
        <v>8</v>
      </c>
      <c r="G1838">
        <v>2020</v>
      </c>
      <c r="I1838" s="15">
        <v>0</v>
      </c>
      <c r="J1838" t="s">
        <v>81</v>
      </c>
      <c r="K1838" t="s">
        <v>32</v>
      </c>
      <c r="O1838">
        <v>0</v>
      </c>
      <c r="P1838">
        <v>0</v>
      </c>
      <c r="Q1838">
        <v>0</v>
      </c>
      <c r="R1838">
        <v>0</v>
      </c>
      <c r="S1838">
        <v>0</v>
      </c>
      <c r="T1838">
        <v>0</v>
      </c>
      <c r="U1838">
        <v>1</v>
      </c>
      <c r="V1838">
        <v>0</v>
      </c>
      <c r="W1838" t="s">
        <v>1531</v>
      </c>
      <c r="AA1838">
        <v>2017</v>
      </c>
      <c r="AB1838">
        <v>9999</v>
      </c>
      <c r="AC1838" t="s">
        <v>1532</v>
      </c>
    </row>
    <row r="1839" spans="1:29" x14ac:dyDescent="0.25">
      <c r="A1839" s="31" t="s">
        <v>97</v>
      </c>
      <c r="B1839" s="23" t="s">
        <v>99</v>
      </c>
      <c r="C1839" t="s">
        <v>923</v>
      </c>
      <c r="D1839">
        <v>1</v>
      </c>
      <c r="E1839" t="s">
        <v>45</v>
      </c>
      <c r="F1839">
        <v>4</v>
      </c>
      <c r="G1839">
        <v>2020</v>
      </c>
      <c r="I1839" s="15">
        <v>254.3</v>
      </c>
      <c r="J1839" t="s">
        <v>89</v>
      </c>
      <c r="K1839" t="s">
        <v>47</v>
      </c>
      <c r="O1839">
        <v>0</v>
      </c>
      <c r="P1839">
        <v>0</v>
      </c>
      <c r="Q1839">
        <v>0</v>
      </c>
      <c r="R1839">
        <v>0</v>
      </c>
      <c r="S1839">
        <v>1</v>
      </c>
      <c r="T1839">
        <v>1</v>
      </c>
      <c r="U1839">
        <v>1</v>
      </c>
      <c r="V1839">
        <v>0</v>
      </c>
      <c r="W1839" t="s">
        <v>1277</v>
      </c>
      <c r="AA1839">
        <v>2007</v>
      </c>
      <c r="AB1839">
        <v>9999</v>
      </c>
      <c r="AC1839" t="s">
        <v>35</v>
      </c>
    </row>
    <row r="1840" spans="1:29" x14ac:dyDescent="0.25">
      <c r="A1840" s="31" t="s">
        <v>925</v>
      </c>
      <c r="B1840" s="23" t="s">
        <v>926</v>
      </c>
      <c r="C1840" t="s">
        <v>927</v>
      </c>
      <c r="D1840">
        <v>1</v>
      </c>
      <c r="E1840" t="s">
        <v>103</v>
      </c>
      <c r="F1840">
        <v>9</v>
      </c>
      <c r="G1840">
        <v>2020</v>
      </c>
      <c r="I1840" s="16">
        <v>3128.4</v>
      </c>
      <c r="J1840" t="s">
        <v>89</v>
      </c>
      <c r="K1840" t="s">
        <v>53</v>
      </c>
      <c r="L1840" t="s">
        <v>105</v>
      </c>
      <c r="O1840">
        <v>0</v>
      </c>
      <c r="P1840">
        <v>1</v>
      </c>
      <c r="Q1840">
        <v>0</v>
      </c>
      <c r="R1840">
        <v>0</v>
      </c>
      <c r="S1840">
        <v>1</v>
      </c>
      <c r="T1840">
        <v>1</v>
      </c>
      <c r="U1840">
        <v>1</v>
      </c>
      <c r="V1840">
        <v>0</v>
      </c>
      <c r="W1840" t="s">
        <v>928</v>
      </c>
      <c r="AA1840">
        <v>2007</v>
      </c>
      <c r="AB1840">
        <v>9999</v>
      </c>
      <c r="AC1840" t="s">
        <v>35</v>
      </c>
    </row>
    <row r="1841" spans="1:29" x14ac:dyDescent="0.25">
      <c r="A1841" s="31" t="s">
        <v>929</v>
      </c>
      <c r="B1841" s="23" t="s">
        <v>930</v>
      </c>
      <c r="C1841" t="s">
        <v>931</v>
      </c>
      <c r="D1841">
        <v>1</v>
      </c>
      <c r="E1841" t="s">
        <v>45</v>
      </c>
      <c r="F1841">
        <v>4</v>
      </c>
      <c r="G1841">
        <v>2020</v>
      </c>
      <c r="I1841" s="15">
        <v>651.6</v>
      </c>
      <c r="J1841" t="s">
        <v>31</v>
      </c>
      <c r="K1841" t="s">
        <v>47</v>
      </c>
      <c r="O1841">
        <v>0</v>
      </c>
      <c r="P1841">
        <v>0</v>
      </c>
      <c r="Q1841">
        <v>0</v>
      </c>
      <c r="R1841">
        <v>0</v>
      </c>
      <c r="S1841">
        <v>1</v>
      </c>
      <c r="T1841">
        <v>1</v>
      </c>
      <c r="U1841">
        <v>1</v>
      </c>
      <c r="V1841">
        <v>0</v>
      </c>
      <c r="W1841" t="s">
        <v>1336</v>
      </c>
      <c r="AA1841">
        <v>2007</v>
      </c>
      <c r="AB1841">
        <v>9999</v>
      </c>
      <c r="AC1841" t="s">
        <v>35</v>
      </c>
    </row>
    <row r="1842" spans="1:29" x14ac:dyDescent="0.25">
      <c r="A1842" s="31" t="s">
        <v>1212</v>
      </c>
      <c r="B1842" s="23" t="s">
        <v>1213</v>
      </c>
      <c r="D1842">
        <v>1</v>
      </c>
      <c r="E1842" t="s">
        <v>681</v>
      </c>
      <c r="F1842">
        <v>3</v>
      </c>
      <c r="G1842">
        <v>2020</v>
      </c>
      <c r="I1842" s="15">
        <v>14.5</v>
      </c>
      <c r="J1842" t="s">
        <v>121</v>
      </c>
      <c r="K1842" t="s">
        <v>41</v>
      </c>
      <c r="O1842">
        <v>0</v>
      </c>
      <c r="P1842">
        <v>0</v>
      </c>
      <c r="Q1842">
        <v>0</v>
      </c>
      <c r="R1842">
        <v>0</v>
      </c>
      <c r="S1842">
        <v>0</v>
      </c>
      <c r="T1842">
        <v>1</v>
      </c>
      <c r="U1842">
        <v>1</v>
      </c>
      <c r="V1842">
        <v>0</v>
      </c>
      <c r="W1842" t="s">
        <v>1278</v>
      </c>
      <c r="AA1842">
        <v>2008</v>
      </c>
      <c r="AB1842">
        <v>9999</v>
      </c>
      <c r="AC1842" t="s">
        <v>1054</v>
      </c>
    </row>
    <row r="1843" spans="1:29" x14ac:dyDescent="0.25">
      <c r="A1843" s="31" t="s">
        <v>933</v>
      </c>
      <c r="B1843" s="23" t="s">
        <v>934</v>
      </c>
      <c r="C1843" t="s">
        <v>935</v>
      </c>
      <c r="D1843">
        <v>1</v>
      </c>
      <c r="E1843" t="s">
        <v>681</v>
      </c>
      <c r="F1843">
        <v>3</v>
      </c>
      <c r="G1843">
        <v>2020</v>
      </c>
      <c r="I1843" s="15"/>
      <c r="J1843" t="s">
        <v>121</v>
      </c>
      <c r="K1843" t="s">
        <v>47</v>
      </c>
      <c r="O1843">
        <v>0</v>
      </c>
      <c r="P1843">
        <v>0</v>
      </c>
      <c r="Q1843">
        <v>0</v>
      </c>
      <c r="R1843">
        <v>0</v>
      </c>
      <c r="S1843">
        <v>1</v>
      </c>
      <c r="T1843">
        <v>1</v>
      </c>
      <c r="U1843">
        <v>1</v>
      </c>
      <c r="V1843">
        <v>0</v>
      </c>
      <c r="W1843" t="s">
        <v>1508</v>
      </c>
      <c r="AA1843">
        <v>2007</v>
      </c>
      <c r="AB1843">
        <v>9999</v>
      </c>
      <c r="AC1843" t="s">
        <v>35</v>
      </c>
    </row>
    <row r="1844" spans="1:29" x14ac:dyDescent="0.25">
      <c r="A1844" s="31" t="s">
        <v>937</v>
      </c>
      <c r="B1844" s="23" t="s">
        <v>938</v>
      </c>
      <c r="D1844">
        <v>1</v>
      </c>
      <c r="E1844" t="s">
        <v>103</v>
      </c>
      <c r="F1844">
        <v>9</v>
      </c>
      <c r="G1844">
        <v>2020</v>
      </c>
      <c r="I1844" s="15">
        <v>780</v>
      </c>
      <c r="J1844" t="s">
        <v>104</v>
      </c>
      <c r="K1844" t="s">
        <v>53</v>
      </c>
      <c r="L1844" t="s">
        <v>105</v>
      </c>
      <c r="O1844">
        <v>0</v>
      </c>
      <c r="P1844">
        <v>1</v>
      </c>
      <c r="Q1844">
        <v>0</v>
      </c>
      <c r="R1844">
        <v>0</v>
      </c>
      <c r="S1844">
        <v>1</v>
      </c>
      <c r="T1844">
        <v>1</v>
      </c>
      <c r="U1844">
        <v>1</v>
      </c>
      <c r="V1844">
        <v>0</v>
      </c>
      <c r="W1844" t="s">
        <v>106</v>
      </c>
      <c r="AA1844">
        <v>2007</v>
      </c>
      <c r="AB1844">
        <v>9999</v>
      </c>
      <c r="AC1844" t="s">
        <v>35</v>
      </c>
    </row>
    <row r="1845" spans="1:29" x14ac:dyDescent="0.25">
      <c r="A1845" s="31" t="s">
        <v>462</v>
      </c>
      <c r="B1845" s="23" t="s">
        <v>1414</v>
      </c>
      <c r="C1845" t="s">
        <v>1280</v>
      </c>
      <c r="D1845">
        <v>1</v>
      </c>
      <c r="E1845" t="s">
        <v>468</v>
      </c>
      <c r="F1845">
        <v>7</v>
      </c>
      <c r="G1845">
        <v>2020</v>
      </c>
      <c r="I1845" s="15">
        <v>121.5</v>
      </c>
      <c r="J1845" t="s">
        <v>40</v>
      </c>
      <c r="K1845" t="s">
        <v>47</v>
      </c>
      <c r="O1845">
        <v>0</v>
      </c>
      <c r="P1845">
        <v>0</v>
      </c>
      <c r="Q1845">
        <v>0</v>
      </c>
      <c r="R1845">
        <v>0</v>
      </c>
      <c r="S1845">
        <v>1</v>
      </c>
      <c r="T1845">
        <v>1</v>
      </c>
      <c r="U1845">
        <v>1</v>
      </c>
      <c r="V1845">
        <v>0</v>
      </c>
      <c r="W1845" t="s">
        <v>1118</v>
      </c>
      <c r="AA1845">
        <v>2007</v>
      </c>
      <c r="AB1845">
        <v>9999</v>
      </c>
      <c r="AC1845" t="s">
        <v>35</v>
      </c>
    </row>
    <row r="1846" spans="1:29" x14ac:dyDescent="0.25">
      <c r="A1846" s="31" t="s">
        <v>1337</v>
      </c>
      <c r="B1846" s="23" t="s">
        <v>1315</v>
      </c>
      <c r="D1846">
        <v>1</v>
      </c>
      <c r="E1846" t="s">
        <v>45</v>
      </c>
      <c r="F1846">
        <v>4</v>
      </c>
      <c r="G1846">
        <v>2020</v>
      </c>
      <c r="I1846" s="15">
        <v>421.2</v>
      </c>
      <c r="J1846" t="s">
        <v>89</v>
      </c>
      <c r="K1846" t="s">
        <v>32</v>
      </c>
      <c r="O1846">
        <v>0</v>
      </c>
      <c r="P1846">
        <v>0</v>
      </c>
      <c r="Q1846">
        <v>0</v>
      </c>
      <c r="R1846">
        <v>0</v>
      </c>
      <c r="S1846">
        <v>1</v>
      </c>
      <c r="T1846">
        <v>1</v>
      </c>
      <c r="U1846">
        <v>1</v>
      </c>
      <c r="V1846">
        <v>0</v>
      </c>
      <c r="W1846" t="s">
        <v>1338</v>
      </c>
      <c r="AA1846">
        <v>2010</v>
      </c>
      <c r="AB1846">
        <v>9999</v>
      </c>
      <c r="AC1846" t="s">
        <v>1292</v>
      </c>
    </row>
    <row r="1847" spans="1:29" x14ac:dyDescent="0.25">
      <c r="A1847" s="31" t="s">
        <v>1509</v>
      </c>
      <c r="B1847" s="23" t="s">
        <v>946</v>
      </c>
      <c r="D1847">
        <v>48</v>
      </c>
      <c r="E1847" t="s">
        <v>155</v>
      </c>
      <c r="F1847">
        <v>3</v>
      </c>
      <c r="G1847">
        <v>2020</v>
      </c>
      <c r="I1847" s="15">
        <v>2928.0843557539679</v>
      </c>
      <c r="J1847" t="s">
        <v>121</v>
      </c>
      <c r="K1847" t="s">
        <v>53</v>
      </c>
      <c r="L1847" t="s">
        <v>60</v>
      </c>
      <c r="O1847">
        <v>1</v>
      </c>
      <c r="P1847">
        <v>0</v>
      </c>
      <c r="Q1847">
        <v>0</v>
      </c>
      <c r="R1847">
        <v>0</v>
      </c>
      <c r="S1847">
        <v>1</v>
      </c>
      <c r="T1847">
        <v>0</v>
      </c>
      <c r="U1847">
        <v>0</v>
      </c>
      <c r="V1847">
        <v>1</v>
      </c>
      <c r="W1847" t="s">
        <v>947</v>
      </c>
      <c r="AA1847">
        <v>2007</v>
      </c>
      <c r="AB1847">
        <v>9999</v>
      </c>
      <c r="AC1847" t="s">
        <v>35</v>
      </c>
    </row>
    <row r="1848" spans="1:29" x14ac:dyDescent="0.25">
      <c r="A1848" s="31" t="s">
        <v>950</v>
      </c>
      <c r="B1848" s="23" t="s">
        <v>951</v>
      </c>
      <c r="C1848" t="s">
        <v>952</v>
      </c>
      <c r="D1848">
        <v>1</v>
      </c>
      <c r="E1848" t="s">
        <v>218</v>
      </c>
      <c r="F1848">
        <v>2</v>
      </c>
      <c r="G1848">
        <v>2020</v>
      </c>
      <c r="I1848" s="15">
        <v>914.6</v>
      </c>
      <c r="J1848" t="s">
        <v>147</v>
      </c>
      <c r="K1848" t="s">
        <v>32</v>
      </c>
      <c r="O1848">
        <v>0</v>
      </c>
      <c r="P1848">
        <v>0</v>
      </c>
      <c r="Q1848">
        <v>0</v>
      </c>
      <c r="R1848">
        <v>0</v>
      </c>
      <c r="S1848">
        <v>1</v>
      </c>
      <c r="T1848">
        <v>1</v>
      </c>
      <c r="U1848">
        <v>1</v>
      </c>
      <c r="V1848">
        <v>0</v>
      </c>
      <c r="W1848" t="s">
        <v>1216</v>
      </c>
      <c r="AA1848">
        <v>2007</v>
      </c>
      <c r="AB1848">
        <v>9999</v>
      </c>
      <c r="AC1848" t="s">
        <v>35</v>
      </c>
    </row>
    <row r="1849" spans="1:29" x14ac:dyDescent="0.25">
      <c r="A1849" s="31" t="s">
        <v>954</v>
      </c>
      <c r="B1849" s="23" t="s">
        <v>1383</v>
      </c>
      <c r="C1849" t="s">
        <v>956</v>
      </c>
      <c r="D1849">
        <v>1</v>
      </c>
      <c r="E1849" t="s">
        <v>218</v>
      </c>
      <c r="F1849">
        <v>2</v>
      </c>
      <c r="G1849">
        <v>2020</v>
      </c>
      <c r="I1849" s="15">
        <v>216.9</v>
      </c>
      <c r="J1849" t="s">
        <v>147</v>
      </c>
      <c r="K1849" t="s">
        <v>47</v>
      </c>
      <c r="O1849">
        <v>0</v>
      </c>
      <c r="P1849">
        <v>0</v>
      </c>
      <c r="Q1849">
        <v>0</v>
      </c>
      <c r="R1849">
        <v>0</v>
      </c>
      <c r="S1849">
        <v>1</v>
      </c>
      <c r="T1849">
        <v>1</v>
      </c>
      <c r="U1849">
        <v>1</v>
      </c>
      <c r="V1849">
        <v>0</v>
      </c>
      <c r="W1849" t="s">
        <v>1384</v>
      </c>
      <c r="AA1849">
        <v>2007</v>
      </c>
      <c r="AB1849">
        <v>9999</v>
      </c>
      <c r="AC1849" t="s">
        <v>35</v>
      </c>
    </row>
    <row r="1850" spans="1:29" x14ac:dyDescent="0.25">
      <c r="A1850" s="31" t="s">
        <v>1385</v>
      </c>
      <c r="B1850" s="23" t="s">
        <v>1386</v>
      </c>
      <c r="D1850">
        <v>1</v>
      </c>
      <c r="E1850" t="s">
        <v>874</v>
      </c>
      <c r="F1850">
        <v>1</v>
      </c>
      <c r="G1850">
        <v>2020</v>
      </c>
      <c r="I1850" s="15">
        <v>35</v>
      </c>
      <c r="J1850" t="s">
        <v>1556</v>
      </c>
      <c r="K1850" t="s">
        <v>47</v>
      </c>
      <c r="O1850">
        <v>0</v>
      </c>
      <c r="P1850">
        <v>0</v>
      </c>
      <c r="Q1850">
        <v>0</v>
      </c>
      <c r="R1850">
        <v>0</v>
      </c>
      <c r="S1850">
        <v>1</v>
      </c>
      <c r="T1850">
        <v>1</v>
      </c>
      <c r="U1850">
        <v>1</v>
      </c>
      <c r="V1850">
        <v>0</v>
      </c>
      <c r="W1850" t="s">
        <v>1387</v>
      </c>
      <c r="AA1850">
        <v>2011</v>
      </c>
      <c r="AB1850">
        <v>9999</v>
      </c>
      <c r="AC1850" t="s">
        <v>1365</v>
      </c>
    </row>
    <row r="1851" spans="1:29" x14ac:dyDescent="0.25">
      <c r="A1851" s="31" t="s">
        <v>1388</v>
      </c>
      <c r="B1851" s="23" t="s">
        <v>1389</v>
      </c>
      <c r="D1851">
        <v>1</v>
      </c>
      <c r="E1851" t="s">
        <v>1390</v>
      </c>
      <c r="F1851">
        <v>4</v>
      </c>
      <c r="G1851">
        <v>2020</v>
      </c>
      <c r="I1851" s="16">
        <v>8622.6</v>
      </c>
      <c r="J1851" t="s">
        <v>1556</v>
      </c>
      <c r="K1851" t="s">
        <v>32</v>
      </c>
      <c r="O1851">
        <v>0</v>
      </c>
      <c r="P1851">
        <v>0</v>
      </c>
      <c r="Q1851">
        <v>0</v>
      </c>
      <c r="R1851">
        <v>0</v>
      </c>
      <c r="S1851">
        <v>1</v>
      </c>
      <c r="T1851">
        <v>1</v>
      </c>
      <c r="U1851">
        <v>1</v>
      </c>
      <c r="V1851">
        <v>0</v>
      </c>
      <c r="W1851" t="s">
        <v>1391</v>
      </c>
      <c r="AA1851">
        <v>2011</v>
      </c>
      <c r="AB1851">
        <v>9999</v>
      </c>
      <c r="AC1851" t="s">
        <v>1365</v>
      </c>
    </row>
    <row r="1852" spans="1:29" x14ac:dyDescent="0.25">
      <c r="A1852" s="31" t="s">
        <v>1281</v>
      </c>
      <c r="B1852" s="23" t="s">
        <v>1282</v>
      </c>
      <c r="D1852">
        <v>1</v>
      </c>
      <c r="E1852" t="s">
        <v>625</v>
      </c>
      <c r="F1852">
        <v>4</v>
      </c>
      <c r="G1852">
        <v>2020</v>
      </c>
      <c r="I1852" s="16">
        <v>1891</v>
      </c>
      <c r="J1852" t="s">
        <v>1556</v>
      </c>
      <c r="K1852" t="s">
        <v>32</v>
      </c>
      <c r="O1852">
        <v>0</v>
      </c>
      <c r="P1852">
        <v>0</v>
      </c>
      <c r="Q1852">
        <v>0</v>
      </c>
      <c r="R1852">
        <v>0</v>
      </c>
      <c r="S1852">
        <v>1</v>
      </c>
      <c r="T1852">
        <v>1</v>
      </c>
      <c r="U1852">
        <v>1</v>
      </c>
      <c r="V1852">
        <v>0</v>
      </c>
      <c r="W1852" t="s">
        <v>1283</v>
      </c>
      <c r="AA1852">
        <v>2009</v>
      </c>
      <c r="AB1852">
        <v>9999</v>
      </c>
      <c r="AC1852" t="s">
        <v>1239</v>
      </c>
    </row>
    <row r="1853" spans="1:29" x14ac:dyDescent="0.25">
      <c r="A1853" s="31" t="s">
        <v>958</v>
      </c>
      <c r="B1853" s="25" t="s">
        <v>959</v>
      </c>
      <c r="D1853">
        <v>1</v>
      </c>
      <c r="E1853" t="s">
        <v>51</v>
      </c>
      <c r="F1853">
        <v>1</v>
      </c>
      <c r="G1853">
        <v>2020</v>
      </c>
      <c r="I1853" s="15">
        <v>58</v>
      </c>
      <c r="J1853" t="s">
        <v>52</v>
      </c>
      <c r="K1853" t="s">
        <v>53</v>
      </c>
      <c r="L1853" t="s">
        <v>54</v>
      </c>
      <c r="O1853">
        <v>0</v>
      </c>
      <c r="P1853">
        <v>0</v>
      </c>
      <c r="Q1853">
        <v>1</v>
      </c>
      <c r="R1853">
        <v>0</v>
      </c>
      <c r="S1853">
        <v>0</v>
      </c>
      <c r="T1853">
        <v>0</v>
      </c>
      <c r="U1853">
        <v>1</v>
      </c>
      <c r="V1853">
        <v>0</v>
      </c>
      <c r="W1853" t="s">
        <v>55</v>
      </c>
      <c r="AA1853">
        <v>2007</v>
      </c>
      <c r="AB1853">
        <v>9999</v>
      </c>
      <c r="AC1853" t="s">
        <v>35</v>
      </c>
    </row>
    <row r="1854" spans="1:29" x14ac:dyDescent="0.25">
      <c r="A1854" s="31" t="s">
        <v>960</v>
      </c>
      <c r="B1854" s="23" t="s">
        <v>961</v>
      </c>
      <c r="D1854">
        <v>1</v>
      </c>
      <c r="E1854" t="s">
        <v>168</v>
      </c>
      <c r="F1854">
        <v>1</v>
      </c>
      <c r="G1854">
        <v>2020</v>
      </c>
      <c r="I1854" s="16">
        <v>2013</v>
      </c>
      <c r="J1854" t="s">
        <v>52</v>
      </c>
      <c r="K1854" t="s">
        <v>47</v>
      </c>
      <c r="O1854">
        <v>0</v>
      </c>
      <c r="P1854">
        <v>0</v>
      </c>
      <c r="Q1854">
        <v>0</v>
      </c>
      <c r="R1854">
        <v>0</v>
      </c>
      <c r="S1854">
        <v>1</v>
      </c>
      <c r="T1854">
        <v>1</v>
      </c>
      <c r="U1854">
        <v>1</v>
      </c>
      <c r="V1854">
        <v>0</v>
      </c>
      <c r="W1854" t="s">
        <v>1533</v>
      </c>
      <c r="AA1854">
        <v>2007</v>
      </c>
      <c r="AB1854">
        <v>9999</v>
      </c>
      <c r="AC1854" t="s">
        <v>35</v>
      </c>
    </row>
    <row r="1855" spans="1:29" x14ac:dyDescent="0.25">
      <c r="A1855" s="31" t="s">
        <v>963</v>
      </c>
      <c r="B1855" s="23" t="s">
        <v>658</v>
      </c>
      <c r="D1855">
        <v>1</v>
      </c>
      <c r="E1855" t="s">
        <v>103</v>
      </c>
      <c r="F1855">
        <v>9</v>
      </c>
      <c r="G1855">
        <v>2020</v>
      </c>
      <c r="I1855" s="16">
        <v>3568.1</v>
      </c>
      <c r="J1855" t="s">
        <v>104</v>
      </c>
      <c r="K1855" t="s">
        <v>53</v>
      </c>
      <c r="L1855" t="s">
        <v>105</v>
      </c>
      <c r="O1855">
        <v>0</v>
      </c>
      <c r="P1855">
        <v>1</v>
      </c>
      <c r="Q1855">
        <v>0</v>
      </c>
      <c r="R1855">
        <v>0</v>
      </c>
      <c r="S1855">
        <v>1</v>
      </c>
      <c r="T1855">
        <v>1</v>
      </c>
      <c r="U1855">
        <v>1</v>
      </c>
      <c r="V1855">
        <v>0</v>
      </c>
      <c r="W1855" t="s">
        <v>106</v>
      </c>
      <c r="AA1855">
        <v>2007</v>
      </c>
      <c r="AB1855">
        <v>9999</v>
      </c>
      <c r="AC1855" t="s">
        <v>35</v>
      </c>
    </row>
    <row r="1856" spans="1:29" x14ac:dyDescent="0.25">
      <c r="A1856" s="31" t="s">
        <v>1437</v>
      </c>
      <c r="B1856" s="23" t="s">
        <v>1438</v>
      </c>
      <c r="C1856" t="s">
        <v>1439</v>
      </c>
      <c r="D1856">
        <v>1</v>
      </c>
      <c r="E1856" t="s">
        <v>103</v>
      </c>
      <c r="F1856">
        <v>9</v>
      </c>
      <c r="G1856">
        <v>2020</v>
      </c>
      <c r="I1856" s="15">
        <v>280.5</v>
      </c>
      <c r="J1856" t="s">
        <v>104</v>
      </c>
      <c r="K1856" t="s">
        <v>32</v>
      </c>
      <c r="O1856">
        <v>0</v>
      </c>
      <c r="P1856">
        <v>0</v>
      </c>
      <c r="Q1856">
        <v>0</v>
      </c>
      <c r="R1856">
        <v>0</v>
      </c>
      <c r="S1856">
        <v>1</v>
      </c>
      <c r="T1856">
        <v>1</v>
      </c>
      <c r="U1856">
        <v>1</v>
      </c>
      <c r="V1856">
        <v>0</v>
      </c>
      <c r="W1856" t="s">
        <v>1440</v>
      </c>
      <c r="AA1856">
        <v>2013</v>
      </c>
      <c r="AB1856">
        <v>9999</v>
      </c>
      <c r="AC1856" t="s">
        <v>1419</v>
      </c>
    </row>
    <row r="1857" spans="1:29" x14ac:dyDescent="0.25">
      <c r="A1857" s="31" t="s">
        <v>1441</v>
      </c>
      <c r="B1857" s="23" t="s">
        <v>1442</v>
      </c>
      <c r="C1857" t="s">
        <v>1443</v>
      </c>
      <c r="D1857">
        <v>1</v>
      </c>
      <c r="E1857" t="s">
        <v>103</v>
      </c>
      <c r="F1857">
        <v>9</v>
      </c>
      <c r="G1857">
        <v>2020</v>
      </c>
      <c r="I1857" s="15">
        <v>85.8</v>
      </c>
      <c r="J1857" t="s">
        <v>104</v>
      </c>
      <c r="K1857" t="s">
        <v>47</v>
      </c>
      <c r="O1857">
        <v>0</v>
      </c>
      <c r="P1857">
        <v>0</v>
      </c>
      <c r="Q1857">
        <v>0</v>
      </c>
      <c r="R1857">
        <v>0</v>
      </c>
      <c r="S1857">
        <v>1</v>
      </c>
      <c r="T1857">
        <v>1</v>
      </c>
      <c r="U1857">
        <v>1</v>
      </c>
      <c r="V1857">
        <v>0</v>
      </c>
      <c r="W1857" t="s">
        <v>1444</v>
      </c>
      <c r="AA1857">
        <v>2013</v>
      </c>
      <c r="AB1857">
        <v>9999</v>
      </c>
      <c r="AC1857" t="s">
        <v>1419</v>
      </c>
    </row>
    <row r="1858" spans="1:29" x14ac:dyDescent="0.25">
      <c r="A1858" s="31" t="s">
        <v>1510</v>
      </c>
      <c r="B1858" s="23" t="s">
        <v>1511</v>
      </c>
      <c r="D1858">
        <v>1</v>
      </c>
      <c r="E1858" s="4">
        <v>411</v>
      </c>
      <c r="F1858">
        <v>4</v>
      </c>
      <c r="G1858">
        <v>2020</v>
      </c>
      <c r="I1858" s="15">
        <v>65.2</v>
      </c>
      <c r="J1858" t="s">
        <v>52</v>
      </c>
      <c r="K1858" t="s">
        <v>47</v>
      </c>
      <c r="O1858">
        <v>0</v>
      </c>
      <c r="P1858">
        <v>0</v>
      </c>
      <c r="Q1858">
        <v>0</v>
      </c>
      <c r="R1858">
        <v>0</v>
      </c>
      <c r="S1858">
        <v>1</v>
      </c>
      <c r="T1858">
        <v>1</v>
      </c>
      <c r="U1858">
        <v>1</v>
      </c>
      <c r="V1858">
        <v>0</v>
      </c>
      <c r="W1858" t="s">
        <v>1512</v>
      </c>
      <c r="AA1858">
        <v>2015</v>
      </c>
      <c r="AB1858">
        <v>9999</v>
      </c>
      <c r="AC1858" t="s">
        <v>1475</v>
      </c>
    </row>
    <row r="1859" spans="1:29" x14ac:dyDescent="0.25">
      <c r="A1859" s="31" t="s">
        <v>967</v>
      </c>
      <c r="B1859" s="23" t="s">
        <v>661</v>
      </c>
      <c r="D1859">
        <v>1</v>
      </c>
      <c r="E1859" t="s">
        <v>103</v>
      </c>
      <c r="F1859">
        <v>9</v>
      </c>
      <c r="G1859">
        <v>2020</v>
      </c>
      <c r="I1859" s="16">
        <v>6472.4</v>
      </c>
      <c r="J1859" t="s">
        <v>104</v>
      </c>
      <c r="K1859" t="s">
        <v>53</v>
      </c>
      <c r="L1859" t="s">
        <v>105</v>
      </c>
      <c r="O1859">
        <v>0</v>
      </c>
      <c r="P1859">
        <v>1</v>
      </c>
      <c r="Q1859">
        <v>0</v>
      </c>
      <c r="R1859">
        <v>0</v>
      </c>
      <c r="S1859">
        <v>1</v>
      </c>
      <c r="T1859">
        <v>1</v>
      </c>
      <c r="U1859">
        <v>1</v>
      </c>
      <c r="V1859">
        <v>0</v>
      </c>
      <c r="W1859" t="s">
        <v>106</v>
      </c>
      <c r="AA1859">
        <v>2007</v>
      </c>
      <c r="AB1859">
        <v>9999</v>
      </c>
      <c r="AC1859" t="s">
        <v>35</v>
      </c>
    </row>
    <row r="1860" spans="1:29" x14ac:dyDescent="0.25">
      <c r="A1860" s="31" t="s">
        <v>968</v>
      </c>
      <c r="B1860" s="23" t="s">
        <v>969</v>
      </c>
      <c r="D1860">
        <v>1</v>
      </c>
      <c r="E1860" t="s">
        <v>85</v>
      </c>
      <c r="F1860">
        <v>1</v>
      </c>
      <c r="G1860">
        <v>2020</v>
      </c>
      <c r="H1860" t="s">
        <v>970</v>
      </c>
      <c r="I1860" s="15">
        <v>0.1</v>
      </c>
      <c r="J1860" t="s">
        <v>176</v>
      </c>
      <c r="K1860" t="s">
        <v>41</v>
      </c>
      <c r="O1860">
        <v>0</v>
      </c>
      <c r="P1860">
        <v>0</v>
      </c>
      <c r="Q1860">
        <v>0</v>
      </c>
      <c r="R1860">
        <v>0</v>
      </c>
      <c r="S1860">
        <v>0</v>
      </c>
      <c r="T1860">
        <v>0</v>
      </c>
      <c r="U1860">
        <v>0</v>
      </c>
      <c r="V1860">
        <v>0</v>
      </c>
      <c r="W1860" t="s">
        <v>971</v>
      </c>
      <c r="AA1860">
        <v>2007</v>
      </c>
      <c r="AB1860">
        <v>9999</v>
      </c>
      <c r="AC1860" t="s">
        <v>35</v>
      </c>
    </row>
    <row r="1861" spans="1:29" x14ac:dyDescent="0.25">
      <c r="A1861" s="31" t="s">
        <v>975</v>
      </c>
      <c r="B1861" s="23" t="s">
        <v>976</v>
      </c>
      <c r="D1861">
        <v>1</v>
      </c>
      <c r="E1861" t="s">
        <v>977</v>
      </c>
      <c r="F1861">
        <v>1</v>
      </c>
      <c r="G1861">
        <v>2020</v>
      </c>
      <c r="H1861" t="s">
        <v>205</v>
      </c>
      <c r="I1861" s="15">
        <v>20</v>
      </c>
      <c r="J1861" t="s">
        <v>81</v>
      </c>
      <c r="K1861" t="s">
        <v>41</v>
      </c>
      <c r="O1861">
        <v>0</v>
      </c>
      <c r="P1861">
        <v>0</v>
      </c>
      <c r="Q1861">
        <v>0</v>
      </c>
      <c r="R1861">
        <v>0</v>
      </c>
      <c r="S1861">
        <v>0</v>
      </c>
      <c r="T1861">
        <v>0</v>
      </c>
      <c r="U1861">
        <v>0</v>
      </c>
      <c r="V1861">
        <v>0</v>
      </c>
      <c r="W1861" t="s">
        <v>1220</v>
      </c>
      <c r="AA1861">
        <v>2007</v>
      </c>
      <c r="AB1861">
        <v>9999</v>
      </c>
      <c r="AC1861" t="s">
        <v>35</v>
      </c>
    </row>
    <row r="1862" spans="1:29" x14ac:dyDescent="0.25">
      <c r="A1862" s="31" t="s">
        <v>985</v>
      </c>
      <c r="B1862" s="23" t="s">
        <v>986</v>
      </c>
      <c r="C1862" t="s">
        <v>987</v>
      </c>
      <c r="D1862">
        <v>1</v>
      </c>
      <c r="E1862" t="s">
        <v>988</v>
      </c>
      <c r="F1862">
        <v>4</v>
      </c>
      <c r="G1862">
        <v>2020</v>
      </c>
      <c r="I1862" s="15">
        <v>203.7</v>
      </c>
      <c r="J1862" t="s">
        <v>89</v>
      </c>
      <c r="K1862" t="s">
        <v>32</v>
      </c>
      <c r="O1862">
        <v>0</v>
      </c>
      <c r="P1862">
        <v>0</v>
      </c>
      <c r="Q1862">
        <v>0</v>
      </c>
      <c r="R1862">
        <v>0</v>
      </c>
      <c r="S1862">
        <v>1</v>
      </c>
      <c r="T1862">
        <v>1</v>
      </c>
      <c r="U1862">
        <v>1</v>
      </c>
      <c r="V1862">
        <v>0</v>
      </c>
      <c r="W1862" t="s">
        <v>1339</v>
      </c>
      <c r="AA1862">
        <v>2007</v>
      </c>
      <c r="AB1862">
        <v>9999</v>
      </c>
      <c r="AC1862" t="s">
        <v>35</v>
      </c>
    </row>
    <row r="1863" spans="1:29" x14ac:dyDescent="0.25">
      <c r="A1863" s="31" t="s">
        <v>993</v>
      </c>
      <c r="B1863" s="23" t="s">
        <v>129</v>
      </c>
      <c r="D1863">
        <v>1</v>
      </c>
      <c r="E1863" t="s">
        <v>103</v>
      </c>
      <c r="F1863">
        <v>1</v>
      </c>
      <c r="G1863">
        <v>2020</v>
      </c>
      <c r="I1863" s="15">
        <v>224.2</v>
      </c>
      <c r="J1863" t="s">
        <v>104</v>
      </c>
      <c r="K1863" t="s">
        <v>32</v>
      </c>
      <c r="O1863">
        <v>0</v>
      </c>
      <c r="P1863">
        <v>0</v>
      </c>
      <c r="Q1863">
        <v>0</v>
      </c>
      <c r="R1863">
        <v>0</v>
      </c>
      <c r="S1863">
        <v>1</v>
      </c>
      <c r="T1863">
        <v>1</v>
      </c>
      <c r="U1863">
        <v>1</v>
      </c>
      <c r="V1863">
        <v>0</v>
      </c>
      <c r="W1863" t="s">
        <v>1340</v>
      </c>
      <c r="AA1863">
        <v>2007</v>
      </c>
      <c r="AB1863">
        <v>9999</v>
      </c>
      <c r="AC1863" t="s">
        <v>35</v>
      </c>
    </row>
    <row r="1864" spans="1:29" x14ac:dyDescent="0.25">
      <c r="A1864" s="31" t="s">
        <v>1008</v>
      </c>
      <c r="B1864" s="23" t="s">
        <v>1009</v>
      </c>
      <c r="D1864">
        <v>1</v>
      </c>
      <c r="E1864" t="s">
        <v>155</v>
      </c>
      <c r="F1864">
        <v>3</v>
      </c>
      <c r="G1864">
        <v>2020</v>
      </c>
      <c r="I1864" s="15">
        <v>1375.2</v>
      </c>
      <c r="J1864" t="s">
        <v>121</v>
      </c>
      <c r="K1864" t="s">
        <v>47</v>
      </c>
      <c r="O1864">
        <v>0</v>
      </c>
      <c r="P1864">
        <v>0</v>
      </c>
      <c r="Q1864">
        <v>0</v>
      </c>
      <c r="R1864">
        <v>0</v>
      </c>
      <c r="S1864">
        <v>1</v>
      </c>
      <c r="T1864">
        <v>1</v>
      </c>
      <c r="U1864">
        <v>1</v>
      </c>
      <c r="V1864">
        <v>0</v>
      </c>
      <c r="W1864" t="s">
        <v>1519</v>
      </c>
      <c r="AA1864">
        <v>2007</v>
      </c>
      <c r="AB1864">
        <v>9999</v>
      </c>
      <c r="AC1864" t="s">
        <v>35</v>
      </c>
    </row>
    <row r="1865" spans="1:29" x14ac:dyDescent="0.25">
      <c r="A1865" s="31" t="s">
        <v>1011</v>
      </c>
      <c r="B1865" s="23" t="s">
        <v>1012</v>
      </c>
      <c r="D1865">
        <v>1</v>
      </c>
      <c r="E1865" t="s">
        <v>103</v>
      </c>
      <c r="F1865">
        <v>9</v>
      </c>
      <c r="G1865">
        <v>2020</v>
      </c>
      <c r="I1865" s="15">
        <v>1277.8</v>
      </c>
      <c r="J1865" t="s">
        <v>104</v>
      </c>
      <c r="K1865" t="s">
        <v>53</v>
      </c>
      <c r="L1865" t="s">
        <v>105</v>
      </c>
      <c r="O1865">
        <v>0</v>
      </c>
      <c r="P1865">
        <v>1</v>
      </c>
      <c r="Q1865">
        <v>0</v>
      </c>
      <c r="R1865">
        <v>0</v>
      </c>
      <c r="S1865">
        <v>1</v>
      </c>
      <c r="T1865">
        <v>1</v>
      </c>
      <c r="U1865">
        <v>1</v>
      </c>
      <c r="V1865">
        <v>0</v>
      </c>
      <c r="W1865" t="s">
        <v>106</v>
      </c>
      <c r="AA1865">
        <v>2007</v>
      </c>
      <c r="AB1865">
        <v>9999</v>
      </c>
      <c r="AC1865" t="s">
        <v>35</v>
      </c>
    </row>
    <row r="1866" spans="1:29" x14ac:dyDescent="0.25">
      <c r="A1866" s="31" t="s">
        <v>126</v>
      </c>
      <c r="B1866" s="25" t="s">
        <v>1573</v>
      </c>
      <c r="C1866" s="3" t="s">
        <v>127</v>
      </c>
      <c r="D1866">
        <v>1</v>
      </c>
      <c r="E1866" s="5" t="s">
        <v>128</v>
      </c>
      <c r="F1866">
        <v>9</v>
      </c>
      <c r="G1866">
        <v>2020</v>
      </c>
      <c r="H1866" t="s">
        <v>129</v>
      </c>
      <c r="I1866" s="15">
        <v>0</v>
      </c>
      <c r="J1866" t="s">
        <v>104</v>
      </c>
      <c r="K1866" t="s">
        <v>41</v>
      </c>
      <c r="O1866">
        <v>0</v>
      </c>
      <c r="P1866">
        <v>0</v>
      </c>
      <c r="Q1866">
        <v>0</v>
      </c>
      <c r="R1866">
        <v>0</v>
      </c>
      <c r="S1866">
        <v>0</v>
      </c>
      <c r="T1866">
        <v>1</v>
      </c>
      <c r="U1866">
        <v>0</v>
      </c>
      <c r="V1866">
        <v>0</v>
      </c>
      <c r="W1866" t="s">
        <v>1043</v>
      </c>
      <c r="AA1866">
        <v>2007</v>
      </c>
      <c r="AB1866">
        <v>9999</v>
      </c>
      <c r="AC1866" t="s">
        <v>35</v>
      </c>
    </row>
    <row r="1867" spans="1:29" x14ac:dyDescent="0.25">
      <c r="A1867" s="31" t="s">
        <v>1013</v>
      </c>
      <c r="B1867" s="23" t="s">
        <v>1014</v>
      </c>
      <c r="D1867">
        <v>1</v>
      </c>
      <c r="E1867" t="s">
        <v>128</v>
      </c>
      <c r="F1867">
        <v>9</v>
      </c>
      <c r="G1867">
        <v>2020</v>
      </c>
      <c r="H1867" t="s">
        <v>1513</v>
      </c>
      <c r="I1867" s="15">
        <v>7.7</v>
      </c>
      <c r="J1867" t="s">
        <v>104</v>
      </c>
      <c r="K1867" t="s">
        <v>41</v>
      </c>
      <c r="O1867">
        <v>0</v>
      </c>
      <c r="P1867">
        <v>0</v>
      </c>
      <c r="Q1867">
        <v>0</v>
      </c>
      <c r="R1867">
        <v>0</v>
      </c>
      <c r="S1867">
        <v>0</v>
      </c>
      <c r="T1867">
        <v>0</v>
      </c>
      <c r="U1867">
        <v>0</v>
      </c>
      <c r="V1867">
        <v>0</v>
      </c>
      <c r="W1867" t="s">
        <v>1229</v>
      </c>
      <c r="AA1867">
        <v>2007</v>
      </c>
      <c r="AB1867">
        <v>9999</v>
      </c>
      <c r="AC1867" t="s">
        <v>35</v>
      </c>
    </row>
    <row r="1868" spans="1:29" x14ac:dyDescent="0.25">
      <c r="A1868" s="31" t="s">
        <v>1016</v>
      </c>
      <c r="B1868" s="23" t="s">
        <v>1017</v>
      </c>
      <c r="D1868">
        <v>1</v>
      </c>
      <c r="E1868" t="s">
        <v>396</v>
      </c>
      <c r="F1868">
        <v>3</v>
      </c>
      <c r="G1868">
        <v>2020</v>
      </c>
      <c r="H1868" t="s">
        <v>1018</v>
      </c>
      <c r="I1868" s="15">
        <v>0</v>
      </c>
      <c r="J1868" t="s">
        <v>121</v>
      </c>
      <c r="K1868" t="s">
        <v>41</v>
      </c>
      <c r="O1868">
        <v>0</v>
      </c>
      <c r="P1868">
        <v>0</v>
      </c>
      <c r="Q1868">
        <v>0</v>
      </c>
      <c r="R1868">
        <v>0</v>
      </c>
      <c r="S1868">
        <v>0</v>
      </c>
      <c r="T1868">
        <v>0</v>
      </c>
      <c r="U1868">
        <v>0</v>
      </c>
      <c r="V1868">
        <v>0</v>
      </c>
      <c r="W1868" t="s">
        <v>1230</v>
      </c>
      <c r="AA1868">
        <v>2007</v>
      </c>
      <c r="AB1868">
        <v>9999</v>
      </c>
      <c r="AC1868" t="s">
        <v>35</v>
      </c>
    </row>
    <row r="1869" spans="1:29" x14ac:dyDescent="0.25">
      <c r="A1869" s="31" t="s">
        <v>1020</v>
      </c>
      <c r="B1869" s="23" t="s">
        <v>1021</v>
      </c>
      <c r="D1869">
        <v>1</v>
      </c>
      <c r="E1869" t="s">
        <v>103</v>
      </c>
      <c r="F1869">
        <v>9</v>
      </c>
      <c r="G1869">
        <v>2020</v>
      </c>
      <c r="I1869" s="15">
        <v>17.899999999999999</v>
      </c>
      <c r="J1869" t="s">
        <v>104</v>
      </c>
      <c r="K1869" t="s">
        <v>47</v>
      </c>
      <c r="O1869">
        <v>0</v>
      </c>
      <c r="P1869">
        <v>0</v>
      </c>
      <c r="Q1869">
        <v>0</v>
      </c>
      <c r="R1869">
        <v>0</v>
      </c>
      <c r="S1869">
        <v>0</v>
      </c>
      <c r="T1869">
        <v>1</v>
      </c>
      <c r="U1869">
        <v>1</v>
      </c>
      <c r="V1869">
        <v>0</v>
      </c>
      <c r="W1869" t="s">
        <v>1231</v>
      </c>
      <c r="AA1869">
        <v>2007</v>
      </c>
      <c r="AB1869">
        <v>9999</v>
      </c>
      <c r="AC1869" t="s">
        <v>35</v>
      </c>
    </row>
    <row r="1870" spans="1:29" x14ac:dyDescent="0.25">
      <c r="B1870" s="23" t="s">
        <v>1026</v>
      </c>
      <c r="D1870">
        <v>24</v>
      </c>
      <c r="F1870">
        <v>3</v>
      </c>
      <c r="G1870">
        <v>2020</v>
      </c>
      <c r="H1870" t="s">
        <v>392</v>
      </c>
      <c r="I1870" s="15" t="s">
        <v>1027</v>
      </c>
      <c r="J1870" t="s">
        <v>121</v>
      </c>
      <c r="K1870" t="s">
        <v>41</v>
      </c>
      <c r="O1870">
        <v>0</v>
      </c>
      <c r="P1870">
        <v>0</v>
      </c>
      <c r="Q1870">
        <v>0</v>
      </c>
      <c r="R1870">
        <v>0</v>
      </c>
      <c r="S1870">
        <v>0</v>
      </c>
      <c r="T1870">
        <v>0</v>
      </c>
      <c r="U1870">
        <v>0</v>
      </c>
      <c r="V1870">
        <v>0</v>
      </c>
      <c r="W1870" t="s">
        <v>1232</v>
      </c>
      <c r="AA1870">
        <v>2007</v>
      </c>
      <c r="AB1870">
        <v>9999</v>
      </c>
      <c r="AC1870" t="s">
        <v>35</v>
      </c>
    </row>
    <row r="1871" spans="1:29" x14ac:dyDescent="0.25">
      <c r="A1871" s="31" t="s">
        <v>28</v>
      </c>
      <c r="B1871" s="23" t="s">
        <v>29</v>
      </c>
      <c r="D1871">
        <v>1</v>
      </c>
      <c r="E1871" t="s">
        <v>30</v>
      </c>
      <c r="F1871">
        <v>4</v>
      </c>
      <c r="G1871">
        <v>2019</v>
      </c>
      <c r="I1871" s="8">
        <v>606.9</v>
      </c>
      <c r="J1871" s="2" t="s">
        <v>89</v>
      </c>
      <c r="K1871" t="s">
        <v>32</v>
      </c>
      <c r="L1871" t="s">
        <v>33</v>
      </c>
      <c r="O1871">
        <v>0</v>
      </c>
      <c r="P1871">
        <v>0</v>
      </c>
      <c r="Q1871">
        <v>0</v>
      </c>
      <c r="R1871">
        <v>1</v>
      </c>
      <c r="S1871">
        <v>1</v>
      </c>
      <c r="T1871">
        <v>1</v>
      </c>
      <c r="U1871">
        <v>1</v>
      </c>
      <c r="V1871">
        <v>0</v>
      </c>
      <c r="W1871" t="s">
        <v>1029</v>
      </c>
      <c r="AA1871">
        <v>2007</v>
      </c>
      <c r="AB1871">
        <v>9999</v>
      </c>
      <c r="AC1871" t="s">
        <v>35</v>
      </c>
    </row>
    <row r="1872" spans="1:29" x14ac:dyDescent="0.25">
      <c r="A1872" s="31" t="s">
        <v>36</v>
      </c>
      <c r="B1872" s="23" t="s">
        <v>1445</v>
      </c>
      <c r="D1872">
        <v>1</v>
      </c>
      <c r="E1872" s="5" t="s">
        <v>38</v>
      </c>
      <c r="F1872">
        <v>4</v>
      </c>
      <c r="G1872">
        <v>2019</v>
      </c>
      <c r="H1872" t="s">
        <v>39</v>
      </c>
      <c r="I1872">
        <v>0.25</v>
      </c>
      <c r="J1872" s="2" t="s">
        <v>40</v>
      </c>
      <c r="K1872" s="2" t="s">
        <v>41</v>
      </c>
      <c r="L1872" s="2"/>
      <c r="O1872">
        <v>0</v>
      </c>
      <c r="P1872">
        <v>0</v>
      </c>
      <c r="Q1872">
        <v>0</v>
      </c>
      <c r="R1872">
        <v>0</v>
      </c>
      <c r="S1872">
        <v>0</v>
      </c>
      <c r="T1872">
        <v>0</v>
      </c>
      <c r="U1872">
        <v>0</v>
      </c>
      <c r="V1872">
        <v>0</v>
      </c>
      <c r="W1872" t="s">
        <v>1030</v>
      </c>
      <c r="AA1872">
        <v>2007</v>
      </c>
      <c r="AB1872">
        <v>9999</v>
      </c>
      <c r="AC1872" t="s">
        <v>35</v>
      </c>
    </row>
    <row r="1873" spans="1:29" x14ac:dyDescent="0.25">
      <c r="A1873" s="31" t="s">
        <v>43</v>
      </c>
      <c r="B1873" s="23" t="s">
        <v>44</v>
      </c>
      <c r="D1873">
        <v>1</v>
      </c>
      <c r="E1873" t="s">
        <v>45</v>
      </c>
      <c r="F1873">
        <v>4</v>
      </c>
      <c r="G1873">
        <v>2019</v>
      </c>
      <c r="I1873" s="8">
        <v>49.8</v>
      </c>
      <c r="J1873" t="s">
        <v>52</v>
      </c>
      <c r="K1873" t="s">
        <v>47</v>
      </c>
      <c r="O1873">
        <v>0</v>
      </c>
      <c r="P1873">
        <v>0</v>
      </c>
      <c r="Q1873">
        <v>0</v>
      </c>
      <c r="R1873">
        <v>0</v>
      </c>
      <c r="S1873">
        <v>1</v>
      </c>
      <c r="T1873">
        <v>1</v>
      </c>
      <c r="U1873">
        <v>1</v>
      </c>
      <c r="V1873">
        <v>0</v>
      </c>
      <c r="W1873" t="s">
        <v>1514</v>
      </c>
      <c r="AA1873">
        <v>2007</v>
      </c>
      <c r="AB1873">
        <v>9999</v>
      </c>
      <c r="AC1873" t="s">
        <v>35</v>
      </c>
    </row>
    <row r="1874" spans="1:29" x14ac:dyDescent="0.25">
      <c r="A1874" s="31" t="s">
        <v>49</v>
      </c>
      <c r="B1874" s="25" t="s">
        <v>50</v>
      </c>
      <c r="D1874">
        <v>1</v>
      </c>
      <c r="E1874" t="s">
        <v>51</v>
      </c>
      <c r="F1874">
        <v>1</v>
      </c>
      <c r="G1874">
        <v>2019</v>
      </c>
      <c r="I1874">
        <v>65</v>
      </c>
      <c r="J1874" t="s">
        <v>52</v>
      </c>
      <c r="K1874" t="s">
        <v>53</v>
      </c>
      <c r="L1874" t="s">
        <v>54</v>
      </c>
      <c r="O1874">
        <v>0</v>
      </c>
      <c r="P1874">
        <v>0</v>
      </c>
      <c r="Q1874">
        <v>1</v>
      </c>
      <c r="R1874">
        <v>0</v>
      </c>
      <c r="S1874">
        <v>0</v>
      </c>
      <c r="T1874">
        <v>0</v>
      </c>
      <c r="U1874">
        <v>1</v>
      </c>
      <c r="V1874">
        <v>0</v>
      </c>
      <c r="W1874" t="s">
        <v>55</v>
      </c>
      <c r="AA1874">
        <v>2007</v>
      </c>
      <c r="AB1874">
        <v>9999</v>
      </c>
      <c r="AC1874" t="s">
        <v>35</v>
      </c>
    </row>
    <row r="1875" spans="1:29" x14ac:dyDescent="0.25">
      <c r="A1875" s="31" t="s">
        <v>996</v>
      </c>
      <c r="B1875" s="23" t="s">
        <v>1342</v>
      </c>
      <c r="D1875">
        <v>1</v>
      </c>
      <c r="E1875" t="s">
        <v>38</v>
      </c>
      <c r="F1875">
        <v>4</v>
      </c>
      <c r="G1875">
        <v>2019</v>
      </c>
      <c r="H1875" t="s">
        <v>998</v>
      </c>
      <c r="I1875">
        <v>1.25</v>
      </c>
      <c r="J1875" t="s">
        <v>89</v>
      </c>
      <c r="K1875" t="s">
        <v>41</v>
      </c>
      <c r="O1875">
        <v>0</v>
      </c>
      <c r="P1875">
        <v>0</v>
      </c>
      <c r="Q1875">
        <v>0</v>
      </c>
      <c r="R1875">
        <v>0</v>
      </c>
      <c r="S1875">
        <v>0</v>
      </c>
      <c r="T1875">
        <v>0</v>
      </c>
      <c r="U1875">
        <v>0</v>
      </c>
      <c r="V1875">
        <v>0</v>
      </c>
      <c r="W1875" t="s">
        <v>1344</v>
      </c>
      <c r="AA1875">
        <v>2007</v>
      </c>
      <c r="AB1875">
        <v>9999</v>
      </c>
      <c r="AC1875" t="s">
        <v>35</v>
      </c>
    </row>
    <row r="1876" spans="1:29" x14ac:dyDescent="0.25">
      <c r="A1876" s="31" t="s">
        <v>56</v>
      </c>
      <c r="B1876" s="23" t="s">
        <v>57</v>
      </c>
      <c r="D1876">
        <v>1</v>
      </c>
      <c r="E1876" t="s">
        <v>58</v>
      </c>
      <c r="F1876">
        <v>4</v>
      </c>
      <c r="G1876">
        <v>2019</v>
      </c>
      <c r="I1876" s="8">
        <v>17.7</v>
      </c>
      <c r="J1876" t="s">
        <v>59</v>
      </c>
      <c r="K1876" t="s">
        <v>53</v>
      </c>
      <c r="L1876" t="s">
        <v>60</v>
      </c>
      <c r="O1876">
        <v>1</v>
      </c>
      <c r="P1876">
        <v>0</v>
      </c>
      <c r="Q1876">
        <v>0</v>
      </c>
      <c r="R1876">
        <v>0</v>
      </c>
      <c r="S1876">
        <v>1</v>
      </c>
      <c r="T1876">
        <v>1</v>
      </c>
      <c r="U1876">
        <v>1</v>
      </c>
      <c r="V1876">
        <v>0</v>
      </c>
      <c r="W1876" t="s">
        <v>61</v>
      </c>
      <c r="AA1876">
        <v>2007</v>
      </c>
      <c r="AB1876">
        <v>9999</v>
      </c>
      <c r="AC1876" t="s">
        <v>35</v>
      </c>
    </row>
    <row r="1877" spans="1:29" x14ac:dyDescent="0.25">
      <c r="A1877" s="31" t="s">
        <v>71</v>
      </c>
      <c r="B1877" s="23" t="s">
        <v>1032</v>
      </c>
      <c r="D1877">
        <v>1</v>
      </c>
      <c r="E1877" t="s">
        <v>309</v>
      </c>
      <c r="F1877">
        <v>10</v>
      </c>
      <c r="G1877">
        <v>2019</v>
      </c>
      <c r="I1877" s="8">
        <v>11898.6</v>
      </c>
      <c r="J1877" t="s">
        <v>59</v>
      </c>
      <c r="K1877" t="s">
        <v>32</v>
      </c>
      <c r="O1877">
        <v>0</v>
      </c>
      <c r="P1877">
        <v>0</v>
      </c>
      <c r="Q1877">
        <v>0</v>
      </c>
      <c r="R1877">
        <v>0</v>
      </c>
      <c r="S1877">
        <v>1</v>
      </c>
      <c r="T1877">
        <v>1</v>
      </c>
      <c r="U1877">
        <v>1</v>
      </c>
      <c r="V1877">
        <v>0</v>
      </c>
      <c r="W1877" t="s">
        <v>1033</v>
      </c>
      <c r="AA1877">
        <v>2007</v>
      </c>
      <c r="AB1877">
        <v>9999</v>
      </c>
      <c r="AC1877" t="s">
        <v>35</v>
      </c>
    </row>
    <row r="1878" spans="1:29" x14ac:dyDescent="0.25">
      <c r="A1878" s="31" t="s">
        <v>62</v>
      </c>
      <c r="B1878" s="23" t="s">
        <v>63</v>
      </c>
      <c r="D1878">
        <v>1</v>
      </c>
      <c r="E1878" t="s">
        <v>64</v>
      </c>
      <c r="F1878">
        <v>1</v>
      </c>
      <c r="G1878">
        <v>2019</v>
      </c>
      <c r="I1878" s="8">
        <v>60.8</v>
      </c>
      <c r="J1878" t="s">
        <v>52</v>
      </c>
      <c r="K1878" t="s">
        <v>53</v>
      </c>
      <c r="L1878" t="s">
        <v>65</v>
      </c>
      <c r="O1878">
        <v>0</v>
      </c>
      <c r="P1878">
        <v>0</v>
      </c>
      <c r="Q1878">
        <v>0</v>
      </c>
      <c r="R1878">
        <v>0</v>
      </c>
      <c r="S1878">
        <v>1</v>
      </c>
      <c r="T1878">
        <v>1</v>
      </c>
      <c r="U1878">
        <v>1</v>
      </c>
      <c r="V1878">
        <v>0</v>
      </c>
      <c r="W1878" t="s">
        <v>1034</v>
      </c>
      <c r="AA1878">
        <v>2007</v>
      </c>
      <c r="AB1878">
        <v>9999</v>
      </c>
      <c r="AC1878" t="s">
        <v>35</v>
      </c>
    </row>
    <row r="1879" spans="1:29" x14ac:dyDescent="0.25">
      <c r="A1879" s="31" t="s">
        <v>74</v>
      </c>
      <c r="B1879" s="23" t="s">
        <v>75</v>
      </c>
      <c r="D1879">
        <v>1</v>
      </c>
      <c r="E1879" t="s">
        <v>58</v>
      </c>
      <c r="F1879">
        <v>4</v>
      </c>
      <c r="G1879">
        <v>2019</v>
      </c>
      <c r="I1879" s="8">
        <v>614.5</v>
      </c>
      <c r="J1879" t="s">
        <v>59</v>
      </c>
      <c r="K1879" t="s">
        <v>47</v>
      </c>
      <c r="O1879">
        <v>0</v>
      </c>
      <c r="P1879">
        <v>0</v>
      </c>
      <c r="Q1879">
        <v>0</v>
      </c>
      <c r="R1879">
        <v>0</v>
      </c>
      <c r="S1879">
        <v>1</v>
      </c>
      <c r="T1879">
        <v>1</v>
      </c>
      <c r="U1879">
        <v>1</v>
      </c>
      <c r="V1879">
        <v>0</v>
      </c>
      <c r="W1879" t="s">
        <v>1035</v>
      </c>
      <c r="AA1879">
        <v>2007</v>
      </c>
      <c r="AB1879">
        <v>9999</v>
      </c>
      <c r="AC1879" t="s">
        <v>35</v>
      </c>
    </row>
    <row r="1880" spans="1:29" x14ac:dyDescent="0.25">
      <c r="A1880" s="31" t="s">
        <v>83</v>
      </c>
      <c r="B1880" s="23" t="s">
        <v>84</v>
      </c>
      <c r="D1880">
        <v>1</v>
      </c>
      <c r="E1880" t="s">
        <v>85</v>
      </c>
      <c r="F1880">
        <v>1</v>
      </c>
      <c r="G1880">
        <v>2019</v>
      </c>
      <c r="H1880" t="s">
        <v>39</v>
      </c>
      <c r="I1880">
        <v>25.35</v>
      </c>
      <c r="J1880" s="2" t="s">
        <v>40</v>
      </c>
      <c r="K1880" t="s">
        <v>41</v>
      </c>
      <c r="O1880">
        <v>0</v>
      </c>
      <c r="P1880">
        <v>0</v>
      </c>
      <c r="Q1880">
        <v>0</v>
      </c>
      <c r="R1880">
        <v>0</v>
      </c>
      <c r="S1880">
        <v>0</v>
      </c>
      <c r="T1880">
        <v>0</v>
      </c>
      <c r="U1880">
        <v>0</v>
      </c>
      <c r="V1880">
        <v>0</v>
      </c>
      <c r="W1880" t="s">
        <v>86</v>
      </c>
      <c r="AA1880">
        <v>2007</v>
      </c>
      <c r="AB1880">
        <v>9999</v>
      </c>
      <c r="AC1880" t="s">
        <v>35</v>
      </c>
    </row>
    <row r="1881" spans="1:29" x14ac:dyDescent="0.25">
      <c r="A1881" s="31" t="s">
        <v>92</v>
      </c>
      <c r="B1881" s="23" t="s">
        <v>93</v>
      </c>
      <c r="C1881" t="s">
        <v>94</v>
      </c>
      <c r="D1881">
        <v>1</v>
      </c>
      <c r="E1881" t="s">
        <v>95</v>
      </c>
      <c r="F1881">
        <v>10</v>
      </c>
      <c r="G1881">
        <v>2019</v>
      </c>
      <c r="I1881" s="8">
        <v>22.7</v>
      </c>
      <c r="J1881" t="s">
        <v>59</v>
      </c>
      <c r="K1881" t="s">
        <v>47</v>
      </c>
      <c r="O1881">
        <v>0</v>
      </c>
      <c r="P1881">
        <v>0</v>
      </c>
      <c r="Q1881">
        <v>0</v>
      </c>
      <c r="R1881">
        <v>0</v>
      </c>
      <c r="S1881">
        <v>1</v>
      </c>
      <c r="T1881">
        <v>1</v>
      </c>
      <c r="U1881">
        <v>1</v>
      </c>
      <c r="V1881">
        <v>0</v>
      </c>
      <c r="W1881" t="s">
        <v>96</v>
      </c>
      <c r="AA1881">
        <v>2007</v>
      </c>
      <c r="AB1881">
        <v>9999</v>
      </c>
      <c r="AC1881" t="s">
        <v>35</v>
      </c>
    </row>
    <row r="1882" spans="1:29" x14ac:dyDescent="0.25">
      <c r="A1882" s="31" t="s">
        <v>101</v>
      </c>
      <c r="B1882" s="23" t="s">
        <v>102</v>
      </c>
      <c r="D1882">
        <v>1</v>
      </c>
      <c r="E1882" t="s">
        <v>103</v>
      </c>
      <c r="F1882">
        <v>9</v>
      </c>
      <c r="G1882">
        <v>2019</v>
      </c>
      <c r="I1882" s="8">
        <v>416.1</v>
      </c>
      <c r="J1882" t="s">
        <v>104</v>
      </c>
      <c r="K1882" t="s">
        <v>53</v>
      </c>
      <c r="L1882" t="s">
        <v>105</v>
      </c>
      <c r="O1882">
        <v>0</v>
      </c>
      <c r="P1882">
        <v>1</v>
      </c>
      <c r="Q1882">
        <v>0</v>
      </c>
      <c r="R1882">
        <v>0</v>
      </c>
      <c r="S1882">
        <v>1</v>
      </c>
      <c r="T1882">
        <v>1</v>
      </c>
      <c r="U1882">
        <v>1</v>
      </c>
      <c r="V1882">
        <v>0</v>
      </c>
      <c r="W1882" t="s">
        <v>106</v>
      </c>
      <c r="AA1882">
        <v>2007</v>
      </c>
      <c r="AB1882">
        <v>9999</v>
      </c>
      <c r="AC1882" t="s">
        <v>35</v>
      </c>
    </row>
    <row r="1883" spans="1:29" x14ac:dyDescent="0.25">
      <c r="A1883" s="31" t="s">
        <v>107</v>
      </c>
      <c r="B1883" s="23" t="s">
        <v>108</v>
      </c>
      <c r="D1883">
        <v>1</v>
      </c>
      <c r="E1883" t="s">
        <v>45</v>
      </c>
      <c r="F1883">
        <v>4</v>
      </c>
      <c r="G1883">
        <v>2019</v>
      </c>
      <c r="I1883" s="8">
        <v>5.5</v>
      </c>
      <c r="J1883" t="s">
        <v>52</v>
      </c>
      <c r="K1883" t="s">
        <v>41</v>
      </c>
      <c r="O1883">
        <v>0</v>
      </c>
      <c r="P1883">
        <v>0</v>
      </c>
      <c r="Q1883">
        <v>0</v>
      </c>
      <c r="R1883">
        <v>0</v>
      </c>
      <c r="S1883">
        <v>0</v>
      </c>
      <c r="T1883">
        <v>1</v>
      </c>
      <c r="U1883">
        <v>1</v>
      </c>
      <c r="V1883">
        <v>0</v>
      </c>
      <c r="W1883" t="s">
        <v>1520</v>
      </c>
      <c r="AA1883">
        <v>2007</v>
      </c>
      <c r="AB1883">
        <v>9999</v>
      </c>
      <c r="AC1883" t="s">
        <v>35</v>
      </c>
    </row>
    <row r="1884" spans="1:29" x14ac:dyDescent="0.25">
      <c r="A1884" s="31" t="s">
        <v>110</v>
      </c>
      <c r="B1884" s="23" t="s">
        <v>111</v>
      </c>
      <c r="D1884">
        <v>1</v>
      </c>
      <c r="E1884" t="s">
        <v>45</v>
      </c>
      <c r="F1884">
        <v>4</v>
      </c>
      <c r="G1884">
        <v>2019</v>
      </c>
      <c r="I1884" s="8">
        <v>538.79999999999995</v>
      </c>
      <c r="J1884" t="s">
        <v>89</v>
      </c>
      <c r="K1884" t="s">
        <v>47</v>
      </c>
      <c r="O1884">
        <v>0</v>
      </c>
      <c r="P1884">
        <v>0</v>
      </c>
      <c r="Q1884">
        <v>0</v>
      </c>
      <c r="R1884">
        <v>0</v>
      </c>
      <c r="S1884">
        <v>1</v>
      </c>
      <c r="T1884">
        <v>1</v>
      </c>
      <c r="U1884">
        <v>1</v>
      </c>
      <c r="V1884">
        <v>0</v>
      </c>
      <c r="W1884" t="s">
        <v>1039</v>
      </c>
      <c r="AA1884">
        <v>2007</v>
      </c>
      <c r="AB1884">
        <v>9999</v>
      </c>
      <c r="AC1884" t="s">
        <v>35</v>
      </c>
    </row>
    <row r="1885" spans="1:29" x14ac:dyDescent="0.25">
      <c r="A1885" s="31" t="s">
        <v>113</v>
      </c>
      <c r="B1885" s="23" t="s">
        <v>114</v>
      </c>
      <c r="D1885">
        <v>1</v>
      </c>
      <c r="E1885" t="s">
        <v>115</v>
      </c>
      <c r="F1885">
        <v>6</v>
      </c>
      <c r="G1885">
        <v>2019</v>
      </c>
      <c r="I1885" s="8">
        <v>287.2</v>
      </c>
      <c r="J1885" t="s">
        <v>52</v>
      </c>
      <c r="K1885" t="s">
        <v>47</v>
      </c>
      <c r="O1885">
        <v>0</v>
      </c>
      <c r="P1885">
        <v>0</v>
      </c>
      <c r="Q1885">
        <v>0</v>
      </c>
      <c r="R1885">
        <v>0</v>
      </c>
      <c r="S1885">
        <v>1</v>
      </c>
      <c r="T1885">
        <v>1</v>
      </c>
      <c r="U1885">
        <v>1</v>
      </c>
      <c r="V1885">
        <v>0</v>
      </c>
      <c r="W1885" t="s">
        <v>1415</v>
      </c>
      <c r="AA1885">
        <v>2007</v>
      </c>
      <c r="AB1885">
        <v>9999</v>
      </c>
      <c r="AC1885" t="s">
        <v>35</v>
      </c>
    </row>
    <row r="1886" spans="1:29" x14ac:dyDescent="0.25">
      <c r="A1886" s="31" t="s">
        <v>117</v>
      </c>
      <c r="B1886" s="23" t="s">
        <v>118</v>
      </c>
      <c r="C1886" t="s">
        <v>119</v>
      </c>
      <c r="D1886">
        <v>1</v>
      </c>
      <c r="E1886" t="s">
        <v>120</v>
      </c>
      <c r="F1886">
        <v>3</v>
      </c>
      <c r="G1886">
        <v>2019</v>
      </c>
      <c r="I1886" s="8">
        <v>127.2</v>
      </c>
      <c r="J1886" t="s">
        <v>121</v>
      </c>
      <c r="K1886" t="s">
        <v>47</v>
      </c>
      <c r="O1886">
        <v>0</v>
      </c>
      <c r="P1886">
        <v>0</v>
      </c>
      <c r="Q1886">
        <v>0</v>
      </c>
      <c r="R1886">
        <v>0</v>
      </c>
      <c r="S1886">
        <v>1</v>
      </c>
      <c r="T1886">
        <v>1</v>
      </c>
      <c r="U1886">
        <v>1</v>
      </c>
      <c r="V1886">
        <v>0</v>
      </c>
      <c r="W1886" t="s">
        <v>1521</v>
      </c>
      <c r="AA1886">
        <v>2007</v>
      </c>
      <c r="AB1886">
        <v>9999</v>
      </c>
      <c r="AC1886" t="s">
        <v>35</v>
      </c>
    </row>
    <row r="1887" spans="1:29" x14ac:dyDescent="0.25">
      <c r="A1887" s="31" t="s">
        <v>123</v>
      </c>
      <c r="B1887" s="23" t="s">
        <v>124</v>
      </c>
      <c r="D1887">
        <v>1</v>
      </c>
      <c r="E1887" t="s">
        <v>120</v>
      </c>
      <c r="F1887">
        <v>3</v>
      </c>
      <c r="G1887">
        <v>2019</v>
      </c>
      <c r="I1887" s="8">
        <v>56.9</v>
      </c>
      <c r="J1887" t="s">
        <v>121</v>
      </c>
      <c r="K1887" t="s">
        <v>47</v>
      </c>
      <c r="O1887">
        <v>0</v>
      </c>
      <c r="P1887">
        <v>0</v>
      </c>
      <c r="Q1887">
        <v>0</v>
      </c>
      <c r="R1887">
        <v>0</v>
      </c>
      <c r="S1887">
        <v>1</v>
      </c>
      <c r="T1887">
        <v>1</v>
      </c>
      <c r="U1887">
        <v>1</v>
      </c>
      <c r="V1887">
        <v>0</v>
      </c>
      <c r="W1887" t="s">
        <v>1042</v>
      </c>
      <c r="AA1887">
        <v>2007</v>
      </c>
      <c r="AB1887">
        <v>9999</v>
      </c>
      <c r="AC1887" t="s">
        <v>35</v>
      </c>
    </row>
    <row r="1888" spans="1:29" x14ac:dyDescent="0.25">
      <c r="A1888" s="31" t="s">
        <v>1416</v>
      </c>
      <c r="B1888" s="23" t="s">
        <v>1417</v>
      </c>
      <c r="D1888">
        <v>1</v>
      </c>
      <c r="E1888" s="5" t="s">
        <v>38</v>
      </c>
      <c r="F1888">
        <v>4</v>
      </c>
      <c r="G1888">
        <v>2019</v>
      </c>
      <c r="H1888" t="s">
        <v>998</v>
      </c>
      <c r="I1888" s="8">
        <v>0</v>
      </c>
      <c r="J1888" t="s">
        <v>89</v>
      </c>
      <c r="K1888" t="s">
        <v>41</v>
      </c>
      <c r="O1888">
        <v>0</v>
      </c>
      <c r="P1888">
        <v>0</v>
      </c>
      <c r="Q1888">
        <v>0</v>
      </c>
      <c r="R1888">
        <v>0</v>
      </c>
      <c r="S1888">
        <v>0</v>
      </c>
      <c r="T1888">
        <v>0</v>
      </c>
      <c r="U1888">
        <v>0</v>
      </c>
      <c r="V1888">
        <v>0</v>
      </c>
      <c r="W1888" t="s">
        <v>1534</v>
      </c>
      <c r="AA1888">
        <v>2013</v>
      </c>
      <c r="AB1888">
        <v>9999</v>
      </c>
      <c r="AC1888" t="s">
        <v>1419</v>
      </c>
    </row>
    <row r="1889" spans="1:29" x14ac:dyDescent="0.25">
      <c r="A1889" s="31" t="s">
        <v>131</v>
      </c>
      <c r="B1889" s="23" t="s">
        <v>132</v>
      </c>
      <c r="C1889" t="s">
        <v>133</v>
      </c>
      <c r="D1889">
        <v>1</v>
      </c>
      <c r="E1889" t="s">
        <v>134</v>
      </c>
      <c r="F1889">
        <v>9</v>
      </c>
      <c r="G1889">
        <v>2019</v>
      </c>
      <c r="I1889" s="8">
        <v>887.3</v>
      </c>
      <c r="J1889" t="s">
        <v>104</v>
      </c>
      <c r="K1889" t="s">
        <v>47</v>
      </c>
      <c r="O1889">
        <v>0</v>
      </c>
      <c r="P1889">
        <v>0</v>
      </c>
      <c r="Q1889">
        <v>0</v>
      </c>
      <c r="R1889">
        <v>0</v>
      </c>
      <c r="S1889">
        <v>1</v>
      </c>
      <c r="T1889">
        <v>1</v>
      </c>
      <c r="U1889">
        <v>1</v>
      </c>
      <c r="V1889">
        <v>0</v>
      </c>
      <c r="W1889" t="s">
        <v>1522</v>
      </c>
      <c r="AA1889">
        <v>2007</v>
      </c>
      <c r="AB1889">
        <v>9999</v>
      </c>
      <c r="AC1889" t="s">
        <v>35</v>
      </c>
    </row>
    <row r="1890" spans="1:29" x14ac:dyDescent="0.25">
      <c r="A1890" s="31" t="s">
        <v>140</v>
      </c>
      <c r="B1890" s="23" t="s">
        <v>141</v>
      </c>
      <c r="D1890">
        <v>1</v>
      </c>
      <c r="E1890" t="s">
        <v>45</v>
      </c>
      <c r="F1890">
        <v>4</v>
      </c>
      <c r="G1890">
        <v>2019</v>
      </c>
      <c r="I1890" s="8">
        <v>80.3</v>
      </c>
      <c r="J1890" t="s">
        <v>121</v>
      </c>
      <c r="K1890" t="s">
        <v>47</v>
      </c>
      <c r="O1890">
        <v>0</v>
      </c>
      <c r="P1890">
        <v>0</v>
      </c>
      <c r="Q1890">
        <v>0</v>
      </c>
      <c r="R1890">
        <v>0</v>
      </c>
      <c r="S1890">
        <v>1</v>
      </c>
      <c r="T1890">
        <v>1</v>
      </c>
      <c r="U1890">
        <v>1</v>
      </c>
      <c r="V1890">
        <v>0</v>
      </c>
      <c r="W1890" t="s">
        <v>1045</v>
      </c>
      <c r="AA1890">
        <v>2007</v>
      </c>
      <c r="AB1890">
        <v>9999</v>
      </c>
      <c r="AC1890" t="s">
        <v>35</v>
      </c>
    </row>
    <row r="1891" spans="1:29" ht="30" x14ac:dyDescent="0.25">
      <c r="A1891" s="31" t="s">
        <v>143</v>
      </c>
      <c r="B1891" s="23" t="s">
        <v>144</v>
      </c>
      <c r="D1891">
        <v>1</v>
      </c>
      <c r="E1891" t="s">
        <v>145</v>
      </c>
      <c r="F1891">
        <v>2</v>
      </c>
      <c r="G1891">
        <v>2019</v>
      </c>
      <c r="H1891" t="s">
        <v>146</v>
      </c>
      <c r="I1891">
        <v>0</v>
      </c>
      <c r="J1891" s="2" t="s">
        <v>147</v>
      </c>
      <c r="K1891" t="s">
        <v>41</v>
      </c>
      <c r="O1891">
        <v>0</v>
      </c>
      <c r="P1891">
        <v>0</v>
      </c>
      <c r="Q1891">
        <v>0</v>
      </c>
      <c r="R1891">
        <v>0</v>
      </c>
      <c r="S1891">
        <v>0</v>
      </c>
      <c r="T1891">
        <v>0</v>
      </c>
      <c r="U1891">
        <v>0</v>
      </c>
      <c r="V1891">
        <v>0</v>
      </c>
      <c r="W1891" t="s">
        <v>1046</v>
      </c>
      <c r="AA1891">
        <v>2007</v>
      </c>
      <c r="AB1891">
        <v>9999</v>
      </c>
      <c r="AC1891" t="s">
        <v>35</v>
      </c>
    </row>
    <row r="1892" spans="1:29" x14ac:dyDescent="0.25">
      <c r="A1892" s="31" t="s">
        <v>1535</v>
      </c>
      <c r="B1892" s="23" t="s">
        <v>1536</v>
      </c>
      <c r="C1892" t="s">
        <v>1537</v>
      </c>
      <c r="D1892">
        <v>1</v>
      </c>
      <c r="E1892" t="s">
        <v>95</v>
      </c>
      <c r="F1892">
        <v>10</v>
      </c>
      <c r="G1892">
        <v>2019</v>
      </c>
      <c r="I1892">
        <v>16</v>
      </c>
      <c r="J1892" t="s">
        <v>59</v>
      </c>
      <c r="K1892" t="s">
        <v>47</v>
      </c>
      <c r="O1892">
        <v>0</v>
      </c>
      <c r="P1892">
        <v>0</v>
      </c>
      <c r="Q1892">
        <v>0</v>
      </c>
      <c r="R1892">
        <v>0</v>
      </c>
      <c r="S1892">
        <v>1</v>
      </c>
      <c r="T1892">
        <v>1</v>
      </c>
      <c r="U1892">
        <v>1</v>
      </c>
      <c r="V1892">
        <v>0</v>
      </c>
      <c r="W1892" t="s">
        <v>1538</v>
      </c>
      <c r="AA1892">
        <v>2018</v>
      </c>
      <c r="AB1892">
        <v>2022</v>
      </c>
      <c r="AC1892" t="s">
        <v>1539</v>
      </c>
    </row>
    <row r="1893" spans="1:29" x14ac:dyDescent="0.25">
      <c r="A1893" s="31" t="s">
        <v>353</v>
      </c>
      <c r="B1893" s="23" t="s">
        <v>1233</v>
      </c>
      <c r="C1893" t="s">
        <v>1234</v>
      </c>
      <c r="D1893">
        <v>1</v>
      </c>
      <c r="E1893" t="s">
        <v>58</v>
      </c>
      <c r="F1893">
        <v>4</v>
      </c>
      <c r="G1893">
        <v>2019</v>
      </c>
      <c r="I1893" s="8">
        <v>93.1</v>
      </c>
      <c r="J1893" t="s">
        <v>59</v>
      </c>
      <c r="K1893" t="s">
        <v>47</v>
      </c>
      <c r="O1893">
        <v>0</v>
      </c>
      <c r="P1893">
        <v>0</v>
      </c>
      <c r="Q1893">
        <v>0</v>
      </c>
      <c r="R1893">
        <v>0</v>
      </c>
      <c r="S1893">
        <v>1</v>
      </c>
      <c r="T1893">
        <v>1</v>
      </c>
      <c r="U1893">
        <v>1</v>
      </c>
      <c r="V1893">
        <v>0</v>
      </c>
      <c r="W1893" t="s">
        <v>1235</v>
      </c>
      <c r="AA1893">
        <v>2007</v>
      </c>
      <c r="AB1893">
        <v>9999</v>
      </c>
      <c r="AC1893" t="s">
        <v>35</v>
      </c>
    </row>
    <row r="1894" spans="1:29" x14ac:dyDescent="0.25">
      <c r="A1894" s="31" t="s">
        <v>1236</v>
      </c>
      <c r="B1894" s="23" t="s">
        <v>1237</v>
      </c>
      <c r="D1894">
        <v>1</v>
      </c>
      <c r="E1894" t="s">
        <v>155</v>
      </c>
      <c r="F1894">
        <v>3</v>
      </c>
      <c r="G1894">
        <v>2019</v>
      </c>
      <c r="H1894" t="s">
        <v>154</v>
      </c>
      <c r="I1894" s="8">
        <v>4.9000000000000004</v>
      </c>
      <c r="J1894" t="s">
        <v>121</v>
      </c>
      <c r="K1894" t="s">
        <v>41</v>
      </c>
      <c r="O1894">
        <v>0</v>
      </c>
      <c r="P1894">
        <v>0</v>
      </c>
      <c r="Q1894">
        <v>0</v>
      </c>
      <c r="R1894">
        <v>0</v>
      </c>
      <c r="S1894">
        <v>0</v>
      </c>
      <c r="T1894">
        <v>1</v>
      </c>
      <c r="U1894">
        <v>1</v>
      </c>
      <c r="V1894">
        <v>0</v>
      </c>
      <c r="W1894" t="s">
        <v>1347</v>
      </c>
      <c r="AA1894">
        <v>2009</v>
      </c>
      <c r="AB1894">
        <v>9999</v>
      </c>
      <c r="AC1894" t="s">
        <v>1239</v>
      </c>
    </row>
    <row r="1895" spans="1:29" x14ac:dyDescent="0.25">
      <c r="A1895" s="31" t="s">
        <v>153</v>
      </c>
      <c r="B1895" s="23" t="s">
        <v>154</v>
      </c>
      <c r="D1895">
        <v>1</v>
      </c>
      <c r="E1895" t="s">
        <v>155</v>
      </c>
      <c r="F1895">
        <v>3</v>
      </c>
      <c r="G1895">
        <v>2019</v>
      </c>
      <c r="I1895" s="8">
        <v>358.33394355000149</v>
      </c>
      <c r="J1895" t="s">
        <v>121</v>
      </c>
      <c r="K1895" t="s">
        <v>47</v>
      </c>
      <c r="O1895">
        <v>0</v>
      </c>
      <c r="P1895">
        <v>0</v>
      </c>
      <c r="Q1895">
        <v>0</v>
      </c>
      <c r="R1895">
        <v>0</v>
      </c>
      <c r="S1895">
        <v>1</v>
      </c>
      <c r="T1895">
        <v>1</v>
      </c>
      <c r="U1895">
        <v>1</v>
      </c>
      <c r="V1895">
        <v>1</v>
      </c>
      <c r="W1895" t="s">
        <v>1047</v>
      </c>
      <c r="AA1895">
        <v>2007</v>
      </c>
      <c r="AB1895">
        <v>9999</v>
      </c>
      <c r="AC1895" t="s">
        <v>35</v>
      </c>
    </row>
    <row r="1896" spans="1:29" x14ac:dyDescent="0.25">
      <c r="A1896" s="31" t="s">
        <v>1446</v>
      </c>
      <c r="B1896" s="23" t="s">
        <v>1470</v>
      </c>
      <c r="D1896">
        <v>1</v>
      </c>
      <c r="E1896" s="4">
        <v>711</v>
      </c>
      <c r="F1896">
        <v>7</v>
      </c>
      <c r="G1896">
        <v>2019</v>
      </c>
      <c r="I1896" s="8">
        <v>254.3</v>
      </c>
      <c r="J1896" s="2" t="s">
        <v>40</v>
      </c>
      <c r="K1896" t="s">
        <v>32</v>
      </c>
      <c r="O1896">
        <v>0</v>
      </c>
      <c r="P1896">
        <v>0</v>
      </c>
      <c r="Q1896">
        <v>0</v>
      </c>
      <c r="R1896">
        <v>0</v>
      </c>
      <c r="S1896">
        <v>1</v>
      </c>
      <c r="T1896">
        <v>1</v>
      </c>
      <c r="U1896">
        <v>1</v>
      </c>
      <c r="V1896">
        <v>0</v>
      </c>
      <c r="W1896" t="s">
        <v>1448</v>
      </c>
      <c r="AA1896">
        <v>2014</v>
      </c>
      <c r="AB1896">
        <v>9999</v>
      </c>
      <c r="AC1896" t="s">
        <v>1449</v>
      </c>
    </row>
    <row r="1897" spans="1:29" x14ac:dyDescent="0.25">
      <c r="A1897" s="31" t="s">
        <v>159</v>
      </c>
      <c r="B1897" s="23" t="s">
        <v>160</v>
      </c>
      <c r="D1897">
        <v>1</v>
      </c>
      <c r="E1897" t="s">
        <v>155</v>
      </c>
      <c r="F1897">
        <v>3</v>
      </c>
      <c r="G1897">
        <v>2019</v>
      </c>
      <c r="I1897" s="8">
        <v>329.8</v>
      </c>
      <c r="J1897" t="s">
        <v>121</v>
      </c>
      <c r="K1897" t="s">
        <v>47</v>
      </c>
      <c r="O1897">
        <v>0</v>
      </c>
      <c r="P1897">
        <v>0</v>
      </c>
      <c r="Q1897">
        <v>0</v>
      </c>
      <c r="R1897">
        <v>0</v>
      </c>
      <c r="S1897">
        <v>1</v>
      </c>
      <c r="T1897">
        <v>1</v>
      </c>
      <c r="U1897">
        <v>1</v>
      </c>
      <c r="V1897">
        <v>0</v>
      </c>
      <c r="W1897" t="s">
        <v>1515</v>
      </c>
      <c r="AA1897">
        <v>2007</v>
      </c>
      <c r="AB1897">
        <v>9999</v>
      </c>
      <c r="AC1897" t="s">
        <v>35</v>
      </c>
    </row>
    <row r="1898" spans="1:29" x14ac:dyDescent="0.25">
      <c r="A1898" s="31" t="s">
        <v>165</v>
      </c>
      <c r="B1898" s="23" t="s">
        <v>166</v>
      </c>
      <c r="C1898" t="s">
        <v>167</v>
      </c>
      <c r="D1898">
        <v>1</v>
      </c>
      <c r="E1898" t="s">
        <v>168</v>
      </c>
      <c r="F1898">
        <v>1</v>
      </c>
      <c r="G1898">
        <v>2019</v>
      </c>
      <c r="I1898" s="8">
        <v>134.30000000000001</v>
      </c>
      <c r="J1898" t="s">
        <v>52</v>
      </c>
      <c r="K1898" t="s">
        <v>47</v>
      </c>
      <c r="O1898">
        <v>0</v>
      </c>
      <c r="P1898">
        <v>0</v>
      </c>
      <c r="Q1898">
        <v>0</v>
      </c>
      <c r="R1898">
        <v>0</v>
      </c>
      <c r="S1898">
        <v>1</v>
      </c>
      <c r="T1898">
        <v>1</v>
      </c>
      <c r="U1898">
        <v>1</v>
      </c>
      <c r="V1898">
        <v>0</v>
      </c>
      <c r="W1898" t="s">
        <v>1523</v>
      </c>
      <c r="AA1898">
        <v>2007</v>
      </c>
      <c r="AB1898">
        <v>9999</v>
      </c>
      <c r="AC1898" t="s">
        <v>35</v>
      </c>
    </row>
    <row r="1899" spans="1:29" x14ac:dyDescent="0.25">
      <c r="A1899" s="31" t="s">
        <v>170</v>
      </c>
      <c r="B1899" s="23" t="s">
        <v>171</v>
      </c>
      <c r="D1899">
        <v>1</v>
      </c>
      <c r="E1899" t="s">
        <v>30</v>
      </c>
      <c r="F1899">
        <v>4</v>
      </c>
      <c r="G1899">
        <v>2019</v>
      </c>
      <c r="I1899" s="8">
        <v>52.8</v>
      </c>
      <c r="J1899" t="s">
        <v>1556</v>
      </c>
      <c r="K1899" t="s">
        <v>47</v>
      </c>
      <c r="O1899">
        <v>0</v>
      </c>
      <c r="P1899">
        <v>0</v>
      </c>
      <c r="Q1899">
        <v>0</v>
      </c>
      <c r="R1899">
        <v>0</v>
      </c>
      <c r="S1899">
        <v>1</v>
      </c>
      <c r="T1899">
        <v>1</v>
      </c>
      <c r="U1899">
        <v>1</v>
      </c>
      <c r="V1899">
        <v>0</v>
      </c>
      <c r="W1899" t="s">
        <v>1050</v>
      </c>
      <c r="AA1899">
        <v>2007</v>
      </c>
      <c r="AB1899">
        <v>9999</v>
      </c>
      <c r="AC1899" t="s">
        <v>35</v>
      </c>
    </row>
    <row r="1900" spans="1:29" x14ac:dyDescent="0.25">
      <c r="A1900" s="31" t="s">
        <v>1051</v>
      </c>
      <c r="B1900" s="23" t="s">
        <v>1052</v>
      </c>
      <c r="D1900">
        <v>1</v>
      </c>
      <c r="E1900" t="s">
        <v>30</v>
      </c>
      <c r="F1900">
        <v>4</v>
      </c>
      <c r="G1900">
        <v>2019</v>
      </c>
      <c r="I1900" s="8">
        <v>110.4</v>
      </c>
      <c r="J1900" t="s">
        <v>1556</v>
      </c>
      <c r="K1900" t="s">
        <v>47</v>
      </c>
      <c r="O1900">
        <v>0</v>
      </c>
      <c r="P1900">
        <v>0</v>
      </c>
      <c r="Q1900">
        <v>0</v>
      </c>
      <c r="R1900">
        <v>0</v>
      </c>
      <c r="S1900">
        <v>1</v>
      </c>
      <c r="T1900">
        <v>1</v>
      </c>
      <c r="U1900">
        <v>1</v>
      </c>
      <c r="V1900">
        <v>0</v>
      </c>
      <c r="W1900" t="s">
        <v>1524</v>
      </c>
      <c r="AA1900">
        <v>2008</v>
      </c>
      <c r="AB1900">
        <v>9999</v>
      </c>
      <c r="AC1900" t="s">
        <v>1054</v>
      </c>
    </row>
    <row r="1901" spans="1:29" x14ac:dyDescent="0.25">
      <c r="A1901" s="31" t="s">
        <v>1557</v>
      </c>
      <c r="B1901" s="23" t="s">
        <v>1558</v>
      </c>
      <c r="D1901">
        <v>1</v>
      </c>
      <c r="E1901" s="5" t="s">
        <v>358</v>
      </c>
      <c r="F1901">
        <v>1</v>
      </c>
      <c r="G1901">
        <v>2019</v>
      </c>
      <c r="I1901" s="13">
        <v>27.6</v>
      </c>
      <c r="J1901" t="s">
        <v>104</v>
      </c>
      <c r="K1901" t="s">
        <v>47</v>
      </c>
      <c r="O1901">
        <v>0</v>
      </c>
      <c r="P1901">
        <v>0</v>
      </c>
      <c r="Q1901">
        <v>0</v>
      </c>
      <c r="R1901">
        <v>0</v>
      </c>
      <c r="S1901">
        <v>1</v>
      </c>
      <c r="T1901">
        <v>0</v>
      </c>
      <c r="U1901">
        <v>1</v>
      </c>
      <c r="V1901">
        <v>0</v>
      </c>
      <c r="W1901" t="s">
        <v>1559</v>
      </c>
      <c r="AA1901">
        <v>2019</v>
      </c>
      <c r="AB1901">
        <v>9999</v>
      </c>
      <c r="AC1901" t="s">
        <v>1560</v>
      </c>
    </row>
    <row r="1902" spans="1:29" x14ac:dyDescent="0.25">
      <c r="A1902" s="31" t="s">
        <v>173</v>
      </c>
      <c r="B1902" s="23" t="s">
        <v>174</v>
      </c>
      <c r="C1902" t="s">
        <v>175</v>
      </c>
      <c r="D1902">
        <v>1</v>
      </c>
      <c r="E1902" t="s">
        <v>45</v>
      </c>
      <c r="F1902">
        <v>4</v>
      </c>
      <c r="G1902">
        <v>2019</v>
      </c>
      <c r="I1902" s="13">
        <v>140</v>
      </c>
      <c r="J1902" t="s">
        <v>176</v>
      </c>
      <c r="K1902" t="s">
        <v>32</v>
      </c>
      <c r="O1902">
        <v>0</v>
      </c>
      <c r="P1902">
        <v>0</v>
      </c>
      <c r="Q1902">
        <v>0</v>
      </c>
      <c r="R1902">
        <v>0</v>
      </c>
      <c r="S1902">
        <v>1</v>
      </c>
      <c r="T1902">
        <v>1</v>
      </c>
      <c r="U1902">
        <v>1</v>
      </c>
      <c r="V1902">
        <v>0</v>
      </c>
      <c r="W1902" t="s">
        <v>1055</v>
      </c>
      <c r="AA1902">
        <v>2007</v>
      </c>
      <c r="AB1902">
        <v>9999</v>
      </c>
      <c r="AC1902" t="s">
        <v>35</v>
      </c>
    </row>
    <row r="1903" spans="1:29" x14ac:dyDescent="0.25">
      <c r="A1903" s="31" t="s">
        <v>178</v>
      </c>
      <c r="B1903" s="23" t="s">
        <v>1424</v>
      </c>
      <c r="C1903" t="s">
        <v>1425</v>
      </c>
      <c r="D1903">
        <v>1</v>
      </c>
      <c r="E1903" t="s">
        <v>45</v>
      </c>
      <c r="F1903">
        <v>4</v>
      </c>
      <c r="G1903">
        <v>2019</v>
      </c>
      <c r="I1903" s="13">
        <v>21.7</v>
      </c>
      <c r="J1903" t="s">
        <v>52</v>
      </c>
      <c r="K1903" t="s">
        <v>47</v>
      </c>
      <c r="O1903">
        <v>0</v>
      </c>
      <c r="P1903">
        <v>0</v>
      </c>
      <c r="Q1903">
        <v>0</v>
      </c>
      <c r="R1903">
        <v>0</v>
      </c>
      <c r="S1903">
        <v>1</v>
      </c>
      <c r="T1903">
        <v>1</v>
      </c>
      <c r="U1903">
        <v>1</v>
      </c>
      <c r="V1903">
        <v>0</v>
      </c>
      <c r="W1903" t="s">
        <v>1240</v>
      </c>
      <c r="AA1903">
        <v>2007</v>
      </c>
      <c r="AB1903">
        <v>9999</v>
      </c>
      <c r="AC1903" t="s">
        <v>35</v>
      </c>
    </row>
    <row r="1904" spans="1:29" x14ac:dyDescent="0.25">
      <c r="A1904" s="31" t="s">
        <v>181</v>
      </c>
      <c r="B1904" s="23" t="s">
        <v>182</v>
      </c>
      <c r="D1904">
        <v>1</v>
      </c>
      <c r="E1904" t="s">
        <v>38</v>
      </c>
      <c r="F1904">
        <v>4</v>
      </c>
      <c r="G1904">
        <v>2019</v>
      </c>
      <c r="H1904" t="s">
        <v>39</v>
      </c>
      <c r="I1904" s="13">
        <v>0.25</v>
      </c>
      <c r="J1904" t="s">
        <v>121</v>
      </c>
      <c r="K1904" t="s">
        <v>41</v>
      </c>
      <c r="O1904">
        <v>0</v>
      </c>
      <c r="P1904">
        <v>0</v>
      </c>
      <c r="Q1904">
        <v>0</v>
      </c>
      <c r="R1904">
        <v>0</v>
      </c>
      <c r="S1904">
        <v>0</v>
      </c>
      <c r="T1904">
        <v>0</v>
      </c>
      <c r="U1904">
        <v>0</v>
      </c>
      <c r="V1904">
        <v>0</v>
      </c>
      <c r="W1904" t="s">
        <v>1057</v>
      </c>
      <c r="AA1904">
        <v>2007</v>
      </c>
      <c r="AB1904">
        <v>9999</v>
      </c>
      <c r="AC1904" t="s">
        <v>35</v>
      </c>
    </row>
    <row r="1905" spans="1:29" x14ac:dyDescent="0.25">
      <c r="A1905" s="31" t="s">
        <v>184</v>
      </c>
      <c r="B1905" s="23" t="s">
        <v>185</v>
      </c>
      <c r="C1905" t="s">
        <v>186</v>
      </c>
      <c r="D1905">
        <v>1</v>
      </c>
      <c r="E1905" t="s">
        <v>45</v>
      </c>
      <c r="F1905">
        <v>4</v>
      </c>
      <c r="G1905">
        <v>2019</v>
      </c>
      <c r="I1905" s="13">
        <v>488.7</v>
      </c>
      <c r="J1905" t="s">
        <v>52</v>
      </c>
      <c r="K1905" t="s">
        <v>32</v>
      </c>
      <c r="O1905">
        <v>0</v>
      </c>
      <c r="P1905">
        <v>0</v>
      </c>
      <c r="Q1905">
        <v>0</v>
      </c>
      <c r="R1905">
        <v>0</v>
      </c>
      <c r="S1905">
        <v>1</v>
      </c>
      <c r="T1905">
        <v>1</v>
      </c>
      <c r="U1905">
        <v>1</v>
      </c>
      <c r="V1905">
        <v>0</v>
      </c>
      <c r="W1905" t="s">
        <v>1287</v>
      </c>
      <c r="AA1905">
        <v>2007</v>
      </c>
      <c r="AB1905">
        <v>9999</v>
      </c>
      <c r="AC1905" t="s">
        <v>35</v>
      </c>
    </row>
    <row r="1906" spans="1:29" x14ac:dyDescent="0.25">
      <c r="A1906" s="31" t="s">
        <v>1059</v>
      </c>
      <c r="B1906" s="23" t="s">
        <v>1060</v>
      </c>
      <c r="D1906">
        <v>1</v>
      </c>
      <c r="E1906" t="s">
        <v>874</v>
      </c>
      <c r="F1906">
        <v>1</v>
      </c>
      <c r="G1906">
        <v>2019</v>
      </c>
      <c r="I1906" s="13">
        <v>4</v>
      </c>
      <c r="J1906" t="s">
        <v>52</v>
      </c>
      <c r="K1906" t="s">
        <v>47</v>
      </c>
      <c r="O1906">
        <v>0</v>
      </c>
      <c r="P1906">
        <v>0</v>
      </c>
      <c r="Q1906">
        <v>0</v>
      </c>
      <c r="R1906">
        <v>0</v>
      </c>
      <c r="S1906">
        <v>1</v>
      </c>
      <c r="T1906">
        <v>1</v>
      </c>
      <c r="U1906">
        <v>1</v>
      </c>
      <c r="V1906">
        <v>0</v>
      </c>
      <c r="W1906" t="s">
        <v>1392</v>
      </c>
      <c r="AA1906">
        <v>2008</v>
      </c>
      <c r="AB1906">
        <v>9999</v>
      </c>
      <c r="AC1906" t="s">
        <v>1054</v>
      </c>
    </row>
    <row r="1907" spans="1:29" x14ac:dyDescent="0.25">
      <c r="A1907" s="31" t="s">
        <v>192</v>
      </c>
      <c r="B1907" s="25" t="s">
        <v>193</v>
      </c>
      <c r="D1907">
        <v>1</v>
      </c>
      <c r="E1907" t="s">
        <v>51</v>
      </c>
      <c r="F1907">
        <v>1</v>
      </c>
      <c r="G1907">
        <v>2019</v>
      </c>
      <c r="I1907" s="13">
        <v>54</v>
      </c>
      <c r="J1907" t="s">
        <v>52</v>
      </c>
      <c r="K1907" t="s">
        <v>53</v>
      </c>
      <c r="L1907" t="s">
        <v>54</v>
      </c>
      <c r="O1907">
        <v>0</v>
      </c>
      <c r="P1907">
        <v>0</v>
      </c>
      <c r="Q1907">
        <v>1</v>
      </c>
      <c r="R1907">
        <v>0</v>
      </c>
      <c r="S1907">
        <v>0</v>
      </c>
      <c r="T1907">
        <v>0</v>
      </c>
      <c r="U1907">
        <v>1</v>
      </c>
      <c r="V1907">
        <v>0</v>
      </c>
      <c r="W1907" t="s">
        <v>55</v>
      </c>
      <c r="AA1907">
        <v>2007</v>
      </c>
      <c r="AB1907">
        <v>9999</v>
      </c>
      <c r="AC1907" t="s">
        <v>35</v>
      </c>
    </row>
    <row r="1908" spans="1:29" x14ac:dyDescent="0.25">
      <c r="A1908" s="31" t="s">
        <v>194</v>
      </c>
      <c r="B1908" s="23" t="s">
        <v>195</v>
      </c>
      <c r="C1908" t="s">
        <v>196</v>
      </c>
      <c r="D1908">
        <v>1</v>
      </c>
      <c r="E1908" t="s">
        <v>197</v>
      </c>
      <c r="F1908">
        <v>2</v>
      </c>
      <c r="G1908">
        <v>2019</v>
      </c>
      <c r="I1908" s="13">
        <v>228.9</v>
      </c>
      <c r="J1908" t="s">
        <v>176</v>
      </c>
      <c r="K1908" t="s">
        <v>47</v>
      </c>
      <c r="O1908">
        <v>0</v>
      </c>
      <c r="P1908">
        <v>0</v>
      </c>
      <c r="Q1908">
        <v>0</v>
      </c>
      <c r="R1908">
        <v>0</v>
      </c>
      <c r="S1908">
        <v>1</v>
      </c>
      <c r="T1908">
        <v>1</v>
      </c>
      <c r="U1908">
        <v>1</v>
      </c>
      <c r="V1908">
        <v>0</v>
      </c>
      <c r="W1908" t="s">
        <v>1450</v>
      </c>
      <c r="AA1908">
        <v>2007</v>
      </c>
      <c r="AB1908">
        <v>9999</v>
      </c>
      <c r="AC1908" t="s">
        <v>35</v>
      </c>
    </row>
    <row r="1909" spans="1:29" x14ac:dyDescent="0.25">
      <c r="A1909" s="31" t="s">
        <v>1451</v>
      </c>
      <c r="B1909" s="23" t="s">
        <v>1452</v>
      </c>
      <c r="D1909">
        <v>1</v>
      </c>
      <c r="E1909" s="4">
        <v>760</v>
      </c>
      <c r="F1909">
        <v>7</v>
      </c>
      <c r="G1909">
        <v>2019</v>
      </c>
      <c r="I1909" s="13">
        <v>467.36</v>
      </c>
      <c r="J1909" t="s">
        <v>40</v>
      </c>
      <c r="K1909" t="s">
        <v>47</v>
      </c>
      <c r="O1909">
        <v>0</v>
      </c>
      <c r="P1909">
        <v>0</v>
      </c>
      <c r="Q1909">
        <v>0</v>
      </c>
      <c r="R1909">
        <v>0</v>
      </c>
      <c r="S1909">
        <v>1</v>
      </c>
      <c r="T1909">
        <v>1</v>
      </c>
      <c r="U1909">
        <v>1</v>
      </c>
      <c r="V1909">
        <v>0</v>
      </c>
      <c r="W1909" t="s">
        <v>1453</v>
      </c>
      <c r="AA1909">
        <v>2014</v>
      </c>
      <c r="AB1909">
        <v>9999</v>
      </c>
      <c r="AC1909" t="s">
        <v>1449</v>
      </c>
    </row>
    <row r="1910" spans="1:29" x14ac:dyDescent="0.25">
      <c r="A1910" s="31" t="s">
        <v>203</v>
      </c>
      <c r="B1910" s="23" t="s">
        <v>204</v>
      </c>
      <c r="D1910">
        <v>1</v>
      </c>
      <c r="E1910" t="s">
        <v>201</v>
      </c>
      <c r="F1910">
        <v>1</v>
      </c>
      <c r="G1910">
        <v>2019</v>
      </c>
      <c r="H1910" t="s">
        <v>205</v>
      </c>
      <c r="I1910" s="13">
        <v>1.75</v>
      </c>
      <c r="J1910" t="s">
        <v>52</v>
      </c>
      <c r="K1910" t="s">
        <v>41</v>
      </c>
      <c r="O1910">
        <v>0</v>
      </c>
      <c r="P1910">
        <v>0</v>
      </c>
      <c r="Q1910">
        <v>0</v>
      </c>
      <c r="R1910">
        <v>0</v>
      </c>
      <c r="S1910">
        <v>0</v>
      </c>
      <c r="T1910">
        <v>0</v>
      </c>
      <c r="U1910">
        <v>0</v>
      </c>
      <c r="V1910">
        <v>0</v>
      </c>
      <c r="W1910" t="s">
        <v>1064</v>
      </c>
      <c r="AA1910">
        <v>2007</v>
      </c>
      <c r="AB1910">
        <v>9999</v>
      </c>
      <c r="AC1910" t="s">
        <v>35</v>
      </c>
    </row>
    <row r="1911" spans="1:29" x14ac:dyDescent="0.25">
      <c r="A1911" s="31" t="s">
        <v>207</v>
      </c>
      <c r="B1911" s="23" t="s">
        <v>1472</v>
      </c>
      <c r="C1911" t="s">
        <v>209</v>
      </c>
      <c r="D1911">
        <v>1</v>
      </c>
      <c r="E1911" t="s">
        <v>210</v>
      </c>
      <c r="F1911">
        <v>10</v>
      </c>
      <c r="G1911">
        <v>2019</v>
      </c>
      <c r="I1911" s="13">
        <v>30.5</v>
      </c>
      <c r="J1911" t="s">
        <v>40</v>
      </c>
      <c r="K1911" t="s">
        <v>32</v>
      </c>
      <c r="O1911">
        <v>0</v>
      </c>
      <c r="P1911">
        <v>0</v>
      </c>
      <c r="Q1911">
        <v>0</v>
      </c>
      <c r="R1911">
        <v>0</v>
      </c>
      <c r="S1911">
        <v>1</v>
      </c>
      <c r="T1911">
        <v>1</v>
      </c>
      <c r="U1911">
        <v>1</v>
      </c>
      <c r="V1911">
        <v>0</v>
      </c>
      <c r="W1911" t="s">
        <v>1065</v>
      </c>
      <c r="AA1911">
        <v>2007</v>
      </c>
      <c r="AB1911">
        <v>9999</v>
      </c>
      <c r="AC1911" t="s">
        <v>35</v>
      </c>
    </row>
    <row r="1912" spans="1:29" ht="30" x14ac:dyDescent="0.25">
      <c r="A1912" s="31" t="s">
        <v>212</v>
      </c>
      <c r="B1912" s="23" t="s">
        <v>213</v>
      </c>
      <c r="C1912" t="s">
        <v>214</v>
      </c>
      <c r="D1912">
        <v>1</v>
      </c>
      <c r="E1912" s="4">
        <v>550</v>
      </c>
      <c r="F1912">
        <v>5</v>
      </c>
      <c r="G1912">
        <v>2019</v>
      </c>
      <c r="I1912" s="13">
        <v>77.2</v>
      </c>
      <c r="J1912" s="2" t="s">
        <v>31</v>
      </c>
      <c r="K1912" t="s">
        <v>32</v>
      </c>
      <c r="O1912">
        <v>0</v>
      </c>
      <c r="P1912">
        <v>0</v>
      </c>
      <c r="Q1912">
        <v>0</v>
      </c>
      <c r="R1912">
        <v>0</v>
      </c>
      <c r="S1912">
        <v>1</v>
      </c>
      <c r="T1912">
        <v>1</v>
      </c>
      <c r="U1912">
        <v>1</v>
      </c>
      <c r="V1912">
        <v>0</v>
      </c>
      <c r="W1912" t="s">
        <v>1288</v>
      </c>
      <c r="AA1912">
        <v>2007</v>
      </c>
      <c r="AB1912">
        <v>9999</v>
      </c>
      <c r="AC1912" t="s">
        <v>35</v>
      </c>
    </row>
    <row r="1913" spans="1:29" x14ac:dyDescent="0.25">
      <c r="A1913" s="31" t="s">
        <v>216</v>
      </c>
      <c r="B1913" s="23" t="s">
        <v>217</v>
      </c>
      <c r="D1913">
        <v>1</v>
      </c>
      <c r="E1913" t="s">
        <v>218</v>
      </c>
      <c r="F1913">
        <v>2</v>
      </c>
      <c r="G1913">
        <v>2019</v>
      </c>
      <c r="I1913" s="13">
        <v>631.6</v>
      </c>
      <c r="J1913" t="s">
        <v>52</v>
      </c>
      <c r="K1913" t="s">
        <v>32</v>
      </c>
      <c r="O1913">
        <v>0</v>
      </c>
      <c r="P1913">
        <v>0</v>
      </c>
      <c r="Q1913">
        <v>0</v>
      </c>
      <c r="R1913">
        <v>0</v>
      </c>
      <c r="S1913">
        <v>1</v>
      </c>
      <c r="T1913">
        <v>1</v>
      </c>
      <c r="U1913">
        <v>1</v>
      </c>
      <c r="V1913">
        <v>0</v>
      </c>
      <c r="W1913" t="s">
        <v>1067</v>
      </c>
      <c r="AA1913">
        <v>2007</v>
      </c>
      <c r="AB1913">
        <v>9999</v>
      </c>
      <c r="AC1913" t="s">
        <v>35</v>
      </c>
    </row>
    <row r="1914" spans="1:29" x14ac:dyDescent="0.25">
      <c r="A1914" s="31" t="s">
        <v>220</v>
      </c>
      <c r="B1914" s="23" t="s">
        <v>221</v>
      </c>
      <c r="D1914">
        <v>1</v>
      </c>
      <c r="E1914" t="s">
        <v>222</v>
      </c>
      <c r="F1914">
        <v>8</v>
      </c>
      <c r="G1914">
        <v>2019</v>
      </c>
      <c r="I1914" s="13">
        <v>34.4</v>
      </c>
      <c r="J1914" t="s">
        <v>81</v>
      </c>
      <c r="K1914" t="s">
        <v>47</v>
      </c>
      <c r="O1914">
        <v>0</v>
      </c>
      <c r="P1914">
        <v>0</v>
      </c>
      <c r="Q1914">
        <v>0</v>
      </c>
      <c r="R1914">
        <v>0</v>
      </c>
      <c r="S1914">
        <v>1</v>
      </c>
      <c r="T1914">
        <v>1</v>
      </c>
      <c r="U1914">
        <v>1</v>
      </c>
      <c r="V1914">
        <v>0</v>
      </c>
      <c r="W1914" t="s">
        <v>1068</v>
      </c>
      <c r="AA1914">
        <v>2007</v>
      </c>
      <c r="AB1914">
        <v>9999</v>
      </c>
      <c r="AC1914" t="s">
        <v>35</v>
      </c>
    </row>
    <row r="1915" spans="1:29" x14ac:dyDescent="0.25">
      <c r="A1915" s="31" t="s">
        <v>224</v>
      </c>
      <c r="B1915" s="25" t="s">
        <v>225</v>
      </c>
      <c r="D1915">
        <v>1</v>
      </c>
      <c r="E1915" t="s">
        <v>51</v>
      </c>
      <c r="F1915">
        <v>1</v>
      </c>
      <c r="G1915">
        <v>2019</v>
      </c>
      <c r="I1915" s="13">
        <v>61</v>
      </c>
      <c r="J1915" t="s">
        <v>52</v>
      </c>
      <c r="K1915" t="s">
        <v>53</v>
      </c>
      <c r="L1915" t="s">
        <v>54</v>
      </c>
      <c r="O1915">
        <v>0</v>
      </c>
      <c r="P1915">
        <v>0</v>
      </c>
      <c r="Q1915">
        <v>1</v>
      </c>
      <c r="R1915">
        <v>0</v>
      </c>
      <c r="S1915">
        <v>0</v>
      </c>
      <c r="T1915">
        <v>0</v>
      </c>
      <c r="U1915">
        <v>1</v>
      </c>
      <c r="V1915">
        <v>0</v>
      </c>
      <c r="W1915" t="s">
        <v>55</v>
      </c>
      <c r="AA1915">
        <v>2007</v>
      </c>
      <c r="AB1915">
        <v>9999</v>
      </c>
      <c r="AC1915" t="s">
        <v>35</v>
      </c>
    </row>
    <row r="1916" spans="1:29" x14ac:dyDescent="0.25">
      <c r="A1916" s="31" t="s">
        <v>226</v>
      </c>
      <c r="B1916" s="23" t="s">
        <v>227</v>
      </c>
      <c r="C1916" t="s">
        <v>228</v>
      </c>
      <c r="D1916">
        <v>1</v>
      </c>
      <c r="E1916" t="s">
        <v>218</v>
      </c>
      <c r="F1916">
        <v>2</v>
      </c>
      <c r="G1916">
        <v>2019</v>
      </c>
      <c r="I1916" s="13">
        <v>1627.2</v>
      </c>
      <c r="J1916" t="s">
        <v>147</v>
      </c>
      <c r="K1916" t="s">
        <v>32</v>
      </c>
      <c r="O1916">
        <v>0</v>
      </c>
      <c r="P1916">
        <v>0</v>
      </c>
      <c r="Q1916">
        <v>0</v>
      </c>
      <c r="R1916">
        <v>0</v>
      </c>
      <c r="S1916">
        <v>1</v>
      </c>
      <c r="T1916">
        <v>1</v>
      </c>
      <c r="U1916">
        <v>1</v>
      </c>
      <c r="V1916">
        <v>0</v>
      </c>
      <c r="W1916" t="s">
        <v>1069</v>
      </c>
      <c r="AA1916">
        <v>2007</v>
      </c>
      <c r="AB1916">
        <v>9999</v>
      </c>
      <c r="AC1916" t="s">
        <v>35</v>
      </c>
    </row>
    <row r="1917" spans="1:29" x14ac:dyDescent="0.25">
      <c r="A1917" s="31" t="s">
        <v>230</v>
      </c>
      <c r="B1917" s="23" t="s">
        <v>231</v>
      </c>
      <c r="C1917" t="s">
        <v>232</v>
      </c>
      <c r="D1917">
        <v>1</v>
      </c>
      <c r="E1917" t="s">
        <v>145</v>
      </c>
      <c r="F1917">
        <v>2</v>
      </c>
      <c r="G1917">
        <v>2019</v>
      </c>
      <c r="I1917" s="13"/>
      <c r="J1917" t="s">
        <v>147</v>
      </c>
      <c r="K1917" t="s">
        <v>47</v>
      </c>
      <c r="O1917">
        <v>0</v>
      </c>
      <c r="P1917">
        <v>0</v>
      </c>
      <c r="Q1917">
        <v>0</v>
      </c>
      <c r="R1917">
        <v>0</v>
      </c>
      <c r="S1917">
        <v>1</v>
      </c>
      <c r="T1917">
        <v>1</v>
      </c>
      <c r="U1917">
        <v>1</v>
      </c>
      <c r="V1917">
        <v>0</v>
      </c>
      <c r="W1917" t="s">
        <v>1070</v>
      </c>
      <c r="AA1917">
        <v>2007</v>
      </c>
      <c r="AB1917">
        <v>9999</v>
      </c>
      <c r="AC1917" t="s">
        <v>35</v>
      </c>
    </row>
    <row r="1918" spans="1:29" x14ac:dyDescent="0.25">
      <c r="A1918" s="31" t="s">
        <v>237</v>
      </c>
      <c r="B1918" s="23" t="s">
        <v>238</v>
      </c>
      <c r="D1918">
        <v>1</v>
      </c>
      <c r="E1918" t="s">
        <v>218</v>
      </c>
      <c r="F1918">
        <v>2</v>
      </c>
      <c r="G1918">
        <v>2019</v>
      </c>
      <c r="I1918" s="13">
        <v>358.7</v>
      </c>
      <c r="J1918" t="s">
        <v>104</v>
      </c>
      <c r="K1918" t="s">
        <v>53</v>
      </c>
      <c r="L1918" t="s">
        <v>105</v>
      </c>
      <c r="O1918">
        <v>0</v>
      </c>
      <c r="P1918">
        <v>1</v>
      </c>
      <c r="Q1918">
        <v>0</v>
      </c>
      <c r="R1918">
        <v>0</v>
      </c>
      <c r="S1918">
        <v>1</v>
      </c>
      <c r="T1918">
        <v>1</v>
      </c>
      <c r="U1918">
        <v>1</v>
      </c>
      <c r="V1918">
        <v>0</v>
      </c>
      <c r="W1918" t="s">
        <v>1072</v>
      </c>
      <c r="AA1918">
        <v>2007</v>
      </c>
      <c r="AB1918">
        <v>9999</v>
      </c>
      <c r="AC1918" t="s">
        <v>35</v>
      </c>
    </row>
    <row r="1919" spans="1:29" x14ac:dyDescent="0.25">
      <c r="A1919" s="31" t="s">
        <v>240</v>
      </c>
      <c r="B1919" s="23" t="s">
        <v>241</v>
      </c>
      <c r="D1919">
        <v>1</v>
      </c>
      <c r="E1919" t="s">
        <v>218</v>
      </c>
      <c r="F1919">
        <v>2</v>
      </c>
      <c r="G1919">
        <v>2019</v>
      </c>
      <c r="I1919" s="13">
        <v>20205</v>
      </c>
      <c r="J1919" t="s">
        <v>147</v>
      </c>
      <c r="K1919" t="s">
        <v>47</v>
      </c>
      <c r="O1919">
        <v>0</v>
      </c>
      <c r="P1919">
        <v>0</v>
      </c>
      <c r="Q1919">
        <v>0</v>
      </c>
      <c r="R1919">
        <v>0</v>
      </c>
      <c r="S1919">
        <v>1</v>
      </c>
      <c r="T1919">
        <v>1</v>
      </c>
      <c r="U1919">
        <v>1</v>
      </c>
      <c r="V1919">
        <v>0</v>
      </c>
      <c r="W1919" t="s">
        <v>1073</v>
      </c>
      <c r="AA1919">
        <v>2007</v>
      </c>
      <c r="AB1919">
        <v>9999</v>
      </c>
      <c r="AC1919" t="s">
        <v>35</v>
      </c>
    </row>
    <row r="1920" spans="1:29" x14ac:dyDescent="0.25">
      <c r="A1920" s="31" t="s">
        <v>1289</v>
      </c>
      <c r="B1920" s="23" t="s">
        <v>1290</v>
      </c>
      <c r="D1920">
        <v>1</v>
      </c>
      <c r="E1920" t="s">
        <v>218</v>
      </c>
      <c r="F1920">
        <v>2</v>
      </c>
      <c r="G1920">
        <v>2019</v>
      </c>
      <c r="I1920" s="13">
        <v>4</v>
      </c>
      <c r="J1920" t="s">
        <v>147</v>
      </c>
      <c r="K1920" t="s">
        <v>53</v>
      </c>
      <c r="L1920" t="s">
        <v>60</v>
      </c>
      <c r="O1920">
        <v>1</v>
      </c>
      <c r="P1920">
        <v>0</v>
      </c>
      <c r="Q1920">
        <v>0</v>
      </c>
      <c r="R1920">
        <v>0</v>
      </c>
      <c r="S1920">
        <v>1</v>
      </c>
      <c r="T1920">
        <v>1</v>
      </c>
      <c r="U1920">
        <v>1</v>
      </c>
      <c r="V1920">
        <v>0</v>
      </c>
      <c r="W1920" t="s">
        <v>1291</v>
      </c>
      <c r="AA1920">
        <v>2010</v>
      </c>
      <c r="AB1920">
        <v>9999</v>
      </c>
      <c r="AC1920" t="s">
        <v>1292</v>
      </c>
    </row>
    <row r="1921" spans="1:29" x14ac:dyDescent="0.25">
      <c r="A1921" s="31" t="s">
        <v>243</v>
      </c>
      <c r="B1921" s="23" t="s">
        <v>244</v>
      </c>
      <c r="D1921">
        <v>1</v>
      </c>
      <c r="E1921" t="s">
        <v>210</v>
      </c>
      <c r="F1921">
        <v>10</v>
      </c>
      <c r="G1921">
        <v>2019</v>
      </c>
      <c r="I1921" s="13">
        <v>12343.3</v>
      </c>
      <c r="J1921" t="s">
        <v>40</v>
      </c>
      <c r="K1921" t="s">
        <v>32</v>
      </c>
      <c r="O1921">
        <v>0</v>
      </c>
      <c r="P1921">
        <v>0</v>
      </c>
      <c r="Q1921">
        <v>0</v>
      </c>
      <c r="R1921">
        <v>0</v>
      </c>
      <c r="S1921">
        <v>1</v>
      </c>
      <c r="T1921">
        <v>1</v>
      </c>
      <c r="U1921">
        <v>1</v>
      </c>
      <c r="V1921">
        <v>0</v>
      </c>
      <c r="W1921" t="s">
        <v>1293</v>
      </c>
      <c r="AA1921">
        <v>2007</v>
      </c>
      <c r="AB1921">
        <v>9999</v>
      </c>
      <c r="AC1921" t="s">
        <v>35</v>
      </c>
    </row>
    <row r="1922" spans="1:29" x14ac:dyDescent="0.25">
      <c r="A1922" s="31" t="s">
        <v>153</v>
      </c>
      <c r="B1922" s="23" t="s">
        <v>1356</v>
      </c>
      <c r="D1922">
        <v>12</v>
      </c>
      <c r="E1922" t="s">
        <v>155</v>
      </c>
      <c r="F1922">
        <v>3</v>
      </c>
      <c r="G1922">
        <v>2019</v>
      </c>
      <c r="I1922">
        <v>1606.4330541000013</v>
      </c>
      <c r="J1922" t="s">
        <v>121</v>
      </c>
      <c r="K1922" t="s">
        <v>53</v>
      </c>
      <c r="L1922" t="s">
        <v>60</v>
      </c>
      <c r="O1922">
        <v>1</v>
      </c>
      <c r="P1922">
        <v>0</v>
      </c>
      <c r="Q1922">
        <v>0</v>
      </c>
      <c r="R1922">
        <v>0</v>
      </c>
      <c r="S1922">
        <v>1</v>
      </c>
      <c r="T1922">
        <v>0</v>
      </c>
      <c r="U1922">
        <v>0</v>
      </c>
      <c r="V1922">
        <v>1</v>
      </c>
      <c r="W1922" t="s">
        <v>477</v>
      </c>
      <c r="AA1922">
        <v>2007</v>
      </c>
      <c r="AB1922">
        <v>9999</v>
      </c>
      <c r="AC1922" t="s">
        <v>35</v>
      </c>
    </row>
    <row r="1923" spans="1:29" x14ac:dyDescent="0.25">
      <c r="A1923" s="31" t="s">
        <v>246</v>
      </c>
      <c r="B1923" s="23" t="s">
        <v>247</v>
      </c>
      <c r="D1923">
        <v>1</v>
      </c>
      <c r="E1923" t="s">
        <v>120</v>
      </c>
      <c r="F1923">
        <v>3</v>
      </c>
      <c r="G1923">
        <v>2019</v>
      </c>
      <c r="H1923" t="s">
        <v>129</v>
      </c>
      <c r="I1923" s="13">
        <v>3.4</v>
      </c>
      <c r="J1923" t="s">
        <v>121</v>
      </c>
      <c r="K1923" t="s">
        <v>41</v>
      </c>
      <c r="O1923">
        <v>0</v>
      </c>
      <c r="P1923">
        <v>0</v>
      </c>
      <c r="Q1923">
        <v>0</v>
      </c>
      <c r="R1923">
        <v>0</v>
      </c>
      <c r="S1923">
        <v>0</v>
      </c>
      <c r="T1923">
        <v>1</v>
      </c>
      <c r="U1923">
        <v>1</v>
      </c>
      <c r="V1923">
        <v>0</v>
      </c>
      <c r="W1923" t="s">
        <v>1075</v>
      </c>
      <c r="AA1923">
        <v>2007</v>
      </c>
      <c r="AB1923">
        <v>9999</v>
      </c>
      <c r="AC1923" t="s">
        <v>35</v>
      </c>
    </row>
    <row r="1924" spans="1:29" x14ac:dyDescent="0.25">
      <c r="A1924" s="31" t="s">
        <v>252</v>
      </c>
      <c r="B1924" s="23" t="s">
        <v>253</v>
      </c>
      <c r="D1924">
        <v>1</v>
      </c>
      <c r="E1924" t="s">
        <v>145</v>
      </c>
      <c r="F1924">
        <v>2</v>
      </c>
      <c r="G1924">
        <v>2019</v>
      </c>
      <c r="H1924" t="s">
        <v>1473</v>
      </c>
      <c r="I1924" s="13">
        <v>0.1</v>
      </c>
      <c r="J1924" s="2" t="s">
        <v>147</v>
      </c>
      <c r="K1924" t="s">
        <v>41</v>
      </c>
      <c r="O1924">
        <v>0</v>
      </c>
      <c r="P1924">
        <v>0</v>
      </c>
      <c r="Q1924">
        <v>0</v>
      </c>
      <c r="R1924">
        <v>0</v>
      </c>
      <c r="S1924">
        <v>0</v>
      </c>
      <c r="T1924">
        <v>0</v>
      </c>
      <c r="U1924">
        <v>0</v>
      </c>
      <c r="V1924">
        <v>0</v>
      </c>
      <c r="W1924" t="s">
        <v>1077</v>
      </c>
      <c r="AA1924">
        <v>2007</v>
      </c>
      <c r="AB1924">
        <v>9999</v>
      </c>
      <c r="AC1924" t="s">
        <v>35</v>
      </c>
    </row>
    <row r="1925" spans="1:29" x14ac:dyDescent="0.25">
      <c r="A1925" s="31" t="s">
        <v>305</v>
      </c>
      <c r="B1925" s="23" t="s">
        <v>1455</v>
      </c>
      <c r="C1925" t="s">
        <v>1456</v>
      </c>
      <c r="D1925">
        <v>1</v>
      </c>
      <c r="E1925" t="s">
        <v>103</v>
      </c>
      <c r="F1925">
        <v>9</v>
      </c>
      <c r="G1925">
        <v>2019</v>
      </c>
      <c r="I1925" s="13">
        <v>128.19999999999999</v>
      </c>
      <c r="J1925" t="s">
        <v>104</v>
      </c>
      <c r="K1925" t="s">
        <v>53</v>
      </c>
      <c r="L1925" t="s">
        <v>105</v>
      </c>
      <c r="O1925">
        <v>0</v>
      </c>
      <c r="P1925">
        <v>1</v>
      </c>
      <c r="Q1925">
        <v>0</v>
      </c>
      <c r="R1925">
        <v>0</v>
      </c>
      <c r="S1925">
        <v>1</v>
      </c>
      <c r="T1925">
        <v>1</v>
      </c>
      <c r="U1925">
        <v>1</v>
      </c>
      <c r="V1925">
        <v>0</v>
      </c>
      <c r="W1925" t="s">
        <v>106</v>
      </c>
      <c r="AA1925">
        <v>2007</v>
      </c>
      <c r="AB1925">
        <v>9999</v>
      </c>
      <c r="AC1925" t="s">
        <v>35</v>
      </c>
    </row>
    <row r="1926" spans="1:29" x14ac:dyDescent="0.25">
      <c r="A1926" s="31" t="s">
        <v>259</v>
      </c>
      <c r="B1926" s="23" t="s">
        <v>260</v>
      </c>
      <c r="C1926" t="s">
        <v>261</v>
      </c>
      <c r="D1926">
        <v>1</v>
      </c>
      <c r="E1926" t="s">
        <v>103</v>
      </c>
      <c r="F1926">
        <v>9</v>
      </c>
      <c r="G1926">
        <v>2019</v>
      </c>
      <c r="I1926" s="13">
        <v>5601</v>
      </c>
      <c r="J1926" t="s">
        <v>104</v>
      </c>
      <c r="K1926" t="s">
        <v>53</v>
      </c>
      <c r="L1926" t="s">
        <v>105</v>
      </c>
      <c r="O1926">
        <v>0</v>
      </c>
      <c r="P1926">
        <v>1</v>
      </c>
      <c r="Q1926">
        <v>0</v>
      </c>
      <c r="R1926">
        <v>0</v>
      </c>
      <c r="S1926">
        <v>1</v>
      </c>
      <c r="T1926">
        <v>1</v>
      </c>
      <c r="U1926">
        <v>1</v>
      </c>
      <c r="V1926">
        <v>0</v>
      </c>
      <c r="W1926" t="s">
        <v>106</v>
      </c>
      <c r="AA1926">
        <v>2007</v>
      </c>
      <c r="AB1926">
        <v>9999</v>
      </c>
      <c r="AC1926" t="s">
        <v>35</v>
      </c>
    </row>
    <row r="1927" spans="1:29" x14ac:dyDescent="0.25">
      <c r="A1927" s="31" t="s">
        <v>266</v>
      </c>
      <c r="B1927" s="23" t="s">
        <v>267</v>
      </c>
      <c r="D1927">
        <v>1</v>
      </c>
      <c r="E1927" t="s">
        <v>85</v>
      </c>
      <c r="F1927">
        <v>4</v>
      </c>
      <c r="G1927">
        <v>2019</v>
      </c>
      <c r="I1927" s="13">
        <v>10.5</v>
      </c>
      <c r="J1927" t="s">
        <v>268</v>
      </c>
      <c r="K1927" t="s">
        <v>41</v>
      </c>
      <c r="O1927">
        <v>0</v>
      </c>
      <c r="P1927">
        <v>0</v>
      </c>
      <c r="Q1927">
        <v>0</v>
      </c>
      <c r="R1927">
        <v>0</v>
      </c>
      <c r="S1927">
        <v>0</v>
      </c>
      <c r="T1927">
        <v>0</v>
      </c>
      <c r="U1927">
        <v>0</v>
      </c>
      <c r="V1927">
        <v>0</v>
      </c>
      <c r="W1927" t="s">
        <v>1079</v>
      </c>
      <c r="AA1927">
        <v>2007</v>
      </c>
      <c r="AB1927">
        <v>9999</v>
      </c>
      <c r="AC1927" t="s">
        <v>35</v>
      </c>
    </row>
    <row r="1928" spans="1:29" x14ac:dyDescent="0.25">
      <c r="A1928" s="31" t="s">
        <v>1393</v>
      </c>
      <c r="B1928" s="25" t="s">
        <v>1394</v>
      </c>
      <c r="C1928" t="s">
        <v>1395</v>
      </c>
      <c r="D1928">
        <v>1</v>
      </c>
      <c r="E1928" t="s">
        <v>1396</v>
      </c>
      <c r="F1928">
        <v>5</v>
      </c>
      <c r="G1928">
        <v>2019</v>
      </c>
      <c r="I1928" s="13">
        <v>279.7</v>
      </c>
      <c r="J1928" t="s">
        <v>31</v>
      </c>
      <c r="K1928" t="s">
        <v>47</v>
      </c>
      <c r="O1928">
        <v>0</v>
      </c>
      <c r="P1928">
        <v>0</v>
      </c>
      <c r="Q1928">
        <v>0</v>
      </c>
      <c r="R1928">
        <v>0</v>
      </c>
      <c r="S1928">
        <v>1</v>
      </c>
      <c r="T1928">
        <v>1</v>
      </c>
      <c r="U1928">
        <v>1</v>
      </c>
      <c r="V1928">
        <v>0</v>
      </c>
      <c r="W1928" t="s">
        <v>1397</v>
      </c>
      <c r="AA1928">
        <v>2012</v>
      </c>
      <c r="AB1928">
        <v>9999</v>
      </c>
      <c r="AC1928" t="s">
        <v>1398</v>
      </c>
    </row>
    <row r="1929" spans="1:29" x14ac:dyDescent="0.25">
      <c r="A1929" s="31" t="s">
        <v>153</v>
      </c>
      <c r="B1929" s="23" t="s">
        <v>270</v>
      </c>
      <c r="D1929">
        <v>6</v>
      </c>
      <c r="E1929" t="s">
        <v>155</v>
      </c>
      <c r="F1929">
        <v>3</v>
      </c>
      <c r="G1929">
        <v>2019</v>
      </c>
      <c r="I1929">
        <v>691.49783600000069</v>
      </c>
      <c r="J1929" t="s">
        <v>121</v>
      </c>
      <c r="K1929" t="s">
        <v>53</v>
      </c>
      <c r="L1929" t="s">
        <v>60</v>
      </c>
      <c r="O1929">
        <v>1</v>
      </c>
      <c r="P1929">
        <v>0</v>
      </c>
      <c r="Q1929">
        <v>0</v>
      </c>
      <c r="R1929">
        <v>0</v>
      </c>
      <c r="S1929">
        <v>1</v>
      </c>
      <c r="T1929">
        <v>0</v>
      </c>
      <c r="U1929">
        <v>0</v>
      </c>
      <c r="V1929">
        <v>1</v>
      </c>
      <c r="W1929" t="s">
        <v>271</v>
      </c>
      <c r="AA1929">
        <v>2007</v>
      </c>
      <c r="AB1929">
        <v>9999</v>
      </c>
      <c r="AC1929" t="s">
        <v>35</v>
      </c>
    </row>
    <row r="1930" spans="1:29" x14ac:dyDescent="0.25">
      <c r="A1930" s="31" t="s">
        <v>153</v>
      </c>
      <c r="B1930" s="27" t="s">
        <v>272</v>
      </c>
      <c r="D1930">
        <v>8</v>
      </c>
      <c r="E1930" t="s">
        <v>155</v>
      </c>
      <c r="F1930">
        <v>3</v>
      </c>
      <c r="G1930">
        <v>2019</v>
      </c>
      <c r="I1930">
        <v>77.640399200000004</v>
      </c>
      <c r="J1930" s="2" t="s">
        <v>121</v>
      </c>
      <c r="K1930" t="s">
        <v>53</v>
      </c>
      <c r="L1930" t="s">
        <v>60</v>
      </c>
      <c r="O1930">
        <v>1</v>
      </c>
      <c r="P1930">
        <v>0</v>
      </c>
      <c r="Q1930">
        <v>0</v>
      </c>
      <c r="R1930">
        <v>0</v>
      </c>
      <c r="S1930">
        <v>0</v>
      </c>
      <c r="T1930">
        <v>0</v>
      </c>
      <c r="U1930">
        <v>0</v>
      </c>
      <c r="V1930">
        <v>1</v>
      </c>
      <c r="W1930" t="s">
        <v>273</v>
      </c>
      <c r="AA1930">
        <v>2007</v>
      </c>
      <c r="AB1930">
        <v>9999</v>
      </c>
      <c r="AC1930" t="s">
        <v>35</v>
      </c>
    </row>
    <row r="1931" spans="1:29" x14ac:dyDescent="0.25">
      <c r="A1931" s="31" t="s">
        <v>274</v>
      </c>
      <c r="B1931" s="23" t="s">
        <v>275</v>
      </c>
      <c r="C1931" t="s">
        <v>276</v>
      </c>
      <c r="D1931">
        <v>1</v>
      </c>
      <c r="E1931" t="s">
        <v>51</v>
      </c>
      <c r="F1931">
        <v>10</v>
      </c>
      <c r="G1931">
        <v>2019</v>
      </c>
      <c r="H1931" t="s">
        <v>746</v>
      </c>
      <c r="I1931" s="13">
        <v>4.3</v>
      </c>
      <c r="J1931" s="2" t="s">
        <v>40</v>
      </c>
      <c r="K1931" t="s">
        <v>41</v>
      </c>
      <c r="O1931">
        <v>0</v>
      </c>
      <c r="P1931">
        <v>0</v>
      </c>
      <c r="Q1931">
        <v>0</v>
      </c>
      <c r="R1931">
        <v>0</v>
      </c>
      <c r="S1931">
        <v>0</v>
      </c>
      <c r="T1931">
        <v>0</v>
      </c>
      <c r="U1931">
        <v>0</v>
      </c>
      <c r="V1931">
        <v>0</v>
      </c>
      <c r="W1931" t="s">
        <v>1399</v>
      </c>
      <c r="AA1931">
        <v>2007</v>
      </c>
      <c r="AB1931">
        <v>9999</v>
      </c>
      <c r="AC1931" t="s">
        <v>35</v>
      </c>
    </row>
    <row r="1932" spans="1:29" x14ac:dyDescent="0.25">
      <c r="A1932" s="31" t="s">
        <v>278</v>
      </c>
      <c r="B1932" s="23" t="s">
        <v>279</v>
      </c>
      <c r="D1932">
        <v>1</v>
      </c>
      <c r="E1932" t="s">
        <v>103</v>
      </c>
      <c r="F1932">
        <v>9</v>
      </c>
      <c r="G1932">
        <v>2019</v>
      </c>
      <c r="I1932" s="13">
        <v>661.9</v>
      </c>
      <c r="J1932" t="s">
        <v>104</v>
      </c>
      <c r="K1932" t="s">
        <v>53</v>
      </c>
      <c r="L1932" t="s">
        <v>105</v>
      </c>
      <c r="O1932">
        <v>0</v>
      </c>
      <c r="P1932">
        <v>1</v>
      </c>
      <c r="Q1932">
        <v>0</v>
      </c>
      <c r="R1932">
        <v>0</v>
      </c>
      <c r="S1932">
        <v>1</v>
      </c>
      <c r="T1932">
        <v>1</v>
      </c>
      <c r="U1932">
        <v>1</v>
      </c>
      <c r="V1932">
        <v>0</v>
      </c>
      <c r="W1932" t="s">
        <v>106</v>
      </c>
      <c r="AA1932">
        <v>2007</v>
      </c>
      <c r="AB1932">
        <v>9999</v>
      </c>
      <c r="AC1932" t="s">
        <v>35</v>
      </c>
    </row>
    <row r="1933" spans="1:29" x14ac:dyDescent="0.25">
      <c r="A1933" s="31" t="s">
        <v>280</v>
      </c>
      <c r="B1933" s="23" t="s">
        <v>281</v>
      </c>
      <c r="D1933">
        <v>1</v>
      </c>
      <c r="E1933" t="s">
        <v>103</v>
      </c>
      <c r="F1933">
        <v>9</v>
      </c>
      <c r="G1933">
        <v>2019</v>
      </c>
      <c r="I1933" s="13">
        <v>654.4</v>
      </c>
      <c r="J1933" t="s">
        <v>104</v>
      </c>
      <c r="K1933" t="s">
        <v>53</v>
      </c>
      <c r="L1933" t="s">
        <v>105</v>
      </c>
      <c r="O1933">
        <v>0</v>
      </c>
      <c r="P1933">
        <v>1</v>
      </c>
      <c r="Q1933">
        <v>0</v>
      </c>
      <c r="R1933">
        <v>0</v>
      </c>
      <c r="S1933">
        <v>1</v>
      </c>
      <c r="T1933">
        <v>1</v>
      </c>
      <c r="U1933">
        <v>1</v>
      </c>
      <c r="V1933">
        <v>0</v>
      </c>
      <c r="W1933" t="s">
        <v>106</v>
      </c>
      <c r="AA1933">
        <v>2007</v>
      </c>
      <c r="AB1933">
        <v>9999</v>
      </c>
      <c r="AC1933" t="s">
        <v>35</v>
      </c>
    </row>
    <row r="1934" spans="1:29" x14ac:dyDescent="0.25">
      <c r="A1934" s="31" t="s">
        <v>282</v>
      </c>
      <c r="B1934" s="23" t="s">
        <v>283</v>
      </c>
      <c r="D1934">
        <v>1</v>
      </c>
      <c r="E1934" t="s">
        <v>103</v>
      </c>
      <c r="F1934">
        <v>9</v>
      </c>
      <c r="G1934">
        <v>2019</v>
      </c>
      <c r="I1934" s="13">
        <v>648.20000000000005</v>
      </c>
      <c r="J1934" t="s">
        <v>104</v>
      </c>
      <c r="K1934" t="s">
        <v>53</v>
      </c>
      <c r="L1934" t="s">
        <v>105</v>
      </c>
      <c r="O1934">
        <v>0</v>
      </c>
      <c r="P1934">
        <v>1</v>
      </c>
      <c r="Q1934">
        <v>0</v>
      </c>
      <c r="R1934">
        <v>0</v>
      </c>
      <c r="S1934">
        <v>1</v>
      </c>
      <c r="T1934">
        <v>1</v>
      </c>
      <c r="U1934">
        <v>1</v>
      </c>
      <c r="V1934">
        <v>0</v>
      </c>
      <c r="W1934" t="s">
        <v>106</v>
      </c>
      <c r="AA1934">
        <v>2007</v>
      </c>
      <c r="AB1934">
        <v>9999</v>
      </c>
      <c r="AC1934" t="s">
        <v>35</v>
      </c>
    </row>
    <row r="1935" spans="1:29" x14ac:dyDescent="0.25">
      <c r="A1935" s="31" t="s">
        <v>284</v>
      </c>
      <c r="B1935" s="23" t="s">
        <v>285</v>
      </c>
      <c r="D1935">
        <v>1</v>
      </c>
      <c r="E1935" t="s">
        <v>103</v>
      </c>
      <c r="F1935">
        <v>9</v>
      </c>
      <c r="G1935">
        <v>2019</v>
      </c>
      <c r="I1935" s="13">
        <v>526.6</v>
      </c>
      <c r="J1935" t="s">
        <v>104</v>
      </c>
      <c r="K1935" t="s">
        <v>53</v>
      </c>
      <c r="L1935" t="s">
        <v>105</v>
      </c>
      <c r="O1935">
        <v>0</v>
      </c>
      <c r="P1935">
        <v>1</v>
      </c>
      <c r="Q1935">
        <v>0</v>
      </c>
      <c r="R1935">
        <v>0</v>
      </c>
      <c r="S1935">
        <v>1</v>
      </c>
      <c r="T1935">
        <v>1</v>
      </c>
      <c r="U1935">
        <v>1</v>
      </c>
      <c r="V1935">
        <v>0</v>
      </c>
      <c r="W1935" t="s">
        <v>106</v>
      </c>
      <c r="AA1935">
        <v>2007</v>
      </c>
      <c r="AB1935">
        <v>9999</v>
      </c>
      <c r="AC1935" t="s">
        <v>35</v>
      </c>
    </row>
    <row r="1936" spans="1:29" x14ac:dyDescent="0.25">
      <c r="A1936" s="31" t="s">
        <v>288</v>
      </c>
      <c r="B1936" s="23" t="s">
        <v>289</v>
      </c>
      <c r="D1936">
        <v>1</v>
      </c>
      <c r="E1936" t="s">
        <v>103</v>
      </c>
      <c r="F1936">
        <v>9</v>
      </c>
      <c r="G1936">
        <v>2019</v>
      </c>
      <c r="I1936" s="13">
        <v>561.5</v>
      </c>
      <c r="J1936" t="s">
        <v>104</v>
      </c>
      <c r="K1936" t="s">
        <v>53</v>
      </c>
      <c r="L1936" t="s">
        <v>105</v>
      </c>
      <c r="O1936">
        <v>0</v>
      </c>
      <c r="P1936">
        <v>1</v>
      </c>
      <c r="Q1936">
        <v>0</v>
      </c>
      <c r="R1936">
        <v>0</v>
      </c>
      <c r="S1936">
        <v>1</v>
      </c>
      <c r="T1936">
        <v>1</v>
      </c>
      <c r="U1936">
        <v>1</v>
      </c>
      <c r="V1936">
        <v>0</v>
      </c>
      <c r="W1936" t="s">
        <v>106</v>
      </c>
      <c r="AA1936">
        <v>2007</v>
      </c>
      <c r="AB1936">
        <v>9999</v>
      </c>
      <c r="AC1936" t="s">
        <v>35</v>
      </c>
    </row>
    <row r="1937" spans="1:29" x14ac:dyDescent="0.25">
      <c r="A1937" s="31" t="s">
        <v>1474</v>
      </c>
      <c r="B1937" s="23" t="s">
        <v>290</v>
      </c>
      <c r="D1937">
        <v>1</v>
      </c>
      <c r="E1937" t="s">
        <v>103</v>
      </c>
      <c r="F1937">
        <v>9</v>
      </c>
      <c r="G1937">
        <v>2019</v>
      </c>
      <c r="I1937" s="13">
        <v>496.6</v>
      </c>
      <c r="J1937" t="s">
        <v>104</v>
      </c>
      <c r="K1937" t="s">
        <v>53</v>
      </c>
      <c r="L1937" t="s">
        <v>105</v>
      </c>
      <c r="O1937">
        <v>0</v>
      </c>
      <c r="P1937">
        <v>1</v>
      </c>
      <c r="Q1937">
        <v>0</v>
      </c>
      <c r="R1937">
        <v>0</v>
      </c>
      <c r="S1937">
        <v>1</v>
      </c>
      <c r="T1937">
        <v>1</v>
      </c>
      <c r="U1937">
        <v>1</v>
      </c>
      <c r="V1937">
        <v>0</v>
      </c>
      <c r="W1937" t="s">
        <v>106</v>
      </c>
      <c r="AA1937">
        <v>2007</v>
      </c>
      <c r="AB1937">
        <v>9999</v>
      </c>
      <c r="AC1937" t="s">
        <v>1475</v>
      </c>
    </row>
    <row r="1938" spans="1:29" x14ac:dyDescent="0.25">
      <c r="A1938" s="31" t="s">
        <v>293</v>
      </c>
      <c r="B1938" s="23" t="s">
        <v>294</v>
      </c>
      <c r="D1938">
        <v>1</v>
      </c>
      <c r="E1938" t="s">
        <v>103</v>
      </c>
      <c r="F1938">
        <v>9</v>
      </c>
      <c r="G1938">
        <v>2019</v>
      </c>
      <c r="I1938" s="13">
        <v>535.9</v>
      </c>
      <c r="J1938" t="s">
        <v>104</v>
      </c>
      <c r="K1938" t="s">
        <v>53</v>
      </c>
      <c r="L1938" t="s">
        <v>105</v>
      </c>
      <c r="O1938">
        <v>0</v>
      </c>
      <c r="P1938">
        <v>1</v>
      </c>
      <c r="Q1938">
        <v>0</v>
      </c>
      <c r="R1938">
        <v>0</v>
      </c>
      <c r="S1938">
        <v>1</v>
      </c>
      <c r="T1938">
        <v>1</v>
      </c>
      <c r="U1938">
        <v>1</v>
      </c>
      <c r="V1938">
        <v>0</v>
      </c>
      <c r="W1938" t="s">
        <v>106</v>
      </c>
      <c r="AA1938">
        <v>2007</v>
      </c>
      <c r="AB1938">
        <v>9999</v>
      </c>
      <c r="AC1938" t="s">
        <v>35</v>
      </c>
    </row>
    <row r="1939" spans="1:29" x14ac:dyDescent="0.25">
      <c r="A1939" s="31" t="s">
        <v>295</v>
      </c>
      <c r="B1939" s="23" t="s">
        <v>296</v>
      </c>
      <c r="D1939">
        <v>1</v>
      </c>
      <c r="E1939" t="s">
        <v>128</v>
      </c>
      <c r="F1939">
        <v>9</v>
      </c>
      <c r="G1939">
        <v>2019</v>
      </c>
      <c r="H1939" t="s">
        <v>1428</v>
      </c>
      <c r="I1939" s="13">
        <v>0.1</v>
      </c>
      <c r="J1939" t="s">
        <v>104</v>
      </c>
      <c r="K1939" t="s">
        <v>41</v>
      </c>
      <c r="O1939">
        <v>0</v>
      </c>
      <c r="P1939">
        <v>0</v>
      </c>
      <c r="Q1939">
        <v>0</v>
      </c>
      <c r="R1939">
        <v>0</v>
      </c>
      <c r="S1939">
        <v>0</v>
      </c>
      <c r="T1939">
        <v>0</v>
      </c>
      <c r="U1939">
        <v>0</v>
      </c>
      <c r="V1939">
        <v>0</v>
      </c>
      <c r="W1939" t="s">
        <v>1081</v>
      </c>
      <c r="AA1939">
        <v>2007</v>
      </c>
      <c r="AB1939">
        <v>9999</v>
      </c>
      <c r="AC1939" t="s">
        <v>35</v>
      </c>
    </row>
    <row r="1940" spans="1:29" x14ac:dyDescent="0.25">
      <c r="A1940" s="31" t="s">
        <v>153</v>
      </c>
      <c r="B1940" s="23" t="s">
        <v>1476</v>
      </c>
      <c r="D1940">
        <v>1</v>
      </c>
      <c r="E1940" t="s">
        <v>155</v>
      </c>
      <c r="F1940">
        <v>3</v>
      </c>
      <c r="G1940">
        <v>2019</v>
      </c>
      <c r="I1940">
        <v>82.903599799999967</v>
      </c>
      <c r="J1940" t="s">
        <v>121</v>
      </c>
      <c r="K1940" t="s">
        <v>53</v>
      </c>
      <c r="L1940" t="s">
        <v>60</v>
      </c>
      <c r="O1940">
        <v>1</v>
      </c>
      <c r="P1940">
        <v>0</v>
      </c>
      <c r="Q1940">
        <v>0</v>
      </c>
      <c r="R1940">
        <v>0</v>
      </c>
      <c r="S1940">
        <v>1</v>
      </c>
      <c r="T1940">
        <v>0</v>
      </c>
      <c r="U1940">
        <v>0</v>
      </c>
      <c r="V1940">
        <v>1</v>
      </c>
      <c r="W1940" t="s">
        <v>304</v>
      </c>
      <c r="AA1940">
        <v>2007</v>
      </c>
      <c r="AB1940">
        <v>9999</v>
      </c>
      <c r="AC1940" t="s">
        <v>35</v>
      </c>
    </row>
    <row r="1941" spans="1:29" x14ac:dyDescent="0.25">
      <c r="A1941" s="31" t="s">
        <v>153</v>
      </c>
      <c r="B1941" s="23" t="s">
        <v>1477</v>
      </c>
      <c r="D1941">
        <v>1</v>
      </c>
      <c r="E1941" t="s">
        <v>155</v>
      </c>
      <c r="F1941">
        <v>3</v>
      </c>
      <c r="G1941">
        <v>2019</v>
      </c>
      <c r="I1941">
        <v>77.805399999999963</v>
      </c>
      <c r="J1941" t="s">
        <v>121</v>
      </c>
      <c r="K1941" t="s">
        <v>53</v>
      </c>
      <c r="L1941" t="s">
        <v>60</v>
      </c>
      <c r="O1941">
        <v>1</v>
      </c>
      <c r="P1941">
        <v>0</v>
      </c>
      <c r="Q1941">
        <v>0</v>
      </c>
      <c r="R1941">
        <v>0</v>
      </c>
      <c r="S1941">
        <v>1</v>
      </c>
      <c r="T1941">
        <v>0</v>
      </c>
      <c r="U1941">
        <v>0</v>
      </c>
      <c r="V1941">
        <v>1</v>
      </c>
      <c r="W1941" t="s">
        <v>645</v>
      </c>
      <c r="AA1941">
        <v>2007</v>
      </c>
      <c r="AB1941">
        <v>9999</v>
      </c>
      <c r="AC1941" t="s">
        <v>35</v>
      </c>
    </row>
    <row r="1942" spans="1:29" x14ac:dyDescent="0.25">
      <c r="A1942" s="31" t="s">
        <v>307</v>
      </c>
      <c r="B1942" s="23" t="s">
        <v>308</v>
      </c>
      <c r="D1942">
        <v>1</v>
      </c>
      <c r="E1942" t="s">
        <v>309</v>
      </c>
      <c r="F1942">
        <v>10</v>
      </c>
      <c r="G1942">
        <v>2019</v>
      </c>
      <c r="I1942" s="13">
        <v>69.099999999999994</v>
      </c>
      <c r="J1942" t="s">
        <v>59</v>
      </c>
      <c r="K1942" t="s">
        <v>47</v>
      </c>
      <c r="O1942">
        <v>0</v>
      </c>
      <c r="P1942">
        <v>0</v>
      </c>
      <c r="Q1942">
        <v>0</v>
      </c>
      <c r="R1942">
        <v>0</v>
      </c>
      <c r="S1942">
        <v>1</v>
      </c>
      <c r="T1942">
        <v>1</v>
      </c>
      <c r="U1942">
        <v>1</v>
      </c>
      <c r="V1942">
        <v>0</v>
      </c>
      <c r="W1942" t="s">
        <v>1083</v>
      </c>
      <c r="AA1942">
        <v>2007</v>
      </c>
      <c r="AB1942">
        <v>9999</v>
      </c>
      <c r="AC1942" t="s">
        <v>35</v>
      </c>
    </row>
    <row r="1943" spans="1:29" x14ac:dyDescent="0.25">
      <c r="A1943" s="31" t="s">
        <v>1294</v>
      </c>
      <c r="B1943" s="23" t="s">
        <v>1295</v>
      </c>
      <c r="C1943" t="s">
        <v>1296</v>
      </c>
      <c r="D1943">
        <v>1</v>
      </c>
      <c r="E1943" t="s">
        <v>95</v>
      </c>
      <c r="F1943">
        <v>10</v>
      </c>
      <c r="G1943">
        <v>2019</v>
      </c>
      <c r="I1943" s="13">
        <v>38.799999999999997</v>
      </c>
      <c r="J1943" t="s">
        <v>40</v>
      </c>
      <c r="K1943" t="s">
        <v>47</v>
      </c>
      <c r="O1943">
        <v>0</v>
      </c>
      <c r="P1943">
        <v>0</v>
      </c>
      <c r="Q1943">
        <v>0</v>
      </c>
      <c r="R1943">
        <v>0</v>
      </c>
      <c r="S1943">
        <v>1</v>
      </c>
      <c r="T1943">
        <v>1</v>
      </c>
      <c r="U1943">
        <v>1</v>
      </c>
      <c r="V1943">
        <v>0</v>
      </c>
      <c r="W1943" t="s">
        <v>1297</v>
      </c>
      <c r="AA1943">
        <v>2010</v>
      </c>
      <c r="AB1943">
        <v>9999</v>
      </c>
      <c r="AC1943" t="s">
        <v>1292</v>
      </c>
    </row>
    <row r="1944" spans="1:29" x14ac:dyDescent="0.25">
      <c r="A1944" s="31" t="s">
        <v>311</v>
      </c>
      <c r="B1944" s="23" t="s">
        <v>312</v>
      </c>
      <c r="C1944" t="s">
        <v>313</v>
      </c>
      <c r="D1944">
        <v>1</v>
      </c>
      <c r="E1944" t="s">
        <v>314</v>
      </c>
      <c r="F1944">
        <v>2</v>
      </c>
      <c r="G1944">
        <v>2019</v>
      </c>
      <c r="I1944" s="13">
        <v>34.4</v>
      </c>
      <c r="J1944" t="s">
        <v>176</v>
      </c>
      <c r="K1944" t="s">
        <v>47</v>
      </c>
      <c r="O1944">
        <v>0</v>
      </c>
      <c r="P1944">
        <v>0</v>
      </c>
      <c r="Q1944">
        <v>0</v>
      </c>
      <c r="R1944">
        <v>0</v>
      </c>
      <c r="S1944">
        <v>1</v>
      </c>
      <c r="T1944">
        <v>1</v>
      </c>
      <c r="U1944">
        <v>1</v>
      </c>
      <c r="V1944">
        <v>0</v>
      </c>
      <c r="W1944" t="s">
        <v>1358</v>
      </c>
      <c r="AA1944">
        <v>2007</v>
      </c>
      <c r="AB1944">
        <v>9999</v>
      </c>
      <c r="AC1944" t="s">
        <v>35</v>
      </c>
    </row>
    <row r="1945" spans="1:29" x14ac:dyDescent="0.25">
      <c r="A1945" s="31" t="s">
        <v>1457</v>
      </c>
      <c r="B1945" s="23" t="s">
        <v>1458</v>
      </c>
      <c r="C1945" t="s">
        <v>1459</v>
      </c>
      <c r="D1945">
        <v>1</v>
      </c>
      <c r="E1945" s="4">
        <v>760</v>
      </c>
      <c r="F1945">
        <v>7</v>
      </c>
      <c r="G1945">
        <v>2019</v>
      </c>
      <c r="I1945" s="13">
        <v>649.22</v>
      </c>
      <c r="J1945" t="s">
        <v>40</v>
      </c>
      <c r="K1945" t="s">
        <v>47</v>
      </c>
      <c r="O1945">
        <v>0</v>
      </c>
      <c r="P1945">
        <v>0</v>
      </c>
      <c r="Q1945">
        <v>0</v>
      </c>
      <c r="R1945">
        <v>0</v>
      </c>
      <c r="S1945">
        <v>1</v>
      </c>
      <c r="T1945">
        <v>1</v>
      </c>
      <c r="U1945">
        <v>1</v>
      </c>
      <c r="V1945">
        <v>0</v>
      </c>
      <c r="W1945" t="s">
        <v>1460</v>
      </c>
      <c r="AA1945">
        <v>2014</v>
      </c>
      <c r="AB1945">
        <v>9999</v>
      </c>
      <c r="AC1945" t="s">
        <v>1449</v>
      </c>
    </row>
    <row r="1946" spans="1:29" ht="30" x14ac:dyDescent="0.25">
      <c r="A1946" s="31" t="s">
        <v>316</v>
      </c>
      <c r="B1946" s="24" t="s">
        <v>1461</v>
      </c>
      <c r="C1946" t="s">
        <v>1462</v>
      </c>
      <c r="D1946">
        <v>1</v>
      </c>
      <c r="E1946" t="s">
        <v>318</v>
      </c>
      <c r="F1946">
        <v>4</v>
      </c>
      <c r="G1946">
        <v>2019</v>
      </c>
      <c r="I1946" s="13">
        <v>41.6</v>
      </c>
      <c r="J1946" t="s">
        <v>59</v>
      </c>
      <c r="K1946" t="s">
        <v>47</v>
      </c>
      <c r="O1946">
        <v>0</v>
      </c>
      <c r="P1946">
        <v>0</v>
      </c>
      <c r="Q1946">
        <v>0</v>
      </c>
      <c r="R1946">
        <v>0</v>
      </c>
      <c r="S1946">
        <v>1</v>
      </c>
      <c r="T1946">
        <v>1</v>
      </c>
      <c r="U1946">
        <v>1</v>
      </c>
      <c r="V1946">
        <v>0</v>
      </c>
      <c r="W1946" t="s">
        <v>1085</v>
      </c>
      <c r="AA1946">
        <v>2007</v>
      </c>
      <c r="AB1946">
        <v>9999</v>
      </c>
      <c r="AC1946" t="s">
        <v>35</v>
      </c>
    </row>
    <row r="1947" spans="1:29" x14ac:dyDescent="0.25">
      <c r="A1947" s="31" t="s">
        <v>324</v>
      </c>
      <c r="B1947" s="23" t="s">
        <v>325</v>
      </c>
      <c r="D1947">
        <v>1</v>
      </c>
      <c r="E1947" t="s">
        <v>103</v>
      </c>
      <c r="F1947">
        <v>9</v>
      </c>
      <c r="G1947">
        <v>2019</v>
      </c>
      <c r="I1947" s="13">
        <v>100.1</v>
      </c>
      <c r="J1947" t="s">
        <v>104</v>
      </c>
      <c r="K1947" t="s">
        <v>47</v>
      </c>
      <c r="O1947">
        <v>0</v>
      </c>
      <c r="P1947">
        <v>0</v>
      </c>
      <c r="Q1947">
        <v>0</v>
      </c>
      <c r="R1947">
        <v>0</v>
      </c>
      <c r="S1947">
        <v>1</v>
      </c>
      <c r="T1947">
        <v>1</v>
      </c>
      <c r="U1947">
        <v>1</v>
      </c>
      <c r="V1947">
        <v>0</v>
      </c>
      <c r="W1947" t="s">
        <v>1086</v>
      </c>
      <c r="AA1947">
        <v>2007</v>
      </c>
      <c r="AB1947">
        <v>9999</v>
      </c>
      <c r="AC1947" t="s">
        <v>35</v>
      </c>
    </row>
    <row r="1948" spans="1:29" x14ac:dyDescent="0.25">
      <c r="A1948" s="31" t="s">
        <v>327</v>
      </c>
      <c r="B1948" s="23" t="s">
        <v>328</v>
      </c>
      <c r="D1948">
        <v>1</v>
      </c>
      <c r="E1948" t="s">
        <v>80</v>
      </c>
      <c r="F1948">
        <v>8</v>
      </c>
      <c r="G1948">
        <v>2019</v>
      </c>
      <c r="I1948" s="13">
        <v>73</v>
      </c>
      <c r="J1948" t="s">
        <v>81</v>
      </c>
      <c r="K1948" t="s">
        <v>47</v>
      </c>
      <c r="O1948">
        <v>0</v>
      </c>
      <c r="P1948">
        <v>0</v>
      </c>
      <c r="Q1948">
        <v>0</v>
      </c>
      <c r="R1948">
        <v>0</v>
      </c>
      <c r="S1948">
        <v>1</v>
      </c>
      <c r="T1948">
        <v>1</v>
      </c>
      <c r="U1948">
        <v>1</v>
      </c>
      <c r="V1948">
        <v>0</v>
      </c>
      <c r="W1948" t="s">
        <v>1087</v>
      </c>
      <c r="AA1948">
        <v>2007</v>
      </c>
      <c r="AB1948">
        <v>9999</v>
      </c>
      <c r="AC1948" t="s">
        <v>35</v>
      </c>
    </row>
    <row r="1949" spans="1:29" x14ac:dyDescent="0.25">
      <c r="A1949" s="31" t="s">
        <v>346</v>
      </c>
      <c r="B1949" s="23" t="s">
        <v>347</v>
      </c>
      <c r="D1949">
        <v>1</v>
      </c>
      <c r="E1949" t="s">
        <v>348</v>
      </c>
      <c r="F1949">
        <v>1</v>
      </c>
      <c r="G1949">
        <v>2019</v>
      </c>
      <c r="I1949" s="13">
        <v>44.4</v>
      </c>
      <c r="J1949" t="s">
        <v>121</v>
      </c>
      <c r="K1949" t="s">
        <v>47</v>
      </c>
      <c r="O1949">
        <v>0</v>
      </c>
      <c r="P1949">
        <v>0</v>
      </c>
      <c r="Q1949">
        <v>0</v>
      </c>
      <c r="R1949">
        <v>0</v>
      </c>
      <c r="S1949">
        <v>1</v>
      </c>
      <c r="T1949">
        <v>1</v>
      </c>
      <c r="U1949">
        <v>1</v>
      </c>
      <c r="V1949">
        <v>0</v>
      </c>
      <c r="W1949" t="s">
        <v>349</v>
      </c>
      <c r="AA1949">
        <v>2007</v>
      </c>
      <c r="AB1949">
        <v>9999</v>
      </c>
      <c r="AC1949" t="s">
        <v>35</v>
      </c>
    </row>
    <row r="1950" spans="1:29" x14ac:dyDescent="0.25">
      <c r="A1950" s="31" t="s">
        <v>1540</v>
      </c>
      <c r="B1950" s="23" t="s">
        <v>1541</v>
      </c>
      <c r="D1950">
        <v>1</v>
      </c>
      <c r="E1950" t="s">
        <v>58</v>
      </c>
      <c r="F1950">
        <v>4</v>
      </c>
      <c r="G1950">
        <v>2019</v>
      </c>
      <c r="I1950" s="13">
        <v>58.9</v>
      </c>
      <c r="J1950" t="s">
        <v>59</v>
      </c>
      <c r="K1950" t="s">
        <v>47</v>
      </c>
      <c r="O1950">
        <v>0</v>
      </c>
      <c r="P1950">
        <v>0</v>
      </c>
      <c r="Q1950">
        <v>0</v>
      </c>
      <c r="R1950">
        <v>0</v>
      </c>
      <c r="S1950">
        <v>1</v>
      </c>
      <c r="T1950">
        <v>1</v>
      </c>
      <c r="U1950">
        <v>1</v>
      </c>
      <c r="V1950">
        <v>0</v>
      </c>
      <c r="W1950" t="s">
        <v>1542</v>
      </c>
      <c r="AA1950">
        <v>2018</v>
      </c>
      <c r="AB1950">
        <v>9999</v>
      </c>
      <c r="AC1950" t="s">
        <v>1543</v>
      </c>
    </row>
    <row r="1951" spans="1:29" x14ac:dyDescent="0.25">
      <c r="A1951" s="31" t="s">
        <v>199</v>
      </c>
      <c r="B1951" s="23" t="s">
        <v>39</v>
      </c>
      <c r="D1951">
        <v>1</v>
      </c>
      <c r="E1951" t="s">
        <v>358</v>
      </c>
      <c r="F1951">
        <v>1</v>
      </c>
      <c r="G1951">
        <v>2019</v>
      </c>
      <c r="I1951" s="13">
        <v>244.2</v>
      </c>
      <c r="J1951" t="s">
        <v>52</v>
      </c>
      <c r="K1951" t="s">
        <v>47</v>
      </c>
      <c r="O1951">
        <v>0</v>
      </c>
      <c r="P1951">
        <v>0</v>
      </c>
      <c r="Q1951">
        <v>0</v>
      </c>
      <c r="R1951">
        <v>0</v>
      </c>
      <c r="S1951">
        <v>1</v>
      </c>
      <c r="T1951">
        <v>1</v>
      </c>
      <c r="U1951">
        <v>1</v>
      </c>
      <c r="V1951">
        <v>0</v>
      </c>
      <c r="W1951" t="s">
        <v>1094</v>
      </c>
      <c r="AA1951">
        <v>2007</v>
      </c>
      <c r="AB1951">
        <v>9999</v>
      </c>
      <c r="AC1951" t="s">
        <v>35</v>
      </c>
    </row>
    <row r="1952" spans="1:29" x14ac:dyDescent="0.25">
      <c r="A1952" s="31" t="s">
        <v>1478</v>
      </c>
      <c r="B1952" s="23" t="s">
        <v>360</v>
      </c>
      <c r="D1952">
        <v>4</v>
      </c>
      <c r="E1952" t="s">
        <v>155</v>
      </c>
      <c r="F1952">
        <v>3</v>
      </c>
      <c r="G1952">
        <v>2019</v>
      </c>
      <c r="I1952">
        <v>425.76943464999994</v>
      </c>
      <c r="J1952" t="s">
        <v>121</v>
      </c>
      <c r="K1952" t="s">
        <v>53</v>
      </c>
      <c r="L1952" t="s">
        <v>60</v>
      </c>
      <c r="O1952">
        <v>1</v>
      </c>
      <c r="P1952">
        <v>0</v>
      </c>
      <c r="Q1952">
        <v>0</v>
      </c>
      <c r="R1952">
        <v>0</v>
      </c>
      <c r="S1952">
        <v>1</v>
      </c>
      <c r="T1952">
        <v>0</v>
      </c>
      <c r="U1952">
        <v>0</v>
      </c>
      <c r="V1952">
        <v>1</v>
      </c>
      <c r="W1952" t="s">
        <v>361</v>
      </c>
      <c r="AA1952">
        <v>2007</v>
      </c>
      <c r="AB1952">
        <v>9999</v>
      </c>
      <c r="AC1952" t="s">
        <v>35</v>
      </c>
    </row>
    <row r="1953" spans="1:29" x14ac:dyDescent="0.25">
      <c r="A1953" s="31" t="s">
        <v>362</v>
      </c>
      <c r="B1953" s="23" t="s">
        <v>363</v>
      </c>
      <c r="D1953">
        <v>1</v>
      </c>
      <c r="E1953" t="s">
        <v>103</v>
      </c>
      <c r="F1953">
        <v>9</v>
      </c>
      <c r="G1953">
        <v>2019</v>
      </c>
      <c r="I1953" s="13">
        <v>1097.7</v>
      </c>
      <c r="J1953" t="s">
        <v>104</v>
      </c>
      <c r="K1953" t="s">
        <v>53</v>
      </c>
      <c r="L1953" t="s">
        <v>105</v>
      </c>
      <c r="O1953">
        <v>0</v>
      </c>
      <c r="P1953">
        <v>1</v>
      </c>
      <c r="Q1953">
        <v>0</v>
      </c>
      <c r="R1953">
        <v>0</v>
      </c>
      <c r="S1953">
        <v>1</v>
      </c>
      <c r="T1953">
        <v>1</v>
      </c>
      <c r="U1953">
        <v>1</v>
      </c>
      <c r="V1953">
        <v>0</v>
      </c>
      <c r="W1953" t="s">
        <v>106</v>
      </c>
      <c r="AA1953">
        <v>2007</v>
      </c>
      <c r="AB1953">
        <v>9999</v>
      </c>
      <c r="AC1953" t="s">
        <v>35</v>
      </c>
    </row>
    <row r="1954" spans="1:29" x14ac:dyDescent="0.25">
      <c r="A1954" s="31" t="s">
        <v>364</v>
      </c>
      <c r="B1954" s="23" t="s">
        <v>365</v>
      </c>
      <c r="C1954" t="s">
        <v>366</v>
      </c>
      <c r="D1954">
        <v>1</v>
      </c>
      <c r="E1954" t="s">
        <v>103</v>
      </c>
      <c r="F1954">
        <v>9</v>
      </c>
      <c r="G1954">
        <v>2019</v>
      </c>
      <c r="I1954" s="13">
        <v>4623.6000000000004</v>
      </c>
      <c r="J1954" t="s">
        <v>104</v>
      </c>
      <c r="K1954" t="s">
        <v>53</v>
      </c>
      <c r="L1954" t="s">
        <v>105</v>
      </c>
      <c r="O1954">
        <v>0</v>
      </c>
      <c r="P1954">
        <v>1</v>
      </c>
      <c r="Q1954">
        <v>0</v>
      </c>
      <c r="R1954">
        <v>0</v>
      </c>
      <c r="S1954">
        <v>1</v>
      </c>
      <c r="T1954">
        <v>1</v>
      </c>
      <c r="U1954">
        <v>1</v>
      </c>
      <c r="V1954">
        <v>0</v>
      </c>
      <c r="W1954" t="s">
        <v>106</v>
      </c>
      <c r="AA1954">
        <v>2007</v>
      </c>
      <c r="AB1954">
        <v>9999</v>
      </c>
      <c r="AC1954" t="s">
        <v>35</v>
      </c>
    </row>
    <row r="1955" spans="1:29" x14ac:dyDescent="0.25">
      <c r="A1955" s="31" t="s">
        <v>367</v>
      </c>
      <c r="B1955" s="23" t="s">
        <v>368</v>
      </c>
      <c r="C1955" t="s">
        <v>369</v>
      </c>
      <c r="D1955">
        <v>1</v>
      </c>
      <c r="E1955" t="s">
        <v>370</v>
      </c>
      <c r="F1955">
        <v>5</v>
      </c>
      <c r="G1955">
        <v>2019</v>
      </c>
      <c r="I1955" s="13">
        <v>245</v>
      </c>
      <c r="J1955" t="s">
        <v>1471</v>
      </c>
      <c r="K1955" t="s">
        <v>47</v>
      </c>
      <c r="O1955">
        <v>0</v>
      </c>
      <c r="P1955">
        <v>0</v>
      </c>
      <c r="Q1955">
        <v>0</v>
      </c>
      <c r="R1955">
        <v>0</v>
      </c>
      <c r="S1955">
        <v>1</v>
      </c>
      <c r="T1955">
        <v>1</v>
      </c>
      <c r="U1955">
        <v>1</v>
      </c>
      <c r="V1955">
        <v>0</v>
      </c>
      <c r="W1955" t="s">
        <v>1298</v>
      </c>
      <c r="AA1955">
        <v>2007</v>
      </c>
      <c r="AB1955">
        <v>9999</v>
      </c>
      <c r="AC1955" t="s">
        <v>35</v>
      </c>
    </row>
    <row r="1956" spans="1:29" x14ac:dyDescent="0.25">
      <c r="A1956" s="31" t="s">
        <v>1544</v>
      </c>
      <c r="B1956" s="23" t="s">
        <v>1545</v>
      </c>
      <c r="D1956">
        <v>1</v>
      </c>
      <c r="E1956" s="5" t="s">
        <v>1546</v>
      </c>
      <c r="F1956">
        <v>5</v>
      </c>
      <c r="G1956">
        <v>2019</v>
      </c>
      <c r="H1956" t="s">
        <v>214</v>
      </c>
      <c r="I1956" s="13">
        <v>3</v>
      </c>
      <c r="J1956" t="s">
        <v>31</v>
      </c>
      <c r="K1956" t="s">
        <v>41</v>
      </c>
      <c r="O1956">
        <v>0</v>
      </c>
      <c r="P1956">
        <v>0</v>
      </c>
      <c r="Q1956">
        <v>0</v>
      </c>
      <c r="R1956">
        <v>0</v>
      </c>
      <c r="S1956">
        <v>0</v>
      </c>
      <c r="T1956">
        <v>0</v>
      </c>
      <c r="U1956">
        <v>0</v>
      </c>
      <c r="V1956">
        <v>0</v>
      </c>
      <c r="W1956" t="s">
        <v>1547</v>
      </c>
      <c r="AA1956">
        <v>2018</v>
      </c>
      <c r="AB1956">
        <v>9999</v>
      </c>
      <c r="AC1956" t="s">
        <v>1543</v>
      </c>
    </row>
    <row r="1957" spans="1:29" x14ac:dyDescent="0.25">
      <c r="A1957" s="31" t="s">
        <v>372</v>
      </c>
      <c r="B1957" s="23" t="s">
        <v>373</v>
      </c>
      <c r="D1957">
        <v>1</v>
      </c>
      <c r="E1957" t="s">
        <v>45</v>
      </c>
      <c r="F1957">
        <v>4</v>
      </c>
      <c r="G1957">
        <v>2019</v>
      </c>
      <c r="I1957" s="13">
        <v>85.1</v>
      </c>
      <c r="J1957" t="s">
        <v>176</v>
      </c>
      <c r="K1957" t="s">
        <v>47</v>
      </c>
      <c r="O1957">
        <v>0</v>
      </c>
      <c r="P1957">
        <v>0</v>
      </c>
      <c r="Q1957">
        <v>0</v>
      </c>
      <c r="R1957">
        <v>0</v>
      </c>
      <c r="S1957">
        <v>1</v>
      </c>
      <c r="T1957">
        <v>1</v>
      </c>
      <c r="U1957">
        <v>1</v>
      </c>
      <c r="V1957">
        <v>0</v>
      </c>
      <c r="W1957" t="s">
        <v>1429</v>
      </c>
      <c r="AA1957">
        <v>2007</v>
      </c>
      <c r="AB1957">
        <v>9999</v>
      </c>
      <c r="AC1957" t="s">
        <v>35</v>
      </c>
    </row>
    <row r="1958" spans="1:29" x14ac:dyDescent="0.25">
      <c r="A1958" s="31" t="s">
        <v>375</v>
      </c>
      <c r="B1958" s="23" t="s">
        <v>163</v>
      </c>
      <c r="D1958">
        <v>1</v>
      </c>
      <c r="E1958" t="s">
        <v>168</v>
      </c>
      <c r="F1958">
        <v>1</v>
      </c>
      <c r="G1958">
        <v>2019</v>
      </c>
      <c r="I1958" s="13">
        <v>49.9</v>
      </c>
      <c r="J1958" t="s">
        <v>52</v>
      </c>
      <c r="K1958" t="s">
        <v>47</v>
      </c>
      <c r="O1958">
        <v>0</v>
      </c>
      <c r="P1958">
        <v>0</v>
      </c>
      <c r="Q1958">
        <v>0</v>
      </c>
      <c r="R1958">
        <v>0</v>
      </c>
      <c r="S1958">
        <v>1</v>
      </c>
      <c r="T1958">
        <v>1</v>
      </c>
      <c r="U1958">
        <v>1</v>
      </c>
      <c r="V1958">
        <v>0</v>
      </c>
      <c r="W1958" t="s">
        <v>1097</v>
      </c>
      <c r="AA1958">
        <v>2007</v>
      </c>
      <c r="AB1958">
        <v>9999</v>
      </c>
      <c r="AC1958" t="s">
        <v>35</v>
      </c>
    </row>
    <row r="1959" spans="1:29" x14ac:dyDescent="0.25">
      <c r="A1959" s="31" t="s">
        <v>377</v>
      </c>
      <c r="B1959" s="23" t="s">
        <v>378</v>
      </c>
      <c r="D1959">
        <v>1</v>
      </c>
      <c r="E1959" t="s">
        <v>45</v>
      </c>
      <c r="F1959">
        <v>4</v>
      </c>
      <c r="G1959">
        <v>2019</v>
      </c>
      <c r="I1959" s="13">
        <v>138.9</v>
      </c>
      <c r="J1959" t="s">
        <v>89</v>
      </c>
      <c r="K1959" t="s">
        <v>47</v>
      </c>
      <c r="O1959">
        <v>0</v>
      </c>
      <c r="P1959">
        <v>0</v>
      </c>
      <c r="Q1959">
        <v>0</v>
      </c>
      <c r="R1959">
        <v>0</v>
      </c>
      <c r="S1959">
        <v>1</v>
      </c>
      <c r="T1959">
        <v>1</v>
      </c>
      <c r="U1959">
        <v>1</v>
      </c>
      <c r="V1959">
        <v>0</v>
      </c>
      <c r="W1959" t="s">
        <v>1098</v>
      </c>
      <c r="AA1959">
        <v>2007</v>
      </c>
      <c r="AB1959">
        <v>9999</v>
      </c>
      <c r="AC1959" t="s">
        <v>35</v>
      </c>
    </row>
    <row r="1960" spans="1:29" x14ac:dyDescent="0.25">
      <c r="A1960" s="31" t="s">
        <v>380</v>
      </c>
      <c r="B1960" s="23" t="s">
        <v>381</v>
      </c>
      <c r="D1960">
        <v>1</v>
      </c>
      <c r="E1960" t="s">
        <v>103</v>
      </c>
      <c r="F1960">
        <v>9</v>
      </c>
      <c r="G1960">
        <v>2019</v>
      </c>
      <c r="I1960" s="13">
        <v>152.80000000000001</v>
      </c>
      <c r="J1960" t="s">
        <v>104</v>
      </c>
      <c r="K1960" t="s">
        <v>53</v>
      </c>
      <c r="L1960" t="s">
        <v>105</v>
      </c>
      <c r="O1960">
        <v>0</v>
      </c>
      <c r="P1960">
        <v>1</v>
      </c>
      <c r="Q1960">
        <v>0</v>
      </c>
      <c r="R1960">
        <v>0</v>
      </c>
      <c r="S1960">
        <v>1</v>
      </c>
      <c r="T1960">
        <v>1</v>
      </c>
      <c r="U1960">
        <v>1</v>
      </c>
      <c r="V1960">
        <v>0</v>
      </c>
      <c r="W1960" t="s">
        <v>106</v>
      </c>
      <c r="AA1960">
        <v>2007</v>
      </c>
      <c r="AB1960">
        <v>9999</v>
      </c>
      <c r="AC1960" t="s">
        <v>35</v>
      </c>
    </row>
    <row r="1961" spans="1:29" x14ac:dyDescent="0.25">
      <c r="A1961" s="31" t="s">
        <v>382</v>
      </c>
      <c r="B1961" s="23" t="s">
        <v>383</v>
      </c>
      <c r="D1961">
        <v>1</v>
      </c>
      <c r="E1961" t="s">
        <v>80</v>
      </c>
      <c r="F1961">
        <v>8</v>
      </c>
      <c r="G1961">
        <v>2019</v>
      </c>
      <c r="I1961" s="13">
        <v>29.8</v>
      </c>
      <c r="J1961" t="s">
        <v>81</v>
      </c>
      <c r="K1961" t="s">
        <v>32</v>
      </c>
      <c r="O1961">
        <v>0</v>
      </c>
      <c r="P1961">
        <v>0</v>
      </c>
      <c r="Q1961">
        <v>0</v>
      </c>
      <c r="R1961">
        <v>0</v>
      </c>
      <c r="S1961">
        <v>1</v>
      </c>
      <c r="T1961">
        <v>1</v>
      </c>
      <c r="U1961">
        <v>1</v>
      </c>
      <c r="V1961">
        <v>0</v>
      </c>
      <c r="W1961" t="s">
        <v>1099</v>
      </c>
      <c r="AA1961">
        <v>2007</v>
      </c>
      <c r="AB1961">
        <v>9999</v>
      </c>
      <c r="AC1961" t="s">
        <v>35</v>
      </c>
    </row>
    <row r="1962" spans="1:29" x14ac:dyDescent="0.25">
      <c r="A1962" s="31" t="s">
        <v>385</v>
      </c>
      <c r="B1962" s="23" t="s">
        <v>386</v>
      </c>
      <c r="D1962">
        <v>1</v>
      </c>
      <c r="E1962" t="s">
        <v>45</v>
      </c>
      <c r="F1962">
        <v>4</v>
      </c>
      <c r="G1962">
        <v>2019</v>
      </c>
      <c r="I1962" s="13">
        <v>178.6</v>
      </c>
      <c r="J1962" t="s">
        <v>52</v>
      </c>
      <c r="K1962" t="s">
        <v>47</v>
      </c>
      <c r="O1962">
        <v>0</v>
      </c>
      <c r="P1962">
        <v>0</v>
      </c>
      <c r="Q1962">
        <v>0</v>
      </c>
      <c r="R1962">
        <v>0</v>
      </c>
      <c r="S1962">
        <v>1</v>
      </c>
      <c r="T1962">
        <v>1</v>
      </c>
      <c r="U1962">
        <v>1</v>
      </c>
      <c r="V1962">
        <v>0</v>
      </c>
      <c r="W1962" t="s">
        <v>1300</v>
      </c>
      <c r="AA1962">
        <v>2007</v>
      </c>
      <c r="AB1962">
        <v>9999</v>
      </c>
      <c r="AC1962" t="s">
        <v>35</v>
      </c>
    </row>
    <row r="1963" spans="1:29" x14ac:dyDescent="0.25">
      <c r="A1963" s="31" t="s">
        <v>388</v>
      </c>
      <c r="B1963" s="23" t="s">
        <v>389</v>
      </c>
      <c r="D1963">
        <v>1</v>
      </c>
      <c r="E1963" t="s">
        <v>145</v>
      </c>
      <c r="F1963">
        <v>2</v>
      </c>
      <c r="G1963">
        <v>2019</v>
      </c>
      <c r="H1963" t="s">
        <v>185</v>
      </c>
      <c r="I1963" s="13">
        <v>0.3</v>
      </c>
      <c r="J1963" t="s">
        <v>52</v>
      </c>
      <c r="K1963" t="s">
        <v>41</v>
      </c>
      <c r="O1963">
        <v>0</v>
      </c>
      <c r="P1963">
        <v>0</v>
      </c>
      <c r="Q1963">
        <v>0</v>
      </c>
      <c r="R1963">
        <v>0</v>
      </c>
      <c r="S1963">
        <v>0</v>
      </c>
      <c r="T1963">
        <v>0</v>
      </c>
      <c r="U1963">
        <v>0</v>
      </c>
      <c r="V1963">
        <v>0</v>
      </c>
      <c r="W1963" t="s">
        <v>1101</v>
      </c>
      <c r="AA1963">
        <v>2007</v>
      </c>
      <c r="AB1963">
        <v>9999</v>
      </c>
      <c r="AC1963" t="s">
        <v>35</v>
      </c>
    </row>
    <row r="1964" spans="1:29" x14ac:dyDescent="0.25">
      <c r="A1964" s="31" t="s">
        <v>391</v>
      </c>
      <c r="B1964" s="23" t="s">
        <v>392</v>
      </c>
      <c r="D1964">
        <v>1</v>
      </c>
      <c r="E1964" t="s">
        <v>393</v>
      </c>
      <c r="F1964">
        <v>3</v>
      </c>
      <c r="G1964">
        <v>2019</v>
      </c>
      <c r="I1964" s="13">
        <v>9817.6</v>
      </c>
      <c r="J1964" t="s">
        <v>121</v>
      </c>
      <c r="K1964" t="s">
        <v>47</v>
      </c>
      <c r="O1964">
        <v>0</v>
      </c>
      <c r="P1964">
        <v>0</v>
      </c>
      <c r="Q1964">
        <v>0</v>
      </c>
      <c r="R1964">
        <v>0</v>
      </c>
      <c r="S1964">
        <v>1</v>
      </c>
      <c r="T1964">
        <v>1</v>
      </c>
      <c r="U1964">
        <v>1</v>
      </c>
      <c r="V1964">
        <v>0</v>
      </c>
      <c r="W1964" t="s">
        <v>1102</v>
      </c>
      <c r="AA1964">
        <v>2007</v>
      </c>
      <c r="AB1964">
        <v>9999</v>
      </c>
      <c r="AC1964" t="s">
        <v>35</v>
      </c>
    </row>
    <row r="1965" spans="1:29" x14ac:dyDescent="0.25">
      <c r="A1965" s="31" t="s">
        <v>401</v>
      </c>
      <c r="B1965" s="23" t="s">
        <v>402</v>
      </c>
      <c r="D1965">
        <v>1</v>
      </c>
      <c r="E1965" t="s">
        <v>155</v>
      </c>
      <c r="F1965">
        <v>3</v>
      </c>
      <c r="G1965">
        <v>2019</v>
      </c>
      <c r="I1965" s="13">
        <v>2143.5</v>
      </c>
      <c r="J1965" t="s">
        <v>52</v>
      </c>
      <c r="K1965" t="s">
        <v>47</v>
      </c>
      <c r="O1965">
        <v>0</v>
      </c>
      <c r="P1965">
        <v>0</v>
      </c>
      <c r="Q1965">
        <v>0</v>
      </c>
      <c r="R1965">
        <v>0</v>
      </c>
      <c r="S1965">
        <v>1</v>
      </c>
      <c r="T1965">
        <v>1</v>
      </c>
      <c r="U1965">
        <v>1</v>
      </c>
      <c r="V1965">
        <v>0</v>
      </c>
      <c r="W1965" t="s">
        <v>1525</v>
      </c>
      <c r="AA1965">
        <v>2007</v>
      </c>
      <c r="AB1965">
        <v>9999</v>
      </c>
      <c r="AC1965" t="s">
        <v>35</v>
      </c>
    </row>
    <row r="1966" spans="1:29" x14ac:dyDescent="0.25">
      <c r="A1966" s="31" t="s">
        <v>404</v>
      </c>
      <c r="B1966" s="23" t="s">
        <v>405</v>
      </c>
      <c r="C1966" t="s">
        <v>406</v>
      </c>
      <c r="D1966">
        <v>1</v>
      </c>
      <c r="E1966" t="s">
        <v>358</v>
      </c>
      <c r="F1966">
        <v>1</v>
      </c>
      <c r="G1966">
        <v>2019</v>
      </c>
      <c r="I1966" s="13">
        <v>308.39999999999998</v>
      </c>
      <c r="J1966" t="s">
        <v>104</v>
      </c>
      <c r="K1966" t="s">
        <v>47</v>
      </c>
      <c r="O1966">
        <v>0</v>
      </c>
      <c r="P1966">
        <v>0</v>
      </c>
      <c r="Q1966">
        <v>0</v>
      </c>
      <c r="R1966">
        <v>0</v>
      </c>
      <c r="S1966">
        <v>1</v>
      </c>
      <c r="T1966">
        <v>1</v>
      </c>
      <c r="U1966">
        <v>1</v>
      </c>
      <c r="V1966">
        <v>0</v>
      </c>
      <c r="W1966" t="s">
        <v>1245</v>
      </c>
      <c r="AA1966">
        <v>2007</v>
      </c>
      <c r="AB1966">
        <v>9999</v>
      </c>
      <c r="AC1966" t="s">
        <v>35</v>
      </c>
    </row>
    <row r="1967" spans="1:29" x14ac:dyDescent="0.25">
      <c r="A1967" s="31" t="s">
        <v>408</v>
      </c>
      <c r="B1967" s="23" t="s">
        <v>409</v>
      </c>
      <c r="D1967">
        <v>1</v>
      </c>
      <c r="E1967" t="s">
        <v>103</v>
      </c>
      <c r="F1967">
        <v>9</v>
      </c>
      <c r="G1967">
        <v>2019</v>
      </c>
      <c r="I1967" s="13">
        <v>58.8</v>
      </c>
      <c r="J1967" t="s">
        <v>104</v>
      </c>
      <c r="K1967" t="s">
        <v>53</v>
      </c>
      <c r="L1967" t="s">
        <v>105</v>
      </c>
      <c r="O1967">
        <v>0</v>
      </c>
      <c r="P1967">
        <v>1</v>
      </c>
      <c r="Q1967">
        <v>0</v>
      </c>
      <c r="R1967">
        <v>0</v>
      </c>
      <c r="S1967">
        <v>1</v>
      </c>
      <c r="T1967">
        <v>1</v>
      </c>
      <c r="U1967">
        <v>1</v>
      </c>
      <c r="V1967">
        <v>0</v>
      </c>
      <c r="W1967" t="s">
        <v>106</v>
      </c>
      <c r="AA1967">
        <v>2007</v>
      </c>
      <c r="AB1967">
        <v>9999</v>
      </c>
      <c r="AC1967" t="s">
        <v>35</v>
      </c>
    </row>
    <row r="1968" spans="1:29" x14ac:dyDescent="0.25">
      <c r="A1968" s="31" t="s">
        <v>410</v>
      </c>
      <c r="B1968" s="23" t="s">
        <v>411</v>
      </c>
      <c r="C1968" t="s">
        <v>412</v>
      </c>
      <c r="D1968">
        <v>1</v>
      </c>
      <c r="E1968" t="s">
        <v>103</v>
      </c>
      <c r="F1968">
        <v>9</v>
      </c>
      <c r="G1968">
        <v>2019</v>
      </c>
      <c r="I1968" s="13">
        <v>145.5</v>
      </c>
      <c r="J1968" t="s">
        <v>104</v>
      </c>
      <c r="K1968" t="s">
        <v>53</v>
      </c>
      <c r="L1968" t="s">
        <v>105</v>
      </c>
      <c r="O1968">
        <v>0</v>
      </c>
      <c r="P1968">
        <v>1</v>
      </c>
      <c r="Q1968">
        <v>0</v>
      </c>
      <c r="R1968">
        <v>0</v>
      </c>
      <c r="S1968">
        <v>1</v>
      </c>
      <c r="T1968">
        <v>1</v>
      </c>
      <c r="U1968">
        <v>1</v>
      </c>
      <c r="V1968">
        <v>0</v>
      </c>
      <c r="W1968" t="s">
        <v>106</v>
      </c>
      <c r="AA1968">
        <v>2007</v>
      </c>
      <c r="AB1968">
        <v>9999</v>
      </c>
      <c r="AC1968" t="s">
        <v>35</v>
      </c>
    </row>
    <row r="1969" spans="1:29" x14ac:dyDescent="0.25">
      <c r="A1969" s="31" t="s">
        <v>413</v>
      </c>
      <c r="B1969" s="23" t="s">
        <v>414</v>
      </c>
      <c r="C1969" t="s">
        <v>415</v>
      </c>
      <c r="D1969">
        <v>1</v>
      </c>
      <c r="E1969" t="s">
        <v>103</v>
      </c>
      <c r="F1969">
        <v>9</v>
      </c>
      <c r="G1969">
        <v>2019</v>
      </c>
      <c r="I1969" s="13">
        <v>3690.8</v>
      </c>
      <c r="J1969" t="s">
        <v>104</v>
      </c>
      <c r="K1969" t="s">
        <v>53</v>
      </c>
      <c r="L1969" t="s">
        <v>105</v>
      </c>
      <c r="O1969">
        <v>0</v>
      </c>
      <c r="P1969">
        <v>1</v>
      </c>
      <c r="Q1969">
        <v>0</v>
      </c>
      <c r="R1969">
        <v>0</v>
      </c>
      <c r="S1969">
        <v>1</v>
      </c>
      <c r="T1969">
        <v>1</v>
      </c>
      <c r="U1969">
        <v>1</v>
      </c>
      <c r="V1969">
        <v>0</v>
      </c>
      <c r="W1969" t="s">
        <v>106</v>
      </c>
      <c r="AA1969">
        <v>2007</v>
      </c>
      <c r="AB1969">
        <v>9999</v>
      </c>
      <c r="AC1969" t="s">
        <v>35</v>
      </c>
    </row>
    <row r="1970" spans="1:29" x14ac:dyDescent="0.25">
      <c r="A1970" s="31" t="s">
        <v>416</v>
      </c>
      <c r="B1970" s="23" t="s">
        <v>417</v>
      </c>
      <c r="C1970" t="s">
        <v>418</v>
      </c>
      <c r="D1970">
        <v>1</v>
      </c>
      <c r="E1970" t="s">
        <v>218</v>
      </c>
      <c r="F1970">
        <v>2</v>
      </c>
      <c r="G1970">
        <v>2019</v>
      </c>
      <c r="I1970" s="13">
        <v>783.4</v>
      </c>
      <c r="J1970" t="s">
        <v>147</v>
      </c>
      <c r="K1970" t="s">
        <v>47</v>
      </c>
      <c r="O1970">
        <v>0</v>
      </c>
      <c r="P1970">
        <v>0</v>
      </c>
      <c r="Q1970">
        <v>0</v>
      </c>
      <c r="R1970">
        <v>0</v>
      </c>
      <c r="S1970">
        <v>1</v>
      </c>
      <c r="T1970">
        <v>1</v>
      </c>
      <c r="U1970">
        <v>1</v>
      </c>
      <c r="V1970">
        <v>0</v>
      </c>
      <c r="W1970" t="s">
        <v>1107</v>
      </c>
      <c r="AA1970">
        <v>2007</v>
      </c>
      <c r="AB1970">
        <v>9999</v>
      </c>
      <c r="AC1970" t="s">
        <v>35</v>
      </c>
    </row>
    <row r="1971" spans="1:29" x14ac:dyDescent="0.25">
      <c r="A1971" s="31" t="s">
        <v>420</v>
      </c>
      <c r="B1971" s="23" t="s">
        <v>421</v>
      </c>
      <c r="D1971">
        <v>1</v>
      </c>
      <c r="E1971" t="s">
        <v>38</v>
      </c>
      <c r="F1971">
        <v>4</v>
      </c>
      <c r="G1971">
        <v>2019</v>
      </c>
      <c r="H1971" t="s">
        <v>39</v>
      </c>
      <c r="I1971" s="13">
        <v>3.5</v>
      </c>
      <c r="J1971" t="s">
        <v>31</v>
      </c>
      <c r="K1971" t="s">
        <v>32</v>
      </c>
      <c r="O1971">
        <v>0</v>
      </c>
      <c r="P1971">
        <v>0</v>
      </c>
      <c r="Q1971">
        <v>0</v>
      </c>
      <c r="R1971">
        <v>0</v>
      </c>
      <c r="S1971">
        <v>0</v>
      </c>
      <c r="T1971">
        <v>1</v>
      </c>
      <c r="U1971">
        <v>0</v>
      </c>
      <c r="V1971">
        <v>0</v>
      </c>
      <c r="W1971" t="s">
        <v>1108</v>
      </c>
      <c r="AA1971">
        <v>2007</v>
      </c>
      <c r="AB1971">
        <v>9999</v>
      </c>
      <c r="AC1971" t="s">
        <v>35</v>
      </c>
    </row>
    <row r="1972" spans="1:29" x14ac:dyDescent="0.25">
      <c r="A1972" s="31" t="s">
        <v>423</v>
      </c>
      <c r="B1972" s="23" t="s">
        <v>424</v>
      </c>
      <c r="D1972">
        <v>1</v>
      </c>
      <c r="E1972" t="s">
        <v>85</v>
      </c>
      <c r="F1972">
        <v>1</v>
      </c>
      <c r="G1972">
        <v>2019</v>
      </c>
      <c r="H1972" t="s">
        <v>303</v>
      </c>
      <c r="I1972" s="13">
        <v>7</v>
      </c>
      <c r="J1972" t="s">
        <v>121</v>
      </c>
      <c r="K1972" t="s">
        <v>53</v>
      </c>
      <c r="L1972" t="s">
        <v>425</v>
      </c>
      <c r="O1972">
        <v>0</v>
      </c>
      <c r="P1972">
        <v>0</v>
      </c>
      <c r="Q1972">
        <v>0</v>
      </c>
      <c r="R1972">
        <v>0</v>
      </c>
      <c r="S1972">
        <v>0</v>
      </c>
      <c r="T1972">
        <v>0</v>
      </c>
      <c r="U1972">
        <v>0</v>
      </c>
      <c r="V1972">
        <v>0</v>
      </c>
      <c r="W1972" t="s">
        <v>426</v>
      </c>
      <c r="AA1972">
        <v>2007</v>
      </c>
      <c r="AB1972">
        <v>9999</v>
      </c>
      <c r="AC1972" t="s">
        <v>35</v>
      </c>
    </row>
    <row r="1973" spans="1:29" x14ac:dyDescent="0.25">
      <c r="A1973" s="31" t="s">
        <v>427</v>
      </c>
      <c r="B1973" s="23" t="s">
        <v>1246</v>
      </c>
      <c r="D1973">
        <v>1</v>
      </c>
      <c r="E1973" t="s">
        <v>45</v>
      </c>
      <c r="F1973">
        <v>4</v>
      </c>
      <c r="G1973">
        <v>2019</v>
      </c>
      <c r="I1973" s="13">
        <v>2023.4</v>
      </c>
      <c r="J1973" t="s">
        <v>52</v>
      </c>
      <c r="K1973" t="s">
        <v>32</v>
      </c>
      <c r="O1973">
        <v>0</v>
      </c>
      <c r="P1973">
        <v>0</v>
      </c>
      <c r="Q1973">
        <v>0</v>
      </c>
      <c r="R1973">
        <v>0</v>
      </c>
      <c r="S1973">
        <v>1</v>
      </c>
      <c r="T1973">
        <v>1</v>
      </c>
      <c r="U1973">
        <v>1</v>
      </c>
      <c r="V1973">
        <v>0</v>
      </c>
      <c r="W1973" t="s">
        <v>1301</v>
      </c>
      <c r="AA1973">
        <v>2007</v>
      </c>
      <c r="AB1973">
        <v>9999</v>
      </c>
      <c r="AC1973" t="s">
        <v>35</v>
      </c>
    </row>
    <row r="1974" spans="1:29" x14ac:dyDescent="0.25">
      <c r="A1974" s="31" t="s">
        <v>430</v>
      </c>
      <c r="B1974" s="23" t="s">
        <v>431</v>
      </c>
      <c r="D1974">
        <v>1</v>
      </c>
      <c r="E1974" t="s">
        <v>103</v>
      </c>
      <c r="F1974">
        <v>9</v>
      </c>
      <c r="G1974">
        <v>2019</v>
      </c>
      <c r="I1974" s="13">
        <v>3181.4</v>
      </c>
      <c r="J1974" t="s">
        <v>104</v>
      </c>
      <c r="K1974" t="s">
        <v>53</v>
      </c>
      <c r="L1974" t="s">
        <v>105</v>
      </c>
      <c r="O1974">
        <v>0</v>
      </c>
      <c r="P1974">
        <v>1</v>
      </c>
      <c r="Q1974">
        <v>0</v>
      </c>
      <c r="R1974">
        <v>0</v>
      </c>
      <c r="S1974">
        <v>1</v>
      </c>
      <c r="T1974">
        <v>1</v>
      </c>
      <c r="U1974">
        <v>1</v>
      </c>
      <c r="V1974">
        <v>0</v>
      </c>
      <c r="W1974" t="s">
        <v>106</v>
      </c>
      <c r="AA1974">
        <v>2007</v>
      </c>
      <c r="AB1974">
        <v>9999</v>
      </c>
      <c r="AC1974" t="s">
        <v>35</v>
      </c>
    </row>
    <row r="1975" spans="1:29" x14ac:dyDescent="0.25">
      <c r="A1975" s="31" t="s">
        <v>1302</v>
      </c>
      <c r="B1975" s="23" t="s">
        <v>1303</v>
      </c>
      <c r="D1975">
        <v>1</v>
      </c>
      <c r="E1975" t="s">
        <v>103</v>
      </c>
      <c r="F1975">
        <v>9</v>
      </c>
      <c r="G1975">
        <v>2019</v>
      </c>
      <c r="I1975" s="13">
        <v>1790.1</v>
      </c>
      <c r="J1975" t="s">
        <v>104</v>
      </c>
      <c r="K1975" t="s">
        <v>53</v>
      </c>
      <c r="L1975" t="s">
        <v>105</v>
      </c>
      <c r="O1975">
        <v>0</v>
      </c>
      <c r="P1975">
        <v>1</v>
      </c>
      <c r="Q1975">
        <v>0</v>
      </c>
      <c r="R1975">
        <v>0</v>
      </c>
      <c r="S1975">
        <v>1</v>
      </c>
      <c r="T1975">
        <v>1</v>
      </c>
      <c r="U1975">
        <v>1</v>
      </c>
      <c r="V1975">
        <v>0</v>
      </c>
      <c r="W1975" t="s">
        <v>106</v>
      </c>
      <c r="AA1975">
        <v>2010</v>
      </c>
      <c r="AB1975">
        <v>9999</v>
      </c>
      <c r="AC1975" t="s">
        <v>1292</v>
      </c>
    </row>
    <row r="1976" spans="1:29" x14ac:dyDescent="0.25">
      <c r="A1976" s="31" t="s">
        <v>439</v>
      </c>
      <c r="B1976" s="23" t="s">
        <v>440</v>
      </c>
      <c r="C1976" t="s">
        <v>441</v>
      </c>
      <c r="D1976">
        <v>1</v>
      </c>
      <c r="E1976" t="s">
        <v>442</v>
      </c>
      <c r="F1976">
        <v>4</v>
      </c>
      <c r="G1976">
        <v>2019</v>
      </c>
      <c r="I1976" s="13">
        <v>600.6</v>
      </c>
      <c r="J1976" t="s">
        <v>89</v>
      </c>
      <c r="K1976" t="s">
        <v>47</v>
      </c>
      <c r="O1976">
        <v>0</v>
      </c>
      <c r="P1976">
        <v>0</v>
      </c>
      <c r="Q1976">
        <v>0</v>
      </c>
      <c r="R1976">
        <v>0</v>
      </c>
      <c r="S1976">
        <v>1</v>
      </c>
      <c r="T1976">
        <v>1</v>
      </c>
      <c r="U1976">
        <v>1</v>
      </c>
      <c r="V1976">
        <v>0</v>
      </c>
      <c r="W1976" t="s">
        <v>1304</v>
      </c>
      <c r="AA1976">
        <v>2007</v>
      </c>
      <c r="AB1976">
        <v>9999</v>
      </c>
      <c r="AC1976" t="s">
        <v>35</v>
      </c>
    </row>
    <row r="1977" spans="1:29" ht="30" x14ac:dyDescent="0.25">
      <c r="B1977" s="23" t="s">
        <v>444</v>
      </c>
      <c r="C1977" t="s">
        <v>445</v>
      </c>
      <c r="D1977">
        <v>5</v>
      </c>
      <c r="E1977" t="s">
        <v>38</v>
      </c>
      <c r="F1977">
        <v>4</v>
      </c>
      <c r="G1977">
        <v>2019</v>
      </c>
      <c r="I1977" s="8">
        <v>1.75</v>
      </c>
      <c r="J1977" s="2" t="s">
        <v>31</v>
      </c>
      <c r="K1977" t="s">
        <v>41</v>
      </c>
      <c r="O1977">
        <v>0</v>
      </c>
      <c r="P1977">
        <v>0</v>
      </c>
      <c r="Q1977">
        <v>0</v>
      </c>
      <c r="R1977">
        <v>0</v>
      </c>
      <c r="S1977">
        <v>0</v>
      </c>
      <c r="T1977">
        <v>0</v>
      </c>
      <c r="U1977">
        <v>0</v>
      </c>
      <c r="V1977">
        <v>0</v>
      </c>
      <c r="W1977" t="s">
        <v>1114</v>
      </c>
      <c r="AA1977">
        <v>2007</v>
      </c>
      <c r="AB1977">
        <v>9999</v>
      </c>
      <c r="AC1977" t="s">
        <v>35</v>
      </c>
    </row>
    <row r="1978" spans="1:29" x14ac:dyDescent="0.25">
      <c r="A1978" s="31" t="s">
        <v>453</v>
      </c>
      <c r="B1978" s="23" t="s">
        <v>454</v>
      </c>
      <c r="C1978" t="s">
        <v>455</v>
      </c>
      <c r="D1978">
        <v>1</v>
      </c>
      <c r="E1978" t="s">
        <v>456</v>
      </c>
      <c r="F1978">
        <v>4</v>
      </c>
      <c r="G1978">
        <v>2019</v>
      </c>
      <c r="I1978" s="13">
        <v>1099.0999999999999</v>
      </c>
      <c r="J1978" t="s">
        <v>1556</v>
      </c>
      <c r="K1978" t="s">
        <v>32</v>
      </c>
      <c r="L1978" t="s">
        <v>33</v>
      </c>
      <c r="O1978">
        <v>0</v>
      </c>
      <c r="P1978">
        <v>0</v>
      </c>
      <c r="Q1978">
        <v>0</v>
      </c>
      <c r="R1978">
        <v>1</v>
      </c>
      <c r="S1978">
        <v>1</v>
      </c>
      <c r="T1978">
        <v>1</v>
      </c>
      <c r="U1978">
        <v>1</v>
      </c>
      <c r="V1978">
        <v>0</v>
      </c>
      <c r="W1978" t="s">
        <v>1360</v>
      </c>
      <c r="AA1978">
        <v>2007</v>
      </c>
      <c r="AB1978">
        <v>9999</v>
      </c>
      <c r="AC1978" t="s">
        <v>35</v>
      </c>
    </row>
    <row r="1979" spans="1:29" x14ac:dyDescent="0.25">
      <c r="A1979" s="31" t="s">
        <v>458</v>
      </c>
      <c r="B1979" s="23" t="s">
        <v>459</v>
      </c>
      <c r="D1979">
        <v>1</v>
      </c>
      <c r="E1979" t="s">
        <v>103</v>
      </c>
      <c r="F1979">
        <v>9</v>
      </c>
      <c r="G1979">
        <v>2019</v>
      </c>
      <c r="I1979" s="13">
        <v>1356.7</v>
      </c>
      <c r="J1979" t="s">
        <v>104</v>
      </c>
      <c r="K1979" t="s">
        <v>53</v>
      </c>
      <c r="L1979" t="s">
        <v>105</v>
      </c>
      <c r="O1979">
        <v>0</v>
      </c>
      <c r="P1979">
        <v>1</v>
      </c>
      <c r="Q1979">
        <v>0</v>
      </c>
      <c r="R1979">
        <v>0</v>
      </c>
      <c r="S1979">
        <v>1</v>
      </c>
      <c r="T1979">
        <v>1</v>
      </c>
      <c r="U1979">
        <v>1</v>
      </c>
      <c r="V1979">
        <v>0</v>
      </c>
      <c r="W1979" t="s">
        <v>106</v>
      </c>
      <c r="AA1979">
        <v>2007</v>
      </c>
      <c r="AB1979">
        <v>9999</v>
      </c>
      <c r="AC1979" t="s">
        <v>35</v>
      </c>
    </row>
    <row r="1980" spans="1:29" x14ac:dyDescent="0.25">
      <c r="A1980" s="31" t="s">
        <v>460</v>
      </c>
      <c r="B1980" s="23" t="s">
        <v>461</v>
      </c>
      <c r="D1980">
        <v>1</v>
      </c>
      <c r="E1980" t="s">
        <v>103</v>
      </c>
      <c r="F1980">
        <v>9</v>
      </c>
      <c r="G1980">
        <v>2019</v>
      </c>
      <c r="I1980" s="13">
        <v>6938.3</v>
      </c>
      <c r="J1980" t="s">
        <v>104</v>
      </c>
      <c r="K1980" t="s">
        <v>53</v>
      </c>
      <c r="L1980" t="s">
        <v>105</v>
      </c>
      <c r="O1980">
        <v>0</v>
      </c>
      <c r="P1980">
        <v>1</v>
      </c>
      <c r="Q1980">
        <v>0</v>
      </c>
      <c r="R1980">
        <v>0</v>
      </c>
      <c r="S1980">
        <v>1</v>
      </c>
      <c r="T1980">
        <v>1</v>
      </c>
      <c r="U1980">
        <v>1</v>
      </c>
      <c r="V1980">
        <v>0</v>
      </c>
      <c r="W1980" t="s">
        <v>106</v>
      </c>
      <c r="AA1980">
        <v>2007</v>
      </c>
      <c r="AB1980">
        <v>9999</v>
      </c>
      <c r="AC1980" t="s">
        <v>35</v>
      </c>
    </row>
    <row r="1981" spans="1:29" x14ac:dyDescent="0.25">
      <c r="A1981" s="31" t="s">
        <v>465</v>
      </c>
      <c r="B1981" s="23" t="s">
        <v>466</v>
      </c>
      <c r="C1981" t="s">
        <v>467</v>
      </c>
      <c r="D1981">
        <v>1</v>
      </c>
      <c r="E1981" t="s">
        <v>468</v>
      </c>
      <c r="F1981">
        <v>7</v>
      </c>
      <c r="G1981">
        <v>2019</v>
      </c>
      <c r="I1981" s="13">
        <v>813.1</v>
      </c>
      <c r="J1981" t="s">
        <v>40</v>
      </c>
      <c r="K1981" t="s">
        <v>32</v>
      </c>
      <c r="O1981">
        <v>0</v>
      </c>
      <c r="P1981">
        <v>0</v>
      </c>
      <c r="Q1981">
        <v>0</v>
      </c>
      <c r="R1981">
        <v>0</v>
      </c>
      <c r="S1981">
        <v>1</v>
      </c>
      <c r="T1981">
        <v>1</v>
      </c>
      <c r="U1981">
        <v>1</v>
      </c>
      <c r="V1981">
        <v>0</v>
      </c>
      <c r="W1981" t="s">
        <v>1119</v>
      </c>
      <c r="AA1981">
        <v>2007</v>
      </c>
      <c r="AB1981">
        <v>9999</v>
      </c>
      <c r="AC1981" t="s">
        <v>35</v>
      </c>
    </row>
    <row r="1982" spans="1:29" x14ac:dyDescent="0.25">
      <c r="A1982" s="31" t="s">
        <v>478</v>
      </c>
      <c r="B1982" s="23" t="s">
        <v>479</v>
      </c>
      <c r="D1982">
        <v>1</v>
      </c>
      <c r="E1982" t="s">
        <v>348</v>
      </c>
      <c r="F1982">
        <v>1</v>
      </c>
      <c r="G1982">
        <v>2019</v>
      </c>
      <c r="I1982" s="13">
        <v>126.7</v>
      </c>
      <c r="J1982" t="s">
        <v>52</v>
      </c>
      <c r="K1982" t="s">
        <v>47</v>
      </c>
      <c r="O1982">
        <v>0</v>
      </c>
      <c r="P1982">
        <v>0</v>
      </c>
      <c r="Q1982">
        <v>0</v>
      </c>
      <c r="R1982">
        <v>0</v>
      </c>
      <c r="S1982">
        <v>1</v>
      </c>
      <c r="T1982">
        <v>1</v>
      </c>
      <c r="U1982">
        <v>1</v>
      </c>
      <c r="V1982">
        <v>0</v>
      </c>
      <c r="W1982" t="s">
        <v>1548</v>
      </c>
      <c r="AA1982">
        <v>2007</v>
      </c>
      <c r="AB1982">
        <v>9999</v>
      </c>
      <c r="AC1982" t="s">
        <v>35</v>
      </c>
    </row>
    <row r="1983" spans="1:29" x14ac:dyDescent="0.25">
      <c r="A1983" s="31" t="s">
        <v>481</v>
      </c>
      <c r="B1983" s="23" t="s">
        <v>482</v>
      </c>
      <c r="D1983">
        <v>1</v>
      </c>
      <c r="E1983" t="s">
        <v>348</v>
      </c>
      <c r="F1983">
        <v>1</v>
      </c>
      <c r="G1983">
        <v>2019</v>
      </c>
      <c r="I1983" s="13">
        <v>248.4</v>
      </c>
      <c r="J1983" t="s">
        <v>52</v>
      </c>
      <c r="K1983" t="s">
        <v>47</v>
      </c>
      <c r="O1983">
        <v>0</v>
      </c>
      <c r="P1983">
        <v>0</v>
      </c>
      <c r="Q1983">
        <v>0</v>
      </c>
      <c r="R1983">
        <v>0</v>
      </c>
      <c r="S1983">
        <v>1</v>
      </c>
      <c r="T1983">
        <v>1</v>
      </c>
      <c r="U1983">
        <v>1</v>
      </c>
      <c r="V1983">
        <v>0</v>
      </c>
      <c r="W1983" t="s">
        <v>1548</v>
      </c>
      <c r="AA1983">
        <v>2007</v>
      </c>
      <c r="AB1983">
        <v>9999</v>
      </c>
      <c r="AC1983" t="s">
        <v>35</v>
      </c>
    </row>
    <row r="1984" spans="1:29" x14ac:dyDescent="0.25">
      <c r="A1984" s="31" t="s">
        <v>483</v>
      </c>
      <c r="B1984" s="23" t="s">
        <v>484</v>
      </c>
      <c r="D1984">
        <v>1</v>
      </c>
      <c r="E1984" t="s">
        <v>348</v>
      </c>
      <c r="F1984">
        <v>1</v>
      </c>
      <c r="G1984">
        <v>2019</v>
      </c>
      <c r="I1984" s="13">
        <v>125.5</v>
      </c>
      <c r="J1984" t="s">
        <v>52</v>
      </c>
      <c r="K1984" t="s">
        <v>47</v>
      </c>
      <c r="O1984">
        <v>0</v>
      </c>
      <c r="P1984">
        <v>0</v>
      </c>
      <c r="Q1984">
        <v>0</v>
      </c>
      <c r="R1984">
        <v>0</v>
      </c>
      <c r="S1984">
        <v>1</v>
      </c>
      <c r="T1984">
        <v>1</v>
      </c>
      <c r="U1984">
        <v>1</v>
      </c>
      <c r="V1984">
        <v>0</v>
      </c>
      <c r="W1984" t="s">
        <v>1548</v>
      </c>
      <c r="AA1984">
        <v>2007</v>
      </c>
      <c r="AB1984">
        <v>9999</v>
      </c>
      <c r="AC1984" t="s">
        <v>35</v>
      </c>
    </row>
    <row r="1985" spans="1:29" x14ac:dyDescent="0.25">
      <c r="A1985" s="31" t="s">
        <v>485</v>
      </c>
      <c r="B1985" s="23" t="s">
        <v>486</v>
      </c>
      <c r="D1985">
        <v>1</v>
      </c>
      <c r="E1985" t="s">
        <v>348</v>
      </c>
      <c r="F1985">
        <v>1</v>
      </c>
      <c r="G1985">
        <v>2019</v>
      </c>
      <c r="I1985" s="13">
        <v>201.3</v>
      </c>
      <c r="J1985" t="s">
        <v>52</v>
      </c>
      <c r="K1985" t="s">
        <v>47</v>
      </c>
      <c r="O1985">
        <v>0</v>
      </c>
      <c r="P1985">
        <v>0</v>
      </c>
      <c r="Q1985">
        <v>0</v>
      </c>
      <c r="R1985">
        <v>0</v>
      </c>
      <c r="S1985">
        <v>1</v>
      </c>
      <c r="T1985">
        <v>1</v>
      </c>
      <c r="U1985">
        <v>1</v>
      </c>
      <c r="V1985">
        <v>0</v>
      </c>
      <c r="W1985" t="s">
        <v>1548</v>
      </c>
      <c r="AA1985">
        <v>2007</v>
      </c>
      <c r="AB1985">
        <v>9999</v>
      </c>
      <c r="AC1985" t="s">
        <v>35</v>
      </c>
    </row>
    <row r="1986" spans="1:29" x14ac:dyDescent="0.25">
      <c r="A1986" s="31" t="s">
        <v>487</v>
      </c>
      <c r="B1986" s="23" t="s">
        <v>488</v>
      </c>
      <c r="D1986">
        <v>1</v>
      </c>
      <c r="E1986" t="s">
        <v>348</v>
      </c>
      <c r="F1986">
        <v>1</v>
      </c>
      <c r="G1986">
        <v>2019</v>
      </c>
      <c r="I1986" s="13">
        <v>186.9</v>
      </c>
      <c r="J1986" t="s">
        <v>52</v>
      </c>
      <c r="K1986" t="s">
        <v>47</v>
      </c>
      <c r="O1986">
        <v>0</v>
      </c>
      <c r="P1986">
        <v>0</v>
      </c>
      <c r="Q1986">
        <v>0</v>
      </c>
      <c r="R1986">
        <v>0</v>
      </c>
      <c r="S1986">
        <v>1</v>
      </c>
      <c r="T1986">
        <v>1</v>
      </c>
      <c r="U1986">
        <v>1</v>
      </c>
      <c r="V1986">
        <v>0</v>
      </c>
      <c r="W1986" t="s">
        <v>1548</v>
      </c>
      <c r="AA1986">
        <v>2007</v>
      </c>
      <c r="AB1986">
        <v>9999</v>
      </c>
      <c r="AC1986" t="s">
        <v>35</v>
      </c>
    </row>
    <row r="1987" spans="1:29" x14ac:dyDescent="0.25">
      <c r="A1987" s="31" t="s">
        <v>489</v>
      </c>
      <c r="B1987" s="23" t="s">
        <v>490</v>
      </c>
      <c r="D1987">
        <v>1</v>
      </c>
      <c r="E1987" t="s">
        <v>348</v>
      </c>
      <c r="F1987">
        <v>1</v>
      </c>
      <c r="G1987">
        <v>2019</v>
      </c>
      <c r="I1987" s="13">
        <v>236.9</v>
      </c>
      <c r="J1987" t="s">
        <v>52</v>
      </c>
      <c r="K1987" t="s">
        <v>47</v>
      </c>
      <c r="O1987">
        <v>0</v>
      </c>
      <c r="P1987">
        <v>0</v>
      </c>
      <c r="Q1987">
        <v>0</v>
      </c>
      <c r="R1987">
        <v>0</v>
      </c>
      <c r="S1987">
        <v>1</v>
      </c>
      <c r="T1987">
        <v>1</v>
      </c>
      <c r="U1987">
        <v>1</v>
      </c>
      <c r="V1987">
        <v>0</v>
      </c>
      <c r="W1987" t="s">
        <v>1548</v>
      </c>
      <c r="AA1987">
        <v>2007</v>
      </c>
      <c r="AB1987">
        <v>9999</v>
      </c>
      <c r="AC1987" t="s">
        <v>35</v>
      </c>
    </row>
    <row r="1988" spans="1:29" x14ac:dyDescent="0.25">
      <c r="A1988" s="31" t="s">
        <v>491</v>
      </c>
      <c r="B1988" s="23" t="s">
        <v>492</v>
      </c>
      <c r="D1988">
        <v>1</v>
      </c>
      <c r="E1988" t="s">
        <v>348</v>
      </c>
      <c r="F1988">
        <v>1</v>
      </c>
      <c r="G1988">
        <v>2019</v>
      </c>
      <c r="I1988" s="13">
        <v>245.8</v>
      </c>
      <c r="J1988" t="s">
        <v>52</v>
      </c>
      <c r="K1988" t="s">
        <v>47</v>
      </c>
      <c r="O1988">
        <v>0</v>
      </c>
      <c r="P1988">
        <v>0</v>
      </c>
      <c r="Q1988">
        <v>0</v>
      </c>
      <c r="R1988">
        <v>0</v>
      </c>
      <c r="S1988">
        <v>1</v>
      </c>
      <c r="T1988">
        <v>1</v>
      </c>
      <c r="U1988">
        <v>1</v>
      </c>
      <c r="V1988">
        <v>0</v>
      </c>
      <c r="W1988" t="s">
        <v>1548</v>
      </c>
      <c r="AA1988">
        <v>2007</v>
      </c>
      <c r="AB1988">
        <v>9999</v>
      </c>
      <c r="AC1988" t="s">
        <v>35</v>
      </c>
    </row>
    <row r="1989" spans="1:29" x14ac:dyDescent="0.25">
      <c r="A1989" s="31" t="s">
        <v>493</v>
      </c>
      <c r="B1989" s="23" t="s">
        <v>494</v>
      </c>
      <c r="D1989">
        <v>1</v>
      </c>
      <c r="E1989" t="s">
        <v>348</v>
      </c>
      <c r="F1989">
        <v>1</v>
      </c>
      <c r="G1989">
        <v>2019</v>
      </c>
      <c r="I1989" s="13">
        <v>229.1</v>
      </c>
      <c r="J1989" t="s">
        <v>52</v>
      </c>
      <c r="K1989" t="s">
        <v>47</v>
      </c>
      <c r="O1989">
        <v>0</v>
      </c>
      <c r="P1989">
        <v>0</v>
      </c>
      <c r="Q1989">
        <v>0</v>
      </c>
      <c r="R1989">
        <v>0</v>
      </c>
      <c r="S1989">
        <v>1</v>
      </c>
      <c r="T1989">
        <v>1</v>
      </c>
      <c r="U1989">
        <v>1</v>
      </c>
      <c r="V1989">
        <v>0</v>
      </c>
      <c r="W1989" t="s">
        <v>1548</v>
      </c>
      <c r="AA1989">
        <v>2007</v>
      </c>
      <c r="AB1989">
        <v>9999</v>
      </c>
      <c r="AC1989" t="s">
        <v>35</v>
      </c>
    </row>
    <row r="1990" spans="1:29" x14ac:dyDescent="0.25">
      <c r="A1990" s="31" t="s">
        <v>495</v>
      </c>
      <c r="B1990" s="23" t="s">
        <v>496</v>
      </c>
      <c r="D1990">
        <v>1</v>
      </c>
      <c r="E1990" t="s">
        <v>348</v>
      </c>
      <c r="F1990">
        <v>1</v>
      </c>
      <c r="G1990">
        <v>2019</v>
      </c>
      <c r="I1990" s="13">
        <v>182.1</v>
      </c>
      <c r="J1990" t="s">
        <v>52</v>
      </c>
      <c r="K1990" t="s">
        <v>47</v>
      </c>
      <c r="O1990">
        <v>0</v>
      </c>
      <c r="P1990">
        <v>0</v>
      </c>
      <c r="Q1990">
        <v>0</v>
      </c>
      <c r="R1990">
        <v>0</v>
      </c>
      <c r="S1990">
        <v>1</v>
      </c>
      <c r="T1990">
        <v>1</v>
      </c>
      <c r="U1990">
        <v>1</v>
      </c>
      <c r="V1990">
        <v>0</v>
      </c>
      <c r="W1990" t="s">
        <v>1548</v>
      </c>
      <c r="AA1990">
        <v>2007</v>
      </c>
      <c r="AB1990">
        <v>9999</v>
      </c>
      <c r="AC1990" t="s">
        <v>35</v>
      </c>
    </row>
    <row r="1991" spans="1:29" x14ac:dyDescent="0.25">
      <c r="A1991" s="31" t="s">
        <v>497</v>
      </c>
      <c r="B1991" s="23" t="s">
        <v>498</v>
      </c>
      <c r="D1991">
        <v>1</v>
      </c>
      <c r="E1991" t="s">
        <v>348</v>
      </c>
      <c r="F1991">
        <v>1</v>
      </c>
      <c r="G1991">
        <v>2019</v>
      </c>
      <c r="I1991" s="13">
        <v>280.10000000000002</v>
      </c>
      <c r="J1991" t="s">
        <v>52</v>
      </c>
      <c r="K1991" t="s">
        <v>47</v>
      </c>
      <c r="O1991">
        <v>0</v>
      </c>
      <c r="P1991">
        <v>0</v>
      </c>
      <c r="Q1991">
        <v>0</v>
      </c>
      <c r="R1991">
        <v>0</v>
      </c>
      <c r="S1991">
        <v>1</v>
      </c>
      <c r="T1991">
        <v>1</v>
      </c>
      <c r="U1991">
        <v>1</v>
      </c>
      <c r="V1991">
        <v>0</v>
      </c>
      <c r="W1991" t="s">
        <v>1548</v>
      </c>
      <c r="AA1991">
        <v>2007</v>
      </c>
      <c r="AB1991">
        <v>9999</v>
      </c>
      <c r="AC1991" t="s">
        <v>35</v>
      </c>
    </row>
    <row r="1992" spans="1:29" x14ac:dyDescent="0.25">
      <c r="A1992" s="31" t="s">
        <v>499</v>
      </c>
      <c r="B1992" s="23" t="s">
        <v>500</v>
      </c>
      <c r="D1992">
        <v>1</v>
      </c>
      <c r="E1992" t="s">
        <v>348</v>
      </c>
      <c r="F1992">
        <v>1</v>
      </c>
      <c r="G1992">
        <v>2019</v>
      </c>
      <c r="I1992" s="13">
        <v>517.4</v>
      </c>
      <c r="J1992" t="s">
        <v>52</v>
      </c>
      <c r="K1992" t="s">
        <v>47</v>
      </c>
      <c r="O1992">
        <v>0</v>
      </c>
      <c r="P1992">
        <v>0</v>
      </c>
      <c r="Q1992">
        <v>0</v>
      </c>
      <c r="R1992">
        <v>0</v>
      </c>
      <c r="S1992">
        <v>1</v>
      </c>
      <c r="T1992">
        <v>1</v>
      </c>
      <c r="U1992">
        <v>1</v>
      </c>
      <c r="V1992">
        <v>0</v>
      </c>
      <c r="W1992" t="s">
        <v>1548</v>
      </c>
      <c r="AA1992">
        <v>2007</v>
      </c>
      <c r="AB1992">
        <v>9999</v>
      </c>
      <c r="AC1992" t="s">
        <v>35</v>
      </c>
    </row>
    <row r="1993" spans="1:29" x14ac:dyDescent="0.25">
      <c r="A1993" s="31" t="s">
        <v>501</v>
      </c>
      <c r="B1993" s="23" t="s">
        <v>502</v>
      </c>
      <c r="D1993">
        <v>1</v>
      </c>
      <c r="E1993" t="s">
        <v>348</v>
      </c>
      <c r="F1993">
        <v>1</v>
      </c>
      <c r="G1993">
        <v>2019</v>
      </c>
      <c r="I1993" s="13">
        <v>469.4</v>
      </c>
      <c r="J1993" t="s">
        <v>52</v>
      </c>
      <c r="K1993" t="s">
        <v>47</v>
      </c>
      <c r="O1993">
        <v>0</v>
      </c>
      <c r="P1993">
        <v>0</v>
      </c>
      <c r="Q1993">
        <v>0</v>
      </c>
      <c r="R1993">
        <v>0</v>
      </c>
      <c r="S1993">
        <v>1</v>
      </c>
      <c r="T1993">
        <v>1</v>
      </c>
      <c r="U1993">
        <v>1</v>
      </c>
      <c r="V1993">
        <v>0</v>
      </c>
      <c r="W1993" t="s">
        <v>1548</v>
      </c>
      <c r="AA1993">
        <v>2007</v>
      </c>
      <c r="AB1993">
        <v>9999</v>
      </c>
      <c r="AC1993" t="s">
        <v>35</v>
      </c>
    </row>
    <row r="1994" spans="1:29" x14ac:dyDescent="0.25">
      <c r="A1994" s="31" t="s">
        <v>503</v>
      </c>
      <c r="B1994" s="23" t="s">
        <v>504</v>
      </c>
      <c r="D1994">
        <v>1</v>
      </c>
      <c r="E1994" t="s">
        <v>348</v>
      </c>
      <c r="F1994">
        <v>1</v>
      </c>
      <c r="G1994">
        <v>2019</v>
      </c>
      <c r="I1994" s="13">
        <v>169.9</v>
      </c>
      <c r="J1994" t="s">
        <v>52</v>
      </c>
      <c r="K1994" t="s">
        <v>47</v>
      </c>
      <c r="O1994">
        <v>0</v>
      </c>
      <c r="P1994">
        <v>0</v>
      </c>
      <c r="Q1994">
        <v>0</v>
      </c>
      <c r="R1994">
        <v>0</v>
      </c>
      <c r="S1994">
        <v>1</v>
      </c>
      <c r="T1994">
        <v>1</v>
      </c>
      <c r="U1994">
        <v>1</v>
      </c>
      <c r="V1994">
        <v>0</v>
      </c>
      <c r="W1994" t="s">
        <v>1548</v>
      </c>
      <c r="AA1994">
        <v>2007</v>
      </c>
      <c r="AB1994">
        <v>9999</v>
      </c>
      <c r="AC1994" t="s">
        <v>35</v>
      </c>
    </row>
    <row r="1995" spans="1:29" x14ac:dyDescent="0.25">
      <c r="A1995" s="31" t="s">
        <v>505</v>
      </c>
      <c r="B1995" s="23" t="s">
        <v>506</v>
      </c>
      <c r="D1995">
        <v>1</v>
      </c>
      <c r="E1995" t="s">
        <v>348</v>
      </c>
      <c r="F1995">
        <v>1</v>
      </c>
      <c r="G1995">
        <v>2019</v>
      </c>
      <c r="I1995" s="13">
        <v>190.4</v>
      </c>
      <c r="J1995" t="s">
        <v>52</v>
      </c>
      <c r="K1995" t="s">
        <v>47</v>
      </c>
      <c r="O1995">
        <v>0</v>
      </c>
      <c r="P1995">
        <v>0</v>
      </c>
      <c r="Q1995">
        <v>0</v>
      </c>
      <c r="R1995">
        <v>0</v>
      </c>
      <c r="S1995">
        <v>1</v>
      </c>
      <c r="T1995">
        <v>1</v>
      </c>
      <c r="U1995">
        <v>1</v>
      </c>
      <c r="V1995">
        <v>0</v>
      </c>
      <c r="W1995" t="s">
        <v>1548</v>
      </c>
      <c r="AA1995">
        <v>2007</v>
      </c>
      <c r="AB1995">
        <v>9999</v>
      </c>
      <c r="AC1995" t="s">
        <v>35</v>
      </c>
    </row>
    <row r="1996" spans="1:29" x14ac:dyDescent="0.25">
      <c r="A1996" s="31" t="s">
        <v>507</v>
      </c>
      <c r="B1996" s="23" t="s">
        <v>508</v>
      </c>
      <c r="D1996">
        <v>1</v>
      </c>
      <c r="E1996" t="s">
        <v>348</v>
      </c>
      <c r="F1996">
        <v>1</v>
      </c>
      <c r="G1996">
        <v>2019</v>
      </c>
      <c r="I1996" s="13">
        <v>212.6</v>
      </c>
      <c r="J1996" t="s">
        <v>52</v>
      </c>
      <c r="K1996" t="s">
        <v>47</v>
      </c>
      <c r="O1996">
        <v>0</v>
      </c>
      <c r="P1996">
        <v>0</v>
      </c>
      <c r="Q1996">
        <v>0</v>
      </c>
      <c r="R1996">
        <v>0</v>
      </c>
      <c r="S1996">
        <v>1</v>
      </c>
      <c r="T1996">
        <v>1</v>
      </c>
      <c r="U1996">
        <v>1</v>
      </c>
      <c r="V1996">
        <v>0</v>
      </c>
      <c r="W1996" t="s">
        <v>1548</v>
      </c>
      <c r="AA1996">
        <v>2007</v>
      </c>
      <c r="AB1996">
        <v>9999</v>
      </c>
      <c r="AC1996" t="s">
        <v>35</v>
      </c>
    </row>
    <row r="1997" spans="1:29" x14ac:dyDescent="0.25">
      <c r="A1997" s="31" t="s">
        <v>509</v>
      </c>
      <c r="B1997" s="23" t="s">
        <v>510</v>
      </c>
      <c r="D1997">
        <v>1</v>
      </c>
      <c r="E1997" t="s">
        <v>348</v>
      </c>
      <c r="F1997">
        <v>1</v>
      </c>
      <c r="G1997">
        <v>2019</v>
      </c>
      <c r="I1997" s="13">
        <v>248.8</v>
      </c>
      <c r="J1997" t="s">
        <v>52</v>
      </c>
      <c r="K1997" t="s">
        <v>47</v>
      </c>
      <c r="O1997">
        <v>0</v>
      </c>
      <c r="P1997">
        <v>0</v>
      </c>
      <c r="Q1997">
        <v>0</v>
      </c>
      <c r="R1997">
        <v>0</v>
      </c>
      <c r="S1997">
        <v>1</v>
      </c>
      <c r="T1997">
        <v>1</v>
      </c>
      <c r="U1997">
        <v>1</v>
      </c>
      <c r="V1997">
        <v>0</v>
      </c>
      <c r="W1997" t="s">
        <v>1548</v>
      </c>
      <c r="AA1997">
        <v>2007</v>
      </c>
      <c r="AB1997">
        <v>9999</v>
      </c>
      <c r="AC1997" t="s">
        <v>35</v>
      </c>
    </row>
    <row r="1998" spans="1:29" x14ac:dyDescent="0.25">
      <c r="A1998" s="31" t="s">
        <v>511</v>
      </c>
      <c r="B1998" s="23" t="s">
        <v>512</v>
      </c>
      <c r="D1998">
        <v>1</v>
      </c>
      <c r="E1998" t="s">
        <v>348</v>
      </c>
      <c r="F1998">
        <v>1</v>
      </c>
      <c r="G1998">
        <v>2019</v>
      </c>
      <c r="I1998" s="13">
        <v>220.4</v>
      </c>
      <c r="J1998" t="s">
        <v>52</v>
      </c>
      <c r="K1998" t="s">
        <v>47</v>
      </c>
      <c r="O1998">
        <v>0</v>
      </c>
      <c r="P1998">
        <v>0</v>
      </c>
      <c r="Q1998">
        <v>0</v>
      </c>
      <c r="R1998">
        <v>0</v>
      </c>
      <c r="S1998">
        <v>1</v>
      </c>
      <c r="T1998">
        <v>1</v>
      </c>
      <c r="U1998">
        <v>1</v>
      </c>
      <c r="V1998">
        <v>0</v>
      </c>
      <c r="W1998" t="s">
        <v>1548</v>
      </c>
      <c r="AA1998">
        <v>2007</v>
      </c>
      <c r="AB1998">
        <v>9999</v>
      </c>
      <c r="AC1998" t="s">
        <v>35</v>
      </c>
    </row>
    <row r="1999" spans="1:29" x14ac:dyDescent="0.25">
      <c r="A1999" s="31" t="s">
        <v>513</v>
      </c>
      <c r="B1999" s="23" t="s">
        <v>514</v>
      </c>
      <c r="D1999">
        <v>1</v>
      </c>
      <c r="E1999" t="s">
        <v>348</v>
      </c>
      <c r="F1999">
        <v>1</v>
      </c>
      <c r="G1999">
        <v>2019</v>
      </c>
      <c r="I1999" s="13">
        <v>171.7</v>
      </c>
      <c r="J1999" t="s">
        <v>52</v>
      </c>
      <c r="K1999" t="s">
        <v>47</v>
      </c>
      <c r="O1999">
        <v>0</v>
      </c>
      <c r="P1999">
        <v>0</v>
      </c>
      <c r="Q1999">
        <v>0</v>
      </c>
      <c r="R1999">
        <v>0</v>
      </c>
      <c r="S1999">
        <v>1</v>
      </c>
      <c r="T1999">
        <v>1</v>
      </c>
      <c r="U1999">
        <v>1</v>
      </c>
      <c r="V1999">
        <v>0</v>
      </c>
      <c r="W1999" t="s">
        <v>1548</v>
      </c>
      <c r="AA1999">
        <v>2007</v>
      </c>
      <c r="AB1999">
        <v>9999</v>
      </c>
      <c r="AC1999" t="s">
        <v>35</v>
      </c>
    </row>
    <row r="2000" spans="1:29" x14ac:dyDescent="0.25">
      <c r="A2000" s="31" t="s">
        <v>515</v>
      </c>
      <c r="B2000" s="23" t="s">
        <v>516</v>
      </c>
      <c r="D2000">
        <v>1</v>
      </c>
      <c r="E2000" t="s">
        <v>348</v>
      </c>
      <c r="F2000">
        <v>1</v>
      </c>
      <c r="G2000">
        <v>2019</v>
      </c>
      <c r="I2000" s="13">
        <v>808.4</v>
      </c>
      <c r="J2000" t="s">
        <v>52</v>
      </c>
      <c r="K2000" t="s">
        <v>47</v>
      </c>
      <c r="O2000">
        <v>0</v>
      </c>
      <c r="P2000">
        <v>0</v>
      </c>
      <c r="Q2000">
        <v>0</v>
      </c>
      <c r="R2000">
        <v>0</v>
      </c>
      <c r="S2000">
        <v>1</v>
      </c>
      <c r="T2000">
        <v>1</v>
      </c>
      <c r="U2000">
        <v>1</v>
      </c>
      <c r="V2000">
        <v>0</v>
      </c>
      <c r="W2000" t="s">
        <v>1548</v>
      </c>
      <c r="AA2000">
        <v>2007</v>
      </c>
      <c r="AB2000">
        <v>9999</v>
      </c>
      <c r="AC2000" t="s">
        <v>35</v>
      </c>
    </row>
    <row r="2001" spans="1:29" x14ac:dyDescent="0.25">
      <c r="A2001" s="31" t="s">
        <v>517</v>
      </c>
      <c r="B2001" s="23" t="s">
        <v>518</v>
      </c>
      <c r="D2001">
        <v>1</v>
      </c>
      <c r="E2001" t="s">
        <v>348</v>
      </c>
      <c r="F2001">
        <v>1</v>
      </c>
      <c r="G2001">
        <v>2019</v>
      </c>
      <c r="I2001" s="13">
        <v>188</v>
      </c>
      <c r="J2001" t="s">
        <v>52</v>
      </c>
      <c r="K2001" t="s">
        <v>47</v>
      </c>
      <c r="O2001">
        <v>0</v>
      </c>
      <c r="P2001">
        <v>0</v>
      </c>
      <c r="Q2001">
        <v>0</v>
      </c>
      <c r="R2001">
        <v>0</v>
      </c>
      <c r="S2001">
        <v>1</v>
      </c>
      <c r="T2001">
        <v>1</v>
      </c>
      <c r="U2001">
        <v>1</v>
      </c>
      <c r="V2001">
        <v>0</v>
      </c>
      <c r="W2001" t="s">
        <v>1548</v>
      </c>
      <c r="AA2001">
        <v>2007</v>
      </c>
      <c r="AB2001">
        <v>9999</v>
      </c>
      <c r="AC2001" t="s">
        <v>35</v>
      </c>
    </row>
    <row r="2002" spans="1:29" x14ac:dyDescent="0.25">
      <c r="A2002" s="31" t="s">
        <v>519</v>
      </c>
      <c r="B2002" s="23" t="s">
        <v>520</v>
      </c>
      <c r="D2002">
        <v>1</v>
      </c>
      <c r="E2002" t="s">
        <v>348</v>
      </c>
      <c r="F2002">
        <v>1</v>
      </c>
      <c r="G2002">
        <v>2019</v>
      </c>
      <c r="I2002" s="13">
        <v>259.60000000000002</v>
      </c>
      <c r="J2002" t="s">
        <v>52</v>
      </c>
      <c r="K2002" t="s">
        <v>47</v>
      </c>
      <c r="O2002">
        <v>0</v>
      </c>
      <c r="P2002">
        <v>0</v>
      </c>
      <c r="Q2002">
        <v>0</v>
      </c>
      <c r="R2002">
        <v>0</v>
      </c>
      <c r="S2002">
        <v>1</v>
      </c>
      <c r="T2002">
        <v>1</v>
      </c>
      <c r="U2002">
        <v>1</v>
      </c>
      <c r="V2002">
        <v>0</v>
      </c>
      <c r="W2002" t="s">
        <v>1548</v>
      </c>
      <c r="AA2002">
        <v>2007</v>
      </c>
      <c r="AB2002">
        <v>9999</v>
      </c>
      <c r="AC2002" t="s">
        <v>35</v>
      </c>
    </row>
    <row r="2003" spans="1:29" x14ac:dyDescent="0.25">
      <c r="A2003" s="31" t="s">
        <v>523</v>
      </c>
      <c r="B2003" s="23" t="s">
        <v>1549</v>
      </c>
      <c r="D2003">
        <v>1</v>
      </c>
      <c r="E2003" t="s">
        <v>103</v>
      </c>
      <c r="F2003">
        <v>9</v>
      </c>
      <c r="G2003">
        <v>2019</v>
      </c>
      <c r="I2003" s="13">
        <v>1446.1</v>
      </c>
      <c r="J2003" t="s">
        <v>104</v>
      </c>
      <c r="K2003" t="s">
        <v>53</v>
      </c>
      <c r="L2003" t="s">
        <v>105</v>
      </c>
      <c r="O2003">
        <v>0</v>
      </c>
      <c r="P2003">
        <v>1</v>
      </c>
      <c r="Q2003">
        <v>0</v>
      </c>
      <c r="R2003">
        <v>0</v>
      </c>
      <c r="S2003">
        <v>1</v>
      </c>
      <c r="T2003">
        <v>1</v>
      </c>
      <c r="U2003">
        <v>1</v>
      </c>
      <c r="V2003">
        <v>0</v>
      </c>
      <c r="W2003" t="s">
        <v>106</v>
      </c>
      <c r="AA2003">
        <v>2007</v>
      </c>
      <c r="AB2003">
        <v>9999</v>
      </c>
      <c r="AC2003" t="s">
        <v>35</v>
      </c>
    </row>
    <row r="2004" spans="1:29" x14ac:dyDescent="0.25">
      <c r="A2004" s="31" t="s">
        <v>529</v>
      </c>
      <c r="B2004" s="23" t="s">
        <v>530</v>
      </c>
      <c r="D2004">
        <v>1</v>
      </c>
      <c r="E2004" t="s">
        <v>58</v>
      </c>
      <c r="F2004">
        <v>4</v>
      </c>
      <c r="G2004">
        <v>2019</v>
      </c>
      <c r="I2004" s="13">
        <v>9</v>
      </c>
      <c r="J2004" t="s">
        <v>59</v>
      </c>
      <c r="K2004" t="s">
        <v>47</v>
      </c>
      <c r="O2004">
        <v>0</v>
      </c>
      <c r="P2004">
        <v>0</v>
      </c>
      <c r="Q2004">
        <v>0</v>
      </c>
      <c r="R2004">
        <v>0</v>
      </c>
      <c r="S2004">
        <v>1</v>
      </c>
      <c r="T2004">
        <v>1</v>
      </c>
      <c r="U2004">
        <v>1</v>
      </c>
      <c r="V2004">
        <v>0</v>
      </c>
      <c r="W2004" t="s">
        <v>1121</v>
      </c>
      <c r="AA2004">
        <v>2007</v>
      </c>
      <c r="AB2004">
        <v>9999</v>
      </c>
      <c r="AC2004" t="s">
        <v>35</v>
      </c>
    </row>
    <row r="2005" spans="1:29" x14ac:dyDescent="0.25">
      <c r="A2005" s="31" t="s">
        <v>532</v>
      </c>
      <c r="B2005" s="23" t="s">
        <v>533</v>
      </c>
      <c r="D2005">
        <v>1</v>
      </c>
      <c r="E2005" t="s">
        <v>534</v>
      </c>
      <c r="F2005">
        <v>10</v>
      </c>
      <c r="G2005">
        <v>2019</v>
      </c>
      <c r="I2005" s="13">
        <v>5193.1000000000004</v>
      </c>
      <c r="J2005" t="s">
        <v>121</v>
      </c>
      <c r="K2005" t="s">
        <v>47</v>
      </c>
      <c r="O2005">
        <v>0</v>
      </c>
      <c r="P2005">
        <v>0</v>
      </c>
      <c r="Q2005">
        <v>0</v>
      </c>
      <c r="R2005">
        <v>0</v>
      </c>
      <c r="S2005">
        <v>1</v>
      </c>
      <c r="T2005">
        <v>1</v>
      </c>
      <c r="U2005">
        <v>1</v>
      </c>
      <c r="V2005">
        <v>0</v>
      </c>
      <c r="W2005" t="s">
        <v>1122</v>
      </c>
      <c r="AA2005">
        <v>2007</v>
      </c>
      <c r="AB2005">
        <v>9999</v>
      </c>
      <c r="AC2005" t="s">
        <v>35</v>
      </c>
    </row>
    <row r="2006" spans="1:29" x14ac:dyDescent="0.25">
      <c r="A2006" s="31" t="s">
        <v>536</v>
      </c>
      <c r="B2006" s="23" t="s">
        <v>537</v>
      </c>
      <c r="D2006">
        <v>1</v>
      </c>
      <c r="E2006" t="s">
        <v>103</v>
      </c>
      <c r="F2006">
        <v>9</v>
      </c>
      <c r="G2006">
        <v>2019</v>
      </c>
      <c r="I2006" s="13">
        <v>879.1</v>
      </c>
      <c r="J2006" t="s">
        <v>104</v>
      </c>
      <c r="K2006" t="s">
        <v>53</v>
      </c>
      <c r="L2006" t="s">
        <v>105</v>
      </c>
      <c r="O2006">
        <v>0</v>
      </c>
      <c r="P2006">
        <v>1</v>
      </c>
      <c r="Q2006">
        <v>0</v>
      </c>
      <c r="R2006">
        <v>0</v>
      </c>
      <c r="S2006">
        <v>1</v>
      </c>
      <c r="T2006">
        <v>1</v>
      </c>
      <c r="U2006">
        <v>1</v>
      </c>
      <c r="V2006">
        <v>0</v>
      </c>
      <c r="W2006" t="s">
        <v>106</v>
      </c>
      <c r="AA2006">
        <v>2007</v>
      </c>
      <c r="AB2006">
        <v>9999</v>
      </c>
      <c r="AC2006" t="s">
        <v>35</v>
      </c>
    </row>
    <row r="2007" spans="1:29" x14ac:dyDescent="0.25">
      <c r="A2007" s="31" t="s">
        <v>538</v>
      </c>
      <c r="B2007" s="23" t="s">
        <v>539</v>
      </c>
      <c r="D2007">
        <v>1</v>
      </c>
      <c r="E2007" t="s">
        <v>80</v>
      </c>
      <c r="F2007">
        <v>8</v>
      </c>
      <c r="G2007">
        <v>2019</v>
      </c>
      <c r="I2007" s="13">
        <v>120.3</v>
      </c>
      <c r="J2007" t="s">
        <v>81</v>
      </c>
      <c r="K2007" t="s">
        <v>47</v>
      </c>
      <c r="O2007">
        <v>0</v>
      </c>
      <c r="P2007">
        <v>0</v>
      </c>
      <c r="Q2007">
        <v>0</v>
      </c>
      <c r="R2007">
        <v>0</v>
      </c>
      <c r="S2007">
        <v>1</v>
      </c>
      <c r="T2007">
        <v>1</v>
      </c>
      <c r="U2007">
        <v>1</v>
      </c>
      <c r="V2007">
        <v>0</v>
      </c>
      <c r="W2007" t="s">
        <v>1123</v>
      </c>
      <c r="AA2007">
        <v>2007</v>
      </c>
      <c r="AB2007">
        <v>9999</v>
      </c>
      <c r="AC2007" t="s">
        <v>35</v>
      </c>
    </row>
    <row r="2008" spans="1:29" x14ac:dyDescent="0.25">
      <c r="A2008" s="31" t="s">
        <v>1561</v>
      </c>
      <c r="B2008" s="23" t="s">
        <v>1562</v>
      </c>
      <c r="C2008" t="s">
        <v>1563</v>
      </c>
      <c r="D2008">
        <v>1</v>
      </c>
      <c r="F2008">
        <v>4</v>
      </c>
      <c r="G2008">
        <v>2019</v>
      </c>
      <c r="I2008" s="13">
        <v>15.5</v>
      </c>
      <c r="J2008" t="s">
        <v>59</v>
      </c>
      <c r="K2008" t="s">
        <v>47</v>
      </c>
      <c r="O2008">
        <v>0</v>
      </c>
      <c r="P2008">
        <v>0</v>
      </c>
      <c r="Q2008">
        <v>0</v>
      </c>
      <c r="R2008">
        <v>0</v>
      </c>
      <c r="S2008">
        <v>1</v>
      </c>
      <c r="T2008">
        <v>1</v>
      </c>
      <c r="U2008">
        <v>1</v>
      </c>
      <c r="V2008">
        <v>0</v>
      </c>
      <c r="W2008" t="s">
        <v>1564</v>
      </c>
      <c r="AA2008">
        <v>2019</v>
      </c>
      <c r="AB2008">
        <v>9999</v>
      </c>
      <c r="AC2008" t="s">
        <v>1560</v>
      </c>
    </row>
    <row r="2009" spans="1:29" x14ac:dyDescent="0.25">
      <c r="A2009" s="31" t="s">
        <v>541</v>
      </c>
      <c r="B2009" s="23" t="s">
        <v>1479</v>
      </c>
      <c r="D2009">
        <v>1</v>
      </c>
      <c r="E2009" t="s">
        <v>543</v>
      </c>
      <c r="F2009">
        <v>10</v>
      </c>
      <c r="G2009">
        <v>2019</v>
      </c>
      <c r="I2009" s="13">
        <v>44.9</v>
      </c>
      <c r="J2009" t="s">
        <v>40</v>
      </c>
      <c r="K2009" t="s">
        <v>47</v>
      </c>
      <c r="O2009">
        <v>0</v>
      </c>
      <c r="P2009">
        <v>0</v>
      </c>
      <c r="Q2009">
        <v>0</v>
      </c>
      <c r="R2009">
        <v>0</v>
      </c>
      <c r="S2009">
        <v>1</v>
      </c>
      <c r="T2009">
        <v>1</v>
      </c>
      <c r="U2009">
        <v>1</v>
      </c>
      <c r="V2009">
        <v>0</v>
      </c>
      <c r="W2009" t="s">
        <v>1480</v>
      </c>
      <c r="AA2009">
        <v>2007</v>
      </c>
      <c r="AB2009">
        <v>9999</v>
      </c>
      <c r="AC2009" t="s">
        <v>35</v>
      </c>
    </row>
    <row r="2010" spans="1:29" x14ac:dyDescent="0.25">
      <c r="A2010" s="31" t="s">
        <v>1565</v>
      </c>
      <c r="B2010" s="23" t="s">
        <v>1566</v>
      </c>
      <c r="C2010" t="s">
        <v>1567</v>
      </c>
      <c r="D2010">
        <v>1</v>
      </c>
      <c r="F2010">
        <v>1</v>
      </c>
      <c r="G2010">
        <v>2019</v>
      </c>
      <c r="I2010" s="13">
        <v>40.5</v>
      </c>
      <c r="J2010" t="s">
        <v>1556</v>
      </c>
      <c r="K2010" t="s">
        <v>47</v>
      </c>
      <c r="O2010">
        <v>0</v>
      </c>
      <c r="P2010">
        <v>0</v>
      </c>
      <c r="Q2010">
        <v>0</v>
      </c>
      <c r="R2010">
        <v>0</v>
      </c>
      <c r="S2010">
        <v>1</v>
      </c>
      <c r="T2010">
        <v>1</v>
      </c>
      <c r="U2010">
        <v>1</v>
      </c>
      <c r="V2010">
        <v>0</v>
      </c>
      <c r="W2010" t="s">
        <v>1568</v>
      </c>
      <c r="AA2010">
        <v>2019</v>
      </c>
      <c r="AB2010">
        <v>9999</v>
      </c>
      <c r="AC2010" t="s">
        <v>1560</v>
      </c>
    </row>
    <row r="2011" spans="1:29" x14ac:dyDescent="0.25">
      <c r="A2011" s="31" t="s">
        <v>545</v>
      </c>
      <c r="B2011" s="23" t="s">
        <v>1481</v>
      </c>
      <c r="C2011" t="s">
        <v>1482</v>
      </c>
      <c r="D2011">
        <v>1</v>
      </c>
      <c r="E2011" t="s">
        <v>1361</v>
      </c>
      <c r="F2011">
        <v>10</v>
      </c>
      <c r="G2011">
        <v>2019</v>
      </c>
      <c r="I2011" s="13">
        <v>13.7</v>
      </c>
      <c r="J2011" t="s">
        <v>40</v>
      </c>
      <c r="K2011" t="s">
        <v>47</v>
      </c>
      <c r="O2011">
        <v>0</v>
      </c>
      <c r="P2011">
        <v>0</v>
      </c>
      <c r="Q2011">
        <v>0</v>
      </c>
      <c r="R2011">
        <v>0</v>
      </c>
      <c r="S2011">
        <v>1</v>
      </c>
      <c r="T2011">
        <v>1</v>
      </c>
      <c r="U2011">
        <v>1</v>
      </c>
      <c r="V2011">
        <v>0</v>
      </c>
      <c r="W2011" t="s">
        <v>1550</v>
      </c>
      <c r="AA2011">
        <v>2007</v>
      </c>
      <c r="AB2011">
        <v>9999</v>
      </c>
      <c r="AC2011" t="s">
        <v>35</v>
      </c>
    </row>
    <row r="2012" spans="1:29" x14ac:dyDescent="0.25">
      <c r="A2012" s="31" t="s">
        <v>1400</v>
      </c>
      <c r="B2012" s="25" t="s">
        <v>1401</v>
      </c>
      <c r="D2012">
        <v>1</v>
      </c>
      <c r="E2012" t="s">
        <v>80</v>
      </c>
      <c r="F2012">
        <v>8</v>
      </c>
      <c r="G2012">
        <v>2019</v>
      </c>
      <c r="I2012" s="13">
        <v>13</v>
      </c>
      <c r="J2012" t="s">
        <v>81</v>
      </c>
      <c r="K2012" t="s">
        <v>47</v>
      </c>
      <c r="O2012">
        <v>0</v>
      </c>
      <c r="P2012">
        <v>0</v>
      </c>
      <c r="Q2012">
        <v>0</v>
      </c>
      <c r="R2012">
        <v>0</v>
      </c>
      <c r="S2012">
        <v>1</v>
      </c>
      <c r="T2012">
        <v>1</v>
      </c>
      <c r="U2012">
        <v>1</v>
      </c>
      <c r="V2012">
        <v>0</v>
      </c>
      <c r="W2012" t="s">
        <v>1402</v>
      </c>
      <c r="AA2012">
        <v>2012</v>
      </c>
      <c r="AB2012">
        <v>9999</v>
      </c>
      <c r="AC2012" t="s">
        <v>1398</v>
      </c>
    </row>
    <row r="2013" spans="1:29" x14ac:dyDescent="0.25">
      <c r="A2013" s="31" t="s">
        <v>1362</v>
      </c>
      <c r="B2013" s="23" t="s">
        <v>1483</v>
      </c>
      <c r="D2013">
        <v>1</v>
      </c>
      <c r="E2013" t="s">
        <v>631</v>
      </c>
      <c r="F2013">
        <v>8</v>
      </c>
      <c r="G2013">
        <v>2019</v>
      </c>
      <c r="I2013" s="13">
        <v>31.1</v>
      </c>
      <c r="J2013" t="s">
        <v>81</v>
      </c>
      <c r="K2013" t="s">
        <v>47</v>
      </c>
      <c r="O2013">
        <v>0</v>
      </c>
      <c r="P2013">
        <v>0</v>
      </c>
      <c r="Q2013">
        <v>0</v>
      </c>
      <c r="R2013">
        <v>0</v>
      </c>
      <c r="S2013">
        <v>1</v>
      </c>
      <c r="T2013">
        <v>1</v>
      </c>
      <c r="U2013">
        <v>1</v>
      </c>
      <c r="V2013">
        <v>0</v>
      </c>
      <c r="W2013" t="s">
        <v>1364</v>
      </c>
      <c r="AA2013">
        <v>2011</v>
      </c>
      <c r="AB2013">
        <v>9999</v>
      </c>
      <c r="AC2013" t="s">
        <v>1365</v>
      </c>
    </row>
    <row r="2014" spans="1:29" x14ac:dyDescent="0.25">
      <c r="A2014" s="31" t="s">
        <v>1248</v>
      </c>
      <c r="B2014" s="23" t="s">
        <v>1249</v>
      </c>
      <c r="C2014" t="s">
        <v>1250</v>
      </c>
      <c r="D2014">
        <v>1</v>
      </c>
      <c r="E2014" t="s">
        <v>1251</v>
      </c>
      <c r="F2014">
        <v>2</v>
      </c>
      <c r="G2014">
        <v>2019</v>
      </c>
      <c r="I2014" s="13">
        <v>1037.8</v>
      </c>
      <c r="J2014" t="s">
        <v>121</v>
      </c>
      <c r="K2014" t="s">
        <v>47</v>
      </c>
      <c r="O2014">
        <v>0</v>
      </c>
      <c r="P2014">
        <v>0</v>
      </c>
      <c r="Q2014">
        <v>0</v>
      </c>
      <c r="R2014">
        <v>0</v>
      </c>
      <c r="S2014">
        <v>1</v>
      </c>
      <c r="T2014">
        <v>1</v>
      </c>
      <c r="U2014">
        <v>1</v>
      </c>
      <c r="V2014">
        <v>0</v>
      </c>
      <c r="W2014" t="s">
        <v>1252</v>
      </c>
      <c r="AA2014">
        <v>2009</v>
      </c>
      <c r="AB2014">
        <v>9999</v>
      </c>
      <c r="AC2014" t="s">
        <v>1239</v>
      </c>
    </row>
    <row r="2015" spans="1:29" x14ac:dyDescent="0.25">
      <c r="A2015" s="31" t="s">
        <v>590</v>
      </c>
      <c r="B2015" s="23" t="s">
        <v>1551</v>
      </c>
      <c r="C2015" t="s">
        <v>1552</v>
      </c>
      <c r="D2015">
        <v>1</v>
      </c>
      <c r="E2015" t="s">
        <v>592</v>
      </c>
      <c r="F2015">
        <v>8</v>
      </c>
      <c r="G2015">
        <v>2019</v>
      </c>
      <c r="I2015" s="13">
        <v>9.5</v>
      </c>
      <c r="J2015" t="s">
        <v>81</v>
      </c>
      <c r="K2015" t="s">
        <v>47</v>
      </c>
      <c r="O2015">
        <v>0</v>
      </c>
      <c r="P2015">
        <v>0</v>
      </c>
      <c r="Q2015">
        <v>0</v>
      </c>
      <c r="R2015">
        <v>0</v>
      </c>
      <c r="S2015">
        <v>1</v>
      </c>
      <c r="T2015">
        <v>1</v>
      </c>
      <c r="U2015">
        <v>1</v>
      </c>
      <c r="V2015">
        <v>0</v>
      </c>
      <c r="W2015" t="s">
        <v>1553</v>
      </c>
      <c r="AA2015">
        <v>2007</v>
      </c>
      <c r="AB2015">
        <v>9999</v>
      </c>
      <c r="AC2015" t="s">
        <v>35</v>
      </c>
    </row>
    <row r="2016" spans="1:29" x14ac:dyDescent="0.25">
      <c r="A2016" s="31" t="s">
        <v>939</v>
      </c>
      <c r="B2016" s="23" t="s">
        <v>1463</v>
      </c>
      <c r="D2016">
        <v>1</v>
      </c>
      <c r="E2016" t="s">
        <v>80</v>
      </c>
      <c r="F2016">
        <v>8</v>
      </c>
      <c r="G2016">
        <v>2019</v>
      </c>
      <c r="I2016" s="13">
        <v>75.2</v>
      </c>
      <c r="J2016" t="s">
        <v>81</v>
      </c>
      <c r="K2016" t="s">
        <v>47</v>
      </c>
      <c r="O2016">
        <v>0</v>
      </c>
      <c r="P2016">
        <v>0</v>
      </c>
      <c r="Q2016">
        <v>0</v>
      </c>
      <c r="R2016">
        <v>0</v>
      </c>
      <c r="S2016">
        <v>1</v>
      </c>
      <c r="T2016">
        <v>1</v>
      </c>
      <c r="U2016">
        <v>1</v>
      </c>
      <c r="V2016">
        <v>0</v>
      </c>
      <c r="W2016" t="s">
        <v>1464</v>
      </c>
      <c r="AA2016">
        <v>2007</v>
      </c>
      <c r="AB2016">
        <v>9999</v>
      </c>
      <c r="AC2016" t="s">
        <v>35</v>
      </c>
    </row>
    <row r="2017" spans="1:29" ht="30" x14ac:dyDescent="0.25">
      <c r="A2017" s="31" t="s">
        <v>1305</v>
      </c>
      <c r="B2017" s="23" t="s">
        <v>1306</v>
      </c>
      <c r="C2017" t="s">
        <v>1307</v>
      </c>
      <c r="D2017">
        <v>1</v>
      </c>
      <c r="E2017" t="s">
        <v>45</v>
      </c>
      <c r="F2017">
        <v>4</v>
      </c>
      <c r="G2017">
        <v>2019</v>
      </c>
      <c r="I2017" s="13">
        <v>39.5</v>
      </c>
      <c r="J2017" t="s">
        <v>89</v>
      </c>
      <c r="K2017" t="s">
        <v>47</v>
      </c>
      <c r="O2017">
        <v>0</v>
      </c>
      <c r="P2017">
        <v>0</v>
      </c>
      <c r="Q2017">
        <v>0</v>
      </c>
      <c r="R2017">
        <v>0</v>
      </c>
      <c r="S2017">
        <v>1</v>
      </c>
      <c r="T2017">
        <v>1</v>
      </c>
      <c r="U2017">
        <v>1</v>
      </c>
      <c r="V2017">
        <v>0</v>
      </c>
      <c r="W2017" t="s">
        <v>1526</v>
      </c>
      <c r="AA2017">
        <v>2010</v>
      </c>
      <c r="AB2017">
        <v>9999</v>
      </c>
      <c r="AC2017" t="s">
        <v>1292</v>
      </c>
    </row>
    <row r="2018" spans="1:29" x14ac:dyDescent="0.25">
      <c r="A2018" s="31" t="s">
        <v>964</v>
      </c>
      <c r="B2018" s="23" t="s">
        <v>1484</v>
      </c>
      <c r="C2018" t="s">
        <v>1485</v>
      </c>
      <c r="D2018">
        <v>1</v>
      </c>
      <c r="E2018" t="s">
        <v>80</v>
      </c>
      <c r="F2018">
        <v>8</v>
      </c>
      <c r="G2018">
        <v>2019</v>
      </c>
      <c r="I2018" s="13">
        <v>79.7</v>
      </c>
      <c r="J2018" t="s">
        <v>81</v>
      </c>
      <c r="K2018" t="s">
        <v>47</v>
      </c>
      <c r="O2018">
        <v>0</v>
      </c>
      <c r="P2018">
        <v>0</v>
      </c>
      <c r="Q2018">
        <v>0</v>
      </c>
      <c r="R2018">
        <v>0</v>
      </c>
      <c r="S2018">
        <v>1</v>
      </c>
      <c r="T2018">
        <v>1</v>
      </c>
      <c r="U2018">
        <v>1</v>
      </c>
      <c r="V2018">
        <v>0</v>
      </c>
      <c r="W2018" t="s">
        <v>1569</v>
      </c>
      <c r="AA2018">
        <v>2007</v>
      </c>
      <c r="AB2018">
        <v>9999</v>
      </c>
      <c r="AC2018" t="s">
        <v>35</v>
      </c>
    </row>
    <row r="2019" spans="1:29" x14ac:dyDescent="0.25">
      <c r="A2019" s="31" t="s">
        <v>1366</v>
      </c>
      <c r="B2019" s="23" t="s">
        <v>1487</v>
      </c>
      <c r="C2019" t="s">
        <v>1368</v>
      </c>
      <c r="D2019">
        <v>1</v>
      </c>
      <c r="E2019" t="s">
        <v>468</v>
      </c>
      <c r="F2019">
        <v>7</v>
      </c>
      <c r="G2019">
        <v>2019</v>
      </c>
      <c r="I2019" s="13">
        <v>41.3</v>
      </c>
      <c r="J2019" t="s">
        <v>40</v>
      </c>
      <c r="K2019" t="s">
        <v>32</v>
      </c>
      <c r="O2019">
        <v>0</v>
      </c>
      <c r="P2019">
        <v>0</v>
      </c>
      <c r="Q2019">
        <v>0</v>
      </c>
      <c r="R2019">
        <v>0</v>
      </c>
      <c r="S2019">
        <v>1</v>
      </c>
      <c r="T2019">
        <v>1</v>
      </c>
      <c r="U2019">
        <v>1</v>
      </c>
      <c r="V2019">
        <v>0</v>
      </c>
      <c r="W2019" t="s">
        <v>1369</v>
      </c>
      <c r="AA2019">
        <v>2011</v>
      </c>
      <c r="AB2019">
        <v>9999</v>
      </c>
      <c r="AC2019" t="s">
        <v>1365</v>
      </c>
    </row>
    <row r="2020" spans="1:29" x14ac:dyDescent="0.25">
      <c r="A2020" s="31" t="s">
        <v>1309</v>
      </c>
      <c r="B2020" s="23" t="s">
        <v>1310</v>
      </c>
      <c r="C2020" t="s">
        <v>1311</v>
      </c>
      <c r="D2020">
        <v>1</v>
      </c>
      <c r="E2020" t="s">
        <v>1312</v>
      </c>
      <c r="F2020">
        <v>9</v>
      </c>
      <c r="G2020">
        <v>2019</v>
      </c>
      <c r="I2020" s="13">
        <v>106</v>
      </c>
      <c r="J2020" t="s">
        <v>104</v>
      </c>
      <c r="K2020" t="s">
        <v>47</v>
      </c>
      <c r="O2020">
        <v>0</v>
      </c>
      <c r="P2020">
        <v>0</v>
      </c>
      <c r="Q2020">
        <v>0</v>
      </c>
      <c r="R2020">
        <v>0</v>
      </c>
      <c r="S2020">
        <v>1</v>
      </c>
      <c r="T2020">
        <v>1</v>
      </c>
      <c r="U2020">
        <v>1</v>
      </c>
      <c r="V2020">
        <v>0</v>
      </c>
      <c r="W2020" t="s">
        <v>1404</v>
      </c>
      <c r="AA2020">
        <v>2010</v>
      </c>
      <c r="AB2020">
        <v>9999</v>
      </c>
      <c r="AC2020" t="s">
        <v>1292</v>
      </c>
    </row>
    <row r="2021" spans="1:29" x14ac:dyDescent="0.25">
      <c r="A2021" s="31" t="s">
        <v>559</v>
      </c>
      <c r="B2021" s="23" t="s">
        <v>560</v>
      </c>
      <c r="C2021" t="s">
        <v>561</v>
      </c>
      <c r="D2021">
        <v>1</v>
      </c>
      <c r="E2021" t="s">
        <v>103</v>
      </c>
      <c r="F2021">
        <v>9</v>
      </c>
      <c r="G2021">
        <v>2019</v>
      </c>
      <c r="I2021" s="13">
        <v>873.6</v>
      </c>
      <c r="J2021" t="s">
        <v>104</v>
      </c>
      <c r="K2021" t="s">
        <v>53</v>
      </c>
      <c r="L2021" t="s">
        <v>105</v>
      </c>
      <c r="O2021">
        <v>0</v>
      </c>
      <c r="P2021">
        <v>1</v>
      </c>
      <c r="Q2021">
        <v>0</v>
      </c>
      <c r="R2021">
        <v>0</v>
      </c>
      <c r="S2021">
        <v>1</v>
      </c>
      <c r="T2021">
        <v>1</v>
      </c>
      <c r="U2021">
        <v>1</v>
      </c>
      <c r="V2021">
        <v>0</v>
      </c>
      <c r="W2021" t="s">
        <v>106</v>
      </c>
      <c r="AA2021">
        <v>2007</v>
      </c>
      <c r="AB2021">
        <v>9999</v>
      </c>
      <c r="AC2021" t="s">
        <v>35</v>
      </c>
    </row>
    <row r="2022" spans="1:29" x14ac:dyDescent="0.25">
      <c r="A2022" s="31" t="s">
        <v>562</v>
      </c>
      <c r="B2022" s="23" t="s">
        <v>1554</v>
      </c>
      <c r="D2022">
        <v>1</v>
      </c>
      <c r="E2022" t="s">
        <v>80</v>
      </c>
      <c r="F2022">
        <v>8</v>
      </c>
      <c r="G2022">
        <v>2019</v>
      </c>
      <c r="I2022" s="13">
        <v>152.80000000000001</v>
      </c>
      <c r="J2022" t="s">
        <v>81</v>
      </c>
      <c r="K2022" t="s">
        <v>47</v>
      </c>
      <c r="O2022">
        <v>0</v>
      </c>
      <c r="P2022">
        <v>0</v>
      </c>
      <c r="Q2022">
        <v>0</v>
      </c>
      <c r="R2022">
        <v>0</v>
      </c>
      <c r="S2022">
        <v>1</v>
      </c>
      <c r="T2022">
        <v>1</v>
      </c>
      <c r="U2022">
        <v>1</v>
      </c>
      <c r="V2022">
        <v>0</v>
      </c>
      <c r="W2022" t="s">
        <v>1128</v>
      </c>
      <c r="AA2022">
        <v>2007</v>
      </c>
      <c r="AB2022">
        <v>9999</v>
      </c>
      <c r="AC2022" t="s">
        <v>35</v>
      </c>
    </row>
    <row r="2023" spans="1:29" x14ac:dyDescent="0.25">
      <c r="A2023" s="31" t="s">
        <v>568</v>
      </c>
      <c r="B2023" s="23" t="s">
        <v>569</v>
      </c>
      <c r="D2023">
        <v>1</v>
      </c>
      <c r="E2023" t="s">
        <v>80</v>
      </c>
      <c r="F2023">
        <v>8</v>
      </c>
      <c r="G2023">
        <v>2019</v>
      </c>
      <c r="I2023" s="13">
        <v>228.2</v>
      </c>
      <c r="J2023" t="s">
        <v>81</v>
      </c>
      <c r="K2023" t="s">
        <v>47</v>
      </c>
      <c r="O2023">
        <v>0</v>
      </c>
      <c r="P2023">
        <v>0</v>
      </c>
      <c r="Q2023">
        <v>0</v>
      </c>
      <c r="R2023">
        <v>0</v>
      </c>
      <c r="S2023">
        <v>1</v>
      </c>
      <c r="T2023">
        <v>1</v>
      </c>
      <c r="U2023">
        <v>1</v>
      </c>
      <c r="V2023">
        <v>0</v>
      </c>
      <c r="W2023" t="s">
        <v>1129</v>
      </c>
      <c r="AA2023">
        <v>2007</v>
      </c>
      <c r="AB2023">
        <v>9999</v>
      </c>
      <c r="AC2023" t="s">
        <v>35</v>
      </c>
    </row>
    <row r="2024" spans="1:29" x14ac:dyDescent="0.25">
      <c r="A2024" s="31" t="s">
        <v>571</v>
      </c>
      <c r="B2024" s="23" t="s">
        <v>572</v>
      </c>
      <c r="D2024">
        <v>1</v>
      </c>
      <c r="E2024" t="s">
        <v>370</v>
      </c>
      <c r="F2024">
        <v>5</v>
      </c>
      <c r="G2024">
        <v>2019</v>
      </c>
      <c r="I2024" s="13">
        <v>562.9</v>
      </c>
      <c r="J2024" t="s">
        <v>31</v>
      </c>
      <c r="K2024" t="s">
        <v>47</v>
      </c>
      <c r="O2024">
        <v>0</v>
      </c>
      <c r="P2024">
        <v>0</v>
      </c>
      <c r="Q2024">
        <v>0</v>
      </c>
      <c r="R2024">
        <v>0</v>
      </c>
      <c r="S2024">
        <v>1</v>
      </c>
      <c r="T2024">
        <v>1</v>
      </c>
      <c r="U2024">
        <v>1</v>
      </c>
      <c r="V2024">
        <v>0</v>
      </c>
      <c r="W2024" t="s">
        <v>1430</v>
      </c>
      <c r="AA2024">
        <v>2007</v>
      </c>
      <c r="AB2024">
        <v>9999</v>
      </c>
      <c r="AC2024" t="s">
        <v>35</v>
      </c>
    </row>
    <row r="2025" spans="1:29" x14ac:dyDescent="0.25">
      <c r="A2025" s="31" t="s">
        <v>574</v>
      </c>
      <c r="B2025" s="23" t="s">
        <v>575</v>
      </c>
      <c r="D2025">
        <v>1</v>
      </c>
      <c r="E2025" t="s">
        <v>222</v>
      </c>
      <c r="F2025">
        <v>1</v>
      </c>
      <c r="G2025">
        <v>2019</v>
      </c>
      <c r="I2025" s="13">
        <v>31.2</v>
      </c>
      <c r="J2025" t="s">
        <v>176</v>
      </c>
      <c r="K2025" t="s">
        <v>47</v>
      </c>
      <c r="O2025">
        <v>0</v>
      </c>
      <c r="P2025">
        <v>0</v>
      </c>
      <c r="Q2025">
        <v>0</v>
      </c>
      <c r="R2025">
        <v>0</v>
      </c>
      <c r="S2025">
        <v>1</v>
      </c>
      <c r="T2025">
        <v>1</v>
      </c>
      <c r="U2025">
        <v>1</v>
      </c>
      <c r="V2025">
        <v>0</v>
      </c>
      <c r="W2025" t="s">
        <v>1131</v>
      </c>
      <c r="AA2025">
        <v>2007</v>
      </c>
      <c r="AB2025">
        <v>9999</v>
      </c>
      <c r="AC2025" t="s">
        <v>35</v>
      </c>
    </row>
    <row r="2026" spans="1:29" x14ac:dyDescent="0.25">
      <c r="A2026" s="31" t="s">
        <v>577</v>
      </c>
      <c r="B2026" s="23" t="s">
        <v>578</v>
      </c>
      <c r="D2026">
        <v>1</v>
      </c>
      <c r="E2026" t="s">
        <v>396</v>
      </c>
      <c r="F2026">
        <v>3</v>
      </c>
      <c r="G2026">
        <v>2019</v>
      </c>
      <c r="H2026" t="s">
        <v>579</v>
      </c>
      <c r="I2026" s="13">
        <v>0.15</v>
      </c>
      <c r="J2026" t="s">
        <v>121</v>
      </c>
      <c r="K2026" t="s">
        <v>41</v>
      </c>
      <c r="O2026">
        <v>0</v>
      </c>
      <c r="P2026">
        <v>0</v>
      </c>
      <c r="Q2026">
        <v>0</v>
      </c>
      <c r="R2026">
        <v>0</v>
      </c>
      <c r="S2026">
        <v>0</v>
      </c>
      <c r="T2026">
        <v>0</v>
      </c>
      <c r="U2026">
        <v>0</v>
      </c>
      <c r="V2026">
        <v>0</v>
      </c>
      <c r="W2026" t="s">
        <v>1132</v>
      </c>
      <c r="AA2026">
        <v>2007</v>
      </c>
      <c r="AB2026">
        <v>9999</v>
      </c>
      <c r="AC2026" t="s">
        <v>35</v>
      </c>
    </row>
    <row r="2027" spans="1:29" x14ac:dyDescent="0.25">
      <c r="A2027" s="31" t="s">
        <v>581</v>
      </c>
      <c r="B2027" s="23" t="s">
        <v>582</v>
      </c>
      <c r="D2027">
        <v>1</v>
      </c>
      <c r="E2027" t="s">
        <v>80</v>
      </c>
      <c r="F2027">
        <v>8</v>
      </c>
      <c r="G2027">
        <v>2019</v>
      </c>
      <c r="H2027" t="s">
        <v>1315</v>
      </c>
      <c r="I2027" s="13">
        <v>3.03</v>
      </c>
      <c r="J2027" t="s">
        <v>81</v>
      </c>
      <c r="K2027" t="s">
        <v>41</v>
      </c>
      <c r="O2027">
        <v>0</v>
      </c>
      <c r="P2027">
        <v>0</v>
      </c>
      <c r="Q2027">
        <v>0</v>
      </c>
      <c r="R2027">
        <v>0</v>
      </c>
      <c r="S2027">
        <v>0</v>
      </c>
      <c r="T2027">
        <v>0</v>
      </c>
      <c r="U2027">
        <v>1</v>
      </c>
      <c r="V2027">
        <v>0</v>
      </c>
      <c r="W2027" t="s">
        <v>1133</v>
      </c>
      <c r="AA2027">
        <v>2007</v>
      </c>
      <c r="AB2027">
        <v>9999</v>
      </c>
      <c r="AC2027" t="s">
        <v>35</v>
      </c>
    </row>
    <row r="2028" spans="1:29" x14ac:dyDescent="0.25">
      <c r="A2028" s="31" t="s">
        <v>594</v>
      </c>
      <c r="B2028" s="23" t="s">
        <v>595</v>
      </c>
      <c r="D2028">
        <v>1</v>
      </c>
      <c r="E2028" t="s">
        <v>38</v>
      </c>
      <c r="F2028">
        <v>4</v>
      </c>
      <c r="G2028">
        <v>2019</v>
      </c>
      <c r="H2028" t="s">
        <v>906</v>
      </c>
      <c r="I2028" s="13">
        <v>0.15</v>
      </c>
      <c r="J2028" t="s">
        <v>59</v>
      </c>
      <c r="K2028" t="s">
        <v>41</v>
      </c>
      <c r="O2028">
        <v>0</v>
      </c>
      <c r="P2028">
        <v>0</v>
      </c>
      <c r="Q2028">
        <v>0</v>
      </c>
      <c r="R2028">
        <v>0</v>
      </c>
      <c r="S2028">
        <v>0</v>
      </c>
      <c r="T2028">
        <v>0</v>
      </c>
      <c r="U2028">
        <v>0</v>
      </c>
      <c r="V2028">
        <v>0</v>
      </c>
      <c r="W2028" t="s">
        <v>1135</v>
      </c>
      <c r="AA2028">
        <v>2007</v>
      </c>
      <c r="AB2028">
        <v>9999</v>
      </c>
      <c r="AC2028" t="s">
        <v>35</v>
      </c>
    </row>
    <row r="2029" spans="1:29" x14ac:dyDescent="0.25">
      <c r="A2029" s="31" t="s">
        <v>1253</v>
      </c>
      <c r="B2029" s="23" t="s">
        <v>598</v>
      </c>
      <c r="D2029">
        <v>1</v>
      </c>
      <c r="E2029" t="s">
        <v>38</v>
      </c>
      <c r="F2029">
        <v>4</v>
      </c>
      <c r="G2029">
        <v>2019</v>
      </c>
      <c r="H2029" t="s">
        <v>39</v>
      </c>
      <c r="I2029" s="13">
        <v>0</v>
      </c>
      <c r="J2029" t="s">
        <v>59</v>
      </c>
      <c r="K2029" t="s">
        <v>41</v>
      </c>
      <c r="O2029">
        <v>0</v>
      </c>
      <c r="P2029">
        <v>0</v>
      </c>
      <c r="Q2029">
        <v>0</v>
      </c>
      <c r="R2029">
        <v>0</v>
      </c>
      <c r="S2029">
        <v>0</v>
      </c>
      <c r="T2029">
        <v>0</v>
      </c>
      <c r="U2029">
        <v>0</v>
      </c>
      <c r="V2029">
        <v>0</v>
      </c>
      <c r="W2029" t="s">
        <v>1254</v>
      </c>
      <c r="AA2029">
        <v>2009</v>
      </c>
      <c r="AB2029">
        <v>9999</v>
      </c>
      <c r="AC2029" t="s">
        <v>1239</v>
      </c>
    </row>
    <row r="2030" spans="1:29" x14ac:dyDescent="0.25">
      <c r="A2030" s="31" t="s">
        <v>601</v>
      </c>
      <c r="B2030" s="23" t="s">
        <v>602</v>
      </c>
      <c r="D2030">
        <v>1</v>
      </c>
      <c r="E2030" t="s">
        <v>145</v>
      </c>
      <c r="F2030">
        <v>2</v>
      </c>
      <c r="G2030">
        <v>2019</v>
      </c>
      <c r="H2030" t="s">
        <v>1570</v>
      </c>
      <c r="I2030" s="13">
        <v>2.5000000000000001E-2</v>
      </c>
      <c r="J2030" t="s">
        <v>1556</v>
      </c>
      <c r="K2030" t="s">
        <v>41</v>
      </c>
      <c r="O2030">
        <v>0</v>
      </c>
      <c r="P2030">
        <v>0</v>
      </c>
      <c r="Q2030">
        <v>0</v>
      </c>
      <c r="R2030">
        <v>0</v>
      </c>
      <c r="S2030">
        <v>0</v>
      </c>
      <c r="T2030">
        <v>0</v>
      </c>
      <c r="U2030">
        <v>0</v>
      </c>
      <c r="V2030">
        <v>0</v>
      </c>
      <c r="W2030" t="s">
        <v>1137</v>
      </c>
      <c r="AA2030">
        <v>2007</v>
      </c>
      <c r="AB2030">
        <v>9999</v>
      </c>
      <c r="AC2030" t="s">
        <v>35</v>
      </c>
    </row>
    <row r="2031" spans="1:29" x14ac:dyDescent="0.25">
      <c r="A2031" s="31" t="s">
        <v>613</v>
      </c>
      <c r="B2031" s="23" t="s">
        <v>254</v>
      </c>
      <c r="C2031" t="s">
        <v>614</v>
      </c>
      <c r="D2031">
        <v>1</v>
      </c>
      <c r="E2031" t="s">
        <v>45</v>
      </c>
      <c r="F2031">
        <v>4</v>
      </c>
      <c r="G2031">
        <v>2019</v>
      </c>
      <c r="I2031" s="13">
        <v>337.5</v>
      </c>
      <c r="J2031" t="s">
        <v>89</v>
      </c>
      <c r="K2031" t="s">
        <v>47</v>
      </c>
      <c r="O2031">
        <v>0</v>
      </c>
      <c r="P2031">
        <v>0</v>
      </c>
      <c r="Q2031">
        <v>0</v>
      </c>
      <c r="R2031">
        <v>0</v>
      </c>
      <c r="S2031">
        <v>1</v>
      </c>
      <c r="T2031">
        <v>1</v>
      </c>
      <c r="U2031">
        <v>1</v>
      </c>
      <c r="V2031">
        <v>0</v>
      </c>
      <c r="W2031" t="s">
        <v>1140</v>
      </c>
      <c r="AA2031">
        <v>2007</v>
      </c>
      <c r="AB2031">
        <v>9999</v>
      </c>
      <c r="AC2031" t="s">
        <v>35</v>
      </c>
    </row>
    <row r="2032" spans="1:29" x14ac:dyDescent="0.25">
      <c r="A2032" s="31" t="s">
        <v>1370</v>
      </c>
      <c r="B2032" s="23" t="s">
        <v>1371</v>
      </c>
      <c r="D2032">
        <v>1</v>
      </c>
      <c r="E2032" s="4">
        <v>411</v>
      </c>
      <c r="F2032">
        <v>4</v>
      </c>
      <c r="G2032">
        <v>2019</v>
      </c>
      <c r="H2032" t="s">
        <v>111</v>
      </c>
      <c r="I2032" s="13">
        <v>0.6</v>
      </c>
      <c r="J2032" t="s">
        <v>89</v>
      </c>
      <c r="K2032" t="s">
        <v>41</v>
      </c>
      <c r="O2032">
        <v>0</v>
      </c>
      <c r="P2032">
        <v>0</v>
      </c>
      <c r="Q2032">
        <v>0</v>
      </c>
      <c r="R2032">
        <v>0</v>
      </c>
      <c r="S2032">
        <v>0</v>
      </c>
      <c r="T2032">
        <v>1</v>
      </c>
      <c r="U2032">
        <v>0</v>
      </c>
      <c r="V2032">
        <v>0</v>
      </c>
      <c r="W2032" t="s">
        <v>1372</v>
      </c>
      <c r="AA2032">
        <v>2011</v>
      </c>
      <c r="AB2032">
        <v>9999</v>
      </c>
      <c r="AC2032" t="s">
        <v>1365</v>
      </c>
    </row>
    <row r="2033" spans="1:29" x14ac:dyDescent="0.25">
      <c r="A2033" s="31" t="s">
        <v>1317</v>
      </c>
      <c r="B2033" s="23" t="s">
        <v>1318</v>
      </c>
      <c r="D2033">
        <v>1</v>
      </c>
      <c r="E2033" t="s">
        <v>1319</v>
      </c>
      <c r="F2033">
        <v>10</v>
      </c>
      <c r="G2033">
        <v>2019</v>
      </c>
      <c r="I2033" s="13">
        <v>1043.5</v>
      </c>
      <c r="J2033" t="s">
        <v>40</v>
      </c>
      <c r="K2033" t="s">
        <v>32</v>
      </c>
      <c r="O2033">
        <v>0</v>
      </c>
      <c r="P2033">
        <v>0</v>
      </c>
      <c r="Q2033">
        <v>0</v>
      </c>
      <c r="R2033">
        <v>0</v>
      </c>
      <c r="S2033">
        <v>1</v>
      </c>
      <c r="T2033">
        <v>1</v>
      </c>
      <c r="U2033">
        <v>1</v>
      </c>
      <c r="V2033">
        <v>0</v>
      </c>
      <c r="W2033" t="s">
        <v>1320</v>
      </c>
      <c r="AA2033">
        <v>2010</v>
      </c>
      <c r="AB2033">
        <v>9999</v>
      </c>
      <c r="AC2033" t="s">
        <v>1292</v>
      </c>
    </row>
    <row r="2034" spans="1:29" x14ac:dyDescent="0.25">
      <c r="A2034" s="31" t="s">
        <v>1489</v>
      </c>
      <c r="B2034" s="23" t="s">
        <v>619</v>
      </c>
      <c r="D2034">
        <v>1</v>
      </c>
      <c r="E2034" t="s">
        <v>620</v>
      </c>
      <c r="F2034">
        <v>5</v>
      </c>
      <c r="G2034">
        <v>2019</v>
      </c>
      <c r="I2034" s="13">
        <v>26.3</v>
      </c>
      <c r="J2034" t="s">
        <v>104</v>
      </c>
      <c r="K2034" t="s">
        <v>47</v>
      </c>
      <c r="O2034">
        <v>0</v>
      </c>
      <c r="P2034">
        <v>0</v>
      </c>
      <c r="Q2034">
        <v>0</v>
      </c>
      <c r="R2034">
        <v>0</v>
      </c>
      <c r="S2034">
        <v>1</v>
      </c>
      <c r="T2034">
        <v>1</v>
      </c>
      <c r="U2034">
        <v>1</v>
      </c>
      <c r="V2034">
        <v>0</v>
      </c>
      <c r="W2034" t="s">
        <v>1141</v>
      </c>
      <c r="AA2034">
        <v>2007</v>
      </c>
      <c r="AB2034">
        <v>9999</v>
      </c>
      <c r="AC2034" t="s">
        <v>1475</v>
      </c>
    </row>
    <row r="2035" spans="1:29" x14ac:dyDescent="0.25">
      <c r="A2035" s="31" t="s">
        <v>472</v>
      </c>
      <c r="B2035" s="23" t="s">
        <v>1490</v>
      </c>
      <c r="D2035">
        <v>1</v>
      </c>
      <c r="E2035" t="s">
        <v>681</v>
      </c>
      <c r="F2035">
        <v>3</v>
      </c>
      <c r="G2035">
        <v>2019</v>
      </c>
      <c r="I2035" s="13">
        <v>28273.599999999999</v>
      </c>
      <c r="J2035" t="s">
        <v>121</v>
      </c>
      <c r="K2035" t="s">
        <v>47</v>
      </c>
      <c r="O2035">
        <v>0</v>
      </c>
      <c r="P2035">
        <v>0</v>
      </c>
      <c r="Q2035">
        <v>0</v>
      </c>
      <c r="R2035">
        <v>0</v>
      </c>
      <c r="S2035">
        <v>1</v>
      </c>
      <c r="T2035">
        <v>1</v>
      </c>
      <c r="U2035">
        <v>1</v>
      </c>
      <c r="V2035">
        <v>0</v>
      </c>
      <c r="W2035" t="s">
        <v>1491</v>
      </c>
      <c r="AA2035">
        <v>2007</v>
      </c>
      <c r="AB2035">
        <v>9999</v>
      </c>
      <c r="AC2035" t="s">
        <v>35</v>
      </c>
    </row>
    <row r="2036" spans="1:29" x14ac:dyDescent="0.25">
      <c r="A2036" s="31" t="s">
        <v>622</v>
      </c>
      <c r="B2036" s="23" t="s">
        <v>623</v>
      </c>
      <c r="C2036" t="s">
        <v>624</v>
      </c>
      <c r="D2036">
        <v>1</v>
      </c>
      <c r="E2036" t="s">
        <v>625</v>
      </c>
      <c r="F2036">
        <v>4</v>
      </c>
      <c r="G2036">
        <v>2019</v>
      </c>
      <c r="I2036" s="13">
        <v>289.5</v>
      </c>
      <c r="J2036" t="s">
        <v>1556</v>
      </c>
      <c r="K2036" t="s">
        <v>32</v>
      </c>
      <c r="O2036">
        <v>0</v>
      </c>
      <c r="P2036">
        <v>0</v>
      </c>
      <c r="Q2036">
        <v>0</v>
      </c>
      <c r="R2036">
        <v>0</v>
      </c>
      <c r="S2036">
        <v>1</v>
      </c>
      <c r="T2036">
        <v>1</v>
      </c>
      <c r="U2036">
        <v>1</v>
      </c>
      <c r="V2036">
        <v>0</v>
      </c>
      <c r="W2036" t="s">
        <v>1142</v>
      </c>
      <c r="AA2036">
        <v>2007</v>
      </c>
      <c r="AB2036">
        <v>9999</v>
      </c>
      <c r="AC2036" t="s">
        <v>35</v>
      </c>
    </row>
    <row r="2037" spans="1:29" x14ac:dyDescent="0.25">
      <c r="A2037" s="31" t="s">
        <v>641</v>
      </c>
      <c r="B2037" s="23" t="s">
        <v>642</v>
      </c>
      <c r="D2037">
        <v>1</v>
      </c>
      <c r="E2037" t="s">
        <v>348</v>
      </c>
      <c r="F2037">
        <v>1</v>
      </c>
      <c r="G2037">
        <v>2019</v>
      </c>
      <c r="I2037" s="13">
        <v>3827.2550000000001</v>
      </c>
      <c r="J2037" t="s">
        <v>268</v>
      </c>
      <c r="K2037" t="s">
        <v>53</v>
      </c>
      <c r="L2037" t="s">
        <v>642</v>
      </c>
      <c r="O2037">
        <v>0</v>
      </c>
      <c r="P2037">
        <v>0</v>
      </c>
      <c r="Q2037">
        <v>0</v>
      </c>
      <c r="R2037">
        <v>0</v>
      </c>
      <c r="S2037">
        <v>0</v>
      </c>
      <c r="T2037">
        <v>1</v>
      </c>
      <c r="U2037">
        <v>1</v>
      </c>
      <c r="V2037">
        <v>0</v>
      </c>
      <c r="W2037" t="s">
        <v>643</v>
      </c>
      <c r="AA2037">
        <v>2007</v>
      </c>
      <c r="AB2037">
        <v>9999</v>
      </c>
      <c r="AC2037" t="s">
        <v>35</v>
      </c>
    </row>
    <row r="2038" spans="1:29" x14ac:dyDescent="0.25">
      <c r="A2038" s="31" t="s">
        <v>667</v>
      </c>
      <c r="B2038" s="23" t="s">
        <v>1527</v>
      </c>
      <c r="D2038">
        <v>1</v>
      </c>
      <c r="E2038" t="s">
        <v>45</v>
      </c>
      <c r="F2038">
        <v>4</v>
      </c>
      <c r="G2038">
        <v>2019</v>
      </c>
      <c r="I2038" s="13">
        <v>25.1</v>
      </c>
      <c r="J2038" t="s">
        <v>121</v>
      </c>
      <c r="K2038" t="s">
        <v>47</v>
      </c>
      <c r="O2038">
        <v>0</v>
      </c>
      <c r="P2038">
        <v>0</v>
      </c>
      <c r="Q2038">
        <v>0</v>
      </c>
      <c r="R2038">
        <v>0</v>
      </c>
      <c r="S2038">
        <v>1</v>
      </c>
      <c r="T2038">
        <v>1</v>
      </c>
      <c r="U2038">
        <v>1</v>
      </c>
      <c r="V2038">
        <v>0</v>
      </c>
      <c r="W2038" t="s">
        <v>1149</v>
      </c>
      <c r="AA2038">
        <v>2007</v>
      </c>
      <c r="AB2038">
        <v>9999</v>
      </c>
      <c r="AC2038" t="s">
        <v>35</v>
      </c>
    </row>
    <row r="2039" spans="1:29" x14ac:dyDescent="0.25">
      <c r="A2039" s="31" t="s">
        <v>670</v>
      </c>
      <c r="B2039" s="23" t="s">
        <v>671</v>
      </c>
      <c r="D2039">
        <v>1</v>
      </c>
      <c r="E2039" t="s">
        <v>80</v>
      </c>
      <c r="F2039">
        <v>8</v>
      </c>
      <c r="G2039">
        <v>2019</v>
      </c>
      <c r="I2039" s="13">
        <v>243.7</v>
      </c>
      <c r="J2039" t="s">
        <v>81</v>
      </c>
      <c r="K2039" t="s">
        <v>47</v>
      </c>
      <c r="O2039">
        <v>0</v>
      </c>
      <c r="P2039">
        <v>0</v>
      </c>
      <c r="Q2039">
        <v>0</v>
      </c>
      <c r="R2039">
        <v>0</v>
      </c>
      <c r="S2039">
        <v>1</v>
      </c>
      <c r="T2039">
        <v>1</v>
      </c>
      <c r="U2039">
        <v>1</v>
      </c>
      <c r="V2039">
        <v>0</v>
      </c>
      <c r="W2039" t="s">
        <v>1498</v>
      </c>
      <c r="AA2039">
        <v>2007</v>
      </c>
      <c r="AB2039">
        <v>9999</v>
      </c>
      <c r="AC2039" t="s">
        <v>35</v>
      </c>
    </row>
    <row r="2040" spans="1:29" x14ac:dyDescent="0.25">
      <c r="A2040" s="31" t="s">
        <v>673</v>
      </c>
      <c r="B2040" s="23" t="s">
        <v>1321</v>
      </c>
      <c r="D2040">
        <v>1</v>
      </c>
      <c r="E2040" t="s">
        <v>358</v>
      </c>
      <c r="F2040">
        <v>1</v>
      </c>
      <c r="G2040">
        <v>2019</v>
      </c>
      <c r="I2040" s="13">
        <v>473.4</v>
      </c>
      <c r="J2040" t="s">
        <v>81</v>
      </c>
      <c r="K2040" t="s">
        <v>47</v>
      </c>
      <c r="O2040">
        <v>0</v>
      </c>
      <c r="P2040">
        <v>0</v>
      </c>
      <c r="Q2040">
        <v>0</v>
      </c>
      <c r="R2040">
        <v>0</v>
      </c>
      <c r="S2040">
        <v>1</v>
      </c>
      <c r="T2040">
        <v>1</v>
      </c>
      <c r="U2040">
        <v>1</v>
      </c>
      <c r="V2040">
        <v>0</v>
      </c>
      <c r="W2040" t="s">
        <v>1322</v>
      </c>
      <c r="AA2040">
        <v>2007</v>
      </c>
      <c r="AB2040">
        <v>9999</v>
      </c>
      <c r="AC2040" t="s">
        <v>35</v>
      </c>
    </row>
    <row r="2041" spans="1:29" x14ac:dyDescent="0.25">
      <c r="A2041" s="31" t="s">
        <v>676</v>
      </c>
      <c r="B2041" s="23" t="s">
        <v>677</v>
      </c>
      <c r="C2041" t="s">
        <v>678</v>
      </c>
      <c r="D2041">
        <v>1</v>
      </c>
      <c r="E2041" t="s">
        <v>168</v>
      </c>
      <c r="F2041">
        <v>1</v>
      </c>
      <c r="G2041">
        <v>2019</v>
      </c>
      <c r="I2041" s="13">
        <v>170.9</v>
      </c>
      <c r="J2041" t="s">
        <v>52</v>
      </c>
      <c r="K2041" t="s">
        <v>32</v>
      </c>
      <c r="O2041">
        <v>0</v>
      </c>
      <c r="P2041">
        <v>0</v>
      </c>
      <c r="Q2041">
        <v>0</v>
      </c>
      <c r="R2041">
        <v>0</v>
      </c>
      <c r="S2041">
        <v>1</v>
      </c>
      <c r="T2041">
        <v>1</v>
      </c>
      <c r="U2041">
        <v>1</v>
      </c>
      <c r="V2041">
        <v>0</v>
      </c>
      <c r="W2041" t="s">
        <v>1152</v>
      </c>
      <c r="AA2041">
        <v>2007</v>
      </c>
      <c r="AB2041">
        <v>9999</v>
      </c>
      <c r="AC2041" t="s">
        <v>35</v>
      </c>
    </row>
    <row r="2042" spans="1:29" x14ac:dyDescent="0.25">
      <c r="A2042" s="31" t="s">
        <v>688</v>
      </c>
      <c r="B2042" s="23" t="s">
        <v>689</v>
      </c>
      <c r="D2042">
        <v>1</v>
      </c>
      <c r="E2042" t="s">
        <v>145</v>
      </c>
      <c r="F2042">
        <v>2</v>
      </c>
      <c r="G2042">
        <v>2019</v>
      </c>
      <c r="H2042" t="s">
        <v>146</v>
      </c>
      <c r="I2042" s="13">
        <v>0.02</v>
      </c>
      <c r="J2042" s="2" t="s">
        <v>147</v>
      </c>
      <c r="K2042" t="s">
        <v>41</v>
      </c>
      <c r="O2042">
        <v>0</v>
      </c>
      <c r="P2042">
        <v>0</v>
      </c>
      <c r="Q2042">
        <v>0</v>
      </c>
      <c r="R2042">
        <v>0</v>
      </c>
      <c r="S2042">
        <v>0</v>
      </c>
      <c r="T2042">
        <v>0</v>
      </c>
      <c r="U2042">
        <v>0</v>
      </c>
      <c r="V2042">
        <v>0</v>
      </c>
      <c r="W2042" t="s">
        <v>1154</v>
      </c>
      <c r="AA2042">
        <v>2007</v>
      </c>
      <c r="AB2042">
        <v>9999</v>
      </c>
      <c r="AC2042" t="s">
        <v>35</v>
      </c>
    </row>
    <row r="2043" spans="1:29" x14ac:dyDescent="0.25">
      <c r="A2043" s="31" t="s">
        <v>691</v>
      </c>
      <c r="B2043" s="23" t="s">
        <v>692</v>
      </c>
      <c r="D2043">
        <v>1</v>
      </c>
      <c r="E2043" t="s">
        <v>625</v>
      </c>
      <c r="F2043">
        <v>4</v>
      </c>
      <c r="G2043">
        <v>2019</v>
      </c>
      <c r="I2043" s="13">
        <v>19.3</v>
      </c>
      <c r="J2043" t="s">
        <v>104</v>
      </c>
      <c r="K2043" t="s">
        <v>32</v>
      </c>
      <c r="O2043">
        <v>0</v>
      </c>
      <c r="P2043">
        <v>0</v>
      </c>
      <c r="Q2043">
        <v>0</v>
      </c>
      <c r="R2043">
        <v>0</v>
      </c>
      <c r="S2043">
        <v>1</v>
      </c>
      <c r="T2043">
        <v>1</v>
      </c>
      <c r="U2043">
        <v>1</v>
      </c>
      <c r="V2043">
        <v>0</v>
      </c>
      <c r="W2043" t="s">
        <v>1155</v>
      </c>
      <c r="AA2043">
        <v>2007</v>
      </c>
      <c r="AB2043">
        <v>9999</v>
      </c>
      <c r="AC2043" t="s">
        <v>35</v>
      </c>
    </row>
    <row r="2044" spans="1:29" x14ac:dyDescent="0.25">
      <c r="A2044" s="31" t="s">
        <v>694</v>
      </c>
      <c r="B2044" s="25" t="s">
        <v>695</v>
      </c>
      <c r="C2044" t="s">
        <v>696</v>
      </c>
      <c r="D2044">
        <v>1</v>
      </c>
      <c r="E2044" t="s">
        <v>58</v>
      </c>
      <c r="F2044">
        <v>4</v>
      </c>
      <c r="G2044">
        <v>2019</v>
      </c>
      <c r="I2044" s="13">
        <v>122.1</v>
      </c>
      <c r="J2044" t="s">
        <v>59</v>
      </c>
      <c r="K2044" t="s">
        <v>47</v>
      </c>
      <c r="O2044">
        <v>0</v>
      </c>
      <c r="P2044">
        <v>0</v>
      </c>
      <c r="Q2044">
        <v>0</v>
      </c>
      <c r="R2044">
        <v>0</v>
      </c>
      <c r="S2044">
        <v>1</v>
      </c>
      <c r="T2044">
        <v>1</v>
      </c>
      <c r="U2044">
        <v>1</v>
      </c>
      <c r="V2044">
        <v>0</v>
      </c>
      <c r="W2044" t="s">
        <v>1156</v>
      </c>
      <c r="AA2044">
        <v>2007</v>
      </c>
      <c r="AB2044">
        <v>9999</v>
      </c>
      <c r="AC2044" t="s">
        <v>35</v>
      </c>
    </row>
    <row r="2045" spans="1:29" x14ac:dyDescent="0.25">
      <c r="A2045" s="31" t="s">
        <v>698</v>
      </c>
      <c r="B2045" s="23" t="s">
        <v>699</v>
      </c>
      <c r="D2045">
        <v>1</v>
      </c>
      <c r="E2045" t="s">
        <v>155</v>
      </c>
      <c r="F2045">
        <v>3</v>
      </c>
      <c r="G2045">
        <v>2019</v>
      </c>
      <c r="H2045" t="s">
        <v>700</v>
      </c>
      <c r="I2045">
        <v>3.7999999999999989</v>
      </c>
      <c r="J2045" t="s">
        <v>121</v>
      </c>
      <c r="K2045" t="s">
        <v>47</v>
      </c>
      <c r="O2045">
        <v>0</v>
      </c>
      <c r="P2045">
        <v>0</v>
      </c>
      <c r="Q2045">
        <v>0</v>
      </c>
      <c r="R2045">
        <v>0</v>
      </c>
      <c r="S2045">
        <v>1</v>
      </c>
      <c r="T2045">
        <v>0</v>
      </c>
      <c r="U2045">
        <v>0</v>
      </c>
      <c r="V2045">
        <v>1</v>
      </c>
      <c r="W2045" t="s">
        <v>1157</v>
      </c>
      <c r="AA2045">
        <v>2007</v>
      </c>
      <c r="AB2045">
        <v>9999</v>
      </c>
      <c r="AC2045" t="s">
        <v>35</v>
      </c>
    </row>
    <row r="2046" spans="1:29" x14ac:dyDescent="0.25">
      <c r="A2046" s="31" t="s">
        <v>702</v>
      </c>
      <c r="B2046" s="23" t="s">
        <v>703</v>
      </c>
      <c r="D2046">
        <v>1</v>
      </c>
      <c r="E2046" t="s">
        <v>155</v>
      </c>
      <c r="F2046">
        <v>3</v>
      </c>
      <c r="G2046">
        <v>2019</v>
      </c>
      <c r="H2046" t="s">
        <v>704</v>
      </c>
      <c r="I2046">
        <v>0.44750000000000001</v>
      </c>
      <c r="J2046" t="s">
        <v>121</v>
      </c>
      <c r="K2046" t="s">
        <v>41</v>
      </c>
      <c r="O2046">
        <v>0</v>
      </c>
      <c r="P2046">
        <v>0</v>
      </c>
      <c r="Q2046">
        <v>0</v>
      </c>
      <c r="R2046">
        <v>0</v>
      </c>
      <c r="S2046">
        <v>0</v>
      </c>
      <c r="T2046">
        <v>0</v>
      </c>
      <c r="U2046">
        <v>0</v>
      </c>
      <c r="V2046">
        <v>1</v>
      </c>
      <c r="W2046" t="s">
        <v>1158</v>
      </c>
      <c r="AA2046">
        <v>2007</v>
      </c>
      <c r="AB2046">
        <v>9999</v>
      </c>
      <c r="AC2046" t="s">
        <v>35</v>
      </c>
    </row>
    <row r="2047" spans="1:29" x14ac:dyDescent="0.25">
      <c r="A2047" s="31" t="s">
        <v>706</v>
      </c>
      <c r="B2047" s="23" t="s">
        <v>707</v>
      </c>
      <c r="C2047" t="s">
        <v>708</v>
      </c>
      <c r="D2047">
        <v>1</v>
      </c>
      <c r="E2047" t="s">
        <v>155</v>
      </c>
      <c r="F2047">
        <v>3</v>
      </c>
      <c r="G2047">
        <v>2019</v>
      </c>
      <c r="I2047" s="13">
        <v>489.7</v>
      </c>
      <c r="J2047" t="s">
        <v>121</v>
      </c>
      <c r="K2047" t="s">
        <v>47</v>
      </c>
      <c r="O2047">
        <v>0</v>
      </c>
      <c r="P2047">
        <v>0</v>
      </c>
      <c r="Q2047">
        <v>0</v>
      </c>
      <c r="R2047">
        <v>0</v>
      </c>
      <c r="S2047">
        <v>1</v>
      </c>
      <c r="T2047">
        <v>1</v>
      </c>
      <c r="U2047">
        <v>1</v>
      </c>
      <c r="V2047">
        <v>0</v>
      </c>
      <c r="W2047" t="s">
        <v>1159</v>
      </c>
      <c r="AA2047">
        <v>2007</v>
      </c>
      <c r="AB2047">
        <v>9999</v>
      </c>
      <c r="AC2047" t="s">
        <v>35</v>
      </c>
    </row>
    <row r="2048" spans="1:29" x14ac:dyDescent="0.25">
      <c r="A2048" s="31" t="s">
        <v>710</v>
      </c>
      <c r="B2048" s="23" t="s">
        <v>711</v>
      </c>
      <c r="D2048">
        <v>1</v>
      </c>
      <c r="E2048" t="s">
        <v>712</v>
      </c>
      <c r="F2048">
        <v>9</v>
      </c>
      <c r="G2048">
        <v>2019</v>
      </c>
      <c r="I2048" s="8">
        <v>109</v>
      </c>
      <c r="J2048" t="s">
        <v>104</v>
      </c>
      <c r="K2048" t="s">
        <v>41</v>
      </c>
      <c r="O2048">
        <v>0</v>
      </c>
      <c r="P2048">
        <v>0</v>
      </c>
      <c r="Q2048">
        <v>0</v>
      </c>
      <c r="R2048">
        <v>0</v>
      </c>
      <c r="S2048">
        <v>0</v>
      </c>
      <c r="T2048">
        <v>1</v>
      </c>
      <c r="U2048">
        <v>1</v>
      </c>
      <c r="V2048">
        <v>0</v>
      </c>
      <c r="W2048" t="s">
        <v>1406</v>
      </c>
      <c r="AA2048">
        <v>2007</v>
      </c>
      <c r="AB2048">
        <v>9999</v>
      </c>
      <c r="AC2048" t="s">
        <v>35</v>
      </c>
    </row>
    <row r="2049" spans="1:29" x14ac:dyDescent="0.25">
      <c r="A2049" s="31" t="s">
        <v>714</v>
      </c>
      <c r="B2049" s="23" t="s">
        <v>715</v>
      </c>
      <c r="D2049">
        <v>1</v>
      </c>
      <c r="E2049" t="s">
        <v>80</v>
      </c>
      <c r="F2049">
        <v>8</v>
      </c>
      <c r="G2049">
        <v>2019</v>
      </c>
      <c r="I2049" s="8">
        <v>56.8</v>
      </c>
      <c r="J2049" t="s">
        <v>81</v>
      </c>
      <c r="K2049" t="s">
        <v>76</v>
      </c>
      <c r="O2049">
        <v>0</v>
      </c>
      <c r="P2049">
        <v>0</v>
      </c>
      <c r="Q2049">
        <v>0</v>
      </c>
      <c r="R2049">
        <v>0</v>
      </c>
      <c r="S2049">
        <v>0</v>
      </c>
      <c r="T2049">
        <v>1</v>
      </c>
      <c r="U2049">
        <v>1</v>
      </c>
      <c r="V2049">
        <v>0</v>
      </c>
      <c r="W2049" t="s">
        <v>1323</v>
      </c>
      <c r="AA2049">
        <v>2007</v>
      </c>
      <c r="AB2049">
        <v>9999</v>
      </c>
      <c r="AC2049" t="s">
        <v>35</v>
      </c>
    </row>
    <row r="2050" spans="1:29" x14ac:dyDescent="0.25">
      <c r="A2050" s="31" t="s">
        <v>717</v>
      </c>
      <c r="B2050" s="25" t="s">
        <v>718</v>
      </c>
      <c r="D2050">
        <v>1</v>
      </c>
      <c r="E2050" t="s">
        <v>51</v>
      </c>
      <c r="F2050">
        <v>1</v>
      </c>
      <c r="G2050">
        <v>2019</v>
      </c>
      <c r="I2050">
        <v>33</v>
      </c>
      <c r="J2050" t="s">
        <v>52</v>
      </c>
      <c r="K2050" t="s">
        <v>53</v>
      </c>
      <c r="L2050" t="s">
        <v>54</v>
      </c>
      <c r="O2050">
        <v>0</v>
      </c>
      <c r="P2050">
        <v>0</v>
      </c>
      <c r="Q2050">
        <v>1</v>
      </c>
      <c r="R2050">
        <v>0</v>
      </c>
      <c r="S2050">
        <v>0</v>
      </c>
      <c r="T2050">
        <v>0</v>
      </c>
      <c r="U2050">
        <v>1</v>
      </c>
      <c r="V2050">
        <v>0</v>
      </c>
      <c r="W2050" t="s">
        <v>55</v>
      </c>
      <c r="AA2050">
        <v>2007</v>
      </c>
      <c r="AB2050">
        <v>9999</v>
      </c>
      <c r="AC2050" t="s">
        <v>35</v>
      </c>
    </row>
    <row r="2051" spans="1:29" x14ac:dyDescent="0.25">
      <c r="A2051" s="31" t="s">
        <v>719</v>
      </c>
      <c r="B2051" s="25" t="s">
        <v>720</v>
      </c>
      <c r="D2051">
        <v>1</v>
      </c>
      <c r="E2051" t="s">
        <v>51</v>
      </c>
      <c r="F2051">
        <v>1</v>
      </c>
      <c r="G2051">
        <v>2019</v>
      </c>
      <c r="I2051">
        <v>32</v>
      </c>
      <c r="J2051" t="s">
        <v>52</v>
      </c>
      <c r="K2051" t="s">
        <v>53</v>
      </c>
      <c r="L2051" t="s">
        <v>54</v>
      </c>
      <c r="O2051">
        <v>0</v>
      </c>
      <c r="P2051">
        <v>0</v>
      </c>
      <c r="Q2051">
        <v>1</v>
      </c>
      <c r="R2051">
        <v>0</v>
      </c>
      <c r="S2051">
        <v>0</v>
      </c>
      <c r="T2051">
        <v>0</v>
      </c>
      <c r="U2051">
        <v>1</v>
      </c>
      <c r="V2051">
        <v>0</v>
      </c>
      <c r="W2051" t="s">
        <v>721</v>
      </c>
      <c r="AA2051">
        <v>2007</v>
      </c>
      <c r="AB2051">
        <v>9999</v>
      </c>
      <c r="AC2051" t="s">
        <v>35</v>
      </c>
    </row>
    <row r="2052" spans="1:29" x14ac:dyDescent="0.25">
      <c r="A2052" s="31" t="s">
        <v>722</v>
      </c>
      <c r="B2052" s="23" t="s">
        <v>723</v>
      </c>
      <c r="D2052">
        <v>1</v>
      </c>
      <c r="E2052" t="s">
        <v>724</v>
      </c>
      <c r="F2052">
        <v>4</v>
      </c>
      <c r="G2052">
        <v>2019</v>
      </c>
      <c r="I2052" s="8">
        <v>1178.7</v>
      </c>
      <c r="J2052" t="s">
        <v>89</v>
      </c>
      <c r="K2052" t="s">
        <v>32</v>
      </c>
      <c r="L2052" t="s">
        <v>33</v>
      </c>
      <c r="O2052">
        <v>0</v>
      </c>
      <c r="P2052">
        <v>0</v>
      </c>
      <c r="Q2052">
        <v>0</v>
      </c>
      <c r="R2052">
        <v>1</v>
      </c>
      <c r="S2052">
        <v>1</v>
      </c>
      <c r="T2052">
        <v>1</v>
      </c>
      <c r="U2052">
        <v>1</v>
      </c>
      <c r="V2052">
        <v>0</v>
      </c>
      <c r="W2052" t="s">
        <v>1161</v>
      </c>
      <c r="AA2052">
        <v>2007</v>
      </c>
      <c r="AB2052">
        <v>9999</v>
      </c>
      <c r="AC2052" t="s">
        <v>35</v>
      </c>
    </row>
    <row r="2053" spans="1:29" x14ac:dyDescent="0.25">
      <c r="A2053" s="31" t="s">
        <v>726</v>
      </c>
      <c r="B2053" s="23" t="s">
        <v>727</v>
      </c>
      <c r="D2053">
        <v>1</v>
      </c>
      <c r="E2053" t="s">
        <v>85</v>
      </c>
      <c r="F2053">
        <v>1</v>
      </c>
      <c r="G2053">
        <v>2019</v>
      </c>
      <c r="H2053" t="s">
        <v>205</v>
      </c>
      <c r="I2053">
        <v>12.75</v>
      </c>
      <c r="J2053" t="s">
        <v>52</v>
      </c>
      <c r="K2053" t="s">
        <v>41</v>
      </c>
      <c r="O2053">
        <v>0</v>
      </c>
      <c r="P2053">
        <v>0</v>
      </c>
      <c r="Q2053">
        <v>0</v>
      </c>
      <c r="R2053">
        <v>0</v>
      </c>
      <c r="S2053">
        <v>0</v>
      </c>
      <c r="T2053">
        <v>0</v>
      </c>
      <c r="U2053">
        <v>0</v>
      </c>
      <c r="V2053">
        <v>0</v>
      </c>
      <c r="W2053" t="s">
        <v>1162</v>
      </c>
      <c r="AA2053">
        <v>2007</v>
      </c>
      <c r="AB2053">
        <v>9999</v>
      </c>
      <c r="AC2053" t="s">
        <v>35</v>
      </c>
    </row>
    <row r="2054" spans="1:29" x14ac:dyDescent="0.25">
      <c r="A2054" s="31" t="s">
        <v>729</v>
      </c>
      <c r="B2054" s="23" t="s">
        <v>205</v>
      </c>
      <c r="D2054">
        <v>1</v>
      </c>
      <c r="E2054" t="s">
        <v>168</v>
      </c>
      <c r="F2054">
        <v>1</v>
      </c>
      <c r="G2054">
        <v>2019</v>
      </c>
      <c r="I2054" s="8">
        <v>9733.9</v>
      </c>
      <c r="J2054" t="s">
        <v>52</v>
      </c>
      <c r="K2054" t="s">
        <v>32</v>
      </c>
      <c r="O2054">
        <v>0</v>
      </c>
      <c r="P2054">
        <v>0</v>
      </c>
      <c r="Q2054">
        <v>0</v>
      </c>
      <c r="R2054">
        <v>0</v>
      </c>
      <c r="S2054">
        <v>1</v>
      </c>
      <c r="T2054">
        <v>1</v>
      </c>
      <c r="U2054">
        <v>1</v>
      </c>
      <c r="V2054">
        <v>0</v>
      </c>
      <c r="W2054" t="s">
        <v>1555</v>
      </c>
      <c r="AA2054">
        <v>2007</v>
      </c>
      <c r="AB2054">
        <v>9999</v>
      </c>
      <c r="AC2054" t="s">
        <v>35</v>
      </c>
    </row>
    <row r="2055" spans="1:29" x14ac:dyDescent="0.25">
      <c r="A2055" s="31" t="s">
        <v>731</v>
      </c>
      <c r="B2055" s="23" t="s">
        <v>732</v>
      </c>
      <c r="D2055">
        <v>1</v>
      </c>
      <c r="E2055" t="s">
        <v>51</v>
      </c>
      <c r="F2055">
        <v>10</v>
      </c>
      <c r="G2055">
        <v>2019</v>
      </c>
      <c r="H2055" t="s">
        <v>39</v>
      </c>
      <c r="I2055">
        <v>1.2</v>
      </c>
      <c r="J2055" t="s">
        <v>52</v>
      </c>
      <c r="K2055" t="s">
        <v>41</v>
      </c>
      <c r="O2055">
        <v>0</v>
      </c>
      <c r="P2055">
        <v>0</v>
      </c>
      <c r="Q2055">
        <v>0</v>
      </c>
      <c r="R2055">
        <v>0</v>
      </c>
      <c r="S2055">
        <v>0</v>
      </c>
      <c r="T2055">
        <v>0</v>
      </c>
      <c r="U2055">
        <v>0</v>
      </c>
      <c r="V2055">
        <v>0</v>
      </c>
      <c r="W2055" t="s">
        <v>1164</v>
      </c>
      <c r="AA2055">
        <v>2007</v>
      </c>
      <c r="AB2055">
        <v>9999</v>
      </c>
      <c r="AC2055" t="s">
        <v>35</v>
      </c>
    </row>
    <row r="2056" spans="1:29" x14ac:dyDescent="0.25">
      <c r="A2056" s="31" t="s">
        <v>734</v>
      </c>
      <c r="B2056" s="23" t="s">
        <v>735</v>
      </c>
      <c r="D2056">
        <v>1</v>
      </c>
      <c r="E2056" t="s">
        <v>736</v>
      </c>
      <c r="F2056">
        <v>4</v>
      </c>
      <c r="G2056">
        <v>2019</v>
      </c>
      <c r="I2056" s="8">
        <v>767.9</v>
      </c>
      <c r="J2056" t="s">
        <v>89</v>
      </c>
      <c r="K2056" t="s">
        <v>32</v>
      </c>
      <c r="O2056">
        <v>0</v>
      </c>
      <c r="P2056">
        <v>0</v>
      </c>
      <c r="Q2056">
        <v>0</v>
      </c>
      <c r="R2056">
        <v>0</v>
      </c>
      <c r="S2056">
        <v>1</v>
      </c>
      <c r="T2056">
        <v>1</v>
      </c>
      <c r="U2056">
        <v>1</v>
      </c>
      <c r="V2056">
        <v>0</v>
      </c>
      <c r="W2056" t="s">
        <v>1324</v>
      </c>
      <c r="AA2056">
        <v>2007</v>
      </c>
      <c r="AB2056">
        <v>9999</v>
      </c>
      <c r="AC2056" t="s">
        <v>35</v>
      </c>
    </row>
    <row r="2057" spans="1:29" x14ac:dyDescent="0.25">
      <c r="A2057" s="31" t="s">
        <v>1499</v>
      </c>
      <c r="B2057" s="23" t="s">
        <v>1500</v>
      </c>
      <c r="D2057">
        <v>1</v>
      </c>
      <c r="E2057" s="4">
        <v>960</v>
      </c>
      <c r="F2057">
        <v>9</v>
      </c>
      <c r="G2057">
        <v>2019</v>
      </c>
      <c r="I2057" s="8">
        <v>15.5</v>
      </c>
      <c r="J2057" t="s">
        <v>104</v>
      </c>
      <c r="K2057" t="s">
        <v>47</v>
      </c>
      <c r="O2057">
        <v>0</v>
      </c>
      <c r="P2057">
        <v>0</v>
      </c>
      <c r="Q2057">
        <v>0</v>
      </c>
      <c r="R2057">
        <v>0</v>
      </c>
      <c r="S2057">
        <v>1</v>
      </c>
      <c r="T2057">
        <v>1</v>
      </c>
      <c r="U2057">
        <v>1</v>
      </c>
      <c r="V2057">
        <v>0</v>
      </c>
      <c r="W2057" t="s">
        <v>1501</v>
      </c>
      <c r="AA2057">
        <v>2015</v>
      </c>
      <c r="AB2057">
        <v>9999</v>
      </c>
      <c r="AC2057" t="s">
        <v>1475</v>
      </c>
    </row>
    <row r="2058" spans="1:29" x14ac:dyDescent="0.25">
      <c r="A2058" s="31" t="s">
        <v>738</v>
      </c>
      <c r="B2058" s="23" t="s">
        <v>739</v>
      </c>
      <c r="D2058">
        <v>1</v>
      </c>
      <c r="E2058" t="s">
        <v>128</v>
      </c>
      <c r="F2058">
        <v>9</v>
      </c>
      <c r="G2058">
        <v>2019</v>
      </c>
      <c r="H2058" t="s">
        <v>1502</v>
      </c>
      <c r="I2058">
        <v>5.2</v>
      </c>
      <c r="J2058" t="s">
        <v>104</v>
      </c>
      <c r="K2058" t="s">
        <v>41</v>
      </c>
      <c r="O2058">
        <v>0</v>
      </c>
      <c r="P2058">
        <v>0</v>
      </c>
      <c r="Q2058">
        <v>0</v>
      </c>
      <c r="R2058">
        <v>0</v>
      </c>
      <c r="S2058">
        <v>0</v>
      </c>
      <c r="T2058">
        <v>0</v>
      </c>
      <c r="U2058">
        <v>0</v>
      </c>
      <c r="V2058">
        <v>0</v>
      </c>
      <c r="W2058" t="s">
        <v>1166</v>
      </c>
      <c r="AA2058">
        <v>2007</v>
      </c>
      <c r="AB2058">
        <v>9999</v>
      </c>
      <c r="AC2058" t="s">
        <v>35</v>
      </c>
    </row>
    <row r="2059" spans="1:29" x14ac:dyDescent="0.25">
      <c r="A2059" s="31" t="s">
        <v>745</v>
      </c>
      <c r="B2059" s="23" t="s">
        <v>746</v>
      </c>
      <c r="D2059">
        <v>1</v>
      </c>
      <c r="E2059" t="s">
        <v>468</v>
      </c>
      <c r="F2059">
        <v>7</v>
      </c>
      <c r="G2059">
        <v>2019</v>
      </c>
      <c r="I2059" s="8">
        <v>675.8</v>
      </c>
      <c r="J2059" t="s">
        <v>40</v>
      </c>
      <c r="K2059" t="s">
        <v>32</v>
      </c>
      <c r="O2059">
        <v>0</v>
      </c>
      <c r="P2059">
        <v>0</v>
      </c>
      <c r="Q2059">
        <v>0</v>
      </c>
      <c r="R2059">
        <v>0</v>
      </c>
      <c r="S2059">
        <v>1</v>
      </c>
      <c r="T2059">
        <v>1</v>
      </c>
      <c r="U2059">
        <v>1</v>
      </c>
      <c r="V2059">
        <v>0</v>
      </c>
      <c r="W2059" t="s">
        <v>1516</v>
      </c>
      <c r="AA2059">
        <v>2007</v>
      </c>
      <c r="AB2059">
        <v>9999</v>
      </c>
      <c r="AC2059" t="s">
        <v>35</v>
      </c>
    </row>
    <row r="2060" spans="1:29" x14ac:dyDescent="0.25">
      <c r="A2060" s="31" t="s">
        <v>1263</v>
      </c>
      <c r="B2060" s="23" t="s">
        <v>1264</v>
      </c>
      <c r="C2060" t="s">
        <v>1265</v>
      </c>
      <c r="D2060">
        <v>1</v>
      </c>
      <c r="E2060" t="s">
        <v>712</v>
      </c>
      <c r="F2060">
        <v>9</v>
      </c>
      <c r="G2060">
        <v>2019</v>
      </c>
      <c r="I2060" s="8">
        <v>1054.5999999999999</v>
      </c>
      <c r="J2060" t="s">
        <v>104</v>
      </c>
      <c r="K2060" t="s">
        <v>47</v>
      </c>
      <c r="O2060">
        <v>0</v>
      </c>
      <c r="P2060">
        <v>0</v>
      </c>
      <c r="Q2060">
        <v>0</v>
      </c>
      <c r="R2060">
        <v>0</v>
      </c>
      <c r="S2060">
        <v>1</v>
      </c>
      <c r="T2060">
        <v>1</v>
      </c>
      <c r="U2060">
        <v>1</v>
      </c>
      <c r="V2060">
        <v>0</v>
      </c>
      <c r="W2060" t="s">
        <v>1407</v>
      </c>
      <c r="AA2060">
        <v>2009</v>
      </c>
      <c r="AB2060">
        <v>9999</v>
      </c>
      <c r="AC2060" t="s">
        <v>1239</v>
      </c>
    </row>
    <row r="2061" spans="1:29" x14ac:dyDescent="0.25">
      <c r="A2061" s="31" t="s">
        <v>447</v>
      </c>
      <c r="B2061" s="23" t="s">
        <v>1571</v>
      </c>
      <c r="D2061">
        <v>1</v>
      </c>
      <c r="E2061" t="s">
        <v>45</v>
      </c>
      <c r="F2061">
        <v>4</v>
      </c>
      <c r="G2061">
        <v>2019</v>
      </c>
      <c r="I2061" s="8">
        <v>52</v>
      </c>
      <c r="J2061" t="s">
        <v>52</v>
      </c>
      <c r="K2061" t="s">
        <v>32</v>
      </c>
      <c r="O2061">
        <v>0</v>
      </c>
      <c r="P2061">
        <v>0</v>
      </c>
      <c r="Q2061">
        <v>0</v>
      </c>
      <c r="R2061">
        <v>0</v>
      </c>
      <c r="S2061">
        <v>1</v>
      </c>
      <c r="T2061">
        <v>1</v>
      </c>
      <c r="U2061">
        <v>1</v>
      </c>
      <c r="V2061">
        <v>0</v>
      </c>
      <c r="W2061" t="s">
        <v>1572</v>
      </c>
      <c r="AA2061">
        <v>2007</v>
      </c>
      <c r="AB2061">
        <v>9999</v>
      </c>
      <c r="AC2061" t="s">
        <v>35</v>
      </c>
    </row>
    <row r="2062" spans="1:29" x14ac:dyDescent="0.25">
      <c r="A2062" s="31" t="s">
        <v>754</v>
      </c>
      <c r="B2062" s="23" t="s">
        <v>755</v>
      </c>
      <c r="D2062">
        <v>1</v>
      </c>
      <c r="E2062" t="s">
        <v>85</v>
      </c>
      <c r="F2062">
        <v>1</v>
      </c>
      <c r="G2062">
        <v>2019</v>
      </c>
      <c r="H2062" t="s">
        <v>1503</v>
      </c>
      <c r="I2062">
        <v>0.05</v>
      </c>
      <c r="J2062" t="s">
        <v>52</v>
      </c>
      <c r="K2062" t="s">
        <v>41</v>
      </c>
      <c r="O2062">
        <v>0</v>
      </c>
      <c r="P2062">
        <v>0</v>
      </c>
      <c r="Q2062">
        <v>0</v>
      </c>
      <c r="R2062">
        <v>0</v>
      </c>
      <c r="S2062">
        <v>0</v>
      </c>
      <c r="T2062">
        <v>0</v>
      </c>
      <c r="U2062">
        <v>0</v>
      </c>
      <c r="V2062">
        <v>0</v>
      </c>
      <c r="W2062" t="s">
        <v>1169</v>
      </c>
      <c r="AA2062">
        <v>2007</v>
      </c>
      <c r="AB2062">
        <v>9999</v>
      </c>
      <c r="AC2062" t="s">
        <v>35</v>
      </c>
    </row>
    <row r="2063" spans="1:29" ht="30" x14ac:dyDescent="0.25">
      <c r="A2063" s="31" t="s">
        <v>758</v>
      </c>
      <c r="B2063" s="23" t="s">
        <v>1504</v>
      </c>
      <c r="C2063" t="s">
        <v>1505</v>
      </c>
      <c r="D2063">
        <v>1</v>
      </c>
      <c r="E2063" t="s">
        <v>760</v>
      </c>
      <c r="F2063">
        <v>7</v>
      </c>
      <c r="G2063">
        <v>2019</v>
      </c>
      <c r="I2063" s="8">
        <v>70.8</v>
      </c>
      <c r="J2063" t="s">
        <v>40</v>
      </c>
      <c r="K2063" t="s">
        <v>47</v>
      </c>
      <c r="O2063">
        <v>0</v>
      </c>
      <c r="P2063">
        <v>0</v>
      </c>
      <c r="Q2063">
        <v>0</v>
      </c>
      <c r="R2063">
        <v>0</v>
      </c>
      <c r="S2063">
        <v>1</v>
      </c>
      <c r="T2063">
        <v>1</v>
      </c>
      <c r="U2063">
        <v>1</v>
      </c>
      <c r="V2063">
        <v>0</v>
      </c>
      <c r="W2063" t="s">
        <v>1170</v>
      </c>
      <c r="AA2063">
        <v>2007</v>
      </c>
      <c r="AB2063">
        <v>9999</v>
      </c>
      <c r="AC2063" t="s">
        <v>35</v>
      </c>
    </row>
    <row r="2064" spans="1:29" x14ac:dyDescent="0.25">
      <c r="A2064" s="31" t="s">
        <v>78</v>
      </c>
      <c r="B2064" s="23" t="s">
        <v>1465</v>
      </c>
      <c r="C2064" t="s">
        <v>1466</v>
      </c>
      <c r="D2064">
        <v>1</v>
      </c>
      <c r="E2064" t="s">
        <v>80</v>
      </c>
      <c r="F2064">
        <v>8</v>
      </c>
      <c r="G2064">
        <v>2019</v>
      </c>
      <c r="I2064" s="8">
        <v>36.799999999999997</v>
      </c>
      <c r="J2064" t="s">
        <v>81</v>
      </c>
      <c r="K2064" t="s">
        <v>47</v>
      </c>
      <c r="O2064">
        <v>0</v>
      </c>
      <c r="P2064">
        <v>0</v>
      </c>
      <c r="Q2064">
        <v>0</v>
      </c>
      <c r="R2064">
        <v>0</v>
      </c>
      <c r="S2064">
        <v>1</v>
      </c>
      <c r="T2064">
        <v>1</v>
      </c>
      <c r="U2064">
        <v>1</v>
      </c>
      <c r="V2064">
        <v>0</v>
      </c>
      <c r="W2064" t="s">
        <v>1467</v>
      </c>
      <c r="AA2064">
        <v>2007</v>
      </c>
      <c r="AB2064">
        <v>9999</v>
      </c>
      <c r="AC2064" t="s">
        <v>35</v>
      </c>
    </row>
    <row r="2065" spans="1:29" x14ac:dyDescent="0.25">
      <c r="A2065" s="31" t="s">
        <v>768</v>
      </c>
      <c r="B2065" s="23" t="s">
        <v>769</v>
      </c>
      <c r="C2065" t="s">
        <v>770</v>
      </c>
      <c r="D2065">
        <v>1</v>
      </c>
      <c r="E2065" t="s">
        <v>30</v>
      </c>
      <c r="F2065">
        <v>4</v>
      </c>
      <c r="G2065">
        <v>2019</v>
      </c>
      <c r="I2065" s="8">
        <v>401.2</v>
      </c>
      <c r="J2065" t="s">
        <v>1556</v>
      </c>
      <c r="K2065" t="s">
        <v>47</v>
      </c>
      <c r="O2065">
        <v>0</v>
      </c>
      <c r="P2065">
        <v>0</v>
      </c>
      <c r="Q2065">
        <v>0</v>
      </c>
      <c r="R2065">
        <v>0</v>
      </c>
      <c r="S2065">
        <v>1</v>
      </c>
      <c r="T2065">
        <v>1</v>
      </c>
      <c r="U2065">
        <v>1</v>
      </c>
      <c r="V2065">
        <v>0</v>
      </c>
      <c r="W2065" t="s">
        <v>1506</v>
      </c>
      <c r="AA2065">
        <v>2007</v>
      </c>
      <c r="AB2065">
        <v>9999</v>
      </c>
      <c r="AC2065" t="s">
        <v>35</v>
      </c>
    </row>
    <row r="2066" spans="1:29" x14ac:dyDescent="0.25">
      <c r="A2066" s="31" t="s">
        <v>772</v>
      </c>
      <c r="B2066" s="23" t="s">
        <v>773</v>
      </c>
      <c r="C2066" t="s">
        <v>774</v>
      </c>
      <c r="D2066">
        <v>1</v>
      </c>
      <c r="E2066" t="s">
        <v>358</v>
      </c>
      <c r="F2066">
        <v>1</v>
      </c>
      <c r="G2066">
        <v>2019</v>
      </c>
      <c r="I2066" s="8">
        <v>393.2</v>
      </c>
      <c r="J2066" t="s">
        <v>52</v>
      </c>
      <c r="K2066" t="s">
        <v>32</v>
      </c>
      <c r="O2066">
        <v>0</v>
      </c>
      <c r="P2066">
        <v>0</v>
      </c>
      <c r="Q2066">
        <v>0</v>
      </c>
      <c r="R2066">
        <v>0</v>
      </c>
      <c r="S2066">
        <v>1</v>
      </c>
      <c r="T2066">
        <v>1</v>
      </c>
      <c r="U2066">
        <v>1</v>
      </c>
      <c r="V2066">
        <v>0</v>
      </c>
      <c r="W2066" t="s">
        <v>1174</v>
      </c>
      <c r="AA2066">
        <v>2007</v>
      </c>
      <c r="AB2066">
        <v>9999</v>
      </c>
      <c r="AC2066" t="s">
        <v>35</v>
      </c>
    </row>
    <row r="2067" spans="1:29" x14ac:dyDescent="0.25">
      <c r="A2067" s="31" t="s">
        <v>779</v>
      </c>
      <c r="B2067" s="23" t="s">
        <v>780</v>
      </c>
      <c r="D2067">
        <v>1</v>
      </c>
      <c r="E2067" t="s">
        <v>80</v>
      </c>
      <c r="F2067">
        <v>8</v>
      </c>
      <c r="G2067">
        <v>2019</v>
      </c>
      <c r="I2067" s="8">
        <v>70.3</v>
      </c>
      <c r="J2067" t="s">
        <v>81</v>
      </c>
      <c r="K2067" t="s">
        <v>47</v>
      </c>
      <c r="O2067">
        <v>0</v>
      </c>
      <c r="P2067">
        <v>0</v>
      </c>
      <c r="Q2067">
        <v>0</v>
      </c>
      <c r="R2067">
        <v>0</v>
      </c>
      <c r="S2067">
        <v>1</v>
      </c>
      <c r="T2067">
        <v>1</v>
      </c>
      <c r="U2067">
        <v>1</v>
      </c>
      <c r="V2067">
        <v>0</v>
      </c>
      <c r="W2067" t="s">
        <v>1176</v>
      </c>
      <c r="AA2067">
        <v>2007</v>
      </c>
      <c r="AB2067">
        <v>9999</v>
      </c>
      <c r="AC2067" t="s">
        <v>35</v>
      </c>
    </row>
    <row r="2068" spans="1:29" x14ac:dyDescent="0.25">
      <c r="A2068" s="31" t="s">
        <v>782</v>
      </c>
      <c r="B2068" s="23" t="s">
        <v>783</v>
      </c>
      <c r="D2068">
        <v>1</v>
      </c>
      <c r="E2068" t="s">
        <v>784</v>
      </c>
      <c r="F2068">
        <v>6</v>
      </c>
      <c r="G2068">
        <v>2019</v>
      </c>
      <c r="I2068" s="8">
        <v>80.8</v>
      </c>
      <c r="J2068" t="s">
        <v>31</v>
      </c>
      <c r="K2068" t="s">
        <v>47</v>
      </c>
      <c r="O2068">
        <v>0</v>
      </c>
      <c r="P2068">
        <v>0</v>
      </c>
      <c r="Q2068">
        <v>0</v>
      </c>
      <c r="R2068">
        <v>0</v>
      </c>
      <c r="S2068">
        <v>1</v>
      </c>
      <c r="T2068">
        <v>1</v>
      </c>
      <c r="U2068">
        <v>1</v>
      </c>
      <c r="V2068">
        <v>0</v>
      </c>
      <c r="W2068" t="s">
        <v>1326</v>
      </c>
      <c r="AA2068">
        <v>2007</v>
      </c>
      <c r="AB2068">
        <v>9999</v>
      </c>
      <c r="AC2068" t="s">
        <v>35</v>
      </c>
    </row>
    <row r="2069" spans="1:29" x14ac:dyDescent="0.25">
      <c r="A2069" s="31" t="s">
        <v>786</v>
      </c>
      <c r="B2069" s="23" t="s">
        <v>787</v>
      </c>
      <c r="C2069" t="s">
        <v>788</v>
      </c>
      <c r="D2069">
        <v>1</v>
      </c>
      <c r="E2069" t="s">
        <v>120</v>
      </c>
      <c r="F2069">
        <v>3</v>
      </c>
      <c r="G2069">
        <v>2019</v>
      </c>
      <c r="I2069" s="8">
        <v>27.3</v>
      </c>
      <c r="J2069" t="s">
        <v>121</v>
      </c>
      <c r="K2069" t="s">
        <v>47</v>
      </c>
      <c r="O2069">
        <v>0</v>
      </c>
      <c r="P2069">
        <v>0</v>
      </c>
      <c r="Q2069">
        <v>0</v>
      </c>
      <c r="R2069">
        <v>0</v>
      </c>
      <c r="S2069">
        <v>1</v>
      </c>
      <c r="T2069">
        <v>1</v>
      </c>
      <c r="U2069">
        <v>1</v>
      </c>
      <c r="V2069">
        <v>0</v>
      </c>
      <c r="W2069" t="s">
        <v>1178</v>
      </c>
      <c r="AA2069">
        <v>2007</v>
      </c>
      <c r="AB2069">
        <v>9999</v>
      </c>
      <c r="AC2069" t="s">
        <v>35</v>
      </c>
    </row>
    <row r="2070" spans="1:29" x14ac:dyDescent="0.25">
      <c r="A2070" s="31" t="s">
        <v>790</v>
      </c>
      <c r="B2070" s="23" t="s">
        <v>791</v>
      </c>
      <c r="D2070">
        <v>1</v>
      </c>
      <c r="E2070" t="s">
        <v>80</v>
      </c>
      <c r="F2070">
        <v>8</v>
      </c>
      <c r="G2070">
        <v>2019</v>
      </c>
      <c r="I2070" s="8">
        <v>252.4</v>
      </c>
      <c r="J2070" t="s">
        <v>81</v>
      </c>
      <c r="K2070" t="s">
        <v>47</v>
      </c>
      <c r="O2070">
        <v>0</v>
      </c>
      <c r="P2070">
        <v>0</v>
      </c>
      <c r="Q2070">
        <v>0</v>
      </c>
      <c r="R2070">
        <v>0</v>
      </c>
      <c r="S2070">
        <v>1</v>
      </c>
      <c r="T2070">
        <v>1</v>
      </c>
      <c r="U2070">
        <v>1</v>
      </c>
      <c r="V2070">
        <v>0</v>
      </c>
      <c r="W2070" t="s">
        <v>1507</v>
      </c>
      <c r="AA2070">
        <v>2007</v>
      </c>
      <c r="AB2070">
        <v>9999</v>
      </c>
      <c r="AC2070" t="s">
        <v>35</v>
      </c>
    </row>
    <row r="2071" spans="1:29" ht="26.25" x14ac:dyDescent="0.25">
      <c r="A2071" s="31" t="s">
        <v>1327</v>
      </c>
      <c r="B2071" s="26" t="s">
        <v>1328</v>
      </c>
      <c r="C2071" t="s">
        <v>1329</v>
      </c>
      <c r="D2071">
        <v>1</v>
      </c>
      <c r="E2071" t="s">
        <v>218</v>
      </c>
      <c r="F2071">
        <v>2</v>
      </c>
      <c r="G2071">
        <v>2019</v>
      </c>
      <c r="I2071" s="8">
        <v>5</v>
      </c>
      <c r="J2071" t="s">
        <v>147</v>
      </c>
      <c r="K2071" t="s">
        <v>41</v>
      </c>
      <c r="O2071">
        <v>0</v>
      </c>
      <c r="P2071">
        <v>0</v>
      </c>
      <c r="Q2071">
        <v>0</v>
      </c>
      <c r="R2071">
        <v>0</v>
      </c>
      <c r="S2071">
        <v>0</v>
      </c>
      <c r="T2071">
        <v>1</v>
      </c>
      <c r="U2071">
        <v>1</v>
      </c>
      <c r="V2071">
        <v>0</v>
      </c>
      <c r="W2071" t="s">
        <v>1330</v>
      </c>
      <c r="AA2071">
        <v>2010</v>
      </c>
      <c r="AB2071">
        <v>9999</v>
      </c>
      <c r="AC2071" t="s">
        <v>1292</v>
      </c>
    </row>
    <row r="2072" spans="1:29" x14ac:dyDescent="0.25">
      <c r="A2072" s="31" t="s">
        <v>796</v>
      </c>
      <c r="B2072" s="23" t="s">
        <v>797</v>
      </c>
      <c r="C2072" t="s">
        <v>798</v>
      </c>
      <c r="D2072">
        <v>1</v>
      </c>
      <c r="E2072" t="s">
        <v>534</v>
      </c>
      <c r="F2072">
        <v>10</v>
      </c>
      <c r="G2072">
        <v>2019</v>
      </c>
      <c r="I2072" s="8">
        <v>3452</v>
      </c>
      <c r="J2072" t="s">
        <v>40</v>
      </c>
      <c r="K2072" t="s">
        <v>47</v>
      </c>
      <c r="O2072">
        <v>0</v>
      </c>
      <c r="P2072">
        <v>0</v>
      </c>
      <c r="Q2072">
        <v>0</v>
      </c>
      <c r="R2072">
        <v>0</v>
      </c>
      <c r="S2072">
        <v>1</v>
      </c>
      <c r="T2072">
        <v>1</v>
      </c>
      <c r="U2072">
        <v>1</v>
      </c>
      <c r="V2072">
        <v>0</v>
      </c>
      <c r="W2072" t="s">
        <v>1181</v>
      </c>
      <c r="AA2072">
        <v>2007</v>
      </c>
      <c r="AB2072">
        <v>9999</v>
      </c>
      <c r="AC2072" t="s">
        <v>35</v>
      </c>
    </row>
    <row r="2073" spans="1:29" x14ac:dyDescent="0.25">
      <c r="A2073" s="31" t="s">
        <v>800</v>
      </c>
      <c r="B2073" s="23" t="s">
        <v>801</v>
      </c>
      <c r="C2073" t="s">
        <v>802</v>
      </c>
      <c r="D2073">
        <v>1</v>
      </c>
      <c r="E2073" t="s">
        <v>442</v>
      </c>
      <c r="F2073">
        <v>4</v>
      </c>
      <c r="G2073">
        <v>2019</v>
      </c>
      <c r="I2073" s="8">
        <v>1464.35</v>
      </c>
      <c r="J2073" t="s">
        <v>89</v>
      </c>
      <c r="K2073" t="s">
        <v>32</v>
      </c>
      <c r="O2073">
        <v>0</v>
      </c>
      <c r="P2073">
        <v>0</v>
      </c>
      <c r="Q2073">
        <v>0</v>
      </c>
      <c r="R2073">
        <v>0</v>
      </c>
      <c r="S2073">
        <v>1</v>
      </c>
      <c r="T2073">
        <v>1</v>
      </c>
      <c r="U2073">
        <v>1</v>
      </c>
      <c r="V2073">
        <v>0</v>
      </c>
      <c r="W2073" t="s">
        <v>1331</v>
      </c>
      <c r="AA2073">
        <v>2007</v>
      </c>
      <c r="AB2073">
        <v>9999</v>
      </c>
      <c r="AC2073" t="s">
        <v>35</v>
      </c>
    </row>
    <row r="2074" spans="1:29" x14ac:dyDescent="0.25">
      <c r="A2074" s="31" t="s">
        <v>808</v>
      </c>
      <c r="B2074" s="23" t="s">
        <v>809</v>
      </c>
      <c r="D2074">
        <v>1</v>
      </c>
      <c r="E2074" t="s">
        <v>80</v>
      </c>
      <c r="F2074">
        <v>8</v>
      </c>
      <c r="G2074">
        <v>2019</v>
      </c>
      <c r="I2074" s="8">
        <v>27.3</v>
      </c>
      <c r="J2074" t="s">
        <v>81</v>
      </c>
      <c r="K2074" t="s">
        <v>47</v>
      </c>
      <c r="O2074">
        <v>0</v>
      </c>
      <c r="P2074">
        <v>0</v>
      </c>
      <c r="Q2074">
        <v>0</v>
      </c>
      <c r="R2074">
        <v>0</v>
      </c>
      <c r="S2074">
        <v>1</v>
      </c>
      <c r="T2074">
        <v>1</v>
      </c>
      <c r="U2074">
        <v>1</v>
      </c>
      <c r="V2074">
        <v>0</v>
      </c>
      <c r="W2074" t="s">
        <v>1184</v>
      </c>
      <c r="AA2074">
        <v>2007</v>
      </c>
      <c r="AB2074">
        <v>9999</v>
      </c>
      <c r="AC2074" t="s">
        <v>35</v>
      </c>
    </row>
    <row r="2075" spans="1:29" x14ac:dyDescent="0.25">
      <c r="A2075" s="31" t="s">
        <v>814</v>
      </c>
      <c r="B2075" s="23" t="s">
        <v>815</v>
      </c>
      <c r="D2075">
        <v>1</v>
      </c>
      <c r="E2075" t="s">
        <v>80</v>
      </c>
      <c r="F2075">
        <v>8</v>
      </c>
      <c r="G2075">
        <v>2019</v>
      </c>
      <c r="I2075" s="13">
        <v>91.9</v>
      </c>
      <c r="J2075" t="s">
        <v>81</v>
      </c>
      <c r="K2075" t="s">
        <v>32</v>
      </c>
      <c r="O2075">
        <v>0</v>
      </c>
      <c r="P2075">
        <v>0</v>
      </c>
      <c r="Q2075">
        <v>0</v>
      </c>
      <c r="R2075">
        <v>0</v>
      </c>
      <c r="S2075">
        <v>1</v>
      </c>
      <c r="T2075">
        <v>1</v>
      </c>
      <c r="U2075">
        <v>1</v>
      </c>
      <c r="V2075">
        <v>0</v>
      </c>
      <c r="W2075" t="s">
        <v>1432</v>
      </c>
      <c r="AA2075">
        <v>2007</v>
      </c>
      <c r="AB2075">
        <v>9999</v>
      </c>
      <c r="AC2075" t="s">
        <v>35</v>
      </c>
    </row>
    <row r="2076" spans="1:29" x14ac:dyDescent="0.25">
      <c r="A2076" s="31" t="s">
        <v>822</v>
      </c>
      <c r="B2076" s="23" t="s">
        <v>823</v>
      </c>
      <c r="D2076">
        <v>1</v>
      </c>
      <c r="E2076" t="s">
        <v>80</v>
      </c>
      <c r="F2076">
        <v>8</v>
      </c>
      <c r="G2076">
        <v>2019</v>
      </c>
      <c r="I2076" s="13">
        <v>235.8</v>
      </c>
      <c r="J2076" t="s">
        <v>81</v>
      </c>
      <c r="K2076" t="s">
        <v>47</v>
      </c>
      <c r="O2076">
        <v>0</v>
      </c>
      <c r="P2076">
        <v>0</v>
      </c>
      <c r="Q2076">
        <v>0</v>
      </c>
      <c r="R2076">
        <v>0</v>
      </c>
      <c r="S2076">
        <v>1</v>
      </c>
      <c r="T2076">
        <v>1</v>
      </c>
      <c r="U2076">
        <v>1</v>
      </c>
      <c r="V2076">
        <v>0</v>
      </c>
      <c r="W2076" t="s">
        <v>1187</v>
      </c>
      <c r="AA2076">
        <v>2007</v>
      </c>
      <c r="AB2076">
        <v>9999</v>
      </c>
      <c r="AC2076" t="s">
        <v>35</v>
      </c>
    </row>
    <row r="2077" spans="1:29" x14ac:dyDescent="0.25">
      <c r="A2077" s="31" t="s">
        <v>1374</v>
      </c>
      <c r="B2077" s="23" t="s">
        <v>1375</v>
      </c>
      <c r="D2077">
        <v>1</v>
      </c>
      <c r="E2077" t="s">
        <v>80</v>
      </c>
      <c r="F2077">
        <v>8</v>
      </c>
      <c r="G2077">
        <v>2019</v>
      </c>
      <c r="I2077" s="13">
        <v>17.2</v>
      </c>
      <c r="J2077" t="s">
        <v>81</v>
      </c>
      <c r="K2077" t="s">
        <v>47</v>
      </c>
      <c r="O2077">
        <v>0</v>
      </c>
      <c r="P2077">
        <v>0</v>
      </c>
      <c r="Q2077">
        <v>0</v>
      </c>
      <c r="R2077">
        <v>0</v>
      </c>
      <c r="S2077">
        <v>1</v>
      </c>
      <c r="T2077">
        <v>1</v>
      </c>
      <c r="U2077">
        <v>1</v>
      </c>
      <c r="V2077">
        <v>0</v>
      </c>
      <c r="W2077" t="s">
        <v>1376</v>
      </c>
      <c r="AA2077">
        <v>2011</v>
      </c>
      <c r="AB2077">
        <v>2023</v>
      </c>
      <c r="AC2077" t="s">
        <v>1377</v>
      </c>
    </row>
    <row r="2078" spans="1:29" x14ac:dyDescent="0.25">
      <c r="A2078" s="31" t="s">
        <v>825</v>
      </c>
      <c r="B2078" s="23" t="s">
        <v>826</v>
      </c>
      <c r="D2078">
        <v>1</v>
      </c>
      <c r="E2078" t="s">
        <v>80</v>
      </c>
      <c r="F2078">
        <v>8</v>
      </c>
      <c r="G2078">
        <v>2019</v>
      </c>
      <c r="I2078" s="13">
        <v>134.69999999999999</v>
      </c>
      <c r="J2078" t="s">
        <v>81</v>
      </c>
      <c r="K2078" t="s">
        <v>47</v>
      </c>
      <c r="O2078">
        <v>0</v>
      </c>
      <c r="P2078">
        <v>0</v>
      </c>
      <c r="Q2078">
        <v>0</v>
      </c>
      <c r="R2078">
        <v>0</v>
      </c>
      <c r="S2078">
        <v>1</v>
      </c>
      <c r="T2078">
        <v>1</v>
      </c>
      <c r="U2078">
        <v>1</v>
      </c>
      <c r="V2078">
        <v>0</v>
      </c>
      <c r="W2078" t="s">
        <v>1188</v>
      </c>
      <c r="AA2078">
        <v>2007</v>
      </c>
      <c r="AB2078">
        <v>9999</v>
      </c>
      <c r="AC2078" t="s">
        <v>35</v>
      </c>
    </row>
    <row r="2079" spans="1:29" x14ac:dyDescent="0.25">
      <c r="A2079" s="31" t="s">
        <v>828</v>
      </c>
      <c r="B2079" s="25" t="s">
        <v>1408</v>
      </c>
      <c r="C2079" t="s">
        <v>1409</v>
      </c>
      <c r="D2079">
        <v>1</v>
      </c>
      <c r="E2079" t="s">
        <v>80</v>
      </c>
      <c r="F2079">
        <v>8</v>
      </c>
      <c r="G2079">
        <v>2019</v>
      </c>
      <c r="I2079" s="13">
        <v>74.3</v>
      </c>
      <c r="J2079" t="s">
        <v>81</v>
      </c>
      <c r="K2079" t="s">
        <v>47</v>
      </c>
      <c r="O2079">
        <v>0</v>
      </c>
      <c r="P2079">
        <v>0</v>
      </c>
      <c r="Q2079">
        <v>0</v>
      </c>
      <c r="R2079">
        <v>0</v>
      </c>
      <c r="S2079">
        <v>1</v>
      </c>
      <c r="T2079">
        <v>1</v>
      </c>
      <c r="U2079">
        <v>1</v>
      </c>
      <c r="V2079">
        <v>0</v>
      </c>
      <c r="W2079" t="s">
        <v>1410</v>
      </c>
      <c r="AA2079">
        <v>2007</v>
      </c>
      <c r="AB2079">
        <v>9999</v>
      </c>
      <c r="AC2079" t="s">
        <v>35</v>
      </c>
    </row>
    <row r="2080" spans="1:29" x14ac:dyDescent="0.25">
      <c r="A2080" s="31" t="s">
        <v>831</v>
      </c>
      <c r="B2080" s="23" t="s">
        <v>832</v>
      </c>
      <c r="C2080" t="s">
        <v>833</v>
      </c>
      <c r="D2080">
        <v>1</v>
      </c>
      <c r="E2080" t="s">
        <v>38</v>
      </c>
      <c r="F2080">
        <v>4</v>
      </c>
      <c r="G2080">
        <v>2019</v>
      </c>
      <c r="H2080" t="s">
        <v>906</v>
      </c>
      <c r="I2080" s="13">
        <v>0.05</v>
      </c>
      <c r="J2080" t="s">
        <v>59</v>
      </c>
      <c r="K2080" t="s">
        <v>41</v>
      </c>
      <c r="O2080">
        <v>0</v>
      </c>
      <c r="P2080">
        <v>0</v>
      </c>
      <c r="Q2080">
        <v>0</v>
      </c>
      <c r="R2080">
        <v>0</v>
      </c>
      <c r="S2080">
        <v>0</v>
      </c>
      <c r="T2080">
        <v>0</v>
      </c>
      <c r="U2080">
        <v>0</v>
      </c>
      <c r="V2080">
        <v>0</v>
      </c>
      <c r="W2080" t="s">
        <v>1190</v>
      </c>
      <c r="AA2080">
        <v>2007</v>
      </c>
      <c r="AB2080">
        <v>9999</v>
      </c>
      <c r="AC2080" t="s">
        <v>35</v>
      </c>
    </row>
    <row r="2081" spans="1:29" x14ac:dyDescent="0.25">
      <c r="A2081" s="31" t="s">
        <v>1433</v>
      </c>
      <c r="B2081" s="23" t="s">
        <v>1434</v>
      </c>
      <c r="D2081">
        <v>1</v>
      </c>
      <c r="E2081" s="4">
        <v>133</v>
      </c>
      <c r="F2081">
        <v>1</v>
      </c>
      <c r="G2081">
        <v>2019</v>
      </c>
      <c r="I2081" s="13">
        <v>456.9</v>
      </c>
      <c r="J2081" t="s">
        <v>52</v>
      </c>
      <c r="K2081" t="s">
        <v>32</v>
      </c>
      <c r="O2081">
        <v>0</v>
      </c>
      <c r="P2081">
        <v>0</v>
      </c>
      <c r="Q2081">
        <v>0</v>
      </c>
      <c r="R2081">
        <v>0</v>
      </c>
      <c r="S2081">
        <v>1</v>
      </c>
      <c r="T2081">
        <v>1</v>
      </c>
      <c r="U2081">
        <v>1</v>
      </c>
      <c r="V2081">
        <v>0</v>
      </c>
      <c r="W2081" t="s">
        <v>1435</v>
      </c>
      <c r="AA2081">
        <v>2013</v>
      </c>
      <c r="AB2081">
        <v>9999</v>
      </c>
      <c r="AC2081" t="s">
        <v>1419</v>
      </c>
    </row>
    <row r="2082" spans="1:29" x14ac:dyDescent="0.25">
      <c r="A2082" s="31" t="s">
        <v>1194</v>
      </c>
      <c r="B2082" s="23" t="s">
        <v>1195</v>
      </c>
      <c r="D2082">
        <v>1</v>
      </c>
      <c r="E2082" t="s">
        <v>85</v>
      </c>
      <c r="F2082">
        <v>1</v>
      </c>
      <c r="G2082">
        <v>2019</v>
      </c>
      <c r="H2082" t="s">
        <v>39</v>
      </c>
      <c r="I2082" s="13">
        <v>0.25</v>
      </c>
      <c r="J2082" t="s">
        <v>52</v>
      </c>
      <c r="K2082" t="s">
        <v>41</v>
      </c>
      <c r="O2082">
        <v>0</v>
      </c>
      <c r="P2082">
        <v>0</v>
      </c>
      <c r="Q2082">
        <v>0</v>
      </c>
      <c r="R2082">
        <v>0</v>
      </c>
      <c r="S2082">
        <v>0</v>
      </c>
      <c r="T2082">
        <v>0</v>
      </c>
      <c r="U2082">
        <v>0</v>
      </c>
      <c r="V2082">
        <v>0</v>
      </c>
      <c r="W2082" t="s">
        <v>1267</v>
      </c>
      <c r="AA2082">
        <v>2008</v>
      </c>
      <c r="AB2082">
        <v>9999</v>
      </c>
      <c r="AC2082" t="s">
        <v>1054</v>
      </c>
    </row>
    <row r="2083" spans="1:29" x14ac:dyDescent="0.25">
      <c r="A2083" s="31" t="s">
        <v>1268</v>
      </c>
      <c r="B2083" s="23" t="s">
        <v>1262</v>
      </c>
      <c r="D2083">
        <v>1</v>
      </c>
      <c r="E2083" t="s">
        <v>300</v>
      </c>
      <c r="F2083">
        <v>9</v>
      </c>
      <c r="G2083">
        <v>2019</v>
      </c>
      <c r="I2083" s="13">
        <v>406.9</v>
      </c>
      <c r="J2083" t="s">
        <v>104</v>
      </c>
      <c r="K2083" t="s">
        <v>47</v>
      </c>
      <c r="O2083">
        <v>0</v>
      </c>
      <c r="P2083">
        <v>0</v>
      </c>
      <c r="Q2083">
        <v>0</v>
      </c>
      <c r="R2083">
        <v>0</v>
      </c>
      <c r="S2083">
        <v>1</v>
      </c>
      <c r="T2083">
        <v>1</v>
      </c>
      <c r="U2083">
        <v>1</v>
      </c>
      <c r="V2083">
        <v>0</v>
      </c>
      <c r="W2083" t="s">
        <v>1411</v>
      </c>
      <c r="AA2083">
        <v>2009</v>
      </c>
      <c r="AB2083">
        <v>9999</v>
      </c>
      <c r="AC2083" t="s">
        <v>1239</v>
      </c>
    </row>
    <row r="2084" spans="1:29" x14ac:dyDescent="0.25">
      <c r="A2084" s="31" t="s">
        <v>845</v>
      </c>
      <c r="B2084" s="23" t="s">
        <v>846</v>
      </c>
      <c r="C2084" t="s">
        <v>847</v>
      </c>
      <c r="D2084">
        <v>1</v>
      </c>
      <c r="E2084" t="s">
        <v>300</v>
      </c>
      <c r="F2084">
        <v>9</v>
      </c>
      <c r="G2084">
        <v>2019</v>
      </c>
      <c r="I2084" s="13">
        <v>657.1</v>
      </c>
      <c r="J2084" t="s">
        <v>104</v>
      </c>
      <c r="K2084" t="s">
        <v>47</v>
      </c>
      <c r="O2084">
        <v>0</v>
      </c>
      <c r="P2084">
        <v>0</v>
      </c>
      <c r="Q2084">
        <v>0</v>
      </c>
      <c r="R2084">
        <v>0</v>
      </c>
      <c r="S2084">
        <v>1</v>
      </c>
      <c r="T2084">
        <v>1</v>
      </c>
      <c r="U2084">
        <v>1</v>
      </c>
      <c r="V2084">
        <v>0</v>
      </c>
      <c r="W2084" t="s">
        <v>1517</v>
      </c>
      <c r="AA2084">
        <v>2007</v>
      </c>
      <c r="AB2084">
        <v>9999</v>
      </c>
      <c r="AC2084" t="s">
        <v>35</v>
      </c>
    </row>
    <row r="2085" spans="1:29" x14ac:dyDescent="0.25">
      <c r="A2085" s="31" t="s">
        <v>852</v>
      </c>
      <c r="B2085" s="23" t="s">
        <v>853</v>
      </c>
      <c r="D2085">
        <v>1</v>
      </c>
      <c r="E2085" t="s">
        <v>85</v>
      </c>
      <c r="F2085">
        <v>1</v>
      </c>
      <c r="G2085">
        <v>2019</v>
      </c>
      <c r="H2085" t="s">
        <v>837</v>
      </c>
      <c r="I2085" s="13">
        <v>0.03</v>
      </c>
      <c r="J2085" t="s">
        <v>52</v>
      </c>
      <c r="K2085" t="s">
        <v>41</v>
      </c>
      <c r="O2085">
        <v>0</v>
      </c>
      <c r="P2085">
        <v>0</v>
      </c>
      <c r="Q2085">
        <v>0</v>
      </c>
      <c r="R2085">
        <v>0</v>
      </c>
      <c r="S2085">
        <v>0</v>
      </c>
      <c r="T2085">
        <v>0</v>
      </c>
      <c r="U2085">
        <v>0</v>
      </c>
      <c r="V2085">
        <v>0</v>
      </c>
      <c r="W2085" t="s">
        <v>1191</v>
      </c>
      <c r="AA2085">
        <v>2007</v>
      </c>
      <c r="AB2085">
        <v>9999</v>
      </c>
      <c r="AC2085" t="s">
        <v>35</v>
      </c>
    </row>
    <row r="2086" spans="1:29" x14ac:dyDescent="0.25">
      <c r="A2086" s="31" t="s">
        <v>836</v>
      </c>
      <c r="B2086" s="23" t="s">
        <v>1413</v>
      </c>
      <c r="D2086">
        <v>1</v>
      </c>
      <c r="E2086" t="s">
        <v>64</v>
      </c>
      <c r="F2086">
        <v>1</v>
      </c>
      <c r="G2086">
        <v>2019</v>
      </c>
      <c r="I2086" s="13">
        <v>234.37</v>
      </c>
      <c r="J2086" t="s">
        <v>52</v>
      </c>
      <c r="K2086" t="s">
        <v>32</v>
      </c>
      <c r="O2086">
        <v>0</v>
      </c>
      <c r="P2086">
        <v>0</v>
      </c>
      <c r="Q2086">
        <v>0</v>
      </c>
      <c r="R2086">
        <v>0</v>
      </c>
      <c r="S2086">
        <v>1</v>
      </c>
      <c r="T2086">
        <v>1</v>
      </c>
      <c r="U2086">
        <v>1</v>
      </c>
      <c r="V2086">
        <v>0</v>
      </c>
      <c r="W2086" t="s">
        <v>1191</v>
      </c>
      <c r="AA2086">
        <v>2007</v>
      </c>
      <c r="AB2086">
        <v>9999</v>
      </c>
      <c r="AC2086" t="s">
        <v>35</v>
      </c>
    </row>
    <row r="2087" spans="1:29" x14ac:dyDescent="0.25">
      <c r="A2087" s="31" t="s">
        <v>862</v>
      </c>
      <c r="B2087" s="23" t="s">
        <v>863</v>
      </c>
      <c r="C2087" t="s">
        <v>864</v>
      </c>
      <c r="D2087">
        <v>1</v>
      </c>
      <c r="E2087" t="s">
        <v>442</v>
      </c>
      <c r="F2087">
        <v>4</v>
      </c>
      <c r="G2087">
        <v>2019</v>
      </c>
      <c r="I2087" s="13">
        <v>328.3</v>
      </c>
      <c r="J2087" t="s">
        <v>89</v>
      </c>
      <c r="K2087" t="s">
        <v>47</v>
      </c>
      <c r="O2087">
        <v>0</v>
      </c>
      <c r="P2087">
        <v>0</v>
      </c>
      <c r="Q2087">
        <v>0</v>
      </c>
      <c r="R2087">
        <v>0</v>
      </c>
      <c r="S2087">
        <v>1</v>
      </c>
      <c r="T2087">
        <v>1</v>
      </c>
      <c r="U2087">
        <v>1</v>
      </c>
      <c r="V2087">
        <v>0</v>
      </c>
      <c r="W2087" t="s">
        <v>1334</v>
      </c>
      <c r="AA2087">
        <v>2007</v>
      </c>
      <c r="AB2087">
        <v>9999</v>
      </c>
      <c r="AC2087" t="s">
        <v>35</v>
      </c>
    </row>
    <row r="2088" spans="1:29" x14ac:dyDescent="0.25">
      <c r="A2088" s="31" t="s">
        <v>866</v>
      </c>
      <c r="B2088" s="23" t="s">
        <v>867</v>
      </c>
      <c r="C2088" t="s">
        <v>868</v>
      </c>
      <c r="D2088">
        <v>1</v>
      </c>
      <c r="E2088" t="s">
        <v>869</v>
      </c>
      <c r="F2088">
        <v>4</v>
      </c>
      <c r="G2088">
        <v>2019</v>
      </c>
      <c r="I2088" s="13">
        <v>190.8</v>
      </c>
      <c r="J2088" t="s">
        <v>1556</v>
      </c>
      <c r="K2088" t="s">
        <v>32</v>
      </c>
      <c r="O2088">
        <v>0</v>
      </c>
      <c r="P2088">
        <v>0</v>
      </c>
      <c r="Q2088">
        <v>0</v>
      </c>
      <c r="R2088">
        <v>0</v>
      </c>
      <c r="S2088">
        <v>1</v>
      </c>
      <c r="T2088">
        <v>1</v>
      </c>
      <c r="U2088">
        <v>1</v>
      </c>
      <c r="V2088">
        <v>0</v>
      </c>
      <c r="W2088" t="s">
        <v>1199</v>
      </c>
      <c r="AA2088">
        <v>2007</v>
      </c>
      <c r="AB2088">
        <v>9999</v>
      </c>
      <c r="AC2088" t="s">
        <v>35</v>
      </c>
    </row>
    <row r="2089" spans="1:29" x14ac:dyDescent="0.25">
      <c r="A2089" s="31" t="s">
        <v>1023</v>
      </c>
      <c r="B2089" s="23" t="s">
        <v>1200</v>
      </c>
      <c r="D2089">
        <v>1</v>
      </c>
      <c r="E2089" t="s">
        <v>85</v>
      </c>
      <c r="F2089">
        <v>1</v>
      </c>
      <c r="G2089">
        <v>2019</v>
      </c>
      <c r="H2089" t="s">
        <v>39</v>
      </c>
      <c r="I2089" s="13">
        <v>5</v>
      </c>
      <c r="J2089" t="s">
        <v>52</v>
      </c>
      <c r="K2089" t="s">
        <v>41</v>
      </c>
      <c r="O2089">
        <v>0</v>
      </c>
      <c r="P2089">
        <v>0</v>
      </c>
      <c r="Q2089">
        <v>0</v>
      </c>
      <c r="R2089">
        <v>0</v>
      </c>
      <c r="S2089">
        <v>0</v>
      </c>
      <c r="T2089">
        <v>0</v>
      </c>
      <c r="U2089">
        <v>0</v>
      </c>
      <c r="V2089">
        <v>0</v>
      </c>
      <c r="W2089" t="s">
        <v>1271</v>
      </c>
      <c r="AA2089">
        <v>2007</v>
      </c>
      <c r="AB2089">
        <v>9999</v>
      </c>
      <c r="AC2089" t="s">
        <v>35</v>
      </c>
    </row>
    <row r="2090" spans="1:29" x14ac:dyDescent="0.25">
      <c r="A2090" s="31" t="s">
        <v>871</v>
      </c>
      <c r="B2090" s="23" t="s">
        <v>872</v>
      </c>
      <c r="C2090" t="s">
        <v>873</v>
      </c>
      <c r="D2090">
        <v>1</v>
      </c>
      <c r="E2090" t="s">
        <v>874</v>
      </c>
      <c r="F2090">
        <v>1</v>
      </c>
      <c r="G2090">
        <v>2019</v>
      </c>
      <c r="I2090" s="13">
        <v>1061.7</v>
      </c>
      <c r="J2090" t="s">
        <v>52</v>
      </c>
      <c r="K2090" t="s">
        <v>47</v>
      </c>
      <c r="O2090">
        <v>0</v>
      </c>
      <c r="P2090">
        <v>0</v>
      </c>
      <c r="Q2090">
        <v>0</v>
      </c>
      <c r="R2090">
        <v>0</v>
      </c>
      <c r="S2090">
        <v>1</v>
      </c>
      <c r="T2090">
        <v>1</v>
      </c>
      <c r="U2090">
        <v>1</v>
      </c>
      <c r="V2090">
        <v>0</v>
      </c>
      <c r="W2090" t="s">
        <v>1528</v>
      </c>
      <c r="AA2090">
        <v>2007</v>
      </c>
      <c r="AB2090">
        <v>9999</v>
      </c>
      <c r="AC2090" t="s">
        <v>35</v>
      </c>
    </row>
    <row r="2091" spans="1:29" x14ac:dyDescent="0.25">
      <c r="A2091" s="31" t="s">
        <v>876</v>
      </c>
      <c r="B2091" s="23" t="s">
        <v>877</v>
      </c>
      <c r="C2091" t="s">
        <v>878</v>
      </c>
      <c r="D2091">
        <v>1</v>
      </c>
      <c r="E2091" t="s">
        <v>168</v>
      </c>
      <c r="F2091">
        <v>1</v>
      </c>
      <c r="G2091">
        <v>2019</v>
      </c>
      <c r="I2091" s="13">
        <v>68</v>
      </c>
      <c r="J2091" t="s">
        <v>52</v>
      </c>
      <c r="K2091" t="s">
        <v>47</v>
      </c>
      <c r="O2091">
        <v>0</v>
      </c>
      <c r="P2091">
        <v>0</v>
      </c>
      <c r="Q2091">
        <v>0</v>
      </c>
      <c r="R2091">
        <v>0</v>
      </c>
      <c r="S2091">
        <v>1</v>
      </c>
      <c r="T2091">
        <v>1</v>
      </c>
      <c r="U2091">
        <v>1</v>
      </c>
      <c r="V2091">
        <v>0</v>
      </c>
      <c r="W2091" t="s">
        <v>1202</v>
      </c>
      <c r="AA2091">
        <v>2007</v>
      </c>
      <c r="AB2091">
        <v>9999</v>
      </c>
      <c r="AC2091" t="s">
        <v>35</v>
      </c>
    </row>
    <row r="2092" spans="1:29" x14ac:dyDescent="0.25">
      <c r="A2092" s="31" t="s">
        <v>1468</v>
      </c>
      <c r="B2092" s="24" t="s">
        <v>1469</v>
      </c>
      <c r="D2092">
        <v>1</v>
      </c>
      <c r="E2092" s="4">
        <v>941</v>
      </c>
      <c r="F2092">
        <v>9</v>
      </c>
      <c r="G2092">
        <v>2019</v>
      </c>
      <c r="I2092" s="13">
        <v>199.15</v>
      </c>
      <c r="J2092" t="s">
        <v>104</v>
      </c>
      <c r="K2092" t="s">
        <v>53</v>
      </c>
      <c r="L2092" t="s">
        <v>105</v>
      </c>
      <c r="O2092">
        <v>0</v>
      </c>
      <c r="P2092">
        <v>1</v>
      </c>
      <c r="Q2092">
        <v>0</v>
      </c>
      <c r="R2092">
        <v>0</v>
      </c>
      <c r="S2092">
        <v>1</v>
      </c>
      <c r="T2092">
        <v>1</v>
      </c>
      <c r="U2092">
        <v>1</v>
      </c>
      <c r="V2092">
        <v>0</v>
      </c>
      <c r="W2092" t="s">
        <v>106</v>
      </c>
      <c r="AA2092">
        <v>2014</v>
      </c>
      <c r="AB2092">
        <v>9999</v>
      </c>
      <c r="AC2092" t="s">
        <v>1449</v>
      </c>
    </row>
    <row r="2093" spans="1:29" x14ac:dyDescent="0.25">
      <c r="A2093" s="31" t="s">
        <v>880</v>
      </c>
      <c r="B2093" s="23" t="s">
        <v>881</v>
      </c>
      <c r="C2093" t="s">
        <v>882</v>
      </c>
      <c r="D2093">
        <v>1</v>
      </c>
      <c r="E2093" t="s">
        <v>103</v>
      </c>
      <c r="F2093">
        <v>9</v>
      </c>
      <c r="G2093">
        <v>2019</v>
      </c>
      <c r="I2093" s="13">
        <v>4942</v>
      </c>
      <c r="J2093" t="s">
        <v>104</v>
      </c>
      <c r="K2093" t="s">
        <v>53</v>
      </c>
      <c r="L2093" t="s">
        <v>105</v>
      </c>
      <c r="O2093">
        <v>0</v>
      </c>
      <c r="P2093">
        <v>1</v>
      </c>
      <c r="Q2093">
        <v>0</v>
      </c>
      <c r="R2093">
        <v>0</v>
      </c>
      <c r="S2093">
        <v>1</v>
      </c>
      <c r="T2093">
        <v>1</v>
      </c>
      <c r="U2093">
        <v>1</v>
      </c>
      <c r="V2093">
        <v>0</v>
      </c>
      <c r="W2093" t="s">
        <v>106</v>
      </c>
      <c r="AA2093">
        <v>2007</v>
      </c>
      <c r="AB2093">
        <v>9999</v>
      </c>
      <c r="AC2093" t="s">
        <v>35</v>
      </c>
    </row>
    <row r="2094" spans="1:29" x14ac:dyDescent="0.25">
      <c r="A2094" s="31" t="s">
        <v>1272</v>
      </c>
      <c r="B2094" s="23" t="s">
        <v>1273</v>
      </c>
      <c r="D2094">
        <v>1</v>
      </c>
      <c r="E2094" t="s">
        <v>1274</v>
      </c>
      <c r="F2094">
        <v>4</v>
      </c>
      <c r="G2094">
        <v>2019</v>
      </c>
      <c r="I2094" s="13">
        <v>274.3</v>
      </c>
      <c r="J2094" t="s">
        <v>31</v>
      </c>
      <c r="K2094" t="s">
        <v>47</v>
      </c>
      <c r="O2094">
        <v>0</v>
      </c>
      <c r="P2094">
        <v>0</v>
      </c>
      <c r="Q2094">
        <v>0</v>
      </c>
      <c r="R2094">
        <v>0</v>
      </c>
      <c r="S2094">
        <v>1</v>
      </c>
      <c r="T2094">
        <v>1</v>
      </c>
      <c r="U2094">
        <v>1</v>
      </c>
      <c r="V2094">
        <v>0</v>
      </c>
      <c r="W2094" t="s">
        <v>1275</v>
      </c>
      <c r="AA2094">
        <v>2009</v>
      </c>
      <c r="AB2094">
        <v>9999</v>
      </c>
      <c r="AC2094" t="s">
        <v>1239</v>
      </c>
    </row>
    <row r="2095" spans="1:29" x14ac:dyDescent="0.25">
      <c r="A2095" s="31" t="s">
        <v>883</v>
      </c>
      <c r="B2095" s="23" t="s">
        <v>884</v>
      </c>
      <c r="C2095" t="s">
        <v>885</v>
      </c>
      <c r="D2095">
        <v>1</v>
      </c>
      <c r="E2095" t="s">
        <v>45</v>
      </c>
      <c r="F2095">
        <v>4</v>
      </c>
      <c r="G2095">
        <v>2019</v>
      </c>
      <c r="I2095" s="13">
        <v>89.5</v>
      </c>
      <c r="J2095" t="s">
        <v>176</v>
      </c>
      <c r="K2095" t="s">
        <v>47</v>
      </c>
      <c r="O2095">
        <v>0</v>
      </c>
      <c r="P2095">
        <v>0</v>
      </c>
      <c r="Q2095">
        <v>0</v>
      </c>
      <c r="R2095">
        <v>0</v>
      </c>
      <c r="S2095">
        <v>1</v>
      </c>
      <c r="T2095">
        <v>1</v>
      </c>
      <c r="U2095">
        <v>1</v>
      </c>
      <c r="V2095">
        <v>0</v>
      </c>
      <c r="W2095" t="s">
        <v>1335</v>
      </c>
      <c r="AA2095">
        <v>2007</v>
      </c>
      <c r="AB2095">
        <v>9999</v>
      </c>
      <c r="AC2095" t="s">
        <v>35</v>
      </c>
    </row>
    <row r="2096" spans="1:29" x14ac:dyDescent="0.25">
      <c r="A2096" s="31" t="s">
        <v>887</v>
      </c>
      <c r="B2096" s="23" t="s">
        <v>888</v>
      </c>
      <c r="C2096" t="s">
        <v>889</v>
      </c>
      <c r="D2096">
        <v>1</v>
      </c>
      <c r="E2096" t="s">
        <v>335</v>
      </c>
      <c r="F2096">
        <v>1</v>
      </c>
      <c r="G2096">
        <v>2019</v>
      </c>
      <c r="I2096" s="13">
        <v>521.5</v>
      </c>
      <c r="J2096" t="s">
        <v>176</v>
      </c>
      <c r="K2096" t="s">
        <v>32</v>
      </c>
      <c r="O2096">
        <v>0</v>
      </c>
      <c r="P2096">
        <v>0</v>
      </c>
      <c r="Q2096">
        <v>0</v>
      </c>
      <c r="R2096">
        <v>0</v>
      </c>
      <c r="S2096">
        <v>1</v>
      </c>
      <c r="T2096">
        <v>1</v>
      </c>
      <c r="U2096">
        <v>1</v>
      </c>
      <c r="V2096">
        <v>0</v>
      </c>
      <c r="W2096" t="s">
        <v>1381</v>
      </c>
      <c r="AA2096">
        <v>2007</v>
      </c>
      <c r="AB2096">
        <v>9999</v>
      </c>
      <c r="AC2096" t="s">
        <v>35</v>
      </c>
    </row>
    <row r="2097" spans="1:29" x14ac:dyDescent="0.25">
      <c r="A2097" s="31" t="s">
        <v>894</v>
      </c>
      <c r="B2097" s="23" t="s">
        <v>895</v>
      </c>
      <c r="D2097">
        <v>1</v>
      </c>
      <c r="E2097" t="s">
        <v>38</v>
      </c>
      <c r="F2097">
        <v>4</v>
      </c>
      <c r="G2097">
        <v>2019</v>
      </c>
      <c r="H2097" t="s">
        <v>715</v>
      </c>
      <c r="I2097" s="13">
        <v>0.13</v>
      </c>
      <c r="J2097" s="2" t="s">
        <v>89</v>
      </c>
      <c r="K2097" t="s">
        <v>53</v>
      </c>
      <c r="L2097" t="s">
        <v>53</v>
      </c>
      <c r="O2097">
        <v>0</v>
      </c>
      <c r="P2097">
        <v>0</v>
      </c>
      <c r="Q2097">
        <v>0</v>
      </c>
      <c r="R2097">
        <v>0</v>
      </c>
      <c r="S2097">
        <v>0</v>
      </c>
      <c r="T2097">
        <v>0</v>
      </c>
      <c r="U2097">
        <v>0</v>
      </c>
      <c r="V2097">
        <v>0</v>
      </c>
      <c r="W2097" t="s">
        <v>897</v>
      </c>
      <c r="AA2097">
        <v>2007</v>
      </c>
      <c r="AB2097">
        <v>9999</v>
      </c>
      <c r="AC2097" t="s">
        <v>35</v>
      </c>
    </row>
    <row r="2098" spans="1:29" x14ac:dyDescent="0.25">
      <c r="A2098" s="31" t="s">
        <v>900</v>
      </c>
      <c r="B2098" s="23" t="s">
        <v>901</v>
      </c>
      <c r="D2098">
        <v>1</v>
      </c>
      <c r="E2098" t="s">
        <v>38</v>
      </c>
      <c r="F2098">
        <v>4</v>
      </c>
      <c r="G2098">
        <v>2019</v>
      </c>
      <c r="H2098" t="s">
        <v>596</v>
      </c>
      <c r="I2098" s="13">
        <v>0.5</v>
      </c>
      <c r="J2098" t="s">
        <v>89</v>
      </c>
      <c r="K2098" t="s">
        <v>53</v>
      </c>
      <c r="L2098" t="s">
        <v>902</v>
      </c>
      <c r="O2098">
        <v>0</v>
      </c>
      <c r="P2098">
        <v>0</v>
      </c>
      <c r="Q2098">
        <v>0</v>
      </c>
      <c r="R2098">
        <v>0</v>
      </c>
      <c r="S2098">
        <v>0</v>
      </c>
      <c r="T2098">
        <v>0</v>
      </c>
      <c r="U2098">
        <v>0</v>
      </c>
      <c r="V2098">
        <v>0</v>
      </c>
      <c r="W2098" t="s">
        <v>903</v>
      </c>
      <c r="AA2098">
        <v>2007</v>
      </c>
      <c r="AB2098">
        <v>9999</v>
      </c>
      <c r="AC2098" t="s">
        <v>35</v>
      </c>
    </row>
    <row r="2099" spans="1:29" x14ac:dyDescent="0.25">
      <c r="A2099" s="31" t="s">
        <v>904</v>
      </c>
      <c r="B2099" s="23" t="s">
        <v>1436</v>
      </c>
      <c r="D2099">
        <v>1</v>
      </c>
      <c r="E2099" t="s">
        <v>38</v>
      </c>
      <c r="F2099">
        <v>4</v>
      </c>
      <c r="G2099">
        <v>2019</v>
      </c>
      <c r="H2099" t="s">
        <v>906</v>
      </c>
      <c r="I2099" s="13">
        <v>0.5</v>
      </c>
      <c r="J2099" t="s">
        <v>59</v>
      </c>
      <c r="K2099" t="s">
        <v>53</v>
      </c>
      <c r="L2099" t="s">
        <v>902</v>
      </c>
      <c r="O2099">
        <v>0</v>
      </c>
      <c r="P2099">
        <v>0</v>
      </c>
      <c r="Q2099">
        <v>0</v>
      </c>
      <c r="R2099">
        <v>0</v>
      </c>
      <c r="S2099">
        <v>0</v>
      </c>
      <c r="T2099">
        <v>0</v>
      </c>
      <c r="U2099">
        <v>0</v>
      </c>
      <c r="V2099">
        <v>0</v>
      </c>
      <c r="W2099" t="s">
        <v>907</v>
      </c>
      <c r="AA2099">
        <v>2007</v>
      </c>
      <c r="AB2099">
        <v>9999</v>
      </c>
      <c r="AC2099" t="s">
        <v>35</v>
      </c>
    </row>
    <row r="2100" spans="1:29" x14ac:dyDescent="0.25">
      <c r="A2100" s="31" t="s">
        <v>908</v>
      </c>
      <c r="B2100" s="23" t="s">
        <v>909</v>
      </c>
      <c r="C2100" t="s">
        <v>910</v>
      </c>
      <c r="D2100">
        <v>1</v>
      </c>
      <c r="E2100" t="s">
        <v>911</v>
      </c>
      <c r="F2100">
        <v>1</v>
      </c>
      <c r="G2100">
        <v>2019</v>
      </c>
      <c r="I2100" s="13">
        <v>113.5</v>
      </c>
      <c r="J2100" t="s">
        <v>176</v>
      </c>
      <c r="K2100" t="s">
        <v>47</v>
      </c>
      <c r="O2100">
        <v>0</v>
      </c>
      <c r="P2100">
        <v>0</v>
      </c>
      <c r="Q2100">
        <v>0</v>
      </c>
      <c r="R2100">
        <v>0</v>
      </c>
      <c r="S2100">
        <v>1</v>
      </c>
      <c r="T2100">
        <v>1</v>
      </c>
      <c r="U2100">
        <v>1</v>
      </c>
      <c r="V2100">
        <v>0</v>
      </c>
      <c r="W2100" t="s">
        <v>1518</v>
      </c>
      <c r="AA2100">
        <v>2007</v>
      </c>
      <c r="AB2100">
        <v>9999</v>
      </c>
      <c r="AC2100" t="s">
        <v>35</v>
      </c>
    </row>
    <row r="2101" spans="1:29" x14ac:dyDescent="0.25">
      <c r="A2101" s="31" t="s">
        <v>913</v>
      </c>
      <c r="B2101" s="23" t="s">
        <v>914</v>
      </c>
      <c r="C2101" t="s">
        <v>915</v>
      </c>
      <c r="D2101">
        <v>1</v>
      </c>
      <c r="E2101" t="s">
        <v>911</v>
      </c>
      <c r="F2101">
        <v>1</v>
      </c>
      <c r="G2101">
        <v>2019</v>
      </c>
      <c r="I2101" s="13">
        <v>15.7</v>
      </c>
      <c r="J2101" t="s">
        <v>268</v>
      </c>
      <c r="K2101" t="s">
        <v>47</v>
      </c>
      <c r="O2101">
        <v>0</v>
      </c>
      <c r="P2101">
        <v>0</v>
      </c>
      <c r="Q2101">
        <v>0</v>
      </c>
      <c r="R2101">
        <v>0</v>
      </c>
      <c r="S2101">
        <v>1</v>
      </c>
      <c r="T2101">
        <v>1</v>
      </c>
      <c r="U2101">
        <v>1</v>
      </c>
      <c r="V2101">
        <v>0</v>
      </c>
      <c r="W2101" t="s">
        <v>1276</v>
      </c>
      <c r="AA2101">
        <v>2007</v>
      </c>
      <c r="AB2101">
        <v>9999</v>
      </c>
      <c r="AC2101" t="s">
        <v>35</v>
      </c>
    </row>
    <row r="2102" spans="1:29" x14ac:dyDescent="0.25">
      <c r="A2102" s="31" t="s">
        <v>1529</v>
      </c>
      <c r="B2102" s="23" t="s">
        <v>1530</v>
      </c>
      <c r="D2102">
        <v>1</v>
      </c>
      <c r="F2102">
        <v>8</v>
      </c>
      <c r="G2102">
        <v>2019</v>
      </c>
      <c r="I2102" s="13">
        <v>0</v>
      </c>
      <c r="J2102" t="s">
        <v>81</v>
      </c>
      <c r="K2102" t="s">
        <v>32</v>
      </c>
      <c r="O2102">
        <v>0</v>
      </c>
      <c r="P2102">
        <v>0</v>
      </c>
      <c r="Q2102">
        <v>0</v>
      </c>
      <c r="R2102">
        <v>0</v>
      </c>
      <c r="S2102">
        <v>0</v>
      </c>
      <c r="T2102">
        <v>0</v>
      </c>
      <c r="U2102">
        <v>1</v>
      </c>
      <c r="V2102">
        <v>0</v>
      </c>
      <c r="W2102" t="s">
        <v>1531</v>
      </c>
      <c r="AA2102">
        <v>2017</v>
      </c>
      <c r="AB2102">
        <v>9999</v>
      </c>
      <c r="AC2102" t="s">
        <v>1532</v>
      </c>
    </row>
    <row r="2103" spans="1:29" x14ac:dyDescent="0.25">
      <c r="A2103" s="31" t="s">
        <v>97</v>
      </c>
      <c r="B2103" s="23" t="s">
        <v>99</v>
      </c>
      <c r="C2103" t="s">
        <v>923</v>
      </c>
      <c r="D2103">
        <v>1</v>
      </c>
      <c r="E2103" t="s">
        <v>45</v>
      </c>
      <c r="F2103">
        <v>4</v>
      </c>
      <c r="G2103">
        <v>2019</v>
      </c>
      <c r="I2103" s="13">
        <v>255.3</v>
      </c>
      <c r="J2103" t="s">
        <v>89</v>
      </c>
      <c r="K2103" t="s">
        <v>47</v>
      </c>
      <c r="O2103">
        <v>0</v>
      </c>
      <c r="P2103">
        <v>0</v>
      </c>
      <c r="Q2103">
        <v>0</v>
      </c>
      <c r="R2103">
        <v>0</v>
      </c>
      <c r="S2103">
        <v>1</v>
      </c>
      <c r="T2103">
        <v>1</v>
      </c>
      <c r="U2103">
        <v>1</v>
      </c>
      <c r="V2103">
        <v>0</v>
      </c>
      <c r="W2103" t="s">
        <v>1277</v>
      </c>
      <c r="AA2103">
        <v>2007</v>
      </c>
      <c r="AB2103">
        <v>9999</v>
      </c>
      <c r="AC2103" t="s">
        <v>35</v>
      </c>
    </row>
    <row r="2104" spans="1:29" x14ac:dyDescent="0.25">
      <c r="A2104" s="31" t="s">
        <v>925</v>
      </c>
      <c r="B2104" s="23" t="s">
        <v>926</v>
      </c>
      <c r="C2104" t="s">
        <v>927</v>
      </c>
      <c r="D2104">
        <v>1</v>
      </c>
      <c r="E2104" t="s">
        <v>103</v>
      </c>
      <c r="F2104">
        <v>9</v>
      </c>
      <c r="G2104">
        <v>2019</v>
      </c>
      <c r="I2104" s="13">
        <v>3045.8</v>
      </c>
      <c r="J2104" t="s">
        <v>89</v>
      </c>
      <c r="K2104" t="s">
        <v>53</v>
      </c>
      <c r="L2104" t="s">
        <v>105</v>
      </c>
      <c r="O2104">
        <v>0</v>
      </c>
      <c r="P2104">
        <v>1</v>
      </c>
      <c r="Q2104">
        <v>0</v>
      </c>
      <c r="R2104">
        <v>0</v>
      </c>
      <c r="S2104">
        <v>1</v>
      </c>
      <c r="T2104">
        <v>1</v>
      </c>
      <c r="U2104">
        <v>1</v>
      </c>
      <c r="V2104">
        <v>0</v>
      </c>
      <c r="W2104" t="s">
        <v>928</v>
      </c>
      <c r="AA2104">
        <v>2007</v>
      </c>
      <c r="AB2104">
        <v>9999</v>
      </c>
      <c r="AC2104" t="s">
        <v>35</v>
      </c>
    </row>
    <row r="2105" spans="1:29" x14ac:dyDescent="0.25">
      <c r="A2105" s="31" t="s">
        <v>929</v>
      </c>
      <c r="B2105" s="23" t="s">
        <v>930</v>
      </c>
      <c r="C2105" t="s">
        <v>931</v>
      </c>
      <c r="D2105">
        <v>1</v>
      </c>
      <c r="E2105" t="s">
        <v>45</v>
      </c>
      <c r="F2105">
        <v>4</v>
      </c>
      <c r="G2105">
        <v>2019</v>
      </c>
      <c r="I2105" s="13">
        <v>614.4</v>
      </c>
      <c r="J2105" t="s">
        <v>31</v>
      </c>
      <c r="K2105" t="s">
        <v>47</v>
      </c>
      <c r="O2105">
        <v>0</v>
      </c>
      <c r="P2105">
        <v>0</v>
      </c>
      <c r="Q2105">
        <v>0</v>
      </c>
      <c r="R2105">
        <v>0</v>
      </c>
      <c r="S2105">
        <v>1</v>
      </c>
      <c r="T2105">
        <v>1</v>
      </c>
      <c r="U2105">
        <v>1</v>
      </c>
      <c r="V2105">
        <v>0</v>
      </c>
      <c r="W2105" t="s">
        <v>1336</v>
      </c>
      <c r="AA2105">
        <v>2007</v>
      </c>
      <c r="AB2105">
        <v>9999</v>
      </c>
      <c r="AC2105" t="s">
        <v>35</v>
      </c>
    </row>
    <row r="2106" spans="1:29" x14ac:dyDescent="0.25">
      <c r="A2106" s="31" t="s">
        <v>1212</v>
      </c>
      <c r="B2106" s="23" t="s">
        <v>1213</v>
      </c>
      <c r="D2106">
        <v>1</v>
      </c>
      <c r="E2106" t="s">
        <v>681</v>
      </c>
      <c r="F2106">
        <v>3</v>
      </c>
      <c r="G2106">
        <v>2019</v>
      </c>
      <c r="I2106" s="13">
        <v>10.5</v>
      </c>
      <c r="J2106" t="s">
        <v>121</v>
      </c>
      <c r="K2106" t="s">
        <v>41</v>
      </c>
      <c r="O2106">
        <v>0</v>
      </c>
      <c r="P2106">
        <v>0</v>
      </c>
      <c r="Q2106">
        <v>0</v>
      </c>
      <c r="R2106">
        <v>0</v>
      </c>
      <c r="S2106">
        <v>0</v>
      </c>
      <c r="T2106">
        <v>1</v>
      </c>
      <c r="U2106">
        <v>1</v>
      </c>
      <c r="V2106">
        <v>0</v>
      </c>
      <c r="W2106" t="s">
        <v>1278</v>
      </c>
      <c r="AA2106">
        <v>2008</v>
      </c>
      <c r="AB2106">
        <v>9999</v>
      </c>
      <c r="AC2106" t="s">
        <v>1054</v>
      </c>
    </row>
    <row r="2107" spans="1:29" x14ac:dyDescent="0.25">
      <c r="A2107" s="31" t="s">
        <v>933</v>
      </c>
      <c r="B2107" s="23" t="s">
        <v>934</v>
      </c>
      <c r="C2107" t="s">
        <v>935</v>
      </c>
      <c r="D2107">
        <v>1</v>
      </c>
      <c r="E2107" t="s">
        <v>681</v>
      </c>
      <c r="F2107">
        <v>3</v>
      </c>
      <c r="G2107">
        <v>2019</v>
      </c>
      <c r="I2107" s="13"/>
      <c r="J2107" t="s">
        <v>121</v>
      </c>
      <c r="K2107" t="s">
        <v>47</v>
      </c>
      <c r="O2107">
        <v>0</v>
      </c>
      <c r="P2107">
        <v>0</v>
      </c>
      <c r="Q2107">
        <v>0</v>
      </c>
      <c r="R2107">
        <v>0</v>
      </c>
      <c r="S2107">
        <v>1</v>
      </c>
      <c r="T2107">
        <v>1</v>
      </c>
      <c r="U2107">
        <v>1</v>
      </c>
      <c r="V2107">
        <v>0</v>
      </c>
      <c r="W2107" t="s">
        <v>1508</v>
      </c>
      <c r="AA2107">
        <v>2007</v>
      </c>
      <c r="AB2107">
        <v>9999</v>
      </c>
      <c r="AC2107" t="s">
        <v>35</v>
      </c>
    </row>
    <row r="2108" spans="1:29" x14ac:dyDescent="0.25">
      <c r="A2108" s="31" t="s">
        <v>937</v>
      </c>
      <c r="B2108" s="23" t="s">
        <v>938</v>
      </c>
      <c r="D2108">
        <v>1</v>
      </c>
      <c r="E2108" t="s">
        <v>103</v>
      </c>
      <c r="F2108">
        <v>9</v>
      </c>
      <c r="G2108">
        <v>2019</v>
      </c>
      <c r="I2108" s="13">
        <v>743.6</v>
      </c>
      <c r="J2108" t="s">
        <v>104</v>
      </c>
      <c r="K2108" t="s">
        <v>53</v>
      </c>
      <c r="L2108" t="s">
        <v>105</v>
      </c>
      <c r="O2108">
        <v>0</v>
      </c>
      <c r="P2108">
        <v>1</v>
      </c>
      <c r="Q2108">
        <v>0</v>
      </c>
      <c r="R2108">
        <v>0</v>
      </c>
      <c r="S2108">
        <v>1</v>
      </c>
      <c r="T2108">
        <v>1</v>
      </c>
      <c r="U2108">
        <v>1</v>
      </c>
      <c r="V2108">
        <v>0</v>
      </c>
      <c r="W2108" t="s">
        <v>106</v>
      </c>
      <c r="AA2108">
        <v>2007</v>
      </c>
      <c r="AB2108">
        <v>9999</v>
      </c>
      <c r="AC2108" t="s">
        <v>35</v>
      </c>
    </row>
    <row r="2109" spans="1:29" x14ac:dyDescent="0.25">
      <c r="A2109" s="31" t="s">
        <v>462</v>
      </c>
      <c r="B2109" s="23" t="s">
        <v>1414</v>
      </c>
      <c r="C2109" t="s">
        <v>1280</v>
      </c>
      <c r="D2109">
        <v>1</v>
      </c>
      <c r="E2109" t="s">
        <v>468</v>
      </c>
      <c r="F2109">
        <v>7</v>
      </c>
      <c r="G2109">
        <v>2019</v>
      </c>
      <c r="I2109" s="13">
        <v>124.4</v>
      </c>
      <c r="J2109" t="s">
        <v>40</v>
      </c>
      <c r="K2109" t="s">
        <v>47</v>
      </c>
      <c r="O2109">
        <v>0</v>
      </c>
      <c r="P2109">
        <v>0</v>
      </c>
      <c r="Q2109">
        <v>0</v>
      </c>
      <c r="R2109">
        <v>0</v>
      </c>
      <c r="S2109">
        <v>1</v>
      </c>
      <c r="T2109">
        <v>1</v>
      </c>
      <c r="U2109">
        <v>1</v>
      </c>
      <c r="V2109">
        <v>0</v>
      </c>
      <c r="W2109" t="s">
        <v>1118</v>
      </c>
      <c r="AA2109">
        <v>2007</v>
      </c>
      <c r="AB2109">
        <v>9999</v>
      </c>
      <c r="AC2109" t="s">
        <v>35</v>
      </c>
    </row>
    <row r="2110" spans="1:29" x14ac:dyDescent="0.25">
      <c r="A2110" s="31" t="s">
        <v>1337</v>
      </c>
      <c r="B2110" s="23" t="s">
        <v>1315</v>
      </c>
      <c r="D2110">
        <v>1</v>
      </c>
      <c r="E2110" t="s">
        <v>45</v>
      </c>
      <c r="F2110">
        <v>4</v>
      </c>
      <c r="G2110">
        <v>2019</v>
      </c>
      <c r="I2110" s="13">
        <v>416.57</v>
      </c>
      <c r="J2110" t="s">
        <v>89</v>
      </c>
      <c r="K2110" t="s">
        <v>32</v>
      </c>
      <c r="O2110">
        <v>0</v>
      </c>
      <c r="P2110">
        <v>0</v>
      </c>
      <c r="Q2110">
        <v>0</v>
      </c>
      <c r="R2110">
        <v>0</v>
      </c>
      <c r="S2110">
        <v>1</v>
      </c>
      <c r="T2110">
        <v>1</v>
      </c>
      <c r="U2110">
        <v>1</v>
      </c>
      <c r="V2110">
        <v>0</v>
      </c>
      <c r="W2110" t="s">
        <v>1338</v>
      </c>
      <c r="AA2110">
        <v>2010</v>
      </c>
      <c r="AB2110">
        <v>9999</v>
      </c>
      <c r="AC2110" t="s">
        <v>1292</v>
      </c>
    </row>
    <row r="2111" spans="1:29" x14ac:dyDescent="0.25">
      <c r="A2111" s="31" t="s">
        <v>1509</v>
      </c>
      <c r="B2111" s="23" t="s">
        <v>946</v>
      </c>
      <c r="D2111">
        <v>48</v>
      </c>
      <c r="E2111" t="s">
        <v>155</v>
      </c>
      <c r="F2111">
        <v>3</v>
      </c>
      <c r="G2111">
        <v>2019</v>
      </c>
      <c r="I2111">
        <v>2858.0315223500002</v>
      </c>
      <c r="J2111" t="s">
        <v>121</v>
      </c>
      <c r="K2111" t="s">
        <v>53</v>
      </c>
      <c r="L2111" t="s">
        <v>60</v>
      </c>
      <c r="O2111">
        <v>1</v>
      </c>
      <c r="P2111">
        <v>0</v>
      </c>
      <c r="Q2111">
        <v>0</v>
      </c>
      <c r="R2111">
        <v>0</v>
      </c>
      <c r="S2111">
        <v>1</v>
      </c>
      <c r="T2111">
        <v>0</v>
      </c>
      <c r="U2111">
        <v>0</v>
      </c>
      <c r="V2111">
        <v>1</v>
      </c>
      <c r="W2111" t="s">
        <v>947</v>
      </c>
      <c r="AA2111">
        <v>2007</v>
      </c>
      <c r="AB2111">
        <v>9999</v>
      </c>
      <c r="AC2111" t="s">
        <v>35</v>
      </c>
    </row>
    <row r="2112" spans="1:29" x14ac:dyDescent="0.25">
      <c r="A2112" s="31" t="s">
        <v>950</v>
      </c>
      <c r="B2112" s="23" t="s">
        <v>951</v>
      </c>
      <c r="C2112" t="s">
        <v>952</v>
      </c>
      <c r="D2112">
        <v>1</v>
      </c>
      <c r="E2112" t="s">
        <v>218</v>
      </c>
      <c r="F2112">
        <v>2</v>
      </c>
      <c r="G2112">
        <v>2019</v>
      </c>
      <c r="I2112" s="13">
        <v>853</v>
      </c>
      <c r="J2112" t="s">
        <v>147</v>
      </c>
      <c r="K2112" t="s">
        <v>32</v>
      </c>
      <c r="O2112">
        <v>0</v>
      </c>
      <c r="P2112">
        <v>0</v>
      </c>
      <c r="Q2112">
        <v>0</v>
      </c>
      <c r="R2112">
        <v>0</v>
      </c>
      <c r="S2112">
        <v>1</v>
      </c>
      <c r="T2112">
        <v>1</v>
      </c>
      <c r="U2112">
        <v>1</v>
      </c>
      <c r="V2112">
        <v>0</v>
      </c>
      <c r="W2112" t="s">
        <v>1216</v>
      </c>
      <c r="AA2112">
        <v>2007</v>
      </c>
      <c r="AB2112">
        <v>9999</v>
      </c>
      <c r="AC2112" t="s">
        <v>35</v>
      </c>
    </row>
    <row r="2113" spans="1:29" x14ac:dyDescent="0.25">
      <c r="A2113" s="31" t="s">
        <v>954</v>
      </c>
      <c r="B2113" s="23" t="s">
        <v>1383</v>
      </c>
      <c r="C2113" t="s">
        <v>956</v>
      </c>
      <c r="D2113">
        <v>1</v>
      </c>
      <c r="E2113" t="s">
        <v>218</v>
      </c>
      <c r="F2113">
        <v>2</v>
      </c>
      <c r="G2113">
        <v>2019</v>
      </c>
      <c r="I2113" s="13">
        <v>187.4</v>
      </c>
      <c r="J2113" t="s">
        <v>147</v>
      </c>
      <c r="K2113" t="s">
        <v>47</v>
      </c>
      <c r="O2113">
        <v>0</v>
      </c>
      <c r="P2113">
        <v>0</v>
      </c>
      <c r="Q2113">
        <v>0</v>
      </c>
      <c r="R2113">
        <v>0</v>
      </c>
      <c r="S2113">
        <v>1</v>
      </c>
      <c r="T2113">
        <v>1</v>
      </c>
      <c r="U2113">
        <v>1</v>
      </c>
      <c r="V2113">
        <v>0</v>
      </c>
      <c r="W2113" t="s">
        <v>1384</v>
      </c>
      <c r="AA2113">
        <v>2007</v>
      </c>
      <c r="AB2113">
        <v>9999</v>
      </c>
      <c r="AC2113" t="s">
        <v>35</v>
      </c>
    </row>
    <row r="2114" spans="1:29" x14ac:dyDescent="0.25">
      <c r="A2114" s="31" t="s">
        <v>1385</v>
      </c>
      <c r="B2114" s="23" t="s">
        <v>1386</v>
      </c>
      <c r="D2114">
        <v>1</v>
      </c>
      <c r="E2114" t="s">
        <v>874</v>
      </c>
      <c r="F2114">
        <v>1</v>
      </c>
      <c r="G2114">
        <v>2019</v>
      </c>
      <c r="I2114">
        <v>32.4</v>
      </c>
      <c r="J2114" t="s">
        <v>1556</v>
      </c>
      <c r="K2114" t="s">
        <v>47</v>
      </c>
      <c r="O2114">
        <v>0</v>
      </c>
      <c r="P2114">
        <v>0</v>
      </c>
      <c r="Q2114">
        <v>0</v>
      </c>
      <c r="R2114">
        <v>0</v>
      </c>
      <c r="S2114">
        <v>1</v>
      </c>
      <c r="T2114">
        <v>1</v>
      </c>
      <c r="U2114">
        <v>1</v>
      </c>
      <c r="V2114">
        <v>0</v>
      </c>
      <c r="W2114" t="s">
        <v>1387</v>
      </c>
      <c r="AA2114">
        <v>2011</v>
      </c>
      <c r="AB2114">
        <v>9999</v>
      </c>
      <c r="AC2114" t="s">
        <v>1365</v>
      </c>
    </row>
    <row r="2115" spans="1:29" x14ac:dyDescent="0.25">
      <c r="A2115" s="31" t="s">
        <v>1388</v>
      </c>
      <c r="B2115" s="23" t="s">
        <v>1389</v>
      </c>
      <c r="D2115">
        <v>1</v>
      </c>
      <c r="E2115" t="s">
        <v>1390</v>
      </c>
      <c r="F2115">
        <v>4</v>
      </c>
      <c r="G2115">
        <v>2019</v>
      </c>
      <c r="I2115" s="13">
        <v>8100.5</v>
      </c>
      <c r="J2115" t="s">
        <v>1556</v>
      </c>
      <c r="K2115" t="s">
        <v>32</v>
      </c>
      <c r="O2115">
        <v>0</v>
      </c>
      <c r="P2115">
        <v>0</v>
      </c>
      <c r="Q2115">
        <v>0</v>
      </c>
      <c r="R2115">
        <v>0</v>
      </c>
      <c r="S2115">
        <v>1</v>
      </c>
      <c r="T2115">
        <v>1</v>
      </c>
      <c r="U2115">
        <v>1</v>
      </c>
      <c r="V2115">
        <v>0</v>
      </c>
      <c r="W2115" t="s">
        <v>1391</v>
      </c>
      <c r="AA2115">
        <v>2011</v>
      </c>
      <c r="AB2115">
        <v>9999</v>
      </c>
      <c r="AC2115" t="s">
        <v>1365</v>
      </c>
    </row>
    <row r="2116" spans="1:29" x14ac:dyDescent="0.25">
      <c r="A2116" s="31" t="s">
        <v>1281</v>
      </c>
      <c r="B2116" s="23" t="s">
        <v>1282</v>
      </c>
      <c r="D2116">
        <v>1</v>
      </c>
      <c r="E2116" t="s">
        <v>625</v>
      </c>
      <c r="F2116">
        <v>4</v>
      </c>
      <c r="G2116">
        <v>2019</v>
      </c>
      <c r="I2116" s="13">
        <v>1810.3</v>
      </c>
      <c r="J2116" t="s">
        <v>1556</v>
      </c>
      <c r="K2116" t="s">
        <v>32</v>
      </c>
      <c r="O2116">
        <v>0</v>
      </c>
      <c r="P2116">
        <v>0</v>
      </c>
      <c r="Q2116">
        <v>0</v>
      </c>
      <c r="R2116">
        <v>0</v>
      </c>
      <c r="S2116">
        <v>1</v>
      </c>
      <c r="T2116">
        <v>1</v>
      </c>
      <c r="U2116">
        <v>1</v>
      </c>
      <c r="V2116">
        <v>0</v>
      </c>
      <c r="W2116" t="s">
        <v>1283</v>
      </c>
      <c r="AA2116">
        <v>2009</v>
      </c>
      <c r="AB2116">
        <v>9999</v>
      </c>
      <c r="AC2116" t="s">
        <v>1239</v>
      </c>
    </row>
    <row r="2117" spans="1:29" x14ac:dyDescent="0.25">
      <c r="A2117" s="31" t="s">
        <v>958</v>
      </c>
      <c r="B2117" s="25" t="s">
        <v>959</v>
      </c>
      <c r="D2117">
        <v>1</v>
      </c>
      <c r="E2117" t="s">
        <v>51</v>
      </c>
      <c r="F2117">
        <v>1</v>
      </c>
      <c r="G2117">
        <v>2019</v>
      </c>
      <c r="I2117" s="13">
        <v>57</v>
      </c>
      <c r="J2117" t="s">
        <v>52</v>
      </c>
      <c r="K2117" t="s">
        <v>53</v>
      </c>
      <c r="L2117" t="s">
        <v>54</v>
      </c>
      <c r="O2117">
        <v>0</v>
      </c>
      <c r="P2117">
        <v>0</v>
      </c>
      <c r="Q2117">
        <v>1</v>
      </c>
      <c r="R2117">
        <v>0</v>
      </c>
      <c r="S2117">
        <v>0</v>
      </c>
      <c r="T2117">
        <v>0</v>
      </c>
      <c r="U2117">
        <v>1</v>
      </c>
      <c r="V2117">
        <v>0</v>
      </c>
      <c r="W2117" t="s">
        <v>55</v>
      </c>
      <c r="AA2117">
        <v>2007</v>
      </c>
      <c r="AB2117">
        <v>9999</v>
      </c>
      <c r="AC2117" t="s">
        <v>35</v>
      </c>
    </row>
    <row r="2118" spans="1:29" x14ac:dyDescent="0.25">
      <c r="A2118" s="31" t="s">
        <v>960</v>
      </c>
      <c r="B2118" s="23" t="s">
        <v>961</v>
      </c>
      <c r="D2118">
        <v>1</v>
      </c>
      <c r="E2118" t="s">
        <v>168</v>
      </c>
      <c r="F2118">
        <v>1</v>
      </c>
      <c r="G2118">
        <v>2019</v>
      </c>
      <c r="I2118" s="13">
        <v>1947.1</v>
      </c>
      <c r="J2118" t="s">
        <v>52</v>
      </c>
      <c r="K2118" t="s">
        <v>47</v>
      </c>
      <c r="O2118">
        <v>0</v>
      </c>
      <c r="P2118">
        <v>0</v>
      </c>
      <c r="Q2118">
        <v>0</v>
      </c>
      <c r="R2118">
        <v>0</v>
      </c>
      <c r="S2118">
        <v>1</v>
      </c>
      <c r="T2118">
        <v>1</v>
      </c>
      <c r="U2118">
        <v>1</v>
      </c>
      <c r="V2118">
        <v>0</v>
      </c>
      <c r="W2118" t="s">
        <v>1533</v>
      </c>
      <c r="AA2118">
        <v>2007</v>
      </c>
      <c r="AB2118">
        <v>9999</v>
      </c>
      <c r="AC2118" t="s">
        <v>35</v>
      </c>
    </row>
    <row r="2119" spans="1:29" x14ac:dyDescent="0.25">
      <c r="A2119" s="31" t="s">
        <v>963</v>
      </c>
      <c r="B2119" s="23" t="s">
        <v>658</v>
      </c>
      <c r="D2119">
        <v>1</v>
      </c>
      <c r="E2119" t="s">
        <v>103</v>
      </c>
      <c r="F2119">
        <v>9</v>
      </c>
      <c r="G2119">
        <v>2019</v>
      </c>
      <c r="I2119" s="13">
        <v>3517.2</v>
      </c>
      <c r="J2119" t="s">
        <v>104</v>
      </c>
      <c r="K2119" t="s">
        <v>53</v>
      </c>
      <c r="L2119" t="s">
        <v>105</v>
      </c>
      <c r="O2119">
        <v>0</v>
      </c>
      <c r="P2119">
        <v>1</v>
      </c>
      <c r="Q2119">
        <v>0</v>
      </c>
      <c r="R2119">
        <v>0</v>
      </c>
      <c r="S2119">
        <v>1</v>
      </c>
      <c r="T2119">
        <v>1</v>
      </c>
      <c r="U2119">
        <v>1</v>
      </c>
      <c r="V2119">
        <v>0</v>
      </c>
      <c r="W2119" t="s">
        <v>106</v>
      </c>
      <c r="AA2119">
        <v>2007</v>
      </c>
      <c r="AB2119">
        <v>9999</v>
      </c>
      <c r="AC2119" t="s">
        <v>35</v>
      </c>
    </row>
    <row r="2120" spans="1:29" x14ac:dyDescent="0.25">
      <c r="A2120" s="31" t="s">
        <v>1437</v>
      </c>
      <c r="B2120" s="23" t="s">
        <v>1438</v>
      </c>
      <c r="C2120" t="s">
        <v>1439</v>
      </c>
      <c r="D2120">
        <v>1</v>
      </c>
      <c r="E2120" t="s">
        <v>103</v>
      </c>
      <c r="F2120">
        <v>9</v>
      </c>
      <c r="G2120">
        <v>2019</v>
      </c>
      <c r="I2120" s="13">
        <v>307.2</v>
      </c>
      <c r="J2120" t="s">
        <v>104</v>
      </c>
      <c r="K2120" t="s">
        <v>32</v>
      </c>
      <c r="O2120">
        <v>0</v>
      </c>
      <c r="P2120">
        <v>0</v>
      </c>
      <c r="Q2120">
        <v>0</v>
      </c>
      <c r="R2120">
        <v>0</v>
      </c>
      <c r="S2120">
        <v>1</v>
      </c>
      <c r="T2120">
        <v>1</v>
      </c>
      <c r="U2120">
        <v>1</v>
      </c>
      <c r="V2120">
        <v>0</v>
      </c>
      <c r="W2120" t="s">
        <v>1440</v>
      </c>
      <c r="AA2120">
        <v>2013</v>
      </c>
      <c r="AB2120">
        <v>9999</v>
      </c>
      <c r="AC2120" t="s">
        <v>1419</v>
      </c>
    </row>
    <row r="2121" spans="1:29" x14ac:dyDescent="0.25">
      <c r="A2121" s="31" t="s">
        <v>1441</v>
      </c>
      <c r="B2121" s="23" t="s">
        <v>1442</v>
      </c>
      <c r="C2121" t="s">
        <v>1443</v>
      </c>
      <c r="D2121">
        <v>1</v>
      </c>
      <c r="E2121" t="s">
        <v>103</v>
      </c>
      <c r="F2121">
        <v>9</v>
      </c>
      <c r="G2121">
        <v>2019</v>
      </c>
      <c r="I2121" s="13">
        <v>79.8</v>
      </c>
      <c r="J2121" t="s">
        <v>104</v>
      </c>
      <c r="K2121" t="s">
        <v>47</v>
      </c>
      <c r="O2121">
        <v>0</v>
      </c>
      <c r="P2121">
        <v>0</v>
      </c>
      <c r="Q2121">
        <v>0</v>
      </c>
      <c r="R2121">
        <v>0</v>
      </c>
      <c r="S2121">
        <v>1</v>
      </c>
      <c r="T2121">
        <v>1</v>
      </c>
      <c r="U2121">
        <v>1</v>
      </c>
      <c r="V2121">
        <v>0</v>
      </c>
      <c r="W2121" t="s">
        <v>1444</v>
      </c>
      <c r="AA2121">
        <v>2013</v>
      </c>
      <c r="AB2121">
        <v>9999</v>
      </c>
      <c r="AC2121" t="s">
        <v>1419</v>
      </c>
    </row>
    <row r="2122" spans="1:29" x14ac:dyDescent="0.25">
      <c r="A2122" s="31" t="s">
        <v>1510</v>
      </c>
      <c r="B2122" s="23" t="s">
        <v>1511</v>
      </c>
      <c r="D2122">
        <v>1</v>
      </c>
      <c r="E2122" s="4">
        <v>411</v>
      </c>
      <c r="F2122">
        <v>4</v>
      </c>
      <c r="G2122">
        <v>2019</v>
      </c>
      <c r="I2122" s="13">
        <v>80.5</v>
      </c>
      <c r="J2122" t="s">
        <v>52</v>
      </c>
      <c r="K2122" t="s">
        <v>47</v>
      </c>
      <c r="O2122">
        <v>0</v>
      </c>
      <c r="P2122">
        <v>0</v>
      </c>
      <c r="Q2122">
        <v>0</v>
      </c>
      <c r="R2122">
        <v>0</v>
      </c>
      <c r="S2122">
        <v>1</v>
      </c>
      <c r="T2122">
        <v>1</v>
      </c>
      <c r="U2122">
        <v>1</v>
      </c>
      <c r="V2122">
        <v>0</v>
      </c>
      <c r="W2122" t="s">
        <v>1512</v>
      </c>
      <c r="AA2122">
        <v>2015</v>
      </c>
      <c r="AB2122">
        <v>9999</v>
      </c>
      <c r="AC2122" t="s">
        <v>1475</v>
      </c>
    </row>
    <row r="2123" spans="1:29" x14ac:dyDescent="0.25">
      <c r="A2123" s="31" t="s">
        <v>967</v>
      </c>
      <c r="B2123" s="23" t="s">
        <v>661</v>
      </c>
      <c r="D2123">
        <v>1</v>
      </c>
      <c r="E2123" t="s">
        <v>103</v>
      </c>
      <c r="F2123">
        <v>9</v>
      </c>
      <c r="G2123">
        <v>2019</v>
      </c>
      <c r="I2123" s="13">
        <v>6341.7</v>
      </c>
      <c r="J2123" t="s">
        <v>104</v>
      </c>
      <c r="K2123" t="s">
        <v>53</v>
      </c>
      <c r="L2123" t="s">
        <v>105</v>
      </c>
      <c r="O2123">
        <v>0</v>
      </c>
      <c r="P2123">
        <v>1</v>
      </c>
      <c r="Q2123">
        <v>0</v>
      </c>
      <c r="R2123">
        <v>0</v>
      </c>
      <c r="S2123">
        <v>1</v>
      </c>
      <c r="T2123">
        <v>1</v>
      </c>
      <c r="U2123">
        <v>1</v>
      </c>
      <c r="V2123">
        <v>0</v>
      </c>
      <c r="W2123" t="s">
        <v>106</v>
      </c>
      <c r="AA2123">
        <v>2007</v>
      </c>
      <c r="AB2123">
        <v>9999</v>
      </c>
      <c r="AC2123" t="s">
        <v>35</v>
      </c>
    </row>
    <row r="2124" spans="1:29" x14ac:dyDescent="0.25">
      <c r="A2124" s="31" t="s">
        <v>968</v>
      </c>
      <c r="B2124" s="23" t="s">
        <v>969</v>
      </c>
      <c r="D2124">
        <v>1</v>
      </c>
      <c r="E2124" t="s">
        <v>85</v>
      </c>
      <c r="F2124">
        <v>1</v>
      </c>
      <c r="G2124">
        <v>2019</v>
      </c>
      <c r="H2124" t="s">
        <v>970</v>
      </c>
      <c r="I2124" s="13">
        <v>0.1</v>
      </c>
      <c r="J2124" t="s">
        <v>176</v>
      </c>
      <c r="K2124" t="s">
        <v>41</v>
      </c>
      <c r="O2124">
        <v>0</v>
      </c>
      <c r="P2124">
        <v>0</v>
      </c>
      <c r="Q2124">
        <v>0</v>
      </c>
      <c r="R2124">
        <v>0</v>
      </c>
      <c r="S2124">
        <v>0</v>
      </c>
      <c r="T2124">
        <v>0</v>
      </c>
      <c r="U2124">
        <v>0</v>
      </c>
      <c r="V2124">
        <v>0</v>
      </c>
      <c r="W2124" t="s">
        <v>971</v>
      </c>
      <c r="AA2124">
        <v>2007</v>
      </c>
      <c r="AB2124">
        <v>9999</v>
      </c>
      <c r="AC2124" t="s">
        <v>35</v>
      </c>
    </row>
    <row r="2125" spans="1:29" x14ac:dyDescent="0.25">
      <c r="A2125" s="31" t="s">
        <v>975</v>
      </c>
      <c r="B2125" s="23" t="s">
        <v>976</v>
      </c>
      <c r="D2125">
        <v>1</v>
      </c>
      <c r="E2125" t="s">
        <v>977</v>
      </c>
      <c r="F2125">
        <v>1</v>
      </c>
      <c r="G2125">
        <v>2019</v>
      </c>
      <c r="H2125" t="s">
        <v>205</v>
      </c>
      <c r="I2125" s="13">
        <v>0</v>
      </c>
      <c r="J2125" t="s">
        <v>81</v>
      </c>
      <c r="K2125" t="s">
        <v>41</v>
      </c>
      <c r="O2125">
        <v>0</v>
      </c>
      <c r="P2125">
        <v>0</v>
      </c>
      <c r="Q2125">
        <v>0</v>
      </c>
      <c r="R2125">
        <v>0</v>
      </c>
      <c r="S2125">
        <v>0</v>
      </c>
      <c r="T2125">
        <v>0</v>
      </c>
      <c r="U2125">
        <v>0</v>
      </c>
      <c r="V2125">
        <v>0</v>
      </c>
      <c r="W2125" t="s">
        <v>1220</v>
      </c>
      <c r="AA2125">
        <v>2007</v>
      </c>
      <c r="AB2125">
        <v>9999</v>
      </c>
      <c r="AC2125" t="s">
        <v>35</v>
      </c>
    </row>
    <row r="2126" spans="1:29" x14ac:dyDescent="0.25">
      <c r="A2126" s="31" t="s">
        <v>985</v>
      </c>
      <c r="B2126" s="23" t="s">
        <v>986</v>
      </c>
      <c r="C2126" t="s">
        <v>987</v>
      </c>
      <c r="D2126">
        <v>1</v>
      </c>
      <c r="E2126" t="s">
        <v>988</v>
      </c>
      <c r="F2126">
        <v>4</v>
      </c>
      <c r="G2126">
        <v>2019</v>
      </c>
      <c r="I2126" s="13">
        <v>204.9</v>
      </c>
      <c r="J2126" t="s">
        <v>89</v>
      </c>
      <c r="K2126" t="s">
        <v>32</v>
      </c>
      <c r="O2126">
        <v>0</v>
      </c>
      <c r="P2126">
        <v>0</v>
      </c>
      <c r="Q2126">
        <v>0</v>
      </c>
      <c r="R2126">
        <v>0</v>
      </c>
      <c r="S2126">
        <v>1</v>
      </c>
      <c r="T2126">
        <v>1</v>
      </c>
      <c r="U2126">
        <v>1</v>
      </c>
      <c r="V2126">
        <v>0</v>
      </c>
      <c r="W2126" t="s">
        <v>1339</v>
      </c>
      <c r="AA2126">
        <v>2007</v>
      </c>
      <c r="AB2126">
        <v>9999</v>
      </c>
      <c r="AC2126" t="s">
        <v>35</v>
      </c>
    </row>
    <row r="2127" spans="1:29" x14ac:dyDescent="0.25">
      <c r="A2127" s="31" t="s">
        <v>993</v>
      </c>
      <c r="B2127" s="23" t="s">
        <v>129</v>
      </c>
      <c r="D2127">
        <v>1</v>
      </c>
      <c r="E2127" t="s">
        <v>103</v>
      </c>
      <c r="F2127">
        <v>1</v>
      </c>
      <c r="G2127">
        <v>2019</v>
      </c>
      <c r="I2127" s="13">
        <v>225.5</v>
      </c>
      <c r="J2127" t="s">
        <v>104</v>
      </c>
      <c r="K2127" t="s">
        <v>32</v>
      </c>
      <c r="O2127">
        <v>0</v>
      </c>
      <c r="P2127">
        <v>0</v>
      </c>
      <c r="Q2127">
        <v>0</v>
      </c>
      <c r="R2127">
        <v>0</v>
      </c>
      <c r="S2127">
        <v>1</v>
      </c>
      <c r="T2127">
        <v>1</v>
      </c>
      <c r="U2127">
        <v>1</v>
      </c>
      <c r="V2127">
        <v>0</v>
      </c>
      <c r="W2127" t="s">
        <v>1340</v>
      </c>
      <c r="AA2127">
        <v>2007</v>
      </c>
      <c r="AB2127">
        <v>9999</v>
      </c>
      <c r="AC2127" t="s">
        <v>35</v>
      </c>
    </row>
    <row r="2128" spans="1:29" x14ac:dyDescent="0.25">
      <c r="A2128" s="31" t="s">
        <v>1008</v>
      </c>
      <c r="B2128" s="23" t="s">
        <v>1009</v>
      </c>
      <c r="D2128">
        <v>1</v>
      </c>
      <c r="E2128" t="s">
        <v>155</v>
      </c>
      <c r="F2128">
        <v>3</v>
      </c>
      <c r="G2128">
        <v>2019</v>
      </c>
      <c r="I2128" s="13">
        <v>1249.8</v>
      </c>
      <c r="J2128" t="s">
        <v>121</v>
      </c>
      <c r="K2128" t="s">
        <v>47</v>
      </c>
      <c r="O2128">
        <v>0</v>
      </c>
      <c r="P2128">
        <v>0</v>
      </c>
      <c r="Q2128">
        <v>0</v>
      </c>
      <c r="R2128">
        <v>0</v>
      </c>
      <c r="S2128">
        <v>1</v>
      </c>
      <c r="T2128">
        <v>1</v>
      </c>
      <c r="U2128">
        <v>1</v>
      </c>
      <c r="V2128">
        <v>0</v>
      </c>
      <c r="W2128" t="s">
        <v>1519</v>
      </c>
      <c r="AA2128">
        <v>2007</v>
      </c>
      <c r="AB2128">
        <v>9999</v>
      </c>
      <c r="AC2128" t="s">
        <v>35</v>
      </c>
    </row>
    <row r="2129" spans="1:29" x14ac:dyDescent="0.25">
      <c r="A2129" s="31" t="s">
        <v>1011</v>
      </c>
      <c r="B2129" s="23" t="s">
        <v>1012</v>
      </c>
      <c r="D2129">
        <v>1</v>
      </c>
      <c r="E2129" t="s">
        <v>103</v>
      </c>
      <c r="F2129">
        <v>9</v>
      </c>
      <c r="G2129">
        <v>2019</v>
      </c>
      <c r="I2129" s="13">
        <v>1231.9000000000001</v>
      </c>
      <c r="J2129" t="s">
        <v>104</v>
      </c>
      <c r="K2129" t="s">
        <v>53</v>
      </c>
      <c r="L2129" t="s">
        <v>105</v>
      </c>
      <c r="O2129">
        <v>0</v>
      </c>
      <c r="P2129">
        <v>1</v>
      </c>
      <c r="Q2129">
        <v>0</v>
      </c>
      <c r="R2129">
        <v>0</v>
      </c>
      <c r="S2129">
        <v>1</v>
      </c>
      <c r="T2129">
        <v>1</v>
      </c>
      <c r="U2129">
        <v>1</v>
      </c>
      <c r="V2129">
        <v>0</v>
      </c>
      <c r="W2129" t="s">
        <v>106</v>
      </c>
      <c r="AA2129">
        <v>2007</v>
      </c>
      <c r="AB2129">
        <v>9999</v>
      </c>
      <c r="AC2129" t="s">
        <v>35</v>
      </c>
    </row>
    <row r="2130" spans="1:29" x14ac:dyDescent="0.25">
      <c r="A2130" s="31" t="s">
        <v>126</v>
      </c>
      <c r="B2130" s="25" t="s">
        <v>1573</v>
      </c>
      <c r="C2130" s="3" t="s">
        <v>127</v>
      </c>
      <c r="D2130">
        <v>1</v>
      </c>
      <c r="E2130" s="5" t="s">
        <v>128</v>
      </c>
      <c r="F2130">
        <v>9</v>
      </c>
      <c r="G2130">
        <v>2019</v>
      </c>
      <c r="H2130" t="s">
        <v>129</v>
      </c>
      <c r="I2130" s="13">
        <v>2</v>
      </c>
      <c r="J2130" t="s">
        <v>104</v>
      </c>
      <c r="K2130" t="s">
        <v>41</v>
      </c>
      <c r="O2130">
        <v>0</v>
      </c>
      <c r="P2130">
        <v>0</v>
      </c>
      <c r="Q2130">
        <v>0</v>
      </c>
      <c r="R2130">
        <v>0</v>
      </c>
      <c r="S2130">
        <v>0</v>
      </c>
      <c r="T2130">
        <v>1</v>
      </c>
      <c r="U2130">
        <v>0</v>
      </c>
      <c r="V2130">
        <v>0</v>
      </c>
      <c r="W2130" t="s">
        <v>1043</v>
      </c>
      <c r="AA2130">
        <v>2007</v>
      </c>
      <c r="AB2130">
        <v>9999</v>
      </c>
      <c r="AC2130" t="s">
        <v>35</v>
      </c>
    </row>
    <row r="2131" spans="1:29" x14ac:dyDescent="0.25">
      <c r="A2131" s="31" t="s">
        <v>1013</v>
      </c>
      <c r="B2131" s="23" t="s">
        <v>1014</v>
      </c>
      <c r="D2131">
        <v>1</v>
      </c>
      <c r="E2131" t="s">
        <v>128</v>
      </c>
      <c r="F2131">
        <v>9</v>
      </c>
      <c r="G2131">
        <v>2019</v>
      </c>
      <c r="H2131" t="s">
        <v>1513</v>
      </c>
      <c r="I2131" s="13">
        <v>4.8</v>
      </c>
      <c r="J2131" t="s">
        <v>104</v>
      </c>
      <c r="K2131" t="s">
        <v>41</v>
      </c>
      <c r="O2131">
        <v>0</v>
      </c>
      <c r="P2131">
        <v>0</v>
      </c>
      <c r="Q2131">
        <v>0</v>
      </c>
      <c r="R2131">
        <v>0</v>
      </c>
      <c r="S2131">
        <v>0</v>
      </c>
      <c r="T2131">
        <v>0</v>
      </c>
      <c r="U2131">
        <v>0</v>
      </c>
      <c r="V2131">
        <v>0</v>
      </c>
      <c r="W2131" t="s">
        <v>1229</v>
      </c>
      <c r="AA2131">
        <v>2007</v>
      </c>
      <c r="AB2131">
        <v>9999</v>
      </c>
      <c r="AC2131" t="s">
        <v>35</v>
      </c>
    </row>
    <row r="2132" spans="1:29" x14ac:dyDescent="0.25">
      <c r="A2132" s="31" t="s">
        <v>1016</v>
      </c>
      <c r="B2132" s="23" t="s">
        <v>1017</v>
      </c>
      <c r="D2132">
        <v>1</v>
      </c>
      <c r="E2132" t="s">
        <v>396</v>
      </c>
      <c r="F2132">
        <v>3</v>
      </c>
      <c r="G2132">
        <v>2019</v>
      </c>
      <c r="H2132" t="s">
        <v>1018</v>
      </c>
      <c r="I2132" s="13">
        <v>0.1</v>
      </c>
      <c r="J2132" t="s">
        <v>121</v>
      </c>
      <c r="K2132" t="s">
        <v>41</v>
      </c>
      <c r="O2132">
        <v>0</v>
      </c>
      <c r="P2132">
        <v>0</v>
      </c>
      <c r="Q2132">
        <v>0</v>
      </c>
      <c r="R2132">
        <v>0</v>
      </c>
      <c r="S2132">
        <v>0</v>
      </c>
      <c r="T2132">
        <v>0</v>
      </c>
      <c r="U2132">
        <v>0</v>
      </c>
      <c r="V2132">
        <v>0</v>
      </c>
      <c r="W2132" t="s">
        <v>1230</v>
      </c>
      <c r="AA2132">
        <v>2007</v>
      </c>
      <c r="AB2132">
        <v>9999</v>
      </c>
      <c r="AC2132" t="s">
        <v>35</v>
      </c>
    </row>
    <row r="2133" spans="1:29" x14ac:dyDescent="0.25">
      <c r="A2133" s="31" t="s">
        <v>1020</v>
      </c>
      <c r="B2133" s="23" t="s">
        <v>1021</v>
      </c>
      <c r="D2133">
        <v>1</v>
      </c>
      <c r="E2133" t="s">
        <v>103</v>
      </c>
      <c r="F2133">
        <v>9</v>
      </c>
      <c r="G2133">
        <v>2019</v>
      </c>
      <c r="I2133" s="13">
        <v>16.8</v>
      </c>
      <c r="J2133" t="s">
        <v>104</v>
      </c>
      <c r="K2133" t="s">
        <v>47</v>
      </c>
      <c r="O2133">
        <v>0</v>
      </c>
      <c r="P2133">
        <v>0</v>
      </c>
      <c r="Q2133">
        <v>0</v>
      </c>
      <c r="R2133">
        <v>0</v>
      </c>
      <c r="S2133">
        <v>0</v>
      </c>
      <c r="T2133">
        <v>1</v>
      </c>
      <c r="U2133">
        <v>1</v>
      </c>
      <c r="V2133">
        <v>0</v>
      </c>
      <c r="W2133" t="s">
        <v>1231</v>
      </c>
      <c r="AA2133">
        <v>2007</v>
      </c>
      <c r="AB2133">
        <v>9999</v>
      </c>
      <c r="AC2133" t="s">
        <v>35</v>
      </c>
    </row>
    <row r="2134" spans="1:29" x14ac:dyDescent="0.25">
      <c r="B2134" s="23" t="s">
        <v>1026</v>
      </c>
      <c r="D2134">
        <v>24</v>
      </c>
      <c r="F2134">
        <v>3</v>
      </c>
      <c r="G2134">
        <v>2019</v>
      </c>
      <c r="H2134" t="s">
        <v>392</v>
      </c>
      <c r="I2134" t="s">
        <v>1027</v>
      </c>
      <c r="J2134" t="s">
        <v>121</v>
      </c>
      <c r="K2134" t="s">
        <v>41</v>
      </c>
      <c r="O2134">
        <v>0</v>
      </c>
      <c r="P2134">
        <v>0</v>
      </c>
      <c r="Q2134">
        <v>0</v>
      </c>
      <c r="R2134">
        <v>0</v>
      </c>
      <c r="S2134">
        <v>0</v>
      </c>
      <c r="T2134">
        <v>0</v>
      </c>
      <c r="U2134">
        <v>0</v>
      </c>
      <c r="V2134">
        <v>0</v>
      </c>
      <c r="W2134" t="s">
        <v>1232</v>
      </c>
      <c r="AA2134">
        <v>2007</v>
      </c>
      <c r="AB2134">
        <v>9999</v>
      </c>
      <c r="AC2134" t="s">
        <v>35</v>
      </c>
    </row>
    <row r="2135" spans="1:29" x14ac:dyDescent="0.25">
      <c r="A2135" s="31" t="s">
        <v>28</v>
      </c>
      <c r="B2135" s="23" t="s">
        <v>29</v>
      </c>
      <c r="D2135">
        <v>1</v>
      </c>
      <c r="E2135" t="s">
        <v>30</v>
      </c>
      <c r="F2135">
        <v>4</v>
      </c>
      <c r="G2135">
        <v>2018</v>
      </c>
      <c r="I2135" s="8">
        <v>582.88</v>
      </c>
      <c r="J2135" s="2" t="s">
        <v>89</v>
      </c>
      <c r="K2135" t="s">
        <v>32</v>
      </c>
      <c r="L2135" t="s">
        <v>33</v>
      </c>
      <c r="O2135">
        <v>0</v>
      </c>
      <c r="P2135">
        <v>0</v>
      </c>
      <c r="Q2135">
        <v>0</v>
      </c>
      <c r="R2135">
        <v>1</v>
      </c>
      <c r="S2135">
        <v>1</v>
      </c>
      <c r="T2135">
        <v>1</v>
      </c>
      <c r="U2135">
        <v>1</v>
      </c>
      <c r="V2135">
        <v>0</v>
      </c>
      <c r="W2135" t="s">
        <v>1029</v>
      </c>
      <c r="AA2135">
        <v>2007</v>
      </c>
      <c r="AB2135">
        <v>9999</v>
      </c>
      <c r="AC2135" t="s">
        <v>35</v>
      </c>
    </row>
    <row r="2136" spans="1:29" x14ac:dyDescent="0.25">
      <c r="A2136" s="31" t="s">
        <v>36</v>
      </c>
      <c r="B2136" s="23" t="s">
        <v>1445</v>
      </c>
      <c r="D2136">
        <v>1</v>
      </c>
      <c r="E2136" s="5" t="s">
        <v>38</v>
      </c>
      <c r="F2136">
        <v>4</v>
      </c>
      <c r="G2136">
        <v>2018</v>
      </c>
      <c r="H2136" t="s">
        <v>39</v>
      </c>
      <c r="I2136">
        <v>0.25</v>
      </c>
      <c r="J2136" s="2" t="s">
        <v>40</v>
      </c>
      <c r="K2136" s="2" t="s">
        <v>41</v>
      </c>
      <c r="L2136" s="2"/>
      <c r="O2136">
        <v>0</v>
      </c>
      <c r="P2136">
        <v>0</v>
      </c>
      <c r="Q2136">
        <v>0</v>
      </c>
      <c r="R2136">
        <v>0</v>
      </c>
      <c r="S2136">
        <v>0</v>
      </c>
      <c r="T2136">
        <v>0</v>
      </c>
      <c r="U2136">
        <v>0</v>
      </c>
      <c r="V2136">
        <v>0</v>
      </c>
      <c r="W2136" t="s">
        <v>1030</v>
      </c>
      <c r="AA2136">
        <v>2007</v>
      </c>
      <c r="AB2136">
        <v>9999</v>
      </c>
      <c r="AC2136" t="s">
        <v>35</v>
      </c>
    </row>
    <row r="2137" spans="1:29" x14ac:dyDescent="0.25">
      <c r="A2137" s="31" t="s">
        <v>43</v>
      </c>
      <c r="B2137" s="23" t="s">
        <v>44</v>
      </c>
      <c r="D2137">
        <v>1</v>
      </c>
      <c r="E2137" t="s">
        <v>45</v>
      </c>
      <c r="F2137">
        <v>4</v>
      </c>
      <c r="G2137">
        <v>2018</v>
      </c>
      <c r="I2137" s="8">
        <v>47.84</v>
      </c>
      <c r="J2137" t="s">
        <v>52</v>
      </c>
      <c r="K2137" t="s">
        <v>47</v>
      </c>
      <c r="O2137">
        <v>0</v>
      </c>
      <c r="P2137">
        <v>0</v>
      </c>
      <c r="Q2137">
        <v>0</v>
      </c>
      <c r="R2137">
        <v>0</v>
      </c>
      <c r="S2137">
        <v>1</v>
      </c>
      <c r="T2137">
        <v>1</v>
      </c>
      <c r="U2137">
        <v>1</v>
      </c>
      <c r="V2137">
        <v>0</v>
      </c>
      <c r="W2137" t="s">
        <v>1514</v>
      </c>
      <c r="AA2137">
        <v>2007</v>
      </c>
      <c r="AB2137">
        <v>9999</v>
      </c>
      <c r="AC2137" t="s">
        <v>35</v>
      </c>
    </row>
    <row r="2138" spans="1:29" x14ac:dyDescent="0.25">
      <c r="A2138" s="31" t="s">
        <v>49</v>
      </c>
      <c r="B2138" s="25" t="s">
        <v>50</v>
      </c>
      <c r="D2138">
        <v>1</v>
      </c>
      <c r="E2138" t="s">
        <v>51</v>
      </c>
      <c r="F2138">
        <v>1</v>
      </c>
      <c r="G2138">
        <v>2018</v>
      </c>
      <c r="I2138">
        <v>66</v>
      </c>
      <c r="J2138" t="s">
        <v>52</v>
      </c>
      <c r="K2138" t="s">
        <v>53</v>
      </c>
      <c r="L2138" t="s">
        <v>54</v>
      </c>
      <c r="O2138">
        <v>0</v>
      </c>
      <c r="P2138">
        <v>0</v>
      </c>
      <c r="Q2138">
        <v>1</v>
      </c>
      <c r="R2138">
        <v>0</v>
      </c>
      <c r="S2138">
        <v>0</v>
      </c>
      <c r="T2138">
        <v>0</v>
      </c>
      <c r="U2138">
        <v>1</v>
      </c>
      <c r="V2138">
        <v>0</v>
      </c>
      <c r="W2138" t="s">
        <v>55</v>
      </c>
      <c r="AA2138">
        <v>2007</v>
      </c>
      <c r="AB2138">
        <v>9999</v>
      </c>
      <c r="AC2138" t="s">
        <v>35</v>
      </c>
    </row>
    <row r="2139" spans="1:29" x14ac:dyDescent="0.25">
      <c r="A2139" s="31" t="s">
        <v>996</v>
      </c>
      <c r="B2139" s="23" t="s">
        <v>1342</v>
      </c>
      <c r="D2139">
        <v>1</v>
      </c>
      <c r="E2139" t="s">
        <v>38</v>
      </c>
      <c r="F2139">
        <v>4</v>
      </c>
      <c r="G2139">
        <v>2018</v>
      </c>
      <c r="H2139" t="s">
        <v>998</v>
      </c>
      <c r="I2139">
        <v>1.25</v>
      </c>
      <c r="J2139" t="s">
        <v>89</v>
      </c>
      <c r="K2139" t="s">
        <v>41</v>
      </c>
      <c r="O2139">
        <v>0</v>
      </c>
      <c r="P2139">
        <v>0</v>
      </c>
      <c r="Q2139">
        <v>0</v>
      </c>
      <c r="R2139">
        <v>0</v>
      </c>
      <c r="S2139">
        <v>0</v>
      </c>
      <c r="T2139">
        <v>0</v>
      </c>
      <c r="U2139">
        <v>0</v>
      </c>
      <c r="V2139">
        <v>0</v>
      </c>
      <c r="W2139" t="s">
        <v>1344</v>
      </c>
      <c r="AA2139">
        <v>2007</v>
      </c>
      <c r="AB2139">
        <v>9999</v>
      </c>
      <c r="AC2139" t="s">
        <v>35</v>
      </c>
    </row>
    <row r="2140" spans="1:29" x14ac:dyDescent="0.25">
      <c r="A2140" s="31" t="s">
        <v>56</v>
      </c>
      <c r="B2140" s="23" t="s">
        <v>57</v>
      </c>
      <c r="D2140">
        <v>1</v>
      </c>
      <c r="E2140" t="s">
        <v>58</v>
      </c>
      <c r="F2140">
        <v>4</v>
      </c>
      <c r="G2140">
        <v>2018</v>
      </c>
      <c r="I2140" s="8">
        <v>18.48</v>
      </c>
      <c r="J2140" t="s">
        <v>59</v>
      </c>
      <c r="K2140" t="s">
        <v>53</v>
      </c>
      <c r="L2140" t="s">
        <v>60</v>
      </c>
      <c r="O2140">
        <v>1</v>
      </c>
      <c r="P2140">
        <v>0</v>
      </c>
      <c r="Q2140">
        <v>0</v>
      </c>
      <c r="R2140">
        <v>0</v>
      </c>
      <c r="S2140">
        <v>1</v>
      </c>
      <c r="T2140">
        <v>1</v>
      </c>
      <c r="U2140">
        <v>1</v>
      </c>
      <c r="V2140">
        <v>0</v>
      </c>
      <c r="W2140" t="s">
        <v>61</v>
      </c>
      <c r="AA2140">
        <v>2007</v>
      </c>
      <c r="AB2140">
        <v>9999</v>
      </c>
      <c r="AC2140" t="s">
        <v>35</v>
      </c>
    </row>
    <row r="2141" spans="1:29" x14ac:dyDescent="0.25">
      <c r="A2141" s="31" t="s">
        <v>71</v>
      </c>
      <c r="B2141" s="23" t="s">
        <v>1032</v>
      </c>
      <c r="D2141">
        <v>1</v>
      </c>
      <c r="E2141" t="s">
        <v>309</v>
      </c>
      <c r="F2141">
        <v>10</v>
      </c>
      <c r="G2141">
        <v>2018</v>
      </c>
      <c r="I2141" s="8">
        <v>12810.79</v>
      </c>
      <c r="J2141" t="s">
        <v>59</v>
      </c>
      <c r="K2141" t="s">
        <v>32</v>
      </c>
      <c r="O2141">
        <v>0</v>
      </c>
      <c r="P2141">
        <v>0</v>
      </c>
      <c r="Q2141">
        <v>0</v>
      </c>
      <c r="R2141">
        <v>0</v>
      </c>
      <c r="S2141">
        <v>1</v>
      </c>
      <c r="T2141">
        <v>1</v>
      </c>
      <c r="U2141">
        <v>1</v>
      </c>
      <c r="V2141">
        <v>0</v>
      </c>
      <c r="W2141" t="s">
        <v>1033</v>
      </c>
      <c r="AA2141">
        <v>2007</v>
      </c>
      <c r="AB2141">
        <v>9999</v>
      </c>
      <c r="AC2141" t="s">
        <v>35</v>
      </c>
    </row>
    <row r="2142" spans="1:29" x14ac:dyDescent="0.25">
      <c r="A2142" s="31" t="s">
        <v>62</v>
      </c>
      <c r="B2142" s="23" t="s">
        <v>63</v>
      </c>
      <c r="D2142">
        <v>1</v>
      </c>
      <c r="E2142" t="s">
        <v>64</v>
      </c>
      <c r="F2142">
        <v>1</v>
      </c>
      <c r="G2142">
        <v>2018</v>
      </c>
      <c r="I2142" s="8">
        <v>66.28</v>
      </c>
      <c r="J2142" t="s">
        <v>52</v>
      </c>
      <c r="K2142" t="s">
        <v>53</v>
      </c>
      <c r="L2142" t="s">
        <v>65</v>
      </c>
      <c r="O2142">
        <v>0</v>
      </c>
      <c r="P2142">
        <v>0</v>
      </c>
      <c r="Q2142">
        <v>0</v>
      </c>
      <c r="R2142">
        <v>0</v>
      </c>
      <c r="S2142">
        <v>1</v>
      </c>
      <c r="T2142">
        <v>1</v>
      </c>
      <c r="U2142">
        <v>1</v>
      </c>
      <c r="V2142">
        <v>0</v>
      </c>
      <c r="W2142" t="s">
        <v>1034</v>
      </c>
      <c r="AA2142">
        <v>2007</v>
      </c>
      <c r="AB2142">
        <v>9999</v>
      </c>
      <c r="AC2142" t="s">
        <v>35</v>
      </c>
    </row>
    <row r="2143" spans="1:29" x14ac:dyDescent="0.25">
      <c r="A2143" s="31" t="s">
        <v>74</v>
      </c>
      <c r="B2143" s="23" t="s">
        <v>75</v>
      </c>
      <c r="D2143">
        <v>1</v>
      </c>
      <c r="E2143" t="s">
        <v>58</v>
      </c>
      <c r="F2143">
        <v>4</v>
      </c>
      <c r="G2143">
        <v>2018</v>
      </c>
      <c r="I2143" s="8">
        <v>624.87</v>
      </c>
      <c r="J2143" t="s">
        <v>59</v>
      </c>
      <c r="K2143" t="s">
        <v>47</v>
      </c>
      <c r="O2143">
        <v>0</v>
      </c>
      <c r="P2143">
        <v>0</v>
      </c>
      <c r="Q2143">
        <v>0</v>
      </c>
      <c r="R2143">
        <v>0</v>
      </c>
      <c r="S2143">
        <v>1</v>
      </c>
      <c r="T2143">
        <v>1</v>
      </c>
      <c r="U2143">
        <v>1</v>
      </c>
      <c r="V2143">
        <v>0</v>
      </c>
      <c r="W2143" t="s">
        <v>1035</v>
      </c>
      <c r="AA2143">
        <v>2007</v>
      </c>
      <c r="AB2143">
        <v>9999</v>
      </c>
      <c r="AC2143" t="s">
        <v>35</v>
      </c>
    </row>
    <row r="2144" spans="1:29" x14ac:dyDescent="0.25">
      <c r="A2144" s="31" t="s">
        <v>83</v>
      </c>
      <c r="B2144" s="23" t="s">
        <v>84</v>
      </c>
      <c r="D2144">
        <v>1</v>
      </c>
      <c r="E2144" t="s">
        <v>85</v>
      </c>
      <c r="F2144">
        <v>1</v>
      </c>
      <c r="G2144">
        <v>2018</v>
      </c>
      <c r="H2144" t="s">
        <v>39</v>
      </c>
      <c r="I2144">
        <v>25.35</v>
      </c>
      <c r="J2144" s="2" t="s">
        <v>40</v>
      </c>
      <c r="K2144" t="s">
        <v>41</v>
      </c>
      <c r="O2144">
        <v>0</v>
      </c>
      <c r="P2144">
        <v>0</v>
      </c>
      <c r="Q2144">
        <v>0</v>
      </c>
      <c r="R2144">
        <v>0</v>
      </c>
      <c r="S2144">
        <v>0</v>
      </c>
      <c r="T2144">
        <v>0</v>
      </c>
      <c r="U2144">
        <v>0</v>
      </c>
      <c r="V2144">
        <v>0</v>
      </c>
      <c r="W2144" t="s">
        <v>86</v>
      </c>
      <c r="AA2144">
        <v>2007</v>
      </c>
      <c r="AB2144">
        <v>9999</v>
      </c>
      <c r="AC2144" t="s">
        <v>35</v>
      </c>
    </row>
    <row r="2145" spans="1:29" x14ac:dyDescent="0.25">
      <c r="A2145" s="31" t="s">
        <v>92</v>
      </c>
      <c r="B2145" s="23" t="s">
        <v>93</v>
      </c>
      <c r="C2145" t="s">
        <v>94</v>
      </c>
      <c r="D2145">
        <v>1</v>
      </c>
      <c r="E2145" t="s">
        <v>95</v>
      </c>
      <c r="F2145">
        <v>10</v>
      </c>
      <c r="G2145">
        <v>2018</v>
      </c>
      <c r="I2145" s="8">
        <v>25.25</v>
      </c>
      <c r="J2145" t="s">
        <v>40</v>
      </c>
      <c r="K2145" t="s">
        <v>47</v>
      </c>
      <c r="O2145">
        <v>0</v>
      </c>
      <c r="P2145">
        <v>0</v>
      </c>
      <c r="Q2145">
        <v>0</v>
      </c>
      <c r="R2145">
        <v>0</v>
      </c>
      <c r="S2145">
        <v>1</v>
      </c>
      <c r="T2145">
        <v>1</v>
      </c>
      <c r="U2145">
        <v>1</v>
      </c>
      <c r="V2145">
        <v>0</v>
      </c>
      <c r="W2145" t="s">
        <v>96</v>
      </c>
      <c r="AA2145">
        <v>2007</v>
      </c>
      <c r="AB2145">
        <v>9999</v>
      </c>
      <c r="AC2145" t="s">
        <v>35</v>
      </c>
    </row>
    <row r="2146" spans="1:29" x14ac:dyDescent="0.25">
      <c r="A2146" s="31" t="s">
        <v>101</v>
      </c>
      <c r="B2146" s="23" t="s">
        <v>102</v>
      </c>
      <c r="D2146">
        <v>1</v>
      </c>
      <c r="E2146" t="s">
        <v>103</v>
      </c>
      <c r="F2146">
        <v>9</v>
      </c>
      <c r="G2146">
        <v>2018</v>
      </c>
      <c r="I2146" s="8">
        <v>404.27</v>
      </c>
      <c r="J2146" t="s">
        <v>104</v>
      </c>
      <c r="K2146" t="s">
        <v>53</v>
      </c>
      <c r="L2146" t="s">
        <v>105</v>
      </c>
      <c r="O2146">
        <v>0</v>
      </c>
      <c r="P2146">
        <v>1</v>
      </c>
      <c r="Q2146">
        <v>0</v>
      </c>
      <c r="R2146">
        <v>0</v>
      </c>
      <c r="S2146">
        <v>1</v>
      </c>
      <c r="T2146">
        <v>1</v>
      </c>
      <c r="U2146">
        <v>1</v>
      </c>
      <c r="V2146">
        <v>0</v>
      </c>
      <c r="W2146" t="s">
        <v>106</v>
      </c>
      <c r="AA2146">
        <v>2007</v>
      </c>
      <c r="AB2146">
        <v>9999</v>
      </c>
      <c r="AC2146" t="s">
        <v>35</v>
      </c>
    </row>
    <row r="2147" spans="1:29" x14ac:dyDescent="0.25">
      <c r="A2147" s="31" t="s">
        <v>107</v>
      </c>
      <c r="B2147" s="23" t="s">
        <v>108</v>
      </c>
      <c r="D2147">
        <v>1</v>
      </c>
      <c r="E2147" t="s">
        <v>45</v>
      </c>
      <c r="F2147">
        <v>4</v>
      </c>
      <c r="G2147">
        <v>2018</v>
      </c>
      <c r="I2147" s="8">
        <v>6.9</v>
      </c>
      <c r="J2147" t="s">
        <v>52</v>
      </c>
      <c r="K2147" t="s">
        <v>41</v>
      </c>
      <c r="O2147">
        <v>0</v>
      </c>
      <c r="P2147">
        <v>0</v>
      </c>
      <c r="Q2147">
        <v>0</v>
      </c>
      <c r="R2147">
        <v>0</v>
      </c>
      <c r="S2147">
        <v>0</v>
      </c>
      <c r="T2147">
        <v>1</v>
      </c>
      <c r="U2147">
        <v>1</v>
      </c>
      <c r="V2147">
        <v>0</v>
      </c>
      <c r="W2147" t="s">
        <v>1520</v>
      </c>
      <c r="AA2147">
        <v>2007</v>
      </c>
      <c r="AB2147">
        <v>9999</v>
      </c>
      <c r="AC2147" t="s">
        <v>35</v>
      </c>
    </row>
    <row r="2148" spans="1:29" x14ac:dyDescent="0.25">
      <c r="A2148" s="31" t="s">
        <v>110</v>
      </c>
      <c r="B2148" s="23" t="s">
        <v>111</v>
      </c>
      <c r="D2148">
        <v>1</v>
      </c>
      <c r="E2148" t="s">
        <v>45</v>
      </c>
      <c r="F2148">
        <v>4</v>
      </c>
      <c r="G2148">
        <v>2018</v>
      </c>
      <c r="I2148" s="8">
        <v>565.13</v>
      </c>
      <c r="J2148" t="s">
        <v>89</v>
      </c>
      <c r="K2148" t="s">
        <v>47</v>
      </c>
      <c r="O2148">
        <v>0</v>
      </c>
      <c r="P2148">
        <v>0</v>
      </c>
      <c r="Q2148">
        <v>0</v>
      </c>
      <c r="R2148">
        <v>0</v>
      </c>
      <c r="S2148">
        <v>1</v>
      </c>
      <c r="T2148">
        <v>1</v>
      </c>
      <c r="U2148">
        <v>1</v>
      </c>
      <c r="V2148">
        <v>0</v>
      </c>
      <c r="W2148" t="s">
        <v>1039</v>
      </c>
      <c r="AA2148">
        <v>2007</v>
      </c>
      <c r="AB2148">
        <v>9999</v>
      </c>
      <c r="AC2148" t="s">
        <v>35</v>
      </c>
    </row>
    <row r="2149" spans="1:29" x14ac:dyDescent="0.25">
      <c r="A2149" s="31" t="s">
        <v>113</v>
      </c>
      <c r="B2149" s="23" t="s">
        <v>114</v>
      </c>
      <c r="D2149">
        <v>1</v>
      </c>
      <c r="E2149" t="s">
        <v>115</v>
      </c>
      <c r="F2149">
        <v>6</v>
      </c>
      <c r="G2149">
        <v>2018</v>
      </c>
      <c r="I2149" s="8">
        <v>232.27</v>
      </c>
      <c r="J2149" t="s">
        <v>89</v>
      </c>
      <c r="K2149" t="s">
        <v>47</v>
      </c>
      <c r="O2149">
        <v>0</v>
      </c>
      <c r="P2149">
        <v>0</v>
      </c>
      <c r="Q2149">
        <v>0</v>
      </c>
      <c r="R2149">
        <v>0</v>
      </c>
      <c r="S2149">
        <v>1</v>
      </c>
      <c r="T2149">
        <v>1</v>
      </c>
      <c r="U2149">
        <v>1</v>
      </c>
      <c r="V2149">
        <v>0</v>
      </c>
      <c r="W2149" t="s">
        <v>1415</v>
      </c>
      <c r="AA2149">
        <v>2007</v>
      </c>
      <c r="AB2149">
        <v>9999</v>
      </c>
      <c r="AC2149" t="s">
        <v>35</v>
      </c>
    </row>
    <row r="2150" spans="1:29" x14ac:dyDescent="0.25">
      <c r="A2150" s="31" t="s">
        <v>117</v>
      </c>
      <c r="B2150" s="23" t="s">
        <v>118</v>
      </c>
      <c r="C2150" t="s">
        <v>119</v>
      </c>
      <c r="D2150">
        <v>1</v>
      </c>
      <c r="E2150" t="s">
        <v>120</v>
      </c>
      <c r="F2150">
        <v>3</v>
      </c>
      <c r="G2150">
        <v>2018</v>
      </c>
      <c r="I2150" s="8">
        <v>127.33</v>
      </c>
      <c r="J2150" t="s">
        <v>121</v>
      </c>
      <c r="K2150" t="s">
        <v>47</v>
      </c>
      <c r="O2150">
        <v>0</v>
      </c>
      <c r="P2150">
        <v>0</v>
      </c>
      <c r="Q2150">
        <v>0</v>
      </c>
      <c r="R2150">
        <v>0</v>
      </c>
      <c r="S2150">
        <v>1</v>
      </c>
      <c r="T2150">
        <v>1</v>
      </c>
      <c r="U2150">
        <v>1</v>
      </c>
      <c r="V2150">
        <v>0</v>
      </c>
      <c r="W2150" t="s">
        <v>1521</v>
      </c>
      <c r="AA2150">
        <v>2007</v>
      </c>
      <c r="AB2150">
        <v>9999</v>
      </c>
      <c r="AC2150" t="s">
        <v>35</v>
      </c>
    </row>
    <row r="2151" spans="1:29" x14ac:dyDescent="0.25">
      <c r="A2151" s="31" t="s">
        <v>123</v>
      </c>
      <c r="B2151" s="23" t="s">
        <v>124</v>
      </c>
      <c r="D2151">
        <v>1</v>
      </c>
      <c r="E2151" t="s">
        <v>120</v>
      </c>
      <c r="F2151">
        <v>3</v>
      </c>
      <c r="G2151">
        <v>2018</v>
      </c>
      <c r="I2151" s="8">
        <v>56.05</v>
      </c>
      <c r="J2151" t="s">
        <v>121</v>
      </c>
      <c r="K2151" t="s">
        <v>47</v>
      </c>
      <c r="O2151">
        <v>0</v>
      </c>
      <c r="P2151">
        <v>0</v>
      </c>
      <c r="Q2151">
        <v>0</v>
      </c>
      <c r="R2151">
        <v>0</v>
      </c>
      <c r="S2151">
        <v>1</v>
      </c>
      <c r="T2151">
        <v>1</v>
      </c>
      <c r="U2151">
        <v>1</v>
      </c>
      <c r="V2151">
        <v>0</v>
      </c>
      <c r="W2151" t="s">
        <v>1042</v>
      </c>
      <c r="AA2151">
        <v>2007</v>
      </c>
      <c r="AB2151">
        <v>9999</v>
      </c>
      <c r="AC2151" t="s">
        <v>35</v>
      </c>
    </row>
    <row r="2152" spans="1:29" x14ac:dyDescent="0.25">
      <c r="A2152" s="31" t="s">
        <v>1416</v>
      </c>
      <c r="B2152" s="23" t="s">
        <v>1417</v>
      </c>
      <c r="D2152">
        <v>1</v>
      </c>
      <c r="E2152" s="5" t="s">
        <v>38</v>
      </c>
      <c r="F2152">
        <v>4</v>
      </c>
      <c r="G2152">
        <v>2018</v>
      </c>
      <c r="H2152" t="s">
        <v>998</v>
      </c>
      <c r="I2152" s="8"/>
      <c r="J2152" t="s">
        <v>89</v>
      </c>
      <c r="K2152" t="s">
        <v>41</v>
      </c>
      <c r="O2152">
        <v>0</v>
      </c>
      <c r="P2152">
        <v>0</v>
      </c>
      <c r="Q2152">
        <v>0</v>
      </c>
      <c r="R2152">
        <v>0</v>
      </c>
      <c r="S2152">
        <v>0</v>
      </c>
      <c r="T2152">
        <v>0</v>
      </c>
      <c r="U2152">
        <v>0</v>
      </c>
      <c r="V2152">
        <v>0</v>
      </c>
      <c r="W2152" t="s">
        <v>1534</v>
      </c>
      <c r="AA2152">
        <v>2013</v>
      </c>
      <c r="AB2152">
        <v>9999</v>
      </c>
      <c r="AC2152" t="s">
        <v>1419</v>
      </c>
    </row>
    <row r="2153" spans="1:29" x14ac:dyDescent="0.25">
      <c r="A2153" s="31" t="s">
        <v>126</v>
      </c>
      <c r="B2153" s="25" t="s">
        <v>127</v>
      </c>
      <c r="C2153" s="3" t="s">
        <v>127</v>
      </c>
      <c r="D2153">
        <v>1</v>
      </c>
      <c r="E2153" t="s">
        <v>128</v>
      </c>
      <c r="F2153">
        <v>9</v>
      </c>
      <c r="G2153">
        <v>2018</v>
      </c>
      <c r="H2153" t="s">
        <v>129</v>
      </c>
      <c r="I2153">
        <v>2</v>
      </c>
      <c r="J2153" t="s">
        <v>104</v>
      </c>
      <c r="K2153" t="s">
        <v>41</v>
      </c>
      <c r="O2153">
        <v>0</v>
      </c>
      <c r="P2153">
        <v>0</v>
      </c>
      <c r="Q2153">
        <v>0</v>
      </c>
      <c r="R2153">
        <v>0</v>
      </c>
      <c r="S2153">
        <v>0</v>
      </c>
      <c r="T2153">
        <v>0</v>
      </c>
      <c r="U2153">
        <v>0</v>
      </c>
      <c r="V2153">
        <v>0</v>
      </c>
      <c r="W2153" t="s">
        <v>1043</v>
      </c>
      <c r="AA2153">
        <v>2007</v>
      </c>
      <c r="AB2153">
        <v>9999</v>
      </c>
      <c r="AC2153" t="s">
        <v>35</v>
      </c>
    </row>
    <row r="2154" spans="1:29" x14ac:dyDescent="0.25">
      <c r="A2154" s="31" t="s">
        <v>131</v>
      </c>
      <c r="B2154" s="23" t="s">
        <v>132</v>
      </c>
      <c r="C2154" t="s">
        <v>133</v>
      </c>
      <c r="D2154">
        <v>1</v>
      </c>
      <c r="E2154" t="s">
        <v>134</v>
      </c>
      <c r="F2154">
        <v>9</v>
      </c>
      <c r="G2154">
        <v>2018</v>
      </c>
      <c r="I2154" s="8">
        <v>887.63</v>
      </c>
      <c r="J2154" t="s">
        <v>104</v>
      </c>
      <c r="K2154" t="s">
        <v>47</v>
      </c>
      <c r="O2154">
        <v>0</v>
      </c>
      <c r="P2154">
        <v>0</v>
      </c>
      <c r="Q2154">
        <v>0</v>
      </c>
      <c r="R2154">
        <v>0</v>
      </c>
      <c r="S2154">
        <v>1</v>
      </c>
      <c r="T2154">
        <v>1</v>
      </c>
      <c r="U2154">
        <v>1</v>
      </c>
      <c r="V2154">
        <v>0</v>
      </c>
      <c r="W2154" t="s">
        <v>1522</v>
      </c>
      <c r="AA2154">
        <v>2007</v>
      </c>
      <c r="AB2154">
        <v>9999</v>
      </c>
      <c r="AC2154" t="s">
        <v>35</v>
      </c>
    </row>
    <row r="2155" spans="1:29" x14ac:dyDescent="0.25">
      <c r="A2155" s="31" t="s">
        <v>140</v>
      </c>
      <c r="B2155" s="23" t="s">
        <v>141</v>
      </c>
      <c r="D2155">
        <v>1</v>
      </c>
      <c r="E2155" t="s">
        <v>45</v>
      </c>
      <c r="F2155">
        <v>4</v>
      </c>
      <c r="G2155">
        <v>2018</v>
      </c>
      <c r="I2155" s="8">
        <v>50.7</v>
      </c>
      <c r="J2155" t="s">
        <v>121</v>
      </c>
      <c r="K2155" t="s">
        <v>47</v>
      </c>
      <c r="O2155">
        <v>0</v>
      </c>
      <c r="P2155">
        <v>0</v>
      </c>
      <c r="Q2155">
        <v>0</v>
      </c>
      <c r="R2155">
        <v>0</v>
      </c>
      <c r="S2155">
        <v>1</v>
      </c>
      <c r="T2155">
        <v>1</v>
      </c>
      <c r="U2155">
        <v>1</v>
      </c>
      <c r="V2155">
        <v>0</v>
      </c>
      <c r="W2155" t="s">
        <v>1045</v>
      </c>
      <c r="AA2155">
        <v>2007</v>
      </c>
      <c r="AB2155">
        <v>9999</v>
      </c>
      <c r="AC2155" t="s">
        <v>35</v>
      </c>
    </row>
    <row r="2156" spans="1:29" ht="30" x14ac:dyDescent="0.25">
      <c r="A2156" s="31" t="s">
        <v>143</v>
      </c>
      <c r="B2156" s="23" t="s">
        <v>144</v>
      </c>
      <c r="D2156">
        <v>1</v>
      </c>
      <c r="E2156" t="s">
        <v>145</v>
      </c>
      <c r="F2156">
        <v>2</v>
      </c>
      <c r="G2156">
        <v>2018</v>
      </c>
      <c r="H2156" t="s">
        <v>146</v>
      </c>
      <c r="I2156">
        <v>0</v>
      </c>
      <c r="J2156" s="2" t="s">
        <v>147</v>
      </c>
      <c r="K2156" t="s">
        <v>41</v>
      </c>
      <c r="O2156">
        <v>0</v>
      </c>
      <c r="P2156">
        <v>0</v>
      </c>
      <c r="Q2156">
        <v>0</v>
      </c>
      <c r="R2156">
        <v>0</v>
      </c>
      <c r="S2156">
        <v>0</v>
      </c>
      <c r="T2156">
        <v>0</v>
      </c>
      <c r="U2156">
        <v>0</v>
      </c>
      <c r="V2156">
        <v>0</v>
      </c>
      <c r="W2156" t="s">
        <v>1046</v>
      </c>
      <c r="AA2156">
        <v>2007</v>
      </c>
      <c r="AB2156">
        <v>9999</v>
      </c>
      <c r="AC2156" t="s">
        <v>35</v>
      </c>
    </row>
    <row r="2157" spans="1:29" x14ac:dyDescent="0.25">
      <c r="A2157" s="31" t="s">
        <v>1535</v>
      </c>
      <c r="B2157" s="23" t="s">
        <v>1536</v>
      </c>
      <c r="C2157" t="s">
        <v>1537</v>
      </c>
      <c r="D2157">
        <v>1</v>
      </c>
      <c r="E2157" t="s">
        <v>95</v>
      </c>
      <c r="F2157">
        <v>10</v>
      </c>
      <c r="G2157">
        <v>2018</v>
      </c>
      <c r="I2157">
        <v>7.8</v>
      </c>
      <c r="J2157" t="s">
        <v>59</v>
      </c>
      <c r="K2157" t="s">
        <v>47</v>
      </c>
      <c r="O2157">
        <v>0</v>
      </c>
      <c r="P2157">
        <v>0</v>
      </c>
      <c r="Q2157">
        <v>0</v>
      </c>
      <c r="R2157">
        <v>0</v>
      </c>
      <c r="S2157">
        <v>1</v>
      </c>
      <c r="T2157">
        <v>1</v>
      </c>
      <c r="U2157">
        <v>1</v>
      </c>
      <c r="V2157">
        <v>0</v>
      </c>
      <c r="W2157" t="s">
        <v>1538</v>
      </c>
      <c r="AA2157">
        <v>2018</v>
      </c>
      <c r="AB2157">
        <v>2022</v>
      </c>
      <c r="AC2157" t="s">
        <v>1539</v>
      </c>
    </row>
    <row r="2158" spans="1:29" x14ac:dyDescent="0.25">
      <c r="A2158" s="31" t="s">
        <v>353</v>
      </c>
      <c r="B2158" s="23" t="s">
        <v>1233</v>
      </c>
      <c r="C2158" t="s">
        <v>1234</v>
      </c>
      <c r="D2158">
        <v>1</v>
      </c>
      <c r="E2158" t="s">
        <v>58</v>
      </c>
      <c r="F2158">
        <v>4</v>
      </c>
      <c r="G2158">
        <v>2018</v>
      </c>
      <c r="I2158" s="8">
        <v>77.63</v>
      </c>
      <c r="J2158" t="s">
        <v>59</v>
      </c>
      <c r="K2158" t="s">
        <v>47</v>
      </c>
      <c r="O2158">
        <v>0</v>
      </c>
      <c r="P2158">
        <v>0</v>
      </c>
      <c r="Q2158">
        <v>0</v>
      </c>
      <c r="R2158">
        <v>0</v>
      </c>
      <c r="S2158">
        <v>1</v>
      </c>
      <c r="T2158">
        <v>1</v>
      </c>
      <c r="U2158">
        <v>1</v>
      </c>
      <c r="V2158">
        <v>0</v>
      </c>
      <c r="W2158" t="s">
        <v>1235</v>
      </c>
      <c r="AA2158">
        <v>2007</v>
      </c>
      <c r="AB2158">
        <v>9999</v>
      </c>
      <c r="AC2158" t="s">
        <v>35</v>
      </c>
    </row>
    <row r="2159" spans="1:29" x14ac:dyDescent="0.25">
      <c r="A2159" s="31" t="s">
        <v>1236</v>
      </c>
      <c r="B2159" s="23" t="s">
        <v>1237</v>
      </c>
      <c r="D2159">
        <v>1</v>
      </c>
      <c r="E2159" t="s">
        <v>155</v>
      </c>
      <c r="F2159">
        <v>3</v>
      </c>
      <c r="G2159">
        <v>2018</v>
      </c>
      <c r="H2159" t="s">
        <v>154</v>
      </c>
      <c r="I2159" s="8">
        <v>6.9</v>
      </c>
      <c r="J2159" t="s">
        <v>121</v>
      </c>
      <c r="K2159" t="s">
        <v>41</v>
      </c>
      <c r="O2159">
        <v>0</v>
      </c>
      <c r="P2159">
        <v>0</v>
      </c>
      <c r="Q2159">
        <v>0</v>
      </c>
      <c r="R2159">
        <v>0</v>
      </c>
      <c r="S2159">
        <v>0</v>
      </c>
      <c r="T2159">
        <v>1</v>
      </c>
      <c r="U2159">
        <v>1</v>
      </c>
      <c r="V2159">
        <v>0</v>
      </c>
      <c r="W2159" t="s">
        <v>1347</v>
      </c>
      <c r="AA2159">
        <v>2009</v>
      </c>
      <c r="AB2159">
        <v>9999</v>
      </c>
      <c r="AC2159" t="s">
        <v>1239</v>
      </c>
    </row>
    <row r="2160" spans="1:29" x14ac:dyDescent="0.25">
      <c r="A2160" s="31" t="s">
        <v>153</v>
      </c>
      <c r="B2160" s="23" t="s">
        <v>154</v>
      </c>
      <c r="D2160">
        <v>1</v>
      </c>
      <c r="E2160" t="s">
        <v>155</v>
      </c>
      <c r="F2160">
        <v>3</v>
      </c>
      <c r="G2160">
        <v>2018</v>
      </c>
      <c r="I2160" s="8">
        <v>361.58145760000082</v>
      </c>
      <c r="J2160" t="s">
        <v>121</v>
      </c>
      <c r="K2160" t="s">
        <v>47</v>
      </c>
      <c r="O2160">
        <v>0</v>
      </c>
      <c r="P2160">
        <v>0</v>
      </c>
      <c r="Q2160">
        <v>0</v>
      </c>
      <c r="R2160">
        <v>0</v>
      </c>
      <c r="S2160">
        <v>1</v>
      </c>
      <c r="T2160">
        <v>1</v>
      </c>
      <c r="U2160">
        <v>1</v>
      </c>
      <c r="V2160">
        <v>1</v>
      </c>
      <c r="W2160" t="s">
        <v>1047</v>
      </c>
      <c r="AA2160">
        <v>2007</v>
      </c>
      <c r="AB2160">
        <v>9999</v>
      </c>
      <c r="AC2160" t="s">
        <v>35</v>
      </c>
    </row>
    <row r="2161" spans="1:29" x14ac:dyDescent="0.25">
      <c r="A2161" s="31" t="s">
        <v>1446</v>
      </c>
      <c r="B2161" s="23" t="s">
        <v>1470</v>
      </c>
      <c r="D2161">
        <v>1</v>
      </c>
      <c r="E2161" s="4">
        <v>711</v>
      </c>
      <c r="F2161">
        <v>7</v>
      </c>
      <c r="G2161">
        <v>2018</v>
      </c>
      <c r="I2161" s="8">
        <v>185.9</v>
      </c>
      <c r="J2161" s="2" t="s">
        <v>40</v>
      </c>
      <c r="K2161" t="s">
        <v>32</v>
      </c>
      <c r="O2161">
        <v>0</v>
      </c>
      <c r="P2161">
        <v>0</v>
      </c>
      <c r="Q2161">
        <v>0</v>
      </c>
      <c r="R2161">
        <v>0</v>
      </c>
      <c r="S2161">
        <v>1</v>
      </c>
      <c r="T2161">
        <v>1</v>
      </c>
      <c r="U2161">
        <v>1</v>
      </c>
      <c r="V2161">
        <v>0</v>
      </c>
      <c r="W2161" t="s">
        <v>1448</v>
      </c>
      <c r="AA2161">
        <v>2014</v>
      </c>
      <c r="AB2161">
        <v>9999</v>
      </c>
      <c r="AC2161" t="s">
        <v>1449</v>
      </c>
    </row>
    <row r="2162" spans="1:29" x14ac:dyDescent="0.25">
      <c r="A2162" s="31" t="s">
        <v>159</v>
      </c>
      <c r="B2162" s="23" t="s">
        <v>160</v>
      </c>
      <c r="D2162">
        <v>1</v>
      </c>
      <c r="E2162" t="s">
        <v>155</v>
      </c>
      <c r="F2162">
        <v>3</v>
      </c>
      <c r="G2162">
        <v>2018</v>
      </c>
      <c r="I2162" s="8">
        <v>343.28</v>
      </c>
      <c r="J2162" t="s">
        <v>121</v>
      </c>
      <c r="K2162" t="s">
        <v>47</v>
      </c>
      <c r="O2162">
        <v>0</v>
      </c>
      <c r="P2162">
        <v>0</v>
      </c>
      <c r="Q2162">
        <v>0</v>
      </c>
      <c r="R2162">
        <v>0</v>
      </c>
      <c r="S2162">
        <v>1</v>
      </c>
      <c r="T2162">
        <v>1</v>
      </c>
      <c r="U2162">
        <v>1</v>
      </c>
      <c r="V2162">
        <v>0</v>
      </c>
      <c r="W2162" t="s">
        <v>1515</v>
      </c>
      <c r="AA2162">
        <v>2007</v>
      </c>
      <c r="AB2162">
        <v>9999</v>
      </c>
      <c r="AC2162" t="s">
        <v>35</v>
      </c>
    </row>
    <row r="2163" spans="1:29" x14ac:dyDescent="0.25">
      <c r="A2163" s="31" t="s">
        <v>165</v>
      </c>
      <c r="B2163" s="23" t="s">
        <v>166</v>
      </c>
      <c r="C2163" t="s">
        <v>167</v>
      </c>
      <c r="D2163">
        <v>1</v>
      </c>
      <c r="E2163" t="s">
        <v>168</v>
      </c>
      <c r="F2163">
        <v>1</v>
      </c>
      <c r="G2163">
        <v>2018</v>
      </c>
      <c r="I2163" s="8">
        <v>145.91999999999999</v>
      </c>
      <c r="J2163" t="s">
        <v>52</v>
      </c>
      <c r="K2163" t="s">
        <v>47</v>
      </c>
      <c r="O2163">
        <v>0</v>
      </c>
      <c r="P2163">
        <v>0</v>
      </c>
      <c r="Q2163">
        <v>0</v>
      </c>
      <c r="R2163">
        <v>0</v>
      </c>
      <c r="S2163">
        <v>1</v>
      </c>
      <c r="T2163">
        <v>1</v>
      </c>
      <c r="U2163">
        <v>1</v>
      </c>
      <c r="V2163">
        <v>0</v>
      </c>
      <c r="W2163" t="s">
        <v>1523</v>
      </c>
      <c r="AA2163">
        <v>2007</v>
      </c>
      <c r="AB2163">
        <v>9999</v>
      </c>
      <c r="AC2163" t="s">
        <v>35</v>
      </c>
    </row>
    <row r="2164" spans="1:29" x14ac:dyDescent="0.25">
      <c r="A2164" s="31" t="s">
        <v>165</v>
      </c>
      <c r="B2164" s="23" t="s">
        <v>1349</v>
      </c>
      <c r="D2164">
        <v>1</v>
      </c>
      <c r="E2164" t="s">
        <v>38</v>
      </c>
      <c r="F2164">
        <v>4</v>
      </c>
      <c r="G2164">
        <v>2018</v>
      </c>
      <c r="H2164" t="s">
        <v>205</v>
      </c>
      <c r="I2164">
        <v>7</v>
      </c>
      <c r="J2164" t="s">
        <v>89</v>
      </c>
      <c r="K2164" t="s">
        <v>41</v>
      </c>
      <c r="O2164">
        <v>0</v>
      </c>
      <c r="P2164">
        <v>0</v>
      </c>
      <c r="Q2164">
        <v>0</v>
      </c>
      <c r="R2164">
        <v>0</v>
      </c>
      <c r="S2164">
        <v>0</v>
      </c>
      <c r="T2164">
        <v>0</v>
      </c>
      <c r="U2164">
        <v>0</v>
      </c>
      <c r="V2164">
        <v>0</v>
      </c>
      <c r="W2164" t="s">
        <v>1350</v>
      </c>
      <c r="AA2164">
        <v>2007</v>
      </c>
      <c r="AB2164">
        <v>9999</v>
      </c>
      <c r="AC2164" t="s">
        <v>35</v>
      </c>
    </row>
    <row r="2165" spans="1:29" x14ac:dyDescent="0.25">
      <c r="A2165" s="31" t="s">
        <v>170</v>
      </c>
      <c r="B2165" s="23" t="s">
        <v>171</v>
      </c>
      <c r="D2165">
        <v>1</v>
      </c>
      <c r="E2165" t="s">
        <v>30</v>
      </c>
      <c r="F2165">
        <v>4</v>
      </c>
      <c r="G2165">
        <v>2018</v>
      </c>
      <c r="I2165" s="8">
        <v>50.79</v>
      </c>
      <c r="J2165" t="s">
        <v>1471</v>
      </c>
      <c r="K2165" t="s">
        <v>47</v>
      </c>
      <c r="O2165">
        <v>0</v>
      </c>
      <c r="P2165">
        <v>0</v>
      </c>
      <c r="Q2165">
        <v>0</v>
      </c>
      <c r="R2165">
        <v>0</v>
      </c>
      <c r="S2165">
        <v>1</v>
      </c>
      <c r="T2165">
        <v>1</v>
      </c>
      <c r="U2165">
        <v>1</v>
      </c>
      <c r="V2165">
        <v>0</v>
      </c>
      <c r="W2165" t="s">
        <v>1050</v>
      </c>
      <c r="AA2165">
        <v>2007</v>
      </c>
      <c r="AB2165">
        <v>9999</v>
      </c>
      <c r="AC2165" t="s">
        <v>35</v>
      </c>
    </row>
    <row r="2166" spans="1:29" x14ac:dyDescent="0.25">
      <c r="A2166" s="31" t="s">
        <v>1051</v>
      </c>
      <c r="B2166" s="23" t="s">
        <v>1052</v>
      </c>
      <c r="D2166">
        <v>1</v>
      </c>
      <c r="E2166" t="s">
        <v>30</v>
      </c>
      <c r="F2166">
        <v>4</v>
      </c>
      <c r="G2166">
        <v>2018</v>
      </c>
      <c r="I2166" s="8">
        <v>111.49</v>
      </c>
      <c r="J2166" t="s">
        <v>1471</v>
      </c>
      <c r="K2166" t="s">
        <v>47</v>
      </c>
      <c r="O2166">
        <v>0</v>
      </c>
      <c r="P2166">
        <v>0</v>
      </c>
      <c r="Q2166">
        <v>0</v>
      </c>
      <c r="R2166">
        <v>0</v>
      </c>
      <c r="S2166">
        <v>1</v>
      </c>
      <c r="T2166">
        <v>1</v>
      </c>
      <c r="U2166">
        <v>1</v>
      </c>
      <c r="V2166">
        <v>0</v>
      </c>
      <c r="W2166" t="s">
        <v>1524</v>
      </c>
      <c r="AA2166">
        <v>2008</v>
      </c>
      <c r="AB2166">
        <v>9999</v>
      </c>
      <c r="AC2166" t="s">
        <v>1054</v>
      </c>
    </row>
    <row r="2167" spans="1:29" x14ac:dyDescent="0.25">
      <c r="A2167" s="31" t="s">
        <v>173</v>
      </c>
      <c r="B2167" s="23" t="s">
        <v>174</v>
      </c>
      <c r="C2167" t="s">
        <v>175</v>
      </c>
      <c r="D2167">
        <v>1</v>
      </c>
      <c r="E2167" t="s">
        <v>45</v>
      </c>
      <c r="F2167">
        <v>4</v>
      </c>
      <c r="G2167">
        <v>2018</v>
      </c>
      <c r="I2167" s="8">
        <v>136.65</v>
      </c>
      <c r="J2167" t="s">
        <v>176</v>
      </c>
      <c r="K2167" t="s">
        <v>32</v>
      </c>
      <c r="O2167">
        <v>0</v>
      </c>
      <c r="P2167">
        <v>0</v>
      </c>
      <c r="Q2167">
        <v>0</v>
      </c>
      <c r="R2167">
        <v>0</v>
      </c>
      <c r="S2167">
        <v>1</v>
      </c>
      <c r="T2167">
        <v>1</v>
      </c>
      <c r="U2167">
        <v>1</v>
      </c>
      <c r="V2167">
        <v>0</v>
      </c>
      <c r="W2167" t="s">
        <v>1055</v>
      </c>
      <c r="AA2167">
        <v>2007</v>
      </c>
      <c r="AB2167">
        <v>9999</v>
      </c>
      <c r="AC2167" t="s">
        <v>35</v>
      </c>
    </row>
    <row r="2168" spans="1:29" x14ac:dyDescent="0.25">
      <c r="A2168" s="31" t="s">
        <v>178</v>
      </c>
      <c r="B2168" s="23" t="s">
        <v>1424</v>
      </c>
      <c r="C2168" t="s">
        <v>1425</v>
      </c>
      <c r="D2168">
        <v>1</v>
      </c>
      <c r="E2168" t="s">
        <v>45</v>
      </c>
      <c r="F2168">
        <v>4</v>
      </c>
      <c r="G2168">
        <v>2018</v>
      </c>
      <c r="I2168" s="8">
        <v>17.72</v>
      </c>
      <c r="J2168" t="s">
        <v>52</v>
      </c>
      <c r="K2168" t="s">
        <v>47</v>
      </c>
      <c r="O2168">
        <v>0</v>
      </c>
      <c r="P2168">
        <v>0</v>
      </c>
      <c r="Q2168">
        <v>0</v>
      </c>
      <c r="R2168">
        <v>0</v>
      </c>
      <c r="S2168">
        <v>1</v>
      </c>
      <c r="T2168">
        <v>1</v>
      </c>
      <c r="U2168">
        <v>1</v>
      </c>
      <c r="V2168">
        <v>0</v>
      </c>
      <c r="W2168" t="s">
        <v>1240</v>
      </c>
      <c r="AA2168">
        <v>2007</v>
      </c>
      <c r="AB2168">
        <v>9999</v>
      </c>
      <c r="AC2168" t="s">
        <v>35</v>
      </c>
    </row>
    <row r="2169" spans="1:29" x14ac:dyDescent="0.25">
      <c r="A2169" s="31" t="s">
        <v>181</v>
      </c>
      <c r="B2169" s="23" t="s">
        <v>182</v>
      </c>
      <c r="D2169">
        <v>1</v>
      </c>
      <c r="E2169" t="s">
        <v>38</v>
      </c>
      <c r="F2169">
        <v>4</v>
      </c>
      <c r="G2169">
        <v>2018</v>
      </c>
      <c r="H2169" t="s">
        <v>39</v>
      </c>
      <c r="I2169">
        <v>0.25</v>
      </c>
      <c r="J2169" t="s">
        <v>121</v>
      </c>
      <c r="K2169" t="s">
        <v>41</v>
      </c>
      <c r="O2169">
        <v>0</v>
      </c>
      <c r="P2169">
        <v>0</v>
      </c>
      <c r="Q2169">
        <v>0</v>
      </c>
      <c r="R2169">
        <v>0</v>
      </c>
      <c r="S2169">
        <v>0</v>
      </c>
      <c r="T2169">
        <v>0</v>
      </c>
      <c r="U2169">
        <v>0</v>
      </c>
      <c r="V2169">
        <v>0</v>
      </c>
      <c r="W2169" t="s">
        <v>1057</v>
      </c>
      <c r="AA2169">
        <v>2007</v>
      </c>
      <c r="AB2169">
        <v>9999</v>
      </c>
      <c r="AC2169" t="s">
        <v>35</v>
      </c>
    </row>
    <row r="2170" spans="1:29" x14ac:dyDescent="0.25">
      <c r="A2170" s="31" t="s">
        <v>184</v>
      </c>
      <c r="B2170" s="23" t="s">
        <v>185</v>
      </c>
      <c r="C2170" t="s">
        <v>186</v>
      </c>
      <c r="D2170">
        <v>1</v>
      </c>
      <c r="E2170" t="s">
        <v>45</v>
      </c>
      <c r="F2170">
        <v>4</v>
      </c>
      <c r="G2170">
        <v>2018</v>
      </c>
      <c r="I2170" s="8">
        <v>460.9</v>
      </c>
      <c r="J2170" t="s">
        <v>52</v>
      </c>
      <c r="K2170" t="s">
        <v>32</v>
      </c>
      <c r="O2170">
        <v>0</v>
      </c>
      <c r="P2170">
        <v>0</v>
      </c>
      <c r="Q2170">
        <v>0</v>
      </c>
      <c r="R2170">
        <v>0</v>
      </c>
      <c r="S2170">
        <v>1</v>
      </c>
      <c r="T2170">
        <v>1</v>
      </c>
      <c r="U2170">
        <v>1</v>
      </c>
      <c r="V2170">
        <v>0</v>
      </c>
      <c r="W2170" t="s">
        <v>1287</v>
      </c>
      <c r="AA2170">
        <v>2007</v>
      </c>
      <c r="AB2170">
        <v>9999</v>
      </c>
      <c r="AC2170" t="s">
        <v>35</v>
      </c>
    </row>
    <row r="2171" spans="1:29" x14ac:dyDescent="0.25">
      <c r="A2171" s="31" t="s">
        <v>1059</v>
      </c>
      <c r="B2171" s="23" t="s">
        <v>1060</v>
      </c>
      <c r="D2171">
        <v>1</v>
      </c>
      <c r="E2171" t="s">
        <v>874</v>
      </c>
      <c r="F2171">
        <v>1</v>
      </c>
      <c r="G2171">
        <v>2018</v>
      </c>
      <c r="I2171" s="8">
        <v>5.5</v>
      </c>
      <c r="J2171" t="s">
        <v>52</v>
      </c>
      <c r="K2171" t="s">
        <v>47</v>
      </c>
      <c r="O2171">
        <v>0</v>
      </c>
      <c r="P2171">
        <v>0</v>
      </c>
      <c r="Q2171">
        <v>0</v>
      </c>
      <c r="R2171">
        <v>0</v>
      </c>
      <c r="S2171">
        <v>1</v>
      </c>
      <c r="T2171">
        <v>1</v>
      </c>
      <c r="U2171">
        <v>1</v>
      </c>
      <c r="V2171">
        <v>0</v>
      </c>
      <c r="W2171" t="s">
        <v>1392</v>
      </c>
      <c r="AA2171">
        <v>2008</v>
      </c>
      <c r="AB2171">
        <v>9999</v>
      </c>
      <c r="AC2171" t="s">
        <v>1054</v>
      </c>
    </row>
    <row r="2172" spans="1:29" x14ac:dyDescent="0.25">
      <c r="A2172" s="31" t="s">
        <v>192</v>
      </c>
      <c r="B2172" s="25" t="s">
        <v>193</v>
      </c>
      <c r="D2172">
        <v>1</v>
      </c>
      <c r="E2172" t="s">
        <v>51</v>
      </c>
      <c r="F2172">
        <v>1</v>
      </c>
      <c r="G2172">
        <v>2018</v>
      </c>
      <c r="I2172" s="8">
        <v>54</v>
      </c>
      <c r="J2172" t="s">
        <v>52</v>
      </c>
      <c r="K2172" t="s">
        <v>53</v>
      </c>
      <c r="L2172" t="s">
        <v>54</v>
      </c>
      <c r="O2172">
        <v>0</v>
      </c>
      <c r="P2172">
        <v>0</v>
      </c>
      <c r="Q2172">
        <v>1</v>
      </c>
      <c r="R2172">
        <v>0</v>
      </c>
      <c r="S2172">
        <v>0</v>
      </c>
      <c r="T2172">
        <v>0</v>
      </c>
      <c r="U2172">
        <v>1</v>
      </c>
      <c r="V2172">
        <v>0</v>
      </c>
      <c r="W2172" t="s">
        <v>55</v>
      </c>
      <c r="AA2172">
        <v>2007</v>
      </c>
      <c r="AB2172">
        <v>9999</v>
      </c>
      <c r="AC2172" t="s">
        <v>35</v>
      </c>
    </row>
    <row r="2173" spans="1:29" x14ac:dyDescent="0.25">
      <c r="A2173" s="31" t="s">
        <v>194</v>
      </c>
      <c r="B2173" s="23" t="s">
        <v>195</v>
      </c>
      <c r="C2173" t="s">
        <v>196</v>
      </c>
      <c r="D2173">
        <v>1</v>
      </c>
      <c r="E2173" t="s">
        <v>197</v>
      </c>
      <c r="F2173">
        <v>2</v>
      </c>
      <c r="G2173">
        <v>2018</v>
      </c>
      <c r="I2173" s="8">
        <v>196.39</v>
      </c>
      <c r="J2173" t="s">
        <v>176</v>
      </c>
      <c r="K2173" t="s">
        <v>47</v>
      </c>
      <c r="O2173">
        <v>0</v>
      </c>
      <c r="P2173">
        <v>0</v>
      </c>
      <c r="Q2173">
        <v>0</v>
      </c>
      <c r="R2173">
        <v>0</v>
      </c>
      <c r="S2173">
        <v>1</v>
      </c>
      <c r="T2173">
        <v>1</v>
      </c>
      <c r="U2173">
        <v>1</v>
      </c>
      <c r="V2173">
        <v>0</v>
      </c>
      <c r="W2173" t="s">
        <v>1450</v>
      </c>
      <c r="AA2173">
        <v>2007</v>
      </c>
      <c r="AB2173">
        <v>9999</v>
      </c>
      <c r="AC2173" t="s">
        <v>35</v>
      </c>
    </row>
    <row r="2174" spans="1:29" x14ac:dyDescent="0.25">
      <c r="A2174" s="31" t="s">
        <v>1451</v>
      </c>
      <c r="B2174" s="23" t="s">
        <v>1452</v>
      </c>
      <c r="D2174">
        <v>1</v>
      </c>
      <c r="E2174" s="4">
        <v>760</v>
      </c>
      <c r="F2174">
        <v>7</v>
      </c>
      <c r="G2174">
        <v>2018</v>
      </c>
      <c r="I2174" s="8">
        <v>437</v>
      </c>
      <c r="J2174" t="s">
        <v>40</v>
      </c>
      <c r="K2174" t="s">
        <v>47</v>
      </c>
      <c r="O2174">
        <v>0</v>
      </c>
      <c r="P2174">
        <v>0</v>
      </c>
      <c r="Q2174">
        <v>0</v>
      </c>
      <c r="R2174">
        <v>0</v>
      </c>
      <c r="S2174">
        <v>1</v>
      </c>
      <c r="T2174">
        <v>1</v>
      </c>
      <c r="U2174">
        <v>1</v>
      </c>
      <c r="V2174">
        <v>0</v>
      </c>
      <c r="W2174" t="s">
        <v>1453</v>
      </c>
      <c r="AA2174">
        <v>2014</v>
      </c>
      <c r="AB2174">
        <v>9999</v>
      </c>
      <c r="AC2174" t="s">
        <v>1449</v>
      </c>
    </row>
    <row r="2175" spans="1:29" x14ac:dyDescent="0.25">
      <c r="A2175" s="31" t="s">
        <v>203</v>
      </c>
      <c r="B2175" s="23" t="s">
        <v>204</v>
      </c>
      <c r="D2175">
        <v>1</v>
      </c>
      <c r="E2175" t="s">
        <v>201</v>
      </c>
      <c r="F2175">
        <v>1</v>
      </c>
      <c r="G2175">
        <v>2018</v>
      </c>
      <c r="H2175" t="s">
        <v>205</v>
      </c>
      <c r="I2175">
        <v>1.75</v>
      </c>
      <c r="J2175" t="s">
        <v>52</v>
      </c>
      <c r="K2175" t="s">
        <v>41</v>
      </c>
      <c r="O2175">
        <v>0</v>
      </c>
      <c r="P2175">
        <v>0</v>
      </c>
      <c r="Q2175">
        <v>0</v>
      </c>
      <c r="R2175">
        <v>0</v>
      </c>
      <c r="S2175">
        <v>0</v>
      </c>
      <c r="T2175">
        <v>0</v>
      </c>
      <c r="U2175">
        <v>0</v>
      </c>
      <c r="V2175">
        <v>0</v>
      </c>
      <c r="W2175" t="s">
        <v>1064</v>
      </c>
      <c r="AA2175">
        <v>2007</v>
      </c>
      <c r="AB2175">
        <v>9999</v>
      </c>
      <c r="AC2175" t="s">
        <v>35</v>
      </c>
    </row>
    <row r="2176" spans="1:29" x14ac:dyDescent="0.25">
      <c r="A2176" s="31" t="s">
        <v>207</v>
      </c>
      <c r="B2176" s="23" t="s">
        <v>1472</v>
      </c>
      <c r="C2176" t="s">
        <v>209</v>
      </c>
      <c r="D2176">
        <v>1</v>
      </c>
      <c r="E2176" t="s">
        <v>210</v>
      </c>
      <c r="F2176">
        <v>10</v>
      </c>
      <c r="G2176">
        <v>2018</v>
      </c>
      <c r="I2176" s="8">
        <v>31.5</v>
      </c>
      <c r="J2176" t="s">
        <v>40</v>
      </c>
      <c r="K2176" t="s">
        <v>32</v>
      </c>
      <c r="O2176">
        <v>0</v>
      </c>
      <c r="P2176">
        <v>0</v>
      </c>
      <c r="Q2176">
        <v>0</v>
      </c>
      <c r="R2176">
        <v>0</v>
      </c>
      <c r="S2176">
        <v>1</v>
      </c>
      <c r="T2176">
        <v>1</v>
      </c>
      <c r="U2176">
        <v>1</v>
      </c>
      <c r="V2176">
        <v>0</v>
      </c>
      <c r="W2176" t="s">
        <v>1065</v>
      </c>
      <c r="AA2176">
        <v>2007</v>
      </c>
      <c r="AB2176">
        <v>9999</v>
      </c>
      <c r="AC2176" t="s">
        <v>35</v>
      </c>
    </row>
    <row r="2177" spans="1:29" ht="30" x14ac:dyDescent="0.25">
      <c r="A2177" s="31" t="s">
        <v>212</v>
      </c>
      <c r="B2177" s="23" t="s">
        <v>213</v>
      </c>
      <c r="C2177" t="s">
        <v>214</v>
      </c>
      <c r="D2177">
        <v>1</v>
      </c>
      <c r="E2177" s="4">
        <v>550</v>
      </c>
      <c r="F2177">
        <v>5</v>
      </c>
      <c r="G2177">
        <v>2018</v>
      </c>
      <c r="I2177" s="8">
        <v>60.75</v>
      </c>
      <c r="J2177" s="2" t="s">
        <v>1471</v>
      </c>
      <c r="K2177" t="s">
        <v>32</v>
      </c>
      <c r="O2177">
        <v>0</v>
      </c>
      <c r="P2177">
        <v>0</v>
      </c>
      <c r="Q2177">
        <v>0</v>
      </c>
      <c r="R2177">
        <v>0</v>
      </c>
      <c r="S2177">
        <v>1</v>
      </c>
      <c r="T2177">
        <v>1</v>
      </c>
      <c r="U2177">
        <v>1</v>
      </c>
      <c r="V2177">
        <v>0</v>
      </c>
      <c r="W2177" t="s">
        <v>1288</v>
      </c>
      <c r="AA2177">
        <v>2007</v>
      </c>
      <c r="AB2177">
        <v>9999</v>
      </c>
      <c r="AC2177" t="s">
        <v>35</v>
      </c>
    </row>
    <row r="2178" spans="1:29" x14ac:dyDescent="0.25">
      <c r="A2178" s="31" t="s">
        <v>216</v>
      </c>
      <c r="B2178" s="23" t="s">
        <v>217</v>
      </c>
      <c r="D2178">
        <v>1</v>
      </c>
      <c r="E2178" t="s">
        <v>218</v>
      </c>
      <c r="F2178">
        <v>2</v>
      </c>
      <c r="G2178">
        <v>2018</v>
      </c>
      <c r="I2178" s="8">
        <v>588.15</v>
      </c>
      <c r="J2178" t="s">
        <v>52</v>
      </c>
      <c r="K2178" t="s">
        <v>32</v>
      </c>
      <c r="O2178">
        <v>0</v>
      </c>
      <c r="P2178">
        <v>0</v>
      </c>
      <c r="Q2178">
        <v>0</v>
      </c>
      <c r="R2178">
        <v>0</v>
      </c>
      <c r="S2178">
        <v>1</v>
      </c>
      <c r="T2178">
        <v>1</v>
      </c>
      <c r="U2178">
        <v>1</v>
      </c>
      <c r="V2178">
        <v>0</v>
      </c>
      <c r="W2178" t="s">
        <v>1067</v>
      </c>
      <c r="AA2178">
        <v>2007</v>
      </c>
      <c r="AB2178">
        <v>9999</v>
      </c>
      <c r="AC2178" t="s">
        <v>35</v>
      </c>
    </row>
    <row r="2179" spans="1:29" x14ac:dyDescent="0.25">
      <c r="A2179" s="31" t="s">
        <v>220</v>
      </c>
      <c r="B2179" s="23" t="s">
        <v>221</v>
      </c>
      <c r="D2179">
        <v>1</v>
      </c>
      <c r="E2179" t="s">
        <v>222</v>
      </c>
      <c r="F2179">
        <v>8</v>
      </c>
      <c r="G2179">
        <v>2018</v>
      </c>
      <c r="I2179" s="8">
        <v>31.27</v>
      </c>
      <c r="J2179" t="s">
        <v>81</v>
      </c>
      <c r="K2179" t="s">
        <v>47</v>
      </c>
      <c r="O2179">
        <v>0</v>
      </c>
      <c r="P2179">
        <v>0</v>
      </c>
      <c r="Q2179">
        <v>0</v>
      </c>
      <c r="R2179">
        <v>0</v>
      </c>
      <c r="S2179">
        <v>1</v>
      </c>
      <c r="T2179">
        <v>1</v>
      </c>
      <c r="U2179">
        <v>1</v>
      </c>
      <c r="V2179">
        <v>0</v>
      </c>
      <c r="W2179" t="s">
        <v>1068</v>
      </c>
      <c r="AA2179">
        <v>2007</v>
      </c>
      <c r="AB2179">
        <v>9999</v>
      </c>
      <c r="AC2179" t="s">
        <v>35</v>
      </c>
    </row>
    <row r="2180" spans="1:29" x14ac:dyDescent="0.25">
      <c r="A2180" s="31" t="s">
        <v>224</v>
      </c>
      <c r="B2180" s="25" t="s">
        <v>225</v>
      </c>
      <c r="D2180">
        <v>1</v>
      </c>
      <c r="E2180" t="s">
        <v>51</v>
      </c>
      <c r="F2180">
        <v>1</v>
      </c>
      <c r="G2180">
        <v>2018</v>
      </c>
      <c r="I2180" s="8">
        <v>61</v>
      </c>
      <c r="J2180" t="s">
        <v>52</v>
      </c>
      <c r="K2180" t="s">
        <v>53</v>
      </c>
      <c r="L2180" t="s">
        <v>54</v>
      </c>
      <c r="O2180">
        <v>0</v>
      </c>
      <c r="P2180">
        <v>0</v>
      </c>
      <c r="Q2180">
        <v>1</v>
      </c>
      <c r="R2180">
        <v>0</v>
      </c>
      <c r="S2180">
        <v>0</v>
      </c>
      <c r="T2180">
        <v>0</v>
      </c>
      <c r="U2180">
        <v>1</v>
      </c>
      <c r="V2180">
        <v>0</v>
      </c>
      <c r="W2180" t="s">
        <v>55</v>
      </c>
      <c r="AA2180">
        <v>2007</v>
      </c>
      <c r="AB2180">
        <v>9999</v>
      </c>
      <c r="AC2180" t="s">
        <v>35</v>
      </c>
    </row>
    <row r="2181" spans="1:29" x14ac:dyDescent="0.25">
      <c r="A2181" s="31" t="s">
        <v>226</v>
      </c>
      <c r="B2181" s="23" t="s">
        <v>227</v>
      </c>
      <c r="C2181" t="s">
        <v>228</v>
      </c>
      <c r="D2181">
        <v>1</v>
      </c>
      <c r="E2181" t="s">
        <v>218</v>
      </c>
      <c r="F2181">
        <v>2</v>
      </c>
      <c r="G2181">
        <v>2018</v>
      </c>
      <c r="I2181" s="8">
        <v>3477</v>
      </c>
      <c r="J2181" t="s">
        <v>147</v>
      </c>
      <c r="K2181" t="s">
        <v>32</v>
      </c>
      <c r="O2181">
        <v>0</v>
      </c>
      <c r="P2181">
        <v>0</v>
      </c>
      <c r="Q2181">
        <v>0</v>
      </c>
      <c r="R2181">
        <v>0</v>
      </c>
      <c r="S2181">
        <v>1</v>
      </c>
      <c r="T2181">
        <v>1</v>
      </c>
      <c r="U2181">
        <v>1</v>
      </c>
      <c r="V2181">
        <v>0</v>
      </c>
      <c r="W2181" t="s">
        <v>1069</v>
      </c>
      <c r="AA2181">
        <v>2007</v>
      </c>
      <c r="AB2181">
        <v>9999</v>
      </c>
      <c r="AC2181" t="s">
        <v>35</v>
      </c>
    </row>
    <row r="2182" spans="1:29" x14ac:dyDescent="0.25">
      <c r="A2182" s="31" t="s">
        <v>230</v>
      </c>
      <c r="B2182" s="23" t="s">
        <v>231</v>
      </c>
      <c r="C2182" t="s">
        <v>232</v>
      </c>
      <c r="D2182">
        <v>1</v>
      </c>
      <c r="E2182" t="s">
        <v>145</v>
      </c>
      <c r="F2182">
        <v>2</v>
      </c>
      <c r="G2182">
        <v>2018</v>
      </c>
      <c r="J2182" t="s">
        <v>147</v>
      </c>
      <c r="K2182" t="s">
        <v>47</v>
      </c>
      <c r="O2182">
        <v>0</v>
      </c>
      <c r="P2182">
        <v>0</v>
      </c>
      <c r="Q2182">
        <v>0</v>
      </c>
      <c r="R2182">
        <v>0</v>
      </c>
      <c r="S2182">
        <v>1</v>
      </c>
      <c r="T2182">
        <v>1</v>
      </c>
      <c r="U2182">
        <v>1</v>
      </c>
      <c r="V2182">
        <v>0</v>
      </c>
      <c r="W2182" t="s">
        <v>1070</v>
      </c>
      <c r="AA2182">
        <v>2007</v>
      </c>
      <c r="AB2182">
        <v>9999</v>
      </c>
      <c r="AC2182" t="s">
        <v>35</v>
      </c>
    </row>
    <row r="2183" spans="1:29" x14ac:dyDescent="0.25">
      <c r="A2183" s="31" t="s">
        <v>237</v>
      </c>
      <c r="B2183" s="23" t="s">
        <v>238</v>
      </c>
      <c r="D2183">
        <v>1</v>
      </c>
      <c r="E2183" t="s">
        <v>218</v>
      </c>
      <c r="F2183">
        <v>2</v>
      </c>
      <c r="G2183">
        <v>2018</v>
      </c>
      <c r="I2183" s="8">
        <v>338.64</v>
      </c>
      <c r="J2183" t="s">
        <v>104</v>
      </c>
      <c r="K2183" t="s">
        <v>53</v>
      </c>
      <c r="L2183" t="s">
        <v>105</v>
      </c>
      <c r="O2183">
        <v>0</v>
      </c>
      <c r="P2183">
        <v>1</v>
      </c>
      <c r="Q2183">
        <v>0</v>
      </c>
      <c r="R2183">
        <v>0</v>
      </c>
      <c r="S2183">
        <v>1</v>
      </c>
      <c r="T2183">
        <v>1</v>
      </c>
      <c r="U2183">
        <v>1</v>
      </c>
      <c r="V2183">
        <v>0</v>
      </c>
      <c r="W2183" t="s">
        <v>1072</v>
      </c>
      <c r="AA2183">
        <v>2007</v>
      </c>
      <c r="AB2183">
        <v>9999</v>
      </c>
      <c r="AC2183" t="s">
        <v>35</v>
      </c>
    </row>
    <row r="2184" spans="1:29" x14ac:dyDescent="0.25">
      <c r="A2184" s="31" t="s">
        <v>240</v>
      </c>
      <c r="B2184" s="23" t="s">
        <v>241</v>
      </c>
      <c r="D2184">
        <v>1</v>
      </c>
      <c r="E2184" t="s">
        <v>218</v>
      </c>
      <c r="F2184">
        <v>2</v>
      </c>
      <c r="G2184">
        <v>2018</v>
      </c>
      <c r="I2184" s="8">
        <v>17466.349999999999</v>
      </c>
      <c r="J2184" t="s">
        <v>147</v>
      </c>
      <c r="K2184" t="s">
        <v>47</v>
      </c>
      <c r="O2184">
        <v>0</v>
      </c>
      <c r="P2184">
        <v>0</v>
      </c>
      <c r="Q2184">
        <v>0</v>
      </c>
      <c r="R2184">
        <v>0</v>
      </c>
      <c r="S2184">
        <v>1</v>
      </c>
      <c r="T2184">
        <v>1</v>
      </c>
      <c r="U2184">
        <v>1</v>
      </c>
      <c r="V2184">
        <v>0</v>
      </c>
      <c r="W2184" t="s">
        <v>1073</v>
      </c>
      <c r="AA2184">
        <v>2007</v>
      </c>
      <c r="AB2184">
        <v>9999</v>
      </c>
      <c r="AC2184" t="s">
        <v>35</v>
      </c>
    </row>
    <row r="2185" spans="1:29" x14ac:dyDescent="0.25">
      <c r="A2185" s="31" t="s">
        <v>1289</v>
      </c>
      <c r="B2185" s="23" t="s">
        <v>1290</v>
      </c>
      <c r="D2185">
        <v>1</v>
      </c>
      <c r="E2185" t="s">
        <v>218</v>
      </c>
      <c r="F2185">
        <v>2</v>
      </c>
      <c r="G2185">
        <v>2018</v>
      </c>
      <c r="I2185" s="8">
        <v>4</v>
      </c>
      <c r="J2185" t="s">
        <v>147</v>
      </c>
      <c r="K2185" t="s">
        <v>53</v>
      </c>
      <c r="L2185" t="s">
        <v>60</v>
      </c>
      <c r="O2185">
        <v>1</v>
      </c>
      <c r="P2185">
        <v>0</v>
      </c>
      <c r="Q2185">
        <v>0</v>
      </c>
      <c r="R2185">
        <v>0</v>
      </c>
      <c r="S2185">
        <v>1</v>
      </c>
      <c r="T2185">
        <v>1</v>
      </c>
      <c r="U2185">
        <v>1</v>
      </c>
      <c r="V2185">
        <v>0</v>
      </c>
      <c r="W2185" t="s">
        <v>1291</v>
      </c>
      <c r="AA2185">
        <v>2010</v>
      </c>
      <c r="AB2185">
        <v>9999</v>
      </c>
      <c r="AC2185" t="s">
        <v>1292</v>
      </c>
    </row>
    <row r="2186" spans="1:29" x14ac:dyDescent="0.25">
      <c r="A2186" s="31" t="s">
        <v>243</v>
      </c>
      <c r="B2186" s="23" t="s">
        <v>244</v>
      </c>
      <c r="D2186">
        <v>1</v>
      </c>
      <c r="E2186" t="s">
        <v>210</v>
      </c>
      <c r="F2186">
        <v>10</v>
      </c>
      <c r="G2186">
        <v>2018</v>
      </c>
      <c r="I2186" s="8">
        <v>11945.13</v>
      </c>
      <c r="J2186" t="s">
        <v>40</v>
      </c>
      <c r="K2186" t="s">
        <v>32</v>
      </c>
      <c r="O2186">
        <v>0</v>
      </c>
      <c r="P2186">
        <v>0</v>
      </c>
      <c r="Q2186">
        <v>0</v>
      </c>
      <c r="R2186">
        <v>0</v>
      </c>
      <c r="S2186">
        <v>1</v>
      </c>
      <c r="T2186">
        <v>1</v>
      </c>
      <c r="U2186">
        <v>1</v>
      </c>
      <c r="V2186">
        <v>0</v>
      </c>
      <c r="W2186" t="s">
        <v>1293</v>
      </c>
      <c r="AA2186">
        <v>2007</v>
      </c>
      <c r="AB2186">
        <v>9999</v>
      </c>
      <c r="AC2186" t="s">
        <v>35</v>
      </c>
    </row>
    <row r="2187" spans="1:29" x14ac:dyDescent="0.25">
      <c r="A2187" s="31" t="s">
        <v>153</v>
      </c>
      <c r="B2187" s="23" t="s">
        <v>1356</v>
      </c>
      <c r="D2187">
        <v>12</v>
      </c>
      <c r="E2187" t="s">
        <v>155</v>
      </c>
      <c r="F2187">
        <v>3</v>
      </c>
      <c r="G2187">
        <v>2018</v>
      </c>
      <c r="I2187">
        <v>1643.6408796000017</v>
      </c>
      <c r="J2187" t="s">
        <v>121</v>
      </c>
      <c r="K2187" t="s">
        <v>53</v>
      </c>
      <c r="L2187" t="s">
        <v>60</v>
      </c>
      <c r="O2187">
        <v>1</v>
      </c>
      <c r="P2187">
        <v>0</v>
      </c>
      <c r="Q2187">
        <v>0</v>
      </c>
      <c r="R2187">
        <v>0</v>
      </c>
      <c r="S2187">
        <v>1</v>
      </c>
      <c r="T2187">
        <v>0</v>
      </c>
      <c r="U2187">
        <v>0</v>
      </c>
      <c r="V2187">
        <v>1</v>
      </c>
      <c r="W2187" t="s">
        <v>477</v>
      </c>
      <c r="AA2187">
        <v>2007</v>
      </c>
      <c r="AB2187">
        <v>9999</v>
      </c>
      <c r="AC2187" t="s">
        <v>35</v>
      </c>
    </row>
    <row r="2188" spans="1:29" x14ac:dyDescent="0.25">
      <c r="A2188" s="31" t="s">
        <v>246</v>
      </c>
      <c r="B2188" s="23" t="s">
        <v>247</v>
      </c>
      <c r="D2188">
        <v>1</v>
      </c>
      <c r="E2188" t="s">
        <v>120</v>
      </c>
      <c r="F2188">
        <v>3</v>
      </c>
      <c r="G2188">
        <v>2018</v>
      </c>
      <c r="H2188" t="s">
        <v>129</v>
      </c>
      <c r="I2188" s="8">
        <v>2.6</v>
      </c>
      <c r="J2188" t="s">
        <v>121</v>
      </c>
      <c r="K2188" t="s">
        <v>41</v>
      </c>
      <c r="O2188">
        <v>0</v>
      </c>
      <c r="P2188">
        <v>0</v>
      </c>
      <c r="Q2188">
        <v>0</v>
      </c>
      <c r="R2188">
        <v>0</v>
      </c>
      <c r="S2188">
        <v>0</v>
      </c>
      <c r="T2188">
        <v>1</v>
      </c>
      <c r="U2188">
        <v>1</v>
      </c>
      <c r="V2188">
        <v>0</v>
      </c>
      <c r="W2188" t="s">
        <v>1075</v>
      </c>
      <c r="AA2188">
        <v>2007</v>
      </c>
      <c r="AB2188">
        <v>9999</v>
      </c>
      <c r="AC2188" t="s">
        <v>35</v>
      </c>
    </row>
    <row r="2189" spans="1:29" x14ac:dyDescent="0.25">
      <c r="A2189" s="31" t="s">
        <v>252</v>
      </c>
      <c r="B2189" s="23" t="s">
        <v>253</v>
      </c>
      <c r="D2189">
        <v>1</v>
      </c>
      <c r="E2189" t="s">
        <v>145</v>
      </c>
      <c r="F2189">
        <v>2</v>
      </c>
      <c r="G2189">
        <v>2018</v>
      </c>
      <c r="H2189" t="s">
        <v>1473</v>
      </c>
      <c r="I2189">
        <v>0.1</v>
      </c>
      <c r="J2189" s="2" t="s">
        <v>147</v>
      </c>
      <c r="K2189" t="s">
        <v>41</v>
      </c>
      <c r="O2189">
        <v>0</v>
      </c>
      <c r="P2189">
        <v>0</v>
      </c>
      <c r="Q2189">
        <v>0</v>
      </c>
      <c r="R2189">
        <v>0</v>
      </c>
      <c r="S2189">
        <v>0</v>
      </c>
      <c r="T2189">
        <v>0</v>
      </c>
      <c r="U2189">
        <v>0</v>
      </c>
      <c r="V2189">
        <v>0</v>
      </c>
      <c r="W2189" t="s">
        <v>1077</v>
      </c>
      <c r="AA2189">
        <v>2007</v>
      </c>
      <c r="AB2189">
        <v>9999</v>
      </c>
      <c r="AC2189" t="s">
        <v>35</v>
      </c>
    </row>
    <row r="2190" spans="1:29" x14ac:dyDescent="0.25">
      <c r="A2190" s="31" t="s">
        <v>305</v>
      </c>
      <c r="B2190" s="23" t="s">
        <v>1455</v>
      </c>
      <c r="C2190" t="s">
        <v>1456</v>
      </c>
      <c r="D2190">
        <v>1</v>
      </c>
      <c r="E2190" t="s">
        <v>103</v>
      </c>
      <c r="F2190">
        <v>9</v>
      </c>
      <c r="G2190">
        <v>2018</v>
      </c>
      <c r="I2190" s="8">
        <v>117.79</v>
      </c>
      <c r="J2190" s="2" t="s">
        <v>104</v>
      </c>
      <c r="K2190" t="s">
        <v>53</v>
      </c>
      <c r="L2190" t="s">
        <v>105</v>
      </c>
      <c r="O2190">
        <v>0</v>
      </c>
      <c r="P2190">
        <v>1</v>
      </c>
      <c r="Q2190">
        <v>0</v>
      </c>
      <c r="R2190">
        <v>0</v>
      </c>
      <c r="S2190">
        <v>1</v>
      </c>
      <c r="T2190">
        <v>1</v>
      </c>
      <c r="U2190">
        <v>1</v>
      </c>
      <c r="V2190">
        <v>0</v>
      </c>
      <c r="W2190" t="s">
        <v>106</v>
      </c>
      <c r="AA2190">
        <v>2007</v>
      </c>
      <c r="AB2190">
        <v>9999</v>
      </c>
      <c r="AC2190" t="s">
        <v>35</v>
      </c>
    </row>
    <row r="2191" spans="1:29" x14ac:dyDescent="0.25">
      <c r="A2191" s="31" t="s">
        <v>259</v>
      </c>
      <c r="B2191" s="23" t="s">
        <v>260</v>
      </c>
      <c r="C2191" t="s">
        <v>261</v>
      </c>
      <c r="D2191">
        <v>1</v>
      </c>
      <c r="E2191" t="s">
        <v>103</v>
      </c>
      <c r="F2191">
        <v>9</v>
      </c>
      <c r="G2191">
        <v>2018</v>
      </c>
      <c r="I2191" s="8">
        <v>5533.05</v>
      </c>
      <c r="J2191" t="s">
        <v>104</v>
      </c>
      <c r="K2191" t="s">
        <v>53</v>
      </c>
      <c r="L2191" t="s">
        <v>105</v>
      </c>
      <c r="O2191">
        <v>0</v>
      </c>
      <c r="P2191">
        <v>1</v>
      </c>
      <c r="Q2191">
        <v>0</v>
      </c>
      <c r="R2191">
        <v>0</v>
      </c>
      <c r="S2191">
        <v>1</v>
      </c>
      <c r="T2191">
        <v>1</v>
      </c>
      <c r="U2191">
        <v>1</v>
      </c>
      <c r="V2191">
        <v>0</v>
      </c>
      <c r="W2191" t="s">
        <v>106</v>
      </c>
      <c r="AA2191">
        <v>2007</v>
      </c>
      <c r="AB2191">
        <v>9999</v>
      </c>
      <c r="AC2191" t="s">
        <v>35</v>
      </c>
    </row>
    <row r="2192" spans="1:29" x14ac:dyDescent="0.25">
      <c r="A2192" s="31" t="s">
        <v>266</v>
      </c>
      <c r="B2192" s="23" t="s">
        <v>267</v>
      </c>
      <c r="D2192">
        <v>1</v>
      </c>
      <c r="E2192" t="s">
        <v>85</v>
      </c>
      <c r="F2192">
        <v>4</v>
      </c>
      <c r="G2192">
        <v>2018</v>
      </c>
      <c r="I2192" s="8">
        <v>10.5</v>
      </c>
      <c r="J2192" t="s">
        <v>268</v>
      </c>
      <c r="K2192" t="s">
        <v>41</v>
      </c>
      <c r="O2192">
        <v>0</v>
      </c>
      <c r="P2192">
        <v>0</v>
      </c>
      <c r="Q2192">
        <v>0</v>
      </c>
      <c r="R2192">
        <v>0</v>
      </c>
      <c r="S2192">
        <v>0</v>
      </c>
      <c r="T2192">
        <v>0</v>
      </c>
      <c r="U2192">
        <v>0</v>
      </c>
      <c r="V2192">
        <v>0</v>
      </c>
      <c r="W2192" t="s">
        <v>1079</v>
      </c>
      <c r="AA2192">
        <v>2007</v>
      </c>
      <c r="AB2192">
        <v>9999</v>
      </c>
      <c r="AC2192" t="s">
        <v>35</v>
      </c>
    </row>
    <row r="2193" spans="1:29" x14ac:dyDescent="0.25">
      <c r="A2193" s="31" t="s">
        <v>1393</v>
      </c>
      <c r="B2193" s="25" t="s">
        <v>1394</v>
      </c>
      <c r="C2193" t="s">
        <v>1395</v>
      </c>
      <c r="D2193">
        <v>1</v>
      </c>
      <c r="E2193" t="s">
        <v>1396</v>
      </c>
      <c r="F2193">
        <v>5</v>
      </c>
      <c r="G2193">
        <v>2018</v>
      </c>
      <c r="I2193" s="8">
        <v>253.98</v>
      </c>
      <c r="J2193" t="s">
        <v>31</v>
      </c>
      <c r="K2193" t="s">
        <v>47</v>
      </c>
      <c r="O2193">
        <v>0</v>
      </c>
      <c r="P2193">
        <v>0</v>
      </c>
      <c r="Q2193">
        <v>0</v>
      </c>
      <c r="R2193">
        <v>0</v>
      </c>
      <c r="S2193">
        <v>1</v>
      </c>
      <c r="T2193">
        <v>1</v>
      </c>
      <c r="U2193">
        <v>1</v>
      </c>
      <c r="V2193">
        <v>0</v>
      </c>
      <c r="W2193" t="s">
        <v>1397</v>
      </c>
      <c r="AA2193">
        <v>2012</v>
      </c>
      <c r="AB2193">
        <v>9999</v>
      </c>
      <c r="AC2193" t="s">
        <v>1398</v>
      </c>
    </row>
    <row r="2194" spans="1:29" x14ac:dyDescent="0.25">
      <c r="A2194" s="31" t="s">
        <v>153</v>
      </c>
      <c r="B2194" s="23" t="s">
        <v>270</v>
      </c>
      <c r="D2194">
        <v>6</v>
      </c>
      <c r="E2194" t="s">
        <v>155</v>
      </c>
      <c r="F2194">
        <v>3</v>
      </c>
      <c r="G2194">
        <v>2018</v>
      </c>
      <c r="I2194">
        <v>694.87579559999995</v>
      </c>
      <c r="J2194" t="s">
        <v>121</v>
      </c>
      <c r="K2194" t="s">
        <v>53</v>
      </c>
      <c r="L2194" t="s">
        <v>60</v>
      </c>
      <c r="O2194">
        <v>1</v>
      </c>
      <c r="P2194">
        <v>0</v>
      </c>
      <c r="Q2194">
        <v>0</v>
      </c>
      <c r="R2194">
        <v>0</v>
      </c>
      <c r="S2194">
        <v>1</v>
      </c>
      <c r="T2194">
        <v>0</v>
      </c>
      <c r="U2194">
        <v>0</v>
      </c>
      <c r="V2194">
        <v>1</v>
      </c>
      <c r="W2194" t="s">
        <v>271</v>
      </c>
      <c r="AA2194">
        <v>2007</v>
      </c>
      <c r="AB2194">
        <v>9999</v>
      </c>
      <c r="AC2194" t="s">
        <v>35</v>
      </c>
    </row>
    <row r="2195" spans="1:29" x14ac:dyDescent="0.25">
      <c r="A2195" s="31" t="s">
        <v>153</v>
      </c>
      <c r="B2195" s="27" t="s">
        <v>272</v>
      </c>
      <c r="D2195">
        <v>8</v>
      </c>
      <c r="E2195" t="s">
        <v>155</v>
      </c>
      <c r="F2195">
        <v>3</v>
      </c>
      <c r="G2195">
        <v>2018</v>
      </c>
      <c r="I2195">
        <v>81.098699100000005</v>
      </c>
      <c r="J2195" s="2" t="s">
        <v>121</v>
      </c>
      <c r="K2195" t="s">
        <v>53</v>
      </c>
      <c r="L2195" t="s">
        <v>60</v>
      </c>
      <c r="O2195">
        <v>1</v>
      </c>
      <c r="P2195">
        <v>0</v>
      </c>
      <c r="Q2195">
        <v>0</v>
      </c>
      <c r="R2195">
        <v>0</v>
      </c>
      <c r="S2195">
        <v>0</v>
      </c>
      <c r="T2195">
        <v>0</v>
      </c>
      <c r="U2195">
        <v>0</v>
      </c>
      <c r="V2195">
        <v>1</v>
      </c>
      <c r="W2195" t="s">
        <v>273</v>
      </c>
      <c r="AA2195">
        <v>2007</v>
      </c>
      <c r="AB2195">
        <v>9999</v>
      </c>
      <c r="AC2195" t="s">
        <v>35</v>
      </c>
    </row>
    <row r="2196" spans="1:29" x14ac:dyDescent="0.25">
      <c r="A2196" s="31" t="s">
        <v>274</v>
      </c>
      <c r="B2196" s="23" t="s">
        <v>275</v>
      </c>
      <c r="C2196" t="s">
        <v>276</v>
      </c>
      <c r="D2196">
        <v>1</v>
      </c>
      <c r="E2196" t="s">
        <v>51</v>
      </c>
      <c r="F2196">
        <v>10</v>
      </c>
      <c r="G2196">
        <v>2018</v>
      </c>
      <c r="H2196" t="s">
        <v>746</v>
      </c>
      <c r="I2196">
        <v>4.3</v>
      </c>
      <c r="J2196" s="2" t="s">
        <v>40</v>
      </c>
      <c r="K2196" t="s">
        <v>41</v>
      </c>
      <c r="O2196">
        <v>0</v>
      </c>
      <c r="P2196">
        <v>0</v>
      </c>
      <c r="Q2196">
        <v>0</v>
      </c>
      <c r="R2196">
        <v>0</v>
      </c>
      <c r="S2196">
        <v>0</v>
      </c>
      <c r="T2196">
        <v>0</v>
      </c>
      <c r="U2196">
        <v>0</v>
      </c>
      <c r="V2196">
        <v>0</v>
      </c>
      <c r="W2196" t="s">
        <v>1399</v>
      </c>
      <c r="AA2196">
        <v>2007</v>
      </c>
      <c r="AB2196">
        <v>9999</v>
      </c>
      <c r="AC2196" t="s">
        <v>35</v>
      </c>
    </row>
    <row r="2197" spans="1:29" x14ac:dyDescent="0.25">
      <c r="A2197" s="31" t="s">
        <v>278</v>
      </c>
      <c r="B2197" s="23" t="s">
        <v>279</v>
      </c>
      <c r="D2197">
        <v>1</v>
      </c>
      <c r="E2197" t="s">
        <v>103</v>
      </c>
      <c r="F2197">
        <v>9</v>
      </c>
      <c r="G2197">
        <v>2018</v>
      </c>
      <c r="I2197" s="8">
        <v>652.47</v>
      </c>
      <c r="J2197" t="s">
        <v>104</v>
      </c>
      <c r="K2197" t="s">
        <v>53</v>
      </c>
      <c r="L2197" t="s">
        <v>105</v>
      </c>
      <c r="O2197">
        <v>0</v>
      </c>
      <c r="P2197">
        <v>1</v>
      </c>
      <c r="Q2197">
        <v>0</v>
      </c>
      <c r="R2197">
        <v>0</v>
      </c>
      <c r="S2197">
        <v>1</v>
      </c>
      <c r="T2197">
        <v>1</v>
      </c>
      <c r="U2197">
        <v>1</v>
      </c>
      <c r="V2197">
        <v>0</v>
      </c>
      <c r="W2197" t="s">
        <v>106</v>
      </c>
      <c r="AA2197">
        <v>2007</v>
      </c>
      <c r="AB2197">
        <v>9999</v>
      </c>
      <c r="AC2197" t="s">
        <v>35</v>
      </c>
    </row>
    <row r="2198" spans="1:29" x14ac:dyDescent="0.25">
      <c r="A2198" s="31" t="s">
        <v>280</v>
      </c>
      <c r="B2198" s="23" t="s">
        <v>281</v>
      </c>
      <c r="D2198">
        <v>1</v>
      </c>
      <c r="E2198" t="s">
        <v>103</v>
      </c>
      <c r="F2198">
        <v>9</v>
      </c>
      <c r="G2198">
        <v>2018</v>
      </c>
      <c r="I2198" s="8">
        <v>632.4</v>
      </c>
      <c r="J2198" t="s">
        <v>104</v>
      </c>
      <c r="K2198" t="s">
        <v>53</v>
      </c>
      <c r="L2198" t="s">
        <v>105</v>
      </c>
      <c r="O2198">
        <v>0</v>
      </c>
      <c r="P2198">
        <v>1</v>
      </c>
      <c r="Q2198">
        <v>0</v>
      </c>
      <c r="R2198">
        <v>0</v>
      </c>
      <c r="S2198">
        <v>1</v>
      </c>
      <c r="T2198">
        <v>1</v>
      </c>
      <c r="U2198">
        <v>1</v>
      </c>
      <c r="V2198">
        <v>0</v>
      </c>
      <c r="W2198" t="s">
        <v>106</v>
      </c>
      <c r="AA2198">
        <v>2007</v>
      </c>
      <c r="AB2198">
        <v>9999</v>
      </c>
      <c r="AC2198" t="s">
        <v>35</v>
      </c>
    </row>
    <row r="2199" spans="1:29" x14ac:dyDescent="0.25">
      <c r="A2199" s="31" t="s">
        <v>282</v>
      </c>
      <c r="B2199" s="23" t="s">
        <v>283</v>
      </c>
      <c r="D2199">
        <v>1</v>
      </c>
      <c r="E2199" t="s">
        <v>103</v>
      </c>
      <c r="F2199">
        <v>9</v>
      </c>
      <c r="G2199">
        <v>2018</v>
      </c>
      <c r="I2199" s="8">
        <v>650.97</v>
      </c>
      <c r="J2199" t="s">
        <v>104</v>
      </c>
      <c r="K2199" t="s">
        <v>53</v>
      </c>
      <c r="L2199" t="s">
        <v>105</v>
      </c>
      <c r="O2199">
        <v>0</v>
      </c>
      <c r="P2199">
        <v>1</v>
      </c>
      <c r="Q2199">
        <v>0</v>
      </c>
      <c r="R2199">
        <v>0</v>
      </c>
      <c r="S2199">
        <v>1</v>
      </c>
      <c r="T2199">
        <v>1</v>
      </c>
      <c r="U2199">
        <v>1</v>
      </c>
      <c r="V2199">
        <v>0</v>
      </c>
      <c r="W2199" t="s">
        <v>106</v>
      </c>
      <c r="AA2199">
        <v>2007</v>
      </c>
      <c r="AB2199">
        <v>9999</v>
      </c>
      <c r="AC2199" t="s">
        <v>35</v>
      </c>
    </row>
    <row r="2200" spans="1:29" x14ac:dyDescent="0.25">
      <c r="A2200" s="31" t="s">
        <v>284</v>
      </c>
      <c r="B2200" s="23" t="s">
        <v>285</v>
      </c>
      <c r="D2200">
        <v>1</v>
      </c>
      <c r="E2200" t="s">
        <v>103</v>
      </c>
      <c r="F2200">
        <v>9</v>
      </c>
      <c r="G2200">
        <v>2018</v>
      </c>
      <c r="I2200" s="8">
        <v>525.02</v>
      </c>
      <c r="J2200" t="s">
        <v>104</v>
      </c>
      <c r="K2200" t="s">
        <v>53</v>
      </c>
      <c r="L2200" t="s">
        <v>105</v>
      </c>
      <c r="O2200">
        <v>0</v>
      </c>
      <c r="P2200">
        <v>1</v>
      </c>
      <c r="Q2200">
        <v>0</v>
      </c>
      <c r="R2200">
        <v>0</v>
      </c>
      <c r="S2200">
        <v>1</v>
      </c>
      <c r="T2200">
        <v>1</v>
      </c>
      <c r="U2200">
        <v>1</v>
      </c>
      <c r="V2200">
        <v>0</v>
      </c>
      <c r="W2200" t="s">
        <v>106</v>
      </c>
      <c r="AA2200">
        <v>2007</v>
      </c>
      <c r="AB2200">
        <v>9999</v>
      </c>
      <c r="AC2200" t="s">
        <v>35</v>
      </c>
    </row>
    <row r="2201" spans="1:29" x14ac:dyDescent="0.25">
      <c r="A2201" s="31" t="s">
        <v>288</v>
      </c>
      <c r="B2201" s="23" t="s">
        <v>289</v>
      </c>
      <c r="D2201">
        <v>1</v>
      </c>
      <c r="E2201" t="s">
        <v>103</v>
      </c>
      <c r="F2201">
        <v>9</v>
      </c>
      <c r="G2201">
        <v>2018</v>
      </c>
      <c r="I2201" s="8">
        <v>458.04</v>
      </c>
      <c r="J2201" t="s">
        <v>104</v>
      </c>
      <c r="K2201" t="s">
        <v>53</v>
      </c>
      <c r="L2201" t="s">
        <v>105</v>
      </c>
      <c r="O2201">
        <v>0</v>
      </c>
      <c r="P2201">
        <v>1</v>
      </c>
      <c r="Q2201">
        <v>0</v>
      </c>
      <c r="R2201">
        <v>0</v>
      </c>
      <c r="S2201">
        <v>1</v>
      </c>
      <c r="T2201">
        <v>1</v>
      </c>
      <c r="U2201">
        <v>1</v>
      </c>
      <c r="V2201">
        <v>0</v>
      </c>
      <c r="W2201" t="s">
        <v>106</v>
      </c>
      <c r="AA2201">
        <v>2007</v>
      </c>
      <c r="AB2201">
        <v>9999</v>
      </c>
      <c r="AC2201" t="s">
        <v>35</v>
      </c>
    </row>
    <row r="2202" spans="1:29" x14ac:dyDescent="0.25">
      <c r="A2202" s="31" t="s">
        <v>1474</v>
      </c>
      <c r="B2202" s="23" t="s">
        <v>290</v>
      </c>
      <c r="D2202">
        <v>1</v>
      </c>
      <c r="E2202" t="s">
        <v>103</v>
      </c>
      <c r="F2202">
        <v>9</v>
      </c>
      <c r="G2202">
        <v>2018</v>
      </c>
      <c r="I2202" s="8">
        <v>471.56</v>
      </c>
      <c r="J2202" t="s">
        <v>104</v>
      </c>
      <c r="K2202" t="s">
        <v>53</v>
      </c>
      <c r="L2202" t="s">
        <v>105</v>
      </c>
      <c r="O2202">
        <v>0</v>
      </c>
      <c r="P2202">
        <v>1</v>
      </c>
      <c r="Q2202">
        <v>0</v>
      </c>
      <c r="R2202">
        <v>0</v>
      </c>
      <c r="S2202">
        <v>1</v>
      </c>
      <c r="T2202">
        <v>1</v>
      </c>
      <c r="U2202">
        <v>1</v>
      </c>
      <c r="V2202">
        <v>0</v>
      </c>
      <c r="W2202" t="s">
        <v>106</v>
      </c>
      <c r="AA2202">
        <v>2007</v>
      </c>
      <c r="AB2202">
        <v>9999</v>
      </c>
      <c r="AC2202" t="s">
        <v>1475</v>
      </c>
    </row>
    <row r="2203" spans="1:29" x14ac:dyDescent="0.25">
      <c r="A2203" s="31" t="s">
        <v>293</v>
      </c>
      <c r="B2203" s="23" t="s">
        <v>294</v>
      </c>
      <c r="D2203">
        <v>1</v>
      </c>
      <c r="E2203" t="s">
        <v>103</v>
      </c>
      <c r="F2203">
        <v>9</v>
      </c>
      <c r="G2203">
        <v>2018</v>
      </c>
      <c r="I2203" s="8">
        <v>489.53</v>
      </c>
      <c r="J2203" t="s">
        <v>104</v>
      </c>
      <c r="K2203" t="s">
        <v>53</v>
      </c>
      <c r="L2203" t="s">
        <v>105</v>
      </c>
      <c r="O2203">
        <v>0</v>
      </c>
      <c r="P2203">
        <v>1</v>
      </c>
      <c r="Q2203">
        <v>0</v>
      </c>
      <c r="R2203">
        <v>0</v>
      </c>
      <c r="S2203">
        <v>1</v>
      </c>
      <c r="T2203">
        <v>1</v>
      </c>
      <c r="U2203">
        <v>1</v>
      </c>
      <c r="V2203">
        <v>0</v>
      </c>
      <c r="W2203" t="s">
        <v>106</v>
      </c>
      <c r="AA2203">
        <v>2007</v>
      </c>
      <c r="AB2203">
        <v>9999</v>
      </c>
      <c r="AC2203" t="s">
        <v>35</v>
      </c>
    </row>
    <row r="2204" spans="1:29" x14ac:dyDescent="0.25">
      <c r="A2204" s="31" t="s">
        <v>295</v>
      </c>
      <c r="B2204" s="23" t="s">
        <v>296</v>
      </c>
      <c r="D2204">
        <v>1</v>
      </c>
      <c r="E2204" t="s">
        <v>128</v>
      </c>
      <c r="F2204">
        <v>9</v>
      </c>
      <c r="G2204">
        <v>2018</v>
      </c>
      <c r="H2204" t="s">
        <v>1428</v>
      </c>
      <c r="I2204">
        <v>0.1</v>
      </c>
      <c r="J2204" t="s">
        <v>104</v>
      </c>
      <c r="K2204" t="s">
        <v>41</v>
      </c>
      <c r="O2204">
        <v>0</v>
      </c>
      <c r="P2204">
        <v>0</v>
      </c>
      <c r="Q2204">
        <v>0</v>
      </c>
      <c r="R2204">
        <v>0</v>
      </c>
      <c r="S2204">
        <v>0</v>
      </c>
      <c r="T2204">
        <v>0</v>
      </c>
      <c r="U2204">
        <v>0</v>
      </c>
      <c r="V2204">
        <v>0</v>
      </c>
      <c r="W2204" t="s">
        <v>1081</v>
      </c>
      <c r="AA2204">
        <v>2007</v>
      </c>
      <c r="AB2204">
        <v>9999</v>
      </c>
      <c r="AC2204" t="s">
        <v>35</v>
      </c>
    </row>
    <row r="2205" spans="1:29" x14ac:dyDescent="0.25">
      <c r="A2205" s="31" t="s">
        <v>153</v>
      </c>
      <c r="B2205" s="23" t="s">
        <v>1476</v>
      </c>
      <c r="D2205">
        <v>1</v>
      </c>
      <c r="E2205" t="s">
        <v>155</v>
      </c>
      <c r="F2205">
        <v>3</v>
      </c>
      <c r="G2205">
        <v>2018</v>
      </c>
      <c r="I2205">
        <v>85.550397649999965</v>
      </c>
      <c r="J2205" t="s">
        <v>121</v>
      </c>
      <c r="K2205" t="s">
        <v>53</v>
      </c>
      <c r="L2205" t="s">
        <v>60</v>
      </c>
      <c r="O2205">
        <v>1</v>
      </c>
      <c r="P2205">
        <v>0</v>
      </c>
      <c r="Q2205">
        <v>0</v>
      </c>
      <c r="R2205">
        <v>0</v>
      </c>
      <c r="S2205">
        <v>1</v>
      </c>
      <c r="T2205">
        <v>0</v>
      </c>
      <c r="U2205">
        <v>0</v>
      </c>
      <c r="V2205">
        <v>1</v>
      </c>
      <c r="W2205" t="s">
        <v>304</v>
      </c>
      <c r="AA2205">
        <v>2007</v>
      </c>
      <c r="AB2205">
        <v>9999</v>
      </c>
      <c r="AC2205" t="s">
        <v>35</v>
      </c>
    </row>
    <row r="2206" spans="1:29" x14ac:dyDescent="0.25">
      <c r="A2206" s="31" t="s">
        <v>153</v>
      </c>
      <c r="B2206" s="23" t="s">
        <v>1477</v>
      </c>
      <c r="D2206">
        <v>1</v>
      </c>
      <c r="E2206" t="s">
        <v>155</v>
      </c>
      <c r="F2206">
        <v>3</v>
      </c>
      <c r="G2206">
        <v>2018</v>
      </c>
      <c r="I2206">
        <v>77.358399999999989</v>
      </c>
      <c r="J2206" t="s">
        <v>121</v>
      </c>
      <c r="K2206" t="s">
        <v>53</v>
      </c>
      <c r="L2206" t="s">
        <v>60</v>
      </c>
      <c r="O2206">
        <v>1</v>
      </c>
      <c r="P2206">
        <v>0</v>
      </c>
      <c r="Q2206">
        <v>0</v>
      </c>
      <c r="R2206">
        <v>0</v>
      </c>
      <c r="S2206">
        <v>1</v>
      </c>
      <c r="T2206">
        <v>0</v>
      </c>
      <c r="U2206">
        <v>0</v>
      </c>
      <c r="V2206">
        <v>1</v>
      </c>
      <c r="W2206" t="s">
        <v>645</v>
      </c>
      <c r="AA2206">
        <v>2007</v>
      </c>
      <c r="AB2206">
        <v>9999</v>
      </c>
      <c r="AC2206" t="s">
        <v>35</v>
      </c>
    </row>
    <row r="2207" spans="1:29" x14ac:dyDescent="0.25">
      <c r="A2207" s="31" t="s">
        <v>307</v>
      </c>
      <c r="B2207" s="23" t="s">
        <v>308</v>
      </c>
      <c r="D2207">
        <v>1</v>
      </c>
      <c r="E2207" t="s">
        <v>309</v>
      </c>
      <c r="F2207">
        <v>10</v>
      </c>
      <c r="G2207">
        <v>2018</v>
      </c>
      <c r="I2207" s="8">
        <v>60.12</v>
      </c>
      <c r="J2207" t="s">
        <v>59</v>
      </c>
      <c r="K2207" t="s">
        <v>47</v>
      </c>
      <c r="O2207">
        <v>0</v>
      </c>
      <c r="P2207">
        <v>0</v>
      </c>
      <c r="Q2207">
        <v>0</v>
      </c>
      <c r="R2207">
        <v>0</v>
      </c>
      <c r="S2207">
        <v>1</v>
      </c>
      <c r="T2207">
        <v>1</v>
      </c>
      <c r="U2207">
        <v>1</v>
      </c>
      <c r="V2207">
        <v>0</v>
      </c>
      <c r="W2207" t="s">
        <v>1083</v>
      </c>
      <c r="AA2207">
        <v>2007</v>
      </c>
      <c r="AB2207">
        <v>9999</v>
      </c>
      <c r="AC2207" t="s">
        <v>35</v>
      </c>
    </row>
    <row r="2208" spans="1:29" x14ac:dyDescent="0.25">
      <c r="A2208" s="31" t="s">
        <v>1294</v>
      </c>
      <c r="B2208" s="23" t="s">
        <v>1295</v>
      </c>
      <c r="C2208" t="s">
        <v>1296</v>
      </c>
      <c r="D2208">
        <v>1</v>
      </c>
      <c r="E2208" t="s">
        <v>95</v>
      </c>
      <c r="F2208">
        <v>10</v>
      </c>
      <c r="G2208">
        <v>2018</v>
      </c>
      <c r="I2208" s="8">
        <v>51.71</v>
      </c>
      <c r="J2208" t="s">
        <v>40</v>
      </c>
      <c r="K2208" t="s">
        <v>47</v>
      </c>
      <c r="O2208">
        <v>0</v>
      </c>
      <c r="P2208">
        <v>0</v>
      </c>
      <c r="Q2208">
        <v>0</v>
      </c>
      <c r="R2208">
        <v>0</v>
      </c>
      <c r="S2208">
        <v>1</v>
      </c>
      <c r="T2208">
        <v>1</v>
      </c>
      <c r="U2208">
        <v>1</v>
      </c>
      <c r="V2208">
        <v>0</v>
      </c>
      <c r="W2208" t="s">
        <v>1297</v>
      </c>
      <c r="AA2208">
        <v>2010</v>
      </c>
      <c r="AB2208">
        <v>9999</v>
      </c>
      <c r="AC2208" t="s">
        <v>1292</v>
      </c>
    </row>
    <row r="2209" spans="1:29" x14ac:dyDescent="0.25">
      <c r="A2209" s="31" t="s">
        <v>311</v>
      </c>
      <c r="B2209" s="23" t="s">
        <v>312</v>
      </c>
      <c r="C2209" t="s">
        <v>313</v>
      </c>
      <c r="D2209">
        <v>1</v>
      </c>
      <c r="E2209" t="s">
        <v>314</v>
      </c>
      <c r="F2209">
        <v>2</v>
      </c>
      <c r="G2209">
        <v>2018</v>
      </c>
      <c r="I2209" s="8">
        <v>32.799999999999997</v>
      </c>
      <c r="J2209" t="s">
        <v>176</v>
      </c>
      <c r="K2209" t="s">
        <v>47</v>
      </c>
      <c r="O2209">
        <v>0</v>
      </c>
      <c r="P2209">
        <v>0</v>
      </c>
      <c r="Q2209">
        <v>0</v>
      </c>
      <c r="R2209">
        <v>0</v>
      </c>
      <c r="S2209">
        <v>1</v>
      </c>
      <c r="T2209">
        <v>1</v>
      </c>
      <c r="U2209">
        <v>1</v>
      </c>
      <c r="V2209">
        <v>0</v>
      </c>
      <c r="W2209" t="s">
        <v>1358</v>
      </c>
      <c r="AA2209">
        <v>2007</v>
      </c>
      <c r="AB2209">
        <v>9999</v>
      </c>
      <c r="AC2209" t="s">
        <v>35</v>
      </c>
    </row>
    <row r="2210" spans="1:29" x14ac:dyDescent="0.25">
      <c r="A2210" s="31" t="s">
        <v>1457</v>
      </c>
      <c r="B2210" s="23" t="s">
        <v>1458</v>
      </c>
      <c r="C2210" t="s">
        <v>1459</v>
      </c>
      <c r="D2210">
        <v>1</v>
      </c>
      <c r="E2210" s="4">
        <v>760</v>
      </c>
      <c r="F2210">
        <v>7</v>
      </c>
      <c r="G2210">
        <v>2018</v>
      </c>
      <c r="I2210" s="8">
        <v>687.22</v>
      </c>
      <c r="J2210" t="s">
        <v>40</v>
      </c>
      <c r="K2210" t="s">
        <v>47</v>
      </c>
      <c r="O2210">
        <v>0</v>
      </c>
      <c r="P2210">
        <v>0</v>
      </c>
      <c r="Q2210">
        <v>0</v>
      </c>
      <c r="R2210">
        <v>0</v>
      </c>
      <c r="S2210">
        <v>1</v>
      </c>
      <c r="T2210">
        <v>1</v>
      </c>
      <c r="U2210">
        <v>1</v>
      </c>
      <c r="V2210">
        <v>0</v>
      </c>
      <c r="W2210" t="s">
        <v>1460</v>
      </c>
      <c r="AA2210">
        <v>2014</v>
      </c>
      <c r="AB2210">
        <v>9999</v>
      </c>
      <c r="AC2210" t="s">
        <v>1449</v>
      </c>
    </row>
    <row r="2211" spans="1:29" ht="30" x14ac:dyDescent="0.25">
      <c r="A2211" s="31" t="s">
        <v>316</v>
      </c>
      <c r="B2211" s="24" t="s">
        <v>1461</v>
      </c>
      <c r="C2211" t="s">
        <v>1462</v>
      </c>
      <c r="D2211">
        <v>1</v>
      </c>
      <c r="E2211" t="s">
        <v>318</v>
      </c>
      <c r="F2211">
        <v>4</v>
      </c>
      <c r="G2211">
        <v>2018</v>
      </c>
      <c r="I2211" s="8">
        <v>42.16</v>
      </c>
      <c r="J2211" t="s">
        <v>59</v>
      </c>
      <c r="K2211" t="s">
        <v>47</v>
      </c>
      <c r="O2211">
        <v>0</v>
      </c>
      <c r="P2211">
        <v>0</v>
      </c>
      <c r="Q2211">
        <v>0</v>
      </c>
      <c r="R2211">
        <v>0</v>
      </c>
      <c r="S2211">
        <v>1</v>
      </c>
      <c r="T2211">
        <v>1</v>
      </c>
      <c r="U2211">
        <v>1</v>
      </c>
      <c r="V2211">
        <v>0</v>
      </c>
      <c r="W2211" t="s">
        <v>1085</v>
      </c>
      <c r="AA2211">
        <v>2007</v>
      </c>
      <c r="AB2211">
        <v>9999</v>
      </c>
      <c r="AC2211" t="s">
        <v>35</v>
      </c>
    </row>
    <row r="2212" spans="1:29" x14ac:dyDescent="0.25">
      <c r="A2212" s="31" t="s">
        <v>324</v>
      </c>
      <c r="B2212" s="23" t="s">
        <v>325</v>
      </c>
      <c r="D2212">
        <v>1</v>
      </c>
      <c r="E2212" t="s">
        <v>103</v>
      </c>
      <c r="F2212">
        <v>9</v>
      </c>
      <c r="G2212">
        <v>2018</v>
      </c>
      <c r="I2212" s="8">
        <v>104.82</v>
      </c>
      <c r="J2212" t="s">
        <v>104</v>
      </c>
      <c r="K2212" t="s">
        <v>47</v>
      </c>
      <c r="O2212">
        <v>0</v>
      </c>
      <c r="P2212">
        <v>0</v>
      </c>
      <c r="Q2212">
        <v>0</v>
      </c>
      <c r="R2212">
        <v>0</v>
      </c>
      <c r="S2212">
        <v>1</v>
      </c>
      <c r="T2212">
        <v>1</v>
      </c>
      <c r="U2212">
        <v>1</v>
      </c>
      <c r="V2212">
        <v>0</v>
      </c>
      <c r="W2212" t="s">
        <v>1086</v>
      </c>
      <c r="AA2212">
        <v>2007</v>
      </c>
      <c r="AB2212">
        <v>9999</v>
      </c>
      <c r="AC2212" t="s">
        <v>35</v>
      </c>
    </row>
    <row r="2213" spans="1:29" x14ac:dyDescent="0.25">
      <c r="A2213" s="31" t="s">
        <v>327</v>
      </c>
      <c r="B2213" s="23" t="s">
        <v>328</v>
      </c>
      <c r="D2213">
        <v>1</v>
      </c>
      <c r="E2213" t="s">
        <v>80</v>
      </c>
      <c r="F2213">
        <v>8</v>
      </c>
      <c r="G2213">
        <v>2018</v>
      </c>
      <c r="I2213" s="8">
        <v>79.64</v>
      </c>
      <c r="J2213" t="s">
        <v>81</v>
      </c>
      <c r="K2213" t="s">
        <v>47</v>
      </c>
      <c r="O2213">
        <v>0</v>
      </c>
      <c r="P2213">
        <v>0</v>
      </c>
      <c r="Q2213">
        <v>0</v>
      </c>
      <c r="R2213">
        <v>0</v>
      </c>
      <c r="S2213">
        <v>1</v>
      </c>
      <c r="T2213">
        <v>1</v>
      </c>
      <c r="U2213">
        <v>1</v>
      </c>
      <c r="V2213">
        <v>0</v>
      </c>
      <c r="W2213" t="s">
        <v>1087</v>
      </c>
      <c r="AA2213">
        <v>2007</v>
      </c>
      <c r="AB2213">
        <v>9999</v>
      </c>
      <c r="AC2213" t="s">
        <v>35</v>
      </c>
    </row>
    <row r="2214" spans="1:29" x14ac:dyDescent="0.25">
      <c r="A2214" s="31" t="s">
        <v>346</v>
      </c>
      <c r="B2214" s="23" t="s">
        <v>347</v>
      </c>
      <c r="D2214">
        <v>1</v>
      </c>
      <c r="E2214" t="s">
        <v>348</v>
      </c>
      <c r="F2214">
        <v>1</v>
      </c>
      <c r="G2214">
        <v>2018</v>
      </c>
      <c r="I2214" s="8">
        <v>41.66</v>
      </c>
      <c r="J2214" t="s">
        <v>121</v>
      </c>
      <c r="K2214" t="s">
        <v>47</v>
      </c>
      <c r="O2214">
        <v>0</v>
      </c>
      <c r="P2214">
        <v>0</v>
      </c>
      <c r="Q2214">
        <v>0</v>
      </c>
      <c r="R2214">
        <v>0</v>
      </c>
      <c r="S2214">
        <v>1</v>
      </c>
      <c r="T2214">
        <v>1</v>
      </c>
      <c r="U2214">
        <v>1</v>
      </c>
      <c r="V2214">
        <v>0</v>
      </c>
      <c r="W2214" t="s">
        <v>349</v>
      </c>
      <c r="AA2214">
        <v>2007</v>
      </c>
      <c r="AB2214">
        <v>9999</v>
      </c>
      <c r="AC2214" t="s">
        <v>35</v>
      </c>
    </row>
    <row r="2215" spans="1:29" x14ac:dyDescent="0.25">
      <c r="A2215" s="31" t="s">
        <v>1540</v>
      </c>
      <c r="B2215" s="23" t="s">
        <v>1541</v>
      </c>
      <c r="D2215">
        <v>1</v>
      </c>
      <c r="E2215" t="s">
        <v>58</v>
      </c>
      <c r="F2215">
        <v>4</v>
      </c>
      <c r="G2215">
        <v>2018</v>
      </c>
      <c r="I2215">
        <v>46.6</v>
      </c>
      <c r="J2215" t="s">
        <v>40</v>
      </c>
      <c r="K2215" t="s">
        <v>47</v>
      </c>
      <c r="O2215">
        <v>0</v>
      </c>
      <c r="P2215">
        <v>0</v>
      </c>
      <c r="Q2215">
        <v>0</v>
      </c>
      <c r="R2215">
        <v>0</v>
      </c>
      <c r="S2215">
        <v>1</v>
      </c>
      <c r="T2215">
        <v>1</v>
      </c>
      <c r="U2215">
        <v>1</v>
      </c>
      <c r="V2215">
        <v>0</v>
      </c>
      <c r="W2215" t="s">
        <v>1542</v>
      </c>
      <c r="AA2215">
        <v>2018</v>
      </c>
      <c r="AB2215">
        <v>9999</v>
      </c>
      <c r="AC2215" t="s">
        <v>1543</v>
      </c>
    </row>
    <row r="2216" spans="1:29" x14ac:dyDescent="0.25">
      <c r="A2216" s="31" t="s">
        <v>199</v>
      </c>
      <c r="B2216" s="23" t="s">
        <v>39</v>
      </c>
      <c r="D2216">
        <v>1</v>
      </c>
      <c r="E2216" t="s">
        <v>358</v>
      </c>
      <c r="F2216">
        <v>1</v>
      </c>
      <c r="G2216">
        <v>2018</v>
      </c>
      <c r="I2216" s="8">
        <v>227.54999999999998</v>
      </c>
      <c r="J2216" t="s">
        <v>52</v>
      </c>
      <c r="K2216" t="s">
        <v>47</v>
      </c>
      <c r="O2216">
        <v>0</v>
      </c>
      <c r="P2216">
        <v>0</v>
      </c>
      <c r="Q2216">
        <v>0</v>
      </c>
      <c r="R2216">
        <v>0</v>
      </c>
      <c r="S2216">
        <v>1</v>
      </c>
      <c r="T2216">
        <v>1</v>
      </c>
      <c r="U2216">
        <v>1</v>
      </c>
      <c r="V2216">
        <v>0</v>
      </c>
      <c r="W2216" t="s">
        <v>1094</v>
      </c>
      <c r="AA2216">
        <v>2007</v>
      </c>
      <c r="AB2216">
        <v>9999</v>
      </c>
      <c r="AC2216" t="s">
        <v>35</v>
      </c>
    </row>
    <row r="2217" spans="1:29" x14ac:dyDescent="0.25">
      <c r="A2217" s="31" t="s">
        <v>1478</v>
      </c>
      <c r="B2217" s="23" t="s">
        <v>360</v>
      </c>
      <c r="D2217">
        <v>4</v>
      </c>
      <c r="E2217" t="s">
        <v>155</v>
      </c>
      <c r="F2217">
        <v>3</v>
      </c>
      <c r="G2217">
        <v>2018</v>
      </c>
      <c r="I2217">
        <v>441.29817720000005</v>
      </c>
      <c r="J2217" t="s">
        <v>121</v>
      </c>
      <c r="K2217" t="s">
        <v>53</v>
      </c>
      <c r="L2217" t="s">
        <v>60</v>
      </c>
      <c r="O2217">
        <v>1</v>
      </c>
      <c r="P2217">
        <v>0</v>
      </c>
      <c r="Q2217">
        <v>0</v>
      </c>
      <c r="R2217">
        <v>0</v>
      </c>
      <c r="S2217">
        <v>1</v>
      </c>
      <c r="T2217">
        <v>0</v>
      </c>
      <c r="U2217">
        <v>0</v>
      </c>
      <c r="V2217">
        <v>1</v>
      </c>
      <c r="W2217" t="s">
        <v>361</v>
      </c>
      <c r="AA2217">
        <v>2007</v>
      </c>
      <c r="AB2217">
        <v>9999</v>
      </c>
      <c r="AC2217" t="s">
        <v>35</v>
      </c>
    </row>
    <row r="2218" spans="1:29" x14ac:dyDescent="0.25">
      <c r="A2218" s="31" t="s">
        <v>362</v>
      </c>
      <c r="B2218" s="23" t="s">
        <v>363</v>
      </c>
      <c r="D2218">
        <v>1</v>
      </c>
      <c r="E2218" t="s">
        <v>103</v>
      </c>
      <c r="F2218">
        <v>9</v>
      </c>
      <c r="G2218">
        <v>2018</v>
      </c>
      <c r="I2218" s="8">
        <v>1072.96</v>
      </c>
      <c r="J2218" t="s">
        <v>104</v>
      </c>
      <c r="K2218" t="s">
        <v>53</v>
      </c>
      <c r="L2218" t="s">
        <v>105</v>
      </c>
      <c r="O2218">
        <v>0</v>
      </c>
      <c r="P2218">
        <v>1</v>
      </c>
      <c r="Q2218">
        <v>0</v>
      </c>
      <c r="R2218">
        <v>0</v>
      </c>
      <c r="S2218">
        <v>1</v>
      </c>
      <c r="T2218">
        <v>1</v>
      </c>
      <c r="U2218">
        <v>1</v>
      </c>
      <c r="V2218">
        <v>0</v>
      </c>
      <c r="W2218" t="s">
        <v>106</v>
      </c>
      <c r="AA2218">
        <v>2007</v>
      </c>
      <c r="AB2218">
        <v>9999</v>
      </c>
      <c r="AC2218" t="s">
        <v>35</v>
      </c>
    </row>
    <row r="2219" spans="1:29" x14ac:dyDescent="0.25">
      <c r="A2219" s="31" t="s">
        <v>364</v>
      </c>
      <c r="B2219" s="23" t="s">
        <v>365</v>
      </c>
      <c r="C2219" t="s">
        <v>366</v>
      </c>
      <c r="D2219">
        <v>1</v>
      </c>
      <c r="E2219" t="s">
        <v>103</v>
      </c>
      <c r="F2219">
        <v>9</v>
      </c>
      <c r="G2219">
        <v>2018</v>
      </c>
      <c r="I2219" s="8">
        <v>4726.5200000000004</v>
      </c>
      <c r="J2219" t="s">
        <v>104</v>
      </c>
      <c r="K2219" t="s">
        <v>53</v>
      </c>
      <c r="L2219" t="s">
        <v>105</v>
      </c>
      <c r="O2219">
        <v>0</v>
      </c>
      <c r="P2219">
        <v>1</v>
      </c>
      <c r="Q2219">
        <v>0</v>
      </c>
      <c r="R2219">
        <v>0</v>
      </c>
      <c r="S2219">
        <v>1</v>
      </c>
      <c r="T2219">
        <v>1</v>
      </c>
      <c r="U2219">
        <v>1</v>
      </c>
      <c r="V2219">
        <v>0</v>
      </c>
      <c r="W2219" t="s">
        <v>106</v>
      </c>
      <c r="AA2219">
        <v>2007</v>
      </c>
      <c r="AB2219">
        <v>9999</v>
      </c>
      <c r="AC2219" t="s">
        <v>35</v>
      </c>
    </row>
    <row r="2220" spans="1:29" x14ac:dyDescent="0.25">
      <c r="A2220" s="31" t="s">
        <v>367</v>
      </c>
      <c r="B2220" s="23" t="s">
        <v>368</v>
      </c>
      <c r="C2220" t="s">
        <v>369</v>
      </c>
      <c r="D2220">
        <v>1</v>
      </c>
      <c r="E2220" t="s">
        <v>370</v>
      </c>
      <c r="F2220">
        <v>5</v>
      </c>
      <c r="G2220">
        <v>2018</v>
      </c>
      <c r="I2220" s="8">
        <v>249.36</v>
      </c>
      <c r="J2220" t="s">
        <v>1471</v>
      </c>
      <c r="K2220" t="s">
        <v>47</v>
      </c>
      <c r="O2220">
        <v>0</v>
      </c>
      <c r="P2220">
        <v>0</v>
      </c>
      <c r="Q2220">
        <v>0</v>
      </c>
      <c r="R2220">
        <v>0</v>
      </c>
      <c r="S2220">
        <v>1</v>
      </c>
      <c r="T2220">
        <v>1</v>
      </c>
      <c r="U2220">
        <v>1</v>
      </c>
      <c r="V2220">
        <v>0</v>
      </c>
      <c r="W2220" t="s">
        <v>1298</v>
      </c>
      <c r="AA2220">
        <v>2007</v>
      </c>
      <c r="AB2220">
        <v>9999</v>
      </c>
      <c r="AC2220" t="s">
        <v>35</v>
      </c>
    </row>
    <row r="2221" spans="1:29" x14ac:dyDescent="0.25">
      <c r="A2221" s="31" t="s">
        <v>1544</v>
      </c>
      <c r="B2221" s="23" t="s">
        <v>1545</v>
      </c>
      <c r="D2221">
        <v>1</v>
      </c>
      <c r="E2221" s="5" t="s">
        <v>1546</v>
      </c>
      <c r="F2221">
        <v>5</v>
      </c>
      <c r="G2221">
        <v>2018</v>
      </c>
      <c r="H2221" t="s">
        <v>214</v>
      </c>
      <c r="J2221" t="s">
        <v>1471</v>
      </c>
      <c r="K2221" t="s">
        <v>41</v>
      </c>
      <c r="O2221">
        <v>0</v>
      </c>
      <c r="P2221">
        <v>0</v>
      </c>
      <c r="Q2221">
        <v>0</v>
      </c>
      <c r="R2221">
        <v>0</v>
      </c>
      <c r="S2221">
        <v>0</v>
      </c>
      <c r="T2221">
        <v>0</v>
      </c>
      <c r="U2221">
        <v>0</v>
      </c>
      <c r="V2221">
        <v>0</v>
      </c>
      <c r="W2221" t="s">
        <v>1547</v>
      </c>
      <c r="AA2221">
        <v>2018</v>
      </c>
      <c r="AB2221">
        <v>9999</v>
      </c>
      <c r="AC2221" t="s">
        <v>1543</v>
      </c>
    </row>
    <row r="2222" spans="1:29" x14ac:dyDescent="0.25">
      <c r="A2222" s="31" t="s">
        <v>372</v>
      </c>
      <c r="B2222" s="23" t="s">
        <v>373</v>
      </c>
      <c r="D2222">
        <v>1</v>
      </c>
      <c r="E2222" t="s">
        <v>45</v>
      </c>
      <c r="F2222">
        <v>4</v>
      </c>
      <c r="G2222">
        <v>2018</v>
      </c>
      <c r="I2222" s="8">
        <v>84.85</v>
      </c>
      <c r="J2222" t="s">
        <v>176</v>
      </c>
      <c r="K2222" t="s">
        <v>47</v>
      </c>
      <c r="O2222">
        <v>0</v>
      </c>
      <c r="P2222">
        <v>0</v>
      </c>
      <c r="Q2222">
        <v>0</v>
      </c>
      <c r="R2222">
        <v>0</v>
      </c>
      <c r="S2222">
        <v>1</v>
      </c>
      <c r="T2222">
        <v>1</v>
      </c>
      <c r="U2222">
        <v>1</v>
      </c>
      <c r="V2222">
        <v>0</v>
      </c>
      <c r="W2222" t="s">
        <v>1429</v>
      </c>
      <c r="AA2222">
        <v>2007</v>
      </c>
      <c r="AB2222">
        <v>9999</v>
      </c>
      <c r="AC2222" t="s">
        <v>35</v>
      </c>
    </row>
    <row r="2223" spans="1:29" x14ac:dyDescent="0.25">
      <c r="A2223" s="31" t="s">
        <v>375</v>
      </c>
      <c r="B2223" s="23" t="s">
        <v>163</v>
      </c>
      <c r="D2223">
        <v>1</v>
      </c>
      <c r="E2223" t="s">
        <v>168</v>
      </c>
      <c r="F2223">
        <v>1</v>
      </c>
      <c r="G2223">
        <v>2018</v>
      </c>
      <c r="I2223" s="8">
        <v>51.21</v>
      </c>
      <c r="J2223" t="s">
        <v>52</v>
      </c>
      <c r="K2223" t="s">
        <v>47</v>
      </c>
      <c r="O2223">
        <v>0</v>
      </c>
      <c r="P2223">
        <v>0</v>
      </c>
      <c r="Q2223">
        <v>0</v>
      </c>
      <c r="R2223">
        <v>0</v>
      </c>
      <c r="S2223">
        <v>1</v>
      </c>
      <c r="T2223">
        <v>1</v>
      </c>
      <c r="U2223">
        <v>1</v>
      </c>
      <c r="V2223">
        <v>0</v>
      </c>
      <c r="W2223" t="s">
        <v>1097</v>
      </c>
      <c r="AA2223">
        <v>2007</v>
      </c>
      <c r="AB2223">
        <v>9999</v>
      </c>
      <c r="AC2223" t="s">
        <v>35</v>
      </c>
    </row>
    <row r="2224" spans="1:29" x14ac:dyDescent="0.25">
      <c r="A2224" s="31" t="s">
        <v>377</v>
      </c>
      <c r="B2224" s="23" t="s">
        <v>378</v>
      </c>
      <c r="D2224">
        <v>1</v>
      </c>
      <c r="E2224" t="s">
        <v>45</v>
      </c>
      <c r="F2224">
        <v>4</v>
      </c>
      <c r="G2224">
        <v>2018</v>
      </c>
      <c r="I2224" s="8">
        <v>130.26</v>
      </c>
      <c r="J2224" t="s">
        <v>89</v>
      </c>
      <c r="K2224" t="s">
        <v>47</v>
      </c>
      <c r="O2224">
        <v>0</v>
      </c>
      <c r="P2224">
        <v>0</v>
      </c>
      <c r="Q2224">
        <v>0</v>
      </c>
      <c r="R2224">
        <v>0</v>
      </c>
      <c r="S2224">
        <v>1</v>
      </c>
      <c r="T2224">
        <v>1</v>
      </c>
      <c r="U2224">
        <v>1</v>
      </c>
      <c r="V2224">
        <v>0</v>
      </c>
      <c r="W2224" t="s">
        <v>1098</v>
      </c>
      <c r="AA2224">
        <v>2007</v>
      </c>
      <c r="AB2224">
        <v>9999</v>
      </c>
      <c r="AC2224" t="s">
        <v>35</v>
      </c>
    </row>
    <row r="2225" spans="1:29" x14ac:dyDescent="0.25">
      <c r="A2225" s="31" t="s">
        <v>380</v>
      </c>
      <c r="B2225" s="23" t="s">
        <v>381</v>
      </c>
      <c r="D2225">
        <v>1</v>
      </c>
      <c r="E2225" t="s">
        <v>103</v>
      </c>
      <c r="F2225">
        <v>9</v>
      </c>
      <c r="G2225">
        <v>2018</v>
      </c>
      <c r="I2225" s="8">
        <v>151.46</v>
      </c>
      <c r="J2225" t="s">
        <v>104</v>
      </c>
      <c r="K2225" t="s">
        <v>53</v>
      </c>
      <c r="L2225" t="s">
        <v>105</v>
      </c>
      <c r="O2225">
        <v>0</v>
      </c>
      <c r="P2225">
        <v>1</v>
      </c>
      <c r="Q2225">
        <v>0</v>
      </c>
      <c r="R2225">
        <v>0</v>
      </c>
      <c r="S2225">
        <v>1</v>
      </c>
      <c r="T2225">
        <v>1</v>
      </c>
      <c r="U2225">
        <v>1</v>
      </c>
      <c r="V2225">
        <v>0</v>
      </c>
      <c r="W2225" t="s">
        <v>106</v>
      </c>
      <c r="AA2225">
        <v>2007</v>
      </c>
      <c r="AB2225">
        <v>9999</v>
      </c>
      <c r="AC2225" t="s">
        <v>35</v>
      </c>
    </row>
    <row r="2226" spans="1:29" x14ac:dyDescent="0.25">
      <c r="A2226" s="31" t="s">
        <v>382</v>
      </c>
      <c r="B2226" s="23" t="s">
        <v>383</v>
      </c>
      <c r="D2226">
        <v>1</v>
      </c>
      <c r="E2226" t="s">
        <v>80</v>
      </c>
      <c r="F2226">
        <v>8</v>
      </c>
      <c r="G2226">
        <v>2018</v>
      </c>
      <c r="I2226" s="8">
        <v>26</v>
      </c>
      <c r="J2226" t="s">
        <v>81</v>
      </c>
      <c r="K2226" t="s">
        <v>32</v>
      </c>
      <c r="O2226">
        <v>0</v>
      </c>
      <c r="P2226">
        <v>0</v>
      </c>
      <c r="Q2226">
        <v>0</v>
      </c>
      <c r="R2226">
        <v>0</v>
      </c>
      <c r="S2226">
        <v>1</v>
      </c>
      <c r="T2226">
        <v>1</v>
      </c>
      <c r="U2226">
        <v>1</v>
      </c>
      <c r="V2226">
        <v>0</v>
      </c>
      <c r="W2226" t="s">
        <v>1099</v>
      </c>
      <c r="AA2226">
        <v>2007</v>
      </c>
      <c r="AB2226">
        <v>9999</v>
      </c>
      <c r="AC2226" t="s">
        <v>35</v>
      </c>
    </row>
    <row r="2227" spans="1:29" x14ac:dyDescent="0.25">
      <c r="A2227" s="31" t="s">
        <v>385</v>
      </c>
      <c r="B2227" s="23" t="s">
        <v>386</v>
      </c>
      <c r="D2227">
        <v>1</v>
      </c>
      <c r="E2227" t="s">
        <v>45</v>
      </c>
      <c r="F2227">
        <v>4</v>
      </c>
      <c r="G2227">
        <v>2018</v>
      </c>
      <c r="I2227" s="8">
        <v>173.56</v>
      </c>
      <c r="J2227" t="s">
        <v>52</v>
      </c>
      <c r="K2227" t="s">
        <v>47</v>
      </c>
      <c r="O2227">
        <v>0</v>
      </c>
      <c r="P2227">
        <v>0</v>
      </c>
      <c r="Q2227">
        <v>0</v>
      </c>
      <c r="R2227">
        <v>0</v>
      </c>
      <c r="S2227">
        <v>1</v>
      </c>
      <c r="T2227">
        <v>1</v>
      </c>
      <c r="U2227">
        <v>1</v>
      </c>
      <c r="V2227">
        <v>0</v>
      </c>
      <c r="W2227" t="s">
        <v>1300</v>
      </c>
      <c r="AA2227">
        <v>2007</v>
      </c>
      <c r="AB2227">
        <v>9999</v>
      </c>
      <c r="AC2227" t="s">
        <v>35</v>
      </c>
    </row>
    <row r="2228" spans="1:29" x14ac:dyDescent="0.25">
      <c r="A2228" s="31" t="s">
        <v>388</v>
      </c>
      <c r="B2228" s="23" t="s">
        <v>389</v>
      </c>
      <c r="D2228">
        <v>1</v>
      </c>
      <c r="E2228" t="s">
        <v>145</v>
      </c>
      <c r="F2228">
        <v>2</v>
      </c>
      <c r="G2228">
        <v>2018</v>
      </c>
      <c r="H2228" t="s">
        <v>185</v>
      </c>
      <c r="I2228">
        <v>0.3</v>
      </c>
      <c r="J2228" t="s">
        <v>52</v>
      </c>
      <c r="K2228" t="s">
        <v>41</v>
      </c>
      <c r="O2228">
        <v>0</v>
      </c>
      <c r="P2228">
        <v>0</v>
      </c>
      <c r="Q2228">
        <v>0</v>
      </c>
      <c r="R2228">
        <v>0</v>
      </c>
      <c r="S2228">
        <v>0</v>
      </c>
      <c r="T2228">
        <v>0</v>
      </c>
      <c r="U2228">
        <v>0</v>
      </c>
      <c r="V2228">
        <v>0</v>
      </c>
      <c r="W2228" t="s">
        <v>1101</v>
      </c>
      <c r="AA2228">
        <v>2007</v>
      </c>
      <c r="AB2228">
        <v>9999</v>
      </c>
      <c r="AC2228" t="s">
        <v>35</v>
      </c>
    </row>
    <row r="2229" spans="1:29" x14ac:dyDescent="0.25">
      <c r="A2229" s="31" t="s">
        <v>391</v>
      </c>
      <c r="B2229" s="23" t="s">
        <v>392</v>
      </c>
      <c r="D2229">
        <v>1</v>
      </c>
      <c r="E2229" t="s">
        <v>393</v>
      </c>
      <c r="F2229">
        <v>3</v>
      </c>
      <c r="G2229">
        <v>2018</v>
      </c>
      <c r="I2229" s="8">
        <v>9817.66</v>
      </c>
      <c r="J2229" t="s">
        <v>121</v>
      </c>
      <c r="K2229" t="s">
        <v>47</v>
      </c>
      <c r="O2229">
        <v>0</v>
      </c>
      <c r="P2229">
        <v>0</v>
      </c>
      <c r="Q2229">
        <v>0</v>
      </c>
      <c r="R2229">
        <v>0</v>
      </c>
      <c r="S2229">
        <v>1</v>
      </c>
      <c r="T2229">
        <v>1</v>
      </c>
      <c r="U2229">
        <v>1</v>
      </c>
      <c r="V2229">
        <v>0</v>
      </c>
      <c r="W2229" t="s">
        <v>1102</v>
      </c>
      <c r="AA2229">
        <v>2007</v>
      </c>
      <c r="AB2229">
        <v>9999</v>
      </c>
      <c r="AC2229" t="s">
        <v>35</v>
      </c>
    </row>
    <row r="2230" spans="1:29" x14ac:dyDescent="0.25">
      <c r="A2230" s="31" t="s">
        <v>401</v>
      </c>
      <c r="B2230" s="23" t="s">
        <v>402</v>
      </c>
      <c r="D2230">
        <v>1</v>
      </c>
      <c r="E2230" t="s">
        <v>155</v>
      </c>
      <c r="F2230">
        <v>3</v>
      </c>
      <c r="G2230">
        <v>2018</v>
      </c>
      <c r="I2230" s="8">
        <v>1996.68</v>
      </c>
      <c r="J2230" t="s">
        <v>52</v>
      </c>
      <c r="K2230" t="s">
        <v>47</v>
      </c>
      <c r="O2230">
        <v>0</v>
      </c>
      <c r="P2230">
        <v>0</v>
      </c>
      <c r="Q2230">
        <v>0</v>
      </c>
      <c r="R2230">
        <v>0</v>
      </c>
      <c r="S2230">
        <v>1</v>
      </c>
      <c r="T2230">
        <v>1</v>
      </c>
      <c r="U2230">
        <v>1</v>
      </c>
      <c r="V2230">
        <v>0</v>
      </c>
      <c r="W2230" t="s">
        <v>1525</v>
      </c>
      <c r="AA2230">
        <v>2007</v>
      </c>
      <c r="AB2230">
        <v>9999</v>
      </c>
      <c r="AC2230" t="s">
        <v>35</v>
      </c>
    </row>
    <row r="2231" spans="1:29" x14ac:dyDescent="0.25">
      <c r="A2231" s="31" t="s">
        <v>404</v>
      </c>
      <c r="B2231" s="23" t="s">
        <v>405</v>
      </c>
      <c r="C2231" t="s">
        <v>406</v>
      </c>
      <c r="D2231">
        <v>1</v>
      </c>
      <c r="E2231" t="s">
        <v>358</v>
      </c>
      <c r="F2231">
        <v>1</v>
      </c>
      <c r="G2231">
        <v>2018</v>
      </c>
      <c r="I2231" s="8">
        <v>314.88</v>
      </c>
      <c r="J2231" t="s">
        <v>104</v>
      </c>
      <c r="K2231" t="s">
        <v>47</v>
      </c>
      <c r="O2231">
        <v>0</v>
      </c>
      <c r="P2231">
        <v>0</v>
      </c>
      <c r="Q2231">
        <v>0</v>
      </c>
      <c r="R2231">
        <v>0</v>
      </c>
      <c r="S2231">
        <v>1</v>
      </c>
      <c r="T2231">
        <v>1</v>
      </c>
      <c r="U2231">
        <v>1</v>
      </c>
      <c r="V2231">
        <v>0</v>
      </c>
      <c r="W2231" t="s">
        <v>1245</v>
      </c>
      <c r="AA2231">
        <v>2007</v>
      </c>
      <c r="AB2231">
        <v>9999</v>
      </c>
      <c r="AC2231" t="s">
        <v>35</v>
      </c>
    </row>
    <row r="2232" spans="1:29" x14ac:dyDescent="0.25">
      <c r="A2232" s="31" t="s">
        <v>408</v>
      </c>
      <c r="B2232" s="23" t="s">
        <v>409</v>
      </c>
      <c r="D2232">
        <v>1</v>
      </c>
      <c r="E2232" t="s">
        <v>103</v>
      </c>
      <c r="F2232">
        <v>9</v>
      </c>
      <c r="G2232">
        <v>2018</v>
      </c>
      <c r="I2232" s="8">
        <v>55.72</v>
      </c>
      <c r="J2232" t="s">
        <v>104</v>
      </c>
      <c r="K2232" t="s">
        <v>53</v>
      </c>
      <c r="L2232" t="s">
        <v>105</v>
      </c>
      <c r="O2232">
        <v>0</v>
      </c>
      <c r="P2232">
        <v>1</v>
      </c>
      <c r="Q2232">
        <v>0</v>
      </c>
      <c r="R2232">
        <v>0</v>
      </c>
      <c r="S2232">
        <v>1</v>
      </c>
      <c r="T2232">
        <v>1</v>
      </c>
      <c r="U2232">
        <v>1</v>
      </c>
      <c r="V2232">
        <v>0</v>
      </c>
      <c r="W2232" t="s">
        <v>106</v>
      </c>
      <c r="AA2232">
        <v>2007</v>
      </c>
      <c r="AB2232">
        <v>9999</v>
      </c>
      <c r="AC2232" t="s">
        <v>35</v>
      </c>
    </row>
    <row r="2233" spans="1:29" x14ac:dyDescent="0.25">
      <c r="A2233" s="31" t="s">
        <v>410</v>
      </c>
      <c r="B2233" s="23" t="s">
        <v>411</v>
      </c>
      <c r="C2233" t="s">
        <v>412</v>
      </c>
      <c r="D2233">
        <v>1</v>
      </c>
      <c r="E2233" t="s">
        <v>103</v>
      </c>
      <c r="F2233">
        <v>9</v>
      </c>
      <c r="G2233">
        <v>2018</v>
      </c>
      <c r="I2233" s="8">
        <v>137.71</v>
      </c>
      <c r="J2233" t="s">
        <v>104</v>
      </c>
      <c r="K2233" t="s">
        <v>53</v>
      </c>
      <c r="L2233" t="s">
        <v>105</v>
      </c>
      <c r="O2233">
        <v>0</v>
      </c>
      <c r="P2233">
        <v>1</v>
      </c>
      <c r="Q2233">
        <v>0</v>
      </c>
      <c r="R2233">
        <v>0</v>
      </c>
      <c r="S2233">
        <v>1</v>
      </c>
      <c r="T2233">
        <v>1</v>
      </c>
      <c r="U2233">
        <v>1</v>
      </c>
      <c r="V2233">
        <v>0</v>
      </c>
      <c r="W2233" t="s">
        <v>106</v>
      </c>
      <c r="AA2233">
        <v>2007</v>
      </c>
      <c r="AB2233">
        <v>9999</v>
      </c>
      <c r="AC2233" t="s">
        <v>35</v>
      </c>
    </row>
    <row r="2234" spans="1:29" x14ac:dyDescent="0.25">
      <c r="A2234" s="31" t="s">
        <v>413</v>
      </c>
      <c r="B2234" s="23" t="s">
        <v>414</v>
      </c>
      <c r="C2234" t="s">
        <v>415</v>
      </c>
      <c r="D2234">
        <v>1</v>
      </c>
      <c r="E2234" t="s">
        <v>103</v>
      </c>
      <c r="F2234">
        <v>9</v>
      </c>
      <c r="G2234">
        <v>2018</v>
      </c>
      <c r="I2234" s="8">
        <v>3628.32</v>
      </c>
      <c r="J2234" t="s">
        <v>104</v>
      </c>
      <c r="K2234" t="s">
        <v>53</v>
      </c>
      <c r="L2234" t="s">
        <v>105</v>
      </c>
      <c r="O2234">
        <v>0</v>
      </c>
      <c r="P2234">
        <v>1</v>
      </c>
      <c r="Q2234">
        <v>0</v>
      </c>
      <c r="R2234">
        <v>0</v>
      </c>
      <c r="S2234">
        <v>1</v>
      </c>
      <c r="T2234">
        <v>1</v>
      </c>
      <c r="U2234">
        <v>1</v>
      </c>
      <c r="V2234">
        <v>0</v>
      </c>
      <c r="W2234" t="s">
        <v>106</v>
      </c>
      <c r="AA2234">
        <v>2007</v>
      </c>
      <c r="AB2234">
        <v>9999</v>
      </c>
      <c r="AC2234" t="s">
        <v>35</v>
      </c>
    </row>
    <row r="2235" spans="1:29" x14ac:dyDescent="0.25">
      <c r="A2235" s="31" t="s">
        <v>416</v>
      </c>
      <c r="B2235" s="23" t="s">
        <v>417</v>
      </c>
      <c r="C2235" t="s">
        <v>418</v>
      </c>
      <c r="D2235">
        <v>1</v>
      </c>
      <c r="E2235" t="s">
        <v>218</v>
      </c>
      <c r="F2235">
        <v>2</v>
      </c>
      <c r="G2235">
        <v>2018</v>
      </c>
      <c r="I2235" s="8">
        <v>771.07</v>
      </c>
      <c r="J2235" t="s">
        <v>147</v>
      </c>
      <c r="K2235" t="s">
        <v>47</v>
      </c>
      <c r="O2235">
        <v>0</v>
      </c>
      <c r="P2235">
        <v>0</v>
      </c>
      <c r="Q2235">
        <v>0</v>
      </c>
      <c r="R2235">
        <v>0</v>
      </c>
      <c r="S2235">
        <v>1</v>
      </c>
      <c r="T2235">
        <v>1</v>
      </c>
      <c r="U2235">
        <v>1</v>
      </c>
      <c r="V2235">
        <v>0</v>
      </c>
      <c r="W2235" t="s">
        <v>1107</v>
      </c>
      <c r="AA2235">
        <v>2007</v>
      </c>
      <c r="AB2235">
        <v>9999</v>
      </c>
      <c r="AC2235" t="s">
        <v>35</v>
      </c>
    </row>
    <row r="2236" spans="1:29" x14ac:dyDescent="0.25">
      <c r="A2236" s="31" t="s">
        <v>420</v>
      </c>
      <c r="B2236" s="23" t="s">
        <v>421</v>
      </c>
      <c r="D2236">
        <v>1</v>
      </c>
      <c r="E2236" t="s">
        <v>38</v>
      </c>
      <c r="F2236">
        <v>4</v>
      </c>
      <c r="G2236">
        <v>2018</v>
      </c>
      <c r="H2236" t="s">
        <v>39</v>
      </c>
      <c r="I2236">
        <v>3.5</v>
      </c>
      <c r="J2236" s="2" t="s">
        <v>1471</v>
      </c>
      <c r="K2236" t="s">
        <v>32</v>
      </c>
      <c r="O2236">
        <v>0</v>
      </c>
      <c r="P2236">
        <v>0</v>
      </c>
      <c r="Q2236">
        <v>0</v>
      </c>
      <c r="R2236">
        <v>0</v>
      </c>
      <c r="S2236">
        <v>0</v>
      </c>
      <c r="T2236">
        <v>1</v>
      </c>
      <c r="U2236">
        <v>0</v>
      </c>
      <c r="V2236">
        <v>0</v>
      </c>
      <c r="W2236" t="s">
        <v>1108</v>
      </c>
      <c r="AA2236">
        <v>2007</v>
      </c>
      <c r="AB2236">
        <v>9999</v>
      </c>
      <c r="AC2236" t="s">
        <v>35</v>
      </c>
    </row>
    <row r="2237" spans="1:29" x14ac:dyDescent="0.25">
      <c r="A2237" s="31" t="s">
        <v>423</v>
      </c>
      <c r="B2237" s="23" t="s">
        <v>424</v>
      </c>
      <c r="D2237">
        <v>1</v>
      </c>
      <c r="E2237" t="s">
        <v>85</v>
      </c>
      <c r="F2237">
        <v>1</v>
      </c>
      <c r="G2237">
        <v>2018</v>
      </c>
      <c r="H2237" t="s">
        <v>303</v>
      </c>
      <c r="I2237">
        <v>7</v>
      </c>
      <c r="J2237" t="s">
        <v>121</v>
      </c>
      <c r="K2237" t="s">
        <v>53</v>
      </c>
      <c r="L2237" t="s">
        <v>425</v>
      </c>
      <c r="O2237">
        <v>0</v>
      </c>
      <c r="P2237">
        <v>0</v>
      </c>
      <c r="Q2237">
        <v>0</v>
      </c>
      <c r="R2237">
        <v>0</v>
      </c>
      <c r="S2237">
        <v>0</v>
      </c>
      <c r="T2237">
        <v>0</v>
      </c>
      <c r="U2237">
        <v>0</v>
      </c>
      <c r="V2237">
        <v>0</v>
      </c>
      <c r="W2237" t="s">
        <v>426</v>
      </c>
      <c r="AA2237">
        <v>2007</v>
      </c>
      <c r="AB2237">
        <v>9999</v>
      </c>
      <c r="AC2237" t="s">
        <v>35</v>
      </c>
    </row>
    <row r="2238" spans="1:29" x14ac:dyDescent="0.25">
      <c r="A2238" s="31" t="s">
        <v>427</v>
      </c>
      <c r="B2238" s="23" t="s">
        <v>1246</v>
      </c>
      <c r="D2238">
        <v>1</v>
      </c>
      <c r="E2238" t="s">
        <v>45</v>
      </c>
      <c r="F2238">
        <v>4</v>
      </c>
      <c r="G2238">
        <v>2018</v>
      </c>
      <c r="I2238" s="8">
        <v>1981.15</v>
      </c>
      <c r="J2238" t="s">
        <v>89</v>
      </c>
      <c r="K2238" t="s">
        <v>32</v>
      </c>
      <c r="O2238">
        <v>0</v>
      </c>
      <c r="P2238">
        <v>0</v>
      </c>
      <c r="Q2238">
        <v>0</v>
      </c>
      <c r="R2238">
        <v>0</v>
      </c>
      <c r="S2238">
        <v>1</v>
      </c>
      <c r="T2238">
        <v>1</v>
      </c>
      <c r="U2238">
        <v>1</v>
      </c>
      <c r="V2238">
        <v>0</v>
      </c>
      <c r="W2238" t="s">
        <v>1301</v>
      </c>
      <c r="AA2238">
        <v>2007</v>
      </c>
      <c r="AB2238">
        <v>9999</v>
      </c>
      <c r="AC2238" t="s">
        <v>35</v>
      </c>
    </row>
    <row r="2239" spans="1:29" x14ac:dyDescent="0.25">
      <c r="A2239" s="31" t="s">
        <v>430</v>
      </c>
      <c r="B2239" s="23" t="s">
        <v>431</v>
      </c>
      <c r="D2239">
        <v>1</v>
      </c>
      <c r="E2239" t="s">
        <v>103</v>
      </c>
      <c r="F2239">
        <v>9</v>
      </c>
      <c r="G2239">
        <v>2018</v>
      </c>
      <c r="I2239" s="8">
        <v>3203.45</v>
      </c>
      <c r="J2239" t="s">
        <v>104</v>
      </c>
      <c r="K2239" t="s">
        <v>53</v>
      </c>
      <c r="L2239" t="s">
        <v>105</v>
      </c>
      <c r="O2239">
        <v>0</v>
      </c>
      <c r="P2239">
        <v>1</v>
      </c>
      <c r="Q2239">
        <v>0</v>
      </c>
      <c r="R2239">
        <v>0</v>
      </c>
      <c r="S2239">
        <v>1</v>
      </c>
      <c r="T2239">
        <v>1</v>
      </c>
      <c r="U2239">
        <v>1</v>
      </c>
      <c r="V2239">
        <v>0</v>
      </c>
      <c r="W2239" t="s">
        <v>106</v>
      </c>
      <c r="AA2239">
        <v>2007</v>
      </c>
      <c r="AB2239">
        <v>9999</v>
      </c>
      <c r="AC2239" t="s">
        <v>35</v>
      </c>
    </row>
    <row r="2240" spans="1:29" x14ac:dyDescent="0.25">
      <c r="A2240" s="31" t="s">
        <v>1302</v>
      </c>
      <c r="B2240" s="23" t="s">
        <v>1303</v>
      </c>
      <c r="D2240">
        <v>1</v>
      </c>
      <c r="E2240" t="s">
        <v>103</v>
      </c>
      <c r="F2240">
        <v>9</v>
      </c>
      <c r="G2240">
        <v>2018</v>
      </c>
      <c r="I2240" s="8">
        <v>1772.66</v>
      </c>
      <c r="J2240" t="s">
        <v>104</v>
      </c>
      <c r="K2240" t="s">
        <v>53</v>
      </c>
      <c r="L2240" t="s">
        <v>105</v>
      </c>
      <c r="O2240">
        <v>0</v>
      </c>
      <c r="P2240">
        <v>1</v>
      </c>
      <c r="Q2240">
        <v>0</v>
      </c>
      <c r="R2240">
        <v>0</v>
      </c>
      <c r="S2240">
        <v>1</v>
      </c>
      <c r="T2240">
        <v>1</v>
      </c>
      <c r="U2240">
        <v>1</v>
      </c>
      <c r="V2240">
        <v>0</v>
      </c>
      <c r="W2240" t="s">
        <v>106</v>
      </c>
      <c r="AA2240">
        <v>2010</v>
      </c>
      <c r="AB2240">
        <v>9999</v>
      </c>
      <c r="AC2240" t="s">
        <v>1292</v>
      </c>
    </row>
    <row r="2241" spans="1:29" x14ac:dyDescent="0.25">
      <c r="A2241" s="31" t="s">
        <v>439</v>
      </c>
      <c r="B2241" s="23" t="s">
        <v>440</v>
      </c>
      <c r="C2241" t="s">
        <v>441</v>
      </c>
      <c r="D2241">
        <v>1</v>
      </c>
      <c r="E2241" t="s">
        <v>442</v>
      </c>
      <c r="F2241">
        <v>4</v>
      </c>
      <c r="G2241">
        <v>2018</v>
      </c>
      <c r="I2241" s="8">
        <v>548.96</v>
      </c>
      <c r="J2241" t="s">
        <v>89</v>
      </c>
      <c r="K2241" t="s">
        <v>47</v>
      </c>
      <c r="O2241">
        <v>0</v>
      </c>
      <c r="P2241">
        <v>0</v>
      </c>
      <c r="Q2241">
        <v>0</v>
      </c>
      <c r="R2241">
        <v>0</v>
      </c>
      <c r="S2241">
        <v>1</v>
      </c>
      <c r="T2241">
        <v>1</v>
      </c>
      <c r="U2241">
        <v>1</v>
      </c>
      <c r="V2241">
        <v>0</v>
      </c>
      <c r="W2241" t="s">
        <v>1304</v>
      </c>
      <c r="AA2241">
        <v>2007</v>
      </c>
      <c r="AB2241">
        <v>9999</v>
      </c>
      <c r="AC2241" t="s">
        <v>35</v>
      </c>
    </row>
    <row r="2242" spans="1:29" ht="30" x14ac:dyDescent="0.25">
      <c r="B2242" s="23" t="s">
        <v>444</v>
      </c>
      <c r="C2242" t="s">
        <v>445</v>
      </c>
      <c r="D2242">
        <v>5</v>
      </c>
      <c r="E2242" t="s">
        <v>38</v>
      </c>
      <c r="F2242">
        <v>4</v>
      </c>
      <c r="G2242">
        <v>2018</v>
      </c>
      <c r="I2242" s="8">
        <v>1.75</v>
      </c>
      <c r="J2242" s="2" t="s">
        <v>31</v>
      </c>
      <c r="K2242" t="s">
        <v>41</v>
      </c>
      <c r="O2242">
        <v>0</v>
      </c>
      <c r="P2242">
        <v>0</v>
      </c>
      <c r="Q2242">
        <v>0</v>
      </c>
      <c r="R2242">
        <v>0</v>
      </c>
      <c r="S2242">
        <v>0</v>
      </c>
      <c r="T2242">
        <v>0</v>
      </c>
      <c r="U2242">
        <v>0</v>
      </c>
      <c r="V2242">
        <v>0</v>
      </c>
      <c r="W2242" t="s">
        <v>1114</v>
      </c>
      <c r="AA2242">
        <v>2007</v>
      </c>
      <c r="AB2242">
        <v>9999</v>
      </c>
      <c r="AC2242" t="s">
        <v>35</v>
      </c>
    </row>
    <row r="2243" spans="1:29" x14ac:dyDescent="0.25">
      <c r="A2243" s="31" t="s">
        <v>447</v>
      </c>
      <c r="B2243" s="23" t="s">
        <v>448</v>
      </c>
      <c r="D2243">
        <v>1</v>
      </c>
      <c r="E2243" t="s">
        <v>45</v>
      </c>
      <c r="F2243">
        <v>4</v>
      </c>
      <c r="G2243">
        <v>2018</v>
      </c>
      <c r="I2243" s="8">
        <v>40.5</v>
      </c>
      <c r="J2243" t="s">
        <v>52</v>
      </c>
      <c r="K2243" t="s">
        <v>32</v>
      </c>
      <c r="O2243">
        <v>0</v>
      </c>
      <c r="P2243">
        <v>0</v>
      </c>
      <c r="Q2243">
        <v>0</v>
      </c>
      <c r="R2243">
        <v>0</v>
      </c>
      <c r="S2243">
        <v>1</v>
      </c>
      <c r="T2243">
        <v>1</v>
      </c>
      <c r="U2243">
        <v>1</v>
      </c>
      <c r="V2243">
        <v>0</v>
      </c>
      <c r="W2243" t="s">
        <v>1115</v>
      </c>
      <c r="AA2243">
        <v>2007</v>
      </c>
      <c r="AB2243">
        <v>9999</v>
      </c>
      <c r="AC2243" t="s">
        <v>35</v>
      </c>
    </row>
    <row r="2244" spans="1:29" x14ac:dyDescent="0.25">
      <c r="A2244" s="31" t="s">
        <v>453</v>
      </c>
      <c r="B2244" s="23" t="s">
        <v>454</v>
      </c>
      <c r="C2244" t="s">
        <v>455</v>
      </c>
      <c r="D2244">
        <v>1</v>
      </c>
      <c r="E2244" t="s">
        <v>456</v>
      </c>
      <c r="F2244">
        <v>4</v>
      </c>
      <c r="G2244">
        <v>2018</v>
      </c>
      <c r="I2244" s="8">
        <v>1090.3800000000001</v>
      </c>
      <c r="J2244" t="s">
        <v>89</v>
      </c>
      <c r="K2244" t="s">
        <v>32</v>
      </c>
      <c r="L2244" t="s">
        <v>33</v>
      </c>
      <c r="O2244">
        <v>0</v>
      </c>
      <c r="P2244">
        <v>0</v>
      </c>
      <c r="Q2244">
        <v>0</v>
      </c>
      <c r="R2244">
        <v>1</v>
      </c>
      <c r="S2244">
        <v>1</v>
      </c>
      <c r="T2244">
        <v>1</v>
      </c>
      <c r="U2244">
        <v>1</v>
      </c>
      <c r="V2244">
        <v>0</v>
      </c>
      <c r="W2244" t="s">
        <v>1360</v>
      </c>
      <c r="AA2244">
        <v>2007</v>
      </c>
      <c r="AB2244">
        <v>9999</v>
      </c>
      <c r="AC2244" t="s">
        <v>35</v>
      </c>
    </row>
    <row r="2245" spans="1:29" x14ac:dyDescent="0.25">
      <c r="A2245" s="31" t="s">
        <v>458</v>
      </c>
      <c r="B2245" s="23" t="s">
        <v>459</v>
      </c>
      <c r="D2245">
        <v>1</v>
      </c>
      <c r="E2245" t="s">
        <v>103</v>
      </c>
      <c r="F2245">
        <v>9</v>
      </c>
      <c r="G2245">
        <v>2018</v>
      </c>
      <c r="I2245" s="8">
        <v>1330.76</v>
      </c>
      <c r="J2245" t="s">
        <v>104</v>
      </c>
      <c r="K2245" t="s">
        <v>53</v>
      </c>
      <c r="L2245" t="s">
        <v>105</v>
      </c>
      <c r="O2245">
        <v>0</v>
      </c>
      <c r="P2245">
        <v>1</v>
      </c>
      <c r="Q2245">
        <v>0</v>
      </c>
      <c r="R2245">
        <v>0</v>
      </c>
      <c r="S2245">
        <v>1</v>
      </c>
      <c r="T2245">
        <v>1</v>
      </c>
      <c r="U2245">
        <v>1</v>
      </c>
      <c r="V2245">
        <v>0</v>
      </c>
      <c r="W2245" t="s">
        <v>106</v>
      </c>
      <c r="AA2245">
        <v>2007</v>
      </c>
      <c r="AB2245">
        <v>9999</v>
      </c>
      <c r="AC2245" t="s">
        <v>35</v>
      </c>
    </row>
    <row r="2246" spans="1:29" x14ac:dyDescent="0.25">
      <c r="A2246" s="31" t="s">
        <v>460</v>
      </c>
      <c r="B2246" s="23" t="s">
        <v>461</v>
      </c>
      <c r="D2246">
        <v>1</v>
      </c>
      <c r="E2246" t="s">
        <v>103</v>
      </c>
      <c r="F2246">
        <v>9</v>
      </c>
      <c r="G2246">
        <v>2018</v>
      </c>
      <c r="I2246" s="8">
        <v>6700.25</v>
      </c>
      <c r="J2246" t="s">
        <v>104</v>
      </c>
      <c r="K2246" t="s">
        <v>53</v>
      </c>
      <c r="L2246" t="s">
        <v>105</v>
      </c>
      <c r="O2246">
        <v>0</v>
      </c>
      <c r="P2246">
        <v>1</v>
      </c>
      <c r="Q2246">
        <v>0</v>
      </c>
      <c r="R2246">
        <v>0</v>
      </c>
      <c r="S2246">
        <v>1</v>
      </c>
      <c r="T2246">
        <v>1</v>
      </c>
      <c r="U2246">
        <v>1</v>
      </c>
      <c r="V2246">
        <v>0</v>
      </c>
      <c r="W2246" t="s">
        <v>106</v>
      </c>
      <c r="AA2246">
        <v>2007</v>
      </c>
      <c r="AB2246">
        <v>9999</v>
      </c>
      <c r="AC2246" t="s">
        <v>35</v>
      </c>
    </row>
    <row r="2247" spans="1:29" x14ac:dyDescent="0.25">
      <c r="A2247" s="31" t="s">
        <v>465</v>
      </c>
      <c r="B2247" s="23" t="s">
        <v>466</v>
      </c>
      <c r="C2247" t="s">
        <v>467</v>
      </c>
      <c r="D2247">
        <v>1</v>
      </c>
      <c r="E2247" t="s">
        <v>468</v>
      </c>
      <c r="F2247">
        <v>7</v>
      </c>
      <c r="G2247">
        <v>2018</v>
      </c>
      <c r="I2247" s="8">
        <v>758.67</v>
      </c>
      <c r="J2247" t="s">
        <v>40</v>
      </c>
      <c r="K2247" t="s">
        <v>32</v>
      </c>
      <c r="O2247">
        <v>0</v>
      </c>
      <c r="P2247">
        <v>0</v>
      </c>
      <c r="Q2247">
        <v>0</v>
      </c>
      <c r="R2247">
        <v>0</v>
      </c>
      <c r="S2247">
        <v>1</v>
      </c>
      <c r="T2247">
        <v>1</v>
      </c>
      <c r="U2247">
        <v>1</v>
      </c>
      <c r="V2247">
        <v>0</v>
      </c>
      <c r="W2247" t="s">
        <v>1119</v>
      </c>
      <c r="AA2247">
        <v>2007</v>
      </c>
      <c r="AB2247">
        <v>9999</v>
      </c>
      <c r="AC2247" t="s">
        <v>35</v>
      </c>
    </row>
    <row r="2248" spans="1:29" x14ac:dyDescent="0.25">
      <c r="A2248" s="31" t="s">
        <v>478</v>
      </c>
      <c r="B2248" s="23" t="s">
        <v>479</v>
      </c>
      <c r="D2248">
        <v>1</v>
      </c>
      <c r="E2248" t="s">
        <v>348</v>
      </c>
      <c r="F2248">
        <v>1</v>
      </c>
      <c r="G2248">
        <v>2018</v>
      </c>
      <c r="I2248" s="8">
        <v>112.18</v>
      </c>
      <c r="J2248" t="s">
        <v>52</v>
      </c>
      <c r="K2248" t="s">
        <v>47</v>
      </c>
      <c r="O2248">
        <v>0</v>
      </c>
      <c r="P2248">
        <v>0</v>
      </c>
      <c r="Q2248">
        <v>0</v>
      </c>
      <c r="R2248">
        <v>0</v>
      </c>
      <c r="S2248">
        <v>1</v>
      </c>
      <c r="T2248">
        <v>1</v>
      </c>
      <c r="U2248">
        <v>1</v>
      </c>
      <c r="V2248">
        <v>0</v>
      </c>
      <c r="W2248" t="s">
        <v>1548</v>
      </c>
      <c r="AA2248">
        <v>2007</v>
      </c>
      <c r="AB2248">
        <v>9999</v>
      </c>
      <c r="AC2248" t="s">
        <v>35</v>
      </c>
    </row>
    <row r="2249" spans="1:29" x14ac:dyDescent="0.25">
      <c r="A2249" s="31" t="s">
        <v>481</v>
      </c>
      <c r="B2249" s="23" t="s">
        <v>482</v>
      </c>
      <c r="D2249">
        <v>1</v>
      </c>
      <c r="E2249" t="s">
        <v>348</v>
      </c>
      <c r="F2249">
        <v>1</v>
      </c>
      <c r="G2249">
        <v>2018</v>
      </c>
      <c r="I2249" s="8">
        <v>252.95</v>
      </c>
      <c r="J2249" t="s">
        <v>52</v>
      </c>
      <c r="K2249" t="s">
        <v>47</v>
      </c>
      <c r="O2249">
        <v>0</v>
      </c>
      <c r="P2249">
        <v>0</v>
      </c>
      <c r="Q2249">
        <v>0</v>
      </c>
      <c r="R2249">
        <v>0</v>
      </c>
      <c r="S2249">
        <v>1</v>
      </c>
      <c r="T2249">
        <v>1</v>
      </c>
      <c r="U2249">
        <v>1</v>
      </c>
      <c r="V2249">
        <v>0</v>
      </c>
      <c r="W2249" t="s">
        <v>1548</v>
      </c>
      <c r="AA2249">
        <v>2007</v>
      </c>
      <c r="AB2249">
        <v>9999</v>
      </c>
      <c r="AC2249" t="s">
        <v>35</v>
      </c>
    </row>
    <row r="2250" spans="1:29" x14ac:dyDescent="0.25">
      <c r="A2250" s="31" t="s">
        <v>483</v>
      </c>
      <c r="B2250" s="23" t="s">
        <v>484</v>
      </c>
      <c r="D2250">
        <v>1</v>
      </c>
      <c r="E2250" t="s">
        <v>348</v>
      </c>
      <c r="F2250">
        <v>1</v>
      </c>
      <c r="G2250">
        <v>2018</v>
      </c>
      <c r="I2250" s="8">
        <v>122.3</v>
      </c>
      <c r="J2250" t="s">
        <v>52</v>
      </c>
      <c r="K2250" t="s">
        <v>47</v>
      </c>
      <c r="O2250">
        <v>0</v>
      </c>
      <c r="P2250">
        <v>0</v>
      </c>
      <c r="Q2250">
        <v>0</v>
      </c>
      <c r="R2250">
        <v>0</v>
      </c>
      <c r="S2250">
        <v>1</v>
      </c>
      <c r="T2250">
        <v>1</v>
      </c>
      <c r="U2250">
        <v>1</v>
      </c>
      <c r="V2250">
        <v>0</v>
      </c>
      <c r="W2250" t="s">
        <v>1548</v>
      </c>
      <c r="AA2250">
        <v>2007</v>
      </c>
      <c r="AB2250">
        <v>9999</v>
      </c>
      <c r="AC2250" t="s">
        <v>35</v>
      </c>
    </row>
    <row r="2251" spans="1:29" x14ac:dyDescent="0.25">
      <c r="A2251" s="31" t="s">
        <v>485</v>
      </c>
      <c r="B2251" s="23" t="s">
        <v>486</v>
      </c>
      <c r="D2251">
        <v>1</v>
      </c>
      <c r="E2251" t="s">
        <v>348</v>
      </c>
      <c r="F2251">
        <v>1</v>
      </c>
      <c r="G2251">
        <v>2018</v>
      </c>
      <c r="I2251" s="8">
        <v>190.78</v>
      </c>
      <c r="J2251" t="s">
        <v>52</v>
      </c>
      <c r="K2251" t="s">
        <v>47</v>
      </c>
      <c r="O2251">
        <v>0</v>
      </c>
      <c r="P2251">
        <v>0</v>
      </c>
      <c r="Q2251">
        <v>0</v>
      </c>
      <c r="R2251">
        <v>0</v>
      </c>
      <c r="S2251">
        <v>1</v>
      </c>
      <c r="T2251">
        <v>1</v>
      </c>
      <c r="U2251">
        <v>1</v>
      </c>
      <c r="V2251">
        <v>0</v>
      </c>
      <c r="W2251" t="s">
        <v>1548</v>
      </c>
      <c r="AA2251">
        <v>2007</v>
      </c>
      <c r="AB2251">
        <v>9999</v>
      </c>
      <c r="AC2251" t="s">
        <v>35</v>
      </c>
    </row>
    <row r="2252" spans="1:29" x14ac:dyDescent="0.25">
      <c r="A2252" s="31" t="s">
        <v>487</v>
      </c>
      <c r="B2252" s="23" t="s">
        <v>488</v>
      </c>
      <c r="D2252">
        <v>1</v>
      </c>
      <c r="E2252" t="s">
        <v>348</v>
      </c>
      <c r="F2252">
        <v>1</v>
      </c>
      <c r="G2252">
        <v>2018</v>
      </c>
      <c r="I2252" s="8">
        <v>176.95</v>
      </c>
      <c r="J2252" t="s">
        <v>52</v>
      </c>
      <c r="K2252" t="s">
        <v>47</v>
      </c>
      <c r="O2252">
        <v>0</v>
      </c>
      <c r="P2252">
        <v>0</v>
      </c>
      <c r="Q2252">
        <v>0</v>
      </c>
      <c r="R2252">
        <v>0</v>
      </c>
      <c r="S2252">
        <v>1</v>
      </c>
      <c r="T2252">
        <v>1</v>
      </c>
      <c r="U2252">
        <v>1</v>
      </c>
      <c r="V2252">
        <v>0</v>
      </c>
      <c r="W2252" t="s">
        <v>1548</v>
      </c>
      <c r="AA2252">
        <v>2007</v>
      </c>
      <c r="AB2252">
        <v>9999</v>
      </c>
      <c r="AC2252" t="s">
        <v>35</v>
      </c>
    </row>
    <row r="2253" spans="1:29" x14ac:dyDescent="0.25">
      <c r="A2253" s="31" t="s">
        <v>489</v>
      </c>
      <c r="B2253" s="23" t="s">
        <v>490</v>
      </c>
      <c r="D2253">
        <v>1</v>
      </c>
      <c r="E2253" t="s">
        <v>348</v>
      </c>
      <c r="F2253">
        <v>1</v>
      </c>
      <c r="G2253">
        <v>2018</v>
      </c>
      <c r="I2253" s="8">
        <v>225.11</v>
      </c>
      <c r="J2253" t="s">
        <v>52</v>
      </c>
      <c r="K2253" t="s">
        <v>47</v>
      </c>
      <c r="O2253">
        <v>0</v>
      </c>
      <c r="P2253">
        <v>0</v>
      </c>
      <c r="Q2253">
        <v>0</v>
      </c>
      <c r="R2253">
        <v>0</v>
      </c>
      <c r="S2253">
        <v>1</v>
      </c>
      <c r="T2253">
        <v>1</v>
      </c>
      <c r="U2253">
        <v>1</v>
      </c>
      <c r="V2253">
        <v>0</v>
      </c>
      <c r="W2253" t="s">
        <v>1548</v>
      </c>
      <c r="AA2253">
        <v>2007</v>
      </c>
      <c r="AB2253">
        <v>9999</v>
      </c>
      <c r="AC2253" t="s">
        <v>35</v>
      </c>
    </row>
    <row r="2254" spans="1:29" x14ac:dyDescent="0.25">
      <c r="A2254" s="31" t="s">
        <v>491</v>
      </c>
      <c r="B2254" s="23" t="s">
        <v>492</v>
      </c>
      <c r="D2254">
        <v>1</v>
      </c>
      <c r="E2254" t="s">
        <v>348</v>
      </c>
      <c r="F2254">
        <v>1</v>
      </c>
      <c r="G2254">
        <v>2018</v>
      </c>
      <c r="I2254" s="8">
        <v>237</v>
      </c>
      <c r="J2254" t="s">
        <v>52</v>
      </c>
      <c r="K2254" t="s">
        <v>47</v>
      </c>
      <c r="O2254">
        <v>0</v>
      </c>
      <c r="P2254">
        <v>0</v>
      </c>
      <c r="Q2254">
        <v>0</v>
      </c>
      <c r="R2254">
        <v>0</v>
      </c>
      <c r="S2254">
        <v>1</v>
      </c>
      <c r="T2254">
        <v>1</v>
      </c>
      <c r="U2254">
        <v>1</v>
      </c>
      <c r="V2254">
        <v>0</v>
      </c>
      <c r="W2254" t="s">
        <v>1548</v>
      </c>
      <c r="AA2254">
        <v>2007</v>
      </c>
      <c r="AB2254">
        <v>9999</v>
      </c>
      <c r="AC2254" t="s">
        <v>35</v>
      </c>
    </row>
    <row r="2255" spans="1:29" x14ac:dyDescent="0.25">
      <c r="A2255" s="31" t="s">
        <v>493</v>
      </c>
      <c r="B2255" s="23" t="s">
        <v>494</v>
      </c>
      <c r="D2255">
        <v>1</v>
      </c>
      <c r="E2255" t="s">
        <v>348</v>
      </c>
      <c r="F2255">
        <v>1</v>
      </c>
      <c r="G2255">
        <v>2018</v>
      </c>
      <c r="I2255" s="8">
        <v>218.71</v>
      </c>
      <c r="J2255" t="s">
        <v>52</v>
      </c>
      <c r="K2255" t="s">
        <v>47</v>
      </c>
      <c r="O2255">
        <v>0</v>
      </c>
      <c r="P2255">
        <v>0</v>
      </c>
      <c r="Q2255">
        <v>0</v>
      </c>
      <c r="R2255">
        <v>0</v>
      </c>
      <c r="S2255">
        <v>1</v>
      </c>
      <c r="T2255">
        <v>1</v>
      </c>
      <c r="U2255">
        <v>1</v>
      </c>
      <c r="V2255">
        <v>0</v>
      </c>
      <c r="W2255" t="s">
        <v>1548</v>
      </c>
      <c r="AA2255">
        <v>2007</v>
      </c>
      <c r="AB2255">
        <v>9999</v>
      </c>
      <c r="AC2255" t="s">
        <v>35</v>
      </c>
    </row>
    <row r="2256" spans="1:29" x14ac:dyDescent="0.25">
      <c r="A2256" s="31" t="s">
        <v>495</v>
      </c>
      <c r="B2256" s="23" t="s">
        <v>496</v>
      </c>
      <c r="D2256">
        <v>1</v>
      </c>
      <c r="E2256" t="s">
        <v>348</v>
      </c>
      <c r="F2256">
        <v>1</v>
      </c>
      <c r="G2256">
        <v>2018</v>
      </c>
      <c r="I2256" s="8">
        <v>161.1</v>
      </c>
      <c r="J2256" t="s">
        <v>52</v>
      </c>
      <c r="K2256" t="s">
        <v>47</v>
      </c>
      <c r="O2256">
        <v>0</v>
      </c>
      <c r="P2256">
        <v>0</v>
      </c>
      <c r="Q2256">
        <v>0</v>
      </c>
      <c r="R2256">
        <v>0</v>
      </c>
      <c r="S2256">
        <v>1</v>
      </c>
      <c r="T2256">
        <v>1</v>
      </c>
      <c r="U2256">
        <v>1</v>
      </c>
      <c r="V2256">
        <v>0</v>
      </c>
      <c r="W2256" t="s">
        <v>1548</v>
      </c>
      <c r="AA2256">
        <v>2007</v>
      </c>
      <c r="AB2256">
        <v>9999</v>
      </c>
      <c r="AC2256" t="s">
        <v>35</v>
      </c>
    </row>
    <row r="2257" spans="1:29" x14ac:dyDescent="0.25">
      <c r="A2257" s="31" t="s">
        <v>497</v>
      </c>
      <c r="B2257" s="23" t="s">
        <v>498</v>
      </c>
      <c r="D2257">
        <v>1</v>
      </c>
      <c r="E2257" t="s">
        <v>348</v>
      </c>
      <c r="F2257">
        <v>1</v>
      </c>
      <c r="G2257">
        <v>2018</v>
      </c>
      <c r="I2257" s="8">
        <v>260.31</v>
      </c>
      <c r="J2257" t="s">
        <v>52</v>
      </c>
      <c r="K2257" t="s">
        <v>47</v>
      </c>
      <c r="O2257">
        <v>0</v>
      </c>
      <c r="P2257">
        <v>0</v>
      </c>
      <c r="Q2257">
        <v>0</v>
      </c>
      <c r="R2257">
        <v>0</v>
      </c>
      <c r="S2257">
        <v>1</v>
      </c>
      <c r="T2257">
        <v>1</v>
      </c>
      <c r="U2257">
        <v>1</v>
      </c>
      <c r="V2257">
        <v>0</v>
      </c>
      <c r="W2257" t="s">
        <v>1548</v>
      </c>
      <c r="AA2257">
        <v>2007</v>
      </c>
      <c r="AB2257">
        <v>9999</v>
      </c>
      <c r="AC2257" t="s">
        <v>35</v>
      </c>
    </row>
    <row r="2258" spans="1:29" x14ac:dyDescent="0.25">
      <c r="A2258" s="31" t="s">
        <v>499</v>
      </c>
      <c r="B2258" s="23" t="s">
        <v>500</v>
      </c>
      <c r="D2258">
        <v>1</v>
      </c>
      <c r="E2258" t="s">
        <v>348</v>
      </c>
      <c r="F2258">
        <v>1</v>
      </c>
      <c r="G2258">
        <v>2018</v>
      </c>
      <c r="I2258" s="8">
        <v>475.15</v>
      </c>
      <c r="J2258" t="s">
        <v>52</v>
      </c>
      <c r="K2258" t="s">
        <v>47</v>
      </c>
      <c r="O2258">
        <v>0</v>
      </c>
      <c r="P2258">
        <v>0</v>
      </c>
      <c r="Q2258">
        <v>0</v>
      </c>
      <c r="R2258">
        <v>0</v>
      </c>
      <c r="S2258">
        <v>1</v>
      </c>
      <c r="T2258">
        <v>1</v>
      </c>
      <c r="U2258">
        <v>1</v>
      </c>
      <c r="V2258">
        <v>0</v>
      </c>
      <c r="W2258" t="s">
        <v>1548</v>
      </c>
      <c r="AA2258">
        <v>2007</v>
      </c>
      <c r="AB2258">
        <v>9999</v>
      </c>
      <c r="AC2258" t="s">
        <v>35</v>
      </c>
    </row>
    <row r="2259" spans="1:29" x14ac:dyDescent="0.25">
      <c r="A2259" s="31" t="s">
        <v>501</v>
      </c>
      <c r="B2259" s="23" t="s">
        <v>502</v>
      </c>
      <c r="D2259">
        <v>1</v>
      </c>
      <c r="E2259" t="s">
        <v>348</v>
      </c>
      <c r="F2259">
        <v>1</v>
      </c>
      <c r="G2259">
        <v>2018</v>
      </c>
      <c r="I2259" s="8">
        <v>427.47</v>
      </c>
      <c r="J2259" t="s">
        <v>52</v>
      </c>
      <c r="K2259" t="s">
        <v>47</v>
      </c>
      <c r="O2259">
        <v>0</v>
      </c>
      <c r="P2259">
        <v>0</v>
      </c>
      <c r="Q2259">
        <v>0</v>
      </c>
      <c r="R2259">
        <v>0</v>
      </c>
      <c r="S2259">
        <v>1</v>
      </c>
      <c r="T2259">
        <v>1</v>
      </c>
      <c r="U2259">
        <v>1</v>
      </c>
      <c r="V2259">
        <v>0</v>
      </c>
      <c r="W2259" t="s">
        <v>1548</v>
      </c>
      <c r="AA2259">
        <v>2007</v>
      </c>
      <c r="AB2259">
        <v>9999</v>
      </c>
      <c r="AC2259" t="s">
        <v>35</v>
      </c>
    </row>
    <row r="2260" spans="1:29" x14ac:dyDescent="0.25">
      <c r="A2260" s="31" t="s">
        <v>503</v>
      </c>
      <c r="B2260" s="23" t="s">
        <v>504</v>
      </c>
      <c r="D2260">
        <v>1</v>
      </c>
      <c r="E2260" t="s">
        <v>348</v>
      </c>
      <c r="F2260">
        <v>1</v>
      </c>
      <c r="G2260">
        <v>2018</v>
      </c>
      <c r="I2260" s="8">
        <v>151.13</v>
      </c>
      <c r="J2260" t="s">
        <v>52</v>
      </c>
      <c r="K2260" t="s">
        <v>47</v>
      </c>
      <c r="O2260">
        <v>0</v>
      </c>
      <c r="P2260">
        <v>0</v>
      </c>
      <c r="Q2260">
        <v>0</v>
      </c>
      <c r="R2260">
        <v>0</v>
      </c>
      <c r="S2260">
        <v>1</v>
      </c>
      <c r="T2260">
        <v>1</v>
      </c>
      <c r="U2260">
        <v>1</v>
      </c>
      <c r="V2260">
        <v>0</v>
      </c>
      <c r="W2260" t="s">
        <v>1548</v>
      </c>
      <c r="AA2260">
        <v>2007</v>
      </c>
      <c r="AB2260">
        <v>9999</v>
      </c>
      <c r="AC2260" t="s">
        <v>35</v>
      </c>
    </row>
    <row r="2261" spans="1:29" x14ac:dyDescent="0.25">
      <c r="A2261" s="31" t="s">
        <v>505</v>
      </c>
      <c r="B2261" s="23" t="s">
        <v>506</v>
      </c>
      <c r="D2261">
        <v>1</v>
      </c>
      <c r="E2261" t="s">
        <v>348</v>
      </c>
      <c r="F2261">
        <v>1</v>
      </c>
      <c r="G2261">
        <v>2018</v>
      </c>
      <c r="I2261" s="8">
        <v>189.62</v>
      </c>
      <c r="J2261" t="s">
        <v>52</v>
      </c>
      <c r="K2261" t="s">
        <v>47</v>
      </c>
      <c r="O2261">
        <v>0</v>
      </c>
      <c r="P2261">
        <v>0</v>
      </c>
      <c r="Q2261">
        <v>0</v>
      </c>
      <c r="R2261">
        <v>0</v>
      </c>
      <c r="S2261">
        <v>1</v>
      </c>
      <c r="T2261">
        <v>1</v>
      </c>
      <c r="U2261">
        <v>1</v>
      </c>
      <c r="V2261">
        <v>0</v>
      </c>
      <c r="W2261" t="s">
        <v>1548</v>
      </c>
      <c r="AA2261">
        <v>2007</v>
      </c>
      <c r="AB2261">
        <v>9999</v>
      </c>
      <c r="AC2261" t="s">
        <v>35</v>
      </c>
    </row>
    <row r="2262" spans="1:29" x14ac:dyDescent="0.25">
      <c r="A2262" s="31" t="s">
        <v>507</v>
      </c>
      <c r="B2262" s="23" t="s">
        <v>508</v>
      </c>
      <c r="D2262">
        <v>1</v>
      </c>
      <c r="E2262" t="s">
        <v>348</v>
      </c>
      <c r="F2262">
        <v>1</v>
      </c>
      <c r="G2262">
        <v>2018</v>
      </c>
      <c r="I2262" s="8">
        <v>204.72</v>
      </c>
      <c r="J2262" t="s">
        <v>52</v>
      </c>
      <c r="K2262" t="s">
        <v>47</v>
      </c>
      <c r="O2262">
        <v>0</v>
      </c>
      <c r="P2262">
        <v>0</v>
      </c>
      <c r="Q2262">
        <v>0</v>
      </c>
      <c r="R2262">
        <v>0</v>
      </c>
      <c r="S2262">
        <v>1</v>
      </c>
      <c r="T2262">
        <v>1</v>
      </c>
      <c r="U2262">
        <v>1</v>
      </c>
      <c r="V2262">
        <v>0</v>
      </c>
      <c r="W2262" t="s">
        <v>1548</v>
      </c>
      <c r="AA2262">
        <v>2007</v>
      </c>
      <c r="AB2262">
        <v>9999</v>
      </c>
      <c r="AC2262" t="s">
        <v>35</v>
      </c>
    </row>
    <row r="2263" spans="1:29" x14ac:dyDescent="0.25">
      <c r="A2263" s="31" t="s">
        <v>509</v>
      </c>
      <c r="B2263" s="23" t="s">
        <v>510</v>
      </c>
      <c r="D2263">
        <v>1</v>
      </c>
      <c r="E2263" t="s">
        <v>348</v>
      </c>
      <c r="F2263">
        <v>1</v>
      </c>
      <c r="G2263">
        <v>2018</v>
      </c>
      <c r="I2263" s="8">
        <v>243.44</v>
      </c>
      <c r="J2263" t="s">
        <v>52</v>
      </c>
      <c r="K2263" t="s">
        <v>47</v>
      </c>
      <c r="O2263">
        <v>0</v>
      </c>
      <c r="P2263">
        <v>0</v>
      </c>
      <c r="Q2263">
        <v>0</v>
      </c>
      <c r="R2263">
        <v>0</v>
      </c>
      <c r="S2263">
        <v>1</v>
      </c>
      <c r="T2263">
        <v>1</v>
      </c>
      <c r="U2263">
        <v>1</v>
      </c>
      <c r="V2263">
        <v>0</v>
      </c>
      <c r="W2263" t="s">
        <v>1548</v>
      </c>
      <c r="AA2263">
        <v>2007</v>
      </c>
      <c r="AB2263">
        <v>9999</v>
      </c>
      <c r="AC2263" t="s">
        <v>35</v>
      </c>
    </row>
    <row r="2264" spans="1:29" x14ac:dyDescent="0.25">
      <c r="A2264" s="31" t="s">
        <v>511</v>
      </c>
      <c r="B2264" s="23" t="s">
        <v>512</v>
      </c>
      <c r="D2264">
        <v>1</v>
      </c>
      <c r="E2264" t="s">
        <v>348</v>
      </c>
      <c r="F2264">
        <v>1</v>
      </c>
      <c r="G2264">
        <v>2018</v>
      </c>
      <c r="I2264" s="8">
        <v>201.75</v>
      </c>
      <c r="J2264" t="s">
        <v>52</v>
      </c>
      <c r="K2264" t="s">
        <v>47</v>
      </c>
      <c r="O2264">
        <v>0</v>
      </c>
      <c r="P2264">
        <v>0</v>
      </c>
      <c r="Q2264">
        <v>0</v>
      </c>
      <c r="R2264">
        <v>0</v>
      </c>
      <c r="S2264">
        <v>1</v>
      </c>
      <c r="T2264">
        <v>1</v>
      </c>
      <c r="U2264">
        <v>1</v>
      </c>
      <c r="V2264">
        <v>0</v>
      </c>
      <c r="W2264" t="s">
        <v>1548</v>
      </c>
      <c r="AA2264">
        <v>2007</v>
      </c>
      <c r="AB2264">
        <v>9999</v>
      </c>
      <c r="AC2264" t="s">
        <v>35</v>
      </c>
    </row>
    <row r="2265" spans="1:29" x14ac:dyDescent="0.25">
      <c r="A2265" s="31" t="s">
        <v>513</v>
      </c>
      <c r="B2265" s="23" t="s">
        <v>514</v>
      </c>
      <c r="D2265">
        <v>1</v>
      </c>
      <c r="E2265" t="s">
        <v>348</v>
      </c>
      <c r="F2265">
        <v>1</v>
      </c>
      <c r="G2265">
        <v>2018</v>
      </c>
      <c r="I2265" s="8">
        <v>160.41</v>
      </c>
      <c r="J2265" t="s">
        <v>52</v>
      </c>
      <c r="K2265" t="s">
        <v>47</v>
      </c>
      <c r="O2265">
        <v>0</v>
      </c>
      <c r="P2265">
        <v>0</v>
      </c>
      <c r="Q2265">
        <v>0</v>
      </c>
      <c r="R2265">
        <v>0</v>
      </c>
      <c r="S2265">
        <v>1</v>
      </c>
      <c r="T2265">
        <v>1</v>
      </c>
      <c r="U2265">
        <v>1</v>
      </c>
      <c r="V2265">
        <v>0</v>
      </c>
      <c r="W2265" t="s">
        <v>1548</v>
      </c>
      <c r="AA2265">
        <v>2007</v>
      </c>
      <c r="AB2265">
        <v>9999</v>
      </c>
      <c r="AC2265" t="s">
        <v>35</v>
      </c>
    </row>
    <row r="2266" spans="1:29" x14ac:dyDescent="0.25">
      <c r="A2266" s="31" t="s">
        <v>515</v>
      </c>
      <c r="B2266" s="23" t="s">
        <v>516</v>
      </c>
      <c r="D2266">
        <v>1</v>
      </c>
      <c r="E2266" t="s">
        <v>348</v>
      </c>
      <c r="F2266">
        <v>1</v>
      </c>
      <c r="G2266">
        <v>2018</v>
      </c>
      <c r="I2266" s="8">
        <v>761.9</v>
      </c>
      <c r="J2266" t="s">
        <v>52</v>
      </c>
      <c r="K2266" t="s">
        <v>47</v>
      </c>
      <c r="O2266">
        <v>0</v>
      </c>
      <c r="P2266">
        <v>0</v>
      </c>
      <c r="Q2266">
        <v>0</v>
      </c>
      <c r="R2266">
        <v>0</v>
      </c>
      <c r="S2266">
        <v>1</v>
      </c>
      <c r="T2266">
        <v>1</v>
      </c>
      <c r="U2266">
        <v>1</v>
      </c>
      <c r="V2266">
        <v>0</v>
      </c>
      <c r="W2266" t="s">
        <v>1548</v>
      </c>
      <c r="AA2266">
        <v>2007</v>
      </c>
      <c r="AB2266">
        <v>9999</v>
      </c>
      <c r="AC2266" t="s">
        <v>35</v>
      </c>
    </row>
    <row r="2267" spans="1:29" x14ac:dyDescent="0.25">
      <c r="A2267" s="31" t="s">
        <v>517</v>
      </c>
      <c r="B2267" s="23" t="s">
        <v>518</v>
      </c>
      <c r="D2267">
        <v>1</v>
      </c>
      <c r="E2267" t="s">
        <v>348</v>
      </c>
      <c r="F2267">
        <v>1</v>
      </c>
      <c r="G2267">
        <v>2018</v>
      </c>
      <c r="I2267" s="8">
        <v>172.84</v>
      </c>
      <c r="J2267" t="s">
        <v>52</v>
      </c>
      <c r="K2267" t="s">
        <v>47</v>
      </c>
      <c r="O2267">
        <v>0</v>
      </c>
      <c r="P2267">
        <v>0</v>
      </c>
      <c r="Q2267">
        <v>0</v>
      </c>
      <c r="R2267">
        <v>0</v>
      </c>
      <c r="S2267">
        <v>1</v>
      </c>
      <c r="T2267">
        <v>1</v>
      </c>
      <c r="U2267">
        <v>1</v>
      </c>
      <c r="V2267">
        <v>0</v>
      </c>
      <c r="W2267" t="s">
        <v>1548</v>
      </c>
      <c r="AA2267">
        <v>2007</v>
      </c>
      <c r="AB2267">
        <v>9999</v>
      </c>
      <c r="AC2267" t="s">
        <v>35</v>
      </c>
    </row>
    <row r="2268" spans="1:29" x14ac:dyDescent="0.25">
      <c r="A2268" s="31" t="s">
        <v>519</v>
      </c>
      <c r="B2268" s="23" t="s">
        <v>520</v>
      </c>
      <c r="D2268">
        <v>1</v>
      </c>
      <c r="E2268" t="s">
        <v>348</v>
      </c>
      <c r="F2268">
        <v>1</v>
      </c>
      <c r="G2268">
        <v>2018</v>
      </c>
      <c r="I2268" s="8">
        <v>235.13</v>
      </c>
      <c r="J2268" t="s">
        <v>52</v>
      </c>
      <c r="K2268" t="s">
        <v>47</v>
      </c>
      <c r="O2268">
        <v>0</v>
      </c>
      <c r="P2268">
        <v>0</v>
      </c>
      <c r="Q2268">
        <v>0</v>
      </c>
      <c r="R2268">
        <v>0</v>
      </c>
      <c r="S2268">
        <v>1</v>
      </c>
      <c r="T2268">
        <v>1</v>
      </c>
      <c r="U2268">
        <v>1</v>
      </c>
      <c r="V2268">
        <v>0</v>
      </c>
      <c r="W2268" t="s">
        <v>1548</v>
      </c>
      <c r="AA2268">
        <v>2007</v>
      </c>
      <c r="AB2268">
        <v>9999</v>
      </c>
      <c r="AC2268" t="s">
        <v>35</v>
      </c>
    </row>
    <row r="2269" spans="1:29" x14ac:dyDescent="0.25">
      <c r="A2269" s="31" t="s">
        <v>523</v>
      </c>
      <c r="B2269" s="23" t="s">
        <v>1549</v>
      </c>
      <c r="D2269">
        <v>1</v>
      </c>
      <c r="E2269" t="s">
        <v>103</v>
      </c>
      <c r="F2269">
        <v>9</v>
      </c>
      <c r="G2269">
        <v>2018</v>
      </c>
      <c r="I2269" s="8">
        <v>1375.9</v>
      </c>
      <c r="J2269" t="s">
        <v>104</v>
      </c>
      <c r="K2269" t="s">
        <v>53</v>
      </c>
      <c r="L2269" t="s">
        <v>105</v>
      </c>
      <c r="O2269">
        <v>0</v>
      </c>
      <c r="P2269">
        <v>1</v>
      </c>
      <c r="Q2269">
        <v>0</v>
      </c>
      <c r="R2269">
        <v>0</v>
      </c>
      <c r="S2269">
        <v>1</v>
      </c>
      <c r="T2269">
        <v>1</v>
      </c>
      <c r="U2269">
        <v>1</v>
      </c>
      <c r="V2269">
        <v>0</v>
      </c>
      <c r="W2269" t="s">
        <v>106</v>
      </c>
      <c r="AA2269">
        <v>2007</v>
      </c>
      <c r="AB2269">
        <v>9999</v>
      </c>
      <c r="AC2269" t="s">
        <v>35</v>
      </c>
    </row>
    <row r="2270" spans="1:29" x14ac:dyDescent="0.25">
      <c r="A2270" s="31" t="s">
        <v>529</v>
      </c>
      <c r="B2270" s="23" t="s">
        <v>530</v>
      </c>
      <c r="D2270">
        <v>1</v>
      </c>
      <c r="E2270" t="s">
        <v>58</v>
      </c>
      <c r="F2270">
        <v>4</v>
      </c>
      <c r="G2270">
        <v>2018</v>
      </c>
      <c r="I2270" s="8">
        <v>9.8800000000000008</v>
      </c>
      <c r="J2270" t="s">
        <v>59</v>
      </c>
      <c r="K2270" t="s">
        <v>47</v>
      </c>
      <c r="O2270">
        <v>0</v>
      </c>
      <c r="P2270">
        <v>0</v>
      </c>
      <c r="Q2270">
        <v>0</v>
      </c>
      <c r="R2270">
        <v>0</v>
      </c>
      <c r="S2270">
        <v>1</v>
      </c>
      <c r="T2270">
        <v>1</v>
      </c>
      <c r="U2270">
        <v>1</v>
      </c>
      <c r="V2270">
        <v>0</v>
      </c>
      <c r="W2270" t="s">
        <v>1121</v>
      </c>
      <c r="AA2270">
        <v>2007</v>
      </c>
      <c r="AB2270">
        <v>9999</v>
      </c>
      <c r="AC2270" t="s">
        <v>35</v>
      </c>
    </row>
    <row r="2271" spans="1:29" x14ac:dyDescent="0.25">
      <c r="A2271" s="31" t="s">
        <v>532</v>
      </c>
      <c r="B2271" s="23" t="s">
        <v>533</v>
      </c>
      <c r="D2271">
        <v>1</v>
      </c>
      <c r="E2271" t="s">
        <v>534</v>
      </c>
      <c r="F2271">
        <v>10</v>
      </c>
      <c r="G2271">
        <v>2018</v>
      </c>
      <c r="I2271" s="8">
        <v>6571.31</v>
      </c>
      <c r="J2271" t="s">
        <v>121</v>
      </c>
      <c r="K2271" t="s">
        <v>47</v>
      </c>
      <c r="O2271">
        <v>0</v>
      </c>
      <c r="P2271">
        <v>0</v>
      </c>
      <c r="Q2271">
        <v>0</v>
      </c>
      <c r="R2271">
        <v>0</v>
      </c>
      <c r="S2271">
        <v>1</v>
      </c>
      <c r="T2271">
        <v>1</v>
      </c>
      <c r="U2271">
        <v>1</v>
      </c>
      <c r="V2271">
        <v>0</v>
      </c>
      <c r="W2271" t="s">
        <v>1122</v>
      </c>
      <c r="AA2271">
        <v>2007</v>
      </c>
      <c r="AB2271">
        <v>9999</v>
      </c>
      <c r="AC2271" t="s">
        <v>35</v>
      </c>
    </row>
    <row r="2272" spans="1:29" x14ac:dyDescent="0.25">
      <c r="A2272" s="31" t="s">
        <v>536</v>
      </c>
      <c r="B2272" s="23" t="s">
        <v>537</v>
      </c>
      <c r="D2272">
        <v>1</v>
      </c>
      <c r="E2272" t="s">
        <v>103</v>
      </c>
      <c r="F2272">
        <v>9</v>
      </c>
      <c r="G2272">
        <v>2018</v>
      </c>
      <c r="I2272" s="8">
        <v>888.68</v>
      </c>
      <c r="J2272" t="s">
        <v>104</v>
      </c>
      <c r="K2272" t="s">
        <v>53</v>
      </c>
      <c r="L2272" t="s">
        <v>105</v>
      </c>
      <c r="O2272">
        <v>0</v>
      </c>
      <c r="P2272">
        <v>1</v>
      </c>
      <c r="Q2272">
        <v>0</v>
      </c>
      <c r="R2272">
        <v>0</v>
      </c>
      <c r="S2272">
        <v>1</v>
      </c>
      <c r="T2272">
        <v>1</v>
      </c>
      <c r="U2272">
        <v>1</v>
      </c>
      <c r="V2272">
        <v>0</v>
      </c>
      <c r="W2272" t="s">
        <v>106</v>
      </c>
      <c r="AA2272">
        <v>2007</v>
      </c>
      <c r="AB2272">
        <v>9999</v>
      </c>
      <c r="AC2272" t="s">
        <v>35</v>
      </c>
    </row>
    <row r="2273" spans="1:29" x14ac:dyDescent="0.25">
      <c r="A2273" s="31" t="s">
        <v>538</v>
      </c>
      <c r="B2273" s="23" t="s">
        <v>539</v>
      </c>
      <c r="D2273">
        <v>1</v>
      </c>
      <c r="E2273" t="s">
        <v>80</v>
      </c>
      <c r="F2273">
        <v>8</v>
      </c>
      <c r="G2273">
        <v>2018</v>
      </c>
      <c r="I2273" s="8">
        <v>125.82</v>
      </c>
      <c r="J2273" t="s">
        <v>81</v>
      </c>
      <c r="K2273" t="s">
        <v>47</v>
      </c>
      <c r="O2273">
        <v>0</v>
      </c>
      <c r="P2273">
        <v>0</v>
      </c>
      <c r="Q2273">
        <v>0</v>
      </c>
      <c r="R2273">
        <v>0</v>
      </c>
      <c r="S2273">
        <v>1</v>
      </c>
      <c r="T2273">
        <v>1</v>
      </c>
      <c r="U2273">
        <v>1</v>
      </c>
      <c r="V2273">
        <v>0</v>
      </c>
      <c r="W2273" t="s">
        <v>1123</v>
      </c>
      <c r="AA2273">
        <v>2007</v>
      </c>
      <c r="AB2273">
        <v>9999</v>
      </c>
      <c r="AC2273" t="s">
        <v>35</v>
      </c>
    </row>
    <row r="2274" spans="1:29" x14ac:dyDescent="0.25">
      <c r="A2274" s="31" t="s">
        <v>541</v>
      </c>
      <c r="B2274" s="23" t="s">
        <v>1479</v>
      </c>
      <c r="D2274">
        <v>1</v>
      </c>
      <c r="E2274" t="s">
        <v>543</v>
      </c>
      <c r="F2274">
        <v>10</v>
      </c>
      <c r="G2274">
        <v>2018</v>
      </c>
      <c r="I2274" s="8">
        <v>49.3</v>
      </c>
      <c r="J2274" t="s">
        <v>40</v>
      </c>
      <c r="K2274" t="s">
        <v>47</v>
      </c>
      <c r="O2274">
        <v>0</v>
      </c>
      <c r="P2274">
        <v>0</v>
      </c>
      <c r="Q2274">
        <v>0</v>
      </c>
      <c r="R2274">
        <v>0</v>
      </c>
      <c r="S2274">
        <v>1</v>
      </c>
      <c r="T2274">
        <v>1</v>
      </c>
      <c r="U2274">
        <v>1</v>
      </c>
      <c r="V2274">
        <v>0</v>
      </c>
      <c r="W2274" t="s">
        <v>1480</v>
      </c>
      <c r="AA2274">
        <v>2007</v>
      </c>
      <c r="AB2274">
        <v>9999</v>
      </c>
      <c r="AC2274" t="s">
        <v>35</v>
      </c>
    </row>
    <row r="2275" spans="1:29" x14ac:dyDescent="0.25">
      <c r="A2275" s="31" t="s">
        <v>545</v>
      </c>
      <c r="B2275" s="23" t="s">
        <v>1481</v>
      </c>
      <c r="C2275" t="s">
        <v>1482</v>
      </c>
      <c r="D2275">
        <v>1</v>
      </c>
      <c r="E2275" t="s">
        <v>1361</v>
      </c>
      <c r="F2275">
        <v>10</v>
      </c>
      <c r="G2275">
        <v>2018</v>
      </c>
      <c r="I2275" s="8">
        <v>13.5</v>
      </c>
      <c r="J2275" t="s">
        <v>40</v>
      </c>
      <c r="K2275" t="s">
        <v>47</v>
      </c>
      <c r="O2275">
        <v>0</v>
      </c>
      <c r="P2275">
        <v>0</v>
      </c>
      <c r="Q2275">
        <v>0</v>
      </c>
      <c r="R2275">
        <v>0</v>
      </c>
      <c r="S2275">
        <v>1</v>
      </c>
      <c r="T2275">
        <v>1</v>
      </c>
      <c r="U2275">
        <v>1</v>
      </c>
      <c r="V2275">
        <v>0</v>
      </c>
      <c r="W2275" t="s">
        <v>1550</v>
      </c>
      <c r="AA2275">
        <v>2007</v>
      </c>
      <c r="AB2275">
        <v>9999</v>
      </c>
      <c r="AC2275" t="s">
        <v>35</v>
      </c>
    </row>
    <row r="2276" spans="1:29" x14ac:dyDescent="0.25">
      <c r="A2276" s="31" t="s">
        <v>1400</v>
      </c>
      <c r="B2276" s="25" t="s">
        <v>1401</v>
      </c>
      <c r="D2276">
        <v>1</v>
      </c>
      <c r="E2276" t="s">
        <v>80</v>
      </c>
      <c r="F2276">
        <v>8</v>
      </c>
      <c r="G2276">
        <v>2018</v>
      </c>
      <c r="I2276" s="8">
        <v>10.5</v>
      </c>
      <c r="J2276" t="s">
        <v>81</v>
      </c>
      <c r="K2276" t="s">
        <v>47</v>
      </c>
      <c r="O2276">
        <v>0</v>
      </c>
      <c r="P2276">
        <v>0</v>
      </c>
      <c r="Q2276">
        <v>0</v>
      </c>
      <c r="R2276">
        <v>0</v>
      </c>
      <c r="S2276">
        <v>1</v>
      </c>
      <c r="T2276">
        <v>1</v>
      </c>
      <c r="U2276">
        <v>1</v>
      </c>
      <c r="V2276">
        <v>0</v>
      </c>
      <c r="W2276" t="s">
        <v>1402</v>
      </c>
      <c r="AA2276">
        <v>2012</v>
      </c>
      <c r="AB2276">
        <v>9999</v>
      </c>
      <c r="AC2276" t="s">
        <v>1398</v>
      </c>
    </row>
    <row r="2277" spans="1:29" x14ac:dyDescent="0.25">
      <c r="A2277" s="31" t="s">
        <v>1362</v>
      </c>
      <c r="B2277" s="23" t="s">
        <v>1483</v>
      </c>
      <c r="D2277">
        <v>1</v>
      </c>
      <c r="E2277" t="s">
        <v>631</v>
      </c>
      <c r="F2277">
        <v>8</v>
      </c>
      <c r="G2277">
        <v>2018</v>
      </c>
      <c r="I2277" s="8">
        <v>30.5</v>
      </c>
      <c r="J2277" t="s">
        <v>81</v>
      </c>
      <c r="K2277" t="s">
        <v>47</v>
      </c>
      <c r="O2277">
        <v>0</v>
      </c>
      <c r="P2277">
        <v>0</v>
      </c>
      <c r="Q2277">
        <v>0</v>
      </c>
      <c r="R2277">
        <v>0</v>
      </c>
      <c r="S2277">
        <v>1</v>
      </c>
      <c r="T2277">
        <v>1</v>
      </c>
      <c r="U2277">
        <v>1</v>
      </c>
      <c r="V2277">
        <v>0</v>
      </c>
      <c r="W2277" t="s">
        <v>1364</v>
      </c>
      <c r="AA2277">
        <v>2011</v>
      </c>
      <c r="AB2277">
        <v>9999</v>
      </c>
      <c r="AC2277" t="s">
        <v>1365</v>
      </c>
    </row>
    <row r="2278" spans="1:29" x14ac:dyDescent="0.25">
      <c r="A2278" s="31" t="s">
        <v>1248</v>
      </c>
      <c r="B2278" s="23" t="s">
        <v>1249</v>
      </c>
      <c r="C2278" t="s">
        <v>1250</v>
      </c>
      <c r="D2278">
        <v>1</v>
      </c>
      <c r="E2278" t="s">
        <v>1251</v>
      </c>
      <c r="F2278">
        <v>2</v>
      </c>
      <c r="G2278">
        <v>2018</v>
      </c>
      <c r="I2278" s="8">
        <v>1027.6300000000001</v>
      </c>
      <c r="J2278" t="s">
        <v>121</v>
      </c>
      <c r="K2278" t="s">
        <v>47</v>
      </c>
      <c r="O2278">
        <v>0</v>
      </c>
      <c r="P2278">
        <v>0</v>
      </c>
      <c r="Q2278">
        <v>0</v>
      </c>
      <c r="R2278">
        <v>0</v>
      </c>
      <c r="S2278">
        <v>1</v>
      </c>
      <c r="T2278">
        <v>1</v>
      </c>
      <c r="U2278">
        <v>1</v>
      </c>
      <c r="V2278">
        <v>0</v>
      </c>
      <c r="W2278" t="s">
        <v>1252</v>
      </c>
      <c r="AA2278">
        <v>2009</v>
      </c>
      <c r="AB2278">
        <v>9999</v>
      </c>
      <c r="AC2278" t="s">
        <v>1239</v>
      </c>
    </row>
    <row r="2279" spans="1:29" x14ac:dyDescent="0.25">
      <c r="A2279" s="31" t="s">
        <v>590</v>
      </c>
      <c r="B2279" s="23" t="s">
        <v>1551</v>
      </c>
      <c r="C2279" t="s">
        <v>1552</v>
      </c>
      <c r="D2279">
        <v>1</v>
      </c>
      <c r="E2279" t="s">
        <v>592</v>
      </c>
      <c r="F2279">
        <v>8</v>
      </c>
      <c r="G2279">
        <v>2018</v>
      </c>
      <c r="I2279" s="8">
        <v>8.9499999999999993</v>
      </c>
      <c r="J2279" t="s">
        <v>81</v>
      </c>
      <c r="K2279" t="s">
        <v>47</v>
      </c>
      <c r="O2279">
        <v>0</v>
      </c>
      <c r="P2279">
        <v>0</v>
      </c>
      <c r="Q2279">
        <v>0</v>
      </c>
      <c r="R2279">
        <v>0</v>
      </c>
      <c r="S2279">
        <v>1</v>
      </c>
      <c r="T2279">
        <v>1</v>
      </c>
      <c r="U2279">
        <v>1</v>
      </c>
      <c r="V2279">
        <v>0</v>
      </c>
      <c r="W2279" t="s">
        <v>1553</v>
      </c>
      <c r="AA2279">
        <v>2007</v>
      </c>
      <c r="AB2279">
        <v>9999</v>
      </c>
      <c r="AC2279" t="s">
        <v>35</v>
      </c>
    </row>
    <row r="2280" spans="1:29" x14ac:dyDescent="0.25">
      <c r="A2280" s="31" t="s">
        <v>939</v>
      </c>
      <c r="B2280" s="23" t="s">
        <v>1463</v>
      </c>
      <c r="D2280">
        <v>1</v>
      </c>
      <c r="E2280" t="s">
        <v>80</v>
      </c>
      <c r="F2280">
        <v>8</v>
      </c>
      <c r="G2280">
        <v>2018</v>
      </c>
      <c r="I2280" s="8">
        <v>97.67</v>
      </c>
      <c r="J2280" t="s">
        <v>81</v>
      </c>
      <c r="K2280" t="s">
        <v>47</v>
      </c>
      <c r="O2280">
        <v>0</v>
      </c>
      <c r="P2280">
        <v>0</v>
      </c>
      <c r="Q2280">
        <v>0</v>
      </c>
      <c r="R2280">
        <v>0</v>
      </c>
      <c r="S2280">
        <v>1</v>
      </c>
      <c r="T2280">
        <v>1</v>
      </c>
      <c r="U2280">
        <v>1</v>
      </c>
      <c r="V2280">
        <v>0</v>
      </c>
      <c r="W2280" t="s">
        <v>1464</v>
      </c>
      <c r="AA2280">
        <v>2007</v>
      </c>
      <c r="AB2280">
        <v>9999</v>
      </c>
      <c r="AC2280" t="s">
        <v>35</v>
      </c>
    </row>
    <row r="2281" spans="1:29" ht="30" x14ac:dyDescent="0.25">
      <c r="A2281" s="31" t="s">
        <v>1305</v>
      </c>
      <c r="B2281" s="23" t="s">
        <v>1306</v>
      </c>
      <c r="C2281" t="s">
        <v>1307</v>
      </c>
      <c r="D2281">
        <v>1</v>
      </c>
      <c r="E2281" t="s">
        <v>45</v>
      </c>
      <c r="F2281">
        <v>4</v>
      </c>
      <c r="G2281">
        <v>2018</v>
      </c>
      <c r="I2281" s="8">
        <v>35</v>
      </c>
      <c r="J2281" t="s">
        <v>89</v>
      </c>
      <c r="K2281" t="s">
        <v>47</v>
      </c>
      <c r="O2281">
        <v>0</v>
      </c>
      <c r="P2281">
        <v>0</v>
      </c>
      <c r="Q2281">
        <v>0</v>
      </c>
      <c r="R2281">
        <v>0</v>
      </c>
      <c r="S2281">
        <v>1</v>
      </c>
      <c r="T2281">
        <v>1</v>
      </c>
      <c r="U2281">
        <v>1</v>
      </c>
      <c r="V2281">
        <v>0</v>
      </c>
      <c r="W2281" t="s">
        <v>1526</v>
      </c>
      <c r="AA2281">
        <v>2010</v>
      </c>
      <c r="AB2281">
        <v>9999</v>
      </c>
      <c r="AC2281" t="s">
        <v>1292</v>
      </c>
    </row>
    <row r="2282" spans="1:29" x14ac:dyDescent="0.25">
      <c r="A2282" s="31" t="s">
        <v>964</v>
      </c>
      <c r="B2282" s="23" t="s">
        <v>1484</v>
      </c>
      <c r="C2282" t="s">
        <v>1485</v>
      </c>
      <c r="D2282">
        <v>1</v>
      </c>
      <c r="E2282" t="s">
        <v>80</v>
      </c>
      <c r="F2282">
        <v>8</v>
      </c>
      <c r="G2282">
        <v>2018</v>
      </c>
      <c r="I2282" s="8">
        <v>67.27</v>
      </c>
      <c r="J2282" t="s">
        <v>104</v>
      </c>
      <c r="K2282" t="s">
        <v>47</v>
      </c>
      <c r="O2282">
        <v>0</v>
      </c>
      <c r="P2282">
        <v>0</v>
      </c>
      <c r="Q2282">
        <v>0</v>
      </c>
      <c r="R2282">
        <v>0</v>
      </c>
      <c r="S2282">
        <v>1</v>
      </c>
      <c r="T2282">
        <v>1</v>
      </c>
      <c r="U2282">
        <v>1</v>
      </c>
      <c r="V2282">
        <v>0</v>
      </c>
      <c r="W2282" s="5" t="s">
        <v>1486</v>
      </c>
      <c r="AA2282">
        <v>2007</v>
      </c>
      <c r="AB2282">
        <v>9999</v>
      </c>
      <c r="AC2282" t="s">
        <v>35</v>
      </c>
    </row>
    <row r="2283" spans="1:29" x14ac:dyDescent="0.25">
      <c r="A2283" s="31" t="s">
        <v>1366</v>
      </c>
      <c r="B2283" s="23" t="s">
        <v>1487</v>
      </c>
      <c r="C2283" t="s">
        <v>1368</v>
      </c>
      <c r="D2283">
        <v>1</v>
      </c>
      <c r="E2283" t="s">
        <v>468</v>
      </c>
      <c r="F2283">
        <v>7</v>
      </c>
      <c r="G2283">
        <v>2018</v>
      </c>
      <c r="I2283" s="8">
        <v>40.770000000000003</v>
      </c>
      <c r="J2283" t="s">
        <v>40</v>
      </c>
      <c r="K2283" t="s">
        <v>32</v>
      </c>
      <c r="O2283">
        <v>0</v>
      </c>
      <c r="P2283">
        <v>0</v>
      </c>
      <c r="Q2283">
        <v>0</v>
      </c>
      <c r="R2283">
        <v>0</v>
      </c>
      <c r="S2283">
        <v>1</v>
      </c>
      <c r="T2283">
        <v>1</v>
      </c>
      <c r="U2283">
        <v>1</v>
      </c>
      <c r="V2283">
        <v>0</v>
      </c>
      <c r="W2283" t="s">
        <v>1369</v>
      </c>
      <c r="AA2283">
        <v>2011</v>
      </c>
      <c r="AB2283">
        <v>9999</v>
      </c>
      <c r="AC2283" t="s">
        <v>1365</v>
      </c>
    </row>
    <row r="2284" spans="1:29" x14ac:dyDescent="0.25">
      <c r="A2284" s="31" t="s">
        <v>1309</v>
      </c>
      <c r="B2284" s="23" t="s">
        <v>1310</v>
      </c>
      <c r="C2284" t="s">
        <v>1311</v>
      </c>
      <c r="D2284">
        <v>1</v>
      </c>
      <c r="E2284" t="s">
        <v>1312</v>
      </c>
      <c r="F2284">
        <v>9</v>
      </c>
      <c r="G2284">
        <v>2018</v>
      </c>
      <c r="I2284" s="8">
        <v>95.54</v>
      </c>
      <c r="J2284" t="s">
        <v>104</v>
      </c>
      <c r="K2284" t="s">
        <v>47</v>
      </c>
      <c r="O2284">
        <v>0</v>
      </c>
      <c r="P2284">
        <v>0</v>
      </c>
      <c r="Q2284">
        <v>0</v>
      </c>
      <c r="R2284">
        <v>0</v>
      </c>
      <c r="S2284">
        <v>1</v>
      </c>
      <c r="T2284">
        <v>1</v>
      </c>
      <c r="U2284">
        <v>1</v>
      </c>
      <c r="V2284">
        <v>0</v>
      </c>
      <c r="W2284" t="s">
        <v>1404</v>
      </c>
      <c r="AA2284">
        <v>2010</v>
      </c>
      <c r="AB2284">
        <v>9999</v>
      </c>
      <c r="AC2284" t="s">
        <v>1292</v>
      </c>
    </row>
    <row r="2285" spans="1:29" x14ac:dyDescent="0.25">
      <c r="A2285" s="31" t="s">
        <v>559</v>
      </c>
      <c r="B2285" s="23" t="s">
        <v>560</v>
      </c>
      <c r="C2285" t="s">
        <v>561</v>
      </c>
      <c r="D2285">
        <v>1</v>
      </c>
      <c r="E2285" t="s">
        <v>103</v>
      </c>
      <c r="F2285">
        <v>9</v>
      </c>
      <c r="G2285">
        <v>2018</v>
      </c>
      <c r="I2285" s="8">
        <v>813.78</v>
      </c>
      <c r="J2285" t="s">
        <v>104</v>
      </c>
      <c r="K2285" t="s">
        <v>53</v>
      </c>
      <c r="L2285" t="s">
        <v>105</v>
      </c>
      <c r="O2285">
        <v>0</v>
      </c>
      <c r="P2285">
        <v>1</v>
      </c>
      <c r="Q2285">
        <v>0</v>
      </c>
      <c r="R2285">
        <v>0</v>
      </c>
      <c r="S2285">
        <v>1</v>
      </c>
      <c r="T2285">
        <v>1</v>
      </c>
      <c r="U2285">
        <v>1</v>
      </c>
      <c r="V2285">
        <v>0</v>
      </c>
      <c r="W2285" t="s">
        <v>106</v>
      </c>
      <c r="AA2285">
        <v>2007</v>
      </c>
      <c r="AB2285">
        <v>9999</v>
      </c>
      <c r="AC2285" t="s">
        <v>35</v>
      </c>
    </row>
    <row r="2286" spans="1:29" x14ac:dyDescent="0.25">
      <c r="A2286" s="31" t="s">
        <v>562</v>
      </c>
      <c r="B2286" s="23" t="s">
        <v>1554</v>
      </c>
      <c r="D2286">
        <v>1</v>
      </c>
      <c r="E2286" t="s">
        <v>80</v>
      </c>
      <c r="F2286">
        <v>8</v>
      </c>
      <c r="G2286">
        <v>2018</v>
      </c>
      <c r="I2286">
        <v>116.5</v>
      </c>
      <c r="J2286" t="s">
        <v>81</v>
      </c>
      <c r="K2286" t="s">
        <v>47</v>
      </c>
      <c r="O2286">
        <v>0</v>
      </c>
      <c r="P2286">
        <v>0</v>
      </c>
      <c r="Q2286">
        <v>0</v>
      </c>
      <c r="R2286">
        <v>0</v>
      </c>
      <c r="S2286">
        <v>1</v>
      </c>
      <c r="T2286">
        <v>1</v>
      </c>
      <c r="U2286">
        <v>1</v>
      </c>
      <c r="V2286">
        <v>0</v>
      </c>
      <c r="W2286" t="s">
        <v>1128</v>
      </c>
      <c r="AA2286">
        <v>2007</v>
      </c>
      <c r="AB2286">
        <v>9999</v>
      </c>
      <c r="AC2286" t="s">
        <v>35</v>
      </c>
    </row>
    <row r="2287" spans="1:29" x14ac:dyDescent="0.25">
      <c r="A2287" s="31" t="s">
        <v>568</v>
      </c>
      <c r="B2287" s="23" t="s">
        <v>569</v>
      </c>
      <c r="D2287">
        <v>1</v>
      </c>
      <c r="E2287" t="s">
        <v>80</v>
      </c>
      <c r="F2287">
        <v>8</v>
      </c>
      <c r="G2287">
        <v>2018</v>
      </c>
      <c r="I2287" s="8">
        <v>231.93</v>
      </c>
      <c r="J2287" t="s">
        <v>81</v>
      </c>
      <c r="K2287" t="s">
        <v>47</v>
      </c>
      <c r="O2287">
        <v>0</v>
      </c>
      <c r="P2287">
        <v>0</v>
      </c>
      <c r="Q2287">
        <v>0</v>
      </c>
      <c r="R2287">
        <v>0</v>
      </c>
      <c r="S2287">
        <v>1</v>
      </c>
      <c r="T2287">
        <v>1</v>
      </c>
      <c r="U2287">
        <v>1</v>
      </c>
      <c r="V2287">
        <v>0</v>
      </c>
      <c r="W2287" t="s">
        <v>1129</v>
      </c>
      <c r="AA2287">
        <v>2007</v>
      </c>
      <c r="AB2287">
        <v>9999</v>
      </c>
      <c r="AC2287" t="s">
        <v>35</v>
      </c>
    </row>
    <row r="2288" spans="1:29" x14ac:dyDescent="0.25">
      <c r="A2288" s="31" t="s">
        <v>571</v>
      </c>
      <c r="B2288" s="23" t="s">
        <v>572</v>
      </c>
      <c r="D2288">
        <v>1</v>
      </c>
      <c r="E2288" t="s">
        <v>370</v>
      </c>
      <c r="F2288">
        <v>5</v>
      </c>
      <c r="G2288">
        <v>2018</v>
      </c>
      <c r="I2288" s="8">
        <v>500.72</v>
      </c>
      <c r="J2288" t="s">
        <v>1471</v>
      </c>
      <c r="K2288" t="s">
        <v>47</v>
      </c>
      <c r="O2288">
        <v>0</v>
      </c>
      <c r="P2288">
        <v>0</v>
      </c>
      <c r="Q2288">
        <v>0</v>
      </c>
      <c r="R2288">
        <v>0</v>
      </c>
      <c r="S2288">
        <v>1</v>
      </c>
      <c r="T2288">
        <v>1</v>
      </c>
      <c r="U2288">
        <v>1</v>
      </c>
      <c r="V2288">
        <v>0</v>
      </c>
      <c r="W2288" t="s">
        <v>1430</v>
      </c>
      <c r="AA2288">
        <v>2007</v>
      </c>
      <c r="AB2288">
        <v>9999</v>
      </c>
      <c r="AC2288" t="s">
        <v>35</v>
      </c>
    </row>
    <row r="2289" spans="1:29" x14ac:dyDescent="0.25">
      <c r="A2289" s="31" t="s">
        <v>574</v>
      </c>
      <c r="B2289" s="23" t="s">
        <v>575</v>
      </c>
      <c r="D2289">
        <v>1</v>
      </c>
      <c r="E2289" t="s">
        <v>222</v>
      </c>
      <c r="F2289">
        <v>1</v>
      </c>
      <c r="G2289">
        <v>2018</v>
      </c>
      <c r="I2289" s="8">
        <v>28.35</v>
      </c>
      <c r="J2289" t="s">
        <v>176</v>
      </c>
      <c r="K2289" t="s">
        <v>47</v>
      </c>
      <c r="O2289">
        <v>0</v>
      </c>
      <c r="P2289">
        <v>0</v>
      </c>
      <c r="Q2289">
        <v>0</v>
      </c>
      <c r="R2289">
        <v>0</v>
      </c>
      <c r="S2289">
        <v>1</v>
      </c>
      <c r="T2289">
        <v>1</v>
      </c>
      <c r="U2289">
        <v>1</v>
      </c>
      <c r="V2289">
        <v>0</v>
      </c>
      <c r="W2289" t="s">
        <v>1131</v>
      </c>
      <c r="AA2289">
        <v>2007</v>
      </c>
      <c r="AB2289">
        <v>9999</v>
      </c>
      <c r="AC2289" t="s">
        <v>35</v>
      </c>
    </row>
    <row r="2290" spans="1:29" x14ac:dyDescent="0.25">
      <c r="A2290" s="31" t="s">
        <v>577</v>
      </c>
      <c r="B2290" s="23" t="s">
        <v>578</v>
      </c>
      <c r="D2290">
        <v>1</v>
      </c>
      <c r="E2290" t="s">
        <v>396</v>
      </c>
      <c r="F2290">
        <v>3</v>
      </c>
      <c r="G2290">
        <v>2018</v>
      </c>
      <c r="H2290" t="s">
        <v>579</v>
      </c>
      <c r="I2290">
        <v>0.15</v>
      </c>
      <c r="J2290" t="s">
        <v>121</v>
      </c>
      <c r="K2290" t="s">
        <v>41</v>
      </c>
      <c r="O2290">
        <v>0</v>
      </c>
      <c r="P2290">
        <v>0</v>
      </c>
      <c r="Q2290">
        <v>0</v>
      </c>
      <c r="R2290">
        <v>0</v>
      </c>
      <c r="S2290">
        <v>0</v>
      </c>
      <c r="T2290">
        <v>0</v>
      </c>
      <c r="U2290">
        <v>0</v>
      </c>
      <c r="V2290">
        <v>0</v>
      </c>
      <c r="W2290" t="s">
        <v>1132</v>
      </c>
      <c r="AA2290">
        <v>2007</v>
      </c>
      <c r="AB2290">
        <v>9999</v>
      </c>
      <c r="AC2290" t="s">
        <v>35</v>
      </c>
    </row>
    <row r="2291" spans="1:29" x14ac:dyDescent="0.25">
      <c r="A2291" s="31" t="s">
        <v>581</v>
      </c>
      <c r="B2291" s="23" t="s">
        <v>582</v>
      </c>
      <c r="D2291">
        <v>1</v>
      </c>
      <c r="E2291" t="s">
        <v>80</v>
      </c>
      <c r="F2291">
        <v>8</v>
      </c>
      <c r="G2291">
        <v>2018</v>
      </c>
      <c r="H2291" t="s">
        <v>1315</v>
      </c>
      <c r="I2291">
        <v>3.03</v>
      </c>
      <c r="J2291" t="s">
        <v>81</v>
      </c>
      <c r="K2291" t="s">
        <v>41</v>
      </c>
      <c r="O2291">
        <v>0</v>
      </c>
      <c r="P2291">
        <v>0</v>
      </c>
      <c r="Q2291">
        <v>0</v>
      </c>
      <c r="R2291">
        <v>0</v>
      </c>
      <c r="S2291">
        <v>0</v>
      </c>
      <c r="T2291">
        <v>0</v>
      </c>
      <c r="U2291">
        <v>1</v>
      </c>
      <c r="V2291">
        <v>0</v>
      </c>
      <c r="W2291" t="s">
        <v>1133</v>
      </c>
      <c r="AA2291">
        <v>2007</v>
      </c>
      <c r="AB2291">
        <v>9999</v>
      </c>
      <c r="AC2291" t="s">
        <v>35</v>
      </c>
    </row>
    <row r="2292" spans="1:29" x14ac:dyDescent="0.25">
      <c r="A2292" s="31" t="s">
        <v>594</v>
      </c>
      <c r="B2292" s="23" t="s">
        <v>595</v>
      </c>
      <c r="D2292">
        <v>1</v>
      </c>
      <c r="E2292" t="s">
        <v>38</v>
      </c>
      <c r="F2292">
        <v>4</v>
      </c>
      <c r="G2292">
        <v>2018</v>
      </c>
      <c r="H2292" t="s">
        <v>906</v>
      </c>
      <c r="I2292">
        <v>0.15</v>
      </c>
      <c r="J2292" t="s">
        <v>59</v>
      </c>
      <c r="K2292" t="s">
        <v>41</v>
      </c>
      <c r="O2292">
        <v>0</v>
      </c>
      <c r="P2292">
        <v>0</v>
      </c>
      <c r="Q2292">
        <v>0</v>
      </c>
      <c r="R2292">
        <v>0</v>
      </c>
      <c r="S2292">
        <v>0</v>
      </c>
      <c r="T2292">
        <v>0</v>
      </c>
      <c r="U2292">
        <v>0</v>
      </c>
      <c r="V2292">
        <v>0</v>
      </c>
      <c r="W2292" t="s">
        <v>1135</v>
      </c>
      <c r="AA2292">
        <v>2007</v>
      </c>
      <c r="AB2292">
        <v>9999</v>
      </c>
      <c r="AC2292" t="s">
        <v>35</v>
      </c>
    </row>
    <row r="2293" spans="1:29" x14ac:dyDescent="0.25">
      <c r="A2293" s="31" t="s">
        <v>1253</v>
      </c>
      <c r="B2293" s="23" t="s">
        <v>598</v>
      </c>
      <c r="D2293">
        <v>1</v>
      </c>
      <c r="E2293" t="s">
        <v>38</v>
      </c>
      <c r="F2293">
        <v>4</v>
      </c>
      <c r="G2293">
        <v>2018</v>
      </c>
      <c r="H2293" t="s">
        <v>39</v>
      </c>
      <c r="I2293">
        <v>0.15</v>
      </c>
      <c r="J2293" t="s">
        <v>59</v>
      </c>
      <c r="K2293" t="s">
        <v>41</v>
      </c>
      <c r="O2293">
        <v>0</v>
      </c>
      <c r="P2293">
        <v>0</v>
      </c>
      <c r="Q2293">
        <v>0</v>
      </c>
      <c r="R2293">
        <v>0</v>
      </c>
      <c r="S2293">
        <v>0</v>
      </c>
      <c r="T2293">
        <v>0</v>
      </c>
      <c r="U2293">
        <v>0</v>
      </c>
      <c r="V2293">
        <v>0</v>
      </c>
      <c r="W2293" t="s">
        <v>1254</v>
      </c>
      <c r="AA2293">
        <v>2009</v>
      </c>
      <c r="AB2293">
        <v>9999</v>
      </c>
      <c r="AC2293" t="s">
        <v>1239</v>
      </c>
    </row>
    <row r="2294" spans="1:29" x14ac:dyDescent="0.25">
      <c r="A2294" s="31" t="s">
        <v>601</v>
      </c>
      <c r="B2294" s="23" t="s">
        <v>602</v>
      </c>
      <c r="D2294">
        <v>1</v>
      </c>
      <c r="E2294" t="s">
        <v>145</v>
      </c>
      <c r="F2294">
        <v>2</v>
      </c>
      <c r="G2294">
        <v>2018</v>
      </c>
      <c r="H2294" t="s">
        <v>1488</v>
      </c>
      <c r="I2294">
        <v>2.5000000000000001E-2</v>
      </c>
      <c r="J2294" s="2" t="s">
        <v>1471</v>
      </c>
      <c r="K2294" t="s">
        <v>41</v>
      </c>
      <c r="O2294">
        <v>0</v>
      </c>
      <c r="P2294">
        <v>0</v>
      </c>
      <c r="Q2294">
        <v>0</v>
      </c>
      <c r="R2294">
        <v>0</v>
      </c>
      <c r="S2294">
        <v>0</v>
      </c>
      <c r="T2294">
        <v>0</v>
      </c>
      <c r="U2294">
        <v>0</v>
      </c>
      <c r="V2294">
        <v>0</v>
      </c>
      <c r="W2294" t="s">
        <v>1137</v>
      </c>
      <c r="AA2294">
        <v>2007</v>
      </c>
      <c r="AB2294">
        <v>9999</v>
      </c>
      <c r="AC2294" t="s">
        <v>35</v>
      </c>
    </row>
    <row r="2295" spans="1:29" x14ac:dyDescent="0.25">
      <c r="A2295" s="31" t="s">
        <v>613</v>
      </c>
      <c r="B2295" s="23" t="s">
        <v>254</v>
      </c>
      <c r="C2295" t="s">
        <v>614</v>
      </c>
      <c r="D2295">
        <v>1</v>
      </c>
      <c r="E2295" t="s">
        <v>45</v>
      </c>
      <c r="F2295">
        <v>4</v>
      </c>
      <c r="G2295">
        <v>2018</v>
      </c>
      <c r="I2295" s="8">
        <v>319.06</v>
      </c>
      <c r="J2295" t="s">
        <v>89</v>
      </c>
      <c r="K2295" t="s">
        <v>47</v>
      </c>
      <c r="O2295">
        <v>0</v>
      </c>
      <c r="P2295">
        <v>0</v>
      </c>
      <c r="Q2295">
        <v>0</v>
      </c>
      <c r="R2295">
        <v>0</v>
      </c>
      <c r="S2295">
        <v>1</v>
      </c>
      <c r="T2295">
        <v>1</v>
      </c>
      <c r="U2295">
        <v>1</v>
      </c>
      <c r="V2295">
        <v>0</v>
      </c>
      <c r="W2295" t="s">
        <v>1140</v>
      </c>
      <c r="AA2295">
        <v>2007</v>
      </c>
      <c r="AB2295">
        <v>9999</v>
      </c>
      <c r="AC2295" t="s">
        <v>35</v>
      </c>
    </row>
    <row r="2296" spans="1:29" x14ac:dyDescent="0.25">
      <c r="A2296" s="31" t="s">
        <v>1370</v>
      </c>
      <c r="B2296" s="23" t="s">
        <v>1371</v>
      </c>
      <c r="D2296">
        <v>1</v>
      </c>
      <c r="E2296" s="4">
        <v>411</v>
      </c>
      <c r="F2296">
        <v>4</v>
      </c>
      <c r="G2296">
        <v>2018</v>
      </c>
      <c r="H2296" t="s">
        <v>111</v>
      </c>
      <c r="I2296" s="8">
        <v>0.6</v>
      </c>
      <c r="J2296" t="s">
        <v>89</v>
      </c>
      <c r="K2296" t="s">
        <v>41</v>
      </c>
      <c r="O2296">
        <v>0</v>
      </c>
      <c r="P2296">
        <v>0</v>
      </c>
      <c r="Q2296">
        <v>0</v>
      </c>
      <c r="R2296">
        <v>0</v>
      </c>
      <c r="S2296">
        <v>0</v>
      </c>
      <c r="T2296">
        <v>1</v>
      </c>
      <c r="U2296">
        <v>0</v>
      </c>
      <c r="V2296">
        <v>0</v>
      </c>
      <c r="W2296" t="s">
        <v>1372</v>
      </c>
      <c r="AA2296">
        <v>2011</v>
      </c>
      <c r="AB2296">
        <v>9999</v>
      </c>
      <c r="AC2296" t="s">
        <v>1365</v>
      </c>
    </row>
    <row r="2297" spans="1:29" x14ac:dyDescent="0.25">
      <c r="A2297" s="31" t="s">
        <v>1317</v>
      </c>
      <c r="B2297" s="23" t="s">
        <v>1318</v>
      </c>
      <c r="D2297">
        <v>1</v>
      </c>
      <c r="E2297" t="s">
        <v>1319</v>
      </c>
      <c r="F2297">
        <v>10</v>
      </c>
      <c r="G2297">
        <v>2018</v>
      </c>
      <c r="I2297" s="8">
        <v>1067.74</v>
      </c>
      <c r="J2297" t="s">
        <v>40</v>
      </c>
      <c r="K2297" t="s">
        <v>32</v>
      </c>
      <c r="O2297">
        <v>0</v>
      </c>
      <c r="P2297">
        <v>0</v>
      </c>
      <c r="Q2297">
        <v>0</v>
      </c>
      <c r="R2297">
        <v>0</v>
      </c>
      <c r="S2297">
        <v>1</v>
      </c>
      <c r="T2297">
        <v>1</v>
      </c>
      <c r="U2297">
        <v>1</v>
      </c>
      <c r="V2297">
        <v>0</v>
      </c>
      <c r="W2297" t="s">
        <v>1320</v>
      </c>
      <c r="AA2297">
        <v>2010</v>
      </c>
      <c r="AB2297">
        <v>9999</v>
      </c>
      <c r="AC2297" t="s">
        <v>1292</v>
      </c>
    </row>
    <row r="2298" spans="1:29" x14ac:dyDescent="0.25">
      <c r="A2298" s="31" t="s">
        <v>1489</v>
      </c>
      <c r="B2298" s="23" t="s">
        <v>619</v>
      </c>
      <c r="D2298">
        <v>1</v>
      </c>
      <c r="E2298" t="s">
        <v>620</v>
      </c>
      <c r="F2298">
        <v>5</v>
      </c>
      <c r="G2298">
        <v>2018</v>
      </c>
      <c r="I2298" s="8">
        <v>33.450000000000003</v>
      </c>
      <c r="J2298" t="s">
        <v>104</v>
      </c>
      <c r="K2298" t="s">
        <v>47</v>
      </c>
      <c r="O2298">
        <v>0</v>
      </c>
      <c r="P2298">
        <v>0</v>
      </c>
      <c r="Q2298">
        <v>0</v>
      </c>
      <c r="R2298">
        <v>0</v>
      </c>
      <c r="S2298">
        <v>1</v>
      </c>
      <c r="T2298">
        <v>1</v>
      </c>
      <c r="U2298">
        <v>1</v>
      </c>
      <c r="V2298">
        <v>0</v>
      </c>
      <c r="W2298" t="s">
        <v>1141</v>
      </c>
      <c r="AA2298">
        <v>2007</v>
      </c>
      <c r="AB2298">
        <v>9999</v>
      </c>
      <c r="AC2298" t="s">
        <v>1475</v>
      </c>
    </row>
    <row r="2299" spans="1:29" x14ac:dyDescent="0.25">
      <c r="A2299" s="31" t="s">
        <v>472</v>
      </c>
      <c r="B2299" s="23" t="s">
        <v>1490</v>
      </c>
      <c r="D2299">
        <v>1</v>
      </c>
      <c r="E2299" t="s">
        <v>681</v>
      </c>
      <c r="F2299">
        <v>3</v>
      </c>
      <c r="G2299">
        <v>2018</v>
      </c>
      <c r="I2299" s="8">
        <v>27221.14</v>
      </c>
      <c r="J2299" t="s">
        <v>121</v>
      </c>
      <c r="K2299" t="s">
        <v>47</v>
      </c>
      <c r="O2299">
        <v>0</v>
      </c>
      <c r="P2299">
        <v>0</v>
      </c>
      <c r="Q2299">
        <v>0</v>
      </c>
      <c r="R2299">
        <v>0</v>
      </c>
      <c r="S2299">
        <v>1</v>
      </c>
      <c r="T2299">
        <v>1</v>
      </c>
      <c r="U2299">
        <v>1</v>
      </c>
      <c r="V2299">
        <v>0</v>
      </c>
      <c r="W2299" t="s">
        <v>1491</v>
      </c>
      <c r="AA2299">
        <v>2007</v>
      </c>
      <c r="AB2299">
        <v>9999</v>
      </c>
      <c r="AC2299" t="s">
        <v>35</v>
      </c>
    </row>
    <row r="2300" spans="1:29" x14ac:dyDescent="0.25">
      <c r="A2300" s="31" t="s">
        <v>622</v>
      </c>
      <c r="B2300" s="23" t="s">
        <v>623</v>
      </c>
      <c r="C2300" t="s">
        <v>624</v>
      </c>
      <c r="D2300">
        <v>1</v>
      </c>
      <c r="E2300" t="s">
        <v>625</v>
      </c>
      <c r="F2300">
        <v>4</v>
      </c>
      <c r="G2300">
        <v>2018</v>
      </c>
      <c r="I2300" s="8">
        <v>283.5</v>
      </c>
      <c r="J2300" t="s">
        <v>89</v>
      </c>
      <c r="K2300" t="s">
        <v>32</v>
      </c>
      <c r="O2300">
        <v>0</v>
      </c>
      <c r="P2300">
        <v>0</v>
      </c>
      <c r="Q2300">
        <v>0</v>
      </c>
      <c r="R2300">
        <v>0</v>
      </c>
      <c r="S2300">
        <v>1</v>
      </c>
      <c r="T2300">
        <v>1</v>
      </c>
      <c r="U2300">
        <v>1</v>
      </c>
      <c r="V2300">
        <v>0</v>
      </c>
      <c r="W2300" t="s">
        <v>1142</v>
      </c>
      <c r="AA2300">
        <v>2007</v>
      </c>
      <c r="AB2300">
        <v>9999</v>
      </c>
      <c r="AC2300" t="s">
        <v>35</v>
      </c>
    </row>
    <row r="2301" spans="1:29" x14ac:dyDescent="0.25">
      <c r="A2301" s="31" t="s">
        <v>641</v>
      </c>
      <c r="B2301" s="23" t="s">
        <v>642</v>
      </c>
      <c r="D2301">
        <v>1</v>
      </c>
      <c r="E2301" t="s">
        <v>348</v>
      </c>
      <c r="F2301">
        <v>1</v>
      </c>
      <c r="G2301">
        <v>2018</v>
      </c>
      <c r="I2301" s="8">
        <v>4071.8850000000002</v>
      </c>
      <c r="J2301" t="s">
        <v>268</v>
      </c>
      <c r="K2301" t="s">
        <v>53</v>
      </c>
      <c r="L2301" t="s">
        <v>642</v>
      </c>
      <c r="O2301">
        <v>0</v>
      </c>
      <c r="P2301">
        <v>0</v>
      </c>
      <c r="Q2301">
        <v>0</v>
      </c>
      <c r="R2301">
        <v>0</v>
      </c>
      <c r="S2301">
        <v>0</v>
      </c>
      <c r="T2301">
        <v>1</v>
      </c>
      <c r="U2301">
        <v>1</v>
      </c>
      <c r="V2301">
        <v>0</v>
      </c>
      <c r="W2301" t="s">
        <v>643</v>
      </c>
      <c r="AA2301">
        <v>2007</v>
      </c>
      <c r="AB2301">
        <v>9999</v>
      </c>
      <c r="AC2301" t="s">
        <v>35</v>
      </c>
    </row>
    <row r="2302" spans="1:29" x14ac:dyDescent="0.25">
      <c r="A2302" s="31" t="s">
        <v>646</v>
      </c>
      <c r="B2302" s="25" t="s">
        <v>647</v>
      </c>
      <c r="D2302">
        <v>1</v>
      </c>
      <c r="E2302" t="s">
        <v>128</v>
      </c>
      <c r="F2302">
        <v>9</v>
      </c>
      <c r="G2302">
        <v>2018</v>
      </c>
      <c r="H2302" t="s">
        <v>1492</v>
      </c>
      <c r="I2302">
        <v>0.6</v>
      </c>
      <c r="J2302" t="s">
        <v>104</v>
      </c>
      <c r="K2302" t="s">
        <v>41</v>
      </c>
      <c r="O2302">
        <v>0</v>
      </c>
      <c r="P2302">
        <v>0</v>
      </c>
      <c r="Q2302">
        <v>0</v>
      </c>
      <c r="R2302">
        <v>0</v>
      </c>
      <c r="S2302">
        <v>0</v>
      </c>
      <c r="T2302">
        <v>0</v>
      </c>
      <c r="U2302">
        <v>0</v>
      </c>
      <c r="V2302">
        <v>0</v>
      </c>
      <c r="W2302" t="s">
        <v>1147</v>
      </c>
      <c r="AA2302">
        <v>2007</v>
      </c>
      <c r="AB2302">
        <v>2018</v>
      </c>
      <c r="AC2302" t="s">
        <v>649</v>
      </c>
    </row>
    <row r="2303" spans="1:29" x14ac:dyDescent="0.25">
      <c r="A2303" s="31" t="s">
        <v>650</v>
      </c>
      <c r="B2303" s="25" t="s">
        <v>651</v>
      </c>
      <c r="D2303">
        <v>1</v>
      </c>
      <c r="E2303" t="s">
        <v>128</v>
      </c>
      <c r="F2303">
        <v>9</v>
      </c>
      <c r="G2303">
        <v>2018</v>
      </c>
      <c r="H2303" t="s">
        <v>1493</v>
      </c>
      <c r="I2303">
        <v>2.8</v>
      </c>
      <c r="J2303" t="s">
        <v>104</v>
      </c>
      <c r="K2303" t="s">
        <v>41</v>
      </c>
      <c r="O2303">
        <v>0</v>
      </c>
      <c r="P2303">
        <v>0</v>
      </c>
      <c r="Q2303">
        <v>0</v>
      </c>
      <c r="R2303">
        <v>0</v>
      </c>
      <c r="S2303">
        <v>0</v>
      </c>
      <c r="T2303">
        <v>0</v>
      </c>
      <c r="U2303">
        <v>0</v>
      </c>
      <c r="V2303">
        <v>0</v>
      </c>
      <c r="W2303" t="s">
        <v>1147</v>
      </c>
      <c r="AA2303">
        <v>2007</v>
      </c>
      <c r="AB2303">
        <v>2018</v>
      </c>
      <c r="AC2303" t="s">
        <v>649</v>
      </c>
    </row>
    <row r="2304" spans="1:29" x14ac:dyDescent="0.25">
      <c r="A2304" s="31" t="s">
        <v>652</v>
      </c>
      <c r="B2304" s="25" t="s">
        <v>653</v>
      </c>
      <c r="D2304">
        <v>1</v>
      </c>
      <c r="E2304" t="s">
        <v>128</v>
      </c>
      <c r="F2304">
        <v>9</v>
      </c>
      <c r="G2304">
        <v>2018</v>
      </c>
      <c r="H2304" t="s">
        <v>1494</v>
      </c>
      <c r="I2304">
        <v>1.8</v>
      </c>
      <c r="J2304" t="s">
        <v>104</v>
      </c>
      <c r="K2304" t="s">
        <v>41</v>
      </c>
      <c r="O2304">
        <v>0</v>
      </c>
      <c r="P2304">
        <v>0</v>
      </c>
      <c r="Q2304">
        <v>0</v>
      </c>
      <c r="R2304">
        <v>0</v>
      </c>
      <c r="S2304">
        <v>0</v>
      </c>
      <c r="T2304">
        <v>0</v>
      </c>
      <c r="U2304">
        <v>0</v>
      </c>
      <c r="V2304">
        <v>0</v>
      </c>
      <c r="W2304" t="s">
        <v>1147</v>
      </c>
      <c r="AA2304">
        <v>2007</v>
      </c>
      <c r="AB2304">
        <v>2018</v>
      </c>
      <c r="AC2304" t="s">
        <v>649</v>
      </c>
    </row>
    <row r="2305" spans="1:29" x14ac:dyDescent="0.25">
      <c r="A2305" s="31" t="s">
        <v>654</v>
      </c>
      <c r="B2305" s="25" t="s">
        <v>655</v>
      </c>
      <c r="D2305">
        <v>1</v>
      </c>
      <c r="E2305" t="s">
        <v>128</v>
      </c>
      <c r="F2305">
        <v>9</v>
      </c>
      <c r="G2305">
        <v>2018</v>
      </c>
      <c r="H2305" t="s">
        <v>1495</v>
      </c>
      <c r="I2305">
        <v>2.6</v>
      </c>
      <c r="J2305" t="s">
        <v>104</v>
      </c>
      <c r="K2305" t="s">
        <v>41</v>
      </c>
      <c r="O2305">
        <v>0</v>
      </c>
      <c r="P2305">
        <v>0</v>
      </c>
      <c r="Q2305">
        <v>0</v>
      </c>
      <c r="R2305">
        <v>0</v>
      </c>
      <c r="S2305">
        <v>0</v>
      </c>
      <c r="T2305">
        <v>0</v>
      </c>
      <c r="U2305">
        <v>0</v>
      </c>
      <c r="V2305">
        <v>0</v>
      </c>
      <c r="W2305" t="s">
        <v>1147</v>
      </c>
      <c r="AA2305">
        <v>2007</v>
      </c>
      <c r="AB2305">
        <v>2018</v>
      </c>
      <c r="AC2305" t="s">
        <v>649</v>
      </c>
    </row>
    <row r="2306" spans="1:29" x14ac:dyDescent="0.25">
      <c r="A2306" s="31" t="s">
        <v>656</v>
      </c>
      <c r="B2306" s="25" t="s">
        <v>657</v>
      </c>
      <c r="D2306">
        <v>1</v>
      </c>
      <c r="E2306" t="s">
        <v>128</v>
      </c>
      <c r="F2306">
        <v>9</v>
      </c>
      <c r="G2306">
        <v>2018</v>
      </c>
      <c r="H2306" t="s">
        <v>1496</v>
      </c>
      <c r="I2306">
        <v>5</v>
      </c>
      <c r="J2306" t="s">
        <v>104</v>
      </c>
      <c r="K2306" t="s">
        <v>41</v>
      </c>
      <c r="O2306">
        <v>0</v>
      </c>
      <c r="P2306">
        <v>0</v>
      </c>
      <c r="Q2306">
        <v>0</v>
      </c>
      <c r="R2306">
        <v>0</v>
      </c>
      <c r="S2306">
        <v>0</v>
      </c>
      <c r="T2306">
        <v>0</v>
      </c>
      <c r="U2306">
        <v>0</v>
      </c>
      <c r="V2306">
        <v>0</v>
      </c>
      <c r="W2306" t="s">
        <v>1147</v>
      </c>
      <c r="AA2306">
        <v>2007</v>
      </c>
      <c r="AB2306">
        <v>2018</v>
      </c>
      <c r="AC2306" t="s">
        <v>649</v>
      </c>
    </row>
    <row r="2307" spans="1:29" x14ac:dyDescent="0.25">
      <c r="A2307" s="31" t="s">
        <v>659</v>
      </c>
      <c r="B2307" s="25" t="s">
        <v>660</v>
      </c>
      <c r="D2307">
        <v>1</v>
      </c>
      <c r="E2307" t="s">
        <v>128</v>
      </c>
      <c r="F2307">
        <v>9</v>
      </c>
      <c r="G2307">
        <v>2018</v>
      </c>
      <c r="H2307" t="s">
        <v>1497</v>
      </c>
      <c r="I2307">
        <v>1.6</v>
      </c>
      <c r="J2307" t="s">
        <v>104</v>
      </c>
      <c r="K2307" t="s">
        <v>41</v>
      </c>
      <c r="O2307">
        <v>0</v>
      </c>
      <c r="P2307">
        <v>0</v>
      </c>
      <c r="Q2307">
        <v>0</v>
      </c>
      <c r="R2307">
        <v>0</v>
      </c>
      <c r="S2307">
        <v>0</v>
      </c>
      <c r="T2307">
        <v>0</v>
      </c>
      <c r="U2307">
        <v>0</v>
      </c>
      <c r="V2307">
        <v>0</v>
      </c>
      <c r="W2307" t="s">
        <v>1147</v>
      </c>
      <c r="AA2307">
        <v>2007</v>
      </c>
      <c r="AB2307">
        <v>2018</v>
      </c>
      <c r="AC2307" t="s">
        <v>649</v>
      </c>
    </row>
    <row r="2308" spans="1:29" x14ac:dyDescent="0.25">
      <c r="A2308" s="31" t="s">
        <v>199</v>
      </c>
      <c r="B2308" s="25" t="s">
        <v>665</v>
      </c>
      <c r="D2308">
        <v>1</v>
      </c>
      <c r="E2308" t="s">
        <v>45</v>
      </c>
      <c r="F2308">
        <v>4</v>
      </c>
      <c r="G2308">
        <v>2018</v>
      </c>
      <c r="H2308" t="s">
        <v>39</v>
      </c>
      <c r="I2308">
        <v>4.5</v>
      </c>
      <c r="J2308" t="s">
        <v>52</v>
      </c>
      <c r="K2308" t="s">
        <v>41</v>
      </c>
      <c r="O2308">
        <v>0</v>
      </c>
      <c r="P2308">
        <v>0</v>
      </c>
      <c r="Q2308">
        <v>0</v>
      </c>
      <c r="R2308">
        <v>0</v>
      </c>
      <c r="S2308">
        <v>0</v>
      </c>
      <c r="T2308">
        <v>0</v>
      </c>
      <c r="U2308">
        <v>0</v>
      </c>
      <c r="V2308">
        <v>0</v>
      </c>
      <c r="W2308" t="s">
        <v>1148</v>
      </c>
      <c r="AA2308">
        <v>2007</v>
      </c>
      <c r="AB2308">
        <v>9999</v>
      </c>
      <c r="AC2308" t="s">
        <v>35</v>
      </c>
    </row>
    <row r="2309" spans="1:29" x14ac:dyDescent="0.25">
      <c r="A2309" s="31" t="s">
        <v>667</v>
      </c>
      <c r="B2309" s="23" t="s">
        <v>1527</v>
      </c>
      <c r="D2309">
        <v>1</v>
      </c>
      <c r="E2309" t="s">
        <v>45</v>
      </c>
      <c r="F2309">
        <v>4</v>
      </c>
      <c r="G2309">
        <v>2018</v>
      </c>
      <c r="I2309" s="8">
        <v>25.3</v>
      </c>
      <c r="J2309" t="s">
        <v>121</v>
      </c>
      <c r="K2309" t="s">
        <v>47</v>
      </c>
      <c r="O2309">
        <v>0</v>
      </c>
      <c r="P2309">
        <v>0</v>
      </c>
      <c r="Q2309">
        <v>0</v>
      </c>
      <c r="R2309">
        <v>0</v>
      </c>
      <c r="S2309">
        <v>1</v>
      </c>
      <c r="T2309">
        <v>1</v>
      </c>
      <c r="U2309">
        <v>1</v>
      </c>
      <c r="V2309">
        <v>0</v>
      </c>
      <c r="W2309" t="s">
        <v>1149</v>
      </c>
      <c r="AA2309">
        <v>2007</v>
      </c>
      <c r="AB2309">
        <v>9999</v>
      </c>
      <c r="AC2309" t="s">
        <v>35</v>
      </c>
    </row>
    <row r="2310" spans="1:29" x14ac:dyDescent="0.25">
      <c r="A2310" s="31" t="s">
        <v>670</v>
      </c>
      <c r="B2310" s="23" t="s">
        <v>671</v>
      </c>
      <c r="D2310">
        <v>1</v>
      </c>
      <c r="E2310" t="s">
        <v>80</v>
      </c>
      <c r="F2310">
        <v>8</v>
      </c>
      <c r="G2310">
        <v>2018</v>
      </c>
      <c r="I2310" s="8">
        <v>248.28</v>
      </c>
      <c r="J2310" t="s">
        <v>81</v>
      </c>
      <c r="K2310" t="s">
        <v>47</v>
      </c>
      <c r="O2310">
        <v>0</v>
      </c>
      <c r="P2310">
        <v>0</v>
      </c>
      <c r="Q2310">
        <v>0</v>
      </c>
      <c r="R2310">
        <v>0</v>
      </c>
      <c r="S2310">
        <v>1</v>
      </c>
      <c r="T2310">
        <v>1</v>
      </c>
      <c r="U2310">
        <v>1</v>
      </c>
      <c r="V2310">
        <v>0</v>
      </c>
      <c r="W2310" t="s">
        <v>1498</v>
      </c>
      <c r="AA2310">
        <v>2007</v>
      </c>
      <c r="AB2310">
        <v>9999</v>
      </c>
      <c r="AC2310" t="s">
        <v>35</v>
      </c>
    </row>
    <row r="2311" spans="1:29" x14ac:dyDescent="0.25">
      <c r="A2311" s="31" t="s">
        <v>673</v>
      </c>
      <c r="B2311" s="23" t="s">
        <v>1321</v>
      </c>
      <c r="D2311">
        <v>1</v>
      </c>
      <c r="E2311" t="s">
        <v>358</v>
      </c>
      <c r="F2311">
        <v>1</v>
      </c>
      <c r="G2311">
        <v>2018</v>
      </c>
      <c r="I2311" s="8">
        <v>474.31</v>
      </c>
      <c r="J2311" t="s">
        <v>81</v>
      </c>
      <c r="K2311" t="s">
        <v>47</v>
      </c>
      <c r="O2311">
        <v>0</v>
      </c>
      <c r="P2311">
        <v>0</v>
      </c>
      <c r="Q2311">
        <v>0</v>
      </c>
      <c r="R2311">
        <v>0</v>
      </c>
      <c r="S2311">
        <v>1</v>
      </c>
      <c r="T2311">
        <v>1</v>
      </c>
      <c r="U2311">
        <v>1</v>
      </c>
      <c r="V2311">
        <v>0</v>
      </c>
      <c r="W2311" t="s">
        <v>1322</v>
      </c>
      <c r="AA2311">
        <v>2007</v>
      </c>
      <c r="AB2311">
        <v>9999</v>
      </c>
      <c r="AC2311" t="s">
        <v>35</v>
      </c>
    </row>
    <row r="2312" spans="1:29" x14ac:dyDescent="0.25">
      <c r="A2312" s="31" t="s">
        <v>676</v>
      </c>
      <c r="B2312" s="23" t="s">
        <v>677</v>
      </c>
      <c r="C2312" t="s">
        <v>678</v>
      </c>
      <c r="D2312">
        <v>1</v>
      </c>
      <c r="E2312" t="s">
        <v>168</v>
      </c>
      <c r="F2312">
        <v>1</v>
      </c>
      <c r="G2312">
        <v>2018</v>
      </c>
      <c r="I2312" s="8">
        <v>159.11000000000001</v>
      </c>
      <c r="J2312" t="s">
        <v>52</v>
      </c>
      <c r="K2312" t="s">
        <v>32</v>
      </c>
      <c r="O2312">
        <v>0</v>
      </c>
      <c r="P2312">
        <v>0</v>
      </c>
      <c r="Q2312">
        <v>0</v>
      </c>
      <c r="R2312">
        <v>0</v>
      </c>
      <c r="S2312">
        <v>1</v>
      </c>
      <c r="T2312">
        <v>1</v>
      </c>
      <c r="U2312">
        <v>1</v>
      </c>
      <c r="V2312">
        <v>0</v>
      </c>
      <c r="W2312" t="s">
        <v>1152</v>
      </c>
      <c r="AA2312">
        <v>2007</v>
      </c>
      <c r="AB2312">
        <v>9999</v>
      </c>
      <c r="AC2312" t="s">
        <v>35</v>
      </c>
    </row>
    <row r="2313" spans="1:29" x14ac:dyDescent="0.25">
      <c r="A2313" s="31" t="s">
        <v>688</v>
      </c>
      <c r="B2313" s="23" t="s">
        <v>689</v>
      </c>
      <c r="D2313">
        <v>1</v>
      </c>
      <c r="E2313" t="s">
        <v>145</v>
      </c>
      <c r="F2313">
        <v>2</v>
      </c>
      <c r="G2313">
        <v>2018</v>
      </c>
      <c r="H2313" t="s">
        <v>146</v>
      </c>
      <c r="I2313">
        <v>0.02</v>
      </c>
      <c r="J2313" s="2" t="s">
        <v>147</v>
      </c>
      <c r="K2313" t="s">
        <v>41</v>
      </c>
      <c r="O2313">
        <v>0</v>
      </c>
      <c r="P2313">
        <v>0</v>
      </c>
      <c r="Q2313">
        <v>0</v>
      </c>
      <c r="R2313">
        <v>0</v>
      </c>
      <c r="S2313">
        <v>0</v>
      </c>
      <c r="T2313">
        <v>0</v>
      </c>
      <c r="U2313">
        <v>0</v>
      </c>
      <c r="V2313">
        <v>0</v>
      </c>
      <c r="W2313" t="s">
        <v>1154</v>
      </c>
      <c r="AA2313">
        <v>2007</v>
      </c>
      <c r="AB2313">
        <v>9999</v>
      </c>
      <c r="AC2313" t="s">
        <v>35</v>
      </c>
    </row>
    <row r="2314" spans="1:29" x14ac:dyDescent="0.25">
      <c r="A2314" s="31" t="s">
        <v>691</v>
      </c>
      <c r="B2314" s="23" t="s">
        <v>692</v>
      </c>
      <c r="D2314">
        <v>1</v>
      </c>
      <c r="E2314" t="s">
        <v>625</v>
      </c>
      <c r="F2314">
        <v>4</v>
      </c>
      <c r="G2314">
        <v>2018</v>
      </c>
      <c r="I2314" s="8">
        <v>16.5</v>
      </c>
      <c r="J2314" t="s">
        <v>104</v>
      </c>
      <c r="K2314" t="s">
        <v>32</v>
      </c>
      <c r="O2314">
        <v>0</v>
      </c>
      <c r="P2314">
        <v>0</v>
      </c>
      <c r="Q2314">
        <v>0</v>
      </c>
      <c r="R2314">
        <v>0</v>
      </c>
      <c r="S2314">
        <v>1</v>
      </c>
      <c r="T2314">
        <v>1</v>
      </c>
      <c r="U2314">
        <v>1</v>
      </c>
      <c r="V2314">
        <v>0</v>
      </c>
      <c r="W2314" t="s">
        <v>1155</v>
      </c>
      <c r="AA2314">
        <v>2007</v>
      </c>
      <c r="AB2314">
        <v>9999</v>
      </c>
      <c r="AC2314" t="s">
        <v>35</v>
      </c>
    </row>
    <row r="2315" spans="1:29" x14ac:dyDescent="0.25">
      <c r="A2315" s="31" t="s">
        <v>694</v>
      </c>
      <c r="B2315" s="25" t="s">
        <v>695</v>
      </c>
      <c r="C2315" t="s">
        <v>696</v>
      </c>
      <c r="D2315">
        <v>1</v>
      </c>
      <c r="E2315" t="s">
        <v>58</v>
      </c>
      <c r="F2315">
        <v>4</v>
      </c>
      <c r="G2315">
        <v>2018</v>
      </c>
      <c r="I2315" s="8">
        <v>120.73</v>
      </c>
      <c r="J2315" t="s">
        <v>59</v>
      </c>
      <c r="K2315" t="s">
        <v>47</v>
      </c>
      <c r="O2315">
        <v>0</v>
      </c>
      <c r="P2315">
        <v>0</v>
      </c>
      <c r="Q2315">
        <v>0</v>
      </c>
      <c r="R2315">
        <v>0</v>
      </c>
      <c r="S2315">
        <v>1</v>
      </c>
      <c r="T2315">
        <v>1</v>
      </c>
      <c r="U2315">
        <v>1</v>
      </c>
      <c r="V2315">
        <v>0</v>
      </c>
      <c r="W2315" t="s">
        <v>1156</v>
      </c>
      <c r="AA2315">
        <v>2007</v>
      </c>
      <c r="AB2315">
        <v>9999</v>
      </c>
      <c r="AC2315" t="s">
        <v>35</v>
      </c>
    </row>
    <row r="2316" spans="1:29" x14ac:dyDescent="0.25">
      <c r="A2316" s="31" t="s">
        <v>698</v>
      </c>
      <c r="B2316" s="23" t="s">
        <v>699</v>
      </c>
      <c r="D2316">
        <v>1</v>
      </c>
      <c r="E2316" t="s">
        <v>155</v>
      </c>
      <c r="F2316">
        <v>3</v>
      </c>
      <c r="G2316">
        <v>2018</v>
      </c>
      <c r="H2316" t="s">
        <v>700</v>
      </c>
      <c r="I2316">
        <v>4.1367999999999991</v>
      </c>
      <c r="J2316" t="s">
        <v>121</v>
      </c>
      <c r="K2316" t="s">
        <v>47</v>
      </c>
      <c r="O2316">
        <v>0</v>
      </c>
      <c r="P2316">
        <v>0</v>
      </c>
      <c r="Q2316">
        <v>0</v>
      </c>
      <c r="R2316">
        <v>0</v>
      </c>
      <c r="S2316">
        <v>1</v>
      </c>
      <c r="T2316">
        <v>0</v>
      </c>
      <c r="U2316">
        <v>0</v>
      </c>
      <c r="V2316">
        <v>1</v>
      </c>
      <c r="W2316" t="s">
        <v>1157</v>
      </c>
      <c r="AA2316">
        <v>2007</v>
      </c>
      <c r="AB2316">
        <v>9999</v>
      </c>
      <c r="AC2316" t="s">
        <v>35</v>
      </c>
    </row>
    <row r="2317" spans="1:29" x14ac:dyDescent="0.25">
      <c r="A2317" s="31" t="s">
        <v>702</v>
      </c>
      <c r="B2317" s="23" t="s">
        <v>703</v>
      </c>
      <c r="D2317">
        <v>1</v>
      </c>
      <c r="E2317" t="s">
        <v>155</v>
      </c>
      <c r="F2317">
        <v>3</v>
      </c>
      <c r="G2317">
        <v>2018</v>
      </c>
      <c r="H2317" t="s">
        <v>704</v>
      </c>
      <c r="J2317" t="s">
        <v>121</v>
      </c>
      <c r="K2317" t="s">
        <v>41</v>
      </c>
      <c r="O2317">
        <v>0</v>
      </c>
      <c r="P2317">
        <v>0</v>
      </c>
      <c r="Q2317">
        <v>0</v>
      </c>
      <c r="R2317">
        <v>0</v>
      </c>
      <c r="S2317">
        <v>0</v>
      </c>
      <c r="T2317">
        <v>0</v>
      </c>
      <c r="U2317">
        <v>0</v>
      </c>
      <c r="V2317">
        <v>1</v>
      </c>
      <c r="W2317" t="s">
        <v>1158</v>
      </c>
      <c r="AA2317">
        <v>2007</v>
      </c>
      <c r="AB2317">
        <v>9999</v>
      </c>
      <c r="AC2317" t="s">
        <v>35</v>
      </c>
    </row>
    <row r="2318" spans="1:29" x14ac:dyDescent="0.25">
      <c r="A2318" s="31" t="s">
        <v>706</v>
      </c>
      <c r="B2318" s="23" t="s">
        <v>707</v>
      </c>
      <c r="C2318" t="s">
        <v>708</v>
      </c>
      <c r="D2318">
        <v>1</v>
      </c>
      <c r="E2318" t="s">
        <v>155</v>
      </c>
      <c r="F2318">
        <v>3</v>
      </c>
      <c r="G2318">
        <v>2018</v>
      </c>
      <c r="I2318" s="8">
        <v>463.52</v>
      </c>
      <c r="J2318" t="s">
        <v>121</v>
      </c>
      <c r="K2318" t="s">
        <v>47</v>
      </c>
      <c r="O2318">
        <v>0</v>
      </c>
      <c r="P2318">
        <v>0</v>
      </c>
      <c r="Q2318">
        <v>0</v>
      </c>
      <c r="R2318">
        <v>0</v>
      </c>
      <c r="S2318">
        <v>1</v>
      </c>
      <c r="T2318">
        <v>1</v>
      </c>
      <c r="U2318">
        <v>1</v>
      </c>
      <c r="V2318">
        <v>0</v>
      </c>
      <c r="W2318" t="s">
        <v>1159</v>
      </c>
      <c r="AA2318">
        <v>2007</v>
      </c>
      <c r="AB2318">
        <v>9999</v>
      </c>
      <c r="AC2318" t="s">
        <v>35</v>
      </c>
    </row>
    <row r="2319" spans="1:29" x14ac:dyDescent="0.25">
      <c r="A2319" s="31" t="s">
        <v>710</v>
      </c>
      <c r="B2319" s="23" t="s">
        <v>711</v>
      </c>
      <c r="D2319">
        <v>1</v>
      </c>
      <c r="E2319" t="s">
        <v>712</v>
      </c>
      <c r="F2319">
        <v>9</v>
      </c>
      <c r="G2319">
        <v>2018</v>
      </c>
      <c r="I2319" s="8">
        <v>99.36</v>
      </c>
      <c r="J2319" t="s">
        <v>104</v>
      </c>
      <c r="K2319" t="s">
        <v>41</v>
      </c>
      <c r="O2319">
        <v>0</v>
      </c>
      <c r="P2319">
        <v>0</v>
      </c>
      <c r="Q2319">
        <v>0</v>
      </c>
      <c r="R2319">
        <v>0</v>
      </c>
      <c r="S2319">
        <v>0</v>
      </c>
      <c r="T2319">
        <v>1</v>
      </c>
      <c r="U2319">
        <v>1</v>
      </c>
      <c r="V2319">
        <v>0</v>
      </c>
      <c r="W2319" t="s">
        <v>1406</v>
      </c>
      <c r="AA2319">
        <v>2007</v>
      </c>
      <c r="AB2319">
        <v>9999</v>
      </c>
      <c r="AC2319" t="s">
        <v>35</v>
      </c>
    </row>
    <row r="2320" spans="1:29" x14ac:dyDescent="0.25">
      <c r="A2320" s="31" t="s">
        <v>714</v>
      </c>
      <c r="B2320" s="23" t="s">
        <v>715</v>
      </c>
      <c r="D2320">
        <v>1</v>
      </c>
      <c r="E2320" t="s">
        <v>80</v>
      </c>
      <c r="F2320">
        <v>8</v>
      </c>
      <c r="G2320">
        <v>2018</v>
      </c>
      <c r="I2320" s="8">
        <v>52.96</v>
      </c>
      <c r="J2320" t="s">
        <v>81</v>
      </c>
      <c r="K2320" t="s">
        <v>76</v>
      </c>
      <c r="O2320">
        <v>0</v>
      </c>
      <c r="P2320">
        <v>0</v>
      </c>
      <c r="Q2320">
        <v>0</v>
      </c>
      <c r="R2320">
        <v>0</v>
      </c>
      <c r="S2320">
        <v>0</v>
      </c>
      <c r="T2320">
        <v>1</v>
      </c>
      <c r="U2320">
        <v>1</v>
      </c>
      <c r="V2320">
        <v>0</v>
      </c>
      <c r="W2320" t="s">
        <v>1323</v>
      </c>
      <c r="AA2320">
        <v>2007</v>
      </c>
      <c r="AB2320">
        <v>9999</v>
      </c>
      <c r="AC2320" t="s">
        <v>35</v>
      </c>
    </row>
    <row r="2321" spans="1:29" x14ac:dyDescent="0.25">
      <c r="A2321" s="31" t="s">
        <v>717</v>
      </c>
      <c r="B2321" s="25" t="s">
        <v>718</v>
      </c>
      <c r="D2321">
        <v>1</v>
      </c>
      <c r="E2321" t="s">
        <v>51</v>
      </c>
      <c r="F2321">
        <v>1</v>
      </c>
      <c r="G2321">
        <v>2018</v>
      </c>
      <c r="I2321">
        <v>26</v>
      </c>
      <c r="J2321" t="s">
        <v>52</v>
      </c>
      <c r="K2321" t="s">
        <v>53</v>
      </c>
      <c r="L2321" t="s">
        <v>54</v>
      </c>
      <c r="O2321">
        <v>0</v>
      </c>
      <c r="P2321">
        <v>0</v>
      </c>
      <c r="Q2321">
        <v>1</v>
      </c>
      <c r="R2321">
        <v>0</v>
      </c>
      <c r="S2321">
        <v>0</v>
      </c>
      <c r="T2321">
        <v>0</v>
      </c>
      <c r="U2321">
        <v>1</v>
      </c>
      <c r="V2321">
        <v>0</v>
      </c>
      <c r="W2321" t="s">
        <v>55</v>
      </c>
      <c r="AA2321">
        <v>2007</v>
      </c>
      <c r="AB2321">
        <v>9999</v>
      </c>
      <c r="AC2321" t="s">
        <v>35</v>
      </c>
    </row>
    <row r="2322" spans="1:29" x14ac:dyDescent="0.25">
      <c r="A2322" s="31" t="s">
        <v>719</v>
      </c>
      <c r="B2322" s="25" t="s">
        <v>720</v>
      </c>
      <c r="D2322">
        <v>1</v>
      </c>
      <c r="E2322" t="s">
        <v>51</v>
      </c>
      <c r="F2322">
        <v>1</v>
      </c>
      <c r="G2322">
        <v>2018</v>
      </c>
      <c r="I2322">
        <v>32</v>
      </c>
      <c r="J2322" t="s">
        <v>52</v>
      </c>
      <c r="K2322" t="s">
        <v>53</v>
      </c>
      <c r="L2322" t="s">
        <v>54</v>
      </c>
      <c r="O2322">
        <v>0</v>
      </c>
      <c r="P2322">
        <v>0</v>
      </c>
      <c r="Q2322">
        <v>1</v>
      </c>
      <c r="R2322">
        <v>0</v>
      </c>
      <c r="S2322">
        <v>0</v>
      </c>
      <c r="T2322">
        <v>0</v>
      </c>
      <c r="U2322">
        <v>1</v>
      </c>
      <c r="V2322">
        <v>0</v>
      </c>
      <c r="W2322" t="s">
        <v>721</v>
      </c>
      <c r="AA2322">
        <v>2007</v>
      </c>
      <c r="AB2322">
        <v>9999</v>
      </c>
      <c r="AC2322" t="s">
        <v>35</v>
      </c>
    </row>
    <row r="2323" spans="1:29" x14ac:dyDescent="0.25">
      <c r="A2323" s="31" t="s">
        <v>722</v>
      </c>
      <c r="B2323" s="23" t="s">
        <v>723</v>
      </c>
      <c r="D2323">
        <v>1</v>
      </c>
      <c r="E2323" t="s">
        <v>724</v>
      </c>
      <c r="F2323">
        <v>4</v>
      </c>
      <c r="G2323">
        <v>2018</v>
      </c>
      <c r="I2323" s="8">
        <v>1141.3599999999999</v>
      </c>
      <c r="J2323" t="s">
        <v>89</v>
      </c>
      <c r="K2323" t="s">
        <v>32</v>
      </c>
      <c r="L2323" t="s">
        <v>33</v>
      </c>
      <c r="O2323">
        <v>0</v>
      </c>
      <c r="P2323">
        <v>0</v>
      </c>
      <c r="Q2323">
        <v>0</v>
      </c>
      <c r="R2323">
        <v>1</v>
      </c>
      <c r="S2323">
        <v>1</v>
      </c>
      <c r="T2323">
        <v>1</v>
      </c>
      <c r="U2323">
        <v>1</v>
      </c>
      <c r="V2323">
        <v>0</v>
      </c>
      <c r="W2323" t="s">
        <v>1161</v>
      </c>
      <c r="AA2323">
        <v>2007</v>
      </c>
      <c r="AB2323">
        <v>9999</v>
      </c>
      <c r="AC2323" t="s">
        <v>35</v>
      </c>
    </row>
    <row r="2324" spans="1:29" x14ac:dyDescent="0.25">
      <c r="A2324" s="31" t="s">
        <v>726</v>
      </c>
      <c r="B2324" s="23" t="s">
        <v>727</v>
      </c>
      <c r="D2324">
        <v>1</v>
      </c>
      <c r="E2324" t="s">
        <v>85</v>
      </c>
      <c r="F2324">
        <v>1</v>
      </c>
      <c r="G2324">
        <v>2018</v>
      </c>
      <c r="H2324" t="s">
        <v>205</v>
      </c>
      <c r="I2324">
        <v>12.75</v>
      </c>
      <c r="J2324" t="s">
        <v>52</v>
      </c>
      <c r="K2324" t="s">
        <v>41</v>
      </c>
      <c r="O2324">
        <v>0</v>
      </c>
      <c r="P2324">
        <v>0</v>
      </c>
      <c r="Q2324">
        <v>0</v>
      </c>
      <c r="R2324">
        <v>0</v>
      </c>
      <c r="S2324">
        <v>0</v>
      </c>
      <c r="T2324">
        <v>0</v>
      </c>
      <c r="U2324">
        <v>0</v>
      </c>
      <c r="V2324">
        <v>0</v>
      </c>
      <c r="W2324" t="s">
        <v>1162</v>
      </c>
      <c r="AA2324">
        <v>2007</v>
      </c>
      <c r="AB2324">
        <v>9999</v>
      </c>
      <c r="AC2324" t="s">
        <v>35</v>
      </c>
    </row>
    <row r="2325" spans="1:29" x14ac:dyDescent="0.25">
      <c r="A2325" s="31" t="s">
        <v>729</v>
      </c>
      <c r="B2325" s="23" t="s">
        <v>205</v>
      </c>
      <c r="D2325">
        <v>1</v>
      </c>
      <c r="E2325" t="s">
        <v>168</v>
      </c>
      <c r="F2325">
        <v>1</v>
      </c>
      <c r="G2325">
        <v>2018</v>
      </c>
      <c r="I2325" s="8">
        <v>9478.39</v>
      </c>
      <c r="J2325" t="s">
        <v>52</v>
      </c>
      <c r="K2325" t="s">
        <v>32</v>
      </c>
      <c r="O2325">
        <v>0</v>
      </c>
      <c r="P2325">
        <v>0</v>
      </c>
      <c r="Q2325">
        <v>0</v>
      </c>
      <c r="R2325">
        <v>0</v>
      </c>
      <c r="S2325">
        <v>1</v>
      </c>
      <c r="T2325">
        <v>1</v>
      </c>
      <c r="U2325">
        <v>1</v>
      </c>
      <c r="V2325">
        <v>0</v>
      </c>
      <c r="W2325" t="s">
        <v>1555</v>
      </c>
      <c r="AA2325">
        <v>2007</v>
      </c>
      <c r="AB2325">
        <v>9999</v>
      </c>
      <c r="AC2325" t="s">
        <v>35</v>
      </c>
    </row>
    <row r="2326" spans="1:29" x14ac:dyDescent="0.25">
      <c r="A2326" s="31" t="s">
        <v>731</v>
      </c>
      <c r="B2326" s="23" t="s">
        <v>732</v>
      </c>
      <c r="D2326">
        <v>1</v>
      </c>
      <c r="E2326" t="s">
        <v>51</v>
      </c>
      <c r="F2326">
        <v>10</v>
      </c>
      <c r="G2326">
        <v>2018</v>
      </c>
      <c r="H2326" t="s">
        <v>39</v>
      </c>
      <c r="I2326">
        <v>1.2</v>
      </c>
      <c r="J2326" t="s">
        <v>52</v>
      </c>
      <c r="K2326" t="s">
        <v>41</v>
      </c>
      <c r="O2326">
        <v>0</v>
      </c>
      <c r="P2326">
        <v>0</v>
      </c>
      <c r="Q2326">
        <v>0</v>
      </c>
      <c r="R2326">
        <v>0</v>
      </c>
      <c r="S2326">
        <v>0</v>
      </c>
      <c r="T2326">
        <v>0</v>
      </c>
      <c r="U2326">
        <v>0</v>
      </c>
      <c r="V2326">
        <v>0</v>
      </c>
      <c r="W2326" t="s">
        <v>1164</v>
      </c>
      <c r="AA2326">
        <v>2007</v>
      </c>
      <c r="AB2326">
        <v>9999</v>
      </c>
      <c r="AC2326" t="s">
        <v>35</v>
      </c>
    </row>
    <row r="2327" spans="1:29" x14ac:dyDescent="0.25">
      <c r="A2327" s="31" t="s">
        <v>734</v>
      </c>
      <c r="B2327" s="23" t="s">
        <v>735</v>
      </c>
      <c r="D2327">
        <v>1</v>
      </c>
      <c r="E2327" t="s">
        <v>736</v>
      </c>
      <c r="F2327">
        <v>4</v>
      </c>
      <c r="G2327">
        <v>2018</v>
      </c>
      <c r="I2327" s="8">
        <v>654.30999999999995</v>
      </c>
      <c r="J2327" t="s">
        <v>89</v>
      </c>
      <c r="K2327" t="s">
        <v>32</v>
      </c>
      <c r="O2327">
        <v>0</v>
      </c>
      <c r="P2327">
        <v>0</v>
      </c>
      <c r="Q2327">
        <v>0</v>
      </c>
      <c r="R2327">
        <v>0</v>
      </c>
      <c r="S2327">
        <v>1</v>
      </c>
      <c r="T2327">
        <v>1</v>
      </c>
      <c r="U2327">
        <v>1</v>
      </c>
      <c r="V2327">
        <v>0</v>
      </c>
      <c r="W2327" t="s">
        <v>1324</v>
      </c>
      <c r="AA2327">
        <v>2007</v>
      </c>
      <c r="AB2327">
        <v>9999</v>
      </c>
      <c r="AC2327" t="s">
        <v>35</v>
      </c>
    </row>
    <row r="2328" spans="1:29" x14ac:dyDescent="0.25">
      <c r="A2328" s="31" t="s">
        <v>1499</v>
      </c>
      <c r="B2328" s="23" t="s">
        <v>1500</v>
      </c>
      <c r="D2328">
        <v>1</v>
      </c>
      <c r="E2328" s="4">
        <v>960</v>
      </c>
      <c r="F2328">
        <v>9</v>
      </c>
      <c r="G2328">
        <v>2018</v>
      </c>
      <c r="I2328" s="8">
        <v>11.9</v>
      </c>
      <c r="J2328" t="s">
        <v>104</v>
      </c>
      <c r="K2328" t="s">
        <v>47</v>
      </c>
      <c r="O2328">
        <v>0</v>
      </c>
      <c r="P2328">
        <v>0</v>
      </c>
      <c r="Q2328">
        <v>0</v>
      </c>
      <c r="R2328">
        <v>0</v>
      </c>
      <c r="S2328">
        <v>1</v>
      </c>
      <c r="T2328">
        <v>1</v>
      </c>
      <c r="U2328">
        <v>1</v>
      </c>
      <c r="V2328">
        <v>0</v>
      </c>
      <c r="W2328" t="s">
        <v>1501</v>
      </c>
      <c r="AA2328">
        <v>2015</v>
      </c>
      <c r="AB2328">
        <v>9999</v>
      </c>
      <c r="AC2328" t="s">
        <v>1475</v>
      </c>
    </row>
    <row r="2329" spans="1:29" x14ac:dyDescent="0.25">
      <c r="A2329" s="31" t="s">
        <v>738</v>
      </c>
      <c r="B2329" s="23" t="s">
        <v>739</v>
      </c>
      <c r="D2329">
        <v>1</v>
      </c>
      <c r="E2329" t="s">
        <v>128</v>
      </c>
      <c r="F2329">
        <v>9</v>
      </c>
      <c r="G2329">
        <v>2018</v>
      </c>
      <c r="H2329" t="s">
        <v>1502</v>
      </c>
      <c r="I2329">
        <v>5.2</v>
      </c>
      <c r="J2329" t="s">
        <v>104</v>
      </c>
      <c r="K2329" t="s">
        <v>41</v>
      </c>
      <c r="O2329">
        <v>0</v>
      </c>
      <c r="P2329">
        <v>0</v>
      </c>
      <c r="Q2329">
        <v>0</v>
      </c>
      <c r="R2329">
        <v>0</v>
      </c>
      <c r="S2329">
        <v>0</v>
      </c>
      <c r="T2329">
        <v>0</v>
      </c>
      <c r="U2329">
        <v>0</v>
      </c>
      <c r="V2329">
        <v>0</v>
      </c>
      <c r="W2329" t="s">
        <v>1166</v>
      </c>
      <c r="AA2329">
        <v>2007</v>
      </c>
      <c r="AB2329">
        <v>9999</v>
      </c>
      <c r="AC2329" t="s">
        <v>35</v>
      </c>
    </row>
    <row r="2330" spans="1:29" x14ac:dyDescent="0.25">
      <c r="A2330" s="31" t="s">
        <v>745</v>
      </c>
      <c r="B2330" s="23" t="s">
        <v>746</v>
      </c>
      <c r="D2330">
        <v>1</v>
      </c>
      <c r="E2330" t="s">
        <v>468</v>
      </c>
      <c r="F2330">
        <v>7</v>
      </c>
      <c r="G2330">
        <v>2018</v>
      </c>
      <c r="I2330" s="8">
        <v>670.69</v>
      </c>
      <c r="J2330" t="s">
        <v>40</v>
      </c>
      <c r="K2330" t="s">
        <v>32</v>
      </c>
      <c r="O2330">
        <v>0</v>
      </c>
      <c r="P2330">
        <v>0</v>
      </c>
      <c r="Q2330">
        <v>0</v>
      </c>
      <c r="R2330">
        <v>0</v>
      </c>
      <c r="S2330">
        <v>1</v>
      </c>
      <c r="T2330">
        <v>1</v>
      </c>
      <c r="U2330">
        <v>1</v>
      </c>
      <c r="V2330">
        <v>0</v>
      </c>
      <c r="W2330" t="s">
        <v>1516</v>
      </c>
      <c r="AA2330">
        <v>2007</v>
      </c>
      <c r="AB2330">
        <v>9999</v>
      </c>
      <c r="AC2330" t="s">
        <v>35</v>
      </c>
    </row>
    <row r="2331" spans="1:29" x14ac:dyDescent="0.25">
      <c r="A2331" s="31" t="s">
        <v>1263</v>
      </c>
      <c r="B2331" s="23" t="s">
        <v>1264</v>
      </c>
      <c r="C2331" t="s">
        <v>1265</v>
      </c>
      <c r="D2331">
        <v>1</v>
      </c>
      <c r="E2331" t="s">
        <v>712</v>
      </c>
      <c r="F2331">
        <v>9</v>
      </c>
      <c r="G2331">
        <v>2018</v>
      </c>
      <c r="I2331" s="8">
        <v>1056.6500000000001</v>
      </c>
      <c r="J2331" t="s">
        <v>104</v>
      </c>
      <c r="K2331" t="s">
        <v>47</v>
      </c>
      <c r="O2331">
        <v>0</v>
      </c>
      <c r="P2331">
        <v>0</v>
      </c>
      <c r="Q2331">
        <v>0</v>
      </c>
      <c r="R2331">
        <v>0</v>
      </c>
      <c r="S2331">
        <v>1</v>
      </c>
      <c r="T2331">
        <v>1</v>
      </c>
      <c r="U2331">
        <v>1</v>
      </c>
      <c r="V2331">
        <v>0</v>
      </c>
      <c r="W2331" t="s">
        <v>1407</v>
      </c>
      <c r="AA2331">
        <v>2009</v>
      </c>
      <c r="AB2331">
        <v>9999</v>
      </c>
      <c r="AC2331" t="s">
        <v>1239</v>
      </c>
    </row>
    <row r="2332" spans="1:29" x14ac:dyDescent="0.25">
      <c r="A2332" s="31" t="s">
        <v>754</v>
      </c>
      <c r="B2332" s="23" t="s">
        <v>755</v>
      </c>
      <c r="D2332">
        <v>1</v>
      </c>
      <c r="E2332" t="s">
        <v>85</v>
      </c>
      <c r="F2332">
        <v>1</v>
      </c>
      <c r="G2332">
        <v>2018</v>
      </c>
      <c r="H2332" t="s">
        <v>1503</v>
      </c>
      <c r="I2332">
        <v>0.05</v>
      </c>
      <c r="J2332" t="s">
        <v>52</v>
      </c>
      <c r="K2332" t="s">
        <v>41</v>
      </c>
      <c r="O2332">
        <v>0</v>
      </c>
      <c r="P2332">
        <v>0</v>
      </c>
      <c r="Q2332">
        <v>0</v>
      </c>
      <c r="R2332">
        <v>0</v>
      </c>
      <c r="S2332">
        <v>0</v>
      </c>
      <c r="T2332">
        <v>0</v>
      </c>
      <c r="U2332">
        <v>0</v>
      </c>
      <c r="V2332">
        <v>0</v>
      </c>
      <c r="W2332" t="s">
        <v>1169</v>
      </c>
      <c r="AA2332">
        <v>2007</v>
      </c>
      <c r="AB2332">
        <v>9999</v>
      </c>
      <c r="AC2332" t="s">
        <v>35</v>
      </c>
    </row>
    <row r="2333" spans="1:29" ht="30" x14ac:dyDescent="0.25">
      <c r="A2333" s="31" t="s">
        <v>758</v>
      </c>
      <c r="B2333" s="23" t="s">
        <v>1504</v>
      </c>
      <c r="C2333" t="s">
        <v>1505</v>
      </c>
      <c r="D2333">
        <v>1</v>
      </c>
      <c r="E2333" t="s">
        <v>760</v>
      </c>
      <c r="F2333">
        <v>7</v>
      </c>
      <c r="G2333">
        <v>2018</v>
      </c>
      <c r="I2333" s="8">
        <v>74.260000000000005</v>
      </c>
      <c r="J2333" t="s">
        <v>40</v>
      </c>
      <c r="K2333" t="s">
        <v>47</v>
      </c>
      <c r="O2333">
        <v>0</v>
      </c>
      <c r="P2333">
        <v>0</v>
      </c>
      <c r="Q2333">
        <v>0</v>
      </c>
      <c r="R2333">
        <v>0</v>
      </c>
      <c r="S2333">
        <v>1</v>
      </c>
      <c r="T2333">
        <v>1</v>
      </c>
      <c r="U2333">
        <v>1</v>
      </c>
      <c r="V2333">
        <v>0</v>
      </c>
      <c r="W2333" t="s">
        <v>1170</v>
      </c>
      <c r="AA2333">
        <v>2007</v>
      </c>
      <c r="AB2333">
        <v>9999</v>
      </c>
      <c r="AC2333" t="s">
        <v>35</v>
      </c>
    </row>
    <row r="2334" spans="1:29" x14ac:dyDescent="0.25">
      <c r="A2334" s="31" t="s">
        <v>78</v>
      </c>
      <c r="B2334" s="23" t="s">
        <v>1465</v>
      </c>
      <c r="C2334" t="s">
        <v>1466</v>
      </c>
      <c r="D2334">
        <v>1</v>
      </c>
      <c r="E2334" t="s">
        <v>80</v>
      </c>
      <c r="F2334">
        <v>8</v>
      </c>
      <c r="G2334">
        <v>2018</v>
      </c>
      <c r="I2334" s="8">
        <v>33.119999999999997</v>
      </c>
      <c r="J2334" t="s">
        <v>81</v>
      </c>
      <c r="K2334" t="s">
        <v>47</v>
      </c>
      <c r="O2334">
        <v>0</v>
      </c>
      <c r="P2334">
        <v>0</v>
      </c>
      <c r="Q2334">
        <v>0</v>
      </c>
      <c r="R2334">
        <v>0</v>
      </c>
      <c r="S2334">
        <v>1</v>
      </c>
      <c r="T2334">
        <v>1</v>
      </c>
      <c r="U2334">
        <v>1</v>
      </c>
      <c r="V2334">
        <v>0</v>
      </c>
      <c r="W2334" t="s">
        <v>1467</v>
      </c>
      <c r="AA2334">
        <v>2007</v>
      </c>
      <c r="AB2334">
        <v>9999</v>
      </c>
      <c r="AC2334" t="s">
        <v>35</v>
      </c>
    </row>
    <row r="2335" spans="1:29" x14ac:dyDescent="0.25">
      <c r="A2335" s="31" t="s">
        <v>768</v>
      </c>
      <c r="B2335" s="23" t="s">
        <v>769</v>
      </c>
      <c r="C2335" t="s">
        <v>770</v>
      </c>
      <c r="D2335">
        <v>1</v>
      </c>
      <c r="E2335" t="s">
        <v>30</v>
      </c>
      <c r="F2335">
        <v>4</v>
      </c>
      <c r="G2335">
        <v>2018</v>
      </c>
      <c r="I2335" s="8">
        <v>375.84</v>
      </c>
      <c r="J2335" t="s">
        <v>1471</v>
      </c>
      <c r="K2335" t="s">
        <v>47</v>
      </c>
      <c r="O2335">
        <v>0</v>
      </c>
      <c r="P2335">
        <v>0</v>
      </c>
      <c r="Q2335">
        <v>0</v>
      </c>
      <c r="R2335">
        <v>0</v>
      </c>
      <c r="S2335">
        <v>1</v>
      </c>
      <c r="T2335">
        <v>1</v>
      </c>
      <c r="U2335">
        <v>1</v>
      </c>
      <c r="V2335">
        <v>0</v>
      </c>
      <c r="W2335" t="s">
        <v>1506</v>
      </c>
      <c r="AA2335">
        <v>2007</v>
      </c>
      <c r="AB2335">
        <v>9999</v>
      </c>
      <c r="AC2335" t="s">
        <v>35</v>
      </c>
    </row>
    <row r="2336" spans="1:29" x14ac:dyDescent="0.25">
      <c r="A2336" s="31" t="s">
        <v>772</v>
      </c>
      <c r="B2336" s="23" t="s">
        <v>773</v>
      </c>
      <c r="C2336" t="s">
        <v>774</v>
      </c>
      <c r="D2336">
        <v>1</v>
      </c>
      <c r="E2336" t="s">
        <v>358</v>
      </c>
      <c r="F2336">
        <v>1</v>
      </c>
      <c r="G2336">
        <v>2018</v>
      </c>
      <c r="I2336" s="8">
        <v>392.95</v>
      </c>
      <c r="J2336" t="s">
        <v>52</v>
      </c>
      <c r="K2336" t="s">
        <v>32</v>
      </c>
      <c r="O2336">
        <v>0</v>
      </c>
      <c r="P2336">
        <v>0</v>
      </c>
      <c r="Q2336">
        <v>0</v>
      </c>
      <c r="R2336">
        <v>0</v>
      </c>
      <c r="S2336">
        <v>1</v>
      </c>
      <c r="T2336">
        <v>1</v>
      </c>
      <c r="U2336">
        <v>1</v>
      </c>
      <c r="V2336">
        <v>0</v>
      </c>
      <c r="W2336" t="s">
        <v>1174</v>
      </c>
      <c r="AA2336">
        <v>2007</v>
      </c>
      <c r="AB2336">
        <v>9999</v>
      </c>
      <c r="AC2336" t="s">
        <v>35</v>
      </c>
    </row>
    <row r="2337" spans="1:29" x14ac:dyDescent="0.25">
      <c r="A2337" s="31" t="s">
        <v>779</v>
      </c>
      <c r="B2337" s="23" t="s">
        <v>780</v>
      </c>
      <c r="D2337">
        <v>1</v>
      </c>
      <c r="E2337" t="s">
        <v>80</v>
      </c>
      <c r="F2337">
        <v>8</v>
      </c>
      <c r="G2337">
        <v>2018</v>
      </c>
      <c r="I2337" s="8">
        <v>69.81</v>
      </c>
      <c r="J2337" t="s">
        <v>81</v>
      </c>
      <c r="K2337" t="s">
        <v>47</v>
      </c>
      <c r="O2337">
        <v>0</v>
      </c>
      <c r="P2337">
        <v>0</v>
      </c>
      <c r="Q2337">
        <v>0</v>
      </c>
      <c r="R2337">
        <v>0</v>
      </c>
      <c r="S2337">
        <v>1</v>
      </c>
      <c r="T2337">
        <v>1</v>
      </c>
      <c r="U2337">
        <v>1</v>
      </c>
      <c r="V2337">
        <v>0</v>
      </c>
      <c r="W2337" t="s">
        <v>1176</v>
      </c>
      <c r="AA2337">
        <v>2007</v>
      </c>
      <c r="AB2337">
        <v>9999</v>
      </c>
      <c r="AC2337" t="s">
        <v>35</v>
      </c>
    </row>
    <row r="2338" spans="1:29" x14ac:dyDescent="0.25">
      <c r="A2338" s="31" t="s">
        <v>782</v>
      </c>
      <c r="B2338" s="23" t="s">
        <v>783</v>
      </c>
      <c r="D2338">
        <v>1</v>
      </c>
      <c r="E2338" t="s">
        <v>784</v>
      </c>
      <c r="F2338">
        <v>6</v>
      </c>
      <c r="G2338">
        <v>2018</v>
      </c>
      <c r="I2338" s="8">
        <v>76.2</v>
      </c>
      <c r="J2338" t="s">
        <v>1471</v>
      </c>
      <c r="K2338" t="s">
        <v>47</v>
      </c>
      <c r="O2338">
        <v>0</v>
      </c>
      <c r="P2338">
        <v>0</v>
      </c>
      <c r="Q2338">
        <v>0</v>
      </c>
      <c r="R2338">
        <v>0</v>
      </c>
      <c r="S2338">
        <v>1</v>
      </c>
      <c r="T2338">
        <v>1</v>
      </c>
      <c r="U2338">
        <v>1</v>
      </c>
      <c r="V2338">
        <v>0</v>
      </c>
      <c r="W2338" t="s">
        <v>1326</v>
      </c>
      <c r="AA2338">
        <v>2007</v>
      </c>
      <c r="AB2338">
        <v>9999</v>
      </c>
      <c r="AC2338" t="s">
        <v>35</v>
      </c>
    </row>
    <row r="2339" spans="1:29" x14ac:dyDescent="0.25">
      <c r="A2339" s="31" t="s">
        <v>786</v>
      </c>
      <c r="B2339" s="23" t="s">
        <v>787</v>
      </c>
      <c r="C2339" t="s">
        <v>788</v>
      </c>
      <c r="D2339">
        <v>1</v>
      </c>
      <c r="E2339" t="s">
        <v>120</v>
      </c>
      <c r="F2339">
        <v>3</v>
      </c>
      <c r="G2339">
        <v>2018</v>
      </c>
      <c r="I2339" s="8">
        <v>27.25</v>
      </c>
      <c r="J2339" t="s">
        <v>121</v>
      </c>
      <c r="K2339" t="s">
        <v>47</v>
      </c>
      <c r="O2339">
        <v>0</v>
      </c>
      <c r="P2339">
        <v>0</v>
      </c>
      <c r="Q2339">
        <v>0</v>
      </c>
      <c r="R2339">
        <v>0</v>
      </c>
      <c r="S2339">
        <v>1</v>
      </c>
      <c r="T2339">
        <v>1</v>
      </c>
      <c r="U2339">
        <v>1</v>
      </c>
      <c r="V2339">
        <v>0</v>
      </c>
      <c r="W2339" t="s">
        <v>1178</v>
      </c>
      <c r="AA2339">
        <v>2007</v>
      </c>
      <c r="AB2339">
        <v>9999</v>
      </c>
      <c r="AC2339" t="s">
        <v>35</v>
      </c>
    </row>
    <row r="2340" spans="1:29" x14ac:dyDescent="0.25">
      <c r="A2340" s="31" t="s">
        <v>790</v>
      </c>
      <c r="B2340" s="23" t="s">
        <v>791</v>
      </c>
      <c r="D2340">
        <v>1</v>
      </c>
      <c r="E2340" t="s">
        <v>80</v>
      </c>
      <c r="F2340">
        <v>8</v>
      </c>
      <c r="G2340">
        <v>2018</v>
      </c>
      <c r="I2340" s="8">
        <v>254.01</v>
      </c>
      <c r="J2340" t="s">
        <v>81</v>
      </c>
      <c r="K2340" t="s">
        <v>47</v>
      </c>
      <c r="O2340">
        <v>0</v>
      </c>
      <c r="P2340">
        <v>0</v>
      </c>
      <c r="Q2340">
        <v>0</v>
      </c>
      <c r="R2340">
        <v>0</v>
      </c>
      <c r="S2340">
        <v>1</v>
      </c>
      <c r="T2340">
        <v>1</v>
      </c>
      <c r="U2340">
        <v>1</v>
      </c>
      <c r="V2340">
        <v>0</v>
      </c>
      <c r="W2340" t="s">
        <v>1507</v>
      </c>
      <c r="AA2340">
        <v>2007</v>
      </c>
      <c r="AB2340">
        <v>9999</v>
      </c>
      <c r="AC2340" t="s">
        <v>35</v>
      </c>
    </row>
    <row r="2341" spans="1:29" ht="26.25" x14ac:dyDescent="0.25">
      <c r="A2341" s="31" t="s">
        <v>1327</v>
      </c>
      <c r="B2341" s="26" t="s">
        <v>1328</v>
      </c>
      <c r="C2341" t="s">
        <v>1329</v>
      </c>
      <c r="D2341">
        <v>1</v>
      </c>
      <c r="E2341" t="s">
        <v>218</v>
      </c>
      <c r="F2341">
        <v>2</v>
      </c>
      <c r="G2341">
        <v>2018</v>
      </c>
      <c r="I2341" s="8">
        <v>5</v>
      </c>
      <c r="J2341" t="s">
        <v>147</v>
      </c>
      <c r="K2341" t="s">
        <v>41</v>
      </c>
      <c r="O2341">
        <v>0</v>
      </c>
      <c r="P2341">
        <v>0</v>
      </c>
      <c r="Q2341">
        <v>0</v>
      </c>
      <c r="R2341">
        <v>0</v>
      </c>
      <c r="S2341">
        <v>0</v>
      </c>
      <c r="T2341">
        <v>1</v>
      </c>
      <c r="U2341">
        <v>1</v>
      </c>
      <c r="V2341">
        <v>0</v>
      </c>
      <c r="W2341" t="s">
        <v>1330</v>
      </c>
      <c r="AA2341">
        <v>2010</v>
      </c>
      <c r="AB2341">
        <v>9999</v>
      </c>
      <c r="AC2341" t="s">
        <v>1292</v>
      </c>
    </row>
    <row r="2342" spans="1:29" x14ac:dyDescent="0.25">
      <c r="A2342" s="31" t="s">
        <v>796</v>
      </c>
      <c r="B2342" s="23" t="s">
        <v>797</v>
      </c>
      <c r="C2342" t="s">
        <v>798</v>
      </c>
      <c r="D2342">
        <v>1</v>
      </c>
      <c r="E2342" t="s">
        <v>534</v>
      </c>
      <c r="F2342">
        <v>10</v>
      </c>
      <c r="G2342">
        <v>2018</v>
      </c>
      <c r="I2342" s="8">
        <v>3365.48</v>
      </c>
      <c r="J2342" t="s">
        <v>40</v>
      </c>
      <c r="K2342" t="s">
        <v>47</v>
      </c>
      <c r="O2342">
        <v>0</v>
      </c>
      <c r="P2342">
        <v>0</v>
      </c>
      <c r="Q2342">
        <v>0</v>
      </c>
      <c r="R2342">
        <v>0</v>
      </c>
      <c r="S2342">
        <v>1</v>
      </c>
      <c r="T2342">
        <v>1</v>
      </c>
      <c r="U2342">
        <v>1</v>
      </c>
      <c r="V2342">
        <v>0</v>
      </c>
      <c r="W2342" t="s">
        <v>1181</v>
      </c>
      <c r="AA2342">
        <v>2007</v>
      </c>
      <c r="AB2342">
        <v>9999</v>
      </c>
      <c r="AC2342" t="s">
        <v>35</v>
      </c>
    </row>
    <row r="2343" spans="1:29" x14ac:dyDescent="0.25">
      <c r="A2343" s="31" t="s">
        <v>800</v>
      </c>
      <c r="B2343" s="23" t="s">
        <v>801</v>
      </c>
      <c r="C2343" t="s">
        <v>802</v>
      </c>
      <c r="D2343">
        <v>1</v>
      </c>
      <c r="E2343" t="s">
        <v>442</v>
      </c>
      <c r="F2343">
        <v>4</v>
      </c>
      <c r="G2343">
        <v>2018</v>
      </c>
      <c r="I2343" s="8">
        <v>1394.71</v>
      </c>
      <c r="J2343" t="s">
        <v>89</v>
      </c>
      <c r="K2343" t="s">
        <v>47</v>
      </c>
      <c r="O2343">
        <v>0</v>
      </c>
      <c r="P2343">
        <v>0</v>
      </c>
      <c r="Q2343">
        <v>0</v>
      </c>
      <c r="R2343">
        <v>0</v>
      </c>
      <c r="S2343">
        <v>1</v>
      </c>
      <c r="T2343">
        <v>1</v>
      </c>
      <c r="U2343">
        <v>1</v>
      </c>
      <c r="V2343">
        <v>0</v>
      </c>
      <c r="W2343" t="s">
        <v>1331</v>
      </c>
      <c r="AA2343">
        <v>2007</v>
      </c>
      <c r="AB2343">
        <v>9999</v>
      </c>
      <c r="AC2343" t="s">
        <v>35</v>
      </c>
    </row>
    <row r="2344" spans="1:29" x14ac:dyDescent="0.25">
      <c r="A2344" s="31" t="s">
        <v>808</v>
      </c>
      <c r="B2344" s="23" t="s">
        <v>809</v>
      </c>
      <c r="D2344">
        <v>1</v>
      </c>
      <c r="E2344" t="s">
        <v>80</v>
      </c>
      <c r="F2344">
        <v>8</v>
      </c>
      <c r="G2344">
        <v>2018</v>
      </c>
      <c r="I2344" s="8">
        <v>21.95</v>
      </c>
      <c r="J2344" t="s">
        <v>81</v>
      </c>
      <c r="K2344" t="s">
        <v>47</v>
      </c>
      <c r="O2344">
        <v>0</v>
      </c>
      <c r="P2344">
        <v>0</v>
      </c>
      <c r="Q2344">
        <v>0</v>
      </c>
      <c r="R2344">
        <v>0</v>
      </c>
      <c r="S2344">
        <v>1</v>
      </c>
      <c r="T2344">
        <v>1</v>
      </c>
      <c r="U2344">
        <v>1</v>
      </c>
      <c r="V2344">
        <v>0</v>
      </c>
      <c r="W2344" t="s">
        <v>1184</v>
      </c>
      <c r="AA2344">
        <v>2007</v>
      </c>
      <c r="AB2344">
        <v>9999</v>
      </c>
      <c r="AC2344" t="s">
        <v>35</v>
      </c>
    </row>
    <row r="2345" spans="1:29" x14ac:dyDescent="0.25">
      <c r="A2345" s="31" t="s">
        <v>814</v>
      </c>
      <c r="B2345" s="23" t="s">
        <v>815</v>
      </c>
      <c r="D2345">
        <v>1</v>
      </c>
      <c r="E2345" t="s">
        <v>80</v>
      </c>
      <c r="F2345">
        <v>8</v>
      </c>
      <c r="G2345">
        <v>2018</v>
      </c>
      <c r="I2345" s="8">
        <v>75.5</v>
      </c>
      <c r="J2345" t="s">
        <v>81</v>
      </c>
      <c r="K2345" t="s">
        <v>32</v>
      </c>
      <c r="O2345">
        <v>0</v>
      </c>
      <c r="P2345">
        <v>0</v>
      </c>
      <c r="Q2345">
        <v>0</v>
      </c>
      <c r="R2345">
        <v>0</v>
      </c>
      <c r="S2345">
        <v>1</v>
      </c>
      <c r="T2345">
        <v>1</v>
      </c>
      <c r="U2345">
        <v>1</v>
      </c>
      <c r="V2345">
        <v>0</v>
      </c>
      <c r="W2345" t="s">
        <v>1432</v>
      </c>
      <c r="AA2345">
        <v>2007</v>
      </c>
      <c r="AB2345">
        <v>9999</v>
      </c>
      <c r="AC2345" t="s">
        <v>35</v>
      </c>
    </row>
    <row r="2346" spans="1:29" x14ac:dyDescent="0.25">
      <c r="A2346" s="31" t="s">
        <v>822</v>
      </c>
      <c r="B2346" s="23" t="s">
        <v>823</v>
      </c>
      <c r="D2346">
        <v>1</v>
      </c>
      <c r="E2346" t="s">
        <v>80</v>
      </c>
      <c r="F2346">
        <v>8</v>
      </c>
      <c r="G2346">
        <v>2018</v>
      </c>
      <c r="I2346" s="8">
        <v>238.06</v>
      </c>
      <c r="J2346" t="s">
        <v>81</v>
      </c>
      <c r="K2346" t="s">
        <v>47</v>
      </c>
      <c r="O2346">
        <v>0</v>
      </c>
      <c r="P2346">
        <v>0</v>
      </c>
      <c r="Q2346">
        <v>0</v>
      </c>
      <c r="R2346">
        <v>0</v>
      </c>
      <c r="S2346">
        <v>1</v>
      </c>
      <c r="T2346">
        <v>1</v>
      </c>
      <c r="U2346">
        <v>1</v>
      </c>
      <c r="V2346">
        <v>0</v>
      </c>
      <c r="W2346" t="s">
        <v>1187</v>
      </c>
      <c r="AA2346">
        <v>2007</v>
      </c>
      <c r="AB2346">
        <v>9999</v>
      </c>
      <c r="AC2346" t="s">
        <v>35</v>
      </c>
    </row>
    <row r="2347" spans="1:29" x14ac:dyDescent="0.25">
      <c r="A2347" s="31" t="s">
        <v>1374</v>
      </c>
      <c r="B2347" s="23" t="s">
        <v>1375</v>
      </c>
      <c r="D2347">
        <v>1</v>
      </c>
      <c r="E2347" t="s">
        <v>80</v>
      </c>
      <c r="F2347">
        <v>8</v>
      </c>
      <c r="G2347">
        <v>2018</v>
      </c>
      <c r="I2347" s="8">
        <v>17.350000000000001</v>
      </c>
      <c r="J2347" t="s">
        <v>81</v>
      </c>
      <c r="K2347" t="s">
        <v>47</v>
      </c>
      <c r="O2347">
        <v>0</v>
      </c>
      <c r="P2347">
        <v>0</v>
      </c>
      <c r="Q2347">
        <v>0</v>
      </c>
      <c r="R2347">
        <v>0</v>
      </c>
      <c r="S2347">
        <v>1</v>
      </c>
      <c r="T2347">
        <v>1</v>
      </c>
      <c r="U2347">
        <v>1</v>
      </c>
      <c r="V2347">
        <v>0</v>
      </c>
      <c r="W2347" t="s">
        <v>1376</v>
      </c>
      <c r="AA2347">
        <v>2011</v>
      </c>
      <c r="AB2347">
        <v>2023</v>
      </c>
      <c r="AC2347" t="s">
        <v>1377</v>
      </c>
    </row>
    <row r="2348" spans="1:29" x14ac:dyDescent="0.25">
      <c r="A2348" s="31" t="s">
        <v>825</v>
      </c>
      <c r="B2348" s="23" t="s">
        <v>826</v>
      </c>
      <c r="D2348">
        <v>1</v>
      </c>
      <c r="E2348" t="s">
        <v>80</v>
      </c>
      <c r="F2348">
        <v>8</v>
      </c>
      <c r="G2348">
        <v>2018</v>
      </c>
      <c r="I2348" s="8">
        <v>132.76</v>
      </c>
      <c r="J2348" t="s">
        <v>81</v>
      </c>
      <c r="K2348" t="s">
        <v>47</v>
      </c>
      <c r="O2348">
        <v>0</v>
      </c>
      <c r="P2348">
        <v>0</v>
      </c>
      <c r="Q2348">
        <v>0</v>
      </c>
      <c r="R2348">
        <v>0</v>
      </c>
      <c r="S2348">
        <v>1</v>
      </c>
      <c r="T2348">
        <v>1</v>
      </c>
      <c r="U2348">
        <v>1</v>
      </c>
      <c r="V2348">
        <v>0</v>
      </c>
      <c r="W2348" t="s">
        <v>1188</v>
      </c>
      <c r="AA2348">
        <v>2007</v>
      </c>
      <c r="AB2348">
        <v>9999</v>
      </c>
      <c r="AC2348" t="s">
        <v>35</v>
      </c>
    </row>
    <row r="2349" spans="1:29" x14ac:dyDescent="0.25">
      <c r="A2349" s="31" t="s">
        <v>828</v>
      </c>
      <c r="B2349" s="25" t="s">
        <v>1408</v>
      </c>
      <c r="C2349" t="s">
        <v>1409</v>
      </c>
      <c r="D2349">
        <v>1</v>
      </c>
      <c r="E2349" t="s">
        <v>80</v>
      </c>
      <c r="F2349">
        <v>8</v>
      </c>
      <c r="G2349">
        <v>2018</v>
      </c>
      <c r="I2349" s="8">
        <v>69.55</v>
      </c>
      <c r="J2349" t="s">
        <v>81</v>
      </c>
      <c r="K2349" t="s">
        <v>47</v>
      </c>
      <c r="O2349">
        <v>0</v>
      </c>
      <c r="P2349">
        <v>0</v>
      </c>
      <c r="Q2349">
        <v>0</v>
      </c>
      <c r="R2349">
        <v>0</v>
      </c>
      <c r="S2349">
        <v>1</v>
      </c>
      <c r="T2349">
        <v>1</v>
      </c>
      <c r="U2349">
        <v>1</v>
      </c>
      <c r="V2349">
        <v>0</v>
      </c>
      <c r="W2349" t="s">
        <v>1410</v>
      </c>
      <c r="AA2349">
        <v>2007</v>
      </c>
      <c r="AB2349">
        <v>9999</v>
      </c>
      <c r="AC2349" t="s">
        <v>35</v>
      </c>
    </row>
    <row r="2350" spans="1:29" x14ac:dyDescent="0.25">
      <c r="A2350" s="31" t="s">
        <v>831</v>
      </c>
      <c r="B2350" s="23" t="s">
        <v>832</v>
      </c>
      <c r="C2350" t="s">
        <v>833</v>
      </c>
      <c r="D2350">
        <v>1</v>
      </c>
      <c r="E2350" t="s">
        <v>38</v>
      </c>
      <c r="F2350">
        <v>4</v>
      </c>
      <c r="G2350">
        <v>2018</v>
      </c>
      <c r="H2350" t="s">
        <v>906</v>
      </c>
      <c r="I2350">
        <v>0.05</v>
      </c>
      <c r="J2350" t="s">
        <v>59</v>
      </c>
      <c r="K2350" t="s">
        <v>41</v>
      </c>
      <c r="O2350">
        <v>0</v>
      </c>
      <c r="P2350">
        <v>0</v>
      </c>
      <c r="Q2350">
        <v>0</v>
      </c>
      <c r="R2350">
        <v>0</v>
      </c>
      <c r="S2350">
        <v>0</v>
      </c>
      <c r="T2350">
        <v>0</v>
      </c>
      <c r="U2350">
        <v>0</v>
      </c>
      <c r="V2350">
        <v>0</v>
      </c>
      <c r="W2350" t="s">
        <v>1190</v>
      </c>
      <c r="AA2350">
        <v>2007</v>
      </c>
      <c r="AB2350">
        <v>9999</v>
      </c>
      <c r="AC2350" t="s">
        <v>35</v>
      </c>
    </row>
    <row r="2351" spans="1:29" x14ac:dyDescent="0.25">
      <c r="A2351" s="31" t="s">
        <v>1433</v>
      </c>
      <c r="B2351" s="23" t="s">
        <v>1434</v>
      </c>
      <c r="D2351">
        <v>1</v>
      </c>
      <c r="E2351" s="4">
        <v>133</v>
      </c>
      <c r="F2351">
        <v>1</v>
      </c>
      <c r="G2351">
        <v>2018</v>
      </c>
      <c r="I2351" s="8">
        <v>422.28</v>
      </c>
      <c r="J2351" t="s">
        <v>52</v>
      </c>
      <c r="K2351" t="s">
        <v>32</v>
      </c>
      <c r="O2351">
        <v>0</v>
      </c>
      <c r="P2351">
        <v>0</v>
      </c>
      <c r="Q2351">
        <v>0</v>
      </c>
      <c r="R2351">
        <v>0</v>
      </c>
      <c r="S2351">
        <v>1</v>
      </c>
      <c r="T2351">
        <v>1</v>
      </c>
      <c r="U2351">
        <v>1</v>
      </c>
      <c r="V2351">
        <v>0</v>
      </c>
      <c r="W2351" t="s">
        <v>1435</v>
      </c>
      <c r="AA2351">
        <v>2013</v>
      </c>
      <c r="AB2351">
        <v>9999</v>
      </c>
      <c r="AC2351" t="s">
        <v>1419</v>
      </c>
    </row>
    <row r="2352" spans="1:29" x14ac:dyDescent="0.25">
      <c r="A2352" s="31" t="s">
        <v>1194</v>
      </c>
      <c r="B2352" s="23" t="s">
        <v>1195</v>
      </c>
      <c r="D2352">
        <v>1</v>
      </c>
      <c r="E2352" t="s">
        <v>85</v>
      </c>
      <c r="F2352">
        <v>1</v>
      </c>
      <c r="G2352">
        <v>2018</v>
      </c>
      <c r="H2352" t="s">
        <v>39</v>
      </c>
      <c r="I2352">
        <v>0.25</v>
      </c>
      <c r="J2352" t="s">
        <v>52</v>
      </c>
      <c r="K2352" t="s">
        <v>41</v>
      </c>
      <c r="O2352">
        <v>0</v>
      </c>
      <c r="P2352">
        <v>0</v>
      </c>
      <c r="Q2352">
        <v>0</v>
      </c>
      <c r="R2352">
        <v>0</v>
      </c>
      <c r="S2352">
        <v>0</v>
      </c>
      <c r="T2352">
        <v>0</v>
      </c>
      <c r="U2352">
        <v>0</v>
      </c>
      <c r="V2352">
        <v>0</v>
      </c>
      <c r="W2352" t="s">
        <v>1267</v>
      </c>
      <c r="AA2352">
        <v>2008</v>
      </c>
      <c r="AB2352">
        <v>9999</v>
      </c>
      <c r="AC2352" t="s">
        <v>1054</v>
      </c>
    </row>
    <row r="2353" spans="1:29" x14ac:dyDescent="0.25">
      <c r="A2353" s="31" t="s">
        <v>1268</v>
      </c>
      <c r="B2353" s="23" t="s">
        <v>1262</v>
      </c>
      <c r="D2353">
        <v>1</v>
      </c>
      <c r="E2353" t="s">
        <v>300</v>
      </c>
      <c r="F2353">
        <v>9</v>
      </c>
      <c r="G2353">
        <v>2018</v>
      </c>
      <c r="I2353" s="8">
        <v>398.43</v>
      </c>
      <c r="J2353" t="s">
        <v>104</v>
      </c>
      <c r="K2353" t="s">
        <v>47</v>
      </c>
      <c r="O2353">
        <v>0</v>
      </c>
      <c r="P2353">
        <v>0</v>
      </c>
      <c r="Q2353">
        <v>0</v>
      </c>
      <c r="R2353">
        <v>0</v>
      </c>
      <c r="S2353">
        <v>1</v>
      </c>
      <c r="T2353">
        <v>1</v>
      </c>
      <c r="U2353">
        <v>1</v>
      </c>
      <c r="V2353">
        <v>0</v>
      </c>
      <c r="W2353" t="s">
        <v>1411</v>
      </c>
      <c r="AA2353">
        <v>2009</v>
      </c>
      <c r="AB2353">
        <v>9999</v>
      </c>
      <c r="AC2353" t="s">
        <v>1239</v>
      </c>
    </row>
    <row r="2354" spans="1:29" x14ac:dyDescent="0.25">
      <c r="A2354" s="31" t="s">
        <v>845</v>
      </c>
      <c r="B2354" s="23" t="s">
        <v>846</v>
      </c>
      <c r="C2354" t="s">
        <v>847</v>
      </c>
      <c r="D2354">
        <v>1</v>
      </c>
      <c r="E2354" t="s">
        <v>300</v>
      </c>
      <c r="F2354">
        <v>9</v>
      </c>
      <c r="G2354">
        <v>2018</v>
      </c>
      <c r="I2354" s="8">
        <v>687.91</v>
      </c>
      <c r="J2354" t="s">
        <v>104</v>
      </c>
      <c r="K2354" t="s">
        <v>47</v>
      </c>
      <c r="O2354">
        <v>0</v>
      </c>
      <c r="P2354">
        <v>0</v>
      </c>
      <c r="Q2354">
        <v>0</v>
      </c>
      <c r="R2354">
        <v>0</v>
      </c>
      <c r="S2354">
        <v>1</v>
      </c>
      <c r="T2354">
        <v>1</v>
      </c>
      <c r="U2354">
        <v>1</v>
      </c>
      <c r="V2354">
        <v>0</v>
      </c>
      <c r="W2354" t="s">
        <v>1517</v>
      </c>
      <c r="AA2354">
        <v>2007</v>
      </c>
      <c r="AB2354">
        <v>9999</v>
      </c>
      <c r="AC2354" t="s">
        <v>35</v>
      </c>
    </row>
    <row r="2355" spans="1:29" x14ac:dyDescent="0.25">
      <c r="A2355" s="31" t="s">
        <v>852</v>
      </c>
      <c r="B2355" s="23" t="s">
        <v>853</v>
      </c>
      <c r="D2355">
        <v>1</v>
      </c>
      <c r="E2355" t="s">
        <v>85</v>
      </c>
      <c r="F2355">
        <v>1</v>
      </c>
      <c r="G2355">
        <v>2018</v>
      </c>
      <c r="H2355" t="s">
        <v>837</v>
      </c>
      <c r="I2355">
        <v>0.03</v>
      </c>
      <c r="J2355" t="s">
        <v>52</v>
      </c>
      <c r="K2355" t="s">
        <v>41</v>
      </c>
      <c r="O2355">
        <v>0</v>
      </c>
      <c r="P2355">
        <v>0</v>
      </c>
      <c r="Q2355">
        <v>0</v>
      </c>
      <c r="R2355">
        <v>0</v>
      </c>
      <c r="S2355">
        <v>0</v>
      </c>
      <c r="T2355">
        <v>0</v>
      </c>
      <c r="U2355">
        <v>0</v>
      </c>
      <c r="V2355">
        <v>0</v>
      </c>
      <c r="W2355" t="s">
        <v>1191</v>
      </c>
      <c r="AA2355">
        <v>2007</v>
      </c>
      <c r="AB2355">
        <v>9999</v>
      </c>
      <c r="AC2355" t="s">
        <v>35</v>
      </c>
    </row>
    <row r="2356" spans="1:29" x14ac:dyDescent="0.25">
      <c r="A2356" s="31" t="s">
        <v>836</v>
      </c>
      <c r="B2356" s="23" t="s">
        <v>1413</v>
      </c>
      <c r="D2356">
        <v>1</v>
      </c>
      <c r="E2356" t="s">
        <v>64</v>
      </c>
      <c r="F2356">
        <v>1</v>
      </c>
      <c r="G2356">
        <v>2018</v>
      </c>
      <c r="I2356" s="8">
        <v>234.99</v>
      </c>
      <c r="J2356" t="s">
        <v>52</v>
      </c>
      <c r="K2356" t="s">
        <v>32</v>
      </c>
      <c r="O2356">
        <v>0</v>
      </c>
      <c r="P2356">
        <v>0</v>
      </c>
      <c r="Q2356">
        <v>0</v>
      </c>
      <c r="R2356">
        <v>0</v>
      </c>
      <c r="S2356">
        <v>1</v>
      </c>
      <c r="T2356">
        <v>1</v>
      </c>
      <c r="U2356">
        <v>1</v>
      </c>
      <c r="V2356">
        <v>0</v>
      </c>
      <c r="W2356" t="s">
        <v>1191</v>
      </c>
      <c r="AA2356">
        <v>2007</v>
      </c>
      <c r="AB2356">
        <v>9999</v>
      </c>
      <c r="AC2356" t="s">
        <v>35</v>
      </c>
    </row>
    <row r="2357" spans="1:29" x14ac:dyDescent="0.25">
      <c r="A2357" s="31" t="s">
        <v>862</v>
      </c>
      <c r="B2357" s="23" t="s">
        <v>863</v>
      </c>
      <c r="C2357" t="s">
        <v>864</v>
      </c>
      <c r="D2357">
        <v>1</v>
      </c>
      <c r="E2357" t="s">
        <v>442</v>
      </c>
      <c r="F2357">
        <v>4</v>
      </c>
      <c r="G2357">
        <v>2018</v>
      </c>
      <c r="I2357" s="8">
        <v>316.62</v>
      </c>
      <c r="J2357" t="s">
        <v>89</v>
      </c>
      <c r="K2357" t="s">
        <v>47</v>
      </c>
      <c r="O2357">
        <v>0</v>
      </c>
      <c r="P2357">
        <v>0</v>
      </c>
      <c r="Q2357">
        <v>0</v>
      </c>
      <c r="R2357">
        <v>0</v>
      </c>
      <c r="S2357">
        <v>1</v>
      </c>
      <c r="T2357">
        <v>1</v>
      </c>
      <c r="U2357">
        <v>1</v>
      </c>
      <c r="V2357">
        <v>0</v>
      </c>
      <c r="W2357" t="s">
        <v>1334</v>
      </c>
      <c r="AA2357">
        <v>2007</v>
      </c>
      <c r="AB2357">
        <v>9999</v>
      </c>
      <c r="AC2357" t="s">
        <v>35</v>
      </c>
    </row>
    <row r="2358" spans="1:29" x14ac:dyDescent="0.25">
      <c r="A2358" s="31" t="s">
        <v>866</v>
      </c>
      <c r="B2358" s="23" t="s">
        <v>867</v>
      </c>
      <c r="C2358" t="s">
        <v>868</v>
      </c>
      <c r="D2358">
        <v>1</v>
      </c>
      <c r="E2358" t="s">
        <v>869</v>
      </c>
      <c r="F2358">
        <v>4</v>
      </c>
      <c r="G2358">
        <v>2018</v>
      </c>
      <c r="I2358" s="8">
        <v>173.15</v>
      </c>
      <c r="J2358" t="s">
        <v>89</v>
      </c>
      <c r="K2358" t="s">
        <v>32</v>
      </c>
      <c r="O2358">
        <v>0</v>
      </c>
      <c r="P2358">
        <v>0</v>
      </c>
      <c r="Q2358">
        <v>0</v>
      </c>
      <c r="R2358">
        <v>0</v>
      </c>
      <c r="S2358">
        <v>1</v>
      </c>
      <c r="T2358">
        <v>1</v>
      </c>
      <c r="U2358">
        <v>1</v>
      </c>
      <c r="V2358">
        <v>0</v>
      </c>
      <c r="W2358" t="s">
        <v>1199</v>
      </c>
      <c r="AA2358">
        <v>2007</v>
      </c>
      <c r="AB2358">
        <v>9999</v>
      </c>
      <c r="AC2358" t="s">
        <v>35</v>
      </c>
    </row>
    <row r="2359" spans="1:29" x14ac:dyDescent="0.25">
      <c r="A2359" s="31" t="s">
        <v>1023</v>
      </c>
      <c r="B2359" s="23" t="s">
        <v>1200</v>
      </c>
      <c r="D2359">
        <v>1</v>
      </c>
      <c r="E2359" t="s">
        <v>85</v>
      </c>
      <c r="F2359">
        <v>1</v>
      </c>
      <c r="G2359">
        <v>2018</v>
      </c>
      <c r="H2359" t="s">
        <v>39</v>
      </c>
      <c r="I2359">
        <v>5</v>
      </c>
      <c r="J2359" t="s">
        <v>52</v>
      </c>
      <c r="K2359" t="s">
        <v>41</v>
      </c>
      <c r="O2359">
        <v>0</v>
      </c>
      <c r="P2359">
        <v>0</v>
      </c>
      <c r="Q2359">
        <v>0</v>
      </c>
      <c r="R2359">
        <v>0</v>
      </c>
      <c r="S2359">
        <v>0</v>
      </c>
      <c r="T2359">
        <v>0</v>
      </c>
      <c r="U2359">
        <v>0</v>
      </c>
      <c r="V2359">
        <v>0</v>
      </c>
      <c r="W2359" t="s">
        <v>1271</v>
      </c>
      <c r="AA2359">
        <v>2007</v>
      </c>
      <c r="AB2359">
        <v>9999</v>
      </c>
      <c r="AC2359" t="s">
        <v>35</v>
      </c>
    </row>
    <row r="2360" spans="1:29" x14ac:dyDescent="0.25">
      <c r="A2360" s="31" t="s">
        <v>871</v>
      </c>
      <c r="B2360" s="23" t="s">
        <v>872</v>
      </c>
      <c r="C2360" t="s">
        <v>873</v>
      </c>
      <c r="D2360">
        <v>1</v>
      </c>
      <c r="E2360" t="s">
        <v>874</v>
      </c>
      <c r="F2360">
        <v>1</v>
      </c>
      <c r="G2360">
        <v>2018</v>
      </c>
      <c r="I2360" s="8">
        <v>1091.8900000000001</v>
      </c>
      <c r="J2360" t="s">
        <v>52</v>
      </c>
      <c r="K2360" t="s">
        <v>47</v>
      </c>
      <c r="O2360">
        <v>0</v>
      </c>
      <c r="P2360">
        <v>0</v>
      </c>
      <c r="Q2360">
        <v>0</v>
      </c>
      <c r="R2360">
        <v>0</v>
      </c>
      <c r="S2360">
        <v>1</v>
      </c>
      <c r="T2360">
        <v>1</v>
      </c>
      <c r="U2360">
        <v>1</v>
      </c>
      <c r="V2360">
        <v>0</v>
      </c>
      <c r="W2360" t="s">
        <v>1528</v>
      </c>
      <c r="AA2360">
        <v>2007</v>
      </c>
      <c r="AB2360">
        <v>9999</v>
      </c>
      <c r="AC2360" t="s">
        <v>35</v>
      </c>
    </row>
    <row r="2361" spans="1:29" x14ac:dyDescent="0.25">
      <c r="A2361" s="31" t="s">
        <v>876</v>
      </c>
      <c r="B2361" s="23" t="s">
        <v>877</v>
      </c>
      <c r="C2361" t="s">
        <v>878</v>
      </c>
      <c r="D2361">
        <v>1</v>
      </c>
      <c r="E2361" t="s">
        <v>168</v>
      </c>
      <c r="F2361">
        <v>1</v>
      </c>
      <c r="G2361">
        <v>2018</v>
      </c>
      <c r="I2361" s="8">
        <v>63.7</v>
      </c>
      <c r="J2361" t="s">
        <v>52</v>
      </c>
      <c r="K2361" t="s">
        <v>47</v>
      </c>
      <c r="O2361">
        <v>0</v>
      </c>
      <c r="P2361">
        <v>0</v>
      </c>
      <c r="Q2361">
        <v>0</v>
      </c>
      <c r="R2361">
        <v>0</v>
      </c>
      <c r="S2361">
        <v>1</v>
      </c>
      <c r="T2361">
        <v>1</v>
      </c>
      <c r="U2361">
        <v>1</v>
      </c>
      <c r="V2361">
        <v>0</v>
      </c>
      <c r="W2361" t="s">
        <v>1202</v>
      </c>
      <c r="AA2361">
        <v>2007</v>
      </c>
      <c r="AB2361">
        <v>9999</v>
      </c>
      <c r="AC2361" t="s">
        <v>35</v>
      </c>
    </row>
    <row r="2362" spans="1:29" x14ac:dyDescent="0.25">
      <c r="A2362" s="31" t="s">
        <v>1468</v>
      </c>
      <c r="B2362" s="24" t="s">
        <v>1469</v>
      </c>
      <c r="D2362">
        <v>1</v>
      </c>
      <c r="E2362" s="4">
        <v>941</v>
      </c>
      <c r="F2362">
        <v>9</v>
      </c>
      <c r="G2362">
        <v>2018</v>
      </c>
      <c r="I2362" s="8">
        <v>195.08</v>
      </c>
      <c r="J2362" t="s">
        <v>104</v>
      </c>
      <c r="K2362" t="s">
        <v>53</v>
      </c>
      <c r="L2362" t="s">
        <v>105</v>
      </c>
      <c r="O2362">
        <v>0</v>
      </c>
      <c r="P2362">
        <v>1</v>
      </c>
      <c r="Q2362">
        <v>0</v>
      </c>
      <c r="R2362">
        <v>0</v>
      </c>
      <c r="S2362">
        <v>1</v>
      </c>
      <c r="T2362">
        <v>1</v>
      </c>
      <c r="U2362">
        <v>1</v>
      </c>
      <c r="V2362">
        <v>0</v>
      </c>
      <c r="W2362" t="s">
        <v>106</v>
      </c>
      <c r="AA2362">
        <v>2014</v>
      </c>
      <c r="AB2362">
        <v>9999</v>
      </c>
      <c r="AC2362" t="s">
        <v>1449</v>
      </c>
    </row>
    <row r="2363" spans="1:29" x14ac:dyDescent="0.25">
      <c r="A2363" s="31" t="s">
        <v>880</v>
      </c>
      <c r="B2363" s="23" t="s">
        <v>881</v>
      </c>
      <c r="C2363" t="s">
        <v>882</v>
      </c>
      <c r="D2363">
        <v>1</v>
      </c>
      <c r="E2363" t="s">
        <v>103</v>
      </c>
      <c r="F2363">
        <v>9</v>
      </c>
      <c r="G2363">
        <v>2018</v>
      </c>
      <c r="I2363" s="8">
        <v>4856.41</v>
      </c>
      <c r="J2363" t="s">
        <v>104</v>
      </c>
      <c r="K2363" t="s">
        <v>53</v>
      </c>
      <c r="L2363" t="s">
        <v>105</v>
      </c>
      <c r="O2363">
        <v>0</v>
      </c>
      <c r="P2363">
        <v>1</v>
      </c>
      <c r="Q2363">
        <v>0</v>
      </c>
      <c r="R2363">
        <v>0</v>
      </c>
      <c r="S2363">
        <v>1</v>
      </c>
      <c r="T2363">
        <v>1</v>
      </c>
      <c r="U2363">
        <v>1</v>
      </c>
      <c r="V2363">
        <v>0</v>
      </c>
      <c r="W2363" t="s">
        <v>106</v>
      </c>
      <c r="AA2363">
        <v>2007</v>
      </c>
      <c r="AB2363">
        <v>9999</v>
      </c>
      <c r="AC2363" t="s">
        <v>35</v>
      </c>
    </row>
    <row r="2364" spans="1:29" x14ac:dyDescent="0.25">
      <c r="A2364" s="31" t="s">
        <v>1272</v>
      </c>
      <c r="B2364" s="23" t="s">
        <v>1273</v>
      </c>
      <c r="D2364">
        <v>1</v>
      </c>
      <c r="E2364" t="s">
        <v>1274</v>
      </c>
      <c r="F2364">
        <v>4</v>
      </c>
      <c r="G2364">
        <v>2018</v>
      </c>
      <c r="I2364" s="8">
        <v>266.54000000000002</v>
      </c>
      <c r="J2364" t="s">
        <v>1471</v>
      </c>
      <c r="K2364" t="s">
        <v>47</v>
      </c>
      <c r="O2364">
        <v>0</v>
      </c>
      <c r="P2364">
        <v>0</v>
      </c>
      <c r="Q2364">
        <v>0</v>
      </c>
      <c r="R2364">
        <v>0</v>
      </c>
      <c r="S2364">
        <v>1</v>
      </c>
      <c r="T2364">
        <v>1</v>
      </c>
      <c r="U2364">
        <v>1</v>
      </c>
      <c r="V2364">
        <v>0</v>
      </c>
      <c r="W2364" t="s">
        <v>1275</v>
      </c>
      <c r="AA2364">
        <v>2009</v>
      </c>
      <c r="AB2364">
        <v>9999</v>
      </c>
      <c r="AC2364" t="s">
        <v>1239</v>
      </c>
    </row>
    <row r="2365" spans="1:29" x14ac:dyDescent="0.25">
      <c r="A2365" s="31" t="s">
        <v>883</v>
      </c>
      <c r="B2365" s="23" t="s">
        <v>884</v>
      </c>
      <c r="C2365" t="s">
        <v>885</v>
      </c>
      <c r="D2365">
        <v>1</v>
      </c>
      <c r="E2365" t="s">
        <v>45</v>
      </c>
      <c r="F2365">
        <v>4</v>
      </c>
      <c r="G2365">
        <v>2018</v>
      </c>
      <c r="I2365" s="8">
        <v>107.95</v>
      </c>
      <c r="J2365" t="s">
        <v>176</v>
      </c>
      <c r="K2365" t="s">
        <v>47</v>
      </c>
      <c r="O2365">
        <v>0</v>
      </c>
      <c r="P2365">
        <v>0</v>
      </c>
      <c r="Q2365">
        <v>0</v>
      </c>
      <c r="R2365">
        <v>0</v>
      </c>
      <c r="S2365">
        <v>1</v>
      </c>
      <c r="T2365">
        <v>1</v>
      </c>
      <c r="U2365">
        <v>1</v>
      </c>
      <c r="V2365">
        <v>0</v>
      </c>
      <c r="W2365" t="s">
        <v>1335</v>
      </c>
      <c r="AA2365">
        <v>2007</v>
      </c>
      <c r="AB2365">
        <v>9999</v>
      </c>
      <c r="AC2365" t="s">
        <v>35</v>
      </c>
    </row>
    <row r="2366" spans="1:29" x14ac:dyDescent="0.25">
      <c r="A2366" s="31" t="s">
        <v>887</v>
      </c>
      <c r="B2366" s="23" t="s">
        <v>888</v>
      </c>
      <c r="C2366" t="s">
        <v>889</v>
      </c>
      <c r="D2366">
        <v>1</v>
      </c>
      <c r="E2366" t="s">
        <v>335</v>
      </c>
      <c r="F2366">
        <v>1</v>
      </c>
      <c r="G2366">
        <v>2018</v>
      </c>
      <c r="I2366" s="8">
        <v>518.74</v>
      </c>
      <c r="J2366" t="s">
        <v>176</v>
      </c>
      <c r="K2366" t="s">
        <v>32</v>
      </c>
      <c r="O2366">
        <v>0</v>
      </c>
      <c r="P2366">
        <v>0</v>
      </c>
      <c r="Q2366">
        <v>0</v>
      </c>
      <c r="R2366">
        <v>0</v>
      </c>
      <c r="S2366">
        <v>1</v>
      </c>
      <c r="T2366">
        <v>1</v>
      </c>
      <c r="U2366">
        <v>1</v>
      </c>
      <c r="V2366">
        <v>0</v>
      </c>
      <c r="W2366" t="s">
        <v>1381</v>
      </c>
      <c r="AA2366">
        <v>2007</v>
      </c>
      <c r="AB2366">
        <v>9999</v>
      </c>
      <c r="AC2366" t="s">
        <v>35</v>
      </c>
    </row>
    <row r="2367" spans="1:29" x14ac:dyDescent="0.25">
      <c r="A2367" s="31" t="s">
        <v>894</v>
      </c>
      <c r="B2367" s="23" t="s">
        <v>895</v>
      </c>
      <c r="D2367">
        <v>1</v>
      </c>
      <c r="E2367" t="s">
        <v>38</v>
      </c>
      <c r="F2367">
        <v>4</v>
      </c>
      <c r="G2367">
        <v>2018</v>
      </c>
      <c r="H2367" t="s">
        <v>715</v>
      </c>
      <c r="I2367">
        <v>0.13</v>
      </c>
      <c r="J2367" s="2" t="s">
        <v>89</v>
      </c>
      <c r="K2367" t="s">
        <v>53</v>
      </c>
      <c r="L2367" t="s">
        <v>53</v>
      </c>
      <c r="O2367">
        <v>0</v>
      </c>
      <c r="P2367">
        <v>0</v>
      </c>
      <c r="Q2367">
        <v>0</v>
      </c>
      <c r="R2367">
        <v>0</v>
      </c>
      <c r="S2367">
        <v>0</v>
      </c>
      <c r="T2367">
        <v>0</v>
      </c>
      <c r="U2367">
        <v>0</v>
      </c>
      <c r="V2367">
        <v>0</v>
      </c>
      <c r="W2367" t="s">
        <v>897</v>
      </c>
      <c r="AA2367">
        <v>2007</v>
      </c>
      <c r="AB2367">
        <v>9999</v>
      </c>
      <c r="AC2367" t="s">
        <v>35</v>
      </c>
    </row>
    <row r="2368" spans="1:29" x14ac:dyDescent="0.25">
      <c r="A2368" s="31" t="s">
        <v>900</v>
      </c>
      <c r="B2368" s="23" t="s">
        <v>901</v>
      </c>
      <c r="D2368">
        <v>1</v>
      </c>
      <c r="E2368" t="s">
        <v>38</v>
      </c>
      <c r="F2368">
        <v>4</v>
      </c>
      <c r="G2368">
        <v>2018</v>
      </c>
      <c r="H2368" t="s">
        <v>596</v>
      </c>
      <c r="I2368">
        <v>0.5</v>
      </c>
      <c r="J2368" t="s">
        <v>89</v>
      </c>
      <c r="K2368" t="s">
        <v>53</v>
      </c>
      <c r="L2368" t="s">
        <v>902</v>
      </c>
      <c r="O2368">
        <v>0</v>
      </c>
      <c r="P2368">
        <v>0</v>
      </c>
      <c r="Q2368">
        <v>0</v>
      </c>
      <c r="R2368">
        <v>0</v>
      </c>
      <c r="S2368">
        <v>0</v>
      </c>
      <c r="T2368">
        <v>0</v>
      </c>
      <c r="U2368">
        <v>0</v>
      </c>
      <c r="V2368">
        <v>0</v>
      </c>
      <c r="W2368" t="s">
        <v>903</v>
      </c>
      <c r="AA2368">
        <v>2007</v>
      </c>
      <c r="AB2368">
        <v>9999</v>
      </c>
      <c r="AC2368" t="s">
        <v>35</v>
      </c>
    </row>
    <row r="2369" spans="1:29" x14ac:dyDescent="0.25">
      <c r="A2369" s="31" t="s">
        <v>904</v>
      </c>
      <c r="B2369" s="23" t="s">
        <v>1436</v>
      </c>
      <c r="D2369">
        <v>1</v>
      </c>
      <c r="E2369" t="s">
        <v>38</v>
      </c>
      <c r="F2369">
        <v>4</v>
      </c>
      <c r="G2369">
        <v>2018</v>
      </c>
      <c r="H2369" t="s">
        <v>906</v>
      </c>
      <c r="I2369">
        <v>0.5</v>
      </c>
      <c r="J2369" t="s">
        <v>59</v>
      </c>
      <c r="K2369" t="s">
        <v>53</v>
      </c>
      <c r="L2369" t="s">
        <v>902</v>
      </c>
      <c r="O2369">
        <v>0</v>
      </c>
      <c r="P2369">
        <v>0</v>
      </c>
      <c r="Q2369">
        <v>0</v>
      </c>
      <c r="R2369">
        <v>0</v>
      </c>
      <c r="S2369">
        <v>0</v>
      </c>
      <c r="T2369">
        <v>0</v>
      </c>
      <c r="U2369">
        <v>0</v>
      </c>
      <c r="V2369">
        <v>0</v>
      </c>
      <c r="W2369" t="s">
        <v>907</v>
      </c>
      <c r="AA2369">
        <v>2007</v>
      </c>
      <c r="AB2369">
        <v>9999</v>
      </c>
      <c r="AC2369" t="s">
        <v>35</v>
      </c>
    </row>
    <row r="2370" spans="1:29" x14ac:dyDescent="0.25">
      <c r="A2370" s="31" t="s">
        <v>908</v>
      </c>
      <c r="B2370" s="23" t="s">
        <v>909</v>
      </c>
      <c r="C2370" t="s">
        <v>910</v>
      </c>
      <c r="D2370">
        <v>1</v>
      </c>
      <c r="E2370" t="s">
        <v>911</v>
      </c>
      <c r="F2370">
        <v>1</v>
      </c>
      <c r="G2370">
        <v>2018</v>
      </c>
      <c r="I2370" s="8">
        <v>120.94</v>
      </c>
      <c r="J2370" t="s">
        <v>176</v>
      </c>
      <c r="K2370" t="s">
        <v>47</v>
      </c>
      <c r="O2370">
        <v>0</v>
      </c>
      <c r="P2370">
        <v>0</v>
      </c>
      <c r="Q2370">
        <v>0</v>
      </c>
      <c r="R2370">
        <v>0</v>
      </c>
      <c r="S2370">
        <v>1</v>
      </c>
      <c r="T2370">
        <v>1</v>
      </c>
      <c r="U2370">
        <v>1</v>
      </c>
      <c r="V2370">
        <v>0</v>
      </c>
      <c r="W2370" t="s">
        <v>1518</v>
      </c>
      <c r="AA2370">
        <v>2007</v>
      </c>
      <c r="AB2370">
        <v>9999</v>
      </c>
      <c r="AC2370" t="s">
        <v>35</v>
      </c>
    </row>
    <row r="2371" spans="1:29" x14ac:dyDescent="0.25">
      <c r="A2371" s="31" t="s">
        <v>913</v>
      </c>
      <c r="B2371" s="23" t="s">
        <v>914</v>
      </c>
      <c r="C2371" t="s">
        <v>915</v>
      </c>
      <c r="D2371">
        <v>1</v>
      </c>
      <c r="E2371" t="s">
        <v>911</v>
      </c>
      <c r="F2371">
        <v>1</v>
      </c>
      <c r="G2371">
        <v>2018</v>
      </c>
      <c r="I2371" s="8">
        <v>11.1</v>
      </c>
      <c r="J2371" t="s">
        <v>268</v>
      </c>
      <c r="K2371" t="s">
        <v>47</v>
      </c>
      <c r="O2371">
        <v>0</v>
      </c>
      <c r="P2371">
        <v>0</v>
      </c>
      <c r="Q2371">
        <v>0</v>
      </c>
      <c r="R2371">
        <v>0</v>
      </c>
      <c r="S2371">
        <v>1</v>
      </c>
      <c r="T2371">
        <v>1</v>
      </c>
      <c r="U2371">
        <v>1</v>
      </c>
      <c r="V2371">
        <v>0</v>
      </c>
      <c r="W2371" t="s">
        <v>1276</v>
      </c>
      <c r="AA2371">
        <v>2007</v>
      </c>
      <c r="AB2371">
        <v>9999</v>
      </c>
      <c r="AC2371" t="s">
        <v>35</v>
      </c>
    </row>
    <row r="2372" spans="1:29" x14ac:dyDescent="0.25">
      <c r="A2372" s="31" t="s">
        <v>1529</v>
      </c>
      <c r="B2372" s="23" t="s">
        <v>1530</v>
      </c>
      <c r="D2372">
        <v>1</v>
      </c>
      <c r="F2372">
        <v>8</v>
      </c>
      <c r="G2372">
        <v>2018</v>
      </c>
      <c r="I2372">
        <v>0</v>
      </c>
      <c r="J2372" t="s">
        <v>81</v>
      </c>
      <c r="K2372" t="s">
        <v>32</v>
      </c>
      <c r="O2372">
        <v>0</v>
      </c>
      <c r="P2372">
        <v>0</v>
      </c>
      <c r="Q2372">
        <v>0</v>
      </c>
      <c r="R2372">
        <v>0</v>
      </c>
      <c r="S2372">
        <v>0</v>
      </c>
      <c r="T2372">
        <v>0</v>
      </c>
      <c r="U2372">
        <v>1</v>
      </c>
      <c r="V2372">
        <v>0</v>
      </c>
      <c r="W2372" t="s">
        <v>1531</v>
      </c>
      <c r="AA2372">
        <v>2017</v>
      </c>
      <c r="AB2372">
        <v>9999</v>
      </c>
      <c r="AC2372" t="s">
        <v>1532</v>
      </c>
    </row>
    <row r="2373" spans="1:29" x14ac:dyDescent="0.25">
      <c r="A2373" s="31" t="s">
        <v>97</v>
      </c>
      <c r="B2373" s="23" t="s">
        <v>99</v>
      </c>
      <c r="C2373" t="s">
        <v>923</v>
      </c>
      <c r="D2373">
        <v>1</v>
      </c>
      <c r="E2373" t="s">
        <v>45</v>
      </c>
      <c r="F2373">
        <v>4</v>
      </c>
      <c r="G2373">
        <v>2018</v>
      </c>
      <c r="I2373" s="8">
        <v>228.92</v>
      </c>
      <c r="J2373" t="s">
        <v>89</v>
      </c>
      <c r="K2373" t="s">
        <v>47</v>
      </c>
      <c r="O2373">
        <v>0</v>
      </c>
      <c r="P2373">
        <v>0</v>
      </c>
      <c r="Q2373">
        <v>0</v>
      </c>
      <c r="R2373">
        <v>0</v>
      </c>
      <c r="S2373">
        <v>1</v>
      </c>
      <c r="T2373">
        <v>1</v>
      </c>
      <c r="U2373">
        <v>1</v>
      </c>
      <c r="V2373">
        <v>0</v>
      </c>
      <c r="W2373" t="s">
        <v>1277</v>
      </c>
      <c r="AA2373">
        <v>2007</v>
      </c>
      <c r="AB2373">
        <v>9999</v>
      </c>
      <c r="AC2373" t="s">
        <v>35</v>
      </c>
    </row>
    <row r="2374" spans="1:29" x14ac:dyDescent="0.25">
      <c r="A2374" s="31" t="s">
        <v>925</v>
      </c>
      <c r="B2374" s="23" t="s">
        <v>926</v>
      </c>
      <c r="C2374" t="s">
        <v>927</v>
      </c>
      <c r="D2374">
        <v>1</v>
      </c>
      <c r="E2374" t="s">
        <v>103</v>
      </c>
      <c r="F2374">
        <v>9</v>
      </c>
      <c r="G2374">
        <v>2018</v>
      </c>
      <c r="I2374" s="8">
        <v>2936.61</v>
      </c>
      <c r="J2374" t="s">
        <v>89</v>
      </c>
      <c r="K2374" t="s">
        <v>53</v>
      </c>
      <c r="L2374" t="s">
        <v>105</v>
      </c>
      <c r="O2374">
        <v>0</v>
      </c>
      <c r="P2374">
        <v>1</v>
      </c>
      <c r="Q2374">
        <v>0</v>
      </c>
      <c r="R2374">
        <v>0</v>
      </c>
      <c r="S2374">
        <v>1</v>
      </c>
      <c r="T2374">
        <v>1</v>
      </c>
      <c r="U2374">
        <v>1</v>
      </c>
      <c r="V2374">
        <v>0</v>
      </c>
      <c r="W2374" t="s">
        <v>928</v>
      </c>
      <c r="AA2374">
        <v>2007</v>
      </c>
      <c r="AB2374">
        <v>9999</v>
      </c>
      <c r="AC2374" t="s">
        <v>35</v>
      </c>
    </row>
    <row r="2375" spans="1:29" x14ac:dyDescent="0.25">
      <c r="A2375" s="31" t="s">
        <v>929</v>
      </c>
      <c r="B2375" s="23" t="s">
        <v>930</v>
      </c>
      <c r="C2375" t="s">
        <v>931</v>
      </c>
      <c r="D2375">
        <v>1</v>
      </c>
      <c r="E2375" t="s">
        <v>45</v>
      </c>
      <c r="F2375">
        <v>4</v>
      </c>
      <c r="G2375">
        <v>2018</v>
      </c>
      <c r="I2375" s="8">
        <v>592.79</v>
      </c>
      <c r="J2375" t="s">
        <v>1471</v>
      </c>
      <c r="K2375" t="s">
        <v>47</v>
      </c>
      <c r="O2375">
        <v>0</v>
      </c>
      <c r="P2375">
        <v>0</v>
      </c>
      <c r="Q2375">
        <v>0</v>
      </c>
      <c r="R2375">
        <v>0</v>
      </c>
      <c r="S2375">
        <v>1</v>
      </c>
      <c r="T2375">
        <v>1</v>
      </c>
      <c r="U2375">
        <v>1</v>
      </c>
      <c r="V2375">
        <v>0</v>
      </c>
      <c r="W2375" t="s">
        <v>1336</v>
      </c>
      <c r="AA2375">
        <v>2007</v>
      </c>
      <c r="AB2375">
        <v>9999</v>
      </c>
      <c r="AC2375" t="s">
        <v>35</v>
      </c>
    </row>
    <row r="2376" spans="1:29" x14ac:dyDescent="0.25">
      <c r="A2376" s="31" t="s">
        <v>1212</v>
      </c>
      <c r="B2376" s="23" t="s">
        <v>1213</v>
      </c>
      <c r="D2376">
        <v>1</v>
      </c>
      <c r="E2376" t="s">
        <v>681</v>
      </c>
      <c r="F2376">
        <v>3</v>
      </c>
      <c r="G2376">
        <v>2018</v>
      </c>
      <c r="I2376" s="8">
        <v>12.93</v>
      </c>
      <c r="J2376" t="s">
        <v>121</v>
      </c>
      <c r="K2376" t="s">
        <v>41</v>
      </c>
      <c r="O2376">
        <v>0</v>
      </c>
      <c r="P2376">
        <v>0</v>
      </c>
      <c r="Q2376">
        <v>0</v>
      </c>
      <c r="R2376">
        <v>0</v>
      </c>
      <c r="S2376">
        <v>0</v>
      </c>
      <c r="T2376">
        <v>1</v>
      </c>
      <c r="U2376">
        <v>1</v>
      </c>
      <c r="V2376">
        <v>0</v>
      </c>
      <c r="W2376" t="s">
        <v>1278</v>
      </c>
      <c r="AA2376">
        <v>2008</v>
      </c>
      <c r="AB2376">
        <v>9999</v>
      </c>
      <c r="AC2376" t="s">
        <v>1054</v>
      </c>
    </row>
    <row r="2377" spans="1:29" x14ac:dyDescent="0.25">
      <c r="A2377" s="31" t="s">
        <v>933</v>
      </c>
      <c r="B2377" s="23" t="s">
        <v>934</v>
      </c>
      <c r="C2377" t="s">
        <v>935</v>
      </c>
      <c r="D2377">
        <v>1</v>
      </c>
      <c r="E2377" t="s">
        <v>681</v>
      </c>
      <c r="F2377">
        <v>3</v>
      </c>
      <c r="G2377">
        <v>2018</v>
      </c>
      <c r="J2377" t="s">
        <v>121</v>
      </c>
      <c r="K2377" t="s">
        <v>47</v>
      </c>
      <c r="O2377">
        <v>0</v>
      </c>
      <c r="P2377">
        <v>0</v>
      </c>
      <c r="Q2377">
        <v>0</v>
      </c>
      <c r="R2377">
        <v>0</v>
      </c>
      <c r="S2377">
        <v>1</v>
      </c>
      <c r="T2377">
        <v>1</v>
      </c>
      <c r="U2377">
        <v>1</v>
      </c>
      <c r="V2377">
        <v>0</v>
      </c>
      <c r="W2377" t="s">
        <v>1508</v>
      </c>
      <c r="AA2377">
        <v>2007</v>
      </c>
      <c r="AB2377">
        <v>9999</v>
      </c>
      <c r="AC2377" t="s">
        <v>35</v>
      </c>
    </row>
    <row r="2378" spans="1:29" x14ac:dyDescent="0.25">
      <c r="A2378" s="31" t="s">
        <v>937</v>
      </c>
      <c r="B2378" s="23" t="s">
        <v>938</v>
      </c>
      <c r="D2378">
        <v>1</v>
      </c>
      <c r="E2378" t="s">
        <v>103</v>
      </c>
      <c r="F2378">
        <v>9</v>
      </c>
      <c r="G2378">
        <v>2018</v>
      </c>
      <c r="I2378" s="8">
        <v>729.06</v>
      </c>
      <c r="J2378" t="s">
        <v>104</v>
      </c>
      <c r="K2378" t="s">
        <v>53</v>
      </c>
      <c r="L2378" t="s">
        <v>105</v>
      </c>
      <c r="O2378">
        <v>0</v>
      </c>
      <c r="P2378">
        <v>1</v>
      </c>
      <c r="Q2378">
        <v>0</v>
      </c>
      <c r="R2378">
        <v>0</v>
      </c>
      <c r="S2378">
        <v>1</v>
      </c>
      <c r="T2378">
        <v>1</v>
      </c>
      <c r="U2378">
        <v>1</v>
      </c>
      <c r="V2378">
        <v>0</v>
      </c>
      <c r="W2378" t="s">
        <v>106</v>
      </c>
      <c r="AA2378">
        <v>2007</v>
      </c>
      <c r="AB2378">
        <v>9999</v>
      </c>
      <c r="AC2378" t="s">
        <v>35</v>
      </c>
    </row>
    <row r="2379" spans="1:29" x14ac:dyDescent="0.25">
      <c r="A2379" s="31" t="s">
        <v>462</v>
      </c>
      <c r="B2379" s="23" t="s">
        <v>1414</v>
      </c>
      <c r="C2379" t="s">
        <v>1280</v>
      </c>
      <c r="D2379">
        <v>1</v>
      </c>
      <c r="E2379" t="s">
        <v>468</v>
      </c>
      <c r="F2379">
        <v>7</v>
      </c>
      <c r="G2379">
        <v>2018</v>
      </c>
      <c r="I2379" s="8">
        <v>115.89</v>
      </c>
      <c r="J2379" t="s">
        <v>40</v>
      </c>
      <c r="K2379" t="s">
        <v>47</v>
      </c>
      <c r="O2379">
        <v>0</v>
      </c>
      <c r="P2379">
        <v>0</v>
      </c>
      <c r="Q2379">
        <v>0</v>
      </c>
      <c r="R2379">
        <v>0</v>
      </c>
      <c r="S2379">
        <v>1</v>
      </c>
      <c r="T2379">
        <v>1</v>
      </c>
      <c r="U2379">
        <v>1</v>
      </c>
      <c r="V2379">
        <v>0</v>
      </c>
      <c r="W2379" t="s">
        <v>1118</v>
      </c>
      <c r="AA2379">
        <v>2007</v>
      </c>
      <c r="AB2379">
        <v>9999</v>
      </c>
      <c r="AC2379" t="s">
        <v>35</v>
      </c>
    </row>
    <row r="2380" spans="1:29" x14ac:dyDescent="0.25">
      <c r="A2380" s="31" t="s">
        <v>1337</v>
      </c>
      <c r="B2380" s="23" t="s">
        <v>1315</v>
      </c>
      <c r="D2380">
        <v>1</v>
      </c>
      <c r="E2380" t="s">
        <v>45</v>
      </c>
      <c r="F2380">
        <v>4</v>
      </c>
      <c r="G2380">
        <v>2018</v>
      </c>
      <c r="I2380" s="8">
        <v>372.40000000000003</v>
      </c>
      <c r="J2380" t="s">
        <v>89</v>
      </c>
      <c r="K2380" t="s">
        <v>32</v>
      </c>
      <c r="O2380">
        <v>0</v>
      </c>
      <c r="P2380">
        <v>0</v>
      </c>
      <c r="Q2380">
        <v>0</v>
      </c>
      <c r="R2380">
        <v>0</v>
      </c>
      <c r="S2380">
        <v>1</v>
      </c>
      <c r="T2380">
        <v>1</v>
      </c>
      <c r="U2380">
        <v>1</v>
      </c>
      <c r="V2380">
        <v>0</v>
      </c>
      <c r="W2380" t="s">
        <v>1338</v>
      </c>
      <c r="AA2380">
        <v>2010</v>
      </c>
      <c r="AB2380">
        <v>9999</v>
      </c>
      <c r="AC2380" t="s">
        <v>1292</v>
      </c>
    </row>
    <row r="2381" spans="1:29" x14ac:dyDescent="0.25">
      <c r="A2381" s="31" t="s">
        <v>1509</v>
      </c>
      <c r="B2381" s="23" t="s">
        <v>946</v>
      </c>
      <c r="D2381">
        <v>48</v>
      </c>
      <c r="E2381" t="s">
        <v>155</v>
      </c>
      <c r="F2381">
        <v>3</v>
      </c>
      <c r="G2381">
        <v>2018</v>
      </c>
      <c r="I2381">
        <v>2902.4762600500003</v>
      </c>
      <c r="J2381" t="s">
        <v>121</v>
      </c>
      <c r="K2381" t="s">
        <v>53</v>
      </c>
      <c r="L2381" t="s">
        <v>60</v>
      </c>
      <c r="O2381">
        <v>1</v>
      </c>
      <c r="P2381">
        <v>0</v>
      </c>
      <c r="Q2381">
        <v>0</v>
      </c>
      <c r="R2381">
        <v>0</v>
      </c>
      <c r="S2381">
        <v>1</v>
      </c>
      <c r="T2381">
        <v>0</v>
      </c>
      <c r="U2381">
        <v>0</v>
      </c>
      <c r="V2381">
        <v>1</v>
      </c>
      <c r="W2381" t="s">
        <v>947</v>
      </c>
      <c r="AA2381">
        <v>2007</v>
      </c>
      <c r="AB2381">
        <v>9999</v>
      </c>
      <c r="AC2381" t="s">
        <v>35</v>
      </c>
    </row>
    <row r="2382" spans="1:29" x14ac:dyDescent="0.25">
      <c r="A2382" s="31" t="s">
        <v>950</v>
      </c>
      <c r="B2382" s="23" t="s">
        <v>951</v>
      </c>
      <c r="C2382" t="s">
        <v>952</v>
      </c>
      <c r="D2382">
        <v>1</v>
      </c>
      <c r="E2382" t="s">
        <v>218</v>
      </c>
      <c r="F2382">
        <v>2</v>
      </c>
      <c r="G2382">
        <v>2018</v>
      </c>
      <c r="I2382" s="8">
        <v>820.35</v>
      </c>
      <c r="J2382" t="s">
        <v>147</v>
      </c>
      <c r="K2382" t="s">
        <v>32</v>
      </c>
      <c r="O2382">
        <v>0</v>
      </c>
      <c r="P2382">
        <v>0</v>
      </c>
      <c r="Q2382">
        <v>0</v>
      </c>
      <c r="R2382">
        <v>0</v>
      </c>
      <c r="S2382">
        <v>1</v>
      </c>
      <c r="T2382">
        <v>1</v>
      </c>
      <c r="U2382">
        <v>1</v>
      </c>
      <c r="V2382">
        <v>0</v>
      </c>
      <c r="W2382" t="s">
        <v>1216</v>
      </c>
      <c r="AA2382">
        <v>2007</v>
      </c>
      <c r="AB2382">
        <v>9999</v>
      </c>
      <c r="AC2382" t="s">
        <v>35</v>
      </c>
    </row>
    <row r="2383" spans="1:29" x14ac:dyDescent="0.25">
      <c r="A2383" s="31" t="s">
        <v>954</v>
      </c>
      <c r="B2383" s="23" t="s">
        <v>1383</v>
      </c>
      <c r="C2383" t="s">
        <v>956</v>
      </c>
      <c r="D2383">
        <v>1</v>
      </c>
      <c r="E2383" t="s">
        <v>218</v>
      </c>
      <c r="F2383">
        <v>2</v>
      </c>
      <c r="G2383">
        <v>2018</v>
      </c>
      <c r="I2383" s="8">
        <v>154.80000000000001</v>
      </c>
      <c r="J2383" t="s">
        <v>147</v>
      </c>
      <c r="K2383" t="s">
        <v>47</v>
      </c>
      <c r="O2383">
        <v>0</v>
      </c>
      <c r="P2383">
        <v>0</v>
      </c>
      <c r="Q2383">
        <v>0</v>
      </c>
      <c r="R2383">
        <v>0</v>
      </c>
      <c r="S2383">
        <v>1</v>
      </c>
      <c r="T2383">
        <v>1</v>
      </c>
      <c r="U2383">
        <v>1</v>
      </c>
      <c r="V2383">
        <v>0</v>
      </c>
      <c r="W2383" t="s">
        <v>1384</v>
      </c>
      <c r="AA2383">
        <v>2007</v>
      </c>
      <c r="AB2383">
        <v>9999</v>
      </c>
      <c r="AC2383" t="s">
        <v>35</v>
      </c>
    </row>
    <row r="2384" spans="1:29" x14ac:dyDescent="0.25">
      <c r="A2384" s="31" t="s">
        <v>1385</v>
      </c>
      <c r="B2384" s="23" t="s">
        <v>1386</v>
      </c>
      <c r="D2384">
        <v>1</v>
      </c>
      <c r="E2384" t="s">
        <v>874</v>
      </c>
      <c r="F2384">
        <v>1</v>
      </c>
      <c r="G2384">
        <v>2018</v>
      </c>
      <c r="I2384" s="8">
        <v>36.35</v>
      </c>
      <c r="J2384" t="s">
        <v>89</v>
      </c>
      <c r="K2384" t="s">
        <v>47</v>
      </c>
      <c r="O2384">
        <v>0</v>
      </c>
      <c r="P2384">
        <v>0</v>
      </c>
      <c r="Q2384">
        <v>0</v>
      </c>
      <c r="R2384">
        <v>0</v>
      </c>
      <c r="S2384">
        <v>1</v>
      </c>
      <c r="T2384">
        <v>1</v>
      </c>
      <c r="U2384">
        <v>1</v>
      </c>
      <c r="V2384">
        <v>0</v>
      </c>
      <c r="W2384" t="s">
        <v>1387</v>
      </c>
      <c r="AA2384">
        <v>2011</v>
      </c>
      <c r="AB2384">
        <v>9999</v>
      </c>
      <c r="AC2384" t="s">
        <v>1365</v>
      </c>
    </row>
    <row r="2385" spans="1:29" x14ac:dyDescent="0.25">
      <c r="A2385" s="31" t="s">
        <v>1388</v>
      </c>
      <c r="B2385" s="23" t="s">
        <v>1389</v>
      </c>
      <c r="D2385">
        <v>1</v>
      </c>
      <c r="E2385" t="s">
        <v>1390</v>
      </c>
      <c r="F2385">
        <v>4</v>
      </c>
      <c r="G2385">
        <v>2018</v>
      </c>
      <c r="I2385" s="8">
        <v>7304.31</v>
      </c>
      <c r="J2385" t="s">
        <v>89</v>
      </c>
      <c r="K2385" t="s">
        <v>32</v>
      </c>
      <c r="O2385">
        <v>0</v>
      </c>
      <c r="P2385">
        <v>0</v>
      </c>
      <c r="Q2385">
        <v>0</v>
      </c>
      <c r="R2385">
        <v>0</v>
      </c>
      <c r="S2385">
        <v>1</v>
      </c>
      <c r="T2385">
        <v>1</v>
      </c>
      <c r="U2385">
        <v>1</v>
      </c>
      <c r="V2385">
        <v>0</v>
      </c>
      <c r="W2385" t="s">
        <v>1391</v>
      </c>
      <c r="AA2385">
        <v>2011</v>
      </c>
      <c r="AB2385">
        <v>9999</v>
      </c>
      <c r="AC2385" t="s">
        <v>1365</v>
      </c>
    </row>
    <row r="2386" spans="1:29" x14ac:dyDescent="0.25">
      <c r="A2386" s="31" t="s">
        <v>1281</v>
      </c>
      <c r="B2386" s="23" t="s">
        <v>1282</v>
      </c>
      <c r="D2386">
        <v>1</v>
      </c>
      <c r="E2386" t="s">
        <v>625</v>
      </c>
      <c r="F2386">
        <v>4</v>
      </c>
      <c r="G2386">
        <v>2018</v>
      </c>
      <c r="I2386" s="8">
        <v>1785.93</v>
      </c>
      <c r="J2386" t="s">
        <v>89</v>
      </c>
      <c r="K2386" t="s">
        <v>32</v>
      </c>
      <c r="O2386">
        <v>0</v>
      </c>
      <c r="P2386">
        <v>0</v>
      </c>
      <c r="Q2386">
        <v>0</v>
      </c>
      <c r="R2386">
        <v>0</v>
      </c>
      <c r="S2386">
        <v>1</v>
      </c>
      <c r="T2386">
        <v>1</v>
      </c>
      <c r="U2386">
        <v>1</v>
      </c>
      <c r="V2386">
        <v>0</v>
      </c>
      <c r="W2386" t="s">
        <v>1283</v>
      </c>
      <c r="AA2386">
        <v>2009</v>
      </c>
      <c r="AB2386">
        <v>9999</v>
      </c>
      <c r="AC2386" t="s">
        <v>1239</v>
      </c>
    </row>
    <row r="2387" spans="1:29" x14ac:dyDescent="0.25">
      <c r="A2387" s="31" t="s">
        <v>958</v>
      </c>
      <c r="B2387" s="25" t="s">
        <v>959</v>
      </c>
      <c r="D2387">
        <v>1</v>
      </c>
      <c r="E2387" t="s">
        <v>51</v>
      </c>
      <c r="F2387">
        <v>1</v>
      </c>
      <c r="G2387">
        <v>2018</v>
      </c>
      <c r="I2387">
        <v>56</v>
      </c>
      <c r="J2387" t="s">
        <v>52</v>
      </c>
      <c r="K2387" t="s">
        <v>53</v>
      </c>
      <c r="L2387" t="s">
        <v>54</v>
      </c>
      <c r="O2387">
        <v>0</v>
      </c>
      <c r="P2387">
        <v>0</v>
      </c>
      <c r="Q2387">
        <v>1</v>
      </c>
      <c r="R2387">
        <v>0</v>
      </c>
      <c r="S2387">
        <v>0</v>
      </c>
      <c r="T2387">
        <v>0</v>
      </c>
      <c r="U2387">
        <v>1</v>
      </c>
      <c r="V2387">
        <v>0</v>
      </c>
      <c r="W2387" t="s">
        <v>55</v>
      </c>
      <c r="AA2387">
        <v>2007</v>
      </c>
      <c r="AB2387">
        <v>9999</v>
      </c>
      <c r="AC2387" t="s">
        <v>35</v>
      </c>
    </row>
    <row r="2388" spans="1:29" x14ac:dyDescent="0.25">
      <c r="A2388" s="31" t="s">
        <v>960</v>
      </c>
      <c r="B2388" s="23" t="s">
        <v>961</v>
      </c>
      <c r="D2388">
        <v>1</v>
      </c>
      <c r="E2388" t="s">
        <v>168</v>
      </c>
      <c r="F2388">
        <v>1</v>
      </c>
      <c r="G2388">
        <v>2018</v>
      </c>
      <c r="I2388" s="8">
        <v>1865.43</v>
      </c>
      <c r="J2388" t="s">
        <v>52</v>
      </c>
      <c r="K2388" t="s">
        <v>47</v>
      </c>
      <c r="O2388">
        <v>0</v>
      </c>
      <c r="P2388">
        <v>0</v>
      </c>
      <c r="Q2388">
        <v>0</v>
      </c>
      <c r="R2388">
        <v>0</v>
      </c>
      <c r="S2388">
        <v>1</v>
      </c>
      <c r="T2388">
        <v>1</v>
      </c>
      <c r="U2388">
        <v>1</v>
      </c>
      <c r="V2388">
        <v>0</v>
      </c>
      <c r="W2388" t="s">
        <v>1533</v>
      </c>
      <c r="AA2388">
        <v>2007</v>
      </c>
      <c r="AB2388">
        <v>9999</v>
      </c>
      <c r="AC2388" t="s">
        <v>35</v>
      </c>
    </row>
    <row r="2389" spans="1:29" x14ac:dyDescent="0.25">
      <c r="A2389" s="31" t="s">
        <v>963</v>
      </c>
      <c r="B2389" s="23" t="s">
        <v>658</v>
      </c>
      <c r="D2389">
        <v>1</v>
      </c>
      <c r="E2389" t="s">
        <v>103</v>
      </c>
      <c r="F2389">
        <v>9</v>
      </c>
      <c r="G2389">
        <v>2018</v>
      </c>
      <c r="I2389" s="8">
        <v>3516.52</v>
      </c>
      <c r="J2389" t="s">
        <v>104</v>
      </c>
      <c r="K2389" t="s">
        <v>53</v>
      </c>
      <c r="L2389" t="s">
        <v>105</v>
      </c>
      <c r="O2389">
        <v>0</v>
      </c>
      <c r="P2389">
        <v>1</v>
      </c>
      <c r="Q2389">
        <v>0</v>
      </c>
      <c r="R2389">
        <v>0</v>
      </c>
      <c r="S2389">
        <v>1</v>
      </c>
      <c r="T2389">
        <v>1</v>
      </c>
      <c r="U2389">
        <v>1</v>
      </c>
      <c r="V2389">
        <v>0</v>
      </c>
      <c r="W2389" t="s">
        <v>106</v>
      </c>
      <c r="AA2389">
        <v>2007</v>
      </c>
      <c r="AB2389">
        <v>9999</v>
      </c>
      <c r="AC2389" t="s">
        <v>35</v>
      </c>
    </row>
    <row r="2390" spans="1:29" x14ac:dyDescent="0.25">
      <c r="A2390" s="31" t="s">
        <v>1437</v>
      </c>
      <c r="B2390" s="23" t="s">
        <v>1438</v>
      </c>
      <c r="C2390" t="s">
        <v>1439</v>
      </c>
      <c r="D2390">
        <v>1</v>
      </c>
      <c r="E2390" t="s">
        <v>103</v>
      </c>
      <c r="F2390">
        <v>9</v>
      </c>
      <c r="G2390">
        <v>2018</v>
      </c>
      <c r="I2390" s="8">
        <v>277.74</v>
      </c>
      <c r="J2390" t="s">
        <v>104</v>
      </c>
      <c r="K2390" t="s">
        <v>32</v>
      </c>
      <c r="O2390">
        <v>0</v>
      </c>
      <c r="P2390">
        <v>0</v>
      </c>
      <c r="Q2390">
        <v>0</v>
      </c>
      <c r="R2390">
        <v>0</v>
      </c>
      <c r="S2390">
        <v>1</v>
      </c>
      <c r="T2390">
        <v>1</v>
      </c>
      <c r="U2390">
        <v>1</v>
      </c>
      <c r="V2390">
        <v>0</v>
      </c>
      <c r="W2390" t="s">
        <v>1440</v>
      </c>
      <c r="AA2390">
        <v>2013</v>
      </c>
      <c r="AB2390">
        <v>9999</v>
      </c>
      <c r="AC2390" t="s">
        <v>1419</v>
      </c>
    </row>
    <row r="2391" spans="1:29" x14ac:dyDescent="0.25">
      <c r="A2391" s="31" t="s">
        <v>1441</v>
      </c>
      <c r="B2391" s="23" t="s">
        <v>1442</v>
      </c>
      <c r="C2391" t="s">
        <v>1443</v>
      </c>
      <c r="D2391">
        <v>1</v>
      </c>
      <c r="E2391" t="s">
        <v>103</v>
      </c>
      <c r="F2391">
        <v>9</v>
      </c>
      <c r="G2391">
        <v>2018</v>
      </c>
      <c r="I2391" s="8">
        <v>74.8</v>
      </c>
      <c r="J2391" t="s">
        <v>104</v>
      </c>
      <c r="K2391" t="s">
        <v>47</v>
      </c>
      <c r="O2391">
        <v>0</v>
      </c>
      <c r="P2391">
        <v>0</v>
      </c>
      <c r="Q2391">
        <v>0</v>
      </c>
      <c r="R2391">
        <v>0</v>
      </c>
      <c r="S2391">
        <v>1</v>
      </c>
      <c r="T2391">
        <v>1</v>
      </c>
      <c r="U2391">
        <v>1</v>
      </c>
      <c r="V2391">
        <v>0</v>
      </c>
      <c r="W2391" t="s">
        <v>1444</v>
      </c>
      <c r="AA2391">
        <v>2013</v>
      </c>
      <c r="AB2391">
        <v>9999</v>
      </c>
      <c r="AC2391" t="s">
        <v>1419</v>
      </c>
    </row>
    <row r="2392" spans="1:29" x14ac:dyDescent="0.25">
      <c r="A2392" s="31" t="s">
        <v>1510</v>
      </c>
      <c r="B2392" s="23" t="s">
        <v>1511</v>
      </c>
      <c r="D2392">
        <v>1</v>
      </c>
      <c r="E2392" s="4">
        <v>411</v>
      </c>
      <c r="F2392">
        <v>4</v>
      </c>
      <c r="G2392">
        <v>2018</v>
      </c>
      <c r="I2392" s="8">
        <v>62.55</v>
      </c>
      <c r="J2392" t="s">
        <v>52</v>
      </c>
      <c r="K2392" t="s">
        <v>47</v>
      </c>
      <c r="O2392">
        <v>0</v>
      </c>
      <c r="P2392">
        <v>0</v>
      </c>
      <c r="Q2392">
        <v>0</v>
      </c>
      <c r="R2392">
        <v>0</v>
      </c>
      <c r="S2392">
        <v>1</v>
      </c>
      <c r="T2392">
        <v>1</v>
      </c>
      <c r="U2392">
        <v>1</v>
      </c>
      <c r="V2392">
        <v>0</v>
      </c>
      <c r="W2392" t="s">
        <v>1512</v>
      </c>
      <c r="AA2392">
        <v>2015</v>
      </c>
      <c r="AB2392">
        <v>9999</v>
      </c>
      <c r="AC2392" t="s">
        <v>1475</v>
      </c>
    </row>
    <row r="2393" spans="1:29" x14ac:dyDescent="0.25">
      <c r="A2393" s="31" t="s">
        <v>967</v>
      </c>
      <c r="B2393" s="23" t="s">
        <v>661</v>
      </c>
      <c r="D2393">
        <v>1</v>
      </c>
      <c r="E2393" t="s">
        <v>103</v>
      </c>
      <c r="F2393">
        <v>9</v>
      </c>
      <c r="G2393">
        <v>2018</v>
      </c>
      <c r="I2393" s="8">
        <v>6256.93</v>
      </c>
      <c r="J2393" t="s">
        <v>104</v>
      </c>
      <c r="K2393" t="s">
        <v>53</v>
      </c>
      <c r="L2393" t="s">
        <v>105</v>
      </c>
      <c r="O2393">
        <v>0</v>
      </c>
      <c r="P2393">
        <v>1</v>
      </c>
      <c r="Q2393">
        <v>0</v>
      </c>
      <c r="R2393">
        <v>0</v>
      </c>
      <c r="S2393">
        <v>1</v>
      </c>
      <c r="T2393">
        <v>1</v>
      </c>
      <c r="U2393">
        <v>1</v>
      </c>
      <c r="V2393">
        <v>0</v>
      </c>
      <c r="W2393" t="s">
        <v>106</v>
      </c>
      <c r="AA2393">
        <v>2007</v>
      </c>
      <c r="AB2393">
        <v>9999</v>
      </c>
      <c r="AC2393" t="s">
        <v>35</v>
      </c>
    </row>
    <row r="2394" spans="1:29" x14ac:dyDescent="0.25">
      <c r="A2394" s="31" t="s">
        <v>968</v>
      </c>
      <c r="B2394" s="23" t="s">
        <v>969</v>
      </c>
      <c r="D2394">
        <v>1</v>
      </c>
      <c r="E2394" t="s">
        <v>85</v>
      </c>
      <c r="F2394">
        <v>1</v>
      </c>
      <c r="G2394">
        <v>2018</v>
      </c>
      <c r="H2394" t="s">
        <v>970</v>
      </c>
      <c r="I2394">
        <v>0.1</v>
      </c>
      <c r="J2394" t="s">
        <v>176</v>
      </c>
      <c r="K2394" t="s">
        <v>41</v>
      </c>
      <c r="O2394">
        <v>0</v>
      </c>
      <c r="P2394">
        <v>0</v>
      </c>
      <c r="Q2394">
        <v>0</v>
      </c>
      <c r="R2394">
        <v>0</v>
      </c>
      <c r="S2394">
        <v>0</v>
      </c>
      <c r="T2394">
        <v>0</v>
      </c>
      <c r="U2394">
        <v>0</v>
      </c>
      <c r="V2394">
        <v>0</v>
      </c>
      <c r="W2394" t="s">
        <v>971</v>
      </c>
      <c r="AA2394">
        <v>2007</v>
      </c>
      <c r="AB2394">
        <v>9999</v>
      </c>
      <c r="AC2394" t="s">
        <v>35</v>
      </c>
    </row>
    <row r="2395" spans="1:29" x14ac:dyDescent="0.25">
      <c r="A2395" s="31" t="s">
        <v>975</v>
      </c>
      <c r="B2395" s="23" t="s">
        <v>976</v>
      </c>
      <c r="D2395">
        <v>1</v>
      </c>
      <c r="E2395" t="s">
        <v>977</v>
      </c>
      <c r="F2395">
        <v>1</v>
      </c>
      <c r="G2395">
        <v>2018</v>
      </c>
      <c r="H2395" t="s">
        <v>205</v>
      </c>
      <c r="I2395" s="8"/>
      <c r="J2395" t="s">
        <v>81</v>
      </c>
      <c r="K2395" t="s">
        <v>41</v>
      </c>
      <c r="O2395">
        <v>0</v>
      </c>
      <c r="P2395">
        <v>0</v>
      </c>
      <c r="Q2395">
        <v>0</v>
      </c>
      <c r="R2395">
        <v>0</v>
      </c>
      <c r="S2395">
        <v>0</v>
      </c>
      <c r="T2395">
        <v>0</v>
      </c>
      <c r="U2395">
        <v>0</v>
      </c>
      <c r="V2395">
        <v>0</v>
      </c>
      <c r="W2395" t="s">
        <v>1220</v>
      </c>
      <c r="AA2395">
        <v>2007</v>
      </c>
      <c r="AB2395">
        <v>9999</v>
      </c>
      <c r="AC2395" t="s">
        <v>35</v>
      </c>
    </row>
    <row r="2396" spans="1:29" x14ac:dyDescent="0.25">
      <c r="A2396" s="31" t="s">
        <v>985</v>
      </c>
      <c r="B2396" s="23" t="s">
        <v>986</v>
      </c>
      <c r="C2396" t="s">
        <v>987</v>
      </c>
      <c r="D2396">
        <v>1</v>
      </c>
      <c r="E2396" t="s">
        <v>988</v>
      </c>
      <c r="F2396">
        <v>4</v>
      </c>
      <c r="G2396">
        <v>2018</v>
      </c>
      <c r="I2396" s="8">
        <v>191.62</v>
      </c>
      <c r="J2396" t="s">
        <v>89</v>
      </c>
      <c r="K2396" t="s">
        <v>32</v>
      </c>
      <c r="O2396">
        <v>0</v>
      </c>
      <c r="P2396">
        <v>0</v>
      </c>
      <c r="Q2396">
        <v>0</v>
      </c>
      <c r="R2396">
        <v>0</v>
      </c>
      <c r="S2396">
        <v>1</v>
      </c>
      <c r="T2396">
        <v>1</v>
      </c>
      <c r="U2396">
        <v>1</v>
      </c>
      <c r="V2396">
        <v>0</v>
      </c>
      <c r="W2396" t="s">
        <v>1339</v>
      </c>
      <c r="AA2396">
        <v>2007</v>
      </c>
      <c r="AB2396">
        <v>9999</v>
      </c>
      <c r="AC2396" t="s">
        <v>35</v>
      </c>
    </row>
    <row r="2397" spans="1:29" x14ac:dyDescent="0.25">
      <c r="A2397" s="31" t="s">
        <v>993</v>
      </c>
      <c r="B2397" s="23" t="s">
        <v>129</v>
      </c>
      <c r="D2397">
        <v>1</v>
      </c>
      <c r="E2397" t="s">
        <v>103</v>
      </c>
      <c r="F2397">
        <v>1</v>
      </c>
      <c r="G2397">
        <v>2018</v>
      </c>
      <c r="I2397" s="8">
        <v>187.16</v>
      </c>
      <c r="J2397" t="s">
        <v>104</v>
      </c>
      <c r="K2397" t="s">
        <v>32</v>
      </c>
      <c r="O2397">
        <v>0</v>
      </c>
      <c r="P2397">
        <v>0</v>
      </c>
      <c r="Q2397">
        <v>0</v>
      </c>
      <c r="R2397">
        <v>0</v>
      </c>
      <c r="S2397">
        <v>1</v>
      </c>
      <c r="T2397">
        <v>1</v>
      </c>
      <c r="U2397">
        <v>1</v>
      </c>
      <c r="V2397">
        <v>0</v>
      </c>
      <c r="W2397" t="s">
        <v>1340</v>
      </c>
      <c r="AA2397">
        <v>2007</v>
      </c>
      <c r="AB2397">
        <v>9999</v>
      </c>
      <c r="AC2397" t="s">
        <v>35</v>
      </c>
    </row>
    <row r="2398" spans="1:29" x14ac:dyDescent="0.25">
      <c r="A2398" s="31" t="s">
        <v>1008</v>
      </c>
      <c r="B2398" s="23" t="s">
        <v>1009</v>
      </c>
      <c r="D2398">
        <v>1</v>
      </c>
      <c r="E2398" t="s">
        <v>155</v>
      </c>
      <c r="F2398">
        <v>3</v>
      </c>
      <c r="G2398">
        <v>2018</v>
      </c>
      <c r="I2398" s="8">
        <v>1295.3399999999999</v>
      </c>
      <c r="J2398" t="s">
        <v>121</v>
      </c>
      <c r="K2398" t="s">
        <v>47</v>
      </c>
      <c r="O2398">
        <v>0</v>
      </c>
      <c r="P2398">
        <v>0</v>
      </c>
      <c r="Q2398">
        <v>0</v>
      </c>
      <c r="R2398">
        <v>0</v>
      </c>
      <c r="S2398">
        <v>1</v>
      </c>
      <c r="T2398">
        <v>1</v>
      </c>
      <c r="U2398">
        <v>1</v>
      </c>
      <c r="V2398">
        <v>0</v>
      </c>
      <c r="W2398" t="s">
        <v>1519</v>
      </c>
      <c r="AA2398">
        <v>2007</v>
      </c>
      <c r="AB2398">
        <v>9999</v>
      </c>
      <c r="AC2398" t="s">
        <v>35</v>
      </c>
    </row>
    <row r="2399" spans="1:29" x14ac:dyDescent="0.25">
      <c r="A2399" s="31" t="s">
        <v>1011</v>
      </c>
      <c r="B2399" s="23" t="s">
        <v>1012</v>
      </c>
      <c r="D2399">
        <v>1</v>
      </c>
      <c r="E2399" t="s">
        <v>103</v>
      </c>
      <c r="F2399">
        <v>9</v>
      </c>
      <c r="G2399">
        <v>2018</v>
      </c>
      <c r="I2399" s="8">
        <v>1108.83</v>
      </c>
      <c r="J2399" t="s">
        <v>104</v>
      </c>
      <c r="K2399" t="s">
        <v>53</v>
      </c>
      <c r="L2399" t="s">
        <v>105</v>
      </c>
      <c r="O2399">
        <v>0</v>
      </c>
      <c r="P2399">
        <v>1</v>
      </c>
      <c r="Q2399">
        <v>0</v>
      </c>
      <c r="R2399">
        <v>0</v>
      </c>
      <c r="S2399">
        <v>1</v>
      </c>
      <c r="T2399">
        <v>1</v>
      </c>
      <c r="U2399">
        <v>1</v>
      </c>
      <c r="V2399">
        <v>0</v>
      </c>
      <c r="W2399" t="s">
        <v>106</v>
      </c>
      <c r="AA2399">
        <v>2007</v>
      </c>
      <c r="AB2399">
        <v>9999</v>
      </c>
      <c r="AC2399" t="s">
        <v>35</v>
      </c>
    </row>
    <row r="2400" spans="1:29" x14ac:dyDescent="0.25">
      <c r="A2400" s="31" t="s">
        <v>1013</v>
      </c>
      <c r="B2400" s="23" t="s">
        <v>1014</v>
      </c>
      <c r="D2400">
        <v>1</v>
      </c>
      <c r="E2400" t="s">
        <v>128</v>
      </c>
      <c r="F2400">
        <v>9</v>
      </c>
      <c r="G2400">
        <v>2018</v>
      </c>
      <c r="H2400" t="s">
        <v>1513</v>
      </c>
      <c r="I2400">
        <v>4.8</v>
      </c>
      <c r="J2400" t="s">
        <v>104</v>
      </c>
      <c r="K2400" t="s">
        <v>41</v>
      </c>
      <c r="O2400">
        <v>0</v>
      </c>
      <c r="P2400">
        <v>0</v>
      </c>
      <c r="Q2400">
        <v>0</v>
      </c>
      <c r="R2400">
        <v>0</v>
      </c>
      <c r="S2400">
        <v>0</v>
      </c>
      <c r="T2400">
        <v>0</v>
      </c>
      <c r="U2400">
        <v>0</v>
      </c>
      <c r="V2400">
        <v>0</v>
      </c>
      <c r="W2400" t="s">
        <v>1229</v>
      </c>
      <c r="AA2400">
        <v>2007</v>
      </c>
      <c r="AB2400">
        <v>9999</v>
      </c>
      <c r="AC2400" t="s">
        <v>35</v>
      </c>
    </row>
    <row r="2401" spans="1:29" x14ac:dyDescent="0.25">
      <c r="A2401" s="31" t="s">
        <v>1016</v>
      </c>
      <c r="B2401" s="23" t="s">
        <v>1017</v>
      </c>
      <c r="D2401">
        <v>1</v>
      </c>
      <c r="E2401" t="s">
        <v>396</v>
      </c>
      <c r="F2401">
        <v>3</v>
      </c>
      <c r="G2401">
        <v>2018</v>
      </c>
      <c r="H2401" t="s">
        <v>1018</v>
      </c>
      <c r="I2401">
        <v>0.1</v>
      </c>
      <c r="J2401" t="s">
        <v>121</v>
      </c>
      <c r="K2401" t="s">
        <v>41</v>
      </c>
      <c r="O2401">
        <v>0</v>
      </c>
      <c r="P2401">
        <v>0</v>
      </c>
      <c r="Q2401">
        <v>0</v>
      </c>
      <c r="R2401">
        <v>0</v>
      </c>
      <c r="S2401">
        <v>0</v>
      </c>
      <c r="T2401">
        <v>0</v>
      </c>
      <c r="U2401">
        <v>0</v>
      </c>
      <c r="V2401">
        <v>0</v>
      </c>
      <c r="W2401" t="s">
        <v>1230</v>
      </c>
      <c r="AA2401">
        <v>2007</v>
      </c>
      <c r="AB2401">
        <v>9999</v>
      </c>
      <c r="AC2401" t="s">
        <v>35</v>
      </c>
    </row>
    <row r="2402" spans="1:29" x14ac:dyDescent="0.25">
      <c r="A2402" s="31" t="s">
        <v>1020</v>
      </c>
      <c r="B2402" s="23" t="s">
        <v>1021</v>
      </c>
      <c r="D2402">
        <v>1</v>
      </c>
      <c r="E2402" t="s">
        <v>103</v>
      </c>
      <c r="F2402">
        <v>9</v>
      </c>
      <c r="G2402">
        <v>2018</v>
      </c>
      <c r="I2402" s="8">
        <v>14.25</v>
      </c>
      <c r="J2402" t="s">
        <v>104</v>
      </c>
      <c r="K2402" t="s">
        <v>47</v>
      </c>
      <c r="O2402">
        <v>0</v>
      </c>
      <c r="P2402">
        <v>0</v>
      </c>
      <c r="Q2402">
        <v>0</v>
      </c>
      <c r="R2402">
        <v>0</v>
      </c>
      <c r="S2402">
        <v>0</v>
      </c>
      <c r="T2402">
        <v>1</v>
      </c>
      <c r="U2402">
        <v>1</v>
      </c>
      <c r="V2402">
        <v>0</v>
      </c>
      <c r="W2402" t="s">
        <v>1231</v>
      </c>
      <c r="AA2402">
        <v>2007</v>
      </c>
      <c r="AB2402">
        <v>9999</v>
      </c>
      <c r="AC2402" t="s">
        <v>35</v>
      </c>
    </row>
    <row r="2403" spans="1:29" x14ac:dyDescent="0.25">
      <c r="B2403" s="23" t="s">
        <v>1026</v>
      </c>
      <c r="D2403">
        <v>24</v>
      </c>
      <c r="F2403">
        <v>3</v>
      </c>
      <c r="G2403">
        <v>2018</v>
      </c>
      <c r="H2403" t="s">
        <v>392</v>
      </c>
      <c r="I2403" t="s">
        <v>1027</v>
      </c>
      <c r="J2403" t="s">
        <v>121</v>
      </c>
      <c r="K2403" t="s">
        <v>41</v>
      </c>
      <c r="O2403">
        <v>0</v>
      </c>
      <c r="P2403">
        <v>0</v>
      </c>
      <c r="Q2403">
        <v>0</v>
      </c>
      <c r="R2403">
        <v>0</v>
      </c>
      <c r="S2403">
        <v>0</v>
      </c>
      <c r="T2403">
        <v>0</v>
      </c>
      <c r="U2403">
        <v>0</v>
      </c>
      <c r="V2403">
        <v>0</v>
      </c>
      <c r="W2403" t="s">
        <v>1232</v>
      </c>
      <c r="AA2403">
        <v>2007</v>
      </c>
      <c r="AB2403">
        <v>9999</v>
      </c>
      <c r="AC2403" t="s">
        <v>35</v>
      </c>
    </row>
    <row r="2404" spans="1:29" x14ac:dyDescent="0.25">
      <c r="A2404" s="31" t="s">
        <v>28</v>
      </c>
      <c r="B2404" s="23" t="s">
        <v>29</v>
      </c>
      <c r="D2404">
        <v>1</v>
      </c>
      <c r="E2404" t="s">
        <v>30</v>
      </c>
      <c r="F2404">
        <v>4</v>
      </c>
      <c r="G2404">
        <v>2017</v>
      </c>
      <c r="I2404">
        <v>571.79999999999995</v>
      </c>
      <c r="J2404" s="2" t="s">
        <v>89</v>
      </c>
      <c r="K2404" t="s">
        <v>32</v>
      </c>
      <c r="L2404" t="s">
        <v>33</v>
      </c>
      <c r="O2404">
        <v>0</v>
      </c>
      <c r="P2404">
        <v>0</v>
      </c>
      <c r="Q2404">
        <v>0</v>
      </c>
      <c r="R2404">
        <v>1</v>
      </c>
      <c r="S2404">
        <v>1</v>
      </c>
      <c r="T2404">
        <v>1</v>
      </c>
      <c r="U2404">
        <v>1</v>
      </c>
      <c r="V2404">
        <v>0</v>
      </c>
      <c r="W2404" t="s">
        <v>1029</v>
      </c>
      <c r="AA2404">
        <v>2007</v>
      </c>
      <c r="AB2404">
        <v>9999</v>
      </c>
      <c r="AC2404" t="s">
        <v>35</v>
      </c>
    </row>
    <row r="2405" spans="1:29" x14ac:dyDescent="0.25">
      <c r="A2405" s="31" t="s">
        <v>36</v>
      </c>
      <c r="B2405" s="23" t="s">
        <v>1445</v>
      </c>
      <c r="D2405">
        <v>1</v>
      </c>
      <c r="E2405" s="5" t="s">
        <v>38</v>
      </c>
      <c r="F2405">
        <v>4</v>
      </c>
      <c r="G2405">
        <v>2017</v>
      </c>
      <c r="H2405" t="s">
        <v>39</v>
      </c>
      <c r="J2405" s="2" t="s">
        <v>40</v>
      </c>
      <c r="K2405" s="2" t="s">
        <v>41</v>
      </c>
      <c r="L2405" s="2"/>
      <c r="O2405">
        <v>0</v>
      </c>
      <c r="P2405">
        <v>0</v>
      </c>
      <c r="Q2405">
        <v>0</v>
      </c>
      <c r="R2405">
        <v>0</v>
      </c>
      <c r="S2405">
        <v>0</v>
      </c>
      <c r="T2405">
        <v>0</v>
      </c>
      <c r="U2405">
        <v>0</v>
      </c>
      <c r="V2405">
        <v>0</v>
      </c>
      <c r="W2405" t="s">
        <v>1030</v>
      </c>
      <c r="AA2405">
        <v>2007</v>
      </c>
      <c r="AB2405">
        <v>9999</v>
      </c>
      <c r="AC2405" t="s">
        <v>35</v>
      </c>
    </row>
    <row r="2406" spans="1:29" x14ac:dyDescent="0.25">
      <c r="A2406" s="31" t="s">
        <v>43</v>
      </c>
      <c r="B2406" s="23" t="s">
        <v>44</v>
      </c>
      <c r="D2406">
        <v>1</v>
      </c>
      <c r="E2406" t="s">
        <v>45</v>
      </c>
      <c r="F2406">
        <v>4</v>
      </c>
      <c r="G2406">
        <v>2017</v>
      </c>
      <c r="I2406">
        <v>43.99</v>
      </c>
      <c r="J2406" t="s">
        <v>52</v>
      </c>
      <c r="K2406" t="s">
        <v>47</v>
      </c>
      <c r="O2406">
        <v>0</v>
      </c>
      <c r="P2406">
        <v>0</v>
      </c>
      <c r="Q2406">
        <v>0</v>
      </c>
      <c r="R2406">
        <v>0</v>
      </c>
      <c r="S2406">
        <v>1</v>
      </c>
      <c r="T2406">
        <v>1</v>
      </c>
      <c r="U2406">
        <v>1</v>
      </c>
      <c r="V2406">
        <v>0</v>
      </c>
      <c r="W2406" t="s">
        <v>1514</v>
      </c>
      <c r="AA2406">
        <v>2007</v>
      </c>
      <c r="AB2406">
        <v>9999</v>
      </c>
      <c r="AC2406" t="s">
        <v>35</v>
      </c>
    </row>
    <row r="2407" spans="1:29" x14ac:dyDescent="0.25">
      <c r="A2407" s="31" t="s">
        <v>49</v>
      </c>
      <c r="B2407" s="25" t="s">
        <v>50</v>
      </c>
      <c r="D2407">
        <v>1</v>
      </c>
      <c r="E2407" t="s">
        <v>51</v>
      </c>
      <c r="F2407">
        <v>1</v>
      </c>
      <c r="G2407">
        <v>2017</v>
      </c>
      <c r="I2407">
        <v>67</v>
      </c>
      <c r="J2407" t="s">
        <v>52</v>
      </c>
      <c r="K2407" t="s">
        <v>53</v>
      </c>
      <c r="L2407" t="s">
        <v>54</v>
      </c>
      <c r="O2407">
        <v>0</v>
      </c>
      <c r="P2407">
        <v>0</v>
      </c>
      <c r="Q2407">
        <v>1</v>
      </c>
      <c r="R2407">
        <v>0</v>
      </c>
      <c r="S2407">
        <v>0</v>
      </c>
      <c r="T2407">
        <v>0</v>
      </c>
      <c r="U2407">
        <v>1</v>
      </c>
      <c r="V2407">
        <v>0</v>
      </c>
      <c r="W2407" t="s">
        <v>55</v>
      </c>
      <c r="AA2407">
        <v>2007</v>
      </c>
      <c r="AB2407">
        <v>9999</v>
      </c>
      <c r="AC2407" t="s">
        <v>35</v>
      </c>
    </row>
    <row r="2408" spans="1:29" x14ac:dyDescent="0.25">
      <c r="A2408" s="31" t="s">
        <v>996</v>
      </c>
      <c r="B2408" s="23" t="s">
        <v>1342</v>
      </c>
      <c r="D2408">
        <v>1</v>
      </c>
      <c r="E2408" t="s">
        <v>38</v>
      </c>
      <c r="F2408">
        <v>4</v>
      </c>
      <c r="G2408">
        <v>2017</v>
      </c>
      <c r="H2408" t="s">
        <v>998</v>
      </c>
      <c r="I2408">
        <v>1.25</v>
      </c>
      <c r="J2408" t="s">
        <v>89</v>
      </c>
      <c r="K2408" t="s">
        <v>41</v>
      </c>
      <c r="O2408">
        <v>0</v>
      </c>
      <c r="P2408">
        <v>0</v>
      </c>
      <c r="Q2408">
        <v>0</v>
      </c>
      <c r="R2408">
        <v>0</v>
      </c>
      <c r="S2408">
        <v>0</v>
      </c>
      <c r="T2408">
        <v>0</v>
      </c>
      <c r="U2408">
        <v>0</v>
      </c>
      <c r="V2408">
        <v>0</v>
      </c>
      <c r="W2408" t="s">
        <v>1344</v>
      </c>
      <c r="AA2408">
        <v>2007</v>
      </c>
      <c r="AB2408">
        <v>9999</v>
      </c>
      <c r="AC2408" t="s">
        <v>35</v>
      </c>
    </row>
    <row r="2409" spans="1:29" x14ac:dyDescent="0.25">
      <c r="A2409" s="31" t="s">
        <v>56</v>
      </c>
      <c r="B2409" s="23" t="s">
        <v>57</v>
      </c>
      <c r="D2409">
        <v>1</v>
      </c>
      <c r="E2409" t="s">
        <v>58</v>
      </c>
      <c r="F2409">
        <v>4</v>
      </c>
      <c r="G2409">
        <v>2017</v>
      </c>
      <c r="I2409">
        <v>17.95</v>
      </c>
      <c r="J2409" t="s">
        <v>59</v>
      </c>
      <c r="K2409" t="s">
        <v>53</v>
      </c>
      <c r="L2409" t="s">
        <v>60</v>
      </c>
      <c r="O2409">
        <v>1</v>
      </c>
      <c r="P2409">
        <v>0</v>
      </c>
      <c r="Q2409">
        <v>0</v>
      </c>
      <c r="R2409">
        <v>0</v>
      </c>
      <c r="S2409">
        <v>1</v>
      </c>
      <c r="T2409">
        <v>1</v>
      </c>
      <c r="U2409">
        <v>1</v>
      </c>
      <c r="V2409">
        <v>0</v>
      </c>
      <c r="W2409" t="s">
        <v>61</v>
      </c>
      <c r="AA2409">
        <v>2007</v>
      </c>
      <c r="AB2409">
        <v>9999</v>
      </c>
      <c r="AC2409" t="s">
        <v>35</v>
      </c>
    </row>
    <row r="2410" spans="1:29" x14ac:dyDescent="0.25">
      <c r="A2410" s="31" t="s">
        <v>71</v>
      </c>
      <c r="B2410" s="23" t="s">
        <v>1032</v>
      </c>
      <c r="D2410">
        <v>1</v>
      </c>
      <c r="E2410" t="s">
        <v>309</v>
      </c>
      <c r="F2410">
        <v>10</v>
      </c>
      <c r="G2410">
        <v>2017</v>
      </c>
      <c r="I2410">
        <v>12937.96</v>
      </c>
      <c r="J2410" t="s">
        <v>59</v>
      </c>
      <c r="K2410" t="s">
        <v>32</v>
      </c>
      <c r="O2410">
        <v>0</v>
      </c>
      <c r="P2410">
        <v>0</v>
      </c>
      <c r="Q2410">
        <v>0</v>
      </c>
      <c r="R2410">
        <v>0</v>
      </c>
      <c r="S2410">
        <v>1</v>
      </c>
      <c r="T2410">
        <v>1</v>
      </c>
      <c r="U2410">
        <v>1</v>
      </c>
      <c r="V2410">
        <v>0</v>
      </c>
      <c r="W2410" t="s">
        <v>1033</v>
      </c>
      <c r="AA2410">
        <v>2007</v>
      </c>
      <c r="AB2410">
        <v>9999</v>
      </c>
      <c r="AC2410" t="s">
        <v>35</v>
      </c>
    </row>
    <row r="2411" spans="1:29" x14ac:dyDescent="0.25">
      <c r="A2411" s="31" t="s">
        <v>62</v>
      </c>
      <c r="B2411" s="23" t="s">
        <v>63</v>
      </c>
      <c r="D2411">
        <v>1</v>
      </c>
      <c r="E2411" t="s">
        <v>64</v>
      </c>
      <c r="F2411">
        <v>1</v>
      </c>
      <c r="G2411">
        <v>2017</v>
      </c>
      <c r="I2411">
        <v>65.900000000000006</v>
      </c>
      <c r="J2411" t="s">
        <v>52</v>
      </c>
      <c r="K2411" t="s">
        <v>53</v>
      </c>
      <c r="L2411" t="s">
        <v>65</v>
      </c>
      <c r="O2411">
        <v>0</v>
      </c>
      <c r="P2411">
        <v>0</v>
      </c>
      <c r="Q2411">
        <v>0</v>
      </c>
      <c r="R2411">
        <v>0</v>
      </c>
      <c r="S2411">
        <v>1</v>
      </c>
      <c r="T2411">
        <v>1</v>
      </c>
      <c r="U2411">
        <v>1</v>
      </c>
      <c r="V2411">
        <v>0</v>
      </c>
      <c r="W2411" t="s">
        <v>1034</v>
      </c>
      <c r="AA2411">
        <v>2007</v>
      </c>
      <c r="AB2411">
        <v>9999</v>
      </c>
      <c r="AC2411" t="s">
        <v>35</v>
      </c>
    </row>
    <row r="2412" spans="1:29" x14ac:dyDescent="0.25">
      <c r="A2412" s="31" t="s">
        <v>74</v>
      </c>
      <c r="B2412" s="23" t="s">
        <v>75</v>
      </c>
      <c r="D2412">
        <v>1</v>
      </c>
      <c r="E2412" t="s">
        <v>58</v>
      </c>
      <c r="F2412">
        <v>4</v>
      </c>
      <c r="G2412">
        <v>2017</v>
      </c>
      <c r="I2412">
        <v>565.05999999999995</v>
      </c>
      <c r="J2412" t="s">
        <v>59</v>
      </c>
      <c r="K2412" t="s">
        <v>47</v>
      </c>
      <c r="O2412">
        <v>0</v>
      </c>
      <c r="P2412">
        <v>0</v>
      </c>
      <c r="Q2412">
        <v>0</v>
      </c>
      <c r="R2412">
        <v>0</v>
      </c>
      <c r="S2412">
        <v>1</v>
      </c>
      <c r="T2412">
        <v>1</v>
      </c>
      <c r="U2412">
        <v>1</v>
      </c>
      <c r="V2412">
        <v>0</v>
      </c>
      <c r="W2412" t="s">
        <v>1035</v>
      </c>
      <c r="AA2412">
        <v>2007</v>
      </c>
      <c r="AB2412">
        <v>9999</v>
      </c>
      <c r="AC2412" t="s">
        <v>35</v>
      </c>
    </row>
    <row r="2413" spans="1:29" x14ac:dyDescent="0.25">
      <c r="A2413" s="31" t="s">
        <v>83</v>
      </c>
      <c r="B2413" s="23" t="s">
        <v>84</v>
      </c>
      <c r="D2413">
        <v>1</v>
      </c>
      <c r="E2413" t="s">
        <v>85</v>
      </c>
      <c r="F2413">
        <v>1</v>
      </c>
      <c r="G2413">
        <v>2017</v>
      </c>
      <c r="H2413" t="s">
        <v>39</v>
      </c>
      <c r="I2413">
        <v>24.7</v>
      </c>
      <c r="J2413" s="2" t="s">
        <v>40</v>
      </c>
      <c r="K2413" t="s">
        <v>41</v>
      </c>
      <c r="O2413">
        <v>0</v>
      </c>
      <c r="P2413">
        <v>0</v>
      </c>
      <c r="Q2413">
        <v>0</v>
      </c>
      <c r="R2413">
        <v>0</v>
      </c>
      <c r="S2413">
        <v>0</v>
      </c>
      <c r="T2413">
        <v>0</v>
      </c>
      <c r="U2413">
        <v>0</v>
      </c>
      <c r="V2413">
        <v>0</v>
      </c>
      <c r="W2413" t="s">
        <v>86</v>
      </c>
      <c r="AA2413">
        <v>2007</v>
      </c>
      <c r="AB2413">
        <v>9999</v>
      </c>
      <c r="AC2413" t="s">
        <v>35</v>
      </c>
    </row>
    <row r="2414" spans="1:29" x14ac:dyDescent="0.25">
      <c r="A2414" s="31" t="s">
        <v>92</v>
      </c>
      <c r="B2414" s="23" t="s">
        <v>93</v>
      </c>
      <c r="C2414" t="s">
        <v>94</v>
      </c>
      <c r="D2414">
        <v>1</v>
      </c>
      <c r="E2414" t="s">
        <v>95</v>
      </c>
      <c r="F2414">
        <v>10</v>
      </c>
      <c r="G2414">
        <v>2017</v>
      </c>
      <c r="I2414">
        <v>26.35</v>
      </c>
      <c r="J2414" t="s">
        <v>40</v>
      </c>
      <c r="K2414" t="s">
        <v>47</v>
      </c>
      <c r="O2414">
        <v>0</v>
      </c>
      <c r="P2414">
        <v>0</v>
      </c>
      <c r="Q2414">
        <v>0</v>
      </c>
      <c r="R2414">
        <v>0</v>
      </c>
      <c r="S2414">
        <v>1</v>
      </c>
      <c r="T2414">
        <v>1</v>
      </c>
      <c r="U2414">
        <v>1</v>
      </c>
      <c r="V2414">
        <v>0</v>
      </c>
      <c r="W2414" t="s">
        <v>96</v>
      </c>
      <c r="AA2414">
        <v>2007</v>
      </c>
      <c r="AB2414">
        <v>9999</v>
      </c>
      <c r="AC2414" t="s">
        <v>35</v>
      </c>
    </row>
    <row r="2415" spans="1:29" x14ac:dyDescent="0.25">
      <c r="A2415" s="31" t="s">
        <v>101</v>
      </c>
      <c r="B2415" s="23" t="s">
        <v>102</v>
      </c>
      <c r="D2415">
        <v>1</v>
      </c>
      <c r="E2415" t="s">
        <v>103</v>
      </c>
      <c r="F2415">
        <v>9</v>
      </c>
      <c r="G2415">
        <v>2017</v>
      </c>
      <c r="I2415">
        <v>390.39</v>
      </c>
      <c r="J2415" t="s">
        <v>104</v>
      </c>
      <c r="K2415" t="s">
        <v>53</v>
      </c>
      <c r="L2415" t="s">
        <v>105</v>
      </c>
      <c r="O2415">
        <v>0</v>
      </c>
      <c r="P2415">
        <v>1</v>
      </c>
      <c r="Q2415">
        <v>0</v>
      </c>
      <c r="R2415">
        <v>0</v>
      </c>
      <c r="S2415">
        <v>1</v>
      </c>
      <c r="T2415">
        <v>1</v>
      </c>
      <c r="U2415">
        <v>1</v>
      </c>
      <c r="V2415">
        <v>0</v>
      </c>
      <c r="W2415" t="s">
        <v>106</v>
      </c>
      <c r="AA2415">
        <v>2007</v>
      </c>
      <c r="AB2415">
        <v>9999</v>
      </c>
      <c r="AC2415" t="s">
        <v>35</v>
      </c>
    </row>
    <row r="2416" spans="1:29" x14ac:dyDescent="0.25">
      <c r="A2416" s="31" t="s">
        <v>107</v>
      </c>
      <c r="B2416" s="23" t="s">
        <v>108</v>
      </c>
      <c r="D2416">
        <v>1</v>
      </c>
      <c r="E2416" t="s">
        <v>45</v>
      </c>
      <c r="F2416">
        <v>4</v>
      </c>
      <c r="G2416">
        <v>2017</v>
      </c>
      <c r="I2416">
        <v>7.5</v>
      </c>
      <c r="J2416" t="s">
        <v>52</v>
      </c>
      <c r="K2416" t="s">
        <v>41</v>
      </c>
      <c r="O2416">
        <v>0</v>
      </c>
      <c r="P2416">
        <v>0</v>
      </c>
      <c r="Q2416">
        <v>0</v>
      </c>
      <c r="R2416">
        <v>0</v>
      </c>
      <c r="S2416">
        <v>0</v>
      </c>
      <c r="T2416">
        <v>1</v>
      </c>
      <c r="U2416">
        <v>1</v>
      </c>
      <c r="V2416">
        <v>0</v>
      </c>
      <c r="W2416" t="s">
        <v>1520</v>
      </c>
      <c r="AA2416">
        <v>2007</v>
      </c>
      <c r="AB2416">
        <v>9999</v>
      </c>
      <c r="AC2416" t="s">
        <v>35</v>
      </c>
    </row>
    <row r="2417" spans="1:29" x14ac:dyDescent="0.25">
      <c r="A2417" s="31" t="s">
        <v>110</v>
      </c>
      <c r="B2417" s="23" t="s">
        <v>111</v>
      </c>
      <c r="D2417">
        <v>1</v>
      </c>
      <c r="E2417" t="s">
        <v>45</v>
      </c>
      <c r="F2417">
        <v>4</v>
      </c>
      <c r="G2417">
        <v>2017</v>
      </c>
      <c r="I2417">
        <v>516.78</v>
      </c>
      <c r="J2417" t="s">
        <v>89</v>
      </c>
      <c r="K2417" t="s">
        <v>47</v>
      </c>
      <c r="O2417">
        <v>0</v>
      </c>
      <c r="P2417">
        <v>0</v>
      </c>
      <c r="Q2417">
        <v>0</v>
      </c>
      <c r="R2417">
        <v>0</v>
      </c>
      <c r="S2417">
        <v>1</v>
      </c>
      <c r="T2417">
        <v>1</v>
      </c>
      <c r="U2417">
        <v>1</v>
      </c>
      <c r="V2417">
        <v>0</v>
      </c>
      <c r="W2417" t="s">
        <v>1039</v>
      </c>
      <c r="AA2417">
        <v>2007</v>
      </c>
      <c r="AB2417">
        <v>9999</v>
      </c>
      <c r="AC2417" t="s">
        <v>35</v>
      </c>
    </row>
    <row r="2418" spans="1:29" x14ac:dyDescent="0.25">
      <c r="A2418" s="31" t="s">
        <v>113</v>
      </c>
      <c r="B2418" s="23" t="s">
        <v>114</v>
      </c>
      <c r="D2418">
        <v>1</v>
      </c>
      <c r="E2418" t="s">
        <v>115</v>
      </c>
      <c r="F2418">
        <v>6</v>
      </c>
      <c r="G2418">
        <v>2017</v>
      </c>
      <c r="I2418">
        <v>207.75</v>
      </c>
      <c r="J2418" t="s">
        <v>89</v>
      </c>
      <c r="K2418" t="s">
        <v>47</v>
      </c>
      <c r="O2418">
        <v>0</v>
      </c>
      <c r="P2418">
        <v>0</v>
      </c>
      <c r="Q2418">
        <v>0</v>
      </c>
      <c r="R2418">
        <v>0</v>
      </c>
      <c r="S2418">
        <v>1</v>
      </c>
      <c r="T2418">
        <v>1</v>
      </c>
      <c r="U2418">
        <v>1</v>
      </c>
      <c r="V2418">
        <v>0</v>
      </c>
      <c r="W2418" t="s">
        <v>1415</v>
      </c>
      <c r="AA2418">
        <v>2007</v>
      </c>
      <c r="AB2418">
        <v>9999</v>
      </c>
      <c r="AC2418" t="s">
        <v>35</v>
      </c>
    </row>
    <row r="2419" spans="1:29" x14ac:dyDescent="0.25">
      <c r="A2419" s="31" t="s">
        <v>117</v>
      </c>
      <c r="B2419" s="23" t="s">
        <v>118</v>
      </c>
      <c r="C2419" t="s">
        <v>119</v>
      </c>
      <c r="D2419">
        <v>1</v>
      </c>
      <c r="E2419" t="s">
        <v>120</v>
      </c>
      <c r="F2419">
        <v>3</v>
      </c>
      <c r="G2419">
        <v>2017</v>
      </c>
      <c r="I2419">
        <v>105.94</v>
      </c>
      <c r="J2419" t="s">
        <v>121</v>
      </c>
      <c r="K2419" t="s">
        <v>47</v>
      </c>
      <c r="O2419">
        <v>0</v>
      </c>
      <c r="P2419">
        <v>0</v>
      </c>
      <c r="Q2419">
        <v>0</v>
      </c>
      <c r="R2419">
        <v>0</v>
      </c>
      <c r="S2419">
        <v>1</v>
      </c>
      <c r="T2419">
        <v>1</v>
      </c>
      <c r="U2419">
        <v>1</v>
      </c>
      <c r="V2419">
        <v>0</v>
      </c>
      <c r="W2419" t="s">
        <v>1521</v>
      </c>
      <c r="AA2419">
        <v>2007</v>
      </c>
      <c r="AB2419">
        <v>9999</v>
      </c>
      <c r="AC2419" t="s">
        <v>35</v>
      </c>
    </row>
    <row r="2420" spans="1:29" x14ac:dyDescent="0.25">
      <c r="A2420" s="31" t="s">
        <v>123</v>
      </c>
      <c r="B2420" s="23" t="s">
        <v>124</v>
      </c>
      <c r="D2420">
        <v>1</v>
      </c>
      <c r="E2420" t="s">
        <v>120</v>
      </c>
      <c r="F2420">
        <v>3</v>
      </c>
      <c r="G2420">
        <v>2017</v>
      </c>
      <c r="I2420">
        <v>53.95</v>
      </c>
      <c r="J2420" t="s">
        <v>121</v>
      </c>
      <c r="K2420" t="s">
        <v>47</v>
      </c>
      <c r="O2420">
        <v>0</v>
      </c>
      <c r="P2420">
        <v>0</v>
      </c>
      <c r="Q2420">
        <v>0</v>
      </c>
      <c r="R2420">
        <v>0</v>
      </c>
      <c r="S2420">
        <v>1</v>
      </c>
      <c r="T2420">
        <v>1</v>
      </c>
      <c r="U2420">
        <v>1</v>
      </c>
      <c r="V2420">
        <v>0</v>
      </c>
      <c r="W2420" t="s">
        <v>1042</v>
      </c>
      <c r="AA2420">
        <v>2007</v>
      </c>
      <c r="AB2420">
        <v>9999</v>
      </c>
      <c r="AC2420" t="s">
        <v>35</v>
      </c>
    </row>
    <row r="2421" spans="1:29" x14ac:dyDescent="0.25">
      <c r="A2421" s="31" t="s">
        <v>1416</v>
      </c>
      <c r="B2421" s="23" t="s">
        <v>1417</v>
      </c>
      <c r="D2421">
        <v>1</v>
      </c>
      <c r="E2421" s="5" t="s">
        <v>38</v>
      </c>
      <c r="F2421">
        <v>4</v>
      </c>
      <c r="G2421">
        <v>2017</v>
      </c>
      <c r="H2421" t="s">
        <v>998</v>
      </c>
      <c r="J2421" t="s">
        <v>89</v>
      </c>
      <c r="K2421" t="s">
        <v>41</v>
      </c>
      <c r="O2421">
        <v>0</v>
      </c>
      <c r="P2421">
        <v>0</v>
      </c>
      <c r="Q2421">
        <v>0</v>
      </c>
      <c r="R2421">
        <v>0</v>
      </c>
      <c r="S2421">
        <v>0</v>
      </c>
      <c r="T2421">
        <v>0</v>
      </c>
      <c r="U2421">
        <v>0</v>
      </c>
      <c r="V2421">
        <v>0</v>
      </c>
      <c r="W2421" t="s">
        <v>1418</v>
      </c>
      <c r="AA2421">
        <v>2013</v>
      </c>
      <c r="AB2421">
        <v>9999</v>
      </c>
      <c r="AC2421" t="s">
        <v>1419</v>
      </c>
    </row>
    <row r="2422" spans="1:29" x14ac:dyDescent="0.25">
      <c r="A2422" s="31" t="s">
        <v>126</v>
      </c>
      <c r="B2422" s="25" t="s">
        <v>127</v>
      </c>
      <c r="D2422">
        <v>1</v>
      </c>
      <c r="E2422" t="s">
        <v>128</v>
      </c>
      <c r="F2422">
        <v>9</v>
      </c>
      <c r="G2422">
        <v>2017</v>
      </c>
      <c r="H2422" t="s">
        <v>129</v>
      </c>
      <c r="I2422">
        <v>2</v>
      </c>
      <c r="J2422" t="s">
        <v>104</v>
      </c>
      <c r="K2422" t="s">
        <v>41</v>
      </c>
      <c r="O2422">
        <v>0</v>
      </c>
      <c r="P2422">
        <v>0</v>
      </c>
      <c r="Q2422">
        <v>0</v>
      </c>
      <c r="R2422">
        <v>0</v>
      </c>
      <c r="S2422">
        <v>0</v>
      </c>
      <c r="T2422">
        <v>0</v>
      </c>
      <c r="U2422">
        <v>0</v>
      </c>
      <c r="V2422">
        <v>0</v>
      </c>
      <c r="W2422" t="s">
        <v>1043</v>
      </c>
      <c r="AA2422">
        <v>2007</v>
      </c>
      <c r="AB2422">
        <v>9999</v>
      </c>
      <c r="AC2422" t="s">
        <v>35</v>
      </c>
    </row>
    <row r="2423" spans="1:29" x14ac:dyDescent="0.25">
      <c r="A2423" s="31" t="s">
        <v>131</v>
      </c>
      <c r="B2423" s="23" t="s">
        <v>132</v>
      </c>
      <c r="C2423" t="s">
        <v>133</v>
      </c>
      <c r="D2423">
        <v>1</v>
      </c>
      <c r="E2423" t="s">
        <v>134</v>
      </c>
      <c r="F2423">
        <v>9</v>
      </c>
      <c r="G2423">
        <v>2017</v>
      </c>
      <c r="I2423">
        <v>830.64</v>
      </c>
      <c r="J2423" t="s">
        <v>104</v>
      </c>
      <c r="K2423" t="s">
        <v>47</v>
      </c>
      <c r="O2423">
        <v>0</v>
      </c>
      <c r="P2423">
        <v>0</v>
      </c>
      <c r="Q2423">
        <v>0</v>
      </c>
      <c r="R2423">
        <v>0</v>
      </c>
      <c r="S2423">
        <v>1</v>
      </c>
      <c r="T2423">
        <v>1</v>
      </c>
      <c r="U2423">
        <v>1</v>
      </c>
      <c r="V2423">
        <v>0</v>
      </c>
      <c r="W2423" t="s">
        <v>1522</v>
      </c>
      <c r="AA2423">
        <v>2007</v>
      </c>
      <c r="AB2423">
        <v>9999</v>
      </c>
      <c r="AC2423" t="s">
        <v>35</v>
      </c>
    </row>
    <row r="2424" spans="1:29" x14ac:dyDescent="0.25">
      <c r="A2424" s="31" t="s">
        <v>140</v>
      </c>
      <c r="B2424" s="23" t="s">
        <v>141</v>
      </c>
      <c r="D2424">
        <v>1</v>
      </c>
      <c r="E2424" t="s">
        <v>45</v>
      </c>
      <c r="F2424">
        <v>4</v>
      </c>
      <c r="G2424">
        <v>2017</v>
      </c>
      <c r="I2424">
        <v>52.5</v>
      </c>
      <c r="J2424" t="s">
        <v>121</v>
      </c>
      <c r="K2424" t="s">
        <v>47</v>
      </c>
      <c r="O2424">
        <v>0</v>
      </c>
      <c r="P2424">
        <v>0</v>
      </c>
      <c r="Q2424">
        <v>0</v>
      </c>
      <c r="R2424">
        <v>0</v>
      </c>
      <c r="S2424">
        <v>1</v>
      </c>
      <c r="T2424">
        <v>1</v>
      </c>
      <c r="U2424">
        <v>1</v>
      </c>
      <c r="V2424">
        <v>0</v>
      </c>
      <c r="W2424" t="s">
        <v>1045</v>
      </c>
      <c r="AA2424">
        <v>2007</v>
      </c>
      <c r="AB2424">
        <v>9999</v>
      </c>
      <c r="AC2424" t="s">
        <v>35</v>
      </c>
    </row>
    <row r="2425" spans="1:29" ht="30" x14ac:dyDescent="0.25">
      <c r="A2425" s="31" t="s">
        <v>143</v>
      </c>
      <c r="B2425" s="23" t="s">
        <v>144</v>
      </c>
      <c r="D2425">
        <v>1</v>
      </c>
      <c r="E2425" t="s">
        <v>145</v>
      </c>
      <c r="F2425">
        <v>2</v>
      </c>
      <c r="G2425">
        <v>2017</v>
      </c>
      <c r="H2425" t="s">
        <v>146</v>
      </c>
      <c r="I2425">
        <v>0</v>
      </c>
      <c r="J2425" s="2" t="s">
        <v>147</v>
      </c>
      <c r="K2425" t="s">
        <v>41</v>
      </c>
      <c r="O2425">
        <v>0</v>
      </c>
      <c r="P2425">
        <v>0</v>
      </c>
      <c r="Q2425">
        <v>0</v>
      </c>
      <c r="R2425">
        <v>0</v>
      </c>
      <c r="S2425">
        <v>0</v>
      </c>
      <c r="T2425">
        <v>0</v>
      </c>
      <c r="U2425">
        <v>0</v>
      </c>
      <c r="V2425">
        <v>0</v>
      </c>
      <c r="W2425" t="s">
        <v>1046</v>
      </c>
      <c r="AA2425">
        <v>2007</v>
      </c>
      <c r="AB2425">
        <v>9999</v>
      </c>
      <c r="AC2425" t="s">
        <v>35</v>
      </c>
    </row>
    <row r="2426" spans="1:29" x14ac:dyDescent="0.25">
      <c r="A2426" s="31" t="s">
        <v>353</v>
      </c>
      <c r="B2426" s="23" t="s">
        <v>1233</v>
      </c>
      <c r="C2426" t="s">
        <v>1234</v>
      </c>
      <c r="D2426">
        <v>1</v>
      </c>
      <c r="E2426" t="s">
        <v>58</v>
      </c>
      <c r="F2426">
        <v>4</v>
      </c>
      <c r="G2426">
        <v>2017</v>
      </c>
      <c r="I2426">
        <v>77.680000000000007</v>
      </c>
      <c r="J2426" t="s">
        <v>59</v>
      </c>
      <c r="K2426" t="s">
        <v>47</v>
      </c>
      <c r="O2426">
        <v>0</v>
      </c>
      <c r="P2426">
        <v>0</v>
      </c>
      <c r="Q2426">
        <v>0</v>
      </c>
      <c r="R2426">
        <v>0</v>
      </c>
      <c r="S2426">
        <v>1</v>
      </c>
      <c r="T2426">
        <v>1</v>
      </c>
      <c r="U2426">
        <v>1</v>
      </c>
      <c r="V2426">
        <v>0</v>
      </c>
      <c r="W2426" t="s">
        <v>1235</v>
      </c>
      <c r="AA2426">
        <v>2007</v>
      </c>
      <c r="AB2426">
        <v>9999</v>
      </c>
      <c r="AC2426" t="s">
        <v>35</v>
      </c>
    </row>
    <row r="2427" spans="1:29" x14ac:dyDescent="0.25">
      <c r="A2427" s="31" t="s">
        <v>1236</v>
      </c>
      <c r="B2427" s="23" t="s">
        <v>1237</v>
      </c>
      <c r="D2427">
        <v>1</v>
      </c>
      <c r="E2427" t="s">
        <v>155</v>
      </c>
      <c r="F2427">
        <v>3</v>
      </c>
      <c r="G2427">
        <v>2017</v>
      </c>
      <c r="H2427" t="s">
        <v>154</v>
      </c>
      <c r="I2427">
        <v>5.9</v>
      </c>
      <c r="J2427" t="s">
        <v>121</v>
      </c>
      <c r="K2427" t="s">
        <v>41</v>
      </c>
      <c r="O2427">
        <v>0</v>
      </c>
      <c r="P2427">
        <v>0</v>
      </c>
      <c r="Q2427">
        <v>0</v>
      </c>
      <c r="R2427">
        <v>0</v>
      </c>
      <c r="S2427">
        <v>0</v>
      </c>
      <c r="T2427">
        <v>1</v>
      </c>
      <c r="U2427">
        <v>1</v>
      </c>
      <c r="V2427">
        <v>0</v>
      </c>
      <c r="W2427" t="s">
        <v>1347</v>
      </c>
      <c r="AA2427">
        <v>2009</v>
      </c>
      <c r="AB2427">
        <v>9999</v>
      </c>
      <c r="AC2427" t="s">
        <v>1239</v>
      </c>
    </row>
    <row r="2428" spans="1:29" x14ac:dyDescent="0.25">
      <c r="A2428" s="31" t="s">
        <v>153</v>
      </c>
      <c r="B2428" s="23" t="s">
        <v>154</v>
      </c>
      <c r="D2428">
        <v>1</v>
      </c>
      <c r="E2428" t="s">
        <v>155</v>
      </c>
      <c r="F2428">
        <v>3</v>
      </c>
      <c r="G2428">
        <v>2017</v>
      </c>
      <c r="I2428">
        <v>360.31287699203313</v>
      </c>
      <c r="J2428" t="s">
        <v>121</v>
      </c>
      <c r="K2428" t="s">
        <v>47</v>
      </c>
      <c r="O2428">
        <v>0</v>
      </c>
      <c r="P2428">
        <v>0</v>
      </c>
      <c r="Q2428">
        <v>0</v>
      </c>
      <c r="R2428">
        <v>0</v>
      </c>
      <c r="S2428">
        <v>1</v>
      </c>
      <c r="T2428">
        <v>1</v>
      </c>
      <c r="U2428">
        <v>1</v>
      </c>
      <c r="V2428">
        <v>1</v>
      </c>
      <c r="W2428" t="s">
        <v>1047</v>
      </c>
      <c r="AA2428">
        <v>2007</v>
      </c>
      <c r="AB2428">
        <v>9999</v>
      </c>
      <c r="AC2428" t="s">
        <v>35</v>
      </c>
    </row>
    <row r="2429" spans="1:29" x14ac:dyDescent="0.25">
      <c r="A2429" s="31" t="s">
        <v>1446</v>
      </c>
      <c r="B2429" s="23" t="s">
        <v>1470</v>
      </c>
      <c r="D2429">
        <v>1</v>
      </c>
      <c r="E2429" s="4">
        <v>711</v>
      </c>
      <c r="F2429">
        <v>7</v>
      </c>
      <c r="G2429">
        <v>2017</v>
      </c>
      <c r="I2429">
        <v>120.73</v>
      </c>
      <c r="J2429" s="2" t="s">
        <v>40</v>
      </c>
      <c r="K2429" t="s">
        <v>32</v>
      </c>
      <c r="O2429">
        <v>0</v>
      </c>
      <c r="P2429">
        <v>0</v>
      </c>
      <c r="Q2429">
        <v>0</v>
      </c>
      <c r="R2429">
        <v>0</v>
      </c>
      <c r="S2429">
        <v>1</v>
      </c>
      <c r="T2429">
        <v>1</v>
      </c>
      <c r="U2429">
        <v>1</v>
      </c>
      <c r="V2429">
        <v>0</v>
      </c>
      <c r="W2429" t="s">
        <v>1448</v>
      </c>
      <c r="AA2429">
        <v>2014</v>
      </c>
      <c r="AB2429">
        <v>9999</v>
      </c>
      <c r="AC2429" t="s">
        <v>1449</v>
      </c>
    </row>
    <row r="2430" spans="1:29" x14ac:dyDescent="0.25">
      <c r="A2430" s="31" t="s">
        <v>159</v>
      </c>
      <c r="B2430" s="23" t="s">
        <v>160</v>
      </c>
      <c r="D2430">
        <v>1</v>
      </c>
      <c r="E2430" t="s">
        <v>155</v>
      </c>
      <c r="F2430">
        <v>3</v>
      </c>
      <c r="G2430">
        <v>2017</v>
      </c>
      <c r="I2430">
        <v>337.51</v>
      </c>
      <c r="J2430" t="s">
        <v>121</v>
      </c>
      <c r="K2430" t="s">
        <v>47</v>
      </c>
      <c r="O2430">
        <v>0</v>
      </c>
      <c r="P2430">
        <v>0</v>
      </c>
      <c r="Q2430">
        <v>0</v>
      </c>
      <c r="R2430">
        <v>0</v>
      </c>
      <c r="S2430">
        <v>1</v>
      </c>
      <c r="T2430">
        <v>1</v>
      </c>
      <c r="U2430">
        <v>1</v>
      </c>
      <c r="V2430">
        <v>0</v>
      </c>
      <c r="W2430" t="s">
        <v>1515</v>
      </c>
      <c r="AA2430">
        <v>2007</v>
      </c>
      <c r="AB2430">
        <v>9999</v>
      </c>
      <c r="AC2430" t="s">
        <v>35</v>
      </c>
    </row>
    <row r="2431" spans="1:29" x14ac:dyDescent="0.25">
      <c r="A2431" s="31" t="s">
        <v>165</v>
      </c>
      <c r="B2431" s="23" t="s">
        <v>166</v>
      </c>
      <c r="C2431" t="s">
        <v>167</v>
      </c>
      <c r="D2431">
        <v>1</v>
      </c>
      <c r="E2431" t="s">
        <v>168</v>
      </c>
      <c r="F2431">
        <v>1</v>
      </c>
      <c r="G2431">
        <v>2017</v>
      </c>
      <c r="I2431">
        <v>154.61000000000001</v>
      </c>
      <c r="J2431" t="s">
        <v>52</v>
      </c>
      <c r="K2431" t="s">
        <v>47</v>
      </c>
      <c r="O2431">
        <v>0</v>
      </c>
      <c r="P2431">
        <v>0</v>
      </c>
      <c r="Q2431">
        <v>0</v>
      </c>
      <c r="R2431">
        <v>0</v>
      </c>
      <c r="S2431">
        <v>1</v>
      </c>
      <c r="T2431">
        <v>1</v>
      </c>
      <c r="U2431">
        <v>1</v>
      </c>
      <c r="V2431">
        <v>0</v>
      </c>
      <c r="W2431" t="s">
        <v>1523</v>
      </c>
      <c r="AA2431">
        <v>2007</v>
      </c>
      <c r="AB2431">
        <v>9999</v>
      </c>
      <c r="AC2431" t="s">
        <v>35</v>
      </c>
    </row>
    <row r="2432" spans="1:29" x14ac:dyDescent="0.25">
      <c r="A2432" s="31" t="s">
        <v>165</v>
      </c>
      <c r="B2432" s="23" t="s">
        <v>1349</v>
      </c>
      <c r="D2432">
        <v>1</v>
      </c>
      <c r="E2432" t="s">
        <v>38</v>
      </c>
      <c r="F2432">
        <v>4</v>
      </c>
      <c r="G2432">
        <v>2017</v>
      </c>
      <c r="H2432" t="s">
        <v>205</v>
      </c>
      <c r="I2432">
        <v>5</v>
      </c>
      <c r="J2432" t="s">
        <v>89</v>
      </c>
      <c r="K2432" t="s">
        <v>41</v>
      </c>
      <c r="O2432">
        <v>0</v>
      </c>
      <c r="P2432">
        <v>0</v>
      </c>
      <c r="Q2432">
        <v>0</v>
      </c>
      <c r="R2432">
        <v>0</v>
      </c>
      <c r="S2432">
        <v>0</v>
      </c>
      <c r="T2432">
        <v>0</v>
      </c>
      <c r="U2432">
        <v>0</v>
      </c>
      <c r="V2432">
        <v>0</v>
      </c>
      <c r="W2432" t="s">
        <v>1350</v>
      </c>
      <c r="AA2432">
        <v>2007</v>
      </c>
      <c r="AB2432">
        <v>9999</v>
      </c>
      <c r="AC2432" t="s">
        <v>35</v>
      </c>
    </row>
    <row r="2433" spans="1:29" x14ac:dyDescent="0.25">
      <c r="A2433" s="31" t="s">
        <v>170</v>
      </c>
      <c r="B2433" s="23" t="s">
        <v>171</v>
      </c>
      <c r="D2433">
        <v>1</v>
      </c>
      <c r="E2433" t="s">
        <v>30</v>
      </c>
      <c r="F2433">
        <v>4</v>
      </c>
      <c r="G2433">
        <v>2017</v>
      </c>
      <c r="I2433">
        <v>49.55</v>
      </c>
      <c r="J2433" t="s">
        <v>1471</v>
      </c>
      <c r="K2433" t="s">
        <v>47</v>
      </c>
      <c r="O2433">
        <v>0</v>
      </c>
      <c r="P2433">
        <v>0</v>
      </c>
      <c r="Q2433">
        <v>0</v>
      </c>
      <c r="R2433">
        <v>0</v>
      </c>
      <c r="S2433">
        <v>1</v>
      </c>
      <c r="T2433">
        <v>1</v>
      </c>
      <c r="U2433">
        <v>1</v>
      </c>
      <c r="V2433">
        <v>0</v>
      </c>
      <c r="W2433" t="s">
        <v>1050</v>
      </c>
      <c r="AA2433">
        <v>2007</v>
      </c>
      <c r="AB2433">
        <v>9999</v>
      </c>
      <c r="AC2433" t="s">
        <v>35</v>
      </c>
    </row>
    <row r="2434" spans="1:29" x14ac:dyDescent="0.25">
      <c r="A2434" s="31" t="s">
        <v>1051</v>
      </c>
      <c r="B2434" s="23" t="s">
        <v>1052</v>
      </c>
      <c r="D2434">
        <v>1</v>
      </c>
      <c r="E2434" t="s">
        <v>30</v>
      </c>
      <c r="F2434">
        <v>4</v>
      </c>
      <c r="G2434">
        <v>2017</v>
      </c>
      <c r="I2434">
        <v>99.5</v>
      </c>
      <c r="J2434" t="s">
        <v>1471</v>
      </c>
      <c r="K2434" t="s">
        <v>47</v>
      </c>
      <c r="O2434">
        <v>0</v>
      </c>
      <c r="P2434">
        <v>0</v>
      </c>
      <c r="Q2434">
        <v>0</v>
      </c>
      <c r="R2434">
        <v>0</v>
      </c>
      <c r="S2434">
        <v>1</v>
      </c>
      <c r="T2434">
        <v>1</v>
      </c>
      <c r="U2434">
        <v>1</v>
      </c>
      <c r="V2434">
        <v>0</v>
      </c>
      <c r="W2434" t="s">
        <v>1524</v>
      </c>
      <c r="AA2434">
        <v>2008</v>
      </c>
      <c r="AB2434">
        <v>9999</v>
      </c>
      <c r="AC2434" t="s">
        <v>1054</v>
      </c>
    </row>
    <row r="2435" spans="1:29" x14ac:dyDescent="0.25">
      <c r="A2435" s="31" t="s">
        <v>173</v>
      </c>
      <c r="B2435" s="23" t="s">
        <v>174</v>
      </c>
      <c r="C2435" t="s">
        <v>175</v>
      </c>
      <c r="D2435">
        <v>1</v>
      </c>
      <c r="E2435" t="s">
        <v>45</v>
      </c>
      <c r="F2435">
        <v>4</v>
      </c>
      <c r="G2435">
        <v>2017</v>
      </c>
      <c r="I2435">
        <v>138.11000000000001</v>
      </c>
      <c r="J2435" t="s">
        <v>176</v>
      </c>
      <c r="K2435" t="s">
        <v>32</v>
      </c>
      <c r="O2435">
        <v>0</v>
      </c>
      <c r="P2435">
        <v>0</v>
      </c>
      <c r="Q2435">
        <v>0</v>
      </c>
      <c r="R2435">
        <v>0</v>
      </c>
      <c r="S2435">
        <v>1</v>
      </c>
      <c r="T2435">
        <v>1</v>
      </c>
      <c r="U2435">
        <v>1</v>
      </c>
      <c r="V2435">
        <v>0</v>
      </c>
      <c r="W2435" t="s">
        <v>1055</v>
      </c>
      <c r="AA2435">
        <v>2007</v>
      </c>
      <c r="AB2435">
        <v>9999</v>
      </c>
      <c r="AC2435" t="s">
        <v>35</v>
      </c>
    </row>
    <row r="2436" spans="1:29" x14ac:dyDescent="0.25">
      <c r="A2436" s="31" t="s">
        <v>178</v>
      </c>
      <c r="B2436" s="23" t="s">
        <v>1424</v>
      </c>
      <c r="C2436" t="s">
        <v>1425</v>
      </c>
      <c r="D2436">
        <v>1</v>
      </c>
      <c r="E2436" t="s">
        <v>45</v>
      </c>
      <c r="F2436">
        <v>4</v>
      </c>
      <c r="G2436">
        <v>2017</v>
      </c>
      <c r="I2436">
        <v>15.4</v>
      </c>
      <c r="J2436" t="s">
        <v>52</v>
      </c>
      <c r="K2436" t="s">
        <v>47</v>
      </c>
      <c r="O2436">
        <v>0</v>
      </c>
      <c r="P2436">
        <v>0</v>
      </c>
      <c r="Q2436">
        <v>0</v>
      </c>
      <c r="R2436">
        <v>0</v>
      </c>
      <c r="S2436">
        <v>1</v>
      </c>
      <c r="T2436">
        <v>1</v>
      </c>
      <c r="U2436">
        <v>1</v>
      </c>
      <c r="V2436">
        <v>0</v>
      </c>
      <c r="W2436" t="s">
        <v>1240</v>
      </c>
      <c r="AA2436">
        <v>2007</v>
      </c>
      <c r="AB2436">
        <v>9999</v>
      </c>
      <c r="AC2436" t="s">
        <v>35</v>
      </c>
    </row>
    <row r="2437" spans="1:29" x14ac:dyDescent="0.25">
      <c r="A2437" s="31" t="s">
        <v>181</v>
      </c>
      <c r="B2437" s="23" t="s">
        <v>182</v>
      </c>
      <c r="D2437">
        <v>1</v>
      </c>
      <c r="E2437" t="s">
        <v>38</v>
      </c>
      <c r="F2437">
        <v>4</v>
      </c>
      <c r="G2437">
        <v>2017</v>
      </c>
      <c r="H2437" t="s">
        <v>39</v>
      </c>
      <c r="I2437">
        <v>0.6</v>
      </c>
      <c r="J2437" t="s">
        <v>121</v>
      </c>
      <c r="K2437" t="s">
        <v>41</v>
      </c>
      <c r="O2437">
        <v>0</v>
      </c>
      <c r="P2437">
        <v>0</v>
      </c>
      <c r="Q2437">
        <v>0</v>
      </c>
      <c r="R2437">
        <v>0</v>
      </c>
      <c r="S2437">
        <v>0</v>
      </c>
      <c r="T2437">
        <v>0</v>
      </c>
      <c r="U2437">
        <v>0</v>
      </c>
      <c r="V2437">
        <v>0</v>
      </c>
      <c r="W2437" t="s">
        <v>1057</v>
      </c>
      <c r="AA2437">
        <v>2007</v>
      </c>
      <c r="AB2437">
        <v>9999</v>
      </c>
      <c r="AC2437" t="s">
        <v>35</v>
      </c>
    </row>
    <row r="2438" spans="1:29" x14ac:dyDescent="0.25">
      <c r="A2438" s="31" t="s">
        <v>184</v>
      </c>
      <c r="B2438" s="23" t="s">
        <v>185</v>
      </c>
      <c r="C2438" t="s">
        <v>186</v>
      </c>
      <c r="D2438">
        <v>1</v>
      </c>
      <c r="E2438" t="s">
        <v>45</v>
      </c>
      <c r="F2438">
        <v>4</v>
      </c>
      <c r="G2438">
        <v>2017</v>
      </c>
      <c r="I2438">
        <v>397.36</v>
      </c>
      <c r="J2438" t="s">
        <v>52</v>
      </c>
      <c r="K2438" t="s">
        <v>32</v>
      </c>
      <c r="O2438">
        <v>0</v>
      </c>
      <c r="P2438">
        <v>0</v>
      </c>
      <c r="Q2438">
        <v>0</v>
      </c>
      <c r="R2438">
        <v>0</v>
      </c>
      <c r="S2438">
        <v>1</v>
      </c>
      <c r="T2438">
        <v>1</v>
      </c>
      <c r="U2438">
        <v>1</v>
      </c>
      <c r="V2438">
        <v>0</v>
      </c>
      <c r="W2438" t="s">
        <v>1287</v>
      </c>
      <c r="AA2438">
        <v>2007</v>
      </c>
      <c r="AB2438">
        <v>9999</v>
      </c>
      <c r="AC2438" t="s">
        <v>35</v>
      </c>
    </row>
    <row r="2439" spans="1:29" x14ac:dyDescent="0.25">
      <c r="A2439" s="31" t="s">
        <v>1059</v>
      </c>
      <c r="B2439" s="23" t="s">
        <v>1060</v>
      </c>
      <c r="D2439">
        <v>1</v>
      </c>
      <c r="E2439" t="s">
        <v>874</v>
      </c>
      <c r="F2439">
        <v>1</v>
      </c>
      <c r="G2439">
        <v>2017</v>
      </c>
      <c r="I2439">
        <v>3.8</v>
      </c>
      <c r="J2439" t="s">
        <v>52</v>
      </c>
      <c r="K2439" t="s">
        <v>47</v>
      </c>
      <c r="O2439">
        <v>0</v>
      </c>
      <c r="P2439">
        <v>0</v>
      </c>
      <c r="Q2439">
        <v>0</v>
      </c>
      <c r="R2439">
        <v>0</v>
      </c>
      <c r="S2439">
        <v>1</v>
      </c>
      <c r="T2439">
        <v>1</v>
      </c>
      <c r="U2439">
        <v>1</v>
      </c>
      <c r="V2439">
        <v>0</v>
      </c>
      <c r="W2439" t="s">
        <v>1392</v>
      </c>
      <c r="AA2439">
        <v>2008</v>
      </c>
      <c r="AB2439">
        <v>9999</v>
      </c>
      <c r="AC2439" t="s">
        <v>1054</v>
      </c>
    </row>
    <row r="2440" spans="1:29" x14ac:dyDescent="0.25">
      <c r="A2440" s="31" t="s">
        <v>192</v>
      </c>
      <c r="B2440" s="25" t="s">
        <v>193</v>
      </c>
      <c r="D2440">
        <v>1</v>
      </c>
      <c r="E2440" t="s">
        <v>51</v>
      </c>
      <c r="F2440">
        <v>1</v>
      </c>
      <c r="G2440">
        <v>2017</v>
      </c>
      <c r="I2440">
        <v>53</v>
      </c>
      <c r="J2440" t="s">
        <v>52</v>
      </c>
      <c r="K2440" t="s">
        <v>53</v>
      </c>
      <c r="L2440" t="s">
        <v>54</v>
      </c>
      <c r="O2440">
        <v>0</v>
      </c>
      <c r="P2440">
        <v>0</v>
      </c>
      <c r="Q2440">
        <v>1</v>
      </c>
      <c r="R2440">
        <v>0</v>
      </c>
      <c r="S2440">
        <v>0</v>
      </c>
      <c r="T2440">
        <v>0</v>
      </c>
      <c r="U2440">
        <v>1</v>
      </c>
      <c r="V2440">
        <v>0</v>
      </c>
      <c r="W2440" t="s">
        <v>55</v>
      </c>
      <c r="AA2440">
        <v>2007</v>
      </c>
      <c r="AB2440">
        <v>9999</v>
      </c>
      <c r="AC2440" t="s">
        <v>35</v>
      </c>
    </row>
    <row r="2441" spans="1:29" x14ac:dyDescent="0.25">
      <c r="A2441" s="31" t="s">
        <v>194</v>
      </c>
      <c r="B2441" s="23" t="s">
        <v>195</v>
      </c>
      <c r="C2441" t="s">
        <v>196</v>
      </c>
      <c r="D2441">
        <v>1</v>
      </c>
      <c r="E2441" t="s">
        <v>197</v>
      </c>
      <c r="F2441">
        <v>2</v>
      </c>
      <c r="G2441">
        <v>2017</v>
      </c>
      <c r="I2441">
        <v>179.06</v>
      </c>
      <c r="J2441" t="s">
        <v>176</v>
      </c>
      <c r="K2441" t="s">
        <v>47</v>
      </c>
      <c r="O2441">
        <v>0</v>
      </c>
      <c r="P2441">
        <v>0</v>
      </c>
      <c r="Q2441">
        <v>0</v>
      </c>
      <c r="R2441">
        <v>0</v>
      </c>
      <c r="S2441">
        <v>1</v>
      </c>
      <c r="T2441">
        <v>1</v>
      </c>
      <c r="U2441">
        <v>1</v>
      </c>
      <c r="V2441">
        <v>0</v>
      </c>
      <c r="W2441" t="s">
        <v>1450</v>
      </c>
      <c r="AA2441">
        <v>2007</v>
      </c>
      <c r="AB2441">
        <v>9999</v>
      </c>
      <c r="AC2441" t="s">
        <v>35</v>
      </c>
    </row>
    <row r="2442" spans="1:29" x14ac:dyDescent="0.25">
      <c r="A2442" s="31" t="s">
        <v>1451</v>
      </c>
      <c r="B2442" s="23" t="s">
        <v>1452</v>
      </c>
      <c r="D2442">
        <v>1</v>
      </c>
      <c r="E2442" s="4">
        <v>760</v>
      </c>
      <c r="F2442">
        <v>7</v>
      </c>
      <c r="G2442">
        <v>2017</v>
      </c>
      <c r="I2442">
        <v>419.35</v>
      </c>
      <c r="J2442" t="s">
        <v>40</v>
      </c>
      <c r="K2442" t="s">
        <v>47</v>
      </c>
      <c r="O2442">
        <v>0</v>
      </c>
      <c r="P2442">
        <v>0</v>
      </c>
      <c r="Q2442">
        <v>0</v>
      </c>
      <c r="R2442">
        <v>0</v>
      </c>
      <c r="S2442">
        <v>1</v>
      </c>
      <c r="T2442">
        <v>1</v>
      </c>
      <c r="U2442">
        <v>1</v>
      </c>
      <c r="V2442">
        <v>0</v>
      </c>
      <c r="W2442" t="s">
        <v>1453</v>
      </c>
      <c r="AA2442">
        <v>2014</v>
      </c>
      <c r="AB2442">
        <v>9999</v>
      </c>
      <c r="AC2442" t="s">
        <v>1449</v>
      </c>
    </row>
    <row r="2443" spans="1:29" x14ac:dyDescent="0.25">
      <c r="A2443" s="31" t="s">
        <v>203</v>
      </c>
      <c r="B2443" s="23" t="s">
        <v>204</v>
      </c>
      <c r="D2443">
        <v>1</v>
      </c>
      <c r="E2443" t="s">
        <v>201</v>
      </c>
      <c r="F2443">
        <v>1</v>
      </c>
      <c r="G2443">
        <v>2017</v>
      </c>
      <c r="H2443" t="s">
        <v>205</v>
      </c>
      <c r="I2443">
        <v>2</v>
      </c>
      <c r="J2443" t="s">
        <v>52</v>
      </c>
      <c r="K2443" t="s">
        <v>41</v>
      </c>
      <c r="O2443">
        <v>0</v>
      </c>
      <c r="P2443">
        <v>0</v>
      </c>
      <c r="Q2443">
        <v>0</v>
      </c>
      <c r="R2443">
        <v>0</v>
      </c>
      <c r="S2443">
        <v>0</v>
      </c>
      <c r="T2443">
        <v>0</v>
      </c>
      <c r="U2443">
        <v>0</v>
      </c>
      <c r="V2443">
        <v>0</v>
      </c>
      <c r="W2443" t="s">
        <v>1064</v>
      </c>
      <c r="AA2443">
        <v>2007</v>
      </c>
      <c r="AB2443">
        <v>9999</v>
      </c>
      <c r="AC2443" t="s">
        <v>35</v>
      </c>
    </row>
    <row r="2444" spans="1:29" x14ac:dyDescent="0.25">
      <c r="A2444" s="31" t="s">
        <v>207</v>
      </c>
      <c r="B2444" s="23" t="s">
        <v>1472</v>
      </c>
      <c r="C2444" t="s">
        <v>209</v>
      </c>
      <c r="D2444">
        <v>1</v>
      </c>
      <c r="E2444" t="s">
        <v>210</v>
      </c>
      <c r="F2444">
        <v>10</v>
      </c>
      <c r="G2444">
        <v>2017</v>
      </c>
      <c r="I2444">
        <v>26.25</v>
      </c>
      <c r="J2444" t="s">
        <v>40</v>
      </c>
      <c r="K2444" t="s">
        <v>32</v>
      </c>
      <c r="O2444">
        <v>0</v>
      </c>
      <c r="P2444">
        <v>0</v>
      </c>
      <c r="Q2444">
        <v>0</v>
      </c>
      <c r="R2444">
        <v>0</v>
      </c>
      <c r="S2444">
        <v>1</v>
      </c>
      <c r="T2444">
        <v>1</v>
      </c>
      <c r="U2444">
        <v>1</v>
      </c>
      <c r="V2444">
        <v>0</v>
      </c>
      <c r="W2444" t="s">
        <v>1065</v>
      </c>
      <c r="AA2444">
        <v>2007</v>
      </c>
      <c r="AB2444">
        <v>9999</v>
      </c>
      <c r="AC2444" t="s">
        <v>35</v>
      </c>
    </row>
    <row r="2445" spans="1:29" ht="30" x14ac:dyDescent="0.25">
      <c r="A2445" s="31" t="s">
        <v>212</v>
      </c>
      <c r="B2445" s="23" t="s">
        <v>213</v>
      </c>
      <c r="C2445" t="s">
        <v>214</v>
      </c>
      <c r="D2445">
        <v>1</v>
      </c>
      <c r="E2445" s="4">
        <v>550</v>
      </c>
      <c r="F2445">
        <v>5</v>
      </c>
      <c r="G2445">
        <v>2017</v>
      </c>
      <c r="I2445">
        <v>46.15</v>
      </c>
      <c r="J2445" s="2" t="s">
        <v>1471</v>
      </c>
      <c r="K2445" t="s">
        <v>32</v>
      </c>
      <c r="O2445">
        <v>0</v>
      </c>
      <c r="P2445">
        <v>0</v>
      </c>
      <c r="Q2445">
        <v>0</v>
      </c>
      <c r="R2445">
        <v>0</v>
      </c>
      <c r="S2445">
        <v>1</v>
      </c>
      <c r="T2445">
        <v>1</v>
      </c>
      <c r="U2445">
        <v>1</v>
      </c>
      <c r="V2445">
        <v>0</v>
      </c>
      <c r="W2445" t="s">
        <v>1288</v>
      </c>
      <c r="AA2445">
        <v>2007</v>
      </c>
      <c r="AB2445">
        <v>9999</v>
      </c>
      <c r="AC2445" t="s">
        <v>35</v>
      </c>
    </row>
    <row r="2446" spans="1:29" x14ac:dyDescent="0.25">
      <c r="A2446" s="31" t="s">
        <v>216</v>
      </c>
      <c r="B2446" s="23" t="s">
        <v>217</v>
      </c>
      <c r="D2446">
        <v>1</v>
      </c>
      <c r="E2446" t="s">
        <v>218</v>
      </c>
      <c r="F2446">
        <v>2</v>
      </c>
      <c r="G2446">
        <v>2017</v>
      </c>
      <c r="I2446">
        <v>555.26</v>
      </c>
      <c r="J2446" t="s">
        <v>52</v>
      </c>
      <c r="K2446" t="s">
        <v>32</v>
      </c>
      <c r="O2446">
        <v>0</v>
      </c>
      <c r="P2446">
        <v>0</v>
      </c>
      <c r="Q2446">
        <v>0</v>
      </c>
      <c r="R2446">
        <v>0</v>
      </c>
      <c r="S2446">
        <v>1</v>
      </c>
      <c r="T2446">
        <v>1</v>
      </c>
      <c r="U2446">
        <v>1</v>
      </c>
      <c r="V2446">
        <v>0</v>
      </c>
      <c r="W2446" t="s">
        <v>1067</v>
      </c>
      <c r="AA2446">
        <v>2007</v>
      </c>
      <c r="AB2446">
        <v>9999</v>
      </c>
      <c r="AC2446" t="s">
        <v>35</v>
      </c>
    </row>
    <row r="2447" spans="1:29" x14ac:dyDescent="0.25">
      <c r="A2447" s="31" t="s">
        <v>220</v>
      </c>
      <c r="B2447" s="23" t="s">
        <v>221</v>
      </c>
      <c r="D2447">
        <v>1</v>
      </c>
      <c r="E2447" t="s">
        <v>222</v>
      </c>
      <c r="F2447">
        <v>8</v>
      </c>
      <c r="G2447">
        <v>2017</v>
      </c>
      <c r="I2447">
        <v>33.51</v>
      </c>
      <c r="J2447" t="s">
        <v>81</v>
      </c>
      <c r="K2447" t="s">
        <v>47</v>
      </c>
      <c r="O2447">
        <v>0</v>
      </c>
      <c r="P2447">
        <v>0</v>
      </c>
      <c r="Q2447">
        <v>0</v>
      </c>
      <c r="R2447">
        <v>0</v>
      </c>
      <c r="S2447">
        <v>1</v>
      </c>
      <c r="T2447">
        <v>1</v>
      </c>
      <c r="U2447">
        <v>1</v>
      </c>
      <c r="V2447">
        <v>0</v>
      </c>
      <c r="W2447" t="s">
        <v>1068</v>
      </c>
      <c r="AA2447">
        <v>2007</v>
      </c>
      <c r="AB2447">
        <v>9999</v>
      </c>
      <c r="AC2447" t="s">
        <v>35</v>
      </c>
    </row>
    <row r="2448" spans="1:29" x14ac:dyDescent="0.25">
      <c r="A2448" s="31" t="s">
        <v>224</v>
      </c>
      <c r="B2448" s="25" t="s">
        <v>225</v>
      </c>
      <c r="D2448">
        <v>1</v>
      </c>
      <c r="E2448" t="s">
        <v>51</v>
      </c>
      <c r="F2448">
        <v>1</v>
      </c>
      <c r="G2448">
        <v>2017</v>
      </c>
      <c r="I2448">
        <v>59</v>
      </c>
      <c r="J2448" t="s">
        <v>52</v>
      </c>
      <c r="K2448" t="s">
        <v>53</v>
      </c>
      <c r="L2448" t="s">
        <v>54</v>
      </c>
      <c r="O2448">
        <v>0</v>
      </c>
      <c r="P2448">
        <v>0</v>
      </c>
      <c r="Q2448">
        <v>1</v>
      </c>
      <c r="R2448">
        <v>0</v>
      </c>
      <c r="S2448">
        <v>0</v>
      </c>
      <c r="T2448">
        <v>0</v>
      </c>
      <c r="U2448">
        <v>1</v>
      </c>
      <c r="V2448">
        <v>0</v>
      </c>
      <c r="W2448" t="s">
        <v>55</v>
      </c>
      <c r="AA2448">
        <v>2007</v>
      </c>
      <c r="AB2448">
        <v>9999</v>
      </c>
      <c r="AC2448" t="s">
        <v>35</v>
      </c>
    </row>
    <row r="2449" spans="1:29" x14ac:dyDescent="0.25">
      <c r="A2449" s="31" t="s">
        <v>226</v>
      </c>
      <c r="B2449" s="23" t="s">
        <v>227</v>
      </c>
      <c r="C2449" t="s">
        <v>228</v>
      </c>
      <c r="D2449">
        <v>1</v>
      </c>
      <c r="E2449" t="s">
        <v>218</v>
      </c>
      <c r="F2449">
        <v>2</v>
      </c>
      <c r="G2449">
        <v>2017</v>
      </c>
      <c r="I2449">
        <v>3328.39</v>
      </c>
      <c r="J2449" t="s">
        <v>147</v>
      </c>
      <c r="K2449" t="s">
        <v>32</v>
      </c>
      <c r="O2449">
        <v>0</v>
      </c>
      <c r="P2449">
        <v>0</v>
      </c>
      <c r="Q2449">
        <v>0</v>
      </c>
      <c r="R2449">
        <v>0</v>
      </c>
      <c r="S2449">
        <v>1</v>
      </c>
      <c r="T2449">
        <v>1</v>
      </c>
      <c r="U2449">
        <v>1</v>
      </c>
      <c r="V2449">
        <v>0</v>
      </c>
      <c r="W2449" t="s">
        <v>1069</v>
      </c>
      <c r="AA2449">
        <v>2007</v>
      </c>
      <c r="AB2449">
        <v>9999</v>
      </c>
      <c r="AC2449" t="s">
        <v>35</v>
      </c>
    </row>
    <row r="2450" spans="1:29" x14ac:dyDescent="0.25">
      <c r="A2450" s="31" t="s">
        <v>230</v>
      </c>
      <c r="B2450" s="23" t="s">
        <v>231</v>
      </c>
      <c r="C2450" t="s">
        <v>232</v>
      </c>
      <c r="D2450">
        <v>1</v>
      </c>
      <c r="E2450" t="s">
        <v>145</v>
      </c>
      <c r="F2450">
        <v>2</v>
      </c>
      <c r="G2450">
        <v>2017</v>
      </c>
      <c r="J2450" t="s">
        <v>147</v>
      </c>
      <c r="K2450" t="s">
        <v>47</v>
      </c>
      <c r="O2450">
        <v>0</v>
      </c>
      <c r="P2450">
        <v>0</v>
      </c>
      <c r="Q2450">
        <v>0</v>
      </c>
      <c r="R2450">
        <v>0</v>
      </c>
      <c r="S2450">
        <v>1</v>
      </c>
      <c r="T2450">
        <v>1</v>
      </c>
      <c r="U2450">
        <v>1</v>
      </c>
      <c r="V2450">
        <v>0</v>
      </c>
      <c r="W2450" t="s">
        <v>1070</v>
      </c>
      <c r="AA2450">
        <v>2007</v>
      </c>
      <c r="AB2450">
        <v>9999</v>
      </c>
      <c r="AC2450" t="s">
        <v>35</v>
      </c>
    </row>
    <row r="2451" spans="1:29" x14ac:dyDescent="0.25">
      <c r="A2451" s="31" t="s">
        <v>237</v>
      </c>
      <c r="B2451" s="23" t="s">
        <v>238</v>
      </c>
      <c r="D2451">
        <v>1</v>
      </c>
      <c r="E2451" t="s">
        <v>218</v>
      </c>
      <c r="F2451">
        <v>2</v>
      </c>
      <c r="G2451">
        <v>2017</v>
      </c>
      <c r="I2451">
        <v>315.49</v>
      </c>
      <c r="J2451" t="s">
        <v>104</v>
      </c>
      <c r="K2451" t="s">
        <v>53</v>
      </c>
      <c r="L2451" t="s">
        <v>105</v>
      </c>
      <c r="O2451">
        <v>0</v>
      </c>
      <c r="P2451">
        <v>1</v>
      </c>
      <c r="Q2451">
        <v>0</v>
      </c>
      <c r="R2451">
        <v>0</v>
      </c>
      <c r="S2451">
        <v>1</v>
      </c>
      <c r="T2451">
        <v>1</v>
      </c>
      <c r="U2451">
        <v>1</v>
      </c>
      <c r="V2451">
        <v>0</v>
      </c>
      <c r="W2451" t="s">
        <v>1072</v>
      </c>
      <c r="AA2451">
        <v>2007</v>
      </c>
      <c r="AB2451">
        <v>9999</v>
      </c>
      <c r="AC2451" t="s">
        <v>35</v>
      </c>
    </row>
    <row r="2452" spans="1:29" x14ac:dyDescent="0.25">
      <c r="A2452" s="31" t="s">
        <v>240</v>
      </c>
      <c r="B2452" s="23" t="s">
        <v>241</v>
      </c>
      <c r="D2452">
        <v>1</v>
      </c>
      <c r="E2452" t="s">
        <v>218</v>
      </c>
      <c r="F2452">
        <v>2</v>
      </c>
      <c r="G2452">
        <v>2017</v>
      </c>
      <c r="I2452">
        <v>17464.099999999999</v>
      </c>
      <c r="J2452" t="s">
        <v>147</v>
      </c>
      <c r="K2452" t="s">
        <v>47</v>
      </c>
      <c r="O2452">
        <v>0</v>
      </c>
      <c r="P2452">
        <v>0</v>
      </c>
      <c r="Q2452">
        <v>0</v>
      </c>
      <c r="R2452">
        <v>0</v>
      </c>
      <c r="S2452">
        <v>1</v>
      </c>
      <c r="T2452">
        <v>1</v>
      </c>
      <c r="U2452">
        <v>1</v>
      </c>
      <c r="V2452">
        <v>0</v>
      </c>
      <c r="W2452" t="s">
        <v>1073</v>
      </c>
      <c r="AA2452">
        <v>2007</v>
      </c>
      <c r="AB2452">
        <v>9999</v>
      </c>
      <c r="AC2452" t="s">
        <v>35</v>
      </c>
    </row>
    <row r="2453" spans="1:29" x14ac:dyDescent="0.25">
      <c r="A2453" s="31" t="s">
        <v>1289</v>
      </c>
      <c r="B2453" s="23" t="s">
        <v>1290</v>
      </c>
      <c r="D2453">
        <v>1</v>
      </c>
      <c r="E2453" t="s">
        <v>218</v>
      </c>
      <c r="F2453">
        <v>2</v>
      </c>
      <c r="G2453">
        <v>2017</v>
      </c>
      <c r="I2453">
        <v>4</v>
      </c>
      <c r="J2453" t="s">
        <v>147</v>
      </c>
      <c r="K2453" t="s">
        <v>53</v>
      </c>
      <c r="L2453" t="s">
        <v>60</v>
      </c>
      <c r="O2453">
        <v>1</v>
      </c>
      <c r="P2453">
        <v>0</v>
      </c>
      <c r="Q2453">
        <v>0</v>
      </c>
      <c r="R2453">
        <v>0</v>
      </c>
      <c r="S2453">
        <v>1</v>
      </c>
      <c r="T2453">
        <v>1</v>
      </c>
      <c r="U2453">
        <v>1</v>
      </c>
      <c r="V2453">
        <v>0</v>
      </c>
      <c r="W2453" t="s">
        <v>1291</v>
      </c>
      <c r="AA2453">
        <v>2010</v>
      </c>
      <c r="AB2453">
        <v>9999</v>
      </c>
      <c r="AC2453" t="s">
        <v>1292</v>
      </c>
    </row>
    <row r="2454" spans="1:29" x14ac:dyDescent="0.25">
      <c r="A2454" s="31" t="s">
        <v>243</v>
      </c>
      <c r="B2454" s="23" t="s">
        <v>244</v>
      </c>
      <c r="D2454">
        <v>1</v>
      </c>
      <c r="E2454" t="s">
        <v>210</v>
      </c>
      <c r="F2454">
        <v>10</v>
      </c>
      <c r="G2454">
        <v>2017</v>
      </c>
      <c r="I2454">
        <v>12381.73</v>
      </c>
      <c r="J2454" t="s">
        <v>40</v>
      </c>
      <c r="K2454" t="s">
        <v>32</v>
      </c>
      <c r="O2454">
        <v>0</v>
      </c>
      <c r="P2454">
        <v>0</v>
      </c>
      <c r="Q2454">
        <v>0</v>
      </c>
      <c r="R2454">
        <v>0</v>
      </c>
      <c r="S2454">
        <v>1</v>
      </c>
      <c r="T2454">
        <v>1</v>
      </c>
      <c r="U2454">
        <v>1</v>
      </c>
      <c r="V2454">
        <v>0</v>
      </c>
      <c r="W2454" t="s">
        <v>1293</v>
      </c>
      <c r="AA2454">
        <v>2007</v>
      </c>
      <c r="AB2454">
        <v>9999</v>
      </c>
      <c r="AC2454" t="s">
        <v>35</v>
      </c>
    </row>
    <row r="2455" spans="1:29" x14ac:dyDescent="0.25">
      <c r="A2455" s="31" t="s">
        <v>153</v>
      </c>
      <c r="B2455" s="23" t="s">
        <v>1356</v>
      </c>
      <c r="D2455">
        <v>12</v>
      </c>
      <c r="E2455" t="s">
        <v>155</v>
      </c>
      <c r="F2455">
        <v>3</v>
      </c>
      <c r="G2455">
        <v>2017</v>
      </c>
      <c r="I2455" s="2">
        <v>1529.0935035358593</v>
      </c>
      <c r="J2455" t="s">
        <v>121</v>
      </c>
      <c r="K2455" t="s">
        <v>53</v>
      </c>
      <c r="L2455" t="s">
        <v>60</v>
      </c>
      <c r="O2455">
        <v>1</v>
      </c>
      <c r="P2455">
        <v>0</v>
      </c>
      <c r="Q2455">
        <v>0</v>
      </c>
      <c r="R2455">
        <v>0</v>
      </c>
      <c r="S2455">
        <v>1</v>
      </c>
      <c r="T2455">
        <v>0</v>
      </c>
      <c r="U2455">
        <v>0</v>
      </c>
      <c r="V2455">
        <v>1</v>
      </c>
      <c r="W2455" t="s">
        <v>477</v>
      </c>
      <c r="AA2455">
        <v>2007</v>
      </c>
      <c r="AB2455">
        <v>9999</v>
      </c>
      <c r="AC2455" t="s">
        <v>35</v>
      </c>
    </row>
    <row r="2456" spans="1:29" x14ac:dyDescent="0.25">
      <c r="A2456" s="31" t="s">
        <v>246</v>
      </c>
      <c r="B2456" s="23" t="s">
        <v>247</v>
      </c>
      <c r="D2456">
        <v>1</v>
      </c>
      <c r="E2456" t="s">
        <v>120</v>
      </c>
      <c r="F2456">
        <v>3</v>
      </c>
      <c r="G2456">
        <v>2017</v>
      </c>
      <c r="H2456" t="s">
        <v>129</v>
      </c>
      <c r="I2456">
        <v>3.6</v>
      </c>
      <c r="J2456" t="s">
        <v>121</v>
      </c>
      <c r="K2456" t="s">
        <v>41</v>
      </c>
      <c r="O2456">
        <v>0</v>
      </c>
      <c r="P2456">
        <v>0</v>
      </c>
      <c r="Q2456">
        <v>0</v>
      </c>
      <c r="R2456">
        <v>0</v>
      </c>
      <c r="S2456">
        <v>0</v>
      </c>
      <c r="T2456">
        <v>1</v>
      </c>
      <c r="U2456">
        <v>1</v>
      </c>
      <c r="V2456">
        <v>0</v>
      </c>
      <c r="W2456" t="s">
        <v>1075</v>
      </c>
      <c r="AA2456">
        <v>2007</v>
      </c>
      <c r="AB2456">
        <v>9999</v>
      </c>
      <c r="AC2456" t="s">
        <v>35</v>
      </c>
    </row>
    <row r="2457" spans="1:29" x14ac:dyDescent="0.25">
      <c r="A2457" s="31" t="s">
        <v>252</v>
      </c>
      <c r="B2457" s="23" t="s">
        <v>253</v>
      </c>
      <c r="D2457">
        <v>1</v>
      </c>
      <c r="E2457" t="s">
        <v>145</v>
      </c>
      <c r="F2457">
        <v>2</v>
      </c>
      <c r="G2457">
        <v>2017</v>
      </c>
      <c r="H2457" t="s">
        <v>1473</v>
      </c>
      <c r="J2457" s="2" t="s">
        <v>147</v>
      </c>
      <c r="K2457" t="s">
        <v>41</v>
      </c>
      <c r="O2457">
        <v>0</v>
      </c>
      <c r="P2457">
        <v>0</v>
      </c>
      <c r="Q2457">
        <v>0</v>
      </c>
      <c r="R2457">
        <v>0</v>
      </c>
      <c r="S2457">
        <v>0</v>
      </c>
      <c r="T2457">
        <v>0</v>
      </c>
      <c r="U2457">
        <v>0</v>
      </c>
      <c r="V2457">
        <v>0</v>
      </c>
      <c r="W2457" t="s">
        <v>1077</v>
      </c>
      <c r="AA2457">
        <v>2007</v>
      </c>
      <c r="AB2457">
        <v>9999</v>
      </c>
      <c r="AC2457" t="s">
        <v>35</v>
      </c>
    </row>
    <row r="2458" spans="1:29" x14ac:dyDescent="0.25">
      <c r="A2458" s="31" t="s">
        <v>305</v>
      </c>
      <c r="B2458" s="23" t="s">
        <v>1455</v>
      </c>
      <c r="C2458" t="s">
        <v>1456</v>
      </c>
      <c r="D2458">
        <v>1</v>
      </c>
      <c r="E2458" t="s">
        <v>103</v>
      </c>
      <c r="F2458">
        <v>9</v>
      </c>
      <c r="G2458">
        <v>2017</v>
      </c>
      <c r="I2458">
        <v>101.49</v>
      </c>
      <c r="J2458" s="2" t="s">
        <v>104</v>
      </c>
      <c r="K2458" t="s">
        <v>53</v>
      </c>
      <c r="L2458" t="s">
        <v>105</v>
      </c>
      <c r="O2458">
        <v>0</v>
      </c>
      <c r="P2458">
        <v>1</v>
      </c>
      <c r="Q2458">
        <v>0</v>
      </c>
      <c r="R2458">
        <v>0</v>
      </c>
      <c r="S2458">
        <v>1</v>
      </c>
      <c r="T2458">
        <v>1</v>
      </c>
      <c r="U2458">
        <v>1</v>
      </c>
      <c r="V2458">
        <v>0</v>
      </c>
      <c r="W2458" t="s">
        <v>106</v>
      </c>
      <c r="AA2458">
        <v>2007</v>
      </c>
      <c r="AB2458">
        <v>9999</v>
      </c>
      <c r="AC2458" t="s">
        <v>35</v>
      </c>
    </row>
    <row r="2459" spans="1:29" x14ac:dyDescent="0.25">
      <c r="A2459" s="31" t="s">
        <v>259</v>
      </c>
      <c r="B2459" s="23" t="s">
        <v>260</v>
      </c>
      <c r="C2459" t="s">
        <v>261</v>
      </c>
      <c r="D2459">
        <v>1</v>
      </c>
      <c r="E2459" t="s">
        <v>103</v>
      </c>
      <c r="F2459">
        <v>9</v>
      </c>
      <c r="G2459">
        <v>2017</v>
      </c>
      <c r="I2459">
        <v>5368.1799999999994</v>
      </c>
      <c r="J2459" t="s">
        <v>104</v>
      </c>
      <c r="K2459" t="s">
        <v>53</v>
      </c>
      <c r="L2459" t="s">
        <v>105</v>
      </c>
      <c r="O2459">
        <v>0</v>
      </c>
      <c r="P2459">
        <v>1</v>
      </c>
      <c r="Q2459">
        <v>0</v>
      </c>
      <c r="R2459">
        <v>0</v>
      </c>
      <c r="S2459">
        <v>1</v>
      </c>
      <c r="T2459">
        <v>1</v>
      </c>
      <c r="U2459">
        <v>1</v>
      </c>
      <c r="V2459">
        <v>0</v>
      </c>
      <c r="W2459" t="s">
        <v>106</v>
      </c>
      <c r="AA2459">
        <v>2007</v>
      </c>
      <c r="AB2459">
        <v>9999</v>
      </c>
      <c r="AC2459" t="s">
        <v>35</v>
      </c>
    </row>
    <row r="2460" spans="1:29" x14ac:dyDescent="0.25">
      <c r="A2460" s="31" t="s">
        <v>266</v>
      </c>
      <c r="B2460" s="23" t="s">
        <v>267</v>
      </c>
      <c r="D2460">
        <v>1</v>
      </c>
      <c r="E2460" t="s">
        <v>85</v>
      </c>
      <c r="F2460">
        <v>4</v>
      </c>
      <c r="G2460">
        <v>2017</v>
      </c>
      <c r="I2460">
        <v>9.1</v>
      </c>
      <c r="J2460" t="s">
        <v>268</v>
      </c>
      <c r="K2460" t="s">
        <v>41</v>
      </c>
      <c r="O2460">
        <v>0</v>
      </c>
      <c r="P2460">
        <v>0</v>
      </c>
      <c r="Q2460">
        <v>0</v>
      </c>
      <c r="R2460">
        <v>0</v>
      </c>
      <c r="S2460">
        <v>0</v>
      </c>
      <c r="T2460">
        <v>0</v>
      </c>
      <c r="U2460">
        <v>0</v>
      </c>
      <c r="V2460">
        <v>0</v>
      </c>
      <c r="W2460" t="s">
        <v>1079</v>
      </c>
      <c r="AA2460">
        <v>2007</v>
      </c>
      <c r="AB2460">
        <v>9999</v>
      </c>
      <c r="AC2460" t="s">
        <v>35</v>
      </c>
    </row>
    <row r="2461" spans="1:29" x14ac:dyDescent="0.25">
      <c r="A2461" s="31" t="s">
        <v>1393</v>
      </c>
      <c r="B2461" s="25" t="s">
        <v>1394</v>
      </c>
      <c r="C2461" t="s">
        <v>1395</v>
      </c>
      <c r="D2461">
        <v>1</v>
      </c>
      <c r="E2461" t="s">
        <v>1396</v>
      </c>
      <c r="F2461">
        <v>5</v>
      </c>
      <c r="G2461">
        <v>2017</v>
      </c>
      <c r="I2461">
        <v>237.67</v>
      </c>
      <c r="J2461" t="s">
        <v>31</v>
      </c>
      <c r="K2461" t="s">
        <v>47</v>
      </c>
      <c r="O2461">
        <v>0</v>
      </c>
      <c r="P2461">
        <v>0</v>
      </c>
      <c r="Q2461">
        <v>0</v>
      </c>
      <c r="R2461">
        <v>0</v>
      </c>
      <c r="S2461">
        <v>1</v>
      </c>
      <c r="T2461">
        <v>1</v>
      </c>
      <c r="U2461">
        <v>1</v>
      </c>
      <c r="V2461">
        <v>0</v>
      </c>
      <c r="W2461" t="s">
        <v>1397</v>
      </c>
      <c r="AA2461">
        <v>2012</v>
      </c>
      <c r="AB2461">
        <v>9999</v>
      </c>
      <c r="AC2461" t="s">
        <v>1398</v>
      </c>
    </row>
    <row r="2462" spans="1:29" x14ac:dyDescent="0.25">
      <c r="A2462" s="31" t="s">
        <v>153</v>
      </c>
      <c r="B2462" s="23" t="s">
        <v>270</v>
      </c>
      <c r="D2462">
        <v>6</v>
      </c>
      <c r="E2462" t="s">
        <v>155</v>
      </c>
      <c r="F2462">
        <v>3</v>
      </c>
      <c r="G2462">
        <v>2017</v>
      </c>
      <c r="I2462">
        <v>687.8368431274904</v>
      </c>
      <c r="J2462" t="s">
        <v>121</v>
      </c>
      <c r="K2462" t="s">
        <v>53</v>
      </c>
      <c r="L2462" t="s">
        <v>60</v>
      </c>
      <c r="O2462">
        <v>1</v>
      </c>
      <c r="P2462">
        <v>0</v>
      </c>
      <c r="Q2462">
        <v>0</v>
      </c>
      <c r="R2462">
        <v>0</v>
      </c>
      <c r="S2462">
        <v>1</v>
      </c>
      <c r="T2462">
        <v>0</v>
      </c>
      <c r="U2462">
        <v>0</v>
      </c>
      <c r="V2462">
        <v>1</v>
      </c>
      <c r="W2462" t="s">
        <v>271</v>
      </c>
      <c r="AA2462">
        <v>2007</v>
      </c>
      <c r="AB2462">
        <v>9999</v>
      </c>
      <c r="AC2462" t="s">
        <v>35</v>
      </c>
    </row>
    <row r="2463" spans="1:29" x14ac:dyDescent="0.25">
      <c r="A2463" s="31" t="s">
        <v>153</v>
      </c>
      <c r="B2463" s="27" t="s">
        <v>272</v>
      </c>
      <c r="D2463">
        <v>8</v>
      </c>
      <c r="E2463" t="s">
        <v>155</v>
      </c>
      <c r="F2463">
        <v>3</v>
      </c>
      <c r="G2463">
        <v>2017</v>
      </c>
      <c r="I2463">
        <v>81.509461603585649</v>
      </c>
      <c r="J2463" s="2" t="s">
        <v>121</v>
      </c>
      <c r="K2463" t="s">
        <v>53</v>
      </c>
      <c r="L2463" t="s">
        <v>60</v>
      </c>
      <c r="O2463">
        <v>1</v>
      </c>
      <c r="P2463">
        <v>0</v>
      </c>
      <c r="Q2463">
        <v>0</v>
      </c>
      <c r="R2463">
        <v>0</v>
      </c>
      <c r="S2463">
        <v>0</v>
      </c>
      <c r="T2463">
        <v>0</v>
      </c>
      <c r="U2463">
        <v>0</v>
      </c>
      <c r="V2463">
        <v>1</v>
      </c>
      <c r="W2463" t="s">
        <v>273</v>
      </c>
      <c r="AA2463">
        <v>2007</v>
      </c>
      <c r="AB2463">
        <v>9999</v>
      </c>
      <c r="AC2463" t="s">
        <v>35</v>
      </c>
    </row>
    <row r="2464" spans="1:29" x14ac:dyDescent="0.25">
      <c r="A2464" s="31" t="s">
        <v>274</v>
      </c>
      <c r="B2464" s="23" t="s">
        <v>275</v>
      </c>
      <c r="C2464" t="s">
        <v>276</v>
      </c>
      <c r="D2464">
        <v>1</v>
      </c>
      <c r="E2464" t="s">
        <v>51</v>
      </c>
      <c r="F2464">
        <v>10</v>
      </c>
      <c r="G2464">
        <v>2017</v>
      </c>
      <c r="H2464" t="s">
        <v>746</v>
      </c>
      <c r="I2464">
        <v>4.3</v>
      </c>
      <c r="J2464" s="2" t="s">
        <v>40</v>
      </c>
      <c r="K2464" t="s">
        <v>41</v>
      </c>
      <c r="O2464">
        <v>0</v>
      </c>
      <c r="P2464">
        <v>0</v>
      </c>
      <c r="Q2464">
        <v>0</v>
      </c>
      <c r="R2464">
        <v>0</v>
      </c>
      <c r="S2464">
        <v>0</v>
      </c>
      <c r="T2464">
        <v>0</v>
      </c>
      <c r="U2464">
        <v>0</v>
      </c>
      <c r="V2464">
        <v>0</v>
      </c>
      <c r="W2464" t="s">
        <v>1399</v>
      </c>
      <c r="AA2464">
        <v>2007</v>
      </c>
      <c r="AB2464">
        <v>9999</v>
      </c>
      <c r="AC2464" t="s">
        <v>35</v>
      </c>
    </row>
    <row r="2465" spans="1:29" x14ac:dyDescent="0.25">
      <c r="A2465" s="31" t="s">
        <v>278</v>
      </c>
      <c r="B2465" s="23" t="s">
        <v>279</v>
      </c>
      <c r="D2465">
        <v>1</v>
      </c>
      <c r="E2465" t="s">
        <v>103</v>
      </c>
      <c r="F2465">
        <v>9</v>
      </c>
      <c r="G2465">
        <v>2017</v>
      </c>
      <c r="I2465">
        <v>646.46</v>
      </c>
      <c r="J2465" t="s">
        <v>104</v>
      </c>
      <c r="K2465" t="s">
        <v>53</v>
      </c>
      <c r="L2465" t="s">
        <v>105</v>
      </c>
      <c r="O2465">
        <v>0</v>
      </c>
      <c r="P2465">
        <v>1</v>
      </c>
      <c r="Q2465">
        <v>0</v>
      </c>
      <c r="R2465">
        <v>0</v>
      </c>
      <c r="S2465">
        <v>1</v>
      </c>
      <c r="T2465">
        <v>1</v>
      </c>
      <c r="U2465">
        <v>1</v>
      </c>
      <c r="V2465">
        <v>0</v>
      </c>
      <c r="W2465" t="s">
        <v>106</v>
      </c>
      <c r="AA2465">
        <v>2007</v>
      </c>
      <c r="AB2465">
        <v>9999</v>
      </c>
      <c r="AC2465" t="s">
        <v>35</v>
      </c>
    </row>
    <row r="2466" spans="1:29" x14ac:dyDescent="0.25">
      <c r="A2466" s="31" t="s">
        <v>280</v>
      </c>
      <c r="B2466" s="23" t="s">
        <v>281</v>
      </c>
      <c r="D2466">
        <v>1</v>
      </c>
      <c r="E2466" t="s">
        <v>103</v>
      </c>
      <c r="F2466">
        <v>9</v>
      </c>
      <c r="G2466">
        <v>2017</v>
      </c>
      <c r="I2466">
        <v>613.84</v>
      </c>
      <c r="J2466" t="s">
        <v>104</v>
      </c>
      <c r="K2466" t="s">
        <v>53</v>
      </c>
      <c r="L2466" t="s">
        <v>105</v>
      </c>
      <c r="O2466">
        <v>0</v>
      </c>
      <c r="P2466">
        <v>1</v>
      </c>
      <c r="Q2466">
        <v>0</v>
      </c>
      <c r="R2466">
        <v>0</v>
      </c>
      <c r="S2466">
        <v>1</v>
      </c>
      <c r="T2466">
        <v>1</v>
      </c>
      <c r="U2466">
        <v>1</v>
      </c>
      <c r="V2466">
        <v>0</v>
      </c>
      <c r="W2466" t="s">
        <v>106</v>
      </c>
      <c r="AA2466">
        <v>2007</v>
      </c>
      <c r="AB2466">
        <v>9999</v>
      </c>
      <c r="AC2466" t="s">
        <v>35</v>
      </c>
    </row>
    <row r="2467" spans="1:29" x14ac:dyDescent="0.25">
      <c r="A2467" s="31" t="s">
        <v>282</v>
      </c>
      <c r="B2467" s="23" t="s">
        <v>283</v>
      </c>
      <c r="D2467">
        <v>1</v>
      </c>
      <c r="E2467" t="s">
        <v>103</v>
      </c>
      <c r="F2467">
        <v>9</v>
      </c>
      <c r="G2467">
        <v>2017</v>
      </c>
      <c r="I2467">
        <v>590.47</v>
      </c>
      <c r="J2467" t="s">
        <v>104</v>
      </c>
      <c r="K2467" t="s">
        <v>53</v>
      </c>
      <c r="L2467" t="s">
        <v>105</v>
      </c>
      <c r="O2467">
        <v>0</v>
      </c>
      <c r="P2467">
        <v>1</v>
      </c>
      <c r="Q2467">
        <v>0</v>
      </c>
      <c r="R2467">
        <v>0</v>
      </c>
      <c r="S2467">
        <v>1</v>
      </c>
      <c r="T2467">
        <v>1</v>
      </c>
      <c r="U2467">
        <v>1</v>
      </c>
      <c r="V2467">
        <v>0</v>
      </c>
      <c r="W2467" t="s">
        <v>106</v>
      </c>
      <c r="AA2467">
        <v>2007</v>
      </c>
      <c r="AB2467">
        <v>9999</v>
      </c>
      <c r="AC2467" t="s">
        <v>35</v>
      </c>
    </row>
    <row r="2468" spans="1:29" x14ac:dyDescent="0.25">
      <c r="A2468" s="31" t="s">
        <v>284</v>
      </c>
      <c r="B2468" s="23" t="s">
        <v>285</v>
      </c>
      <c r="D2468">
        <v>1</v>
      </c>
      <c r="E2468" t="s">
        <v>103</v>
      </c>
      <c r="F2468">
        <v>9</v>
      </c>
      <c r="G2468">
        <v>2017</v>
      </c>
      <c r="I2468">
        <v>512.86</v>
      </c>
      <c r="J2468" t="s">
        <v>104</v>
      </c>
      <c r="K2468" t="s">
        <v>53</v>
      </c>
      <c r="L2468" t="s">
        <v>105</v>
      </c>
      <c r="O2468">
        <v>0</v>
      </c>
      <c r="P2468">
        <v>1</v>
      </c>
      <c r="Q2468">
        <v>0</v>
      </c>
      <c r="R2468">
        <v>0</v>
      </c>
      <c r="S2468">
        <v>1</v>
      </c>
      <c r="T2468">
        <v>1</v>
      </c>
      <c r="U2468">
        <v>1</v>
      </c>
      <c r="V2468">
        <v>0</v>
      </c>
      <c r="W2468" t="s">
        <v>106</v>
      </c>
      <c r="AA2468">
        <v>2007</v>
      </c>
      <c r="AB2468">
        <v>9999</v>
      </c>
      <c r="AC2468" t="s">
        <v>35</v>
      </c>
    </row>
    <row r="2469" spans="1:29" x14ac:dyDescent="0.25">
      <c r="A2469" s="31" t="s">
        <v>288</v>
      </c>
      <c r="B2469" s="23" t="s">
        <v>289</v>
      </c>
      <c r="D2469">
        <v>1</v>
      </c>
      <c r="E2469" t="s">
        <v>103</v>
      </c>
      <c r="F2469">
        <v>9</v>
      </c>
      <c r="G2469">
        <v>2017</v>
      </c>
      <c r="I2469">
        <v>442.8</v>
      </c>
      <c r="J2469" t="s">
        <v>104</v>
      </c>
      <c r="K2469" t="s">
        <v>53</v>
      </c>
      <c r="L2469" t="s">
        <v>105</v>
      </c>
      <c r="O2469">
        <v>0</v>
      </c>
      <c r="P2469">
        <v>1</v>
      </c>
      <c r="Q2469">
        <v>0</v>
      </c>
      <c r="R2469">
        <v>0</v>
      </c>
      <c r="S2469">
        <v>1</v>
      </c>
      <c r="T2469">
        <v>1</v>
      </c>
      <c r="U2469">
        <v>1</v>
      </c>
      <c r="V2469">
        <v>0</v>
      </c>
      <c r="W2469" t="s">
        <v>106</v>
      </c>
      <c r="AA2469">
        <v>2007</v>
      </c>
      <c r="AB2469">
        <v>9999</v>
      </c>
      <c r="AC2469" t="s">
        <v>35</v>
      </c>
    </row>
    <row r="2470" spans="1:29" x14ac:dyDescent="0.25">
      <c r="A2470" s="31" t="s">
        <v>1474</v>
      </c>
      <c r="B2470" s="23" t="s">
        <v>290</v>
      </c>
      <c r="D2470">
        <v>1</v>
      </c>
      <c r="E2470" t="s">
        <v>103</v>
      </c>
      <c r="F2470">
        <v>9</v>
      </c>
      <c r="G2470">
        <v>2017</v>
      </c>
      <c r="I2470">
        <v>451.38</v>
      </c>
      <c r="J2470" t="s">
        <v>104</v>
      </c>
      <c r="K2470" t="s">
        <v>53</v>
      </c>
      <c r="L2470" t="s">
        <v>105</v>
      </c>
      <c r="O2470">
        <v>0</v>
      </c>
      <c r="P2470">
        <v>1</v>
      </c>
      <c r="Q2470">
        <v>0</v>
      </c>
      <c r="R2470">
        <v>0</v>
      </c>
      <c r="S2470">
        <v>1</v>
      </c>
      <c r="T2470">
        <v>1</v>
      </c>
      <c r="U2470">
        <v>1</v>
      </c>
      <c r="V2470">
        <v>0</v>
      </c>
      <c r="W2470" t="s">
        <v>106</v>
      </c>
      <c r="AA2470">
        <v>2007</v>
      </c>
      <c r="AB2470">
        <v>9999</v>
      </c>
      <c r="AC2470" t="s">
        <v>1475</v>
      </c>
    </row>
    <row r="2471" spans="1:29" x14ac:dyDescent="0.25">
      <c r="A2471" s="31" t="s">
        <v>293</v>
      </c>
      <c r="B2471" s="23" t="s">
        <v>294</v>
      </c>
      <c r="D2471">
        <v>1</v>
      </c>
      <c r="E2471" t="s">
        <v>103</v>
      </c>
      <c r="F2471">
        <v>9</v>
      </c>
      <c r="G2471">
        <v>2017</v>
      </c>
      <c r="I2471">
        <v>490.58</v>
      </c>
      <c r="J2471" t="s">
        <v>104</v>
      </c>
      <c r="K2471" t="s">
        <v>53</v>
      </c>
      <c r="L2471" t="s">
        <v>105</v>
      </c>
      <c r="O2471">
        <v>0</v>
      </c>
      <c r="P2471">
        <v>1</v>
      </c>
      <c r="Q2471">
        <v>0</v>
      </c>
      <c r="R2471">
        <v>0</v>
      </c>
      <c r="S2471">
        <v>1</v>
      </c>
      <c r="T2471">
        <v>1</v>
      </c>
      <c r="U2471">
        <v>1</v>
      </c>
      <c r="V2471">
        <v>0</v>
      </c>
      <c r="W2471" t="s">
        <v>106</v>
      </c>
      <c r="AA2471">
        <v>2007</v>
      </c>
      <c r="AB2471">
        <v>9999</v>
      </c>
      <c r="AC2471" t="s">
        <v>35</v>
      </c>
    </row>
    <row r="2472" spans="1:29" x14ac:dyDescent="0.25">
      <c r="A2472" s="31" t="s">
        <v>295</v>
      </c>
      <c r="B2472" s="23" t="s">
        <v>296</v>
      </c>
      <c r="D2472">
        <v>1</v>
      </c>
      <c r="E2472" t="s">
        <v>128</v>
      </c>
      <c r="F2472">
        <v>9</v>
      </c>
      <c r="G2472">
        <v>2017</v>
      </c>
      <c r="H2472" t="s">
        <v>1428</v>
      </c>
      <c r="I2472">
        <v>0.1</v>
      </c>
      <c r="J2472" t="s">
        <v>104</v>
      </c>
      <c r="K2472" t="s">
        <v>41</v>
      </c>
      <c r="O2472">
        <v>0</v>
      </c>
      <c r="P2472">
        <v>0</v>
      </c>
      <c r="Q2472">
        <v>0</v>
      </c>
      <c r="R2472">
        <v>0</v>
      </c>
      <c r="S2472">
        <v>0</v>
      </c>
      <c r="T2472">
        <v>0</v>
      </c>
      <c r="U2472">
        <v>0</v>
      </c>
      <c r="V2472">
        <v>0</v>
      </c>
      <c r="W2472" t="s">
        <v>1081</v>
      </c>
      <c r="AA2472">
        <v>2007</v>
      </c>
      <c r="AB2472">
        <v>9999</v>
      </c>
      <c r="AC2472" t="s">
        <v>35</v>
      </c>
    </row>
    <row r="2473" spans="1:29" x14ac:dyDescent="0.25">
      <c r="A2473" s="31" t="s">
        <v>153</v>
      </c>
      <c r="B2473" s="23" t="s">
        <v>1476</v>
      </c>
      <c r="D2473">
        <v>1</v>
      </c>
      <c r="E2473" t="s">
        <v>155</v>
      </c>
      <c r="F2473">
        <v>3</v>
      </c>
      <c r="G2473">
        <v>2017</v>
      </c>
      <c r="I2473" s="11">
        <v>85.101992031872456</v>
      </c>
      <c r="J2473" t="s">
        <v>121</v>
      </c>
      <c r="K2473" t="s">
        <v>53</v>
      </c>
      <c r="L2473" t="s">
        <v>60</v>
      </c>
      <c r="O2473">
        <v>1</v>
      </c>
      <c r="P2473">
        <v>0</v>
      </c>
      <c r="Q2473">
        <v>0</v>
      </c>
      <c r="R2473">
        <v>0</v>
      </c>
      <c r="S2473">
        <v>1</v>
      </c>
      <c r="T2473">
        <v>0</v>
      </c>
      <c r="U2473">
        <v>0</v>
      </c>
      <c r="V2473">
        <v>1</v>
      </c>
      <c r="W2473" t="s">
        <v>304</v>
      </c>
      <c r="AA2473">
        <v>2007</v>
      </c>
      <c r="AB2473">
        <v>9999</v>
      </c>
      <c r="AC2473" t="s">
        <v>35</v>
      </c>
    </row>
    <row r="2474" spans="1:29" x14ac:dyDescent="0.25">
      <c r="A2474" s="31" t="s">
        <v>153</v>
      </c>
      <c r="B2474" s="23" t="s">
        <v>1477</v>
      </c>
      <c r="D2474">
        <v>1</v>
      </c>
      <c r="E2474" t="s">
        <v>155</v>
      </c>
      <c r="F2474">
        <v>3</v>
      </c>
      <c r="G2474">
        <v>2017</v>
      </c>
      <c r="I2474" s="11">
        <v>73.749003984063748</v>
      </c>
      <c r="J2474" t="s">
        <v>121</v>
      </c>
      <c r="K2474" t="s">
        <v>53</v>
      </c>
      <c r="L2474" t="s">
        <v>60</v>
      </c>
      <c r="O2474">
        <v>1</v>
      </c>
      <c r="P2474">
        <v>0</v>
      </c>
      <c r="Q2474">
        <v>0</v>
      </c>
      <c r="R2474">
        <v>0</v>
      </c>
      <c r="S2474">
        <v>1</v>
      </c>
      <c r="T2474">
        <v>0</v>
      </c>
      <c r="U2474">
        <v>0</v>
      </c>
      <c r="V2474">
        <v>1</v>
      </c>
      <c r="W2474" t="s">
        <v>645</v>
      </c>
      <c r="AA2474">
        <v>2007</v>
      </c>
      <c r="AB2474">
        <v>9999</v>
      </c>
      <c r="AC2474" t="s">
        <v>35</v>
      </c>
    </row>
    <row r="2475" spans="1:29" x14ac:dyDescent="0.25">
      <c r="A2475" s="31" t="s">
        <v>307</v>
      </c>
      <c r="B2475" s="23" t="s">
        <v>308</v>
      </c>
      <c r="D2475">
        <v>1</v>
      </c>
      <c r="E2475" t="s">
        <v>309</v>
      </c>
      <c r="F2475">
        <v>10</v>
      </c>
      <c r="G2475">
        <v>2017</v>
      </c>
      <c r="I2475">
        <v>55.15</v>
      </c>
      <c r="J2475" t="s">
        <v>59</v>
      </c>
      <c r="K2475" t="s">
        <v>47</v>
      </c>
      <c r="O2475">
        <v>0</v>
      </c>
      <c r="P2475">
        <v>0</v>
      </c>
      <c r="Q2475">
        <v>0</v>
      </c>
      <c r="R2475">
        <v>0</v>
      </c>
      <c r="S2475">
        <v>1</v>
      </c>
      <c r="T2475">
        <v>1</v>
      </c>
      <c r="U2475">
        <v>1</v>
      </c>
      <c r="V2475">
        <v>0</v>
      </c>
      <c r="W2475" t="s">
        <v>1083</v>
      </c>
      <c r="AA2475">
        <v>2007</v>
      </c>
      <c r="AB2475">
        <v>9999</v>
      </c>
      <c r="AC2475" t="s">
        <v>35</v>
      </c>
    </row>
    <row r="2476" spans="1:29" x14ac:dyDescent="0.25">
      <c r="A2476" s="31" t="s">
        <v>1294</v>
      </c>
      <c r="B2476" s="23" t="s">
        <v>1295</v>
      </c>
      <c r="C2476" t="s">
        <v>1296</v>
      </c>
      <c r="D2476">
        <v>1</v>
      </c>
      <c r="E2476" t="s">
        <v>95</v>
      </c>
      <c r="F2476">
        <v>10</v>
      </c>
      <c r="G2476">
        <v>2017</v>
      </c>
      <c r="I2476">
        <v>47.23</v>
      </c>
      <c r="J2476" t="s">
        <v>40</v>
      </c>
      <c r="K2476" t="s">
        <v>47</v>
      </c>
      <c r="O2476">
        <v>0</v>
      </c>
      <c r="P2476">
        <v>0</v>
      </c>
      <c r="Q2476">
        <v>0</v>
      </c>
      <c r="R2476">
        <v>0</v>
      </c>
      <c r="S2476">
        <v>1</v>
      </c>
      <c r="T2476">
        <v>1</v>
      </c>
      <c r="U2476">
        <v>1</v>
      </c>
      <c r="V2476">
        <v>0</v>
      </c>
      <c r="W2476" t="s">
        <v>1297</v>
      </c>
      <c r="AA2476">
        <v>2010</v>
      </c>
      <c r="AB2476">
        <v>9999</v>
      </c>
      <c r="AC2476" t="s">
        <v>1292</v>
      </c>
    </row>
    <row r="2477" spans="1:29" x14ac:dyDescent="0.25">
      <c r="A2477" s="31" t="s">
        <v>311</v>
      </c>
      <c r="B2477" s="23" t="s">
        <v>312</v>
      </c>
      <c r="C2477" t="s">
        <v>313</v>
      </c>
      <c r="D2477">
        <v>1</v>
      </c>
      <c r="E2477" t="s">
        <v>314</v>
      </c>
      <c r="F2477">
        <v>2</v>
      </c>
      <c r="G2477">
        <v>2017</v>
      </c>
      <c r="I2477">
        <v>28</v>
      </c>
      <c r="J2477" t="s">
        <v>176</v>
      </c>
      <c r="K2477" t="s">
        <v>47</v>
      </c>
      <c r="O2477">
        <v>0</v>
      </c>
      <c r="P2477">
        <v>0</v>
      </c>
      <c r="Q2477">
        <v>0</v>
      </c>
      <c r="R2477">
        <v>0</v>
      </c>
      <c r="S2477">
        <v>1</v>
      </c>
      <c r="T2477">
        <v>1</v>
      </c>
      <c r="U2477">
        <v>1</v>
      </c>
      <c r="V2477">
        <v>0</v>
      </c>
      <c r="W2477" t="s">
        <v>1358</v>
      </c>
      <c r="AA2477">
        <v>2007</v>
      </c>
      <c r="AB2477">
        <v>9999</v>
      </c>
      <c r="AC2477" t="s">
        <v>35</v>
      </c>
    </row>
    <row r="2478" spans="1:29" x14ac:dyDescent="0.25">
      <c r="A2478" s="31" t="s">
        <v>1457</v>
      </c>
      <c r="B2478" s="23" t="s">
        <v>1458</v>
      </c>
      <c r="C2478" t="s">
        <v>1459</v>
      </c>
      <c r="D2478">
        <v>1</v>
      </c>
      <c r="E2478" s="4">
        <v>760</v>
      </c>
      <c r="F2478">
        <v>7</v>
      </c>
      <c r="G2478">
        <v>2017</v>
      </c>
      <c r="I2478">
        <v>566.29</v>
      </c>
      <c r="J2478" t="s">
        <v>40</v>
      </c>
      <c r="K2478" t="s">
        <v>47</v>
      </c>
      <c r="O2478">
        <v>0</v>
      </c>
      <c r="P2478">
        <v>0</v>
      </c>
      <c r="Q2478">
        <v>0</v>
      </c>
      <c r="R2478">
        <v>0</v>
      </c>
      <c r="S2478">
        <v>1</v>
      </c>
      <c r="T2478">
        <v>1</v>
      </c>
      <c r="U2478">
        <v>1</v>
      </c>
      <c r="V2478">
        <v>0</v>
      </c>
      <c r="W2478" t="s">
        <v>1460</v>
      </c>
      <c r="AA2478">
        <v>2014</v>
      </c>
      <c r="AB2478">
        <v>9999</v>
      </c>
      <c r="AC2478" t="s">
        <v>1449</v>
      </c>
    </row>
    <row r="2479" spans="1:29" ht="30" x14ac:dyDescent="0.25">
      <c r="A2479" s="31" t="s">
        <v>316</v>
      </c>
      <c r="B2479" s="24" t="s">
        <v>1461</v>
      </c>
      <c r="C2479" t="s">
        <v>1462</v>
      </c>
      <c r="D2479">
        <v>1</v>
      </c>
      <c r="E2479" t="s">
        <v>318</v>
      </c>
      <c r="F2479">
        <v>4</v>
      </c>
      <c r="G2479">
        <v>2017</v>
      </c>
      <c r="I2479">
        <v>34.86</v>
      </c>
      <c r="J2479" t="s">
        <v>59</v>
      </c>
      <c r="K2479" t="s">
        <v>47</v>
      </c>
      <c r="O2479">
        <v>0</v>
      </c>
      <c r="P2479">
        <v>0</v>
      </c>
      <c r="Q2479">
        <v>0</v>
      </c>
      <c r="R2479">
        <v>0</v>
      </c>
      <c r="S2479">
        <v>1</v>
      </c>
      <c r="T2479">
        <v>1</v>
      </c>
      <c r="U2479">
        <v>1</v>
      </c>
      <c r="V2479">
        <v>0</v>
      </c>
      <c r="W2479" t="s">
        <v>1085</v>
      </c>
      <c r="AA2479">
        <v>2007</v>
      </c>
      <c r="AB2479">
        <v>9999</v>
      </c>
      <c r="AC2479" t="s">
        <v>35</v>
      </c>
    </row>
    <row r="2480" spans="1:29" x14ac:dyDescent="0.25">
      <c r="A2480" s="31" t="s">
        <v>324</v>
      </c>
      <c r="B2480" s="23" t="s">
        <v>325</v>
      </c>
      <c r="D2480">
        <v>1</v>
      </c>
      <c r="E2480" t="s">
        <v>103</v>
      </c>
      <c r="F2480">
        <v>9</v>
      </c>
      <c r="G2480">
        <v>2017</v>
      </c>
      <c r="I2480">
        <v>88.75</v>
      </c>
      <c r="J2480" t="s">
        <v>104</v>
      </c>
      <c r="K2480" t="s">
        <v>47</v>
      </c>
      <c r="O2480">
        <v>0</v>
      </c>
      <c r="P2480">
        <v>0</v>
      </c>
      <c r="Q2480">
        <v>0</v>
      </c>
      <c r="R2480">
        <v>0</v>
      </c>
      <c r="S2480">
        <v>1</v>
      </c>
      <c r="T2480">
        <v>1</v>
      </c>
      <c r="U2480">
        <v>1</v>
      </c>
      <c r="V2480">
        <v>0</v>
      </c>
      <c r="W2480" t="s">
        <v>1086</v>
      </c>
      <c r="AA2480">
        <v>2007</v>
      </c>
      <c r="AB2480">
        <v>9999</v>
      </c>
      <c r="AC2480" t="s">
        <v>35</v>
      </c>
    </row>
    <row r="2481" spans="1:29" x14ac:dyDescent="0.25">
      <c r="A2481" s="31" t="s">
        <v>327</v>
      </c>
      <c r="B2481" s="23" t="s">
        <v>328</v>
      </c>
      <c r="D2481">
        <v>1</v>
      </c>
      <c r="E2481" t="s">
        <v>80</v>
      </c>
      <c r="F2481">
        <v>8</v>
      </c>
      <c r="G2481">
        <v>2017</v>
      </c>
      <c r="I2481">
        <v>78.459999999999994</v>
      </c>
      <c r="J2481" t="s">
        <v>81</v>
      </c>
      <c r="K2481" t="s">
        <v>47</v>
      </c>
      <c r="O2481">
        <v>0</v>
      </c>
      <c r="P2481">
        <v>0</v>
      </c>
      <c r="Q2481">
        <v>0</v>
      </c>
      <c r="R2481">
        <v>0</v>
      </c>
      <c r="S2481">
        <v>1</v>
      </c>
      <c r="T2481">
        <v>1</v>
      </c>
      <c r="U2481">
        <v>1</v>
      </c>
      <c r="V2481">
        <v>0</v>
      </c>
      <c r="W2481" t="s">
        <v>1087</v>
      </c>
      <c r="AA2481">
        <v>2007</v>
      </c>
      <c r="AB2481">
        <v>9999</v>
      </c>
      <c r="AC2481" t="s">
        <v>35</v>
      </c>
    </row>
    <row r="2482" spans="1:29" x14ac:dyDescent="0.25">
      <c r="A2482" s="31" t="s">
        <v>346</v>
      </c>
      <c r="B2482" s="23" t="s">
        <v>347</v>
      </c>
      <c r="D2482">
        <v>1</v>
      </c>
      <c r="E2482" t="s">
        <v>348</v>
      </c>
      <c r="F2482">
        <v>1</v>
      </c>
      <c r="G2482">
        <v>2017</v>
      </c>
      <c r="I2482">
        <v>33.799999999999997</v>
      </c>
      <c r="J2482" t="s">
        <v>121</v>
      </c>
      <c r="K2482" t="s">
        <v>47</v>
      </c>
      <c r="O2482">
        <v>0</v>
      </c>
      <c r="P2482">
        <v>0</v>
      </c>
      <c r="Q2482">
        <v>0</v>
      </c>
      <c r="R2482">
        <v>0</v>
      </c>
      <c r="S2482">
        <v>1</v>
      </c>
      <c r="T2482">
        <v>1</v>
      </c>
      <c r="U2482">
        <v>1</v>
      </c>
      <c r="V2482">
        <v>0</v>
      </c>
      <c r="W2482" t="s">
        <v>349</v>
      </c>
      <c r="AA2482">
        <v>2007</v>
      </c>
      <c r="AB2482">
        <v>9999</v>
      </c>
      <c r="AC2482" t="s">
        <v>35</v>
      </c>
    </row>
    <row r="2483" spans="1:29" x14ac:dyDescent="0.25">
      <c r="A2483" s="31" t="s">
        <v>199</v>
      </c>
      <c r="B2483" s="23" t="s">
        <v>39</v>
      </c>
      <c r="D2483">
        <v>1</v>
      </c>
      <c r="E2483" t="s">
        <v>358</v>
      </c>
      <c r="F2483">
        <v>1</v>
      </c>
      <c r="G2483">
        <v>2017</v>
      </c>
      <c r="I2483">
        <v>207.93</v>
      </c>
      <c r="J2483" t="s">
        <v>52</v>
      </c>
      <c r="K2483" t="s">
        <v>47</v>
      </c>
      <c r="O2483">
        <v>0</v>
      </c>
      <c r="P2483">
        <v>0</v>
      </c>
      <c r="Q2483">
        <v>0</v>
      </c>
      <c r="R2483">
        <v>0</v>
      </c>
      <c r="S2483">
        <v>1</v>
      </c>
      <c r="T2483">
        <v>1</v>
      </c>
      <c r="U2483">
        <v>1</v>
      </c>
      <c r="V2483">
        <v>0</v>
      </c>
      <c r="W2483" t="s">
        <v>1094</v>
      </c>
      <c r="AA2483">
        <v>2007</v>
      </c>
      <c r="AB2483">
        <v>9999</v>
      </c>
      <c r="AC2483" t="s">
        <v>35</v>
      </c>
    </row>
    <row r="2484" spans="1:29" x14ac:dyDescent="0.25">
      <c r="A2484" s="31" t="s">
        <v>1478</v>
      </c>
      <c r="B2484" s="23" t="s">
        <v>360</v>
      </c>
      <c r="D2484">
        <v>4</v>
      </c>
      <c r="E2484" t="s">
        <v>155</v>
      </c>
      <c r="F2484">
        <v>3</v>
      </c>
      <c r="G2484">
        <v>2017</v>
      </c>
      <c r="I2484">
        <v>433.11468032868555</v>
      </c>
      <c r="J2484" t="s">
        <v>121</v>
      </c>
      <c r="K2484" t="s">
        <v>53</v>
      </c>
      <c r="L2484" t="s">
        <v>60</v>
      </c>
      <c r="O2484">
        <v>1</v>
      </c>
      <c r="P2484">
        <v>0</v>
      </c>
      <c r="Q2484">
        <v>0</v>
      </c>
      <c r="R2484">
        <v>0</v>
      </c>
      <c r="S2484">
        <v>1</v>
      </c>
      <c r="T2484">
        <v>0</v>
      </c>
      <c r="U2484">
        <v>0</v>
      </c>
      <c r="V2484">
        <v>1</v>
      </c>
      <c r="W2484" t="s">
        <v>361</v>
      </c>
      <c r="AA2484">
        <v>2007</v>
      </c>
      <c r="AB2484">
        <v>9999</v>
      </c>
      <c r="AC2484" t="s">
        <v>35</v>
      </c>
    </row>
    <row r="2485" spans="1:29" x14ac:dyDescent="0.25">
      <c r="A2485" s="31" t="s">
        <v>362</v>
      </c>
      <c r="B2485" s="23" t="s">
        <v>363</v>
      </c>
      <c r="D2485">
        <v>1</v>
      </c>
      <c r="E2485" t="s">
        <v>103</v>
      </c>
      <c r="F2485">
        <v>9</v>
      </c>
      <c r="G2485">
        <v>2017</v>
      </c>
      <c r="I2485">
        <v>1067.68</v>
      </c>
      <c r="J2485" t="s">
        <v>104</v>
      </c>
      <c r="K2485" t="s">
        <v>53</v>
      </c>
      <c r="L2485" t="s">
        <v>105</v>
      </c>
      <c r="O2485">
        <v>0</v>
      </c>
      <c r="P2485">
        <v>1</v>
      </c>
      <c r="Q2485">
        <v>0</v>
      </c>
      <c r="R2485">
        <v>0</v>
      </c>
      <c r="S2485">
        <v>1</v>
      </c>
      <c r="T2485">
        <v>1</v>
      </c>
      <c r="U2485">
        <v>1</v>
      </c>
      <c r="V2485">
        <v>0</v>
      </c>
      <c r="W2485" t="s">
        <v>106</v>
      </c>
      <c r="AA2485">
        <v>2007</v>
      </c>
      <c r="AB2485">
        <v>9999</v>
      </c>
      <c r="AC2485" t="s">
        <v>35</v>
      </c>
    </row>
    <row r="2486" spans="1:29" x14ac:dyDescent="0.25">
      <c r="A2486" s="31" t="s">
        <v>364</v>
      </c>
      <c r="B2486" s="23" t="s">
        <v>365</v>
      </c>
      <c r="C2486" t="s">
        <v>366</v>
      </c>
      <c r="D2486">
        <v>1</v>
      </c>
      <c r="E2486" t="s">
        <v>103</v>
      </c>
      <c r="F2486">
        <v>9</v>
      </c>
      <c r="G2486">
        <v>2017</v>
      </c>
      <c r="I2486">
        <v>4849.46</v>
      </c>
      <c r="J2486" t="s">
        <v>104</v>
      </c>
      <c r="K2486" t="s">
        <v>53</v>
      </c>
      <c r="L2486" t="s">
        <v>105</v>
      </c>
      <c r="O2486">
        <v>0</v>
      </c>
      <c r="P2486">
        <v>1</v>
      </c>
      <c r="Q2486">
        <v>0</v>
      </c>
      <c r="R2486">
        <v>0</v>
      </c>
      <c r="S2486">
        <v>1</v>
      </c>
      <c r="T2486">
        <v>1</v>
      </c>
      <c r="U2486">
        <v>1</v>
      </c>
      <c r="V2486">
        <v>0</v>
      </c>
      <c r="W2486" t="s">
        <v>106</v>
      </c>
      <c r="AA2486">
        <v>2007</v>
      </c>
      <c r="AB2486">
        <v>9999</v>
      </c>
      <c r="AC2486" t="s">
        <v>35</v>
      </c>
    </row>
    <row r="2487" spans="1:29" x14ac:dyDescent="0.25">
      <c r="A2487" s="31" t="s">
        <v>367</v>
      </c>
      <c r="B2487" s="23" t="s">
        <v>368</v>
      </c>
      <c r="C2487" t="s">
        <v>369</v>
      </c>
      <c r="D2487">
        <v>1</v>
      </c>
      <c r="E2487" t="s">
        <v>370</v>
      </c>
      <c r="F2487">
        <v>5</v>
      </c>
      <c r="G2487">
        <v>2017</v>
      </c>
      <c r="I2487">
        <v>245.86</v>
      </c>
      <c r="J2487" t="s">
        <v>1471</v>
      </c>
      <c r="K2487" t="s">
        <v>47</v>
      </c>
      <c r="O2487">
        <v>0</v>
      </c>
      <c r="P2487">
        <v>0</v>
      </c>
      <c r="Q2487">
        <v>0</v>
      </c>
      <c r="R2487">
        <v>0</v>
      </c>
      <c r="S2487">
        <v>1</v>
      </c>
      <c r="T2487">
        <v>1</v>
      </c>
      <c r="U2487">
        <v>1</v>
      </c>
      <c r="V2487">
        <v>0</v>
      </c>
      <c r="W2487" t="s">
        <v>1298</v>
      </c>
      <c r="AA2487">
        <v>2007</v>
      </c>
      <c r="AB2487">
        <v>9999</v>
      </c>
      <c r="AC2487" t="s">
        <v>35</v>
      </c>
    </row>
    <row r="2488" spans="1:29" x14ac:dyDescent="0.25">
      <c r="A2488" s="31" t="s">
        <v>372</v>
      </c>
      <c r="B2488" s="23" t="s">
        <v>373</v>
      </c>
      <c r="D2488">
        <v>1</v>
      </c>
      <c r="E2488" t="s">
        <v>45</v>
      </c>
      <c r="F2488">
        <v>4</v>
      </c>
      <c r="G2488">
        <v>2017</v>
      </c>
      <c r="I2488">
        <v>80.2</v>
      </c>
      <c r="J2488" t="s">
        <v>176</v>
      </c>
      <c r="K2488" t="s">
        <v>47</v>
      </c>
      <c r="O2488">
        <v>0</v>
      </c>
      <c r="P2488">
        <v>0</v>
      </c>
      <c r="Q2488">
        <v>0</v>
      </c>
      <c r="R2488">
        <v>0</v>
      </c>
      <c r="S2488">
        <v>1</v>
      </c>
      <c r="T2488">
        <v>1</v>
      </c>
      <c r="U2488">
        <v>1</v>
      </c>
      <c r="V2488">
        <v>0</v>
      </c>
      <c r="W2488" t="s">
        <v>1429</v>
      </c>
      <c r="AA2488">
        <v>2007</v>
      </c>
      <c r="AB2488">
        <v>9999</v>
      </c>
      <c r="AC2488" t="s">
        <v>35</v>
      </c>
    </row>
    <row r="2489" spans="1:29" x14ac:dyDescent="0.25">
      <c r="A2489" s="31" t="s">
        <v>375</v>
      </c>
      <c r="B2489" s="23" t="s">
        <v>163</v>
      </c>
      <c r="D2489">
        <v>1</v>
      </c>
      <c r="E2489" t="s">
        <v>168</v>
      </c>
      <c r="F2489">
        <v>1</v>
      </c>
      <c r="G2489">
        <v>2017</v>
      </c>
      <c r="I2489">
        <v>51.01</v>
      </c>
      <c r="J2489" t="s">
        <v>52</v>
      </c>
      <c r="K2489" t="s">
        <v>47</v>
      </c>
      <c r="O2489">
        <v>0</v>
      </c>
      <c r="P2489">
        <v>0</v>
      </c>
      <c r="Q2489">
        <v>0</v>
      </c>
      <c r="R2489">
        <v>0</v>
      </c>
      <c r="S2489">
        <v>1</v>
      </c>
      <c r="T2489">
        <v>1</v>
      </c>
      <c r="U2489">
        <v>1</v>
      </c>
      <c r="V2489">
        <v>0</v>
      </c>
      <c r="W2489" t="s">
        <v>1097</v>
      </c>
      <c r="AA2489">
        <v>2007</v>
      </c>
      <c r="AB2489">
        <v>9999</v>
      </c>
      <c r="AC2489" t="s">
        <v>35</v>
      </c>
    </row>
    <row r="2490" spans="1:29" x14ac:dyDescent="0.25">
      <c r="A2490" s="31" t="s">
        <v>377</v>
      </c>
      <c r="B2490" s="23" t="s">
        <v>378</v>
      </c>
      <c r="D2490">
        <v>1</v>
      </c>
      <c r="E2490" t="s">
        <v>45</v>
      </c>
      <c r="F2490">
        <v>4</v>
      </c>
      <c r="G2490">
        <v>2017</v>
      </c>
      <c r="I2490">
        <v>140.65</v>
      </c>
      <c r="J2490" t="s">
        <v>89</v>
      </c>
      <c r="K2490" t="s">
        <v>47</v>
      </c>
      <c r="O2490">
        <v>0</v>
      </c>
      <c r="P2490">
        <v>0</v>
      </c>
      <c r="Q2490">
        <v>0</v>
      </c>
      <c r="R2490">
        <v>0</v>
      </c>
      <c r="S2490">
        <v>1</v>
      </c>
      <c r="T2490">
        <v>1</v>
      </c>
      <c r="U2490">
        <v>1</v>
      </c>
      <c r="V2490">
        <v>0</v>
      </c>
      <c r="W2490" t="s">
        <v>1098</v>
      </c>
      <c r="AA2490">
        <v>2007</v>
      </c>
      <c r="AB2490">
        <v>9999</v>
      </c>
      <c r="AC2490" t="s">
        <v>35</v>
      </c>
    </row>
    <row r="2491" spans="1:29" x14ac:dyDescent="0.25">
      <c r="A2491" s="31" t="s">
        <v>380</v>
      </c>
      <c r="B2491" s="23" t="s">
        <v>381</v>
      </c>
      <c r="D2491">
        <v>1</v>
      </c>
      <c r="E2491" t="s">
        <v>103</v>
      </c>
      <c r="F2491">
        <v>9</v>
      </c>
      <c r="G2491">
        <v>2017</v>
      </c>
      <c r="I2491">
        <v>147.76</v>
      </c>
      <c r="J2491" t="s">
        <v>104</v>
      </c>
      <c r="K2491" t="s">
        <v>53</v>
      </c>
      <c r="L2491" t="s">
        <v>105</v>
      </c>
      <c r="O2491">
        <v>0</v>
      </c>
      <c r="P2491">
        <v>1</v>
      </c>
      <c r="Q2491">
        <v>0</v>
      </c>
      <c r="R2491">
        <v>0</v>
      </c>
      <c r="S2491">
        <v>1</v>
      </c>
      <c r="T2491">
        <v>1</v>
      </c>
      <c r="U2491">
        <v>1</v>
      </c>
      <c r="V2491">
        <v>0</v>
      </c>
      <c r="W2491" t="s">
        <v>106</v>
      </c>
      <c r="AA2491">
        <v>2007</v>
      </c>
      <c r="AB2491">
        <v>9999</v>
      </c>
      <c r="AC2491" t="s">
        <v>35</v>
      </c>
    </row>
    <row r="2492" spans="1:29" x14ac:dyDescent="0.25">
      <c r="A2492" s="31" t="s">
        <v>382</v>
      </c>
      <c r="B2492" s="23" t="s">
        <v>383</v>
      </c>
      <c r="D2492">
        <v>1</v>
      </c>
      <c r="E2492" t="s">
        <v>80</v>
      </c>
      <c r="F2492">
        <v>8</v>
      </c>
      <c r="G2492">
        <v>2017</v>
      </c>
      <c r="I2492">
        <v>27.05</v>
      </c>
      <c r="J2492" t="s">
        <v>81</v>
      </c>
      <c r="K2492" t="s">
        <v>32</v>
      </c>
      <c r="O2492">
        <v>0</v>
      </c>
      <c r="P2492">
        <v>0</v>
      </c>
      <c r="Q2492">
        <v>0</v>
      </c>
      <c r="R2492">
        <v>0</v>
      </c>
      <c r="S2492">
        <v>1</v>
      </c>
      <c r="T2492">
        <v>1</v>
      </c>
      <c r="U2492">
        <v>1</v>
      </c>
      <c r="V2492">
        <v>0</v>
      </c>
      <c r="W2492" t="s">
        <v>1099</v>
      </c>
      <c r="AA2492">
        <v>2007</v>
      </c>
      <c r="AB2492">
        <v>9999</v>
      </c>
      <c r="AC2492" t="s">
        <v>35</v>
      </c>
    </row>
    <row r="2493" spans="1:29" x14ac:dyDescent="0.25">
      <c r="A2493" s="31" t="s">
        <v>385</v>
      </c>
      <c r="B2493" s="23" t="s">
        <v>386</v>
      </c>
      <c r="D2493">
        <v>1</v>
      </c>
      <c r="E2493" t="s">
        <v>45</v>
      </c>
      <c r="F2493">
        <v>4</v>
      </c>
      <c r="G2493">
        <v>2017</v>
      </c>
      <c r="I2493">
        <v>160.1</v>
      </c>
      <c r="J2493" t="s">
        <v>52</v>
      </c>
      <c r="K2493" t="s">
        <v>47</v>
      </c>
      <c r="O2493">
        <v>0</v>
      </c>
      <c r="P2493">
        <v>0</v>
      </c>
      <c r="Q2493">
        <v>0</v>
      </c>
      <c r="R2493">
        <v>0</v>
      </c>
      <c r="S2493">
        <v>1</v>
      </c>
      <c r="T2493">
        <v>1</v>
      </c>
      <c r="U2493">
        <v>1</v>
      </c>
      <c r="V2493">
        <v>0</v>
      </c>
      <c r="W2493" t="s">
        <v>1300</v>
      </c>
      <c r="AA2493">
        <v>2007</v>
      </c>
      <c r="AB2493">
        <v>9999</v>
      </c>
      <c r="AC2493" t="s">
        <v>35</v>
      </c>
    </row>
    <row r="2494" spans="1:29" x14ac:dyDescent="0.25">
      <c r="A2494" s="31" t="s">
        <v>388</v>
      </c>
      <c r="B2494" s="23" t="s">
        <v>389</v>
      </c>
      <c r="D2494">
        <v>1</v>
      </c>
      <c r="E2494" t="s">
        <v>145</v>
      </c>
      <c r="F2494">
        <v>2</v>
      </c>
      <c r="G2494">
        <v>2017</v>
      </c>
      <c r="H2494" t="s">
        <v>185</v>
      </c>
      <c r="I2494">
        <v>0</v>
      </c>
      <c r="J2494" t="s">
        <v>52</v>
      </c>
      <c r="K2494" t="s">
        <v>41</v>
      </c>
      <c r="O2494">
        <v>0</v>
      </c>
      <c r="P2494">
        <v>0</v>
      </c>
      <c r="Q2494">
        <v>0</v>
      </c>
      <c r="R2494">
        <v>0</v>
      </c>
      <c r="S2494">
        <v>0</v>
      </c>
      <c r="T2494">
        <v>0</v>
      </c>
      <c r="U2494">
        <v>0</v>
      </c>
      <c r="V2494">
        <v>0</v>
      </c>
      <c r="W2494" t="s">
        <v>1101</v>
      </c>
      <c r="AA2494">
        <v>2007</v>
      </c>
      <c r="AB2494">
        <v>9999</v>
      </c>
      <c r="AC2494" t="s">
        <v>35</v>
      </c>
    </row>
    <row r="2495" spans="1:29" x14ac:dyDescent="0.25">
      <c r="A2495" s="31" t="s">
        <v>391</v>
      </c>
      <c r="B2495" s="23" t="s">
        <v>392</v>
      </c>
      <c r="D2495">
        <v>1</v>
      </c>
      <c r="E2495" t="s">
        <v>393</v>
      </c>
      <c r="F2495">
        <v>3</v>
      </c>
      <c r="G2495">
        <v>2017</v>
      </c>
      <c r="I2495">
        <v>9511.82</v>
      </c>
      <c r="J2495" t="s">
        <v>121</v>
      </c>
      <c r="K2495" t="s">
        <v>47</v>
      </c>
      <c r="O2495">
        <v>0</v>
      </c>
      <c r="P2495">
        <v>0</v>
      </c>
      <c r="Q2495">
        <v>0</v>
      </c>
      <c r="R2495">
        <v>0</v>
      </c>
      <c r="S2495">
        <v>1</v>
      </c>
      <c r="T2495">
        <v>1</v>
      </c>
      <c r="U2495">
        <v>1</v>
      </c>
      <c r="V2495">
        <v>0</v>
      </c>
      <c r="W2495" t="s">
        <v>1102</v>
      </c>
      <c r="AA2495">
        <v>2007</v>
      </c>
      <c r="AB2495">
        <v>9999</v>
      </c>
      <c r="AC2495" t="s">
        <v>35</v>
      </c>
    </row>
    <row r="2496" spans="1:29" x14ac:dyDescent="0.25">
      <c r="A2496" s="31" t="s">
        <v>401</v>
      </c>
      <c r="B2496" s="23" t="s">
        <v>402</v>
      </c>
      <c r="D2496">
        <v>1</v>
      </c>
      <c r="E2496" t="s">
        <v>155</v>
      </c>
      <c r="F2496">
        <v>3</v>
      </c>
      <c r="G2496">
        <v>2017</v>
      </c>
      <c r="I2496">
        <v>2106.31</v>
      </c>
      <c r="J2496" t="s">
        <v>52</v>
      </c>
      <c r="K2496" t="s">
        <v>47</v>
      </c>
      <c r="O2496">
        <v>0</v>
      </c>
      <c r="P2496">
        <v>0</v>
      </c>
      <c r="Q2496">
        <v>0</v>
      </c>
      <c r="R2496">
        <v>0</v>
      </c>
      <c r="S2496">
        <v>1</v>
      </c>
      <c r="T2496">
        <v>1</v>
      </c>
      <c r="U2496">
        <v>1</v>
      </c>
      <c r="V2496">
        <v>0</v>
      </c>
      <c r="W2496" t="s">
        <v>1525</v>
      </c>
      <c r="AA2496">
        <v>2007</v>
      </c>
      <c r="AB2496">
        <v>9999</v>
      </c>
      <c r="AC2496" t="s">
        <v>35</v>
      </c>
    </row>
    <row r="2497" spans="1:29" x14ac:dyDescent="0.25">
      <c r="A2497" s="31" t="s">
        <v>404</v>
      </c>
      <c r="B2497" s="23" t="s">
        <v>405</v>
      </c>
      <c r="C2497" t="s">
        <v>406</v>
      </c>
      <c r="D2497">
        <v>1</v>
      </c>
      <c r="E2497" t="s">
        <v>358</v>
      </c>
      <c r="F2497">
        <v>1</v>
      </c>
      <c r="G2497">
        <v>2017</v>
      </c>
      <c r="I2497">
        <v>298.91000000000003</v>
      </c>
      <c r="J2497" t="s">
        <v>104</v>
      </c>
      <c r="K2497" t="s">
        <v>47</v>
      </c>
      <c r="O2497">
        <v>0</v>
      </c>
      <c r="P2497">
        <v>0</v>
      </c>
      <c r="Q2497">
        <v>0</v>
      </c>
      <c r="R2497">
        <v>0</v>
      </c>
      <c r="S2497">
        <v>1</v>
      </c>
      <c r="T2497">
        <v>1</v>
      </c>
      <c r="U2497">
        <v>1</v>
      </c>
      <c r="V2497">
        <v>0</v>
      </c>
      <c r="W2497" t="s">
        <v>1245</v>
      </c>
      <c r="AA2497">
        <v>2007</v>
      </c>
      <c r="AB2497">
        <v>9999</v>
      </c>
      <c r="AC2497" t="s">
        <v>35</v>
      </c>
    </row>
    <row r="2498" spans="1:29" x14ac:dyDescent="0.25">
      <c r="A2498" s="31" t="s">
        <v>408</v>
      </c>
      <c r="B2498" s="23" t="s">
        <v>409</v>
      </c>
      <c r="D2498">
        <v>1</v>
      </c>
      <c r="E2498" t="s">
        <v>103</v>
      </c>
      <c r="F2498">
        <v>9</v>
      </c>
      <c r="G2498">
        <v>2017</v>
      </c>
      <c r="I2498">
        <v>50.05</v>
      </c>
      <c r="J2498" t="s">
        <v>104</v>
      </c>
      <c r="K2498" t="s">
        <v>53</v>
      </c>
      <c r="L2498" t="s">
        <v>105</v>
      </c>
      <c r="O2498">
        <v>0</v>
      </c>
      <c r="P2498">
        <v>1</v>
      </c>
      <c r="Q2498">
        <v>0</v>
      </c>
      <c r="R2498">
        <v>0</v>
      </c>
      <c r="S2498">
        <v>1</v>
      </c>
      <c r="T2498">
        <v>1</v>
      </c>
      <c r="U2498">
        <v>1</v>
      </c>
      <c r="V2498">
        <v>0</v>
      </c>
      <c r="W2498" t="s">
        <v>106</v>
      </c>
      <c r="AA2498">
        <v>2007</v>
      </c>
      <c r="AB2498">
        <v>9999</v>
      </c>
      <c r="AC2498" t="s">
        <v>35</v>
      </c>
    </row>
    <row r="2499" spans="1:29" x14ac:dyDescent="0.25">
      <c r="A2499" s="31" t="s">
        <v>410</v>
      </c>
      <c r="B2499" s="23" t="s">
        <v>411</v>
      </c>
      <c r="C2499" t="s">
        <v>412</v>
      </c>
      <c r="D2499">
        <v>1</v>
      </c>
      <c r="E2499" t="s">
        <v>103</v>
      </c>
      <c r="F2499">
        <v>9</v>
      </c>
      <c r="G2499">
        <v>2017</v>
      </c>
      <c r="I2499">
        <v>138.56</v>
      </c>
      <c r="J2499" t="s">
        <v>104</v>
      </c>
      <c r="K2499" t="s">
        <v>53</v>
      </c>
      <c r="L2499" t="s">
        <v>105</v>
      </c>
      <c r="O2499">
        <v>0</v>
      </c>
      <c r="P2499">
        <v>1</v>
      </c>
      <c r="Q2499">
        <v>0</v>
      </c>
      <c r="R2499">
        <v>0</v>
      </c>
      <c r="S2499">
        <v>1</v>
      </c>
      <c r="T2499">
        <v>1</v>
      </c>
      <c r="U2499">
        <v>1</v>
      </c>
      <c r="V2499">
        <v>0</v>
      </c>
      <c r="W2499" t="s">
        <v>106</v>
      </c>
      <c r="AA2499">
        <v>2007</v>
      </c>
      <c r="AB2499">
        <v>9999</v>
      </c>
      <c r="AC2499" t="s">
        <v>35</v>
      </c>
    </row>
    <row r="2500" spans="1:29" x14ac:dyDescent="0.25">
      <c r="A2500" s="31" t="s">
        <v>413</v>
      </c>
      <c r="B2500" s="23" t="s">
        <v>414</v>
      </c>
      <c r="C2500" t="s">
        <v>415</v>
      </c>
      <c r="D2500">
        <v>1</v>
      </c>
      <c r="E2500" t="s">
        <v>103</v>
      </c>
      <c r="F2500">
        <v>9</v>
      </c>
      <c r="G2500">
        <v>2017</v>
      </c>
      <c r="I2500">
        <v>3598.71</v>
      </c>
      <c r="J2500" t="s">
        <v>104</v>
      </c>
      <c r="K2500" t="s">
        <v>53</v>
      </c>
      <c r="L2500" t="s">
        <v>105</v>
      </c>
      <c r="O2500">
        <v>0</v>
      </c>
      <c r="P2500">
        <v>1</v>
      </c>
      <c r="Q2500">
        <v>0</v>
      </c>
      <c r="R2500">
        <v>0</v>
      </c>
      <c r="S2500">
        <v>1</v>
      </c>
      <c r="T2500">
        <v>1</v>
      </c>
      <c r="U2500">
        <v>1</v>
      </c>
      <c r="V2500">
        <v>0</v>
      </c>
      <c r="W2500" t="s">
        <v>106</v>
      </c>
      <c r="AA2500">
        <v>2007</v>
      </c>
      <c r="AB2500">
        <v>9999</v>
      </c>
      <c r="AC2500" t="s">
        <v>35</v>
      </c>
    </row>
    <row r="2501" spans="1:29" x14ac:dyDescent="0.25">
      <c r="A2501" s="31" t="s">
        <v>416</v>
      </c>
      <c r="B2501" s="23" t="s">
        <v>417</v>
      </c>
      <c r="C2501" t="s">
        <v>418</v>
      </c>
      <c r="D2501">
        <v>1</v>
      </c>
      <c r="E2501" t="s">
        <v>218</v>
      </c>
      <c r="F2501">
        <v>2</v>
      </c>
      <c r="G2501">
        <v>2017</v>
      </c>
      <c r="I2501">
        <v>754.41</v>
      </c>
      <c r="J2501" t="s">
        <v>147</v>
      </c>
      <c r="K2501" t="s">
        <v>47</v>
      </c>
      <c r="O2501">
        <v>0</v>
      </c>
      <c r="P2501">
        <v>0</v>
      </c>
      <c r="Q2501">
        <v>0</v>
      </c>
      <c r="R2501">
        <v>0</v>
      </c>
      <c r="S2501">
        <v>1</v>
      </c>
      <c r="T2501">
        <v>1</v>
      </c>
      <c r="U2501">
        <v>1</v>
      </c>
      <c r="V2501">
        <v>0</v>
      </c>
      <c r="W2501" t="s">
        <v>1107</v>
      </c>
      <c r="AA2501">
        <v>2007</v>
      </c>
      <c r="AB2501">
        <v>9999</v>
      </c>
      <c r="AC2501" t="s">
        <v>35</v>
      </c>
    </row>
    <row r="2502" spans="1:29" x14ac:dyDescent="0.25">
      <c r="A2502" s="31" t="s">
        <v>420</v>
      </c>
      <c r="B2502" s="23" t="s">
        <v>421</v>
      </c>
      <c r="D2502">
        <v>1</v>
      </c>
      <c r="E2502" t="s">
        <v>38</v>
      </c>
      <c r="F2502">
        <v>4</v>
      </c>
      <c r="G2502">
        <v>2017</v>
      </c>
      <c r="H2502" t="s">
        <v>39</v>
      </c>
      <c r="I2502">
        <v>3.2</v>
      </c>
      <c r="J2502" s="2" t="s">
        <v>1471</v>
      </c>
      <c r="K2502" t="s">
        <v>32</v>
      </c>
      <c r="O2502">
        <v>0</v>
      </c>
      <c r="P2502">
        <v>0</v>
      </c>
      <c r="Q2502">
        <v>0</v>
      </c>
      <c r="R2502">
        <v>0</v>
      </c>
      <c r="S2502">
        <v>0</v>
      </c>
      <c r="T2502">
        <v>1</v>
      </c>
      <c r="U2502">
        <v>0</v>
      </c>
      <c r="V2502">
        <v>0</v>
      </c>
      <c r="W2502" t="s">
        <v>1108</v>
      </c>
      <c r="AA2502">
        <v>2007</v>
      </c>
      <c r="AB2502">
        <v>9999</v>
      </c>
      <c r="AC2502" t="s">
        <v>35</v>
      </c>
    </row>
    <row r="2503" spans="1:29" x14ac:dyDescent="0.25">
      <c r="A2503" s="31" t="s">
        <v>423</v>
      </c>
      <c r="B2503" s="23" t="s">
        <v>424</v>
      </c>
      <c r="D2503">
        <v>1</v>
      </c>
      <c r="E2503" t="s">
        <v>85</v>
      </c>
      <c r="F2503">
        <v>1</v>
      </c>
      <c r="G2503">
        <v>2017</v>
      </c>
      <c r="H2503" t="s">
        <v>303</v>
      </c>
      <c r="I2503">
        <v>7</v>
      </c>
      <c r="J2503" t="s">
        <v>121</v>
      </c>
      <c r="K2503" t="s">
        <v>53</v>
      </c>
      <c r="L2503" t="s">
        <v>425</v>
      </c>
      <c r="O2503">
        <v>0</v>
      </c>
      <c r="P2503">
        <v>0</v>
      </c>
      <c r="Q2503">
        <v>0</v>
      </c>
      <c r="R2503">
        <v>0</v>
      </c>
      <c r="S2503">
        <v>0</v>
      </c>
      <c r="T2503">
        <v>0</v>
      </c>
      <c r="U2503">
        <v>0</v>
      </c>
      <c r="V2503">
        <v>0</v>
      </c>
      <c r="W2503" t="s">
        <v>426</v>
      </c>
      <c r="AA2503">
        <v>2007</v>
      </c>
      <c r="AB2503">
        <v>9999</v>
      </c>
      <c r="AC2503" t="s">
        <v>35</v>
      </c>
    </row>
    <row r="2504" spans="1:29" x14ac:dyDescent="0.25">
      <c r="A2504" s="31" t="s">
        <v>427</v>
      </c>
      <c r="B2504" s="23" t="s">
        <v>1246</v>
      </c>
      <c r="D2504">
        <v>1</v>
      </c>
      <c r="E2504" t="s">
        <v>45</v>
      </c>
      <c r="F2504">
        <v>4</v>
      </c>
      <c r="G2504">
        <v>2017</v>
      </c>
      <c r="I2504">
        <v>1871.35</v>
      </c>
      <c r="J2504" t="s">
        <v>89</v>
      </c>
      <c r="K2504" t="s">
        <v>32</v>
      </c>
      <c r="O2504">
        <v>0</v>
      </c>
      <c r="P2504">
        <v>0</v>
      </c>
      <c r="Q2504">
        <v>0</v>
      </c>
      <c r="R2504">
        <v>0</v>
      </c>
      <c r="S2504">
        <v>1</v>
      </c>
      <c r="T2504">
        <v>1</v>
      </c>
      <c r="U2504">
        <v>1</v>
      </c>
      <c r="V2504">
        <v>0</v>
      </c>
      <c r="W2504" t="s">
        <v>1301</v>
      </c>
      <c r="AA2504">
        <v>2007</v>
      </c>
      <c r="AB2504">
        <v>9999</v>
      </c>
      <c r="AC2504" t="s">
        <v>35</v>
      </c>
    </row>
    <row r="2505" spans="1:29" x14ac:dyDescent="0.25">
      <c r="A2505" s="31" t="s">
        <v>430</v>
      </c>
      <c r="B2505" s="23" t="s">
        <v>431</v>
      </c>
      <c r="D2505">
        <v>1</v>
      </c>
      <c r="E2505" t="s">
        <v>103</v>
      </c>
      <c r="F2505">
        <v>9</v>
      </c>
      <c r="G2505">
        <v>2017</v>
      </c>
      <c r="I2505">
        <v>3153.86</v>
      </c>
      <c r="J2505" t="s">
        <v>104</v>
      </c>
      <c r="K2505" t="s">
        <v>53</v>
      </c>
      <c r="L2505" t="s">
        <v>105</v>
      </c>
      <c r="O2505">
        <v>0</v>
      </c>
      <c r="P2505">
        <v>1</v>
      </c>
      <c r="Q2505">
        <v>0</v>
      </c>
      <c r="R2505">
        <v>0</v>
      </c>
      <c r="S2505">
        <v>1</v>
      </c>
      <c r="T2505">
        <v>1</v>
      </c>
      <c r="U2505">
        <v>1</v>
      </c>
      <c r="V2505">
        <v>0</v>
      </c>
      <c r="W2505" t="s">
        <v>106</v>
      </c>
      <c r="AA2505">
        <v>2007</v>
      </c>
      <c r="AB2505">
        <v>9999</v>
      </c>
      <c r="AC2505" t="s">
        <v>35</v>
      </c>
    </row>
    <row r="2506" spans="1:29" x14ac:dyDescent="0.25">
      <c r="A2506" s="31" t="s">
        <v>1302</v>
      </c>
      <c r="B2506" s="23" t="s">
        <v>1303</v>
      </c>
      <c r="D2506">
        <v>1</v>
      </c>
      <c r="E2506" t="s">
        <v>103</v>
      </c>
      <c r="F2506">
        <v>9</v>
      </c>
      <c r="G2506">
        <v>2017</v>
      </c>
      <c r="I2506">
        <v>1722.98</v>
      </c>
      <c r="J2506" t="s">
        <v>104</v>
      </c>
      <c r="K2506" t="s">
        <v>53</v>
      </c>
      <c r="L2506" t="s">
        <v>105</v>
      </c>
      <c r="O2506">
        <v>0</v>
      </c>
      <c r="P2506">
        <v>1</v>
      </c>
      <c r="Q2506">
        <v>0</v>
      </c>
      <c r="R2506">
        <v>0</v>
      </c>
      <c r="S2506">
        <v>1</v>
      </c>
      <c r="T2506">
        <v>1</v>
      </c>
      <c r="U2506">
        <v>1</v>
      </c>
      <c r="V2506">
        <v>0</v>
      </c>
      <c r="W2506" t="s">
        <v>106</v>
      </c>
      <c r="AA2506">
        <v>2010</v>
      </c>
      <c r="AB2506">
        <v>9999</v>
      </c>
      <c r="AC2506" t="s">
        <v>1292</v>
      </c>
    </row>
    <row r="2507" spans="1:29" ht="30" x14ac:dyDescent="0.25">
      <c r="A2507" s="31" t="s">
        <v>432</v>
      </c>
      <c r="B2507" s="23" t="s">
        <v>433</v>
      </c>
      <c r="D2507">
        <v>1</v>
      </c>
      <c r="E2507" t="s">
        <v>80</v>
      </c>
      <c r="F2507">
        <v>8</v>
      </c>
      <c r="G2507">
        <v>2017</v>
      </c>
      <c r="I2507" s="8">
        <v>61.17</v>
      </c>
      <c r="J2507" t="s">
        <v>81</v>
      </c>
      <c r="K2507" t="s">
        <v>47</v>
      </c>
      <c r="O2507">
        <v>0</v>
      </c>
      <c r="P2507">
        <v>0</v>
      </c>
      <c r="Q2507">
        <v>0</v>
      </c>
      <c r="R2507">
        <v>0</v>
      </c>
      <c r="S2507">
        <v>0</v>
      </c>
      <c r="T2507">
        <v>0</v>
      </c>
      <c r="U2507">
        <v>0</v>
      </c>
      <c r="V2507">
        <v>0</v>
      </c>
      <c r="W2507" t="s">
        <v>1111</v>
      </c>
      <c r="AA2507">
        <v>2007</v>
      </c>
      <c r="AB2507">
        <v>2017</v>
      </c>
      <c r="AC2507" t="s">
        <v>435</v>
      </c>
    </row>
    <row r="2508" spans="1:29" x14ac:dyDescent="0.25">
      <c r="A2508" s="31" t="s">
        <v>439</v>
      </c>
      <c r="B2508" s="23" t="s">
        <v>440</v>
      </c>
      <c r="C2508" t="s">
        <v>441</v>
      </c>
      <c r="D2508">
        <v>1</v>
      </c>
      <c r="E2508" t="s">
        <v>442</v>
      </c>
      <c r="F2508">
        <v>4</v>
      </c>
      <c r="G2508">
        <v>2017</v>
      </c>
      <c r="I2508">
        <v>546.76</v>
      </c>
      <c r="J2508" t="s">
        <v>89</v>
      </c>
      <c r="K2508" t="s">
        <v>47</v>
      </c>
      <c r="O2508">
        <v>0</v>
      </c>
      <c r="P2508">
        <v>0</v>
      </c>
      <c r="Q2508">
        <v>0</v>
      </c>
      <c r="R2508">
        <v>0</v>
      </c>
      <c r="S2508">
        <v>1</v>
      </c>
      <c r="T2508">
        <v>1</v>
      </c>
      <c r="U2508">
        <v>1</v>
      </c>
      <c r="V2508">
        <v>0</v>
      </c>
      <c r="W2508" t="s">
        <v>1304</v>
      </c>
      <c r="AA2508">
        <v>2007</v>
      </c>
      <c r="AB2508">
        <v>9999</v>
      </c>
      <c r="AC2508" t="s">
        <v>35</v>
      </c>
    </row>
    <row r="2509" spans="1:29" ht="30" x14ac:dyDescent="0.25">
      <c r="B2509" s="23" t="s">
        <v>444</v>
      </c>
      <c r="C2509" t="s">
        <v>445</v>
      </c>
      <c r="D2509">
        <v>5</v>
      </c>
      <c r="E2509" t="s">
        <v>38</v>
      </c>
      <c r="F2509">
        <v>4</v>
      </c>
      <c r="G2509">
        <v>2017</v>
      </c>
      <c r="I2509">
        <v>1.1000000000000001</v>
      </c>
      <c r="J2509" s="2" t="s">
        <v>31</v>
      </c>
      <c r="K2509" t="s">
        <v>41</v>
      </c>
      <c r="O2509">
        <v>0</v>
      </c>
      <c r="P2509">
        <v>0</v>
      </c>
      <c r="Q2509">
        <v>0</v>
      </c>
      <c r="R2509">
        <v>0</v>
      </c>
      <c r="S2509">
        <v>0</v>
      </c>
      <c r="T2509">
        <v>0</v>
      </c>
      <c r="U2509">
        <v>0</v>
      </c>
      <c r="V2509">
        <v>0</v>
      </c>
      <c r="W2509" t="s">
        <v>1114</v>
      </c>
      <c r="AA2509">
        <v>2007</v>
      </c>
      <c r="AB2509">
        <v>9999</v>
      </c>
      <c r="AC2509" t="s">
        <v>35</v>
      </c>
    </row>
    <row r="2510" spans="1:29" x14ac:dyDescent="0.25">
      <c r="A2510" s="31" t="s">
        <v>447</v>
      </c>
      <c r="B2510" s="23" t="s">
        <v>448</v>
      </c>
      <c r="D2510">
        <v>1</v>
      </c>
      <c r="E2510" t="s">
        <v>45</v>
      </c>
      <c r="F2510">
        <v>4</v>
      </c>
      <c r="G2510">
        <v>2017</v>
      </c>
      <c r="I2510">
        <v>42.1</v>
      </c>
      <c r="J2510" t="s">
        <v>52</v>
      </c>
      <c r="K2510" t="s">
        <v>32</v>
      </c>
      <c r="O2510">
        <v>0</v>
      </c>
      <c r="P2510">
        <v>0</v>
      </c>
      <c r="Q2510">
        <v>0</v>
      </c>
      <c r="R2510">
        <v>0</v>
      </c>
      <c r="S2510">
        <v>1</v>
      </c>
      <c r="T2510">
        <v>1</v>
      </c>
      <c r="U2510">
        <v>1</v>
      </c>
      <c r="V2510">
        <v>0</v>
      </c>
      <c r="W2510" t="s">
        <v>1115</v>
      </c>
      <c r="AA2510">
        <v>2007</v>
      </c>
      <c r="AB2510">
        <v>9999</v>
      </c>
      <c r="AC2510" t="s">
        <v>35</v>
      </c>
    </row>
    <row r="2511" spans="1:29" x14ac:dyDescent="0.25">
      <c r="A2511" s="31" t="s">
        <v>453</v>
      </c>
      <c r="B2511" s="23" t="s">
        <v>454</v>
      </c>
      <c r="C2511" t="s">
        <v>455</v>
      </c>
      <c r="D2511">
        <v>1</v>
      </c>
      <c r="E2511" t="s">
        <v>456</v>
      </c>
      <c r="F2511">
        <v>4</v>
      </c>
      <c r="G2511">
        <v>2017</v>
      </c>
      <c r="I2511">
        <v>1111</v>
      </c>
      <c r="J2511" t="s">
        <v>89</v>
      </c>
      <c r="K2511" t="s">
        <v>32</v>
      </c>
      <c r="L2511" t="s">
        <v>33</v>
      </c>
      <c r="O2511">
        <v>0</v>
      </c>
      <c r="P2511">
        <v>0</v>
      </c>
      <c r="Q2511">
        <v>0</v>
      </c>
      <c r="R2511">
        <v>1</v>
      </c>
      <c r="S2511">
        <v>1</v>
      </c>
      <c r="T2511">
        <v>1</v>
      </c>
      <c r="U2511">
        <v>1</v>
      </c>
      <c r="V2511">
        <v>0</v>
      </c>
      <c r="W2511" t="s">
        <v>1360</v>
      </c>
      <c r="AA2511">
        <v>2007</v>
      </c>
      <c r="AB2511">
        <v>9999</v>
      </c>
      <c r="AC2511" t="s">
        <v>35</v>
      </c>
    </row>
    <row r="2512" spans="1:29" x14ac:dyDescent="0.25">
      <c r="A2512" s="31" t="s">
        <v>458</v>
      </c>
      <c r="B2512" s="23" t="s">
        <v>459</v>
      </c>
      <c r="D2512">
        <v>1</v>
      </c>
      <c r="E2512" t="s">
        <v>103</v>
      </c>
      <c r="F2512">
        <v>9</v>
      </c>
      <c r="G2512">
        <v>2017</v>
      </c>
      <c r="I2512">
        <v>1392.85</v>
      </c>
      <c r="J2512" t="s">
        <v>104</v>
      </c>
      <c r="K2512" t="s">
        <v>53</v>
      </c>
      <c r="L2512" t="s">
        <v>105</v>
      </c>
      <c r="O2512">
        <v>0</v>
      </c>
      <c r="P2512">
        <v>1</v>
      </c>
      <c r="Q2512">
        <v>0</v>
      </c>
      <c r="R2512">
        <v>0</v>
      </c>
      <c r="S2512">
        <v>1</v>
      </c>
      <c r="T2512">
        <v>1</v>
      </c>
      <c r="U2512">
        <v>1</v>
      </c>
      <c r="V2512">
        <v>0</v>
      </c>
      <c r="W2512" t="s">
        <v>106</v>
      </c>
      <c r="AA2512">
        <v>2007</v>
      </c>
      <c r="AB2512">
        <v>9999</v>
      </c>
      <c r="AC2512" t="s">
        <v>35</v>
      </c>
    </row>
    <row r="2513" spans="1:29" x14ac:dyDescent="0.25">
      <c r="A2513" s="31" t="s">
        <v>460</v>
      </c>
      <c r="B2513" s="23" t="s">
        <v>461</v>
      </c>
      <c r="D2513">
        <v>1</v>
      </c>
      <c r="E2513" t="s">
        <v>103</v>
      </c>
      <c r="F2513">
        <v>9</v>
      </c>
      <c r="G2513">
        <v>2017</v>
      </c>
      <c r="I2513">
        <v>6722.3799999999992</v>
      </c>
      <c r="J2513" t="s">
        <v>104</v>
      </c>
      <c r="K2513" t="s">
        <v>53</v>
      </c>
      <c r="L2513" t="s">
        <v>105</v>
      </c>
      <c r="O2513">
        <v>0</v>
      </c>
      <c r="P2513">
        <v>1</v>
      </c>
      <c r="Q2513">
        <v>0</v>
      </c>
      <c r="R2513">
        <v>0</v>
      </c>
      <c r="S2513">
        <v>1</v>
      </c>
      <c r="T2513">
        <v>1</v>
      </c>
      <c r="U2513">
        <v>1</v>
      </c>
      <c r="V2513">
        <v>0</v>
      </c>
      <c r="W2513" t="s">
        <v>106</v>
      </c>
      <c r="AA2513">
        <v>2007</v>
      </c>
      <c r="AB2513">
        <v>9999</v>
      </c>
      <c r="AC2513" t="s">
        <v>35</v>
      </c>
    </row>
    <row r="2514" spans="1:29" x14ac:dyDescent="0.25">
      <c r="A2514" s="31" t="s">
        <v>465</v>
      </c>
      <c r="B2514" s="23" t="s">
        <v>466</v>
      </c>
      <c r="C2514" t="s">
        <v>467</v>
      </c>
      <c r="D2514">
        <v>1</v>
      </c>
      <c r="E2514" t="s">
        <v>468</v>
      </c>
      <c r="F2514">
        <v>7</v>
      </c>
      <c r="G2514">
        <v>2017</v>
      </c>
      <c r="I2514">
        <v>748.03</v>
      </c>
      <c r="J2514" t="s">
        <v>40</v>
      </c>
      <c r="K2514" t="s">
        <v>32</v>
      </c>
      <c r="O2514">
        <v>0</v>
      </c>
      <c r="P2514">
        <v>0</v>
      </c>
      <c r="Q2514">
        <v>0</v>
      </c>
      <c r="R2514">
        <v>0</v>
      </c>
      <c r="S2514">
        <v>1</v>
      </c>
      <c r="T2514">
        <v>1</v>
      </c>
      <c r="U2514">
        <v>1</v>
      </c>
      <c r="V2514">
        <v>0</v>
      </c>
      <c r="W2514" t="s">
        <v>1119</v>
      </c>
      <c r="AA2514">
        <v>2007</v>
      </c>
      <c r="AB2514">
        <v>9999</v>
      </c>
      <c r="AC2514" t="s">
        <v>35</v>
      </c>
    </row>
    <row r="2515" spans="1:29" x14ac:dyDescent="0.25">
      <c r="A2515" s="31" t="s">
        <v>478</v>
      </c>
      <c r="B2515" s="23" t="s">
        <v>479</v>
      </c>
      <c r="D2515">
        <v>1</v>
      </c>
      <c r="E2515" t="s">
        <v>348</v>
      </c>
      <c r="F2515">
        <v>1</v>
      </c>
      <c r="G2515">
        <v>2017</v>
      </c>
      <c r="I2515">
        <v>104.72</v>
      </c>
      <c r="J2515" t="s">
        <v>52</v>
      </c>
      <c r="K2515" t="s">
        <v>47</v>
      </c>
      <c r="O2515">
        <v>0</v>
      </c>
      <c r="P2515">
        <v>0</v>
      </c>
      <c r="Q2515">
        <v>0</v>
      </c>
      <c r="R2515">
        <v>0</v>
      </c>
      <c r="S2515">
        <v>1</v>
      </c>
      <c r="T2515">
        <v>1</v>
      </c>
      <c r="U2515">
        <v>1</v>
      </c>
      <c r="V2515">
        <v>0</v>
      </c>
      <c r="W2515" t="s">
        <v>1120</v>
      </c>
      <c r="AA2515">
        <v>2007</v>
      </c>
      <c r="AB2515">
        <v>9999</v>
      </c>
      <c r="AC2515" t="s">
        <v>35</v>
      </c>
    </row>
    <row r="2516" spans="1:29" x14ac:dyDescent="0.25">
      <c r="A2516" s="31" t="s">
        <v>481</v>
      </c>
      <c r="B2516" s="23" t="s">
        <v>482</v>
      </c>
      <c r="D2516">
        <v>1</v>
      </c>
      <c r="E2516" t="s">
        <v>348</v>
      </c>
      <c r="F2516">
        <v>1</v>
      </c>
      <c r="G2516">
        <v>2017</v>
      </c>
      <c r="I2516">
        <v>224.59</v>
      </c>
      <c r="J2516" t="s">
        <v>52</v>
      </c>
      <c r="K2516" t="s">
        <v>47</v>
      </c>
      <c r="O2516">
        <v>0</v>
      </c>
      <c r="P2516">
        <v>0</v>
      </c>
      <c r="Q2516">
        <v>0</v>
      </c>
      <c r="R2516">
        <v>0</v>
      </c>
      <c r="S2516">
        <v>1</v>
      </c>
      <c r="T2516">
        <v>1</v>
      </c>
      <c r="U2516">
        <v>1</v>
      </c>
      <c r="V2516">
        <v>0</v>
      </c>
      <c r="W2516" t="s">
        <v>1120</v>
      </c>
      <c r="AA2516">
        <v>2007</v>
      </c>
      <c r="AB2516">
        <v>9999</v>
      </c>
      <c r="AC2516" t="s">
        <v>35</v>
      </c>
    </row>
    <row r="2517" spans="1:29" x14ac:dyDescent="0.25">
      <c r="A2517" s="31" t="s">
        <v>483</v>
      </c>
      <c r="B2517" s="23" t="s">
        <v>484</v>
      </c>
      <c r="D2517">
        <v>1</v>
      </c>
      <c r="E2517" t="s">
        <v>348</v>
      </c>
      <c r="F2517">
        <v>1</v>
      </c>
      <c r="G2517">
        <v>2017</v>
      </c>
      <c r="I2517">
        <v>111</v>
      </c>
      <c r="J2517" t="s">
        <v>52</v>
      </c>
      <c r="K2517" t="s">
        <v>47</v>
      </c>
      <c r="O2517">
        <v>0</v>
      </c>
      <c r="P2517">
        <v>0</v>
      </c>
      <c r="Q2517">
        <v>0</v>
      </c>
      <c r="R2517">
        <v>0</v>
      </c>
      <c r="S2517">
        <v>1</v>
      </c>
      <c r="T2517">
        <v>1</v>
      </c>
      <c r="U2517">
        <v>1</v>
      </c>
      <c r="V2517">
        <v>0</v>
      </c>
      <c r="W2517" t="s">
        <v>1120</v>
      </c>
      <c r="AA2517">
        <v>2007</v>
      </c>
      <c r="AB2517">
        <v>9999</v>
      </c>
      <c r="AC2517" t="s">
        <v>35</v>
      </c>
    </row>
    <row r="2518" spans="1:29" x14ac:dyDescent="0.25">
      <c r="A2518" s="31" t="s">
        <v>485</v>
      </c>
      <c r="B2518" s="23" t="s">
        <v>486</v>
      </c>
      <c r="D2518">
        <v>1</v>
      </c>
      <c r="E2518" t="s">
        <v>348</v>
      </c>
      <c r="F2518">
        <v>1</v>
      </c>
      <c r="G2518">
        <v>2017</v>
      </c>
      <c r="I2518">
        <v>181.95</v>
      </c>
      <c r="J2518" t="s">
        <v>52</v>
      </c>
      <c r="K2518" t="s">
        <v>47</v>
      </c>
      <c r="O2518">
        <v>0</v>
      </c>
      <c r="P2518">
        <v>0</v>
      </c>
      <c r="Q2518">
        <v>0</v>
      </c>
      <c r="R2518">
        <v>0</v>
      </c>
      <c r="S2518">
        <v>1</v>
      </c>
      <c r="T2518">
        <v>1</v>
      </c>
      <c r="U2518">
        <v>1</v>
      </c>
      <c r="V2518">
        <v>0</v>
      </c>
      <c r="W2518" t="s">
        <v>1120</v>
      </c>
      <c r="AA2518">
        <v>2007</v>
      </c>
      <c r="AB2518">
        <v>9999</v>
      </c>
      <c r="AC2518" t="s">
        <v>35</v>
      </c>
    </row>
    <row r="2519" spans="1:29" x14ac:dyDescent="0.25">
      <c r="A2519" s="31" t="s">
        <v>487</v>
      </c>
      <c r="B2519" s="23" t="s">
        <v>488</v>
      </c>
      <c r="D2519">
        <v>1</v>
      </c>
      <c r="E2519" t="s">
        <v>348</v>
      </c>
      <c r="F2519">
        <v>1</v>
      </c>
      <c r="G2519">
        <v>2017</v>
      </c>
      <c r="I2519">
        <v>173.66</v>
      </c>
      <c r="J2519" t="s">
        <v>52</v>
      </c>
      <c r="K2519" t="s">
        <v>47</v>
      </c>
      <c r="O2519">
        <v>0</v>
      </c>
      <c r="P2519">
        <v>0</v>
      </c>
      <c r="Q2519">
        <v>0</v>
      </c>
      <c r="R2519">
        <v>0</v>
      </c>
      <c r="S2519">
        <v>1</v>
      </c>
      <c r="T2519">
        <v>1</v>
      </c>
      <c r="U2519">
        <v>1</v>
      </c>
      <c r="V2519">
        <v>0</v>
      </c>
      <c r="W2519" t="s">
        <v>1120</v>
      </c>
      <c r="AA2519">
        <v>2007</v>
      </c>
      <c r="AB2519">
        <v>9999</v>
      </c>
      <c r="AC2519" t="s">
        <v>35</v>
      </c>
    </row>
    <row r="2520" spans="1:29" x14ac:dyDescent="0.25">
      <c r="A2520" s="31" t="s">
        <v>489</v>
      </c>
      <c r="B2520" s="23" t="s">
        <v>490</v>
      </c>
      <c r="D2520">
        <v>1</v>
      </c>
      <c r="E2520" t="s">
        <v>348</v>
      </c>
      <c r="F2520">
        <v>1</v>
      </c>
      <c r="G2520">
        <v>2017</v>
      </c>
      <c r="I2520">
        <v>226.14</v>
      </c>
      <c r="J2520" t="s">
        <v>52</v>
      </c>
      <c r="K2520" t="s">
        <v>47</v>
      </c>
      <c r="O2520">
        <v>0</v>
      </c>
      <c r="P2520">
        <v>0</v>
      </c>
      <c r="Q2520">
        <v>0</v>
      </c>
      <c r="R2520">
        <v>0</v>
      </c>
      <c r="S2520">
        <v>1</v>
      </c>
      <c r="T2520">
        <v>1</v>
      </c>
      <c r="U2520">
        <v>1</v>
      </c>
      <c r="V2520">
        <v>0</v>
      </c>
      <c r="W2520" t="s">
        <v>1120</v>
      </c>
      <c r="AA2520">
        <v>2007</v>
      </c>
      <c r="AB2520">
        <v>9999</v>
      </c>
      <c r="AC2520" t="s">
        <v>35</v>
      </c>
    </row>
    <row r="2521" spans="1:29" x14ac:dyDescent="0.25">
      <c r="A2521" s="31" t="s">
        <v>491</v>
      </c>
      <c r="B2521" s="23" t="s">
        <v>492</v>
      </c>
      <c r="D2521">
        <v>1</v>
      </c>
      <c r="E2521" t="s">
        <v>348</v>
      </c>
      <c r="F2521">
        <v>1</v>
      </c>
      <c r="G2521">
        <v>2017</v>
      </c>
      <c r="I2521">
        <v>241.4</v>
      </c>
      <c r="J2521" t="s">
        <v>52</v>
      </c>
      <c r="K2521" t="s">
        <v>47</v>
      </c>
      <c r="O2521">
        <v>0</v>
      </c>
      <c r="P2521">
        <v>0</v>
      </c>
      <c r="Q2521">
        <v>0</v>
      </c>
      <c r="R2521">
        <v>0</v>
      </c>
      <c r="S2521">
        <v>1</v>
      </c>
      <c r="T2521">
        <v>1</v>
      </c>
      <c r="U2521">
        <v>1</v>
      </c>
      <c r="V2521">
        <v>0</v>
      </c>
      <c r="W2521" t="s">
        <v>1120</v>
      </c>
      <c r="AA2521">
        <v>2007</v>
      </c>
      <c r="AB2521">
        <v>9999</v>
      </c>
      <c r="AC2521" t="s">
        <v>35</v>
      </c>
    </row>
    <row r="2522" spans="1:29" x14ac:dyDescent="0.25">
      <c r="A2522" s="31" t="s">
        <v>493</v>
      </c>
      <c r="B2522" s="23" t="s">
        <v>494</v>
      </c>
      <c r="D2522">
        <v>1</v>
      </c>
      <c r="E2522" t="s">
        <v>348</v>
      </c>
      <c r="F2522">
        <v>1</v>
      </c>
      <c r="G2522">
        <v>2017</v>
      </c>
      <c r="I2522">
        <v>199.51</v>
      </c>
      <c r="J2522" t="s">
        <v>52</v>
      </c>
      <c r="K2522" t="s">
        <v>47</v>
      </c>
      <c r="O2522">
        <v>0</v>
      </c>
      <c r="P2522">
        <v>0</v>
      </c>
      <c r="Q2522">
        <v>0</v>
      </c>
      <c r="R2522">
        <v>0</v>
      </c>
      <c r="S2522">
        <v>1</v>
      </c>
      <c r="T2522">
        <v>1</v>
      </c>
      <c r="U2522">
        <v>1</v>
      </c>
      <c r="V2522">
        <v>0</v>
      </c>
      <c r="W2522" t="s">
        <v>1120</v>
      </c>
      <c r="AA2522">
        <v>2007</v>
      </c>
      <c r="AB2522">
        <v>9999</v>
      </c>
      <c r="AC2522" t="s">
        <v>35</v>
      </c>
    </row>
    <row r="2523" spans="1:29" x14ac:dyDescent="0.25">
      <c r="A2523" s="31" t="s">
        <v>495</v>
      </c>
      <c r="B2523" s="23" t="s">
        <v>496</v>
      </c>
      <c r="D2523">
        <v>1</v>
      </c>
      <c r="E2523" t="s">
        <v>348</v>
      </c>
      <c r="F2523">
        <v>1</v>
      </c>
      <c r="G2523">
        <v>2017</v>
      </c>
      <c r="I2523">
        <v>155.12</v>
      </c>
      <c r="J2523" t="s">
        <v>52</v>
      </c>
      <c r="K2523" t="s">
        <v>47</v>
      </c>
      <c r="O2523">
        <v>0</v>
      </c>
      <c r="P2523">
        <v>0</v>
      </c>
      <c r="Q2523">
        <v>0</v>
      </c>
      <c r="R2523">
        <v>0</v>
      </c>
      <c r="S2523">
        <v>1</v>
      </c>
      <c r="T2523">
        <v>1</v>
      </c>
      <c r="U2523">
        <v>1</v>
      </c>
      <c r="V2523">
        <v>0</v>
      </c>
      <c r="W2523" t="s">
        <v>1120</v>
      </c>
      <c r="AA2523">
        <v>2007</v>
      </c>
      <c r="AB2523">
        <v>9999</v>
      </c>
      <c r="AC2523" t="s">
        <v>35</v>
      </c>
    </row>
    <row r="2524" spans="1:29" x14ac:dyDescent="0.25">
      <c r="A2524" s="31" t="s">
        <v>497</v>
      </c>
      <c r="B2524" s="23" t="s">
        <v>498</v>
      </c>
      <c r="D2524">
        <v>1</v>
      </c>
      <c r="E2524" t="s">
        <v>348</v>
      </c>
      <c r="F2524">
        <v>1</v>
      </c>
      <c r="G2524">
        <v>2017</v>
      </c>
      <c r="I2524">
        <v>239.67</v>
      </c>
      <c r="J2524" t="s">
        <v>52</v>
      </c>
      <c r="K2524" t="s">
        <v>47</v>
      </c>
      <c r="O2524">
        <v>0</v>
      </c>
      <c r="P2524">
        <v>0</v>
      </c>
      <c r="Q2524">
        <v>0</v>
      </c>
      <c r="R2524">
        <v>0</v>
      </c>
      <c r="S2524">
        <v>1</v>
      </c>
      <c r="T2524">
        <v>1</v>
      </c>
      <c r="U2524">
        <v>1</v>
      </c>
      <c r="V2524">
        <v>0</v>
      </c>
      <c r="W2524" t="s">
        <v>1120</v>
      </c>
      <c r="AA2524">
        <v>2007</v>
      </c>
      <c r="AB2524">
        <v>9999</v>
      </c>
      <c r="AC2524" t="s">
        <v>35</v>
      </c>
    </row>
    <row r="2525" spans="1:29" x14ac:dyDescent="0.25">
      <c r="A2525" s="31" t="s">
        <v>499</v>
      </c>
      <c r="B2525" s="23" t="s">
        <v>500</v>
      </c>
      <c r="D2525">
        <v>1</v>
      </c>
      <c r="E2525" t="s">
        <v>348</v>
      </c>
      <c r="F2525">
        <v>1</v>
      </c>
      <c r="G2525">
        <v>2017</v>
      </c>
      <c r="I2525">
        <v>459.31</v>
      </c>
      <c r="J2525" t="s">
        <v>52</v>
      </c>
      <c r="K2525" t="s">
        <v>47</v>
      </c>
      <c r="O2525">
        <v>0</v>
      </c>
      <c r="P2525">
        <v>0</v>
      </c>
      <c r="Q2525">
        <v>0</v>
      </c>
      <c r="R2525">
        <v>0</v>
      </c>
      <c r="S2525">
        <v>1</v>
      </c>
      <c r="T2525">
        <v>1</v>
      </c>
      <c r="U2525">
        <v>1</v>
      </c>
      <c r="V2525">
        <v>0</v>
      </c>
      <c r="W2525" t="s">
        <v>1120</v>
      </c>
      <c r="AA2525">
        <v>2007</v>
      </c>
      <c r="AB2525">
        <v>9999</v>
      </c>
      <c r="AC2525" t="s">
        <v>35</v>
      </c>
    </row>
    <row r="2526" spans="1:29" x14ac:dyDescent="0.25">
      <c r="A2526" s="31" t="s">
        <v>501</v>
      </c>
      <c r="B2526" s="23" t="s">
        <v>502</v>
      </c>
      <c r="D2526">
        <v>1</v>
      </c>
      <c r="E2526" t="s">
        <v>348</v>
      </c>
      <c r="F2526">
        <v>1</v>
      </c>
      <c r="G2526">
        <v>2017</v>
      </c>
      <c r="I2526">
        <v>410.55</v>
      </c>
      <c r="J2526" t="s">
        <v>52</v>
      </c>
      <c r="K2526" t="s">
        <v>47</v>
      </c>
      <c r="O2526">
        <v>0</v>
      </c>
      <c r="P2526">
        <v>0</v>
      </c>
      <c r="Q2526">
        <v>0</v>
      </c>
      <c r="R2526">
        <v>0</v>
      </c>
      <c r="S2526">
        <v>1</v>
      </c>
      <c r="T2526">
        <v>1</v>
      </c>
      <c r="U2526">
        <v>1</v>
      </c>
      <c r="V2526">
        <v>0</v>
      </c>
      <c r="W2526" t="s">
        <v>1120</v>
      </c>
      <c r="AA2526">
        <v>2007</v>
      </c>
      <c r="AB2526">
        <v>9999</v>
      </c>
      <c r="AC2526" t="s">
        <v>35</v>
      </c>
    </row>
    <row r="2527" spans="1:29" x14ac:dyDescent="0.25">
      <c r="A2527" s="31" t="s">
        <v>503</v>
      </c>
      <c r="B2527" s="23" t="s">
        <v>504</v>
      </c>
      <c r="D2527">
        <v>1</v>
      </c>
      <c r="E2527" t="s">
        <v>348</v>
      </c>
      <c r="F2527">
        <v>1</v>
      </c>
      <c r="G2527">
        <v>2017</v>
      </c>
      <c r="I2527">
        <v>143.66</v>
      </c>
      <c r="J2527" t="s">
        <v>52</v>
      </c>
      <c r="K2527" t="s">
        <v>47</v>
      </c>
      <c r="O2527">
        <v>0</v>
      </c>
      <c r="P2527">
        <v>0</v>
      </c>
      <c r="Q2527">
        <v>0</v>
      </c>
      <c r="R2527">
        <v>0</v>
      </c>
      <c r="S2527">
        <v>1</v>
      </c>
      <c r="T2527">
        <v>1</v>
      </c>
      <c r="U2527">
        <v>1</v>
      </c>
      <c r="V2527">
        <v>0</v>
      </c>
      <c r="W2527" t="s">
        <v>1120</v>
      </c>
      <c r="AA2527">
        <v>2007</v>
      </c>
      <c r="AB2527">
        <v>9999</v>
      </c>
      <c r="AC2527" t="s">
        <v>35</v>
      </c>
    </row>
    <row r="2528" spans="1:29" x14ac:dyDescent="0.25">
      <c r="A2528" s="31" t="s">
        <v>505</v>
      </c>
      <c r="B2528" s="23" t="s">
        <v>506</v>
      </c>
      <c r="D2528">
        <v>1</v>
      </c>
      <c r="E2528" t="s">
        <v>348</v>
      </c>
      <c r="F2528">
        <v>1</v>
      </c>
      <c r="G2528">
        <v>2017</v>
      </c>
      <c r="I2528">
        <v>171.23</v>
      </c>
      <c r="J2528" t="s">
        <v>52</v>
      </c>
      <c r="K2528" t="s">
        <v>47</v>
      </c>
      <c r="O2528">
        <v>0</v>
      </c>
      <c r="P2528">
        <v>0</v>
      </c>
      <c r="Q2528">
        <v>0</v>
      </c>
      <c r="R2528">
        <v>0</v>
      </c>
      <c r="S2528">
        <v>1</v>
      </c>
      <c r="T2528">
        <v>1</v>
      </c>
      <c r="U2528">
        <v>1</v>
      </c>
      <c r="V2528">
        <v>0</v>
      </c>
      <c r="W2528" t="s">
        <v>1120</v>
      </c>
      <c r="AA2528">
        <v>2007</v>
      </c>
      <c r="AB2528">
        <v>9999</v>
      </c>
      <c r="AC2528" t="s">
        <v>35</v>
      </c>
    </row>
    <row r="2529" spans="1:29" x14ac:dyDescent="0.25">
      <c r="A2529" s="31" t="s">
        <v>507</v>
      </c>
      <c r="B2529" s="23" t="s">
        <v>508</v>
      </c>
      <c r="D2529">
        <v>1</v>
      </c>
      <c r="E2529" t="s">
        <v>348</v>
      </c>
      <c r="F2529">
        <v>1</v>
      </c>
      <c r="G2529">
        <v>2017</v>
      </c>
      <c r="I2529">
        <v>183.38</v>
      </c>
      <c r="J2529" t="s">
        <v>52</v>
      </c>
      <c r="K2529" t="s">
        <v>47</v>
      </c>
      <c r="O2529">
        <v>0</v>
      </c>
      <c r="P2529">
        <v>0</v>
      </c>
      <c r="Q2529">
        <v>0</v>
      </c>
      <c r="R2529">
        <v>0</v>
      </c>
      <c r="S2529">
        <v>1</v>
      </c>
      <c r="T2529">
        <v>1</v>
      </c>
      <c r="U2529">
        <v>1</v>
      </c>
      <c r="V2529">
        <v>0</v>
      </c>
      <c r="W2529" t="s">
        <v>1120</v>
      </c>
      <c r="AA2529">
        <v>2007</v>
      </c>
      <c r="AB2529">
        <v>9999</v>
      </c>
      <c r="AC2529" t="s">
        <v>35</v>
      </c>
    </row>
    <row r="2530" spans="1:29" x14ac:dyDescent="0.25">
      <c r="A2530" s="31" t="s">
        <v>509</v>
      </c>
      <c r="B2530" s="23" t="s">
        <v>510</v>
      </c>
      <c r="D2530">
        <v>1</v>
      </c>
      <c r="E2530" t="s">
        <v>348</v>
      </c>
      <c r="F2530">
        <v>1</v>
      </c>
      <c r="G2530">
        <v>2017</v>
      </c>
      <c r="I2530">
        <v>236.52</v>
      </c>
      <c r="J2530" t="s">
        <v>52</v>
      </c>
      <c r="K2530" t="s">
        <v>47</v>
      </c>
      <c r="O2530">
        <v>0</v>
      </c>
      <c r="P2530">
        <v>0</v>
      </c>
      <c r="Q2530">
        <v>0</v>
      </c>
      <c r="R2530">
        <v>0</v>
      </c>
      <c r="S2530">
        <v>1</v>
      </c>
      <c r="T2530">
        <v>1</v>
      </c>
      <c r="U2530">
        <v>1</v>
      </c>
      <c r="V2530">
        <v>0</v>
      </c>
      <c r="W2530" t="s">
        <v>1120</v>
      </c>
      <c r="AA2530">
        <v>2007</v>
      </c>
      <c r="AB2530">
        <v>9999</v>
      </c>
      <c r="AC2530" t="s">
        <v>35</v>
      </c>
    </row>
    <row r="2531" spans="1:29" x14ac:dyDescent="0.25">
      <c r="A2531" s="31" t="s">
        <v>511</v>
      </c>
      <c r="B2531" s="23" t="s">
        <v>512</v>
      </c>
      <c r="D2531">
        <v>1</v>
      </c>
      <c r="E2531" t="s">
        <v>348</v>
      </c>
      <c r="F2531">
        <v>1</v>
      </c>
      <c r="G2531">
        <v>2017</v>
      </c>
      <c r="I2531">
        <v>181.08</v>
      </c>
      <c r="J2531" t="s">
        <v>52</v>
      </c>
      <c r="K2531" t="s">
        <v>47</v>
      </c>
      <c r="O2531">
        <v>0</v>
      </c>
      <c r="P2531">
        <v>0</v>
      </c>
      <c r="Q2531">
        <v>0</v>
      </c>
      <c r="R2531">
        <v>0</v>
      </c>
      <c r="S2531">
        <v>1</v>
      </c>
      <c r="T2531">
        <v>1</v>
      </c>
      <c r="U2531">
        <v>1</v>
      </c>
      <c r="V2531">
        <v>0</v>
      </c>
      <c r="W2531" t="s">
        <v>1120</v>
      </c>
      <c r="AA2531">
        <v>2007</v>
      </c>
      <c r="AB2531">
        <v>9999</v>
      </c>
      <c r="AC2531" t="s">
        <v>35</v>
      </c>
    </row>
    <row r="2532" spans="1:29" x14ac:dyDescent="0.25">
      <c r="A2532" s="31" t="s">
        <v>513</v>
      </c>
      <c r="B2532" s="23" t="s">
        <v>514</v>
      </c>
      <c r="D2532">
        <v>1</v>
      </c>
      <c r="E2532" t="s">
        <v>348</v>
      </c>
      <c r="F2532">
        <v>1</v>
      </c>
      <c r="G2532">
        <v>2017</v>
      </c>
      <c r="I2532">
        <v>141.31</v>
      </c>
      <c r="J2532" t="s">
        <v>52</v>
      </c>
      <c r="K2532" t="s">
        <v>47</v>
      </c>
      <c r="O2532">
        <v>0</v>
      </c>
      <c r="P2532">
        <v>0</v>
      </c>
      <c r="Q2532">
        <v>0</v>
      </c>
      <c r="R2532">
        <v>0</v>
      </c>
      <c r="S2532">
        <v>1</v>
      </c>
      <c r="T2532">
        <v>1</v>
      </c>
      <c r="U2532">
        <v>1</v>
      </c>
      <c r="V2532">
        <v>0</v>
      </c>
      <c r="W2532" t="s">
        <v>1120</v>
      </c>
      <c r="AA2532">
        <v>2007</v>
      </c>
      <c r="AB2532">
        <v>9999</v>
      </c>
      <c r="AC2532" t="s">
        <v>35</v>
      </c>
    </row>
    <row r="2533" spans="1:29" x14ac:dyDescent="0.25">
      <c r="A2533" s="31" t="s">
        <v>515</v>
      </c>
      <c r="B2533" s="23" t="s">
        <v>516</v>
      </c>
      <c r="D2533">
        <v>1</v>
      </c>
      <c r="E2533" t="s">
        <v>348</v>
      </c>
      <c r="F2533">
        <v>1</v>
      </c>
      <c r="G2533">
        <v>2017</v>
      </c>
      <c r="I2533">
        <v>732.01</v>
      </c>
      <c r="J2533" t="s">
        <v>52</v>
      </c>
      <c r="K2533" t="s">
        <v>47</v>
      </c>
      <c r="O2533">
        <v>0</v>
      </c>
      <c r="P2533">
        <v>0</v>
      </c>
      <c r="Q2533">
        <v>0</v>
      </c>
      <c r="R2533">
        <v>0</v>
      </c>
      <c r="S2533">
        <v>1</v>
      </c>
      <c r="T2533">
        <v>1</v>
      </c>
      <c r="U2533">
        <v>1</v>
      </c>
      <c r="V2533">
        <v>0</v>
      </c>
      <c r="W2533" t="s">
        <v>1120</v>
      </c>
      <c r="AA2533">
        <v>2007</v>
      </c>
      <c r="AB2533">
        <v>9999</v>
      </c>
      <c r="AC2533" t="s">
        <v>35</v>
      </c>
    </row>
    <row r="2534" spans="1:29" x14ac:dyDescent="0.25">
      <c r="A2534" s="31" t="s">
        <v>517</v>
      </c>
      <c r="B2534" s="23" t="s">
        <v>518</v>
      </c>
      <c r="D2534">
        <v>1</v>
      </c>
      <c r="E2534" t="s">
        <v>348</v>
      </c>
      <c r="F2534">
        <v>1</v>
      </c>
      <c r="G2534">
        <v>2017</v>
      </c>
      <c r="I2534">
        <v>165.54</v>
      </c>
      <c r="J2534" t="s">
        <v>52</v>
      </c>
      <c r="K2534" t="s">
        <v>47</v>
      </c>
      <c r="O2534">
        <v>0</v>
      </c>
      <c r="P2534">
        <v>0</v>
      </c>
      <c r="Q2534">
        <v>0</v>
      </c>
      <c r="R2534">
        <v>0</v>
      </c>
      <c r="S2534">
        <v>1</v>
      </c>
      <c r="T2534">
        <v>1</v>
      </c>
      <c r="U2534">
        <v>1</v>
      </c>
      <c r="V2534">
        <v>0</v>
      </c>
      <c r="W2534" t="s">
        <v>1120</v>
      </c>
      <c r="AA2534">
        <v>2007</v>
      </c>
      <c r="AB2534">
        <v>9999</v>
      </c>
      <c r="AC2534" t="s">
        <v>35</v>
      </c>
    </row>
    <row r="2535" spans="1:29" x14ac:dyDescent="0.25">
      <c r="A2535" s="31" t="s">
        <v>519</v>
      </c>
      <c r="B2535" s="23" t="s">
        <v>520</v>
      </c>
      <c r="D2535">
        <v>1</v>
      </c>
      <c r="E2535" t="s">
        <v>348</v>
      </c>
      <c r="F2535">
        <v>1</v>
      </c>
      <c r="G2535">
        <v>2017</v>
      </c>
      <c r="I2535">
        <v>210.78</v>
      </c>
      <c r="J2535" t="s">
        <v>52</v>
      </c>
      <c r="K2535" t="s">
        <v>47</v>
      </c>
      <c r="O2535">
        <v>0</v>
      </c>
      <c r="P2535">
        <v>0</v>
      </c>
      <c r="Q2535">
        <v>0</v>
      </c>
      <c r="R2535">
        <v>0</v>
      </c>
      <c r="S2535">
        <v>1</v>
      </c>
      <c r="T2535">
        <v>1</v>
      </c>
      <c r="U2535">
        <v>1</v>
      </c>
      <c r="V2535">
        <v>0</v>
      </c>
      <c r="W2535" t="s">
        <v>1120</v>
      </c>
      <c r="AA2535">
        <v>2007</v>
      </c>
      <c r="AB2535">
        <v>9999</v>
      </c>
      <c r="AC2535" t="s">
        <v>35</v>
      </c>
    </row>
    <row r="2536" spans="1:29" x14ac:dyDescent="0.25">
      <c r="A2536" s="31" t="s">
        <v>523</v>
      </c>
      <c r="B2536" s="23" t="s">
        <v>524</v>
      </c>
      <c r="D2536">
        <v>1</v>
      </c>
      <c r="E2536" t="s">
        <v>103</v>
      </c>
      <c r="F2536">
        <v>9</v>
      </c>
      <c r="G2536">
        <v>2017</v>
      </c>
      <c r="I2536">
        <v>1311.75</v>
      </c>
      <c r="J2536" t="s">
        <v>104</v>
      </c>
      <c r="K2536" t="s">
        <v>53</v>
      </c>
      <c r="L2536" t="s">
        <v>105</v>
      </c>
      <c r="O2536">
        <v>0</v>
      </c>
      <c r="P2536">
        <v>1</v>
      </c>
      <c r="Q2536">
        <v>0</v>
      </c>
      <c r="R2536">
        <v>0</v>
      </c>
      <c r="S2536">
        <v>1</v>
      </c>
      <c r="T2536">
        <v>1</v>
      </c>
      <c r="U2536">
        <v>1</v>
      </c>
      <c r="V2536">
        <v>0</v>
      </c>
      <c r="W2536" t="s">
        <v>106</v>
      </c>
      <c r="AA2536">
        <v>2007</v>
      </c>
      <c r="AB2536">
        <v>9999</v>
      </c>
      <c r="AC2536" t="s">
        <v>35</v>
      </c>
    </row>
    <row r="2537" spans="1:29" x14ac:dyDescent="0.25">
      <c r="A2537" s="31" t="s">
        <v>529</v>
      </c>
      <c r="B2537" s="23" t="s">
        <v>530</v>
      </c>
      <c r="D2537">
        <v>1</v>
      </c>
      <c r="E2537" t="s">
        <v>58</v>
      </c>
      <c r="F2537">
        <v>4</v>
      </c>
      <c r="G2537">
        <v>2017</v>
      </c>
      <c r="I2537">
        <v>8.8800000000000008</v>
      </c>
      <c r="J2537" t="s">
        <v>59</v>
      </c>
      <c r="K2537" t="s">
        <v>47</v>
      </c>
      <c r="O2537">
        <v>0</v>
      </c>
      <c r="P2537">
        <v>0</v>
      </c>
      <c r="Q2537">
        <v>0</v>
      </c>
      <c r="R2537">
        <v>0</v>
      </c>
      <c r="S2537">
        <v>1</v>
      </c>
      <c r="T2537">
        <v>1</v>
      </c>
      <c r="U2537">
        <v>1</v>
      </c>
      <c r="V2537">
        <v>0</v>
      </c>
      <c r="W2537" t="s">
        <v>1121</v>
      </c>
      <c r="AA2537">
        <v>2007</v>
      </c>
      <c r="AB2537">
        <v>9999</v>
      </c>
      <c r="AC2537" t="s">
        <v>35</v>
      </c>
    </row>
    <row r="2538" spans="1:29" x14ac:dyDescent="0.25">
      <c r="A2538" s="31" t="s">
        <v>532</v>
      </c>
      <c r="B2538" s="23" t="s">
        <v>533</v>
      </c>
      <c r="D2538">
        <v>1</v>
      </c>
      <c r="E2538" t="s">
        <v>534</v>
      </c>
      <c r="F2538">
        <v>10</v>
      </c>
      <c r="G2538">
        <v>2017</v>
      </c>
      <c r="I2538">
        <v>7326.96</v>
      </c>
      <c r="J2538" t="s">
        <v>121</v>
      </c>
      <c r="K2538" t="s">
        <v>47</v>
      </c>
      <c r="O2538">
        <v>0</v>
      </c>
      <c r="P2538">
        <v>0</v>
      </c>
      <c r="Q2538">
        <v>0</v>
      </c>
      <c r="R2538">
        <v>0</v>
      </c>
      <c r="S2538">
        <v>1</v>
      </c>
      <c r="T2538">
        <v>1</v>
      </c>
      <c r="U2538">
        <v>1</v>
      </c>
      <c r="V2538">
        <v>0</v>
      </c>
      <c r="W2538" t="s">
        <v>1122</v>
      </c>
      <c r="AA2538">
        <v>2007</v>
      </c>
      <c r="AB2538">
        <v>9999</v>
      </c>
      <c r="AC2538" t="s">
        <v>35</v>
      </c>
    </row>
    <row r="2539" spans="1:29" x14ac:dyDescent="0.25">
      <c r="A2539" s="31" t="s">
        <v>536</v>
      </c>
      <c r="B2539" s="23" t="s">
        <v>537</v>
      </c>
      <c r="D2539">
        <v>1</v>
      </c>
      <c r="E2539" t="s">
        <v>103</v>
      </c>
      <c r="F2539">
        <v>9</v>
      </c>
      <c r="G2539">
        <v>2017</v>
      </c>
      <c r="I2539">
        <v>872.68</v>
      </c>
      <c r="J2539" t="s">
        <v>104</v>
      </c>
      <c r="K2539" t="s">
        <v>53</v>
      </c>
      <c r="L2539" t="s">
        <v>105</v>
      </c>
      <c r="O2539">
        <v>0</v>
      </c>
      <c r="P2539">
        <v>1</v>
      </c>
      <c r="Q2539">
        <v>0</v>
      </c>
      <c r="R2539">
        <v>0</v>
      </c>
      <c r="S2539">
        <v>1</v>
      </c>
      <c r="T2539">
        <v>1</v>
      </c>
      <c r="U2539">
        <v>1</v>
      </c>
      <c r="V2539">
        <v>0</v>
      </c>
      <c r="W2539" t="s">
        <v>106</v>
      </c>
      <c r="AA2539">
        <v>2007</v>
      </c>
      <c r="AB2539">
        <v>9999</v>
      </c>
      <c r="AC2539" t="s">
        <v>35</v>
      </c>
    </row>
    <row r="2540" spans="1:29" x14ac:dyDescent="0.25">
      <c r="A2540" s="31" t="s">
        <v>538</v>
      </c>
      <c r="B2540" s="23" t="s">
        <v>539</v>
      </c>
      <c r="D2540">
        <v>1</v>
      </c>
      <c r="E2540" t="s">
        <v>80</v>
      </c>
      <c r="F2540">
        <v>8</v>
      </c>
      <c r="G2540">
        <v>2017</v>
      </c>
      <c r="I2540">
        <v>124.23</v>
      </c>
      <c r="J2540" t="s">
        <v>81</v>
      </c>
      <c r="K2540" t="s">
        <v>47</v>
      </c>
      <c r="O2540">
        <v>0</v>
      </c>
      <c r="P2540">
        <v>0</v>
      </c>
      <c r="Q2540">
        <v>0</v>
      </c>
      <c r="R2540">
        <v>0</v>
      </c>
      <c r="S2540">
        <v>1</v>
      </c>
      <c r="T2540">
        <v>1</v>
      </c>
      <c r="U2540">
        <v>1</v>
      </c>
      <c r="V2540">
        <v>0</v>
      </c>
      <c r="W2540" t="s">
        <v>1123</v>
      </c>
      <c r="AA2540">
        <v>2007</v>
      </c>
      <c r="AB2540">
        <v>9999</v>
      </c>
      <c r="AC2540" t="s">
        <v>35</v>
      </c>
    </row>
    <row r="2541" spans="1:29" x14ac:dyDescent="0.25">
      <c r="A2541" s="31" t="s">
        <v>541</v>
      </c>
      <c r="B2541" s="23" t="s">
        <v>1479</v>
      </c>
      <c r="D2541">
        <v>1</v>
      </c>
      <c r="E2541" t="s">
        <v>543</v>
      </c>
      <c r="F2541">
        <v>10</v>
      </c>
      <c r="G2541">
        <v>2017</v>
      </c>
      <c r="I2541">
        <v>55.83</v>
      </c>
      <c r="J2541" t="s">
        <v>40</v>
      </c>
      <c r="K2541" t="s">
        <v>47</v>
      </c>
      <c r="O2541">
        <v>0</v>
      </c>
      <c r="P2541">
        <v>0</v>
      </c>
      <c r="Q2541">
        <v>0</v>
      </c>
      <c r="R2541">
        <v>0</v>
      </c>
      <c r="S2541">
        <v>1</v>
      </c>
      <c r="T2541">
        <v>1</v>
      </c>
      <c r="U2541">
        <v>1</v>
      </c>
      <c r="V2541">
        <v>0</v>
      </c>
      <c r="W2541" t="s">
        <v>1480</v>
      </c>
      <c r="AA2541">
        <v>2007</v>
      </c>
      <c r="AB2541">
        <v>9999</v>
      </c>
      <c r="AC2541" t="s">
        <v>35</v>
      </c>
    </row>
    <row r="2542" spans="1:29" x14ac:dyDescent="0.25">
      <c r="A2542" s="31" t="s">
        <v>545</v>
      </c>
      <c r="B2542" s="23" t="s">
        <v>1481</v>
      </c>
      <c r="C2542" t="s">
        <v>1482</v>
      </c>
      <c r="D2542">
        <v>1</v>
      </c>
      <c r="E2542" t="s">
        <v>1361</v>
      </c>
      <c r="F2542">
        <v>10</v>
      </c>
      <c r="G2542">
        <v>2017</v>
      </c>
      <c r="I2542">
        <v>14.6</v>
      </c>
      <c r="J2542" t="s">
        <v>40</v>
      </c>
      <c r="K2542" t="s">
        <v>47</v>
      </c>
      <c r="O2542">
        <v>0</v>
      </c>
      <c r="P2542">
        <v>0</v>
      </c>
      <c r="Q2542">
        <v>0</v>
      </c>
      <c r="R2542">
        <v>0</v>
      </c>
      <c r="S2542">
        <v>1</v>
      </c>
      <c r="T2542">
        <v>1</v>
      </c>
      <c r="U2542">
        <v>1</v>
      </c>
      <c r="V2542">
        <v>0</v>
      </c>
      <c r="W2542" t="s">
        <v>1125</v>
      </c>
      <c r="AA2542">
        <v>2007</v>
      </c>
      <c r="AB2542">
        <v>9999</v>
      </c>
      <c r="AC2542" t="s">
        <v>35</v>
      </c>
    </row>
    <row r="2543" spans="1:29" x14ac:dyDescent="0.25">
      <c r="A2543" s="31" t="s">
        <v>1400</v>
      </c>
      <c r="B2543" s="25" t="s">
        <v>1401</v>
      </c>
      <c r="D2543">
        <v>1</v>
      </c>
      <c r="E2543" t="s">
        <v>80</v>
      </c>
      <c r="F2543">
        <v>8</v>
      </c>
      <c r="G2543">
        <v>2017</v>
      </c>
      <c r="I2543">
        <v>9.8000000000000007</v>
      </c>
      <c r="J2543" t="s">
        <v>81</v>
      </c>
      <c r="K2543" t="s">
        <v>47</v>
      </c>
      <c r="O2543">
        <v>0</v>
      </c>
      <c r="P2543">
        <v>0</v>
      </c>
      <c r="Q2543">
        <v>0</v>
      </c>
      <c r="R2543">
        <v>0</v>
      </c>
      <c r="S2543">
        <v>1</v>
      </c>
      <c r="T2543">
        <v>1</v>
      </c>
      <c r="U2543">
        <v>1</v>
      </c>
      <c r="V2543">
        <v>0</v>
      </c>
      <c r="W2543" t="s">
        <v>1402</v>
      </c>
      <c r="AA2543">
        <v>2012</v>
      </c>
      <c r="AB2543">
        <v>9999</v>
      </c>
      <c r="AC2543" t="s">
        <v>1398</v>
      </c>
    </row>
    <row r="2544" spans="1:29" x14ac:dyDescent="0.25">
      <c r="A2544" s="31" t="s">
        <v>1362</v>
      </c>
      <c r="B2544" s="23" t="s">
        <v>1483</v>
      </c>
      <c r="D2544">
        <v>1</v>
      </c>
      <c r="E2544" t="s">
        <v>631</v>
      </c>
      <c r="F2544">
        <v>8</v>
      </c>
      <c r="G2544">
        <v>2017</v>
      </c>
      <c r="I2544">
        <v>26.7</v>
      </c>
      <c r="J2544" t="s">
        <v>81</v>
      </c>
      <c r="K2544" t="s">
        <v>47</v>
      </c>
      <c r="O2544">
        <v>0</v>
      </c>
      <c r="P2544">
        <v>0</v>
      </c>
      <c r="Q2544">
        <v>0</v>
      </c>
      <c r="R2544">
        <v>0</v>
      </c>
      <c r="S2544">
        <v>1</v>
      </c>
      <c r="T2544">
        <v>1</v>
      </c>
      <c r="U2544">
        <v>1</v>
      </c>
      <c r="V2544">
        <v>0</v>
      </c>
      <c r="W2544" t="s">
        <v>1364</v>
      </c>
      <c r="AA2544">
        <v>2011</v>
      </c>
      <c r="AB2544">
        <v>9999</v>
      </c>
      <c r="AC2544" t="s">
        <v>1365</v>
      </c>
    </row>
    <row r="2545" spans="1:29" x14ac:dyDescent="0.25">
      <c r="A2545" s="31" t="s">
        <v>1248</v>
      </c>
      <c r="B2545" s="23" t="s">
        <v>1249</v>
      </c>
      <c r="C2545" t="s">
        <v>1250</v>
      </c>
      <c r="D2545">
        <v>1</v>
      </c>
      <c r="E2545" t="s">
        <v>1251</v>
      </c>
      <c r="F2545">
        <v>2</v>
      </c>
      <c r="G2545">
        <v>2017</v>
      </c>
      <c r="I2545">
        <v>942.12</v>
      </c>
      <c r="J2545" t="s">
        <v>121</v>
      </c>
      <c r="K2545" t="s">
        <v>47</v>
      </c>
      <c r="O2545">
        <v>0</v>
      </c>
      <c r="P2545">
        <v>0</v>
      </c>
      <c r="Q2545">
        <v>0</v>
      </c>
      <c r="R2545">
        <v>0</v>
      </c>
      <c r="S2545">
        <v>1</v>
      </c>
      <c r="T2545">
        <v>1</v>
      </c>
      <c r="U2545">
        <v>1</v>
      </c>
      <c r="V2545">
        <v>0</v>
      </c>
      <c r="W2545" t="s">
        <v>1252</v>
      </c>
      <c r="AA2545">
        <v>2009</v>
      </c>
      <c r="AB2545">
        <v>9999</v>
      </c>
      <c r="AC2545" t="s">
        <v>1239</v>
      </c>
    </row>
    <row r="2546" spans="1:29" x14ac:dyDescent="0.25">
      <c r="A2546" s="31" t="s">
        <v>939</v>
      </c>
      <c r="B2546" s="23" t="s">
        <v>1463</v>
      </c>
      <c r="D2546">
        <v>1</v>
      </c>
      <c r="E2546" t="s">
        <v>80</v>
      </c>
      <c r="F2546">
        <v>8</v>
      </c>
      <c r="G2546">
        <v>2017</v>
      </c>
      <c r="I2546">
        <v>97.94</v>
      </c>
      <c r="J2546" t="s">
        <v>81</v>
      </c>
      <c r="K2546" t="s">
        <v>47</v>
      </c>
      <c r="O2546">
        <v>0</v>
      </c>
      <c r="P2546">
        <v>0</v>
      </c>
      <c r="Q2546">
        <v>0</v>
      </c>
      <c r="R2546">
        <v>0</v>
      </c>
      <c r="S2546">
        <v>1</v>
      </c>
      <c r="T2546">
        <v>1</v>
      </c>
      <c r="U2546">
        <v>1</v>
      </c>
      <c r="V2546">
        <v>0</v>
      </c>
      <c r="W2546" t="s">
        <v>1464</v>
      </c>
      <c r="AA2546">
        <v>2007</v>
      </c>
      <c r="AB2546">
        <v>9999</v>
      </c>
      <c r="AC2546" t="s">
        <v>35</v>
      </c>
    </row>
    <row r="2547" spans="1:29" ht="30" x14ac:dyDescent="0.25">
      <c r="A2547" s="31" t="s">
        <v>1305</v>
      </c>
      <c r="B2547" s="23" t="s">
        <v>1306</v>
      </c>
      <c r="C2547" t="s">
        <v>1307</v>
      </c>
      <c r="D2547">
        <v>1</v>
      </c>
      <c r="E2547" t="s">
        <v>45</v>
      </c>
      <c r="F2547">
        <v>4</v>
      </c>
      <c r="G2547">
        <v>2017</v>
      </c>
      <c r="I2547">
        <v>36.75</v>
      </c>
      <c r="J2547" t="s">
        <v>89</v>
      </c>
      <c r="K2547" t="s">
        <v>47</v>
      </c>
      <c r="O2547">
        <v>0</v>
      </c>
      <c r="P2547">
        <v>0</v>
      </c>
      <c r="Q2547">
        <v>0</v>
      </c>
      <c r="R2547">
        <v>0</v>
      </c>
      <c r="S2547">
        <v>1</v>
      </c>
      <c r="T2547">
        <v>1</v>
      </c>
      <c r="U2547">
        <v>1</v>
      </c>
      <c r="V2547">
        <v>0</v>
      </c>
      <c r="W2547" t="s">
        <v>1526</v>
      </c>
      <c r="AA2547">
        <v>2010</v>
      </c>
      <c r="AB2547">
        <v>9999</v>
      </c>
      <c r="AC2547" t="s">
        <v>1292</v>
      </c>
    </row>
    <row r="2548" spans="1:29" x14ac:dyDescent="0.25">
      <c r="A2548" s="31" t="s">
        <v>964</v>
      </c>
      <c r="B2548" s="23" t="s">
        <v>1484</v>
      </c>
      <c r="C2548" t="s">
        <v>1485</v>
      </c>
      <c r="D2548">
        <v>1</v>
      </c>
      <c r="E2548" t="s">
        <v>80</v>
      </c>
      <c r="F2548">
        <v>8</v>
      </c>
      <c r="G2548">
        <v>2017</v>
      </c>
      <c r="I2548">
        <v>73.25</v>
      </c>
      <c r="J2548" t="s">
        <v>104</v>
      </c>
      <c r="K2548" t="s">
        <v>47</v>
      </c>
      <c r="O2548">
        <v>0</v>
      </c>
      <c r="P2548">
        <v>0</v>
      </c>
      <c r="Q2548">
        <v>0</v>
      </c>
      <c r="R2548">
        <v>0</v>
      </c>
      <c r="S2548">
        <v>1</v>
      </c>
      <c r="T2548">
        <v>1</v>
      </c>
      <c r="U2548">
        <v>1</v>
      </c>
      <c r="V2548">
        <v>0</v>
      </c>
      <c r="W2548" s="5" t="s">
        <v>1486</v>
      </c>
      <c r="AA2548">
        <v>2007</v>
      </c>
      <c r="AB2548">
        <v>9999</v>
      </c>
      <c r="AC2548" t="s">
        <v>35</v>
      </c>
    </row>
    <row r="2549" spans="1:29" x14ac:dyDescent="0.25">
      <c r="A2549" s="31" t="s">
        <v>1366</v>
      </c>
      <c r="B2549" s="23" t="s">
        <v>1487</v>
      </c>
      <c r="C2549" t="s">
        <v>1368</v>
      </c>
      <c r="D2549">
        <v>1</v>
      </c>
      <c r="E2549" t="s">
        <v>468</v>
      </c>
      <c r="F2549">
        <v>7</v>
      </c>
      <c r="G2549">
        <v>2017</v>
      </c>
      <c r="I2549">
        <v>36.4</v>
      </c>
      <c r="J2549" t="s">
        <v>40</v>
      </c>
      <c r="K2549" t="s">
        <v>32</v>
      </c>
      <c r="O2549">
        <v>0</v>
      </c>
      <c r="P2549">
        <v>0</v>
      </c>
      <c r="Q2549">
        <v>0</v>
      </c>
      <c r="R2549">
        <v>0</v>
      </c>
      <c r="S2549">
        <v>1</v>
      </c>
      <c r="T2549">
        <v>1</v>
      </c>
      <c r="U2549">
        <v>1</v>
      </c>
      <c r="V2549">
        <v>0</v>
      </c>
      <c r="W2549" t="s">
        <v>1369</v>
      </c>
      <c r="AA2549">
        <v>2011</v>
      </c>
      <c r="AB2549">
        <v>9999</v>
      </c>
      <c r="AC2549" t="s">
        <v>1365</v>
      </c>
    </row>
    <row r="2550" spans="1:29" x14ac:dyDescent="0.25">
      <c r="A2550" s="31" t="s">
        <v>1309</v>
      </c>
      <c r="B2550" s="23" t="s">
        <v>1310</v>
      </c>
      <c r="C2550" t="s">
        <v>1311</v>
      </c>
      <c r="D2550">
        <v>1</v>
      </c>
      <c r="E2550" t="s">
        <v>1312</v>
      </c>
      <c r="F2550">
        <v>9</v>
      </c>
      <c r="G2550">
        <v>2017</v>
      </c>
      <c r="I2550">
        <v>88.57</v>
      </c>
      <c r="J2550" t="s">
        <v>104</v>
      </c>
      <c r="K2550" t="s">
        <v>47</v>
      </c>
      <c r="O2550">
        <v>0</v>
      </c>
      <c r="P2550">
        <v>0</v>
      </c>
      <c r="Q2550">
        <v>0</v>
      </c>
      <c r="R2550">
        <v>0</v>
      </c>
      <c r="S2550">
        <v>1</v>
      </c>
      <c r="T2550">
        <v>1</v>
      </c>
      <c r="U2550">
        <v>1</v>
      </c>
      <c r="V2550">
        <v>0</v>
      </c>
      <c r="W2550" t="s">
        <v>1404</v>
      </c>
      <c r="AA2550">
        <v>2010</v>
      </c>
      <c r="AB2550">
        <v>9999</v>
      </c>
      <c r="AC2550" t="s">
        <v>1292</v>
      </c>
    </row>
    <row r="2551" spans="1:29" x14ac:dyDescent="0.25">
      <c r="A2551" s="31" t="s">
        <v>559</v>
      </c>
      <c r="B2551" s="23" t="s">
        <v>560</v>
      </c>
      <c r="C2551" t="s">
        <v>561</v>
      </c>
      <c r="D2551">
        <v>1</v>
      </c>
      <c r="E2551" t="s">
        <v>103</v>
      </c>
      <c r="F2551">
        <v>9</v>
      </c>
      <c r="G2551">
        <v>2017</v>
      </c>
      <c r="I2551">
        <v>796.21</v>
      </c>
      <c r="J2551" t="s">
        <v>104</v>
      </c>
      <c r="K2551" t="s">
        <v>53</v>
      </c>
      <c r="L2551" t="s">
        <v>105</v>
      </c>
      <c r="O2551">
        <v>0</v>
      </c>
      <c r="P2551">
        <v>1</v>
      </c>
      <c r="Q2551">
        <v>0</v>
      </c>
      <c r="R2551">
        <v>0</v>
      </c>
      <c r="S2551">
        <v>1</v>
      </c>
      <c r="T2551">
        <v>1</v>
      </c>
      <c r="U2551">
        <v>1</v>
      </c>
      <c r="V2551">
        <v>0</v>
      </c>
      <c r="W2551" t="s">
        <v>106</v>
      </c>
      <c r="AA2551">
        <v>2007</v>
      </c>
      <c r="AB2551">
        <v>9999</v>
      </c>
      <c r="AC2551" t="s">
        <v>35</v>
      </c>
    </row>
    <row r="2552" spans="1:29" ht="30" x14ac:dyDescent="0.25">
      <c r="A2552" s="31" t="s">
        <v>562</v>
      </c>
      <c r="B2552" s="23" t="s">
        <v>563</v>
      </c>
      <c r="D2552">
        <v>1</v>
      </c>
      <c r="E2552" t="s">
        <v>80</v>
      </c>
      <c r="F2552">
        <v>8</v>
      </c>
      <c r="G2552">
        <v>2017</v>
      </c>
      <c r="I2552">
        <v>135.72999999999999</v>
      </c>
      <c r="J2552" t="s">
        <v>81</v>
      </c>
      <c r="K2552" t="s">
        <v>47</v>
      </c>
      <c r="O2552">
        <v>0</v>
      </c>
      <c r="P2552">
        <v>0</v>
      </c>
      <c r="Q2552">
        <v>0</v>
      </c>
      <c r="R2552">
        <v>0</v>
      </c>
      <c r="S2552">
        <v>1</v>
      </c>
      <c r="T2552">
        <v>1</v>
      </c>
      <c r="U2552">
        <v>1</v>
      </c>
      <c r="V2552">
        <v>0</v>
      </c>
      <c r="W2552" t="s">
        <v>1128</v>
      </c>
      <c r="AA2552">
        <v>2007</v>
      </c>
      <c r="AB2552">
        <v>9999</v>
      </c>
      <c r="AC2552" t="s">
        <v>35</v>
      </c>
    </row>
    <row r="2553" spans="1:29" x14ac:dyDescent="0.25">
      <c r="A2553" s="31" t="s">
        <v>568</v>
      </c>
      <c r="B2553" s="23" t="s">
        <v>569</v>
      </c>
      <c r="D2553">
        <v>1</v>
      </c>
      <c r="E2553" t="s">
        <v>80</v>
      </c>
      <c r="F2553">
        <v>8</v>
      </c>
      <c r="G2553">
        <v>2017</v>
      </c>
      <c r="I2553">
        <v>229.94</v>
      </c>
      <c r="J2553" t="s">
        <v>81</v>
      </c>
      <c r="K2553" t="s">
        <v>47</v>
      </c>
      <c r="O2553">
        <v>0</v>
      </c>
      <c r="P2553">
        <v>0</v>
      </c>
      <c r="Q2553">
        <v>0</v>
      </c>
      <c r="R2553">
        <v>0</v>
      </c>
      <c r="S2553">
        <v>1</v>
      </c>
      <c r="T2553">
        <v>1</v>
      </c>
      <c r="U2553">
        <v>1</v>
      </c>
      <c r="V2553">
        <v>0</v>
      </c>
      <c r="W2553" t="s">
        <v>1129</v>
      </c>
      <c r="AA2553">
        <v>2007</v>
      </c>
      <c r="AB2553">
        <v>9999</v>
      </c>
      <c r="AC2553" t="s">
        <v>35</v>
      </c>
    </row>
    <row r="2554" spans="1:29" x14ac:dyDescent="0.25">
      <c r="A2554" s="31" t="s">
        <v>571</v>
      </c>
      <c r="B2554" s="23" t="s">
        <v>572</v>
      </c>
      <c r="D2554">
        <v>1</v>
      </c>
      <c r="E2554" t="s">
        <v>370</v>
      </c>
      <c r="F2554">
        <v>5</v>
      </c>
      <c r="G2554">
        <v>2017</v>
      </c>
      <c r="I2554">
        <v>483.02</v>
      </c>
      <c r="J2554" t="s">
        <v>1471</v>
      </c>
      <c r="K2554" t="s">
        <v>47</v>
      </c>
      <c r="O2554">
        <v>0</v>
      </c>
      <c r="P2554">
        <v>0</v>
      </c>
      <c r="Q2554">
        <v>0</v>
      </c>
      <c r="R2554">
        <v>0</v>
      </c>
      <c r="S2554">
        <v>1</v>
      </c>
      <c r="T2554">
        <v>1</v>
      </c>
      <c r="U2554">
        <v>1</v>
      </c>
      <c r="V2554">
        <v>0</v>
      </c>
      <c r="W2554" t="s">
        <v>1430</v>
      </c>
      <c r="AA2554">
        <v>2007</v>
      </c>
      <c r="AB2554">
        <v>9999</v>
      </c>
      <c r="AC2554" t="s">
        <v>35</v>
      </c>
    </row>
    <row r="2555" spans="1:29" x14ac:dyDescent="0.25">
      <c r="A2555" s="31" t="s">
        <v>574</v>
      </c>
      <c r="B2555" s="23" t="s">
        <v>575</v>
      </c>
      <c r="D2555">
        <v>1</v>
      </c>
      <c r="E2555" t="s">
        <v>222</v>
      </c>
      <c r="F2555">
        <v>1</v>
      </c>
      <c r="G2555">
        <v>2017</v>
      </c>
      <c r="I2555">
        <v>28.7</v>
      </c>
      <c r="J2555" t="s">
        <v>176</v>
      </c>
      <c r="K2555" t="s">
        <v>47</v>
      </c>
      <c r="O2555">
        <v>0</v>
      </c>
      <c r="P2555">
        <v>0</v>
      </c>
      <c r="Q2555">
        <v>0</v>
      </c>
      <c r="R2555">
        <v>0</v>
      </c>
      <c r="S2555">
        <v>1</v>
      </c>
      <c r="T2555">
        <v>1</v>
      </c>
      <c r="U2555">
        <v>1</v>
      </c>
      <c r="V2555">
        <v>0</v>
      </c>
      <c r="W2555" t="s">
        <v>1131</v>
      </c>
      <c r="AA2555">
        <v>2007</v>
      </c>
      <c r="AB2555">
        <v>9999</v>
      </c>
      <c r="AC2555" t="s">
        <v>35</v>
      </c>
    </row>
    <row r="2556" spans="1:29" x14ac:dyDescent="0.25">
      <c r="A2556" s="31" t="s">
        <v>577</v>
      </c>
      <c r="B2556" s="23" t="s">
        <v>578</v>
      </c>
      <c r="D2556">
        <v>1</v>
      </c>
      <c r="E2556" t="s">
        <v>396</v>
      </c>
      <c r="F2556">
        <v>3</v>
      </c>
      <c r="G2556">
        <v>2017</v>
      </c>
      <c r="H2556" t="s">
        <v>579</v>
      </c>
      <c r="I2556">
        <v>0.1</v>
      </c>
      <c r="J2556" t="s">
        <v>121</v>
      </c>
      <c r="K2556" t="s">
        <v>41</v>
      </c>
      <c r="O2556">
        <v>0</v>
      </c>
      <c r="P2556">
        <v>0</v>
      </c>
      <c r="Q2556">
        <v>0</v>
      </c>
      <c r="R2556">
        <v>0</v>
      </c>
      <c r="S2556">
        <v>0</v>
      </c>
      <c r="T2556">
        <v>0</v>
      </c>
      <c r="U2556">
        <v>0</v>
      </c>
      <c r="V2556">
        <v>0</v>
      </c>
      <c r="W2556" t="s">
        <v>1132</v>
      </c>
      <c r="AA2556">
        <v>2007</v>
      </c>
      <c r="AB2556">
        <v>9999</v>
      </c>
      <c r="AC2556" t="s">
        <v>35</v>
      </c>
    </row>
    <row r="2557" spans="1:29" x14ac:dyDescent="0.25">
      <c r="A2557" s="31" t="s">
        <v>581</v>
      </c>
      <c r="B2557" s="23" t="s">
        <v>582</v>
      </c>
      <c r="D2557">
        <v>1</v>
      </c>
      <c r="E2557" t="s">
        <v>80</v>
      </c>
      <c r="F2557">
        <v>8</v>
      </c>
      <c r="G2557">
        <v>2017</v>
      </c>
      <c r="H2557" t="s">
        <v>1315</v>
      </c>
      <c r="I2557">
        <v>4.5</v>
      </c>
      <c r="J2557" t="s">
        <v>81</v>
      </c>
      <c r="K2557" t="s">
        <v>41</v>
      </c>
      <c r="O2557">
        <v>0</v>
      </c>
      <c r="P2557">
        <v>0</v>
      </c>
      <c r="Q2557">
        <v>0</v>
      </c>
      <c r="R2557">
        <v>0</v>
      </c>
      <c r="S2557">
        <v>0</v>
      </c>
      <c r="T2557">
        <v>0</v>
      </c>
      <c r="U2557">
        <v>1</v>
      </c>
      <c r="V2557">
        <v>0</v>
      </c>
      <c r="W2557" t="s">
        <v>1133</v>
      </c>
      <c r="AA2557">
        <v>2007</v>
      </c>
      <c r="AB2557">
        <v>9999</v>
      </c>
      <c r="AC2557" t="s">
        <v>35</v>
      </c>
    </row>
    <row r="2558" spans="1:29" x14ac:dyDescent="0.25">
      <c r="A2558" s="31" t="s">
        <v>590</v>
      </c>
      <c r="B2558" s="23" t="s">
        <v>591</v>
      </c>
      <c r="D2558">
        <v>1</v>
      </c>
      <c r="E2558" t="s">
        <v>592</v>
      </c>
      <c r="F2558">
        <v>8</v>
      </c>
      <c r="G2558">
        <v>2017</v>
      </c>
      <c r="I2558">
        <v>8.1999999999999993</v>
      </c>
      <c r="J2558" t="s">
        <v>81</v>
      </c>
      <c r="K2558" t="s">
        <v>41</v>
      </c>
      <c r="O2558">
        <v>0</v>
      </c>
      <c r="P2558">
        <v>0</v>
      </c>
      <c r="Q2558">
        <v>0</v>
      </c>
      <c r="R2558">
        <v>0</v>
      </c>
      <c r="S2558">
        <v>0</v>
      </c>
      <c r="T2558">
        <v>1</v>
      </c>
      <c r="U2558">
        <v>1</v>
      </c>
      <c r="V2558">
        <v>0</v>
      </c>
      <c r="W2558" t="s">
        <v>1134</v>
      </c>
      <c r="AA2558">
        <v>2007</v>
      </c>
      <c r="AB2558">
        <v>9999</v>
      </c>
      <c r="AC2558" t="s">
        <v>35</v>
      </c>
    </row>
    <row r="2559" spans="1:29" x14ac:dyDescent="0.25">
      <c r="A2559" s="31" t="s">
        <v>594</v>
      </c>
      <c r="B2559" s="23" t="s">
        <v>595</v>
      </c>
      <c r="D2559">
        <v>1</v>
      </c>
      <c r="E2559" t="s">
        <v>38</v>
      </c>
      <c r="F2559">
        <v>4</v>
      </c>
      <c r="G2559">
        <v>2017</v>
      </c>
      <c r="H2559" t="s">
        <v>906</v>
      </c>
      <c r="I2559">
        <v>0.15</v>
      </c>
      <c r="J2559" t="s">
        <v>59</v>
      </c>
      <c r="K2559" t="s">
        <v>41</v>
      </c>
      <c r="O2559">
        <v>0</v>
      </c>
      <c r="P2559">
        <v>0</v>
      </c>
      <c r="Q2559">
        <v>0</v>
      </c>
      <c r="R2559">
        <v>0</v>
      </c>
      <c r="S2559">
        <v>0</v>
      </c>
      <c r="T2559">
        <v>0</v>
      </c>
      <c r="U2559">
        <v>0</v>
      </c>
      <c r="V2559">
        <v>0</v>
      </c>
      <c r="W2559" t="s">
        <v>1135</v>
      </c>
      <c r="AA2559">
        <v>2007</v>
      </c>
      <c r="AB2559">
        <v>9999</v>
      </c>
      <c r="AC2559" t="s">
        <v>35</v>
      </c>
    </row>
    <row r="2560" spans="1:29" x14ac:dyDescent="0.25">
      <c r="A2560" s="31" t="s">
        <v>1253</v>
      </c>
      <c r="B2560" s="23" t="s">
        <v>598</v>
      </c>
      <c r="D2560">
        <v>1</v>
      </c>
      <c r="E2560" t="s">
        <v>38</v>
      </c>
      <c r="F2560">
        <v>4</v>
      </c>
      <c r="G2560">
        <v>2017</v>
      </c>
      <c r="H2560" t="s">
        <v>39</v>
      </c>
      <c r="J2560" t="s">
        <v>59</v>
      </c>
      <c r="K2560" t="s">
        <v>41</v>
      </c>
      <c r="O2560">
        <v>0</v>
      </c>
      <c r="P2560">
        <v>0</v>
      </c>
      <c r="Q2560">
        <v>0</v>
      </c>
      <c r="R2560">
        <v>0</v>
      </c>
      <c r="S2560">
        <v>0</v>
      </c>
      <c r="T2560">
        <v>0</v>
      </c>
      <c r="U2560">
        <v>0</v>
      </c>
      <c r="V2560">
        <v>0</v>
      </c>
      <c r="W2560" t="s">
        <v>1254</v>
      </c>
      <c r="AA2560">
        <v>2009</v>
      </c>
      <c r="AB2560">
        <v>9999</v>
      </c>
      <c r="AC2560" t="s">
        <v>1239</v>
      </c>
    </row>
    <row r="2561" spans="1:29" x14ac:dyDescent="0.25">
      <c r="A2561" s="31" t="s">
        <v>601</v>
      </c>
      <c r="B2561" s="23" t="s">
        <v>602</v>
      </c>
      <c r="D2561">
        <v>1</v>
      </c>
      <c r="E2561" t="s">
        <v>145</v>
      </c>
      <c r="F2561">
        <v>2</v>
      </c>
      <c r="G2561">
        <v>2017</v>
      </c>
      <c r="H2561" t="s">
        <v>1488</v>
      </c>
      <c r="I2561">
        <v>2.5000000000000001E-2</v>
      </c>
      <c r="J2561" s="2" t="s">
        <v>1471</v>
      </c>
      <c r="K2561" t="s">
        <v>41</v>
      </c>
      <c r="O2561">
        <v>0</v>
      </c>
      <c r="P2561">
        <v>0</v>
      </c>
      <c r="Q2561">
        <v>0</v>
      </c>
      <c r="R2561">
        <v>0</v>
      </c>
      <c r="S2561">
        <v>0</v>
      </c>
      <c r="T2561">
        <v>0</v>
      </c>
      <c r="U2561">
        <v>0</v>
      </c>
      <c r="V2561">
        <v>0</v>
      </c>
      <c r="W2561" t="s">
        <v>1137</v>
      </c>
      <c r="AA2561">
        <v>2007</v>
      </c>
      <c r="AB2561">
        <v>9999</v>
      </c>
      <c r="AC2561" t="s">
        <v>35</v>
      </c>
    </row>
    <row r="2562" spans="1:29" x14ac:dyDescent="0.25">
      <c r="A2562" s="31" t="s">
        <v>613</v>
      </c>
      <c r="B2562" s="23" t="s">
        <v>254</v>
      </c>
      <c r="C2562" t="s">
        <v>614</v>
      </c>
      <c r="D2562">
        <v>1</v>
      </c>
      <c r="E2562" t="s">
        <v>45</v>
      </c>
      <c r="F2562">
        <v>4</v>
      </c>
      <c r="G2562">
        <v>2017</v>
      </c>
      <c r="I2562">
        <v>314.33999999999997</v>
      </c>
      <c r="J2562" t="s">
        <v>89</v>
      </c>
      <c r="K2562" t="s">
        <v>47</v>
      </c>
      <c r="O2562">
        <v>0</v>
      </c>
      <c r="P2562">
        <v>0</v>
      </c>
      <c r="Q2562">
        <v>0</v>
      </c>
      <c r="R2562">
        <v>0</v>
      </c>
      <c r="S2562">
        <v>1</v>
      </c>
      <c r="T2562">
        <v>1</v>
      </c>
      <c r="U2562">
        <v>1</v>
      </c>
      <c r="V2562">
        <v>0</v>
      </c>
      <c r="W2562" t="s">
        <v>1140</v>
      </c>
      <c r="AA2562">
        <v>2007</v>
      </c>
      <c r="AB2562">
        <v>9999</v>
      </c>
      <c r="AC2562" t="s">
        <v>35</v>
      </c>
    </row>
    <row r="2563" spans="1:29" x14ac:dyDescent="0.25">
      <c r="A2563" s="31" t="s">
        <v>1370</v>
      </c>
      <c r="B2563" s="23" t="s">
        <v>1371</v>
      </c>
      <c r="D2563">
        <v>1</v>
      </c>
      <c r="E2563" s="4">
        <v>411</v>
      </c>
      <c r="F2563">
        <v>4</v>
      </c>
      <c r="G2563">
        <v>2017</v>
      </c>
      <c r="H2563" t="s">
        <v>111</v>
      </c>
      <c r="I2563" s="12">
        <v>0</v>
      </c>
      <c r="J2563" t="s">
        <v>89</v>
      </c>
      <c r="K2563" t="s">
        <v>41</v>
      </c>
      <c r="O2563">
        <v>0</v>
      </c>
      <c r="P2563">
        <v>0</v>
      </c>
      <c r="Q2563">
        <v>0</v>
      </c>
      <c r="R2563">
        <v>0</v>
      </c>
      <c r="S2563">
        <v>0</v>
      </c>
      <c r="T2563">
        <v>1</v>
      </c>
      <c r="U2563">
        <v>0</v>
      </c>
      <c r="V2563">
        <v>0</v>
      </c>
      <c r="W2563" t="s">
        <v>1372</v>
      </c>
      <c r="AA2563">
        <v>2011</v>
      </c>
      <c r="AB2563">
        <v>9999</v>
      </c>
      <c r="AC2563" t="s">
        <v>1365</v>
      </c>
    </row>
    <row r="2564" spans="1:29" x14ac:dyDescent="0.25">
      <c r="A2564" s="31" t="s">
        <v>1317</v>
      </c>
      <c r="B2564" s="23" t="s">
        <v>1318</v>
      </c>
      <c r="D2564">
        <v>1</v>
      </c>
      <c r="E2564" t="s">
        <v>1319</v>
      </c>
      <c r="F2564">
        <v>10</v>
      </c>
      <c r="G2564">
        <v>2017</v>
      </c>
      <c r="I2564">
        <v>1027.31</v>
      </c>
      <c r="J2564" t="s">
        <v>40</v>
      </c>
      <c r="K2564" t="s">
        <v>32</v>
      </c>
      <c r="O2564">
        <v>0</v>
      </c>
      <c r="P2564">
        <v>0</v>
      </c>
      <c r="Q2564">
        <v>0</v>
      </c>
      <c r="R2564">
        <v>0</v>
      </c>
      <c r="S2564">
        <v>1</v>
      </c>
      <c r="T2564">
        <v>1</v>
      </c>
      <c r="U2564">
        <v>1</v>
      </c>
      <c r="V2564">
        <v>0</v>
      </c>
      <c r="W2564" t="s">
        <v>1320</v>
      </c>
      <c r="AA2564">
        <v>2010</v>
      </c>
      <c r="AB2564">
        <v>9999</v>
      </c>
      <c r="AC2564" t="s">
        <v>1292</v>
      </c>
    </row>
    <row r="2565" spans="1:29" x14ac:dyDescent="0.25">
      <c r="A2565" s="31" t="s">
        <v>1489</v>
      </c>
      <c r="B2565" s="23" t="s">
        <v>619</v>
      </c>
      <c r="D2565">
        <v>1</v>
      </c>
      <c r="E2565" t="s">
        <v>620</v>
      </c>
      <c r="F2565">
        <v>5</v>
      </c>
      <c r="G2565">
        <v>2017</v>
      </c>
      <c r="I2565">
        <v>35.799999999999997</v>
      </c>
      <c r="J2565" t="s">
        <v>104</v>
      </c>
      <c r="K2565" t="s">
        <v>47</v>
      </c>
      <c r="O2565">
        <v>0</v>
      </c>
      <c r="P2565">
        <v>0</v>
      </c>
      <c r="Q2565">
        <v>0</v>
      </c>
      <c r="R2565">
        <v>0</v>
      </c>
      <c r="S2565">
        <v>1</v>
      </c>
      <c r="T2565">
        <v>1</v>
      </c>
      <c r="U2565">
        <v>1</v>
      </c>
      <c r="V2565">
        <v>0</v>
      </c>
      <c r="W2565" t="s">
        <v>1141</v>
      </c>
      <c r="AA2565">
        <v>2007</v>
      </c>
      <c r="AB2565">
        <v>9999</v>
      </c>
      <c r="AC2565" t="s">
        <v>1475</v>
      </c>
    </row>
    <row r="2566" spans="1:29" x14ac:dyDescent="0.25">
      <c r="A2566" s="31" t="s">
        <v>472</v>
      </c>
      <c r="B2566" s="23" t="s">
        <v>1490</v>
      </c>
      <c r="D2566">
        <v>1</v>
      </c>
      <c r="E2566" t="s">
        <v>681</v>
      </c>
      <c r="F2566">
        <v>3</v>
      </c>
      <c r="G2566">
        <v>2017</v>
      </c>
      <c r="I2566">
        <v>27372.720000000001</v>
      </c>
      <c r="J2566" t="s">
        <v>121</v>
      </c>
      <c r="K2566" t="s">
        <v>47</v>
      </c>
      <c r="O2566">
        <v>0</v>
      </c>
      <c r="P2566">
        <v>0</v>
      </c>
      <c r="Q2566">
        <v>0</v>
      </c>
      <c r="R2566">
        <v>0</v>
      </c>
      <c r="S2566">
        <v>1</v>
      </c>
      <c r="T2566">
        <v>1</v>
      </c>
      <c r="U2566">
        <v>1</v>
      </c>
      <c r="V2566">
        <v>0</v>
      </c>
      <c r="W2566" t="s">
        <v>1491</v>
      </c>
      <c r="AA2566">
        <v>2007</v>
      </c>
      <c r="AB2566">
        <v>9999</v>
      </c>
      <c r="AC2566" t="s">
        <v>35</v>
      </c>
    </row>
    <row r="2567" spans="1:29" x14ac:dyDescent="0.25">
      <c r="A2567" s="31" t="s">
        <v>622</v>
      </c>
      <c r="B2567" s="23" t="s">
        <v>623</v>
      </c>
      <c r="C2567" t="s">
        <v>624</v>
      </c>
      <c r="D2567">
        <v>1</v>
      </c>
      <c r="E2567" t="s">
        <v>625</v>
      </c>
      <c r="F2567">
        <v>4</v>
      </c>
      <c r="G2567">
        <v>2017</v>
      </c>
      <c r="I2567">
        <v>277.12</v>
      </c>
      <c r="J2567" t="s">
        <v>89</v>
      </c>
      <c r="K2567" t="s">
        <v>32</v>
      </c>
      <c r="O2567">
        <v>0</v>
      </c>
      <c r="P2567">
        <v>0</v>
      </c>
      <c r="Q2567">
        <v>0</v>
      </c>
      <c r="R2567">
        <v>0</v>
      </c>
      <c r="S2567">
        <v>1</v>
      </c>
      <c r="T2567">
        <v>1</v>
      </c>
      <c r="U2567">
        <v>1</v>
      </c>
      <c r="V2567">
        <v>0</v>
      </c>
      <c r="W2567" t="s">
        <v>1142</v>
      </c>
      <c r="AA2567">
        <v>2007</v>
      </c>
      <c r="AB2567">
        <v>9999</v>
      </c>
      <c r="AC2567" t="s">
        <v>35</v>
      </c>
    </row>
    <row r="2568" spans="1:29" x14ac:dyDescent="0.25">
      <c r="A2568" s="31" t="s">
        <v>641</v>
      </c>
      <c r="B2568" s="23" t="s">
        <v>642</v>
      </c>
      <c r="D2568">
        <v>1</v>
      </c>
      <c r="E2568" t="s">
        <v>348</v>
      </c>
      <c r="F2568">
        <v>1</v>
      </c>
      <c r="G2568">
        <v>2017</v>
      </c>
      <c r="I2568">
        <v>3924.7750000000001</v>
      </c>
      <c r="J2568" t="s">
        <v>268</v>
      </c>
      <c r="K2568" t="s">
        <v>53</v>
      </c>
      <c r="L2568" t="s">
        <v>642</v>
      </c>
      <c r="O2568">
        <v>0</v>
      </c>
      <c r="P2568">
        <v>0</v>
      </c>
      <c r="Q2568">
        <v>0</v>
      </c>
      <c r="R2568">
        <v>0</v>
      </c>
      <c r="S2568">
        <v>0</v>
      </c>
      <c r="T2568">
        <v>1</v>
      </c>
      <c r="U2568">
        <v>1</v>
      </c>
      <c r="V2568">
        <v>0</v>
      </c>
      <c r="W2568" t="s">
        <v>643</v>
      </c>
      <c r="AA2568">
        <v>2007</v>
      </c>
      <c r="AB2568">
        <v>9999</v>
      </c>
      <c r="AC2568" t="s">
        <v>35</v>
      </c>
    </row>
    <row r="2569" spans="1:29" x14ac:dyDescent="0.25">
      <c r="A2569" s="31" t="s">
        <v>646</v>
      </c>
      <c r="B2569" s="25" t="s">
        <v>647</v>
      </c>
      <c r="D2569">
        <v>1</v>
      </c>
      <c r="E2569" t="s">
        <v>128</v>
      </c>
      <c r="F2569">
        <v>9</v>
      </c>
      <c r="G2569">
        <v>2017</v>
      </c>
      <c r="H2569" t="s">
        <v>1492</v>
      </c>
      <c r="I2569">
        <v>2.8</v>
      </c>
      <c r="J2569" t="s">
        <v>104</v>
      </c>
      <c r="K2569" t="s">
        <v>41</v>
      </c>
      <c r="O2569">
        <v>0</v>
      </c>
      <c r="P2569">
        <v>0</v>
      </c>
      <c r="Q2569">
        <v>0</v>
      </c>
      <c r="R2569">
        <v>0</v>
      </c>
      <c r="S2569">
        <v>0</v>
      </c>
      <c r="T2569">
        <v>0</v>
      </c>
      <c r="U2569">
        <v>0</v>
      </c>
      <c r="V2569">
        <v>0</v>
      </c>
      <c r="W2569" t="s">
        <v>1147</v>
      </c>
      <c r="AA2569">
        <v>2007</v>
      </c>
      <c r="AB2569">
        <v>2018</v>
      </c>
      <c r="AC2569" t="s">
        <v>649</v>
      </c>
    </row>
    <row r="2570" spans="1:29" x14ac:dyDescent="0.25">
      <c r="A2570" s="31" t="s">
        <v>650</v>
      </c>
      <c r="B2570" s="25" t="s">
        <v>651</v>
      </c>
      <c r="D2570">
        <v>1</v>
      </c>
      <c r="E2570" t="s">
        <v>128</v>
      </c>
      <c r="F2570">
        <v>9</v>
      </c>
      <c r="G2570">
        <v>2017</v>
      </c>
      <c r="H2570" t="s">
        <v>1493</v>
      </c>
      <c r="I2570">
        <v>1.75</v>
      </c>
      <c r="J2570" t="s">
        <v>104</v>
      </c>
      <c r="K2570" t="s">
        <v>41</v>
      </c>
      <c r="O2570">
        <v>0</v>
      </c>
      <c r="P2570">
        <v>0</v>
      </c>
      <c r="Q2570">
        <v>0</v>
      </c>
      <c r="R2570">
        <v>0</v>
      </c>
      <c r="S2570">
        <v>0</v>
      </c>
      <c r="T2570">
        <v>0</v>
      </c>
      <c r="U2570">
        <v>0</v>
      </c>
      <c r="V2570">
        <v>0</v>
      </c>
      <c r="W2570" t="s">
        <v>1147</v>
      </c>
      <c r="AA2570">
        <v>2007</v>
      </c>
      <c r="AB2570">
        <v>2018</v>
      </c>
      <c r="AC2570" t="s">
        <v>649</v>
      </c>
    </row>
    <row r="2571" spans="1:29" x14ac:dyDescent="0.25">
      <c r="A2571" s="31" t="s">
        <v>652</v>
      </c>
      <c r="B2571" s="25" t="s">
        <v>653</v>
      </c>
      <c r="D2571">
        <v>1</v>
      </c>
      <c r="E2571" t="s">
        <v>128</v>
      </c>
      <c r="F2571">
        <v>9</v>
      </c>
      <c r="G2571">
        <v>2017</v>
      </c>
      <c r="H2571" t="s">
        <v>1494</v>
      </c>
      <c r="I2571">
        <v>2.6</v>
      </c>
      <c r="J2571" t="s">
        <v>104</v>
      </c>
      <c r="K2571" t="s">
        <v>41</v>
      </c>
      <c r="O2571">
        <v>0</v>
      </c>
      <c r="P2571">
        <v>0</v>
      </c>
      <c r="Q2571">
        <v>0</v>
      </c>
      <c r="R2571">
        <v>0</v>
      </c>
      <c r="S2571">
        <v>0</v>
      </c>
      <c r="T2571">
        <v>0</v>
      </c>
      <c r="U2571">
        <v>0</v>
      </c>
      <c r="V2571">
        <v>0</v>
      </c>
      <c r="W2571" t="s">
        <v>1147</v>
      </c>
      <c r="AA2571">
        <v>2007</v>
      </c>
      <c r="AB2571">
        <v>2018</v>
      </c>
      <c r="AC2571" t="s">
        <v>649</v>
      </c>
    </row>
    <row r="2572" spans="1:29" x14ac:dyDescent="0.25">
      <c r="A2572" s="31" t="s">
        <v>654</v>
      </c>
      <c r="B2572" s="25" t="s">
        <v>655</v>
      </c>
      <c r="D2572">
        <v>1</v>
      </c>
      <c r="E2572" t="s">
        <v>128</v>
      </c>
      <c r="F2572">
        <v>9</v>
      </c>
      <c r="G2572">
        <v>2017</v>
      </c>
      <c r="H2572" t="s">
        <v>1495</v>
      </c>
      <c r="J2572" t="s">
        <v>104</v>
      </c>
      <c r="K2572" t="s">
        <v>41</v>
      </c>
      <c r="O2572">
        <v>0</v>
      </c>
      <c r="P2572">
        <v>0</v>
      </c>
      <c r="Q2572">
        <v>0</v>
      </c>
      <c r="R2572">
        <v>0</v>
      </c>
      <c r="S2572">
        <v>0</v>
      </c>
      <c r="T2572">
        <v>0</v>
      </c>
      <c r="U2572">
        <v>0</v>
      </c>
      <c r="V2572">
        <v>0</v>
      </c>
      <c r="W2572" t="s">
        <v>1147</v>
      </c>
      <c r="AA2572">
        <v>2007</v>
      </c>
      <c r="AB2572">
        <v>2018</v>
      </c>
      <c r="AC2572" t="s">
        <v>649</v>
      </c>
    </row>
    <row r="2573" spans="1:29" x14ac:dyDescent="0.25">
      <c r="A2573" s="31" t="s">
        <v>656</v>
      </c>
      <c r="B2573" s="25" t="s">
        <v>657</v>
      </c>
      <c r="D2573">
        <v>1</v>
      </c>
      <c r="E2573" t="s">
        <v>128</v>
      </c>
      <c r="F2573">
        <v>9</v>
      </c>
      <c r="G2573">
        <v>2017</v>
      </c>
      <c r="H2573" t="s">
        <v>1496</v>
      </c>
      <c r="I2573">
        <v>2.0499999999999998</v>
      </c>
      <c r="J2573" t="s">
        <v>104</v>
      </c>
      <c r="K2573" t="s">
        <v>41</v>
      </c>
      <c r="O2573">
        <v>0</v>
      </c>
      <c r="P2573">
        <v>0</v>
      </c>
      <c r="Q2573">
        <v>0</v>
      </c>
      <c r="R2573">
        <v>0</v>
      </c>
      <c r="S2573">
        <v>0</v>
      </c>
      <c r="T2573">
        <v>0</v>
      </c>
      <c r="U2573">
        <v>0</v>
      </c>
      <c r="V2573">
        <v>0</v>
      </c>
      <c r="W2573" t="s">
        <v>1147</v>
      </c>
      <c r="AA2573">
        <v>2007</v>
      </c>
      <c r="AB2573">
        <v>2018</v>
      </c>
      <c r="AC2573" t="s">
        <v>649</v>
      </c>
    </row>
    <row r="2574" spans="1:29" x14ac:dyDescent="0.25">
      <c r="A2574" s="31" t="s">
        <v>659</v>
      </c>
      <c r="B2574" s="25" t="s">
        <v>660</v>
      </c>
      <c r="D2574">
        <v>1</v>
      </c>
      <c r="E2574" t="s">
        <v>128</v>
      </c>
      <c r="F2574">
        <v>9</v>
      </c>
      <c r="G2574">
        <v>2017</v>
      </c>
      <c r="H2574" t="s">
        <v>1497</v>
      </c>
      <c r="I2574">
        <v>3.4</v>
      </c>
      <c r="J2574" t="s">
        <v>104</v>
      </c>
      <c r="K2574" t="s">
        <v>41</v>
      </c>
      <c r="O2574">
        <v>0</v>
      </c>
      <c r="P2574">
        <v>0</v>
      </c>
      <c r="Q2574">
        <v>0</v>
      </c>
      <c r="R2574">
        <v>0</v>
      </c>
      <c r="S2574">
        <v>0</v>
      </c>
      <c r="T2574">
        <v>0</v>
      </c>
      <c r="U2574">
        <v>0</v>
      </c>
      <c r="V2574">
        <v>0</v>
      </c>
      <c r="W2574" t="s">
        <v>1147</v>
      </c>
      <c r="AA2574">
        <v>2007</v>
      </c>
      <c r="AB2574">
        <v>2018</v>
      </c>
      <c r="AC2574" t="s">
        <v>649</v>
      </c>
    </row>
    <row r="2575" spans="1:29" x14ac:dyDescent="0.25">
      <c r="A2575" s="31" t="s">
        <v>199</v>
      </c>
      <c r="B2575" s="25" t="s">
        <v>665</v>
      </c>
      <c r="D2575">
        <v>1</v>
      </c>
      <c r="E2575" t="s">
        <v>45</v>
      </c>
      <c r="F2575">
        <v>4</v>
      </c>
      <c r="G2575">
        <v>2017</v>
      </c>
      <c r="H2575" t="s">
        <v>39</v>
      </c>
      <c r="I2575">
        <v>1.2</v>
      </c>
      <c r="J2575" t="s">
        <v>52</v>
      </c>
      <c r="K2575" t="s">
        <v>41</v>
      </c>
      <c r="O2575">
        <v>0</v>
      </c>
      <c r="P2575">
        <v>0</v>
      </c>
      <c r="Q2575">
        <v>0</v>
      </c>
      <c r="R2575">
        <v>0</v>
      </c>
      <c r="S2575">
        <v>0</v>
      </c>
      <c r="T2575">
        <v>0</v>
      </c>
      <c r="U2575">
        <v>0</v>
      </c>
      <c r="V2575">
        <v>0</v>
      </c>
      <c r="W2575" t="s">
        <v>1148</v>
      </c>
      <c r="AA2575">
        <v>2007</v>
      </c>
      <c r="AB2575">
        <v>9999</v>
      </c>
      <c r="AC2575" t="s">
        <v>35</v>
      </c>
    </row>
    <row r="2576" spans="1:29" x14ac:dyDescent="0.25">
      <c r="A2576" s="31" t="s">
        <v>667</v>
      </c>
      <c r="B2576" s="23" t="s">
        <v>1527</v>
      </c>
      <c r="D2576">
        <v>1</v>
      </c>
      <c r="E2576" t="s">
        <v>45</v>
      </c>
      <c r="F2576">
        <v>4</v>
      </c>
      <c r="G2576">
        <v>2017</v>
      </c>
      <c r="I2576">
        <v>27.35</v>
      </c>
      <c r="J2576" t="s">
        <v>121</v>
      </c>
      <c r="K2576" t="s">
        <v>47</v>
      </c>
      <c r="O2576">
        <v>0</v>
      </c>
      <c r="P2576">
        <v>0</v>
      </c>
      <c r="Q2576">
        <v>0</v>
      </c>
      <c r="R2576">
        <v>0</v>
      </c>
      <c r="S2576">
        <v>1</v>
      </c>
      <c r="T2576">
        <v>1</v>
      </c>
      <c r="U2576">
        <v>1</v>
      </c>
      <c r="V2576">
        <v>0</v>
      </c>
      <c r="W2576" t="s">
        <v>1149</v>
      </c>
      <c r="AA2576">
        <v>2007</v>
      </c>
      <c r="AB2576">
        <v>9999</v>
      </c>
      <c r="AC2576" t="s">
        <v>35</v>
      </c>
    </row>
    <row r="2577" spans="1:29" x14ac:dyDescent="0.25">
      <c r="A2577" s="31" t="s">
        <v>670</v>
      </c>
      <c r="B2577" s="23" t="s">
        <v>671</v>
      </c>
      <c r="D2577">
        <v>1</v>
      </c>
      <c r="E2577" t="s">
        <v>80</v>
      </c>
      <c r="F2577">
        <v>8</v>
      </c>
      <c r="G2577">
        <v>2017</v>
      </c>
      <c r="I2577">
        <v>213.23</v>
      </c>
      <c r="J2577" t="s">
        <v>81</v>
      </c>
      <c r="K2577" t="s">
        <v>47</v>
      </c>
      <c r="O2577">
        <v>0</v>
      </c>
      <c r="P2577">
        <v>0</v>
      </c>
      <c r="Q2577">
        <v>0</v>
      </c>
      <c r="R2577">
        <v>0</v>
      </c>
      <c r="S2577">
        <v>1</v>
      </c>
      <c r="T2577">
        <v>1</v>
      </c>
      <c r="U2577">
        <v>1</v>
      </c>
      <c r="V2577">
        <v>0</v>
      </c>
      <c r="W2577" t="s">
        <v>1498</v>
      </c>
      <c r="AA2577">
        <v>2007</v>
      </c>
      <c r="AB2577">
        <v>9999</v>
      </c>
      <c r="AC2577" t="s">
        <v>35</v>
      </c>
    </row>
    <row r="2578" spans="1:29" x14ac:dyDescent="0.25">
      <c r="A2578" s="31" t="s">
        <v>673</v>
      </c>
      <c r="B2578" s="23" t="s">
        <v>1321</v>
      </c>
      <c r="D2578">
        <v>1</v>
      </c>
      <c r="E2578" t="s">
        <v>358</v>
      </c>
      <c r="F2578">
        <v>1</v>
      </c>
      <c r="G2578">
        <v>2017</v>
      </c>
      <c r="I2578">
        <v>454.32</v>
      </c>
      <c r="J2578" t="s">
        <v>81</v>
      </c>
      <c r="K2578" t="s">
        <v>47</v>
      </c>
      <c r="O2578">
        <v>0</v>
      </c>
      <c r="P2578">
        <v>0</v>
      </c>
      <c r="Q2578">
        <v>0</v>
      </c>
      <c r="R2578">
        <v>0</v>
      </c>
      <c r="S2578">
        <v>1</v>
      </c>
      <c r="T2578">
        <v>1</v>
      </c>
      <c r="U2578">
        <v>1</v>
      </c>
      <c r="V2578">
        <v>0</v>
      </c>
      <c r="W2578" t="s">
        <v>1322</v>
      </c>
      <c r="AA2578">
        <v>2007</v>
      </c>
      <c r="AB2578">
        <v>9999</v>
      </c>
      <c r="AC2578" t="s">
        <v>35</v>
      </c>
    </row>
    <row r="2579" spans="1:29" x14ac:dyDescent="0.25">
      <c r="A2579" s="31" t="s">
        <v>676</v>
      </c>
      <c r="B2579" s="23" t="s">
        <v>677</v>
      </c>
      <c r="C2579" t="s">
        <v>678</v>
      </c>
      <c r="D2579">
        <v>1</v>
      </c>
      <c r="E2579" t="s">
        <v>168</v>
      </c>
      <c r="F2579">
        <v>1</v>
      </c>
      <c r="G2579">
        <v>2017</v>
      </c>
      <c r="I2579">
        <v>166.7</v>
      </c>
      <c r="J2579" t="s">
        <v>52</v>
      </c>
      <c r="K2579" t="s">
        <v>32</v>
      </c>
      <c r="O2579">
        <v>0</v>
      </c>
      <c r="P2579">
        <v>0</v>
      </c>
      <c r="Q2579">
        <v>0</v>
      </c>
      <c r="R2579">
        <v>0</v>
      </c>
      <c r="S2579">
        <v>1</v>
      </c>
      <c r="T2579">
        <v>1</v>
      </c>
      <c r="U2579">
        <v>1</v>
      </c>
      <c r="V2579">
        <v>0</v>
      </c>
      <c r="W2579" t="s">
        <v>1152</v>
      </c>
      <c r="AA2579">
        <v>2007</v>
      </c>
      <c r="AB2579">
        <v>9999</v>
      </c>
      <c r="AC2579" t="s">
        <v>35</v>
      </c>
    </row>
    <row r="2580" spans="1:29" x14ac:dyDescent="0.25">
      <c r="A2580" s="31" t="s">
        <v>685</v>
      </c>
      <c r="B2580" s="23" t="s">
        <v>686</v>
      </c>
      <c r="D2580">
        <v>1</v>
      </c>
      <c r="E2580" t="s">
        <v>80</v>
      </c>
      <c r="F2580">
        <v>8</v>
      </c>
      <c r="G2580">
        <v>2017</v>
      </c>
      <c r="I2580">
        <v>31</v>
      </c>
      <c r="J2580" t="s">
        <v>81</v>
      </c>
      <c r="K2580" t="s">
        <v>47</v>
      </c>
      <c r="O2580">
        <v>0</v>
      </c>
      <c r="P2580">
        <v>0</v>
      </c>
      <c r="Q2580">
        <v>0</v>
      </c>
      <c r="R2580">
        <v>0</v>
      </c>
      <c r="S2580">
        <v>0</v>
      </c>
      <c r="T2580">
        <v>0</v>
      </c>
      <c r="U2580">
        <v>0</v>
      </c>
      <c r="V2580">
        <v>0</v>
      </c>
      <c r="W2580" t="s">
        <v>1153</v>
      </c>
      <c r="AA2580">
        <v>2007</v>
      </c>
      <c r="AB2580">
        <v>2017</v>
      </c>
      <c r="AC2580" t="s">
        <v>435</v>
      </c>
    </row>
    <row r="2581" spans="1:29" x14ac:dyDescent="0.25">
      <c r="A2581" s="31" t="s">
        <v>688</v>
      </c>
      <c r="B2581" s="23" t="s">
        <v>689</v>
      </c>
      <c r="D2581">
        <v>1</v>
      </c>
      <c r="E2581" t="s">
        <v>145</v>
      </c>
      <c r="F2581">
        <v>2</v>
      </c>
      <c r="G2581">
        <v>2017</v>
      </c>
      <c r="H2581" t="s">
        <v>146</v>
      </c>
      <c r="I2581">
        <v>0</v>
      </c>
      <c r="J2581" s="2" t="s">
        <v>147</v>
      </c>
      <c r="K2581" t="s">
        <v>41</v>
      </c>
      <c r="O2581">
        <v>0</v>
      </c>
      <c r="P2581">
        <v>0</v>
      </c>
      <c r="Q2581">
        <v>0</v>
      </c>
      <c r="R2581">
        <v>0</v>
      </c>
      <c r="S2581">
        <v>0</v>
      </c>
      <c r="T2581">
        <v>0</v>
      </c>
      <c r="U2581">
        <v>0</v>
      </c>
      <c r="V2581">
        <v>0</v>
      </c>
      <c r="W2581" t="s">
        <v>1154</v>
      </c>
      <c r="AA2581">
        <v>2007</v>
      </c>
      <c r="AB2581">
        <v>9999</v>
      </c>
      <c r="AC2581" t="s">
        <v>35</v>
      </c>
    </row>
    <row r="2582" spans="1:29" x14ac:dyDescent="0.25">
      <c r="A2582" s="31" t="s">
        <v>691</v>
      </c>
      <c r="B2582" s="23" t="s">
        <v>692</v>
      </c>
      <c r="D2582">
        <v>1</v>
      </c>
      <c r="E2582" t="s">
        <v>625</v>
      </c>
      <c r="F2582">
        <v>4</v>
      </c>
      <c r="G2582">
        <v>2017</v>
      </c>
      <c r="I2582">
        <v>17.5</v>
      </c>
      <c r="J2582" t="s">
        <v>104</v>
      </c>
      <c r="K2582" t="s">
        <v>32</v>
      </c>
      <c r="O2582">
        <v>0</v>
      </c>
      <c r="P2582">
        <v>0</v>
      </c>
      <c r="Q2582">
        <v>0</v>
      </c>
      <c r="R2582">
        <v>0</v>
      </c>
      <c r="S2582">
        <v>1</v>
      </c>
      <c r="T2582">
        <v>1</v>
      </c>
      <c r="U2582">
        <v>1</v>
      </c>
      <c r="V2582">
        <v>0</v>
      </c>
      <c r="W2582" t="s">
        <v>1155</v>
      </c>
      <c r="AA2582">
        <v>2007</v>
      </c>
      <c r="AB2582">
        <v>9999</v>
      </c>
      <c r="AC2582" t="s">
        <v>35</v>
      </c>
    </row>
    <row r="2583" spans="1:29" x14ac:dyDescent="0.25">
      <c r="A2583" s="31" t="s">
        <v>694</v>
      </c>
      <c r="B2583" s="25" t="s">
        <v>695</v>
      </c>
      <c r="C2583" t="s">
        <v>696</v>
      </c>
      <c r="D2583">
        <v>1</v>
      </c>
      <c r="E2583" t="s">
        <v>58</v>
      </c>
      <c r="F2583">
        <v>4</v>
      </c>
      <c r="G2583">
        <v>2017</v>
      </c>
      <c r="I2583">
        <v>119.45</v>
      </c>
      <c r="J2583" t="s">
        <v>59</v>
      </c>
      <c r="K2583" t="s">
        <v>47</v>
      </c>
      <c r="O2583">
        <v>0</v>
      </c>
      <c r="P2583">
        <v>0</v>
      </c>
      <c r="Q2583">
        <v>0</v>
      </c>
      <c r="R2583">
        <v>0</v>
      </c>
      <c r="S2583">
        <v>1</v>
      </c>
      <c r="T2583">
        <v>1</v>
      </c>
      <c r="U2583">
        <v>1</v>
      </c>
      <c r="V2583">
        <v>0</v>
      </c>
      <c r="W2583" t="s">
        <v>1156</v>
      </c>
      <c r="AA2583">
        <v>2007</v>
      </c>
      <c r="AB2583">
        <v>9999</v>
      </c>
      <c r="AC2583" t="s">
        <v>35</v>
      </c>
    </row>
    <row r="2584" spans="1:29" x14ac:dyDescent="0.25">
      <c r="A2584" s="31" t="s">
        <v>698</v>
      </c>
      <c r="B2584" s="23" t="s">
        <v>699</v>
      </c>
      <c r="D2584">
        <v>1</v>
      </c>
      <c r="E2584" t="s">
        <v>155</v>
      </c>
      <c r="F2584">
        <v>3</v>
      </c>
      <c r="G2584">
        <v>2017</v>
      </c>
      <c r="H2584" t="s">
        <v>700</v>
      </c>
      <c r="I2584">
        <v>5.403784860557769</v>
      </c>
      <c r="J2584" t="s">
        <v>121</v>
      </c>
      <c r="K2584" t="s">
        <v>47</v>
      </c>
      <c r="O2584">
        <v>0</v>
      </c>
      <c r="P2584">
        <v>0</v>
      </c>
      <c r="Q2584">
        <v>0</v>
      </c>
      <c r="R2584">
        <v>0</v>
      </c>
      <c r="S2584">
        <v>1</v>
      </c>
      <c r="T2584">
        <v>0</v>
      </c>
      <c r="U2584">
        <v>0</v>
      </c>
      <c r="V2584">
        <v>1</v>
      </c>
      <c r="W2584" t="s">
        <v>1157</v>
      </c>
      <c r="AA2584">
        <v>2007</v>
      </c>
      <c r="AB2584">
        <v>9999</v>
      </c>
      <c r="AC2584" t="s">
        <v>35</v>
      </c>
    </row>
    <row r="2585" spans="1:29" x14ac:dyDescent="0.25">
      <c r="A2585" s="31" t="s">
        <v>702</v>
      </c>
      <c r="B2585" s="23" t="s">
        <v>703</v>
      </c>
      <c r="D2585">
        <v>1</v>
      </c>
      <c r="E2585" t="s">
        <v>155</v>
      </c>
      <c r="F2585">
        <v>3</v>
      </c>
      <c r="G2585">
        <v>2017</v>
      </c>
      <c r="H2585" t="s">
        <v>704</v>
      </c>
      <c r="J2585" t="s">
        <v>121</v>
      </c>
      <c r="K2585" t="s">
        <v>41</v>
      </c>
      <c r="O2585">
        <v>0</v>
      </c>
      <c r="P2585">
        <v>0</v>
      </c>
      <c r="Q2585">
        <v>0</v>
      </c>
      <c r="R2585">
        <v>0</v>
      </c>
      <c r="S2585">
        <v>0</v>
      </c>
      <c r="T2585">
        <v>0</v>
      </c>
      <c r="U2585">
        <v>0</v>
      </c>
      <c r="V2585">
        <v>1</v>
      </c>
      <c r="W2585" t="s">
        <v>1158</v>
      </c>
      <c r="AA2585">
        <v>2007</v>
      </c>
      <c r="AB2585">
        <v>9999</v>
      </c>
      <c r="AC2585" t="s">
        <v>35</v>
      </c>
    </row>
    <row r="2586" spans="1:29" x14ac:dyDescent="0.25">
      <c r="A2586" s="31" t="s">
        <v>706</v>
      </c>
      <c r="B2586" s="23" t="s">
        <v>707</v>
      </c>
      <c r="C2586" t="s">
        <v>708</v>
      </c>
      <c r="D2586">
        <v>1</v>
      </c>
      <c r="E2586" t="s">
        <v>155</v>
      </c>
      <c r="F2586">
        <v>3</v>
      </c>
      <c r="G2586">
        <v>2017</v>
      </c>
      <c r="I2586">
        <v>437.83</v>
      </c>
      <c r="J2586" t="s">
        <v>121</v>
      </c>
      <c r="K2586" t="s">
        <v>47</v>
      </c>
      <c r="O2586">
        <v>0</v>
      </c>
      <c r="P2586">
        <v>0</v>
      </c>
      <c r="Q2586">
        <v>0</v>
      </c>
      <c r="R2586">
        <v>0</v>
      </c>
      <c r="S2586">
        <v>1</v>
      </c>
      <c r="T2586">
        <v>1</v>
      </c>
      <c r="U2586">
        <v>1</v>
      </c>
      <c r="V2586">
        <v>0</v>
      </c>
      <c r="W2586" t="s">
        <v>1159</v>
      </c>
      <c r="AA2586">
        <v>2007</v>
      </c>
      <c r="AB2586">
        <v>9999</v>
      </c>
      <c r="AC2586" t="s">
        <v>35</v>
      </c>
    </row>
    <row r="2587" spans="1:29" x14ac:dyDescent="0.25">
      <c r="A2587" s="31" t="s">
        <v>710</v>
      </c>
      <c r="B2587" s="23" t="s">
        <v>711</v>
      </c>
      <c r="D2587">
        <v>1</v>
      </c>
      <c r="E2587" t="s">
        <v>712</v>
      </c>
      <c r="F2587">
        <v>9</v>
      </c>
      <c r="G2587">
        <v>2017</v>
      </c>
      <c r="I2587">
        <v>73.97</v>
      </c>
      <c r="J2587" t="s">
        <v>104</v>
      </c>
      <c r="K2587" t="s">
        <v>41</v>
      </c>
      <c r="O2587">
        <v>0</v>
      </c>
      <c r="P2587">
        <v>0</v>
      </c>
      <c r="Q2587">
        <v>0</v>
      </c>
      <c r="R2587">
        <v>0</v>
      </c>
      <c r="S2587">
        <v>0</v>
      </c>
      <c r="T2587">
        <v>1</v>
      </c>
      <c r="U2587">
        <v>1</v>
      </c>
      <c r="V2587">
        <v>0</v>
      </c>
      <c r="W2587" t="s">
        <v>1406</v>
      </c>
      <c r="AA2587">
        <v>2007</v>
      </c>
      <c r="AB2587">
        <v>9999</v>
      </c>
      <c r="AC2587" t="s">
        <v>35</v>
      </c>
    </row>
    <row r="2588" spans="1:29" x14ac:dyDescent="0.25">
      <c r="A2588" s="31" t="s">
        <v>714</v>
      </c>
      <c r="B2588" s="23" t="s">
        <v>715</v>
      </c>
      <c r="D2588">
        <v>1</v>
      </c>
      <c r="E2588" t="s">
        <v>80</v>
      </c>
      <c r="F2588">
        <v>8</v>
      </c>
      <c r="G2588">
        <v>2017</v>
      </c>
      <c r="I2588">
        <v>50.36</v>
      </c>
      <c r="J2588" t="s">
        <v>81</v>
      </c>
      <c r="K2588" t="s">
        <v>76</v>
      </c>
      <c r="O2588">
        <v>0</v>
      </c>
      <c r="P2588">
        <v>0</v>
      </c>
      <c r="Q2588">
        <v>0</v>
      </c>
      <c r="R2588">
        <v>0</v>
      </c>
      <c r="S2588">
        <v>0</v>
      </c>
      <c r="T2588">
        <v>1</v>
      </c>
      <c r="U2588">
        <v>1</v>
      </c>
      <c r="V2588">
        <v>0</v>
      </c>
      <c r="W2588" t="s">
        <v>1323</v>
      </c>
      <c r="AA2588">
        <v>2007</v>
      </c>
      <c r="AB2588">
        <v>9999</v>
      </c>
      <c r="AC2588" t="s">
        <v>35</v>
      </c>
    </row>
    <row r="2589" spans="1:29" x14ac:dyDescent="0.25">
      <c r="A2589" s="31" t="s">
        <v>717</v>
      </c>
      <c r="B2589" s="25" t="s">
        <v>718</v>
      </c>
      <c r="D2589">
        <v>1</v>
      </c>
      <c r="E2589" t="s">
        <v>51</v>
      </c>
      <c r="F2589">
        <v>1</v>
      </c>
      <c r="G2589">
        <v>2017</v>
      </c>
      <c r="I2589">
        <v>23</v>
      </c>
      <c r="J2589" t="s">
        <v>52</v>
      </c>
      <c r="K2589" t="s">
        <v>53</v>
      </c>
      <c r="L2589" t="s">
        <v>54</v>
      </c>
      <c r="O2589">
        <v>0</v>
      </c>
      <c r="P2589">
        <v>0</v>
      </c>
      <c r="Q2589">
        <v>1</v>
      </c>
      <c r="R2589">
        <v>0</v>
      </c>
      <c r="S2589">
        <v>0</v>
      </c>
      <c r="T2589">
        <v>0</v>
      </c>
      <c r="U2589">
        <v>1</v>
      </c>
      <c r="V2589">
        <v>0</v>
      </c>
      <c r="W2589" t="s">
        <v>55</v>
      </c>
      <c r="AA2589">
        <v>2007</v>
      </c>
      <c r="AB2589">
        <v>9999</v>
      </c>
      <c r="AC2589" t="s">
        <v>35</v>
      </c>
    </row>
    <row r="2590" spans="1:29" x14ac:dyDescent="0.25">
      <c r="A2590" s="31" t="s">
        <v>719</v>
      </c>
      <c r="B2590" s="25" t="s">
        <v>720</v>
      </c>
      <c r="D2590">
        <v>1</v>
      </c>
      <c r="E2590" t="s">
        <v>51</v>
      </c>
      <c r="F2590">
        <v>1</v>
      </c>
      <c r="G2590">
        <v>2017</v>
      </c>
      <c r="I2590">
        <v>31</v>
      </c>
      <c r="J2590" t="s">
        <v>52</v>
      </c>
      <c r="K2590" t="s">
        <v>53</v>
      </c>
      <c r="L2590" t="s">
        <v>54</v>
      </c>
      <c r="O2590">
        <v>0</v>
      </c>
      <c r="P2590">
        <v>0</v>
      </c>
      <c r="Q2590">
        <v>1</v>
      </c>
      <c r="R2590">
        <v>0</v>
      </c>
      <c r="S2590">
        <v>0</v>
      </c>
      <c r="T2590">
        <v>0</v>
      </c>
      <c r="U2590">
        <v>1</v>
      </c>
      <c r="V2590">
        <v>0</v>
      </c>
      <c r="W2590" t="s">
        <v>721</v>
      </c>
      <c r="AA2590">
        <v>2007</v>
      </c>
      <c r="AB2590">
        <v>9999</v>
      </c>
      <c r="AC2590" t="s">
        <v>35</v>
      </c>
    </row>
    <row r="2591" spans="1:29" x14ac:dyDescent="0.25">
      <c r="A2591" s="31" t="s">
        <v>722</v>
      </c>
      <c r="B2591" s="23" t="s">
        <v>723</v>
      </c>
      <c r="D2591">
        <v>1</v>
      </c>
      <c r="E2591" t="s">
        <v>724</v>
      </c>
      <c r="F2591">
        <v>4</v>
      </c>
      <c r="G2591">
        <v>2017</v>
      </c>
      <c r="I2591">
        <v>1233.5999999999999</v>
      </c>
      <c r="J2591" t="s">
        <v>89</v>
      </c>
      <c r="K2591" t="s">
        <v>32</v>
      </c>
      <c r="L2591" t="s">
        <v>33</v>
      </c>
      <c r="O2591">
        <v>0</v>
      </c>
      <c r="P2591">
        <v>0</v>
      </c>
      <c r="Q2591">
        <v>0</v>
      </c>
      <c r="R2591">
        <v>1</v>
      </c>
      <c r="S2591">
        <v>1</v>
      </c>
      <c r="T2591">
        <v>1</v>
      </c>
      <c r="U2591">
        <v>1</v>
      </c>
      <c r="V2591">
        <v>0</v>
      </c>
      <c r="W2591" t="s">
        <v>1161</v>
      </c>
      <c r="AA2591">
        <v>2007</v>
      </c>
      <c r="AB2591">
        <v>9999</v>
      </c>
      <c r="AC2591" t="s">
        <v>35</v>
      </c>
    </row>
    <row r="2592" spans="1:29" x14ac:dyDescent="0.25">
      <c r="A2592" s="31" t="s">
        <v>726</v>
      </c>
      <c r="B2592" s="23" t="s">
        <v>727</v>
      </c>
      <c r="D2592">
        <v>1</v>
      </c>
      <c r="E2592" t="s">
        <v>85</v>
      </c>
      <c r="F2592">
        <v>1</v>
      </c>
      <c r="G2592">
        <v>2017</v>
      </c>
      <c r="H2592" t="s">
        <v>205</v>
      </c>
      <c r="I2592">
        <v>12</v>
      </c>
      <c r="J2592" t="s">
        <v>52</v>
      </c>
      <c r="K2592" t="s">
        <v>41</v>
      </c>
      <c r="O2592">
        <v>0</v>
      </c>
      <c r="P2592">
        <v>0</v>
      </c>
      <c r="Q2592">
        <v>0</v>
      </c>
      <c r="R2592">
        <v>0</v>
      </c>
      <c r="S2592">
        <v>0</v>
      </c>
      <c r="T2592">
        <v>0</v>
      </c>
      <c r="U2592">
        <v>0</v>
      </c>
      <c r="V2592">
        <v>0</v>
      </c>
      <c r="W2592" t="s">
        <v>1162</v>
      </c>
      <c r="AA2592">
        <v>2007</v>
      </c>
      <c r="AB2592">
        <v>9999</v>
      </c>
      <c r="AC2592" t="s">
        <v>35</v>
      </c>
    </row>
    <row r="2593" spans="1:29" x14ac:dyDescent="0.25">
      <c r="A2593" s="31" t="s">
        <v>729</v>
      </c>
      <c r="B2593" s="23" t="s">
        <v>205</v>
      </c>
      <c r="D2593">
        <v>1</v>
      </c>
      <c r="E2593" t="s">
        <v>168</v>
      </c>
      <c r="F2593">
        <v>1</v>
      </c>
      <c r="G2593">
        <v>2017</v>
      </c>
      <c r="I2593">
        <v>9391.41</v>
      </c>
      <c r="J2593" t="s">
        <v>52</v>
      </c>
      <c r="K2593" t="s">
        <v>47</v>
      </c>
      <c r="O2593">
        <v>0</v>
      </c>
      <c r="P2593">
        <v>0</v>
      </c>
      <c r="Q2593">
        <v>0</v>
      </c>
      <c r="R2593">
        <v>0</v>
      </c>
      <c r="S2593">
        <v>1</v>
      </c>
      <c r="T2593">
        <v>1</v>
      </c>
      <c r="U2593">
        <v>1</v>
      </c>
      <c r="V2593">
        <v>0</v>
      </c>
      <c r="W2593" t="s">
        <v>1163</v>
      </c>
      <c r="AA2593">
        <v>2007</v>
      </c>
      <c r="AB2593">
        <v>9999</v>
      </c>
      <c r="AC2593" t="s">
        <v>35</v>
      </c>
    </row>
    <row r="2594" spans="1:29" x14ac:dyDescent="0.25">
      <c r="A2594" s="31" t="s">
        <v>731</v>
      </c>
      <c r="B2594" s="23" t="s">
        <v>732</v>
      </c>
      <c r="D2594">
        <v>1</v>
      </c>
      <c r="E2594" t="s">
        <v>51</v>
      </c>
      <c r="F2594">
        <v>10</v>
      </c>
      <c r="G2594">
        <v>2017</v>
      </c>
      <c r="H2594" t="s">
        <v>39</v>
      </c>
      <c r="I2594">
        <v>1.2</v>
      </c>
      <c r="J2594" t="s">
        <v>52</v>
      </c>
      <c r="K2594" t="s">
        <v>41</v>
      </c>
      <c r="O2594">
        <v>0</v>
      </c>
      <c r="P2594">
        <v>0</v>
      </c>
      <c r="Q2594">
        <v>0</v>
      </c>
      <c r="R2594">
        <v>0</v>
      </c>
      <c r="S2594">
        <v>0</v>
      </c>
      <c r="T2594">
        <v>0</v>
      </c>
      <c r="U2594">
        <v>0</v>
      </c>
      <c r="V2594">
        <v>0</v>
      </c>
      <c r="W2594" t="s">
        <v>1164</v>
      </c>
      <c r="AA2594">
        <v>2007</v>
      </c>
      <c r="AB2594">
        <v>9999</v>
      </c>
      <c r="AC2594" t="s">
        <v>35</v>
      </c>
    </row>
    <row r="2595" spans="1:29" x14ac:dyDescent="0.25">
      <c r="A2595" s="31" t="s">
        <v>734</v>
      </c>
      <c r="B2595" s="23" t="s">
        <v>735</v>
      </c>
      <c r="D2595">
        <v>1</v>
      </c>
      <c r="E2595" t="s">
        <v>736</v>
      </c>
      <c r="F2595">
        <v>4</v>
      </c>
      <c r="G2595">
        <v>2017</v>
      </c>
      <c r="I2595">
        <v>682.55</v>
      </c>
      <c r="J2595" t="s">
        <v>89</v>
      </c>
      <c r="K2595" t="s">
        <v>32</v>
      </c>
      <c r="O2595">
        <v>0</v>
      </c>
      <c r="P2595">
        <v>0</v>
      </c>
      <c r="Q2595">
        <v>0</v>
      </c>
      <c r="R2595">
        <v>0</v>
      </c>
      <c r="S2595">
        <v>1</v>
      </c>
      <c r="T2595">
        <v>1</v>
      </c>
      <c r="U2595">
        <v>1</v>
      </c>
      <c r="V2595">
        <v>0</v>
      </c>
      <c r="W2595" t="s">
        <v>1324</v>
      </c>
      <c r="AA2595">
        <v>2007</v>
      </c>
      <c r="AB2595">
        <v>9999</v>
      </c>
      <c r="AC2595" t="s">
        <v>35</v>
      </c>
    </row>
    <row r="2596" spans="1:29" x14ac:dyDescent="0.25">
      <c r="A2596" s="31" t="s">
        <v>1499</v>
      </c>
      <c r="B2596" s="23" t="s">
        <v>1500</v>
      </c>
      <c r="D2596">
        <v>1</v>
      </c>
      <c r="E2596" s="4">
        <v>960</v>
      </c>
      <c r="F2596">
        <v>9</v>
      </c>
      <c r="G2596">
        <v>2017</v>
      </c>
      <c r="I2596">
        <v>10.6</v>
      </c>
      <c r="J2596" t="s">
        <v>104</v>
      </c>
      <c r="K2596" t="s">
        <v>47</v>
      </c>
      <c r="O2596">
        <v>0</v>
      </c>
      <c r="P2596">
        <v>0</v>
      </c>
      <c r="Q2596">
        <v>0</v>
      </c>
      <c r="R2596">
        <v>0</v>
      </c>
      <c r="S2596">
        <v>1</v>
      </c>
      <c r="T2596">
        <v>1</v>
      </c>
      <c r="U2596">
        <v>1</v>
      </c>
      <c r="V2596">
        <v>0</v>
      </c>
      <c r="W2596" t="s">
        <v>1501</v>
      </c>
      <c r="AA2596">
        <v>2015</v>
      </c>
      <c r="AB2596">
        <v>9999</v>
      </c>
      <c r="AC2596" t="s">
        <v>1475</v>
      </c>
    </row>
    <row r="2597" spans="1:29" x14ac:dyDescent="0.25">
      <c r="A2597" s="31" t="s">
        <v>738</v>
      </c>
      <c r="B2597" s="23" t="s">
        <v>739</v>
      </c>
      <c r="D2597">
        <v>1</v>
      </c>
      <c r="E2597" t="s">
        <v>128</v>
      </c>
      <c r="F2597">
        <v>9</v>
      </c>
      <c r="G2597">
        <v>2017</v>
      </c>
      <c r="H2597" t="s">
        <v>1502</v>
      </c>
      <c r="I2597">
        <v>4.4000000000000004</v>
      </c>
      <c r="J2597" t="s">
        <v>104</v>
      </c>
      <c r="K2597" t="s">
        <v>41</v>
      </c>
      <c r="O2597">
        <v>0</v>
      </c>
      <c r="P2597">
        <v>0</v>
      </c>
      <c r="Q2597">
        <v>0</v>
      </c>
      <c r="R2597">
        <v>0</v>
      </c>
      <c r="S2597">
        <v>0</v>
      </c>
      <c r="T2597">
        <v>0</v>
      </c>
      <c r="U2597">
        <v>0</v>
      </c>
      <c r="V2597">
        <v>0</v>
      </c>
      <c r="W2597" t="s">
        <v>1166</v>
      </c>
      <c r="AA2597">
        <v>2007</v>
      </c>
      <c r="AB2597">
        <v>9999</v>
      </c>
      <c r="AC2597" t="s">
        <v>35</v>
      </c>
    </row>
    <row r="2598" spans="1:29" x14ac:dyDescent="0.25">
      <c r="A2598" s="31" t="s">
        <v>745</v>
      </c>
      <c r="B2598" s="23" t="s">
        <v>746</v>
      </c>
      <c r="D2598">
        <v>1</v>
      </c>
      <c r="E2598" t="s">
        <v>468</v>
      </c>
      <c r="F2598">
        <v>7</v>
      </c>
      <c r="G2598">
        <v>2017</v>
      </c>
      <c r="I2598">
        <v>608.14</v>
      </c>
      <c r="J2598" t="s">
        <v>40</v>
      </c>
      <c r="K2598" t="s">
        <v>32</v>
      </c>
      <c r="O2598">
        <v>0</v>
      </c>
      <c r="P2598">
        <v>0</v>
      </c>
      <c r="Q2598">
        <v>0</v>
      </c>
      <c r="R2598">
        <v>0</v>
      </c>
      <c r="S2598">
        <v>1</v>
      </c>
      <c r="T2598">
        <v>1</v>
      </c>
      <c r="U2598">
        <v>1</v>
      </c>
      <c r="V2598">
        <v>0</v>
      </c>
      <c r="W2598" t="s">
        <v>1516</v>
      </c>
      <c r="AA2598">
        <v>2007</v>
      </c>
      <c r="AB2598">
        <v>9999</v>
      </c>
      <c r="AC2598" t="s">
        <v>35</v>
      </c>
    </row>
    <row r="2599" spans="1:29" x14ac:dyDescent="0.25">
      <c r="A2599" s="31" t="s">
        <v>1263</v>
      </c>
      <c r="B2599" s="23" t="s">
        <v>1264</v>
      </c>
      <c r="C2599" t="s">
        <v>1265</v>
      </c>
      <c r="D2599">
        <v>1</v>
      </c>
      <c r="E2599" t="s">
        <v>712</v>
      </c>
      <c r="F2599">
        <v>9</v>
      </c>
      <c r="G2599">
        <v>2017</v>
      </c>
      <c r="I2599">
        <v>1002.77</v>
      </c>
      <c r="J2599" t="s">
        <v>104</v>
      </c>
      <c r="K2599" t="s">
        <v>47</v>
      </c>
      <c r="O2599">
        <v>0</v>
      </c>
      <c r="P2599">
        <v>0</v>
      </c>
      <c r="Q2599">
        <v>0</v>
      </c>
      <c r="R2599">
        <v>0</v>
      </c>
      <c r="S2599">
        <v>1</v>
      </c>
      <c r="T2599">
        <v>1</v>
      </c>
      <c r="U2599">
        <v>1</v>
      </c>
      <c r="V2599">
        <v>0</v>
      </c>
      <c r="W2599" t="s">
        <v>1407</v>
      </c>
      <c r="AA2599">
        <v>2009</v>
      </c>
      <c r="AB2599">
        <v>9999</v>
      </c>
      <c r="AC2599" t="s">
        <v>1239</v>
      </c>
    </row>
    <row r="2600" spans="1:29" x14ac:dyDescent="0.25">
      <c r="A2600" s="31" t="s">
        <v>754</v>
      </c>
      <c r="B2600" s="23" t="s">
        <v>755</v>
      </c>
      <c r="D2600">
        <v>1</v>
      </c>
      <c r="E2600" t="s">
        <v>85</v>
      </c>
      <c r="F2600">
        <v>1</v>
      </c>
      <c r="G2600">
        <v>2017</v>
      </c>
      <c r="H2600" t="s">
        <v>1503</v>
      </c>
      <c r="I2600">
        <v>0.05</v>
      </c>
      <c r="J2600" t="s">
        <v>52</v>
      </c>
      <c r="K2600" t="s">
        <v>41</v>
      </c>
      <c r="O2600">
        <v>0</v>
      </c>
      <c r="P2600">
        <v>0</v>
      </c>
      <c r="Q2600">
        <v>0</v>
      </c>
      <c r="R2600">
        <v>0</v>
      </c>
      <c r="S2600">
        <v>0</v>
      </c>
      <c r="T2600">
        <v>0</v>
      </c>
      <c r="U2600">
        <v>0</v>
      </c>
      <c r="V2600">
        <v>0</v>
      </c>
      <c r="W2600" t="s">
        <v>1169</v>
      </c>
      <c r="AA2600">
        <v>2007</v>
      </c>
      <c r="AB2600">
        <v>9999</v>
      </c>
      <c r="AC2600" t="s">
        <v>35</v>
      </c>
    </row>
    <row r="2601" spans="1:29" ht="30" x14ac:dyDescent="0.25">
      <c r="A2601" s="31" t="s">
        <v>758</v>
      </c>
      <c r="B2601" s="23" t="s">
        <v>1504</v>
      </c>
      <c r="C2601" t="s">
        <v>1505</v>
      </c>
      <c r="D2601">
        <v>1</v>
      </c>
      <c r="E2601" t="s">
        <v>760</v>
      </c>
      <c r="F2601">
        <v>7</v>
      </c>
      <c r="G2601">
        <v>2017</v>
      </c>
      <c r="I2601">
        <v>67.52</v>
      </c>
      <c r="J2601" t="s">
        <v>40</v>
      </c>
      <c r="K2601" t="s">
        <v>47</v>
      </c>
      <c r="O2601">
        <v>0</v>
      </c>
      <c r="P2601">
        <v>0</v>
      </c>
      <c r="Q2601">
        <v>0</v>
      </c>
      <c r="R2601">
        <v>0</v>
      </c>
      <c r="S2601">
        <v>1</v>
      </c>
      <c r="T2601">
        <v>1</v>
      </c>
      <c r="U2601">
        <v>1</v>
      </c>
      <c r="V2601">
        <v>0</v>
      </c>
      <c r="W2601" t="s">
        <v>1170</v>
      </c>
      <c r="AA2601">
        <v>2007</v>
      </c>
      <c r="AB2601">
        <v>9999</v>
      </c>
      <c r="AC2601" t="s">
        <v>35</v>
      </c>
    </row>
    <row r="2602" spans="1:29" x14ac:dyDescent="0.25">
      <c r="A2602" s="31" t="s">
        <v>78</v>
      </c>
      <c r="B2602" s="23" t="s">
        <v>1465</v>
      </c>
      <c r="C2602" t="s">
        <v>1466</v>
      </c>
      <c r="D2602">
        <v>1</v>
      </c>
      <c r="E2602" t="s">
        <v>80</v>
      </c>
      <c r="F2602">
        <v>8</v>
      </c>
      <c r="G2602">
        <v>2017</v>
      </c>
      <c r="I2602">
        <v>32.130000000000003</v>
      </c>
      <c r="J2602" t="s">
        <v>81</v>
      </c>
      <c r="K2602" t="s">
        <v>47</v>
      </c>
      <c r="O2602">
        <v>0</v>
      </c>
      <c r="P2602">
        <v>0</v>
      </c>
      <c r="Q2602">
        <v>0</v>
      </c>
      <c r="R2602">
        <v>0</v>
      </c>
      <c r="S2602">
        <v>1</v>
      </c>
      <c r="T2602">
        <v>1</v>
      </c>
      <c r="U2602">
        <v>1</v>
      </c>
      <c r="V2602">
        <v>0</v>
      </c>
      <c r="W2602" t="s">
        <v>1467</v>
      </c>
      <c r="AA2602">
        <v>2007</v>
      </c>
      <c r="AB2602">
        <v>9999</v>
      </c>
      <c r="AC2602" t="s">
        <v>35</v>
      </c>
    </row>
    <row r="2603" spans="1:29" x14ac:dyDescent="0.25">
      <c r="A2603" s="31" t="s">
        <v>768</v>
      </c>
      <c r="B2603" s="23" t="s">
        <v>769</v>
      </c>
      <c r="C2603" t="s">
        <v>770</v>
      </c>
      <c r="D2603">
        <v>1</v>
      </c>
      <c r="E2603" t="s">
        <v>30</v>
      </c>
      <c r="F2603">
        <v>4</v>
      </c>
      <c r="G2603">
        <v>2017</v>
      </c>
      <c r="I2603">
        <v>371.25</v>
      </c>
      <c r="J2603" t="s">
        <v>1471</v>
      </c>
      <c r="K2603" t="s">
        <v>47</v>
      </c>
      <c r="O2603">
        <v>0</v>
      </c>
      <c r="P2603">
        <v>0</v>
      </c>
      <c r="Q2603">
        <v>0</v>
      </c>
      <c r="R2603">
        <v>0</v>
      </c>
      <c r="S2603">
        <v>1</v>
      </c>
      <c r="T2603">
        <v>1</v>
      </c>
      <c r="U2603">
        <v>1</v>
      </c>
      <c r="V2603">
        <v>0</v>
      </c>
      <c r="W2603" t="s">
        <v>1506</v>
      </c>
      <c r="AA2603">
        <v>2007</v>
      </c>
      <c r="AB2603">
        <v>9999</v>
      </c>
      <c r="AC2603" t="s">
        <v>35</v>
      </c>
    </row>
    <row r="2604" spans="1:29" x14ac:dyDescent="0.25">
      <c r="A2604" s="31" t="s">
        <v>772</v>
      </c>
      <c r="B2604" s="23" t="s">
        <v>773</v>
      </c>
      <c r="C2604" t="s">
        <v>774</v>
      </c>
      <c r="D2604">
        <v>1</v>
      </c>
      <c r="E2604" t="s">
        <v>358</v>
      </c>
      <c r="F2604">
        <v>1</v>
      </c>
      <c r="G2604">
        <v>2017</v>
      </c>
      <c r="I2604">
        <v>376.91</v>
      </c>
      <c r="J2604" t="s">
        <v>52</v>
      </c>
      <c r="K2604" t="s">
        <v>32</v>
      </c>
      <c r="O2604">
        <v>0</v>
      </c>
      <c r="P2604">
        <v>0</v>
      </c>
      <c r="Q2604">
        <v>0</v>
      </c>
      <c r="R2604">
        <v>0</v>
      </c>
      <c r="S2604">
        <v>1</v>
      </c>
      <c r="T2604">
        <v>1</v>
      </c>
      <c r="U2604">
        <v>1</v>
      </c>
      <c r="V2604">
        <v>0</v>
      </c>
      <c r="W2604" t="s">
        <v>1174</v>
      </c>
      <c r="AA2604">
        <v>2007</v>
      </c>
      <c r="AB2604">
        <v>9999</v>
      </c>
      <c r="AC2604" t="s">
        <v>35</v>
      </c>
    </row>
    <row r="2605" spans="1:29" x14ac:dyDescent="0.25">
      <c r="A2605" s="31" t="s">
        <v>779</v>
      </c>
      <c r="B2605" s="23" t="s">
        <v>780</v>
      </c>
      <c r="D2605">
        <v>1</v>
      </c>
      <c r="E2605" t="s">
        <v>80</v>
      </c>
      <c r="F2605">
        <v>8</v>
      </c>
      <c r="G2605">
        <v>2017</v>
      </c>
      <c r="I2605">
        <v>71.38</v>
      </c>
      <c r="J2605" t="s">
        <v>81</v>
      </c>
      <c r="K2605" t="s">
        <v>47</v>
      </c>
      <c r="O2605">
        <v>0</v>
      </c>
      <c r="P2605">
        <v>0</v>
      </c>
      <c r="Q2605">
        <v>0</v>
      </c>
      <c r="R2605">
        <v>0</v>
      </c>
      <c r="S2605">
        <v>1</v>
      </c>
      <c r="T2605">
        <v>1</v>
      </c>
      <c r="U2605">
        <v>1</v>
      </c>
      <c r="V2605">
        <v>0</v>
      </c>
      <c r="W2605" t="s">
        <v>1176</v>
      </c>
      <c r="AA2605">
        <v>2007</v>
      </c>
      <c r="AB2605">
        <v>9999</v>
      </c>
      <c r="AC2605" t="s">
        <v>35</v>
      </c>
    </row>
    <row r="2606" spans="1:29" x14ac:dyDescent="0.25">
      <c r="A2606" s="31" t="s">
        <v>782</v>
      </c>
      <c r="B2606" s="23" t="s">
        <v>783</v>
      </c>
      <c r="D2606">
        <v>1</v>
      </c>
      <c r="E2606" t="s">
        <v>784</v>
      </c>
      <c r="F2606">
        <v>6</v>
      </c>
      <c r="G2606">
        <v>2017</v>
      </c>
      <c r="I2606">
        <v>73.55</v>
      </c>
      <c r="J2606" t="s">
        <v>1471</v>
      </c>
      <c r="K2606" t="s">
        <v>47</v>
      </c>
      <c r="O2606">
        <v>0</v>
      </c>
      <c r="P2606">
        <v>0</v>
      </c>
      <c r="Q2606">
        <v>0</v>
      </c>
      <c r="R2606">
        <v>0</v>
      </c>
      <c r="S2606">
        <v>1</v>
      </c>
      <c r="T2606">
        <v>1</v>
      </c>
      <c r="U2606">
        <v>1</v>
      </c>
      <c r="V2606">
        <v>0</v>
      </c>
      <c r="W2606" t="s">
        <v>1326</v>
      </c>
      <c r="AA2606">
        <v>2007</v>
      </c>
      <c r="AB2606">
        <v>9999</v>
      </c>
      <c r="AC2606" t="s">
        <v>35</v>
      </c>
    </row>
    <row r="2607" spans="1:29" x14ac:dyDescent="0.25">
      <c r="A2607" s="31" t="s">
        <v>786</v>
      </c>
      <c r="B2607" s="23" t="s">
        <v>787</v>
      </c>
      <c r="C2607" t="s">
        <v>788</v>
      </c>
      <c r="D2607">
        <v>1</v>
      </c>
      <c r="E2607" t="s">
        <v>120</v>
      </c>
      <c r="F2607">
        <v>3</v>
      </c>
      <c r="G2607">
        <v>2017</v>
      </c>
      <c r="I2607">
        <v>28.83</v>
      </c>
      <c r="J2607" t="s">
        <v>121</v>
      </c>
      <c r="K2607" t="s">
        <v>47</v>
      </c>
      <c r="O2607">
        <v>0</v>
      </c>
      <c r="P2607">
        <v>0</v>
      </c>
      <c r="Q2607">
        <v>0</v>
      </c>
      <c r="R2607">
        <v>0</v>
      </c>
      <c r="S2607">
        <v>1</v>
      </c>
      <c r="T2607">
        <v>1</v>
      </c>
      <c r="U2607">
        <v>1</v>
      </c>
      <c r="V2607">
        <v>0</v>
      </c>
      <c r="W2607" t="s">
        <v>1178</v>
      </c>
      <c r="AA2607">
        <v>2007</v>
      </c>
      <c r="AB2607">
        <v>9999</v>
      </c>
      <c r="AC2607" t="s">
        <v>35</v>
      </c>
    </row>
    <row r="2608" spans="1:29" x14ac:dyDescent="0.25">
      <c r="A2608" s="31" t="s">
        <v>790</v>
      </c>
      <c r="B2608" s="23" t="s">
        <v>791</v>
      </c>
      <c r="D2608">
        <v>1</v>
      </c>
      <c r="E2608" t="s">
        <v>80</v>
      </c>
      <c r="F2608">
        <v>8</v>
      </c>
      <c r="G2608">
        <v>2017</v>
      </c>
      <c r="I2608">
        <v>196.86</v>
      </c>
      <c r="J2608" t="s">
        <v>81</v>
      </c>
      <c r="K2608" t="s">
        <v>47</v>
      </c>
      <c r="O2608">
        <v>0</v>
      </c>
      <c r="P2608">
        <v>0</v>
      </c>
      <c r="Q2608">
        <v>0</v>
      </c>
      <c r="R2608">
        <v>0</v>
      </c>
      <c r="S2608">
        <v>1</v>
      </c>
      <c r="T2608">
        <v>1</v>
      </c>
      <c r="U2608">
        <v>1</v>
      </c>
      <c r="V2608">
        <v>0</v>
      </c>
      <c r="W2608" t="s">
        <v>1507</v>
      </c>
      <c r="AA2608">
        <v>2007</v>
      </c>
      <c r="AB2608">
        <v>9999</v>
      </c>
      <c r="AC2608" t="s">
        <v>35</v>
      </c>
    </row>
    <row r="2609" spans="1:29" ht="26.25" x14ac:dyDescent="0.25">
      <c r="A2609" s="31" t="s">
        <v>1327</v>
      </c>
      <c r="B2609" s="26" t="s">
        <v>1328</v>
      </c>
      <c r="C2609" t="s">
        <v>1329</v>
      </c>
      <c r="D2609">
        <v>1</v>
      </c>
      <c r="E2609" t="s">
        <v>218</v>
      </c>
      <c r="F2609">
        <v>2</v>
      </c>
      <c r="G2609">
        <v>2017</v>
      </c>
      <c r="I2609">
        <v>5</v>
      </c>
      <c r="J2609" t="s">
        <v>147</v>
      </c>
      <c r="K2609" t="s">
        <v>41</v>
      </c>
      <c r="O2609">
        <v>0</v>
      </c>
      <c r="P2609">
        <v>0</v>
      </c>
      <c r="Q2609">
        <v>0</v>
      </c>
      <c r="R2609">
        <v>0</v>
      </c>
      <c r="S2609">
        <v>0</v>
      </c>
      <c r="T2609">
        <v>1</v>
      </c>
      <c r="U2609">
        <v>1</v>
      </c>
      <c r="V2609">
        <v>0</v>
      </c>
      <c r="W2609" t="s">
        <v>1330</v>
      </c>
      <c r="AA2609">
        <v>2010</v>
      </c>
      <c r="AB2609">
        <v>9999</v>
      </c>
      <c r="AC2609" t="s">
        <v>1292</v>
      </c>
    </row>
    <row r="2610" spans="1:29" x14ac:dyDescent="0.25">
      <c r="A2610" s="31" t="s">
        <v>796</v>
      </c>
      <c r="B2610" s="23" t="s">
        <v>797</v>
      </c>
      <c r="C2610" t="s">
        <v>798</v>
      </c>
      <c r="D2610">
        <v>1</v>
      </c>
      <c r="E2610" t="s">
        <v>534</v>
      </c>
      <c r="F2610">
        <v>10</v>
      </c>
      <c r="G2610">
        <v>2017</v>
      </c>
      <c r="I2610">
        <v>3410.68</v>
      </c>
      <c r="J2610" t="s">
        <v>40</v>
      </c>
      <c r="K2610" t="s">
        <v>47</v>
      </c>
      <c r="O2610">
        <v>0</v>
      </c>
      <c r="P2610">
        <v>0</v>
      </c>
      <c r="Q2610">
        <v>0</v>
      </c>
      <c r="R2610">
        <v>0</v>
      </c>
      <c r="S2610">
        <v>1</v>
      </c>
      <c r="T2610">
        <v>1</v>
      </c>
      <c r="U2610">
        <v>1</v>
      </c>
      <c r="V2610">
        <v>0</v>
      </c>
      <c r="W2610" t="s">
        <v>1181</v>
      </c>
      <c r="AA2610">
        <v>2007</v>
      </c>
      <c r="AB2610">
        <v>9999</v>
      </c>
      <c r="AC2610" t="s">
        <v>35</v>
      </c>
    </row>
    <row r="2611" spans="1:29" x14ac:dyDescent="0.25">
      <c r="A2611" s="31" t="s">
        <v>800</v>
      </c>
      <c r="B2611" s="23" t="s">
        <v>801</v>
      </c>
      <c r="C2611" t="s">
        <v>802</v>
      </c>
      <c r="D2611">
        <v>1</v>
      </c>
      <c r="E2611" t="s">
        <v>442</v>
      </c>
      <c r="F2611">
        <v>4</v>
      </c>
      <c r="G2611">
        <v>2017</v>
      </c>
      <c r="I2611">
        <v>1299.6500000000001</v>
      </c>
      <c r="J2611" t="s">
        <v>89</v>
      </c>
      <c r="K2611" t="s">
        <v>47</v>
      </c>
      <c r="O2611">
        <v>0</v>
      </c>
      <c r="P2611">
        <v>0</v>
      </c>
      <c r="Q2611">
        <v>0</v>
      </c>
      <c r="R2611">
        <v>0</v>
      </c>
      <c r="S2611">
        <v>1</v>
      </c>
      <c r="T2611">
        <v>1</v>
      </c>
      <c r="U2611">
        <v>1</v>
      </c>
      <c r="V2611">
        <v>0</v>
      </c>
      <c r="W2611" t="s">
        <v>1331</v>
      </c>
      <c r="AA2611">
        <v>2007</v>
      </c>
      <c r="AB2611">
        <v>9999</v>
      </c>
      <c r="AC2611" t="s">
        <v>35</v>
      </c>
    </row>
    <row r="2612" spans="1:29" x14ac:dyDescent="0.25">
      <c r="A2612" s="31" t="s">
        <v>808</v>
      </c>
      <c r="B2612" s="23" t="s">
        <v>809</v>
      </c>
      <c r="D2612">
        <v>1</v>
      </c>
      <c r="E2612" t="s">
        <v>80</v>
      </c>
      <c r="F2612">
        <v>8</v>
      </c>
      <c r="G2612">
        <v>2017</v>
      </c>
      <c r="I2612">
        <v>22.15</v>
      </c>
      <c r="J2612" t="s">
        <v>81</v>
      </c>
      <c r="K2612" t="s">
        <v>47</v>
      </c>
      <c r="O2612">
        <v>0</v>
      </c>
      <c r="P2612">
        <v>0</v>
      </c>
      <c r="Q2612">
        <v>0</v>
      </c>
      <c r="R2612">
        <v>0</v>
      </c>
      <c r="S2612">
        <v>1</v>
      </c>
      <c r="T2612">
        <v>1</v>
      </c>
      <c r="U2612">
        <v>1</v>
      </c>
      <c r="V2612">
        <v>0</v>
      </c>
      <c r="W2612" t="s">
        <v>1184</v>
      </c>
      <c r="AA2612">
        <v>2007</v>
      </c>
      <c r="AB2612">
        <v>9999</v>
      </c>
      <c r="AC2612" t="s">
        <v>35</v>
      </c>
    </row>
    <row r="2613" spans="1:29" x14ac:dyDescent="0.25">
      <c r="A2613" s="31" t="s">
        <v>814</v>
      </c>
      <c r="B2613" s="23" t="s">
        <v>815</v>
      </c>
      <c r="D2613">
        <v>1</v>
      </c>
      <c r="E2613" t="s">
        <v>80</v>
      </c>
      <c r="F2613">
        <v>8</v>
      </c>
      <c r="G2613">
        <v>2017</v>
      </c>
      <c r="I2613">
        <v>76.239999999999995</v>
      </c>
      <c r="J2613" t="s">
        <v>81</v>
      </c>
      <c r="K2613" t="s">
        <v>32</v>
      </c>
      <c r="O2613">
        <v>0</v>
      </c>
      <c r="P2613">
        <v>0</v>
      </c>
      <c r="Q2613">
        <v>0</v>
      </c>
      <c r="R2613">
        <v>0</v>
      </c>
      <c r="S2613">
        <v>1</v>
      </c>
      <c r="T2613">
        <v>1</v>
      </c>
      <c r="U2613">
        <v>1</v>
      </c>
      <c r="V2613">
        <v>0</v>
      </c>
      <c r="W2613" t="s">
        <v>1432</v>
      </c>
      <c r="AA2613">
        <v>2007</v>
      </c>
      <c r="AB2613">
        <v>9999</v>
      </c>
      <c r="AC2613" t="s">
        <v>35</v>
      </c>
    </row>
    <row r="2614" spans="1:29" x14ac:dyDescent="0.25">
      <c r="A2614" s="31" t="s">
        <v>822</v>
      </c>
      <c r="B2614" s="23" t="s">
        <v>823</v>
      </c>
      <c r="D2614">
        <v>1</v>
      </c>
      <c r="E2614" t="s">
        <v>80</v>
      </c>
      <c r="F2614">
        <v>8</v>
      </c>
      <c r="G2614">
        <v>2017</v>
      </c>
      <c r="I2614">
        <v>185.04</v>
      </c>
      <c r="J2614" t="s">
        <v>81</v>
      </c>
      <c r="K2614" t="s">
        <v>47</v>
      </c>
      <c r="O2614">
        <v>0</v>
      </c>
      <c r="P2614">
        <v>0</v>
      </c>
      <c r="Q2614">
        <v>0</v>
      </c>
      <c r="R2614">
        <v>0</v>
      </c>
      <c r="S2614">
        <v>1</v>
      </c>
      <c r="T2614">
        <v>1</v>
      </c>
      <c r="U2614">
        <v>1</v>
      </c>
      <c r="V2614">
        <v>0</v>
      </c>
      <c r="W2614" t="s">
        <v>1187</v>
      </c>
      <c r="AA2614">
        <v>2007</v>
      </c>
      <c r="AB2614">
        <v>9999</v>
      </c>
      <c r="AC2614" t="s">
        <v>35</v>
      </c>
    </row>
    <row r="2615" spans="1:29" x14ac:dyDescent="0.25">
      <c r="A2615" s="31" t="s">
        <v>1374</v>
      </c>
      <c r="B2615" s="23" t="s">
        <v>1375</v>
      </c>
      <c r="D2615">
        <v>1</v>
      </c>
      <c r="E2615" t="s">
        <v>80</v>
      </c>
      <c r="F2615">
        <v>8</v>
      </c>
      <c r="G2615">
        <v>2017</v>
      </c>
      <c r="I2615">
        <v>18.8</v>
      </c>
      <c r="J2615" t="s">
        <v>81</v>
      </c>
      <c r="K2615" t="s">
        <v>47</v>
      </c>
      <c r="O2615">
        <v>0</v>
      </c>
      <c r="P2615">
        <v>0</v>
      </c>
      <c r="Q2615">
        <v>0</v>
      </c>
      <c r="R2615">
        <v>0</v>
      </c>
      <c r="S2615">
        <v>1</v>
      </c>
      <c r="T2615">
        <v>1</v>
      </c>
      <c r="U2615">
        <v>1</v>
      </c>
      <c r="V2615">
        <v>0</v>
      </c>
      <c r="W2615" t="s">
        <v>1376</v>
      </c>
      <c r="AA2615">
        <v>2011</v>
      </c>
      <c r="AB2615">
        <v>2023</v>
      </c>
      <c r="AC2615" t="s">
        <v>1377</v>
      </c>
    </row>
    <row r="2616" spans="1:29" x14ac:dyDescent="0.25">
      <c r="A2616" s="31" t="s">
        <v>825</v>
      </c>
      <c r="B2616" s="23" t="s">
        <v>826</v>
      </c>
      <c r="D2616">
        <v>1</v>
      </c>
      <c r="E2616" t="s">
        <v>80</v>
      </c>
      <c r="F2616">
        <v>8</v>
      </c>
      <c r="G2616">
        <v>2017</v>
      </c>
      <c r="I2616">
        <v>112.44</v>
      </c>
      <c r="J2616" t="s">
        <v>81</v>
      </c>
      <c r="K2616" t="s">
        <v>47</v>
      </c>
      <c r="O2616">
        <v>0</v>
      </c>
      <c r="P2616">
        <v>0</v>
      </c>
      <c r="Q2616">
        <v>0</v>
      </c>
      <c r="R2616">
        <v>0</v>
      </c>
      <c r="S2616">
        <v>1</v>
      </c>
      <c r="T2616">
        <v>1</v>
      </c>
      <c r="U2616">
        <v>1</v>
      </c>
      <c r="V2616">
        <v>0</v>
      </c>
      <c r="W2616" t="s">
        <v>1188</v>
      </c>
      <c r="AA2616">
        <v>2007</v>
      </c>
      <c r="AB2616">
        <v>9999</v>
      </c>
      <c r="AC2616" t="s">
        <v>35</v>
      </c>
    </row>
    <row r="2617" spans="1:29" x14ac:dyDescent="0.25">
      <c r="A2617" s="31" t="s">
        <v>828</v>
      </c>
      <c r="B2617" s="25" t="s">
        <v>1408</v>
      </c>
      <c r="C2617" t="s">
        <v>1409</v>
      </c>
      <c r="D2617">
        <v>1</v>
      </c>
      <c r="E2617" t="s">
        <v>80</v>
      </c>
      <c r="F2617">
        <v>8</v>
      </c>
      <c r="G2617">
        <v>2017</v>
      </c>
      <c r="I2617">
        <v>81.47</v>
      </c>
      <c r="J2617" t="s">
        <v>81</v>
      </c>
      <c r="K2617" t="s">
        <v>47</v>
      </c>
      <c r="O2617">
        <v>0</v>
      </c>
      <c r="P2617">
        <v>0</v>
      </c>
      <c r="Q2617">
        <v>0</v>
      </c>
      <c r="R2617">
        <v>0</v>
      </c>
      <c r="S2617">
        <v>1</v>
      </c>
      <c r="T2617">
        <v>1</v>
      </c>
      <c r="U2617">
        <v>1</v>
      </c>
      <c r="V2617">
        <v>0</v>
      </c>
      <c r="W2617" t="s">
        <v>1410</v>
      </c>
      <c r="AA2617">
        <v>2007</v>
      </c>
      <c r="AB2617">
        <v>9999</v>
      </c>
      <c r="AC2617" t="s">
        <v>35</v>
      </c>
    </row>
    <row r="2618" spans="1:29" x14ac:dyDescent="0.25">
      <c r="A2618" s="31" t="s">
        <v>831</v>
      </c>
      <c r="B2618" s="23" t="s">
        <v>832</v>
      </c>
      <c r="C2618" t="s">
        <v>833</v>
      </c>
      <c r="D2618">
        <v>1</v>
      </c>
      <c r="E2618" t="s">
        <v>38</v>
      </c>
      <c r="F2618">
        <v>4</v>
      </c>
      <c r="G2618">
        <v>2017</v>
      </c>
      <c r="H2618" t="s">
        <v>906</v>
      </c>
      <c r="I2618">
        <v>0.05</v>
      </c>
      <c r="J2618" t="s">
        <v>59</v>
      </c>
      <c r="K2618" t="s">
        <v>41</v>
      </c>
      <c r="O2618">
        <v>0</v>
      </c>
      <c r="P2618">
        <v>0</v>
      </c>
      <c r="Q2618">
        <v>0</v>
      </c>
      <c r="R2618">
        <v>0</v>
      </c>
      <c r="S2618">
        <v>0</v>
      </c>
      <c r="T2618">
        <v>0</v>
      </c>
      <c r="U2618">
        <v>0</v>
      </c>
      <c r="V2618">
        <v>0</v>
      </c>
      <c r="W2618" t="s">
        <v>1190</v>
      </c>
      <c r="AA2618">
        <v>2007</v>
      </c>
      <c r="AB2618">
        <v>9999</v>
      </c>
      <c r="AC2618" t="s">
        <v>35</v>
      </c>
    </row>
    <row r="2619" spans="1:29" x14ac:dyDescent="0.25">
      <c r="A2619" s="31" t="s">
        <v>1433</v>
      </c>
      <c r="B2619" s="23" t="s">
        <v>1434</v>
      </c>
      <c r="D2619">
        <v>1</v>
      </c>
      <c r="E2619" s="4">
        <v>133</v>
      </c>
      <c r="F2619">
        <v>1</v>
      </c>
      <c r="G2619">
        <v>2017</v>
      </c>
      <c r="I2619">
        <v>377.51</v>
      </c>
      <c r="J2619" t="s">
        <v>52</v>
      </c>
      <c r="K2619" t="s">
        <v>32</v>
      </c>
      <c r="O2619">
        <v>0</v>
      </c>
      <c r="P2619">
        <v>0</v>
      </c>
      <c r="Q2619">
        <v>0</v>
      </c>
      <c r="R2619">
        <v>0</v>
      </c>
      <c r="S2619">
        <v>1</v>
      </c>
      <c r="T2619">
        <v>1</v>
      </c>
      <c r="U2619">
        <v>1</v>
      </c>
      <c r="V2619">
        <v>0</v>
      </c>
      <c r="W2619" t="s">
        <v>1435</v>
      </c>
      <c r="AA2619">
        <v>2013</v>
      </c>
      <c r="AB2619">
        <v>9999</v>
      </c>
      <c r="AC2619" t="s">
        <v>1419</v>
      </c>
    </row>
    <row r="2620" spans="1:29" x14ac:dyDescent="0.25">
      <c r="A2620" s="31" t="s">
        <v>1194</v>
      </c>
      <c r="B2620" s="23" t="s">
        <v>1195</v>
      </c>
      <c r="D2620">
        <v>1</v>
      </c>
      <c r="E2620" t="s">
        <v>85</v>
      </c>
      <c r="F2620">
        <v>1</v>
      </c>
      <c r="G2620">
        <v>2017</v>
      </c>
      <c r="H2620" t="s">
        <v>39</v>
      </c>
      <c r="I2620">
        <v>0</v>
      </c>
      <c r="J2620" t="s">
        <v>52</v>
      </c>
      <c r="K2620" t="s">
        <v>41</v>
      </c>
      <c r="O2620">
        <v>0</v>
      </c>
      <c r="P2620">
        <v>0</v>
      </c>
      <c r="Q2620">
        <v>0</v>
      </c>
      <c r="R2620">
        <v>0</v>
      </c>
      <c r="S2620">
        <v>0</v>
      </c>
      <c r="T2620">
        <v>0</v>
      </c>
      <c r="U2620">
        <v>0</v>
      </c>
      <c r="V2620">
        <v>0</v>
      </c>
      <c r="W2620" t="s">
        <v>1267</v>
      </c>
      <c r="AA2620">
        <v>2008</v>
      </c>
      <c r="AB2620">
        <v>9999</v>
      </c>
      <c r="AC2620" t="s">
        <v>1054</v>
      </c>
    </row>
    <row r="2621" spans="1:29" x14ac:dyDescent="0.25">
      <c r="A2621" s="31" t="s">
        <v>1268</v>
      </c>
      <c r="B2621" s="23" t="s">
        <v>1262</v>
      </c>
      <c r="D2621">
        <v>1</v>
      </c>
      <c r="E2621" t="s">
        <v>300</v>
      </c>
      <c r="F2621">
        <v>9</v>
      </c>
      <c r="G2621">
        <v>2017</v>
      </c>
      <c r="I2621">
        <v>388.33000000000004</v>
      </c>
      <c r="J2621" t="s">
        <v>104</v>
      </c>
      <c r="K2621" t="s">
        <v>47</v>
      </c>
      <c r="O2621">
        <v>0</v>
      </c>
      <c r="P2621">
        <v>0</v>
      </c>
      <c r="Q2621">
        <v>0</v>
      </c>
      <c r="R2621">
        <v>0</v>
      </c>
      <c r="S2621">
        <v>1</v>
      </c>
      <c r="T2621">
        <v>1</v>
      </c>
      <c r="U2621">
        <v>1</v>
      </c>
      <c r="V2621">
        <v>0</v>
      </c>
      <c r="W2621" t="s">
        <v>1411</v>
      </c>
      <c r="AA2621">
        <v>2009</v>
      </c>
      <c r="AB2621">
        <v>9999</v>
      </c>
      <c r="AC2621" t="s">
        <v>1239</v>
      </c>
    </row>
    <row r="2622" spans="1:29" x14ac:dyDescent="0.25">
      <c r="A2622" s="31" t="s">
        <v>845</v>
      </c>
      <c r="B2622" s="23" t="s">
        <v>846</v>
      </c>
      <c r="C2622" t="s">
        <v>847</v>
      </c>
      <c r="D2622">
        <v>1</v>
      </c>
      <c r="E2622" t="s">
        <v>300</v>
      </c>
      <c r="F2622">
        <v>9</v>
      </c>
      <c r="G2622">
        <v>2017</v>
      </c>
      <c r="I2622">
        <v>551.77</v>
      </c>
      <c r="J2622" t="s">
        <v>104</v>
      </c>
      <c r="K2622" t="s">
        <v>47</v>
      </c>
      <c r="O2622">
        <v>0</v>
      </c>
      <c r="P2622">
        <v>0</v>
      </c>
      <c r="Q2622">
        <v>0</v>
      </c>
      <c r="R2622">
        <v>0</v>
      </c>
      <c r="S2622">
        <v>1</v>
      </c>
      <c r="T2622">
        <v>1</v>
      </c>
      <c r="U2622">
        <v>1</v>
      </c>
      <c r="V2622">
        <v>0</v>
      </c>
      <c r="W2622" t="s">
        <v>1517</v>
      </c>
      <c r="AA2622">
        <v>2007</v>
      </c>
      <c r="AB2622">
        <v>9999</v>
      </c>
      <c r="AC2622" t="s">
        <v>35</v>
      </c>
    </row>
    <row r="2623" spans="1:29" x14ac:dyDescent="0.25">
      <c r="A2623" s="31" t="s">
        <v>852</v>
      </c>
      <c r="B2623" s="23" t="s">
        <v>853</v>
      </c>
      <c r="D2623">
        <v>1</v>
      </c>
      <c r="E2623" t="s">
        <v>85</v>
      </c>
      <c r="F2623">
        <v>1</v>
      </c>
      <c r="G2623">
        <v>2017</v>
      </c>
      <c r="H2623" t="s">
        <v>837</v>
      </c>
      <c r="I2623">
        <v>0.01</v>
      </c>
      <c r="J2623" t="s">
        <v>52</v>
      </c>
      <c r="K2623" t="s">
        <v>41</v>
      </c>
      <c r="O2623">
        <v>0</v>
      </c>
      <c r="P2623">
        <v>0</v>
      </c>
      <c r="Q2623">
        <v>0</v>
      </c>
      <c r="R2623">
        <v>0</v>
      </c>
      <c r="S2623">
        <v>0</v>
      </c>
      <c r="T2623">
        <v>0</v>
      </c>
      <c r="U2623">
        <v>0</v>
      </c>
      <c r="V2623">
        <v>0</v>
      </c>
      <c r="W2623" t="s">
        <v>1191</v>
      </c>
      <c r="AA2623">
        <v>2007</v>
      </c>
      <c r="AB2623">
        <v>9999</v>
      </c>
      <c r="AC2623" t="s">
        <v>35</v>
      </c>
    </row>
    <row r="2624" spans="1:29" x14ac:dyDescent="0.25">
      <c r="A2624" s="31" t="s">
        <v>836</v>
      </c>
      <c r="B2624" s="23" t="s">
        <v>1413</v>
      </c>
      <c r="D2624">
        <v>1</v>
      </c>
      <c r="E2624" t="s">
        <v>64</v>
      </c>
      <c r="F2624">
        <v>1</v>
      </c>
      <c r="G2624">
        <v>2017</v>
      </c>
      <c r="I2624">
        <v>237.03</v>
      </c>
      <c r="J2624" t="s">
        <v>52</v>
      </c>
      <c r="K2624" t="s">
        <v>32</v>
      </c>
      <c r="O2624">
        <v>0</v>
      </c>
      <c r="P2624">
        <v>0</v>
      </c>
      <c r="Q2624">
        <v>0</v>
      </c>
      <c r="R2624">
        <v>0</v>
      </c>
      <c r="S2624">
        <v>1</v>
      </c>
      <c r="T2624">
        <v>1</v>
      </c>
      <c r="U2624">
        <v>1</v>
      </c>
      <c r="V2624">
        <v>0</v>
      </c>
      <c r="W2624" t="s">
        <v>1191</v>
      </c>
      <c r="AA2624">
        <v>2007</v>
      </c>
      <c r="AB2624">
        <v>9999</v>
      </c>
      <c r="AC2624" t="s">
        <v>35</v>
      </c>
    </row>
    <row r="2625" spans="1:29" x14ac:dyDescent="0.25">
      <c r="A2625" s="31" t="s">
        <v>862</v>
      </c>
      <c r="B2625" s="23" t="s">
        <v>863</v>
      </c>
      <c r="C2625" t="s">
        <v>864</v>
      </c>
      <c r="D2625">
        <v>1</v>
      </c>
      <c r="E2625" t="s">
        <v>442</v>
      </c>
      <c r="F2625">
        <v>4</v>
      </c>
      <c r="G2625">
        <v>2017</v>
      </c>
      <c r="I2625">
        <v>312.39999999999998</v>
      </c>
      <c r="J2625" t="s">
        <v>89</v>
      </c>
      <c r="K2625" t="s">
        <v>47</v>
      </c>
      <c r="O2625">
        <v>0</v>
      </c>
      <c r="P2625">
        <v>0</v>
      </c>
      <c r="Q2625">
        <v>0</v>
      </c>
      <c r="R2625">
        <v>0</v>
      </c>
      <c r="S2625">
        <v>1</v>
      </c>
      <c r="T2625">
        <v>1</v>
      </c>
      <c r="U2625">
        <v>1</v>
      </c>
      <c r="V2625">
        <v>0</v>
      </c>
      <c r="W2625" t="s">
        <v>1334</v>
      </c>
      <c r="AA2625">
        <v>2007</v>
      </c>
      <c r="AB2625">
        <v>9999</v>
      </c>
      <c r="AC2625" t="s">
        <v>35</v>
      </c>
    </row>
    <row r="2626" spans="1:29" x14ac:dyDescent="0.25">
      <c r="A2626" s="31" t="s">
        <v>866</v>
      </c>
      <c r="B2626" s="23" t="s">
        <v>867</v>
      </c>
      <c r="C2626" t="s">
        <v>868</v>
      </c>
      <c r="D2626">
        <v>1</v>
      </c>
      <c r="E2626" t="s">
        <v>869</v>
      </c>
      <c r="F2626">
        <v>4</v>
      </c>
      <c r="G2626">
        <v>2017</v>
      </c>
      <c r="I2626">
        <v>168.5</v>
      </c>
      <c r="J2626" t="s">
        <v>89</v>
      </c>
      <c r="K2626" t="s">
        <v>32</v>
      </c>
      <c r="O2626">
        <v>0</v>
      </c>
      <c r="P2626">
        <v>0</v>
      </c>
      <c r="Q2626">
        <v>0</v>
      </c>
      <c r="R2626">
        <v>0</v>
      </c>
      <c r="S2626">
        <v>1</v>
      </c>
      <c r="T2626">
        <v>1</v>
      </c>
      <c r="U2626">
        <v>1</v>
      </c>
      <c r="V2626">
        <v>0</v>
      </c>
      <c r="W2626" t="s">
        <v>1199</v>
      </c>
      <c r="AA2626">
        <v>2007</v>
      </c>
      <c r="AB2626">
        <v>9999</v>
      </c>
      <c r="AC2626" t="s">
        <v>35</v>
      </c>
    </row>
    <row r="2627" spans="1:29" x14ac:dyDescent="0.25">
      <c r="A2627" s="31" t="s">
        <v>1023</v>
      </c>
      <c r="B2627" s="23" t="s">
        <v>1200</v>
      </c>
      <c r="D2627">
        <v>1</v>
      </c>
      <c r="E2627" t="s">
        <v>85</v>
      </c>
      <c r="F2627">
        <v>1</v>
      </c>
      <c r="G2627">
        <v>2017</v>
      </c>
      <c r="H2627" t="s">
        <v>39</v>
      </c>
      <c r="I2627">
        <v>3.5</v>
      </c>
      <c r="J2627" t="s">
        <v>52</v>
      </c>
      <c r="K2627" t="s">
        <v>41</v>
      </c>
      <c r="O2627">
        <v>0</v>
      </c>
      <c r="P2627">
        <v>0</v>
      </c>
      <c r="Q2627">
        <v>0</v>
      </c>
      <c r="R2627">
        <v>0</v>
      </c>
      <c r="S2627">
        <v>0</v>
      </c>
      <c r="T2627">
        <v>0</v>
      </c>
      <c r="U2627">
        <v>0</v>
      </c>
      <c r="V2627">
        <v>0</v>
      </c>
      <c r="W2627" t="s">
        <v>1271</v>
      </c>
      <c r="AA2627">
        <v>2007</v>
      </c>
      <c r="AB2627">
        <v>9999</v>
      </c>
      <c r="AC2627" t="s">
        <v>35</v>
      </c>
    </row>
    <row r="2628" spans="1:29" x14ac:dyDescent="0.25">
      <c r="A2628" s="31" t="s">
        <v>871</v>
      </c>
      <c r="B2628" s="23" t="s">
        <v>872</v>
      </c>
      <c r="C2628" t="s">
        <v>873</v>
      </c>
      <c r="D2628">
        <v>1</v>
      </c>
      <c r="E2628" t="s">
        <v>874</v>
      </c>
      <c r="F2628">
        <v>1</v>
      </c>
      <c r="G2628">
        <v>2017</v>
      </c>
      <c r="I2628">
        <v>1180.8800000000001</v>
      </c>
      <c r="J2628" t="s">
        <v>52</v>
      </c>
      <c r="K2628" t="s">
        <v>47</v>
      </c>
      <c r="O2628">
        <v>0</v>
      </c>
      <c r="P2628">
        <v>0</v>
      </c>
      <c r="Q2628">
        <v>0</v>
      </c>
      <c r="R2628">
        <v>0</v>
      </c>
      <c r="S2628">
        <v>1</v>
      </c>
      <c r="T2628">
        <v>1</v>
      </c>
      <c r="U2628">
        <v>1</v>
      </c>
      <c r="V2628">
        <v>0</v>
      </c>
      <c r="W2628" t="s">
        <v>1528</v>
      </c>
      <c r="AA2628">
        <v>2007</v>
      </c>
      <c r="AB2628">
        <v>9999</v>
      </c>
      <c r="AC2628" t="s">
        <v>35</v>
      </c>
    </row>
    <row r="2629" spans="1:29" x14ac:dyDescent="0.25">
      <c r="A2629" s="31" t="s">
        <v>876</v>
      </c>
      <c r="B2629" s="23" t="s">
        <v>877</v>
      </c>
      <c r="C2629" t="s">
        <v>878</v>
      </c>
      <c r="D2629">
        <v>1</v>
      </c>
      <c r="E2629" t="s">
        <v>168</v>
      </c>
      <c r="F2629">
        <v>1</v>
      </c>
      <c r="G2629">
        <v>2017</v>
      </c>
      <c r="I2629">
        <v>68.8</v>
      </c>
      <c r="J2629" t="s">
        <v>52</v>
      </c>
      <c r="K2629" t="s">
        <v>47</v>
      </c>
      <c r="O2629">
        <v>0</v>
      </c>
      <c r="P2629">
        <v>0</v>
      </c>
      <c r="Q2629">
        <v>0</v>
      </c>
      <c r="R2629">
        <v>0</v>
      </c>
      <c r="S2629">
        <v>1</v>
      </c>
      <c r="T2629">
        <v>1</v>
      </c>
      <c r="U2629">
        <v>1</v>
      </c>
      <c r="V2629">
        <v>0</v>
      </c>
      <c r="W2629" t="s">
        <v>1202</v>
      </c>
      <c r="AA2629">
        <v>2007</v>
      </c>
      <c r="AB2629">
        <v>9999</v>
      </c>
      <c r="AC2629" t="s">
        <v>35</v>
      </c>
    </row>
    <row r="2630" spans="1:29" x14ac:dyDescent="0.25">
      <c r="A2630" s="31" t="s">
        <v>1468</v>
      </c>
      <c r="B2630" s="24" t="s">
        <v>1469</v>
      </c>
      <c r="D2630">
        <v>1</v>
      </c>
      <c r="E2630" s="4">
        <v>941</v>
      </c>
      <c r="F2630">
        <v>9</v>
      </c>
      <c r="G2630">
        <v>2017</v>
      </c>
      <c r="I2630">
        <v>195.12</v>
      </c>
      <c r="J2630" t="s">
        <v>104</v>
      </c>
      <c r="K2630" t="s">
        <v>53</v>
      </c>
      <c r="L2630" t="s">
        <v>105</v>
      </c>
      <c r="O2630">
        <v>0</v>
      </c>
      <c r="P2630">
        <v>1</v>
      </c>
      <c r="Q2630">
        <v>0</v>
      </c>
      <c r="R2630">
        <v>0</v>
      </c>
      <c r="S2630">
        <v>1</v>
      </c>
      <c r="T2630">
        <v>1</v>
      </c>
      <c r="U2630">
        <v>1</v>
      </c>
      <c r="V2630">
        <v>0</v>
      </c>
      <c r="W2630" t="s">
        <v>106</v>
      </c>
      <c r="AA2630">
        <v>2014</v>
      </c>
      <c r="AB2630">
        <v>9999</v>
      </c>
      <c r="AC2630" t="s">
        <v>1449</v>
      </c>
    </row>
    <row r="2631" spans="1:29" x14ac:dyDescent="0.25">
      <c r="A2631" s="31" t="s">
        <v>880</v>
      </c>
      <c r="B2631" s="23" t="s">
        <v>881</v>
      </c>
      <c r="C2631" t="s">
        <v>882</v>
      </c>
      <c r="D2631">
        <v>1</v>
      </c>
      <c r="E2631" t="s">
        <v>103</v>
      </c>
      <c r="F2631">
        <v>9</v>
      </c>
      <c r="G2631">
        <v>2017</v>
      </c>
      <c r="I2631">
        <v>4788.58</v>
      </c>
      <c r="J2631" t="s">
        <v>104</v>
      </c>
      <c r="K2631" t="s">
        <v>53</v>
      </c>
      <c r="L2631" t="s">
        <v>105</v>
      </c>
      <c r="O2631">
        <v>0</v>
      </c>
      <c r="P2631">
        <v>1</v>
      </c>
      <c r="Q2631">
        <v>0</v>
      </c>
      <c r="R2631">
        <v>0</v>
      </c>
      <c r="S2631">
        <v>1</v>
      </c>
      <c r="T2631">
        <v>1</v>
      </c>
      <c r="U2631">
        <v>1</v>
      </c>
      <c r="V2631">
        <v>0</v>
      </c>
      <c r="W2631" t="s">
        <v>106</v>
      </c>
      <c r="AA2631">
        <v>2007</v>
      </c>
      <c r="AB2631">
        <v>9999</v>
      </c>
      <c r="AC2631" t="s">
        <v>35</v>
      </c>
    </row>
    <row r="2632" spans="1:29" x14ac:dyDescent="0.25">
      <c r="A2632" s="31" t="s">
        <v>1272</v>
      </c>
      <c r="B2632" s="23" t="s">
        <v>1273</v>
      </c>
      <c r="D2632">
        <v>1</v>
      </c>
      <c r="E2632" t="s">
        <v>1274</v>
      </c>
      <c r="F2632">
        <v>4</v>
      </c>
      <c r="G2632">
        <v>2017</v>
      </c>
      <c r="I2632">
        <v>288.63</v>
      </c>
      <c r="J2632" t="s">
        <v>1471</v>
      </c>
      <c r="K2632" t="s">
        <v>47</v>
      </c>
      <c r="O2632">
        <v>0</v>
      </c>
      <c r="P2632">
        <v>0</v>
      </c>
      <c r="Q2632">
        <v>0</v>
      </c>
      <c r="R2632">
        <v>0</v>
      </c>
      <c r="S2632">
        <v>1</v>
      </c>
      <c r="T2632">
        <v>1</v>
      </c>
      <c r="U2632">
        <v>1</v>
      </c>
      <c r="V2632">
        <v>0</v>
      </c>
      <c r="W2632" t="s">
        <v>1275</v>
      </c>
      <c r="AA2632">
        <v>2009</v>
      </c>
      <c r="AB2632">
        <v>9999</v>
      </c>
      <c r="AC2632" t="s">
        <v>1239</v>
      </c>
    </row>
    <row r="2633" spans="1:29" x14ac:dyDescent="0.25">
      <c r="A2633" s="31" t="s">
        <v>883</v>
      </c>
      <c r="B2633" s="23" t="s">
        <v>884</v>
      </c>
      <c r="C2633" t="s">
        <v>885</v>
      </c>
      <c r="D2633">
        <v>1</v>
      </c>
      <c r="E2633" t="s">
        <v>45</v>
      </c>
      <c r="F2633">
        <v>4</v>
      </c>
      <c r="G2633">
        <v>2017</v>
      </c>
      <c r="I2633">
        <v>106.01</v>
      </c>
      <c r="J2633" t="s">
        <v>176</v>
      </c>
      <c r="K2633" t="s">
        <v>47</v>
      </c>
      <c r="O2633">
        <v>0</v>
      </c>
      <c r="P2633">
        <v>0</v>
      </c>
      <c r="Q2633">
        <v>0</v>
      </c>
      <c r="R2633">
        <v>0</v>
      </c>
      <c r="S2633">
        <v>1</v>
      </c>
      <c r="T2633">
        <v>1</v>
      </c>
      <c r="U2633">
        <v>1</v>
      </c>
      <c r="V2633">
        <v>0</v>
      </c>
      <c r="W2633" t="s">
        <v>1335</v>
      </c>
      <c r="AA2633">
        <v>2007</v>
      </c>
      <c r="AB2633">
        <v>9999</v>
      </c>
      <c r="AC2633" t="s">
        <v>35</v>
      </c>
    </row>
    <row r="2634" spans="1:29" x14ac:dyDescent="0.25">
      <c r="A2634" s="31" t="s">
        <v>887</v>
      </c>
      <c r="B2634" s="23" t="s">
        <v>888</v>
      </c>
      <c r="C2634" t="s">
        <v>889</v>
      </c>
      <c r="D2634">
        <v>1</v>
      </c>
      <c r="E2634" t="s">
        <v>335</v>
      </c>
      <c r="F2634">
        <v>1</v>
      </c>
      <c r="G2634">
        <v>2017</v>
      </c>
      <c r="I2634">
        <v>514.21</v>
      </c>
      <c r="J2634" t="s">
        <v>176</v>
      </c>
      <c r="K2634" t="s">
        <v>32</v>
      </c>
      <c r="O2634">
        <v>0</v>
      </c>
      <c r="P2634">
        <v>0</v>
      </c>
      <c r="Q2634">
        <v>0</v>
      </c>
      <c r="R2634">
        <v>0</v>
      </c>
      <c r="S2634">
        <v>1</v>
      </c>
      <c r="T2634">
        <v>1</v>
      </c>
      <c r="U2634">
        <v>1</v>
      </c>
      <c r="V2634">
        <v>0</v>
      </c>
      <c r="W2634" t="s">
        <v>1381</v>
      </c>
      <c r="AA2634">
        <v>2007</v>
      </c>
      <c r="AB2634">
        <v>9999</v>
      </c>
      <c r="AC2634" t="s">
        <v>35</v>
      </c>
    </row>
    <row r="2635" spans="1:29" x14ac:dyDescent="0.25">
      <c r="A2635" s="31" t="s">
        <v>894</v>
      </c>
      <c r="B2635" s="23" t="s">
        <v>895</v>
      </c>
      <c r="D2635">
        <v>1</v>
      </c>
      <c r="E2635" t="s">
        <v>38</v>
      </c>
      <c r="F2635">
        <v>4</v>
      </c>
      <c r="G2635">
        <v>2017</v>
      </c>
      <c r="H2635" t="s">
        <v>715</v>
      </c>
      <c r="I2635">
        <v>0.3</v>
      </c>
      <c r="J2635" s="2" t="s">
        <v>89</v>
      </c>
      <c r="K2635" t="s">
        <v>53</v>
      </c>
      <c r="L2635" t="s">
        <v>53</v>
      </c>
      <c r="O2635">
        <v>0</v>
      </c>
      <c r="P2635">
        <v>0</v>
      </c>
      <c r="Q2635">
        <v>0</v>
      </c>
      <c r="R2635">
        <v>0</v>
      </c>
      <c r="S2635">
        <v>0</v>
      </c>
      <c r="T2635">
        <v>0</v>
      </c>
      <c r="U2635">
        <v>0</v>
      </c>
      <c r="V2635">
        <v>0</v>
      </c>
      <c r="W2635" t="s">
        <v>897</v>
      </c>
      <c r="AA2635">
        <v>2007</v>
      </c>
      <c r="AB2635">
        <v>9999</v>
      </c>
      <c r="AC2635" t="s">
        <v>35</v>
      </c>
    </row>
    <row r="2636" spans="1:29" x14ac:dyDescent="0.25">
      <c r="A2636" s="31" t="s">
        <v>900</v>
      </c>
      <c r="B2636" s="23" t="s">
        <v>901</v>
      </c>
      <c r="D2636">
        <v>1</v>
      </c>
      <c r="E2636" t="s">
        <v>38</v>
      </c>
      <c r="F2636">
        <v>4</v>
      </c>
      <c r="G2636">
        <v>2017</v>
      </c>
      <c r="H2636" t="s">
        <v>596</v>
      </c>
      <c r="J2636" t="s">
        <v>89</v>
      </c>
      <c r="K2636" t="s">
        <v>53</v>
      </c>
      <c r="L2636" t="s">
        <v>902</v>
      </c>
      <c r="O2636">
        <v>0</v>
      </c>
      <c r="P2636">
        <v>0</v>
      </c>
      <c r="Q2636">
        <v>0</v>
      </c>
      <c r="R2636">
        <v>0</v>
      </c>
      <c r="S2636">
        <v>0</v>
      </c>
      <c r="T2636">
        <v>0</v>
      </c>
      <c r="U2636">
        <v>0</v>
      </c>
      <c r="V2636">
        <v>0</v>
      </c>
      <c r="W2636" t="s">
        <v>903</v>
      </c>
      <c r="AA2636">
        <v>2007</v>
      </c>
      <c r="AB2636">
        <v>9999</v>
      </c>
      <c r="AC2636" t="s">
        <v>35</v>
      </c>
    </row>
    <row r="2637" spans="1:29" x14ac:dyDescent="0.25">
      <c r="A2637" s="31" t="s">
        <v>904</v>
      </c>
      <c r="B2637" s="23" t="s">
        <v>1436</v>
      </c>
      <c r="D2637">
        <v>1</v>
      </c>
      <c r="E2637" t="s">
        <v>38</v>
      </c>
      <c r="F2637">
        <v>4</v>
      </c>
      <c r="G2637">
        <v>2017</v>
      </c>
      <c r="H2637" t="s">
        <v>906</v>
      </c>
      <c r="I2637">
        <v>0.5</v>
      </c>
      <c r="J2637" t="s">
        <v>59</v>
      </c>
      <c r="K2637" t="s">
        <v>53</v>
      </c>
      <c r="L2637" t="s">
        <v>902</v>
      </c>
      <c r="O2637">
        <v>0</v>
      </c>
      <c r="P2637">
        <v>0</v>
      </c>
      <c r="Q2637">
        <v>0</v>
      </c>
      <c r="R2637">
        <v>0</v>
      </c>
      <c r="S2637">
        <v>0</v>
      </c>
      <c r="T2637">
        <v>0</v>
      </c>
      <c r="U2637">
        <v>0</v>
      </c>
      <c r="V2637">
        <v>0</v>
      </c>
      <c r="W2637" t="s">
        <v>907</v>
      </c>
      <c r="AA2637">
        <v>2007</v>
      </c>
      <c r="AB2637">
        <v>9999</v>
      </c>
      <c r="AC2637" t="s">
        <v>35</v>
      </c>
    </row>
    <row r="2638" spans="1:29" x14ac:dyDescent="0.25">
      <c r="A2638" s="31" t="s">
        <v>908</v>
      </c>
      <c r="B2638" s="23" t="s">
        <v>909</v>
      </c>
      <c r="C2638" t="s">
        <v>910</v>
      </c>
      <c r="D2638">
        <v>1</v>
      </c>
      <c r="E2638" t="s">
        <v>911</v>
      </c>
      <c r="F2638">
        <v>1</v>
      </c>
      <c r="G2638">
        <v>2017</v>
      </c>
      <c r="I2638">
        <v>120.34</v>
      </c>
      <c r="J2638" t="s">
        <v>176</v>
      </c>
      <c r="K2638" t="s">
        <v>47</v>
      </c>
      <c r="O2638">
        <v>0</v>
      </c>
      <c r="P2638">
        <v>0</v>
      </c>
      <c r="Q2638">
        <v>0</v>
      </c>
      <c r="R2638">
        <v>0</v>
      </c>
      <c r="S2638">
        <v>1</v>
      </c>
      <c r="T2638">
        <v>1</v>
      </c>
      <c r="U2638">
        <v>1</v>
      </c>
      <c r="V2638">
        <v>0</v>
      </c>
      <c r="W2638" t="s">
        <v>1518</v>
      </c>
      <c r="AA2638">
        <v>2007</v>
      </c>
      <c r="AB2638">
        <v>9999</v>
      </c>
      <c r="AC2638" t="s">
        <v>35</v>
      </c>
    </row>
    <row r="2639" spans="1:29" x14ac:dyDescent="0.25">
      <c r="A2639" s="31" t="s">
        <v>913</v>
      </c>
      <c r="B2639" s="23" t="s">
        <v>914</v>
      </c>
      <c r="C2639" t="s">
        <v>915</v>
      </c>
      <c r="D2639">
        <v>1</v>
      </c>
      <c r="E2639" t="s">
        <v>911</v>
      </c>
      <c r="F2639">
        <v>1</v>
      </c>
      <c r="G2639">
        <v>2017</v>
      </c>
      <c r="I2639">
        <v>10.82</v>
      </c>
      <c r="J2639" t="s">
        <v>268</v>
      </c>
      <c r="K2639" t="s">
        <v>47</v>
      </c>
      <c r="O2639">
        <v>0</v>
      </c>
      <c r="P2639">
        <v>0</v>
      </c>
      <c r="Q2639">
        <v>0</v>
      </c>
      <c r="R2639">
        <v>0</v>
      </c>
      <c r="S2639">
        <v>1</v>
      </c>
      <c r="T2639">
        <v>1</v>
      </c>
      <c r="U2639">
        <v>1</v>
      </c>
      <c r="V2639">
        <v>0</v>
      </c>
      <c r="W2639" t="s">
        <v>1276</v>
      </c>
      <c r="AA2639">
        <v>2007</v>
      </c>
      <c r="AB2639">
        <v>9999</v>
      </c>
      <c r="AC2639" t="s">
        <v>35</v>
      </c>
    </row>
    <row r="2640" spans="1:29" x14ac:dyDescent="0.25">
      <c r="A2640" s="31" t="s">
        <v>1529</v>
      </c>
      <c r="B2640" s="23" t="s">
        <v>1530</v>
      </c>
      <c r="D2640">
        <v>1</v>
      </c>
      <c r="F2640">
        <v>8</v>
      </c>
      <c r="G2640">
        <v>2017</v>
      </c>
      <c r="J2640" t="s">
        <v>81</v>
      </c>
      <c r="K2640" t="s">
        <v>32</v>
      </c>
      <c r="O2640">
        <v>0</v>
      </c>
      <c r="P2640">
        <v>0</v>
      </c>
      <c r="Q2640">
        <v>0</v>
      </c>
      <c r="R2640">
        <v>0</v>
      </c>
      <c r="S2640">
        <v>0</v>
      </c>
      <c r="T2640">
        <v>0</v>
      </c>
      <c r="U2640">
        <v>1</v>
      </c>
      <c r="V2640">
        <v>0</v>
      </c>
      <c r="W2640" t="s">
        <v>1531</v>
      </c>
      <c r="AA2640">
        <v>2017</v>
      </c>
      <c r="AB2640">
        <v>9999</v>
      </c>
      <c r="AC2640" t="s">
        <v>1532</v>
      </c>
    </row>
    <row r="2641" spans="1:29" x14ac:dyDescent="0.25">
      <c r="A2641" s="31" t="s">
        <v>97</v>
      </c>
      <c r="B2641" s="23" t="s">
        <v>99</v>
      </c>
      <c r="C2641" t="s">
        <v>923</v>
      </c>
      <c r="D2641">
        <v>1</v>
      </c>
      <c r="E2641" t="s">
        <v>45</v>
      </c>
      <c r="F2641">
        <v>4</v>
      </c>
      <c r="G2641">
        <v>2017</v>
      </c>
      <c r="I2641">
        <v>223.1</v>
      </c>
      <c r="J2641" t="s">
        <v>89</v>
      </c>
      <c r="K2641" t="s">
        <v>47</v>
      </c>
      <c r="O2641">
        <v>0</v>
      </c>
      <c r="P2641">
        <v>0</v>
      </c>
      <c r="Q2641">
        <v>0</v>
      </c>
      <c r="R2641">
        <v>0</v>
      </c>
      <c r="S2641">
        <v>1</v>
      </c>
      <c r="T2641">
        <v>1</v>
      </c>
      <c r="U2641">
        <v>1</v>
      </c>
      <c r="V2641">
        <v>0</v>
      </c>
      <c r="W2641" t="s">
        <v>1277</v>
      </c>
      <c r="AA2641">
        <v>2007</v>
      </c>
      <c r="AB2641">
        <v>9999</v>
      </c>
      <c r="AC2641" t="s">
        <v>35</v>
      </c>
    </row>
    <row r="2642" spans="1:29" x14ac:dyDescent="0.25">
      <c r="A2642" s="31" t="s">
        <v>925</v>
      </c>
      <c r="B2642" s="23" t="s">
        <v>926</v>
      </c>
      <c r="C2642" t="s">
        <v>927</v>
      </c>
      <c r="D2642">
        <v>1</v>
      </c>
      <c r="E2642" t="s">
        <v>103</v>
      </c>
      <c r="F2642">
        <v>9</v>
      </c>
      <c r="G2642">
        <v>2017</v>
      </c>
      <c r="I2642">
        <v>2757.47</v>
      </c>
      <c r="J2642" t="s">
        <v>89</v>
      </c>
      <c r="K2642" t="s">
        <v>53</v>
      </c>
      <c r="L2642" t="s">
        <v>105</v>
      </c>
      <c r="O2642">
        <v>0</v>
      </c>
      <c r="P2642">
        <v>1</v>
      </c>
      <c r="Q2642">
        <v>0</v>
      </c>
      <c r="R2642">
        <v>0</v>
      </c>
      <c r="S2642">
        <v>1</v>
      </c>
      <c r="T2642">
        <v>1</v>
      </c>
      <c r="U2642">
        <v>1</v>
      </c>
      <c r="V2642">
        <v>0</v>
      </c>
      <c r="W2642" t="s">
        <v>928</v>
      </c>
      <c r="AA2642">
        <v>2007</v>
      </c>
      <c r="AB2642">
        <v>9999</v>
      </c>
      <c r="AC2642" t="s">
        <v>35</v>
      </c>
    </row>
    <row r="2643" spans="1:29" x14ac:dyDescent="0.25">
      <c r="A2643" s="31" t="s">
        <v>929</v>
      </c>
      <c r="B2643" s="23" t="s">
        <v>930</v>
      </c>
      <c r="C2643" t="s">
        <v>931</v>
      </c>
      <c r="D2643">
        <v>1</v>
      </c>
      <c r="E2643" t="s">
        <v>45</v>
      </c>
      <c r="F2643">
        <v>4</v>
      </c>
      <c r="G2643">
        <v>2017</v>
      </c>
      <c r="I2643">
        <v>600.91999999999996</v>
      </c>
      <c r="J2643" t="s">
        <v>1471</v>
      </c>
      <c r="K2643" t="s">
        <v>47</v>
      </c>
      <c r="O2643">
        <v>0</v>
      </c>
      <c r="P2643">
        <v>0</v>
      </c>
      <c r="Q2643">
        <v>0</v>
      </c>
      <c r="R2643">
        <v>0</v>
      </c>
      <c r="S2643">
        <v>1</v>
      </c>
      <c r="T2643">
        <v>1</v>
      </c>
      <c r="U2643">
        <v>1</v>
      </c>
      <c r="V2643">
        <v>0</v>
      </c>
      <c r="W2643" t="s">
        <v>1336</v>
      </c>
      <c r="AA2643">
        <v>2007</v>
      </c>
      <c r="AB2643">
        <v>9999</v>
      </c>
      <c r="AC2643" t="s">
        <v>35</v>
      </c>
    </row>
    <row r="2644" spans="1:29" x14ac:dyDescent="0.25">
      <c r="A2644" s="31" t="s">
        <v>1212</v>
      </c>
      <c r="B2644" s="23" t="s">
        <v>1213</v>
      </c>
      <c r="D2644">
        <v>1</v>
      </c>
      <c r="E2644" t="s">
        <v>681</v>
      </c>
      <c r="F2644">
        <v>3</v>
      </c>
      <c r="G2644">
        <v>2017</v>
      </c>
      <c r="I2644">
        <v>12.05</v>
      </c>
      <c r="J2644" t="s">
        <v>121</v>
      </c>
      <c r="K2644" t="s">
        <v>41</v>
      </c>
      <c r="O2644">
        <v>0</v>
      </c>
      <c r="P2644">
        <v>0</v>
      </c>
      <c r="Q2644">
        <v>0</v>
      </c>
      <c r="R2644">
        <v>0</v>
      </c>
      <c r="S2644">
        <v>0</v>
      </c>
      <c r="T2644">
        <v>1</v>
      </c>
      <c r="U2644">
        <v>1</v>
      </c>
      <c r="V2644">
        <v>0</v>
      </c>
      <c r="W2644" t="s">
        <v>1278</v>
      </c>
      <c r="AA2644">
        <v>2008</v>
      </c>
      <c r="AB2644">
        <v>9999</v>
      </c>
      <c r="AC2644" t="s">
        <v>1054</v>
      </c>
    </row>
    <row r="2645" spans="1:29" x14ac:dyDescent="0.25">
      <c r="A2645" s="31" t="s">
        <v>933</v>
      </c>
      <c r="B2645" s="23" t="s">
        <v>934</v>
      </c>
      <c r="C2645" t="s">
        <v>935</v>
      </c>
      <c r="D2645">
        <v>1</v>
      </c>
      <c r="E2645" t="s">
        <v>681</v>
      </c>
      <c r="F2645">
        <v>3</v>
      </c>
      <c r="G2645">
        <v>2017</v>
      </c>
      <c r="J2645" t="s">
        <v>121</v>
      </c>
      <c r="K2645" t="s">
        <v>47</v>
      </c>
      <c r="O2645">
        <v>0</v>
      </c>
      <c r="P2645">
        <v>0</v>
      </c>
      <c r="Q2645">
        <v>0</v>
      </c>
      <c r="R2645">
        <v>0</v>
      </c>
      <c r="S2645">
        <v>1</v>
      </c>
      <c r="T2645">
        <v>1</v>
      </c>
      <c r="U2645">
        <v>1</v>
      </c>
      <c r="V2645">
        <v>0</v>
      </c>
      <c r="W2645" t="s">
        <v>1508</v>
      </c>
      <c r="AA2645">
        <v>2007</v>
      </c>
      <c r="AB2645">
        <v>9999</v>
      </c>
      <c r="AC2645" t="s">
        <v>35</v>
      </c>
    </row>
    <row r="2646" spans="1:29" x14ac:dyDescent="0.25">
      <c r="A2646" s="31" t="s">
        <v>937</v>
      </c>
      <c r="B2646" s="23" t="s">
        <v>938</v>
      </c>
      <c r="D2646">
        <v>1</v>
      </c>
      <c r="E2646" t="s">
        <v>103</v>
      </c>
      <c r="F2646">
        <v>9</v>
      </c>
      <c r="G2646">
        <v>2017</v>
      </c>
      <c r="I2646">
        <v>703.53</v>
      </c>
      <c r="J2646" t="s">
        <v>104</v>
      </c>
      <c r="K2646" t="s">
        <v>53</v>
      </c>
      <c r="L2646" t="s">
        <v>105</v>
      </c>
      <c r="O2646">
        <v>0</v>
      </c>
      <c r="P2646">
        <v>1</v>
      </c>
      <c r="Q2646">
        <v>0</v>
      </c>
      <c r="R2646">
        <v>0</v>
      </c>
      <c r="S2646">
        <v>1</v>
      </c>
      <c r="T2646">
        <v>1</v>
      </c>
      <c r="U2646">
        <v>1</v>
      </c>
      <c r="V2646">
        <v>0</v>
      </c>
      <c r="W2646" t="s">
        <v>106</v>
      </c>
      <c r="AA2646">
        <v>2007</v>
      </c>
      <c r="AB2646">
        <v>9999</v>
      </c>
      <c r="AC2646" t="s">
        <v>35</v>
      </c>
    </row>
    <row r="2647" spans="1:29" x14ac:dyDescent="0.25">
      <c r="A2647" s="31" t="s">
        <v>462</v>
      </c>
      <c r="B2647" s="23" t="s">
        <v>1414</v>
      </c>
      <c r="C2647" t="s">
        <v>1280</v>
      </c>
      <c r="D2647">
        <v>1</v>
      </c>
      <c r="E2647" t="s">
        <v>468</v>
      </c>
      <c r="F2647">
        <v>7</v>
      </c>
      <c r="G2647">
        <v>2017</v>
      </c>
      <c r="I2647">
        <v>109.85</v>
      </c>
      <c r="J2647" t="s">
        <v>40</v>
      </c>
      <c r="K2647" t="s">
        <v>47</v>
      </c>
      <c r="O2647">
        <v>0</v>
      </c>
      <c r="P2647">
        <v>0</v>
      </c>
      <c r="Q2647">
        <v>0</v>
      </c>
      <c r="R2647">
        <v>0</v>
      </c>
      <c r="S2647">
        <v>1</v>
      </c>
      <c r="T2647">
        <v>1</v>
      </c>
      <c r="U2647">
        <v>1</v>
      </c>
      <c r="V2647">
        <v>0</v>
      </c>
      <c r="W2647" t="s">
        <v>1118</v>
      </c>
      <c r="AA2647">
        <v>2007</v>
      </c>
      <c r="AB2647">
        <v>9999</v>
      </c>
      <c r="AC2647" t="s">
        <v>35</v>
      </c>
    </row>
    <row r="2648" spans="1:29" x14ac:dyDescent="0.25">
      <c r="A2648" s="31" t="s">
        <v>1337</v>
      </c>
      <c r="B2648" s="23" t="s">
        <v>1315</v>
      </c>
      <c r="D2648">
        <v>1</v>
      </c>
      <c r="E2648" t="s">
        <v>45</v>
      </c>
      <c r="F2648">
        <v>4</v>
      </c>
      <c r="G2648">
        <v>2017</v>
      </c>
      <c r="I2648">
        <v>373.28</v>
      </c>
      <c r="J2648" t="s">
        <v>89</v>
      </c>
      <c r="K2648" t="s">
        <v>32</v>
      </c>
      <c r="O2648">
        <v>0</v>
      </c>
      <c r="P2648">
        <v>0</v>
      </c>
      <c r="Q2648">
        <v>0</v>
      </c>
      <c r="R2648">
        <v>0</v>
      </c>
      <c r="S2648">
        <v>1</v>
      </c>
      <c r="T2648">
        <v>1</v>
      </c>
      <c r="U2648">
        <v>1</v>
      </c>
      <c r="V2648">
        <v>0</v>
      </c>
      <c r="W2648" t="s">
        <v>1338</v>
      </c>
      <c r="AA2648">
        <v>2010</v>
      </c>
      <c r="AB2648">
        <v>9999</v>
      </c>
      <c r="AC2648" t="s">
        <v>1292</v>
      </c>
    </row>
    <row r="2649" spans="1:29" x14ac:dyDescent="0.25">
      <c r="A2649" s="31" t="s">
        <v>1509</v>
      </c>
      <c r="B2649" s="23" t="s">
        <v>946</v>
      </c>
      <c r="D2649">
        <v>48</v>
      </c>
      <c r="E2649" t="s">
        <v>155</v>
      </c>
      <c r="F2649">
        <v>3</v>
      </c>
      <c r="G2649">
        <v>2017</v>
      </c>
      <c r="I2649">
        <v>2834.6893930776905</v>
      </c>
      <c r="J2649" t="s">
        <v>121</v>
      </c>
      <c r="K2649" t="s">
        <v>53</v>
      </c>
      <c r="L2649" t="s">
        <v>60</v>
      </c>
      <c r="O2649">
        <v>1</v>
      </c>
      <c r="P2649">
        <v>0</v>
      </c>
      <c r="Q2649">
        <v>0</v>
      </c>
      <c r="R2649">
        <v>0</v>
      </c>
      <c r="S2649">
        <v>1</v>
      </c>
      <c r="T2649">
        <v>0</v>
      </c>
      <c r="U2649">
        <v>0</v>
      </c>
      <c r="V2649">
        <v>1</v>
      </c>
      <c r="W2649" t="s">
        <v>947</v>
      </c>
      <c r="AA2649">
        <v>2007</v>
      </c>
      <c r="AB2649">
        <v>9999</v>
      </c>
      <c r="AC2649" t="s">
        <v>35</v>
      </c>
    </row>
    <row r="2650" spans="1:29" x14ac:dyDescent="0.25">
      <c r="A2650" s="31" t="s">
        <v>950</v>
      </c>
      <c r="B2650" s="23" t="s">
        <v>951</v>
      </c>
      <c r="C2650" t="s">
        <v>952</v>
      </c>
      <c r="D2650">
        <v>1</v>
      </c>
      <c r="E2650" t="s">
        <v>218</v>
      </c>
      <c r="F2650">
        <v>2</v>
      </c>
      <c r="G2650">
        <v>2017</v>
      </c>
      <c r="I2650">
        <v>789.18</v>
      </c>
      <c r="J2650" t="s">
        <v>147</v>
      </c>
      <c r="K2650" t="s">
        <v>32</v>
      </c>
      <c r="O2650">
        <v>0</v>
      </c>
      <c r="P2650">
        <v>0</v>
      </c>
      <c r="Q2650">
        <v>0</v>
      </c>
      <c r="R2650">
        <v>0</v>
      </c>
      <c r="S2650">
        <v>1</v>
      </c>
      <c r="T2650">
        <v>1</v>
      </c>
      <c r="U2650">
        <v>1</v>
      </c>
      <c r="V2650">
        <v>0</v>
      </c>
      <c r="W2650" t="s">
        <v>1216</v>
      </c>
      <c r="AA2650">
        <v>2007</v>
      </c>
      <c r="AB2650">
        <v>9999</v>
      </c>
      <c r="AC2650" t="s">
        <v>35</v>
      </c>
    </row>
    <row r="2651" spans="1:29" x14ac:dyDescent="0.25">
      <c r="A2651" s="31" t="s">
        <v>954</v>
      </c>
      <c r="B2651" s="23" t="s">
        <v>1383</v>
      </c>
      <c r="C2651" t="s">
        <v>956</v>
      </c>
      <c r="D2651">
        <v>1</v>
      </c>
      <c r="E2651" t="s">
        <v>218</v>
      </c>
      <c r="F2651">
        <v>2</v>
      </c>
      <c r="G2651">
        <v>2017</v>
      </c>
      <c r="I2651">
        <v>125.68</v>
      </c>
      <c r="J2651" t="s">
        <v>147</v>
      </c>
      <c r="K2651" t="s">
        <v>47</v>
      </c>
      <c r="O2651">
        <v>0</v>
      </c>
      <c r="P2651">
        <v>0</v>
      </c>
      <c r="Q2651">
        <v>0</v>
      </c>
      <c r="R2651">
        <v>0</v>
      </c>
      <c r="S2651">
        <v>1</v>
      </c>
      <c r="T2651">
        <v>1</v>
      </c>
      <c r="U2651">
        <v>1</v>
      </c>
      <c r="V2651">
        <v>0</v>
      </c>
      <c r="W2651" t="s">
        <v>1384</v>
      </c>
      <c r="AA2651">
        <v>2007</v>
      </c>
      <c r="AB2651">
        <v>9999</v>
      </c>
      <c r="AC2651" t="s">
        <v>35</v>
      </c>
    </row>
    <row r="2652" spans="1:29" x14ac:dyDescent="0.25">
      <c r="A2652" s="31" t="s">
        <v>1385</v>
      </c>
      <c r="B2652" s="23" t="s">
        <v>1386</v>
      </c>
      <c r="D2652">
        <v>1</v>
      </c>
      <c r="E2652" t="s">
        <v>874</v>
      </c>
      <c r="F2652">
        <v>1</v>
      </c>
      <c r="G2652">
        <v>2017</v>
      </c>
      <c r="I2652">
        <v>33</v>
      </c>
      <c r="J2652" t="s">
        <v>89</v>
      </c>
      <c r="K2652" t="s">
        <v>47</v>
      </c>
      <c r="O2652">
        <v>0</v>
      </c>
      <c r="P2652">
        <v>0</v>
      </c>
      <c r="Q2652">
        <v>0</v>
      </c>
      <c r="R2652">
        <v>0</v>
      </c>
      <c r="S2652">
        <v>1</v>
      </c>
      <c r="T2652">
        <v>1</v>
      </c>
      <c r="U2652">
        <v>1</v>
      </c>
      <c r="V2652">
        <v>0</v>
      </c>
      <c r="W2652" t="s">
        <v>1387</v>
      </c>
      <c r="AA2652">
        <v>2011</v>
      </c>
      <c r="AB2652">
        <v>9999</v>
      </c>
      <c r="AC2652" t="s">
        <v>1365</v>
      </c>
    </row>
    <row r="2653" spans="1:29" x14ac:dyDescent="0.25">
      <c r="A2653" s="31" t="s">
        <v>1388</v>
      </c>
      <c r="B2653" s="23" t="s">
        <v>1389</v>
      </c>
      <c r="D2653">
        <v>1</v>
      </c>
      <c r="E2653" t="s">
        <v>1390</v>
      </c>
      <c r="F2653">
        <v>4</v>
      </c>
      <c r="G2653">
        <v>2017</v>
      </c>
      <c r="I2653">
        <v>6786.41</v>
      </c>
      <c r="J2653" t="s">
        <v>89</v>
      </c>
      <c r="K2653" t="s">
        <v>32</v>
      </c>
      <c r="O2653">
        <v>0</v>
      </c>
      <c r="P2653">
        <v>0</v>
      </c>
      <c r="Q2653">
        <v>0</v>
      </c>
      <c r="R2653">
        <v>0</v>
      </c>
      <c r="S2653">
        <v>1</v>
      </c>
      <c r="T2653">
        <v>1</v>
      </c>
      <c r="U2653">
        <v>1</v>
      </c>
      <c r="V2653">
        <v>0</v>
      </c>
      <c r="W2653" t="s">
        <v>1391</v>
      </c>
      <c r="AA2653">
        <v>2011</v>
      </c>
      <c r="AB2653">
        <v>9999</v>
      </c>
      <c r="AC2653" t="s">
        <v>1365</v>
      </c>
    </row>
    <row r="2654" spans="1:29" x14ac:dyDescent="0.25">
      <c r="A2654" s="31" t="s">
        <v>1281</v>
      </c>
      <c r="B2654" s="23" t="s">
        <v>1282</v>
      </c>
      <c r="D2654">
        <v>1</v>
      </c>
      <c r="E2654" t="s">
        <v>625</v>
      </c>
      <c r="F2654">
        <v>4</v>
      </c>
      <c r="G2654">
        <v>2017</v>
      </c>
      <c r="I2654">
        <v>1770.49</v>
      </c>
      <c r="J2654" t="s">
        <v>89</v>
      </c>
      <c r="K2654" t="s">
        <v>32</v>
      </c>
      <c r="O2654">
        <v>0</v>
      </c>
      <c r="P2654">
        <v>0</v>
      </c>
      <c r="Q2654">
        <v>0</v>
      </c>
      <c r="R2654">
        <v>0</v>
      </c>
      <c r="S2654">
        <v>1</v>
      </c>
      <c r="T2654">
        <v>1</v>
      </c>
      <c r="U2654">
        <v>1</v>
      </c>
      <c r="V2654">
        <v>0</v>
      </c>
      <c r="W2654" t="s">
        <v>1283</v>
      </c>
      <c r="AA2654">
        <v>2009</v>
      </c>
      <c r="AB2654">
        <v>9999</v>
      </c>
      <c r="AC2654" t="s">
        <v>1239</v>
      </c>
    </row>
    <row r="2655" spans="1:29" x14ac:dyDescent="0.25">
      <c r="A2655" s="31" t="s">
        <v>958</v>
      </c>
      <c r="B2655" s="25" t="s">
        <v>959</v>
      </c>
      <c r="D2655">
        <v>1</v>
      </c>
      <c r="E2655" t="s">
        <v>51</v>
      </c>
      <c r="F2655">
        <v>1</v>
      </c>
      <c r="G2655">
        <v>2017</v>
      </c>
      <c r="I2655">
        <v>55</v>
      </c>
      <c r="J2655" t="s">
        <v>52</v>
      </c>
      <c r="K2655" t="s">
        <v>53</v>
      </c>
      <c r="L2655" t="s">
        <v>54</v>
      </c>
      <c r="O2655">
        <v>0</v>
      </c>
      <c r="P2655">
        <v>0</v>
      </c>
      <c r="Q2655">
        <v>1</v>
      </c>
      <c r="R2655">
        <v>0</v>
      </c>
      <c r="S2655">
        <v>0</v>
      </c>
      <c r="T2655">
        <v>0</v>
      </c>
      <c r="U2655">
        <v>1</v>
      </c>
      <c r="V2655">
        <v>0</v>
      </c>
      <c r="W2655" t="s">
        <v>55</v>
      </c>
      <c r="AA2655">
        <v>2007</v>
      </c>
      <c r="AB2655">
        <v>9999</v>
      </c>
      <c r="AC2655" t="s">
        <v>35</v>
      </c>
    </row>
    <row r="2656" spans="1:29" x14ac:dyDescent="0.25">
      <c r="A2656" s="31" t="s">
        <v>960</v>
      </c>
      <c r="B2656" s="23" t="s">
        <v>961</v>
      </c>
      <c r="D2656">
        <v>1</v>
      </c>
      <c r="E2656" t="s">
        <v>168</v>
      </c>
      <c r="F2656">
        <v>1</v>
      </c>
      <c r="G2656">
        <v>2017</v>
      </c>
      <c r="I2656">
        <v>1875.05</v>
      </c>
      <c r="J2656" t="s">
        <v>52</v>
      </c>
      <c r="K2656" t="s">
        <v>47</v>
      </c>
      <c r="O2656">
        <v>0</v>
      </c>
      <c r="P2656">
        <v>0</v>
      </c>
      <c r="Q2656">
        <v>0</v>
      </c>
      <c r="R2656">
        <v>0</v>
      </c>
      <c r="S2656">
        <v>1</v>
      </c>
      <c r="T2656">
        <v>1</v>
      </c>
      <c r="U2656">
        <v>1</v>
      </c>
      <c r="V2656">
        <v>0</v>
      </c>
      <c r="W2656" t="s">
        <v>1533</v>
      </c>
      <c r="AA2656">
        <v>2007</v>
      </c>
      <c r="AB2656">
        <v>9999</v>
      </c>
      <c r="AC2656" t="s">
        <v>35</v>
      </c>
    </row>
    <row r="2657" spans="1:29" x14ac:dyDescent="0.25">
      <c r="A2657" s="31" t="s">
        <v>963</v>
      </c>
      <c r="B2657" s="23" t="s">
        <v>658</v>
      </c>
      <c r="D2657">
        <v>1</v>
      </c>
      <c r="E2657" t="s">
        <v>103</v>
      </c>
      <c r="F2657">
        <v>9</v>
      </c>
      <c r="G2657">
        <v>2017</v>
      </c>
      <c r="I2657">
        <v>3633.5</v>
      </c>
      <c r="J2657" t="s">
        <v>104</v>
      </c>
      <c r="K2657" t="s">
        <v>53</v>
      </c>
      <c r="L2657" t="s">
        <v>105</v>
      </c>
      <c r="O2657">
        <v>0</v>
      </c>
      <c r="P2657">
        <v>1</v>
      </c>
      <c r="Q2657">
        <v>0</v>
      </c>
      <c r="R2657">
        <v>0</v>
      </c>
      <c r="S2657">
        <v>1</v>
      </c>
      <c r="T2657">
        <v>1</v>
      </c>
      <c r="U2657">
        <v>1</v>
      </c>
      <c r="V2657">
        <v>0</v>
      </c>
      <c r="W2657" t="s">
        <v>106</v>
      </c>
      <c r="AA2657">
        <v>2007</v>
      </c>
      <c r="AB2657">
        <v>9999</v>
      </c>
      <c r="AC2657" t="s">
        <v>35</v>
      </c>
    </row>
    <row r="2658" spans="1:29" x14ac:dyDescent="0.25">
      <c r="A2658" s="31" t="s">
        <v>1437</v>
      </c>
      <c r="B2658" s="23" t="s">
        <v>1438</v>
      </c>
      <c r="C2658" t="s">
        <v>1439</v>
      </c>
      <c r="D2658">
        <v>1</v>
      </c>
      <c r="E2658" t="s">
        <v>103</v>
      </c>
      <c r="F2658">
        <v>9</v>
      </c>
      <c r="G2658">
        <v>2017</v>
      </c>
      <c r="I2658">
        <v>270.20999999999998</v>
      </c>
      <c r="J2658" t="s">
        <v>104</v>
      </c>
      <c r="K2658" t="s">
        <v>32</v>
      </c>
      <c r="O2658">
        <v>0</v>
      </c>
      <c r="P2658">
        <v>0</v>
      </c>
      <c r="Q2658">
        <v>0</v>
      </c>
      <c r="R2658">
        <v>0</v>
      </c>
      <c r="S2658">
        <v>1</v>
      </c>
      <c r="T2658">
        <v>1</v>
      </c>
      <c r="U2658">
        <v>1</v>
      </c>
      <c r="V2658">
        <v>0</v>
      </c>
      <c r="W2658" t="s">
        <v>1440</v>
      </c>
      <c r="AA2658">
        <v>2013</v>
      </c>
      <c r="AB2658">
        <v>9999</v>
      </c>
      <c r="AC2658" t="s">
        <v>1419</v>
      </c>
    </row>
    <row r="2659" spans="1:29" x14ac:dyDescent="0.25">
      <c r="A2659" s="31" t="s">
        <v>1441</v>
      </c>
      <c r="B2659" s="23" t="s">
        <v>1442</v>
      </c>
      <c r="C2659" t="s">
        <v>1443</v>
      </c>
      <c r="D2659">
        <v>1</v>
      </c>
      <c r="E2659" t="s">
        <v>103</v>
      </c>
      <c r="F2659">
        <v>9</v>
      </c>
      <c r="G2659">
        <v>2017</v>
      </c>
      <c r="I2659">
        <v>77.38000000000001</v>
      </c>
      <c r="J2659" t="s">
        <v>104</v>
      </c>
      <c r="K2659" t="s">
        <v>47</v>
      </c>
      <c r="O2659">
        <v>0</v>
      </c>
      <c r="P2659">
        <v>0</v>
      </c>
      <c r="Q2659">
        <v>0</v>
      </c>
      <c r="R2659">
        <v>0</v>
      </c>
      <c r="S2659">
        <v>1</v>
      </c>
      <c r="T2659">
        <v>1</v>
      </c>
      <c r="U2659">
        <v>1</v>
      </c>
      <c r="V2659">
        <v>0</v>
      </c>
      <c r="W2659" t="s">
        <v>1444</v>
      </c>
      <c r="AA2659">
        <v>2013</v>
      </c>
      <c r="AB2659">
        <v>9999</v>
      </c>
      <c r="AC2659" t="s">
        <v>1419</v>
      </c>
    </row>
    <row r="2660" spans="1:29" x14ac:dyDescent="0.25">
      <c r="A2660" s="31" t="s">
        <v>1510</v>
      </c>
      <c r="B2660" s="23" t="s">
        <v>1511</v>
      </c>
      <c r="D2660">
        <v>1</v>
      </c>
      <c r="E2660" s="4">
        <v>411</v>
      </c>
      <c r="F2660">
        <v>4</v>
      </c>
      <c r="G2660">
        <v>2017</v>
      </c>
      <c r="I2660">
        <v>56</v>
      </c>
      <c r="J2660" t="s">
        <v>52</v>
      </c>
      <c r="K2660" t="s">
        <v>47</v>
      </c>
      <c r="O2660">
        <v>0</v>
      </c>
      <c r="P2660">
        <v>0</v>
      </c>
      <c r="Q2660">
        <v>0</v>
      </c>
      <c r="R2660">
        <v>0</v>
      </c>
      <c r="S2660">
        <v>1</v>
      </c>
      <c r="T2660">
        <v>1</v>
      </c>
      <c r="U2660">
        <v>1</v>
      </c>
      <c r="V2660">
        <v>0</v>
      </c>
      <c r="W2660" t="s">
        <v>1512</v>
      </c>
      <c r="AA2660">
        <v>2015</v>
      </c>
      <c r="AB2660">
        <v>9999</v>
      </c>
      <c r="AC2660" t="s">
        <v>1475</v>
      </c>
    </row>
    <row r="2661" spans="1:29" x14ac:dyDescent="0.25">
      <c r="A2661" s="31" t="s">
        <v>967</v>
      </c>
      <c r="B2661" s="23" t="s">
        <v>661</v>
      </c>
      <c r="D2661">
        <v>1</v>
      </c>
      <c r="E2661" t="s">
        <v>103</v>
      </c>
      <c r="F2661">
        <v>9</v>
      </c>
      <c r="G2661">
        <v>2017</v>
      </c>
      <c r="I2661">
        <v>6107.6500000000005</v>
      </c>
      <c r="J2661" t="s">
        <v>104</v>
      </c>
      <c r="K2661" t="s">
        <v>53</v>
      </c>
      <c r="L2661" t="s">
        <v>105</v>
      </c>
      <c r="O2661">
        <v>0</v>
      </c>
      <c r="P2661">
        <v>1</v>
      </c>
      <c r="Q2661">
        <v>0</v>
      </c>
      <c r="R2661">
        <v>0</v>
      </c>
      <c r="S2661">
        <v>1</v>
      </c>
      <c r="T2661">
        <v>1</v>
      </c>
      <c r="U2661">
        <v>1</v>
      </c>
      <c r="V2661">
        <v>0</v>
      </c>
      <c r="W2661" t="s">
        <v>106</v>
      </c>
      <c r="AA2661">
        <v>2007</v>
      </c>
      <c r="AB2661">
        <v>9999</v>
      </c>
      <c r="AC2661" t="s">
        <v>35</v>
      </c>
    </row>
    <row r="2662" spans="1:29" x14ac:dyDescent="0.25">
      <c r="A2662" s="31" t="s">
        <v>968</v>
      </c>
      <c r="B2662" s="23" t="s">
        <v>969</v>
      </c>
      <c r="D2662">
        <v>1</v>
      </c>
      <c r="E2662" t="s">
        <v>85</v>
      </c>
      <c r="F2662">
        <v>1</v>
      </c>
      <c r="G2662">
        <v>2017</v>
      </c>
      <c r="H2662" t="s">
        <v>970</v>
      </c>
      <c r="I2662">
        <v>0.1</v>
      </c>
      <c r="J2662" t="s">
        <v>176</v>
      </c>
      <c r="K2662" t="s">
        <v>41</v>
      </c>
      <c r="O2662">
        <v>0</v>
      </c>
      <c r="P2662">
        <v>0</v>
      </c>
      <c r="Q2662">
        <v>0</v>
      </c>
      <c r="R2662">
        <v>0</v>
      </c>
      <c r="S2662">
        <v>0</v>
      </c>
      <c r="T2662">
        <v>0</v>
      </c>
      <c r="U2662">
        <v>0</v>
      </c>
      <c r="V2662">
        <v>0</v>
      </c>
      <c r="W2662" t="s">
        <v>971</v>
      </c>
      <c r="AA2662">
        <v>2007</v>
      </c>
      <c r="AB2662">
        <v>9999</v>
      </c>
      <c r="AC2662" t="s">
        <v>35</v>
      </c>
    </row>
    <row r="2663" spans="1:29" x14ac:dyDescent="0.25">
      <c r="A2663" s="31" t="s">
        <v>975</v>
      </c>
      <c r="B2663" s="23" t="s">
        <v>976</v>
      </c>
      <c r="D2663">
        <v>1</v>
      </c>
      <c r="E2663" t="s">
        <v>977</v>
      </c>
      <c r="F2663">
        <v>1</v>
      </c>
      <c r="G2663">
        <v>2017</v>
      </c>
      <c r="H2663" t="s">
        <v>205</v>
      </c>
      <c r="I2663" s="8"/>
      <c r="J2663" t="s">
        <v>81</v>
      </c>
      <c r="K2663" t="s">
        <v>41</v>
      </c>
      <c r="O2663">
        <v>0</v>
      </c>
      <c r="P2663">
        <v>0</v>
      </c>
      <c r="Q2663">
        <v>0</v>
      </c>
      <c r="R2663">
        <v>0</v>
      </c>
      <c r="S2663">
        <v>0</v>
      </c>
      <c r="T2663">
        <v>0</v>
      </c>
      <c r="U2663">
        <v>0</v>
      </c>
      <c r="V2663">
        <v>0</v>
      </c>
      <c r="W2663" t="s">
        <v>1220</v>
      </c>
      <c r="AA2663">
        <v>2007</v>
      </c>
      <c r="AB2663">
        <v>9999</v>
      </c>
      <c r="AC2663" t="s">
        <v>35</v>
      </c>
    </row>
    <row r="2664" spans="1:29" x14ac:dyDescent="0.25">
      <c r="A2664" s="31" t="s">
        <v>985</v>
      </c>
      <c r="B2664" s="23" t="s">
        <v>986</v>
      </c>
      <c r="C2664" t="s">
        <v>987</v>
      </c>
      <c r="D2664">
        <v>1</v>
      </c>
      <c r="E2664" t="s">
        <v>988</v>
      </c>
      <c r="F2664">
        <v>4</v>
      </c>
      <c r="G2664">
        <v>2017</v>
      </c>
      <c r="I2664">
        <v>184.49</v>
      </c>
      <c r="J2664" t="s">
        <v>89</v>
      </c>
      <c r="K2664" t="s">
        <v>32</v>
      </c>
      <c r="O2664">
        <v>0</v>
      </c>
      <c r="P2664">
        <v>0</v>
      </c>
      <c r="Q2664">
        <v>0</v>
      </c>
      <c r="R2664">
        <v>0</v>
      </c>
      <c r="S2664">
        <v>1</v>
      </c>
      <c r="T2664">
        <v>1</v>
      </c>
      <c r="U2664">
        <v>1</v>
      </c>
      <c r="V2664">
        <v>0</v>
      </c>
      <c r="W2664" t="s">
        <v>1339</v>
      </c>
      <c r="AA2664">
        <v>2007</v>
      </c>
      <c r="AB2664">
        <v>9999</v>
      </c>
      <c r="AC2664" t="s">
        <v>35</v>
      </c>
    </row>
    <row r="2665" spans="1:29" x14ac:dyDescent="0.25">
      <c r="A2665" s="31" t="s">
        <v>993</v>
      </c>
      <c r="B2665" s="23" t="s">
        <v>129</v>
      </c>
      <c r="D2665">
        <v>1</v>
      </c>
      <c r="E2665" t="s">
        <v>103</v>
      </c>
      <c r="F2665">
        <v>1</v>
      </c>
      <c r="G2665">
        <v>2017</v>
      </c>
      <c r="I2665">
        <v>168.32</v>
      </c>
      <c r="J2665" t="s">
        <v>104</v>
      </c>
      <c r="K2665" t="s">
        <v>32</v>
      </c>
      <c r="O2665">
        <v>0</v>
      </c>
      <c r="P2665">
        <v>0</v>
      </c>
      <c r="Q2665">
        <v>0</v>
      </c>
      <c r="R2665">
        <v>0</v>
      </c>
      <c r="S2665">
        <v>1</v>
      </c>
      <c r="T2665">
        <v>1</v>
      </c>
      <c r="U2665">
        <v>1</v>
      </c>
      <c r="V2665">
        <v>0</v>
      </c>
      <c r="W2665" t="s">
        <v>1340</v>
      </c>
      <c r="AA2665">
        <v>2007</v>
      </c>
      <c r="AB2665">
        <v>9999</v>
      </c>
      <c r="AC2665" t="s">
        <v>35</v>
      </c>
    </row>
    <row r="2666" spans="1:29" x14ac:dyDescent="0.25">
      <c r="A2666" s="31" t="s">
        <v>1008</v>
      </c>
      <c r="B2666" s="23" t="s">
        <v>1009</v>
      </c>
      <c r="D2666">
        <v>1</v>
      </c>
      <c r="E2666" t="s">
        <v>155</v>
      </c>
      <c r="F2666">
        <v>3</v>
      </c>
      <c r="G2666">
        <v>2017</v>
      </c>
      <c r="I2666">
        <v>1264.45</v>
      </c>
      <c r="J2666" t="s">
        <v>121</v>
      </c>
      <c r="K2666" t="s">
        <v>47</v>
      </c>
      <c r="O2666">
        <v>0</v>
      </c>
      <c r="P2666">
        <v>0</v>
      </c>
      <c r="Q2666">
        <v>0</v>
      </c>
      <c r="R2666">
        <v>0</v>
      </c>
      <c r="S2666">
        <v>1</v>
      </c>
      <c r="T2666">
        <v>1</v>
      </c>
      <c r="U2666">
        <v>1</v>
      </c>
      <c r="V2666">
        <v>0</v>
      </c>
      <c r="W2666" t="s">
        <v>1519</v>
      </c>
      <c r="AA2666">
        <v>2007</v>
      </c>
      <c r="AB2666">
        <v>9999</v>
      </c>
      <c r="AC2666" t="s">
        <v>35</v>
      </c>
    </row>
    <row r="2667" spans="1:29" x14ac:dyDescent="0.25">
      <c r="A2667" s="31" t="s">
        <v>1011</v>
      </c>
      <c r="B2667" s="23" t="s">
        <v>1012</v>
      </c>
      <c r="D2667">
        <v>1</v>
      </c>
      <c r="E2667" t="s">
        <v>103</v>
      </c>
      <c r="F2667">
        <v>9</v>
      </c>
      <c r="G2667">
        <v>2017</v>
      </c>
      <c r="I2667">
        <v>1080.1199999999999</v>
      </c>
      <c r="J2667" t="s">
        <v>104</v>
      </c>
      <c r="K2667" t="s">
        <v>53</v>
      </c>
      <c r="L2667" t="s">
        <v>105</v>
      </c>
      <c r="O2667">
        <v>0</v>
      </c>
      <c r="P2667">
        <v>1</v>
      </c>
      <c r="Q2667">
        <v>0</v>
      </c>
      <c r="R2667">
        <v>0</v>
      </c>
      <c r="S2667">
        <v>1</v>
      </c>
      <c r="T2667">
        <v>1</v>
      </c>
      <c r="U2667">
        <v>1</v>
      </c>
      <c r="V2667">
        <v>0</v>
      </c>
      <c r="W2667" t="s">
        <v>106</v>
      </c>
      <c r="AA2667">
        <v>2007</v>
      </c>
      <c r="AB2667">
        <v>9999</v>
      </c>
      <c r="AC2667" t="s">
        <v>35</v>
      </c>
    </row>
    <row r="2668" spans="1:29" x14ac:dyDescent="0.25">
      <c r="A2668" s="31" t="s">
        <v>1013</v>
      </c>
      <c r="B2668" s="23" t="s">
        <v>1014</v>
      </c>
      <c r="D2668">
        <v>1</v>
      </c>
      <c r="E2668" t="s">
        <v>128</v>
      </c>
      <c r="F2668">
        <v>9</v>
      </c>
      <c r="G2668">
        <v>2017</v>
      </c>
      <c r="H2668" t="s">
        <v>1513</v>
      </c>
      <c r="I2668">
        <v>4</v>
      </c>
      <c r="J2668" t="s">
        <v>104</v>
      </c>
      <c r="K2668" t="s">
        <v>41</v>
      </c>
      <c r="O2668">
        <v>0</v>
      </c>
      <c r="P2668">
        <v>0</v>
      </c>
      <c r="Q2668">
        <v>0</v>
      </c>
      <c r="R2668">
        <v>0</v>
      </c>
      <c r="S2668">
        <v>0</v>
      </c>
      <c r="T2668">
        <v>0</v>
      </c>
      <c r="U2668">
        <v>0</v>
      </c>
      <c r="V2668">
        <v>0</v>
      </c>
      <c r="W2668" t="s">
        <v>1229</v>
      </c>
      <c r="AA2668">
        <v>2007</v>
      </c>
      <c r="AB2668">
        <v>9999</v>
      </c>
      <c r="AC2668" t="s">
        <v>35</v>
      </c>
    </row>
    <row r="2669" spans="1:29" x14ac:dyDescent="0.25">
      <c r="A2669" s="31" t="s">
        <v>1016</v>
      </c>
      <c r="B2669" s="23" t="s">
        <v>1017</v>
      </c>
      <c r="D2669">
        <v>1</v>
      </c>
      <c r="E2669" t="s">
        <v>396</v>
      </c>
      <c r="F2669">
        <v>3</v>
      </c>
      <c r="G2669">
        <v>2017</v>
      </c>
      <c r="H2669" t="s">
        <v>1018</v>
      </c>
      <c r="I2669">
        <v>0.1</v>
      </c>
      <c r="J2669" t="s">
        <v>121</v>
      </c>
      <c r="K2669" t="s">
        <v>41</v>
      </c>
      <c r="O2669">
        <v>0</v>
      </c>
      <c r="P2669">
        <v>0</v>
      </c>
      <c r="Q2669">
        <v>0</v>
      </c>
      <c r="R2669">
        <v>0</v>
      </c>
      <c r="S2669">
        <v>0</v>
      </c>
      <c r="T2669">
        <v>0</v>
      </c>
      <c r="U2669">
        <v>0</v>
      </c>
      <c r="V2669">
        <v>0</v>
      </c>
      <c r="W2669" t="s">
        <v>1230</v>
      </c>
      <c r="AA2669">
        <v>2007</v>
      </c>
      <c r="AB2669">
        <v>9999</v>
      </c>
      <c r="AC2669" t="s">
        <v>35</v>
      </c>
    </row>
    <row r="2670" spans="1:29" x14ac:dyDescent="0.25">
      <c r="A2670" s="31" t="s">
        <v>1020</v>
      </c>
      <c r="B2670" s="23" t="s">
        <v>1021</v>
      </c>
      <c r="D2670">
        <v>1</v>
      </c>
      <c r="E2670" t="s">
        <v>103</v>
      </c>
      <c r="F2670">
        <v>9</v>
      </c>
      <c r="G2670">
        <v>2017</v>
      </c>
      <c r="I2670">
        <v>16.45</v>
      </c>
      <c r="J2670" t="s">
        <v>104</v>
      </c>
      <c r="K2670" t="s">
        <v>47</v>
      </c>
      <c r="O2670">
        <v>0</v>
      </c>
      <c r="P2670">
        <v>0</v>
      </c>
      <c r="Q2670">
        <v>0</v>
      </c>
      <c r="R2670">
        <v>0</v>
      </c>
      <c r="S2670">
        <v>0</v>
      </c>
      <c r="T2670">
        <v>1</v>
      </c>
      <c r="U2670">
        <v>1</v>
      </c>
      <c r="V2670">
        <v>0</v>
      </c>
      <c r="W2670" t="s">
        <v>1231</v>
      </c>
      <c r="AA2670">
        <v>2007</v>
      </c>
      <c r="AB2670">
        <v>9999</v>
      </c>
      <c r="AC2670" t="s">
        <v>35</v>
      </c>
    </row>
    <row r="2671" spans="1:29" x14ac:dyDescent="0.25">
      <c r="B2671" s="23" t="s">
        <v>1026</v>
      </c>
      <c r="D2671">
        <v>24</v>
      </c>
      <c r="F2671">
        <v>3</v>
      </c>
      <c r="G2671">
        <v>2017</v>
      </c>
      <c r="H2671" t="s">
        <v>392</v>
      </c>
      <c r="I2671" t="s">
        <v>1027</v>
      </c>
      <c r="J2671" t="s">
        <v>121</v>
      </c>
      <c r="K2671" t="s">
        <v>41</v>
      </c>
      <c r="O2671">
        <v>0</v>
      </c>
      <c r="P2671">
        <v>0</v>
      </c>
      <c r="Q2671">
        <v>0</v>
      </c>
      <c r="R2671">
        <v>0</v>
      </c>
      <c r="S2671">
        <v>0</v>
      </c>
      <c r="T2671">
        <v>0</v>
      </c>
      <c r="U2671">
        <v>0</v>
      </c>
      <c r="V2671">
        <v>0</v>
      </c>
      <c r="W2671" t="s">
        <v>1232</v>
      </c>
      <c r="AA2671">
        <v>2007</v>
      </c>
      <c r="AB2671">
        <v>9999</v>
      </c>
      <c r="AC2671" t="s">
        <v>35</v>
      </c>
    </row>
    <row r="2672" spans="1:29" x14ac:dyDescent="0.25">
      <c r="A2672" s="31" t="s">
        <v>28</v>
      </c>
      <c r="B2672" s="23" t="s">
        <v>29</v>
      </c>
      <c r="D2672">
        <v>1</v>
      </c>
      <c r="E2672" t="s">
        <v>30</v>
      </c>
      <c r="F2672">
        <v>4</v>
      </c>
      <c r="G2672">
        <v>2016</v>
      </c>
      <c r="I2672" s="8">
        <v>588.75</v>
      </c>
      <c r="J2672" s="2" t="s">
        <v>89</v>
      </c>
      <c r="K2672" t="s">
        <v>32</v>
      </c>
      <c r="L2672" t="s">
        <v>33</v>
      </c>
      <c r="O2672">
        <v>0</v>
      </c>
      <c r="P2672">
        <v>0</v>
      </c>
      <c r="Q2672">
        <v>0</v>
      </c>
      <c r="R2672">
        <v>1</v>
      </c>
      <c r="W2672" t="s">
        <v>1029</v>
      </c>
      <c r="AA2672">
        <v>2007</v>
      </c>
      <c r="AB2672">
        <v>9999</v>
      </c>
      <c r="AC2672" t="s">
        <v>35</v>
      </c>
    </row>
    <row r="2673" spans="1:29" x14ac:dyDescent="0.25">
      <c r="A2673" s="31" t="s">
        <v>36</v>
      </c>
      <c r="B2673" s="23" t="s">
        <v>1445</v>
      </c>
      <c r="D2673">
        <v>1</v>
      </c>
      <c r="E2673" s="5" t="s">
        <v>38</v>
      </c>
      <c r="F2673">
        <v>4</v>
      </c>
      <c r="G2673">
        <v>2016</v>
      </c>
      <c r="H2673" t="s">
        <v>39</v>
      </c>
      <c r="J2673" s="2" t="s">
        <v>40</v>
      </c>
      <c r="K2673" s="2" t="s">
        <v>41</v>
      </c>
      <c r="L2673" s="2"/>
      <c r="O2673">
        <v>0</v>
      </c>
      <c r="P2673">
        <v>0</v>
      </c>
      <c r="Q2673">
        <v>0</v>
      </c>
      <c r="R2673">
        <v>0</v>
      </c>
      <c r="W2673" t="s">
        <v>1030</v>
      </c>
      <c r="AA2673">
        <v>2007</v>
      </c>
      <c r="AB2673">
        <v>9999</v>
      </c>
      <c r="AC2673" t="s">
        <v>35</v>
      </c>
    </row>
    <row r="2674" spans="1:29" x14ac:dyDescent="0.25">
      <c r="A2674" s="31" t="s">
        <v>43</v>
      </c>
      <c r="B2674" s="23" t="s">
        <v>44</v>
      </c>
      <c r="D2674">
        <v>1</v>
      </c>
      <c r="E2674" t="s">
        <v>45</v>
      </c>
      <c r="F2674">
        <v>4</v>
      </c>
      <c r="G2674">
        <v>2016</v>
      </c>
      <c r="I2674" s="8">
        <v>36.64</v>
      </c>
      <c r="J2674" t="s">
        <v>52</v>
      </c>
      <c r="K2674" t="s">
        <v>47</v>
      </c>
      <c r="O2674">
        <v>0</v>
      </c>
      <c r="P2674">
        <v>0</v>
      </c>
      <c r="Q2674">
        <v>0</v>
      </c>
      <c r="R2674">
        <v>0</v>
      </c>
      <c r="W2674" t="s">
        <v>1514</v>
      </c>
      <c r="AA2674">
        <v>2007</v>
      </c>
      <c r="AB2674">
        <v>9999</v>
      </c>
      <c r="AC2674" t="s">
        <v>35</v>
      </c>
    </row>
    <row r="2675" spans="1:29" x14ac:dyDescent="0.25">
      <c r="A2675" s="31" t="s">
        <v>49</v>
      </c>
      <c r="B2675" s="25" t="s">
        <v>50</v>
      </c>
      <c r="D2675">
        <v>1</v>
      </c>
      <c r="E2675" t="s">
        <v>51</v>
      </c>
      <c r="F2675">
        <v>1</v>
      </c>
      <c r="G2675">
        <v>2016</v>
      </c>
      <c r="I2675" s="11">
        <v>64</v>
      </c>
      <c r="J2675" t="s">
        <v>52</v>
      </c>
      <c r="K2675" t="s">
        <v>53</v>
      </c>
      <c r="L2675" t="s">
        <v>54</v>
      </c>
      <c r="O2675">
        <v>0</v>
      </c>
      <c r="P2675">
        <v>0</v>
      </c>
      <c r="Q2675">
        <v>1</v>
      </c>
      <c r="R2675">
        <v>0</v>
      </c>
      <c r="W2675" t="s">
        <v>55</v>
      </c>
      <c r="AA2675">
        <v>2007</v>
      </c>
      <c r="AB2675">
        <v>9999</v>
      </c>
      <c r="AC2675" t="s">
        <v>35</v>
      </c>
    </row>
    <row r="2676" spans="1:29" x14ac:dyDescent="0.25">
      <c r="A2676" s="31" t="s">
        <v>996</v>
      </c>
      <c r="B2676" s="23" t="s">
        <v>1342</v>
      </c>
      <c r="D2676">
        <v>1</v>
      </c>
      <c r="E2676" t="s">
        <v>38</v>
      </c>
      <c r="F2676">
        <v>4</v>
      </c>
      <c r="G2676">
        <v>2016</v>
      </c>
      <c r="H2676" t="s">
        <v>998</v>
      </c>
      <c r="I2676">
        <v>1.25</v>
      </c>
      <c r="J2676" t="s">
        <v>89</v>
      </c>
      <c r="K2676" t="s">
        <v>41</v>
      </c>
      <c r="O2676">
        <v>0</v>
      </c>
      <c r="P2676">
        <v>0</v>
      </c>
      <c r="Q2676">
        <v>0</v>
      </c>
      <c r="R2676">
        <v>0</v>
      </c>
      <c r="W2676" t="s">
        <v>1344</v>
      </c>
      <c r="AA2676">
        <v>2007</v>
      </c>
      <c r="AB2676">
        <v>9999</v>
      </c>
      <c r="AC2676" t="s">
        <v>35</v>
      </c>
    </row>
    <row r="2677" spans="1:29" x14ac:dyDescent="0.25">
      <c r="A2677" s="31" t="s">
        <v>56</v>
      </c>
      <c r="B2677" s="23" t="s">
        <v>57</v>
      </c>
      <c r="D2677">
        <v>1</v>
      </c>
      <c r="E2677" t="s">
        <v>58</v>
      </c>
      <c r="F2677">
        <v>4</v>
      </c>
      <c r="G2677">
        <v>2016</v>
      </c>
      <c r="I2677" s="8">
        <v>19</v>
      </c>
      <c r="J2677" t="s">
        <v>59</v>
      </c>
      <c r="K2677" t="s">
        <v>53</v>
      </c>
      <c r="L2677" t="s">
        <v>60</v>
      </c>
      <c r="O2677">
        <v>1</v>
      </c>
      <c r="P2677">
        <v>0</v>
      </c>
      <c r="Q2677">
        <v>0</v>
      </c>
      <c r="R2677">
        <v>0</v>
      </c>
      <c r="W2677" t="s">
        <v>61</v>
      </c>
      <c r="AA2677">
        <v>2007</v>
      </c>
      <c r="AB2677">
        <v>9999</v>
      </c>
      <c r="AC2677" t="s">
        <v>35</v>
      </c>
    </row>
    <row r="2678" spans="1:29" x14ac:dyDescent="0.25">
      <c r="A2678" s="31" t="s">
        <v>71</v>
      </c>
      <c r="B2678" s="23" t="s">
        <v>1032</v>
      </c>
      <c r="D2678">
        <v>1</v>
      </c>
      <c r="E2678" t="s">
        <v>309</v>
      </c>
      <c r="F2678">
        <v>10</v>
      </c>
      <c r="G2678">
        <v>2016</v>
      </c>
      <c r="I2678" s="8">
        <v>12633.32</v>
      </c>
      <c r="J2678" t="s">
        <v>59</v>
      </c>
      <c r="K2678" t="s">
        <v>32</v>
      </c>
      <c r="O2678">
        <v>0</v>
      </c>
      <c r="P2678">
        <v>0</v>
      </c>
      <c r="Q2678">
        <v>0</v>
      </c>
      <c r="R2678">
        <v>0</v>
      </c>
      <c r="W2678" t="s">
        <v>1033</v>
      </c>
      <c r="AA2678">
        <v>2007</v>
      </c>
      <c r="AB2678">
        <v>9999</v>
      </c>
      <c r="AC2678" t="s">
        <v>35</v>
      </c>
    </row>
    <row r="2679" spans="1:29" x14ac:dyDescent="0.25">
      <c r="A2679" s="31" t="s">
        <v>62</v>
      </c>
      <c r="B2679" s="23" t="s">
        <v>63</v>
      </c>
      <c r="D2679">
        <v>1</v>
      </c>
      <c r="E2679" t="s">
        <v>64</v>
      </c>
      <c r="F2679">
        <v>1</v>
      </c>
      <c r="G2679">
        <v>2016</v>
      </c>
      <c r="I2679" s="8">
        <v>61.31</v>
      </c>
      <c r="J2679" t="s">
        <v>52</v>
      </c>
      <c r="K2679" t="s">
        <v>53</v>
      </c>
      <c r="L2679" t="s">
        <v>65</v>
      </c>
      <c r="O2679">
        <v>0</v>
      </c>
      <c r="P2679">
        <v>0</v>
      </c>
      <c r="Q2679">
        <v>0</v>
      </c>
      <c r="R2679">
        <v>0</v>
      </c>
      <c r="W2679" t="s">
        <v>1034</v>
      </c>
      <c r="AA2679">
        <v>2007</v>
      </c>
      <c r="AB2679">
        <v>9999</v>
      </c>
      <c r="AC2679" t="s">
        <v>35</v>
      </c>
    </row>
    <row r="2680" spans="1:29" x14ac:dyDescent="0.25">
      <c r="A2680" s="31" t="s">
        <v>74</v>
      </c>
      <c r="B2680" s="23" t="s">
        <v>75</v>
      </c>
      <c r="D2680">
        <v>1</v>
      </c>
      <c r="E2680" t="s">
        <v>58</v>
      </c>
      <c r="F2680">
        <v>4</v>
      </c>
      <c r="G2680">
        <v>2016</v>
      </c>
      <c r="I2680" s="8">
        <v>574.29</v>
      </c>
      <c r="J2680" t="s">
        <v>59</v>
      </c>
      <c r="K2680" t="s">
        <v>47</v>
      </c>
      <c r="O2680">
        <v>0</v>
      </c>
      <c r="P2680">
        <v>0</v>
      </c>
      <c r="Q2680">
        <v>0</v>
      </c>
      <c r="R2680">
        <v>0</v>
      </c>
      <c r="W2680" t="s">
        <v>1035</v>
      </c>
      <c r="AA2680">
        <v>2007</v>
      </c>
      <c r="AB2680">
        <v>9999</v>
      </c>
      <c r="AC2680" t="s">
        <v>35</v>
      </c>
    </row>
    <row r="2681" spans="1:29" x14ac:dyDescent="0.25">
      <c r="A2681" s="31" t="s">
        <v>83</v>
      </c>
      <c r="B2681" s="23" t="s">
        <v>84</v>
      </c>
      <c r="D2681">
        <v>1</v>
      </c>
      <c r="E2681" t="s">
        <v>85</v>
      </c>
      <c r="F2681">
        <v>1</v>
      </c>
      <c r="G2681">
        <v>2016</v>
      </c>
      <c r="H2681" t="s">
        <v>39</v>
      </c>
      <c r="I2681">
        <v>24.7</v>
      </c>
      <c r="J2681" s="2" t="s">
        <v>40</v>
      </c>
      <c r="K2681" t="s">
        <v>41</v>
      </c>
      <c r="O2681">
        <v>0</v>
      </c>
      <c r="P2681">
        <v>0</v>
      </c>
      <c r="Q2681">
        <v>0</v>
      </c>
      <c r="R2681">
        <v>0</v>
      </c>
      <c r="W2681" t="s">
        <v>86</v>
      </c>
      <c r="AA2681">
        <v>2007</v>
      </c>
      <c r="AB2681">
        <v>9999</v>
      </c>
      <c r="AC2681" t="s">
        <v>35</v>
      </c>
    </row>
    <row r="2682" spans="1:29" x14ac:dyDescent="0.25">
      <c r="A2682" s="31" t="s">
        <v>92</v>
      </c>
      <c r="B2682" s="23" t="s">
        <v>93</v>
      </c>
      <c r="C2682" t="s">
        <v>94</v>
      </c>
      <c r="D2682">
        <v>1</v>
      </c>
      <c r="E2682" t="s">
        <v>95</v>
      </c>
      <c r="F2682">
        <v>10</v>
      </c>
      <c r="G2682">
        <v>2016</v>
      </c>
      <c r="I2682" s="8">
        <v>25.45</v>
      </c>
      <c r="J2682" t="s">
        <v>40</v>
      </c>
      <c r="K2682" t="s">
        <v>47</v>
      </c>
      <c r="O2682">
        <v>0</v>
      </c>
      <c r="P2682">
        <v>0</v>
      </c>
      <c r="Q2682">
        <v>0</v>
      </c>
      <c r="R2682">
        <v>0</v>
      </c>
      <c r="W2682" t="s">
        <v>96</v>
      </c>
      <c r="AA2682">
        <v>2007</v>
      </c>
      <c r="AB2682">
        <v>9999</v>
      </c>
      <c r="AC2682" t="s">
        <v>35</v>
      </c>
    </row>
    <row r="2683" spans="1:29" x14ac:dyDescent="0.25">
      <c r="A2683" s="31" t="s">
        <v>101</v>
      </c>
      <c r="B2683" s="23" t="s">
        <v>102</v>
      </c>
      <c r="D2683">
        <v>1</v>
      </c>
      <c r="E2683" t="s">
        <v>103</v>
      </c>
      <c r="F2683">
        <v>9</v>
      </c>
      <c r="G2683">
        <v>2016</v>
      </c>
      <c r="I2683" s="8">
        <v>379.46</v>
      </c>
      <c r="J2683" t="s">
        <v>104</v>
      </c>
      <c r="K2683" t="s">
        <v>53</v>
      </c>
      <c r="L2683" t="s">
        <v>105</v>
      </c>
      <c r="O2683">
        <v>0</v>
      </c>
      <c r="P2683">
        <v>1</v>
      </c>
      <c r="Q2683">
        <v>0</v>
      </c>
      <c r="R2683">
        <v>0</v>
      </c>
      <c r="W2683" t="s">
        <v>106</v>
      </c>
      <c r="AA2683">
        <v>2007</v>
      </c>
      <c r="AB2683">
        <v>9999</v>
      </c>
      <c r="AC2683" t="s">
        <v>35</v>
      </c>
    </row>
    <row r="2684" spans="1:29" x14ac:dyDescent="0.25">
      <c r="A2684" s="31" t="s">
        <v>107</v>
      </c>
      <c r="B2684" s="23" t="s">
        <v>108</v>
      </c>
      <c r="D2684">
        <v>1</v>
      </c>
      <c r="E2684" t="s">
        <v>45</v>
      </c>
      <c r="F2684">
        <v>4</v>
      </c>
      <c r="G2684">
        <v>2016</v>
      </c>
      <c r="I2684" s="8">
        <v>6.5</v>
      </c>
      <c r="J2684" t="s">
        <v>52</v>
      </c>
      <c r="K2684" t="s">
        <v>41</v>
      </c>
      <c r="O2684">
        <v>0</v>
      </c>
      <c r="P2684">
        <v>0</v>
      </c>
      <c r="Q2684">
        <v>0</v>
      </c>
      <c r="R2684">
        <v>0</v>
      </c>
      <c r="W2684" t="s">
        <v>109</v>
      </c>
      <c r="AA2684">
        <v>2007</v>
      </c>
      <c r="AB2684">
        <v>9999</v>
      </c>
      <c r="AC2684" t="s">
        <v>35</v>
      </c>
    </row>
    <row r="2685" spans="1:29" x14ac:dyDescent="0.25">
      <c r="A2685" s="31" t="s">
        <v>110</v>
      </c>
      <c r="B2685" s="23" t="s">
        <v>111</v>
      </c>
      <c r="D2685">
        <v>1</v>
      </c>
      <c r="E2685" t="s">
        <v>45</v>
      </c>
      <c r="F2685">
        <v>4</v>
      </c>
      <c r="G2685">
        <v>2016</v>
      </c>
      <c r="I2685" s="8">
        <v>501</v>
      </c>
      <c r="J2685" t="s">
        <v>89</v>
      </c>
      <c r="K2685" t="s">
        <v>47</v>
      </c>
      <c r="O2685">
        <v>0</v>
      </c>
      <c r="P2685">
        <v>0</v>
      </c>
      <c r="Q2685">
        <v>0</v>
      </c>
      <c r="R2685">
        <v>0</v>
      </c>
      <c r="W2685" t="s">
        <v>1039</v>
      </c>
      <c r="AA2685">
        <v>2007</v>
      </c>
      <c r="AB2685">
        <v>9999</v>
      </c>
      <c r="AC2685" t="s">
        <v>35</v>
      </c>
    </row>
    <row r="2686" spans="1:29" x14ac:dyDescent="0.25">
      <c r="A2686" s="31" t="s">
        <v>113</v>
      </c>
      <c r="B2686" s="23" t="s">
        <v>114</v>
      </c>
      <c r="D2686">
        <v>1</v>
      </c>
      <c r="E2686" t="s">
        <v>115</v>
      </c>
      <c r="F2686">
        <v>6</v>
      </c>
      <c r="G2686">
        <v>2016</v>
      </c>
      <c r="I2686" s="8">
        <v>215.5</v>
      </c>
      <c r="J2686" t="s">
        <v>89</v>
      </c>
      <c r="K2686" t="s">
        <v>47</v>
      </c>
      <c r="O2686">
        <v>0</v>
      </c>
      <c r="P2686">
        <v>0</v>
      </c>
      <c r="Q2686">
        <v>0</v>
      </c>
      <c r="R2686">
        <v>0</v>
      </c>
      <c r="W2686" t="s">
        <v>1415</v>
      </c>
      <c r="AA2686">
        <v>2007</v>
      </c>
      <c r="AB2686">
        <v>9999</v>
      </c>
      <c r="AC2686" t="s">
        <v>35</v>
      </c>
    </row>
    <row r="2687" spans="1:29" x14ac:dyDescent="0.25">
      <c r="A2687" s="31" t="s">
        <v>117</v>
      </c>
      <c r="B2687" s="23" t="s">
        <v>118</v>
      </c>
      <c r="C2687" t="s">
        <v>119</v>
      </c>
      <c r="D2687">
        <v>1</v>
      </c>
      <c r="E2687" t="s">
        <v>120</v>
      </c>
      <c r="F2687">
        <v>3</v>
      </c>
      <c r="G2687">
        <v>2016</v>
      </c>
      <c r="I2687" s="8">
        <v>101.36</v>
      </c>
      <c r="J2687" t="s">
        <v>121</v>
      </c>
      <c r="K2687" t="s">
        <v>47</v>
      </c>
      <c r="O2687">
        <v>0</v>
      </c>
      <c r="P2687">
        <v>0</v>
      </c>
      <c r="Q2687">
        <v>0</v>
      </c>
      <c r="R2687">
        <v>0</v>
      </c>
      <c r="W2687" t="s">
        <v>1041</v>
      </c>
      <c r="AA2687">
        <v>2007</v>
      </c>
      <c r="AB2687">
        <v>9999</v>
      </c>
      <c r="AC2687" t="s">
        <v>35</v>
      </c>
    </row>
    <row r="2688" spans="1:29" x14ac:dyDescent="0.25">
      <c r="A2688" s="31" t="s">
        <v>123</v>
      </c>
      <c r="B2688" s="23" t="s">
        <v>124</v>
      </c>
      <c r="D2688">
        <v>1</v>
      </c>
      <c r="E2688" t="s">
        <v>120</v>
      </c>
      <c r="F2688">
        <v>3</v>
      </c>
      <c r="G2688">
        <v>2016</v>
      </c>
      <c r="I2688" s="8">
        <v>54.11</v>
      </c>
      <c r="J2688" t="s">
        <v>121</v>
      </c>
      <c r="K2688" t="s">
        <v>47</v>
      </c>
      <c r="O2688">
        <v>0</v>
      </c>
      <c r="P2688">
        <v>0</v>
      </c>
      <c r="Q2688">
        <v>0</v>
      </c>
      <c r="R2688">
        <v>0</v>
      </c>
      <c r="W2688" t="s">
        <v>1042</v>
      </c>
      <c r="AA2688">
        <v>2007</v>
      </c>
      <c r="AB2688">
        <v>9999</v>
      </c>
      <c r="AC2688" t="s">
        <v>35</v>
      </c>
    </row>
    <row r="2689" spans="1:29" x14ac:dyDescent="0.25">
      <c r="A2689" s="31" t="s">
        <v>1416</v>
      </c>
      <c r="B2689" s="23" t="s">
        <v>1417</v>
      </c>
      <c r="D2689">
        <v>1</v>
      </c>
      <c r="E2689" s="5" t="s">
        <v>38</v>
      </c>
      <c r="F2689">
        <v>4</v>
      </c>
      <c r="G2689">
        <v>2016</v>
      </c>
      <c r="H2689" t="s">
        <v>998</v>
      </c>
      <c r="J2689" t="s">
        <v>89</v>
      </c>
      <c r="K2689" t="s">
        <v>41</v>
      </c>
      <c r="O2689">
        <v>0</v>
      </c>
      <c r="P2689">
        <v>0</v>
      </c>
      <c r="Q2689">
        <v>0</v>
      </c>
      <c r="R2689">
        <v>0</v>
      </c>
      <c r="W2689" t="s">
        <v>1418</v>
      </c>
      <c r="AA2689">
        <v>2013</v>
      </c>
      <c r="AB2689">
        <v>9999</v>
      </c>
      <c r="AC2689" t="s">
        <v>1419</v>
      </c>
    </row>
    <row r="2690" spans="1:29" x14ac:dyDescent="0.25">
      <c r="A2690" s="31" t="s">
        <v>126</v>
      </c>
      <c r="B2690" s="25" t="s">
        <v>127</v>
      </c>
      <c r="D2690">
        <v>1</v>
      </c>
      <c r="E2690" t="s">
        <v>128</v>
      </c>
      <c r="F2690">
        <v>9</v>
      </c>
      <c r="G2690">
        <v>2016</v>
      </c>
      <c r="H2690" t="s">
        <v>129</v>
      </c>
      <c r="I2690">
        <v>2</v>
      </c>
      <c r="J2690" t="s">
        <v>104</v>
      </c>
      <c r="K2690" t="s">
        <v>41</v>
      </c>
      <c r="O2690">
        <v>0</v>
      </c>
      <c r="P2690">
        <v>0</v>
      </c>
      <c r="Q2690">
        <v>0</v>
      </c>
      <c r="R2690">
        <v>0</v>
      </c>
      <c r="W2690" t="s">
        <v>1043</v>
      </c>
      <c r="AA2690">
        <v>2007</v>
      </c>
      <c r="AB2690">
        <v>9999</v>
      </c>
      <c r="AC2690" t="s">
        <v>35</v>
      </c>
    </row>
    <row r="2691" spans="1:29" x14ac:dyDescent="0.25">
      <c r="A2691" s="31" t="s">
        <v>131</v>
      </c>
      <c r="B2691" s="23" t="s">
        <v>132</v>
      </c>
      <c r="C2691" t="s">
        <v>133</v>
      </c>
      <c r="D2691">
        <v>1</v>
      </c>
      <c r="E2691" t="s">
        <v>134</v>
      </c>
      <c r="F2691">
        <v>9</v>
      </c>
      <c r="G2691">
        <v>2016</v>
      </c>
      <c r="I2691" s="8">
        <v>802.56</v>
      </c>
      <c r="J2691" t="s">
        <v>104</v>
      </c>
      <c r="K2691" t="s">
        <v>47</v>
      </c>
      <c r="O2691">
        <v>0</v>
      </c>
      <c r="P2691">
        <v>0</v>
      </c>
      <c r="Q2691">
        <v>0</v>
      </c>
      <c r="R2691">
        <v>0</v>
      </c>
      <c r="W2691" t="s">
        <v>1044</v>
      </c>
      <c r="AA2691">
        <v>2007</v>
      </c>
      <c r="AB2691">
        <v>9999</v>
      </c>
      <c r="AC2691" t="s">
        <v>35</v>
      </c>
    </row>
    <row r="2692" spans="1:29" x14ac:dyDescent="0.25">
      <c r="A2692" s="31" t="s">
        <v>140</v>
      </c>
      <c r="B2692" s="23" t="s">
        <v>141</v>
      </c>
      <c r="D2692">
        <v>1</v>
      </c>
      <c r="E2692" t="s">
        <v>45</v>
      </c>
      <c r="F2692">
        <v>4</v>
      </c>
      <c r="G2692">
        <v>2016</v>
      </c>
      <c r="I2692" s="8">
        <v>44.95</v>
      </c>
      <c r="J2692" t="s">
        <v>121</v>
      </c>
      <c r="K2692" t="s">
        <v>47</v>
      </c>
      <c r="O2692">
        <v>0</v>
      </c>
      <c r="P2692">
        <v>0</v>
      </c>
      <c r="Q2692">
        <v>0</v>
      </c>
      <c r="R2692">
        <v>0</v>
      </c>
      <c r="W2692" t="s">
        <v>1045</v>
      </c>
      <c r="AA2692">
        <v>2007</v>
      </c>
      <c r="AB2692">
        <v>9999</v>
      </c>
      <c r="AC2692" t="s">
        <v>35</v>
      </c>
    </row>
    <row r="2693" spans="1:29" ht="30" x14ac:dyDescent="0.25">
      <c r="A2693" s="31" t="s">
        <v>143</v>
      </c>
      <c r="B2693" s="23" t="s">
        <v>144</v>
      </c>
      <c r="D2693">
        <v>1</v>
      </c>
      <c r="E2693" t="s">
        <v>145</v>
      </c>
      <c r="F2693">
        <v>2</v>
      </c>
      <c r="G2693">
        <v>2016</v>
      </c>
      <c r="H2693" t="s">
        <v>146</v>
      </c>
      <c r="I2693">
        <v>0</v>
      </c>
      <c r="J2693" s="2" t="s">
        <v>147</v>
      </c>
      <c r="K2693" t="s">
        <v>41</v>
      </c>
      <c r="O2693">
        <v>0</v>
      </c>
      <c r="P2693">
        <v>0</v>
      </c>
      <c r="Q2693">
        <v>0</v>
      </c>
      <c r="R2693">
        <v>0</v>
      </c>
      <c r="W2693" t="s">
        <v>1046</v>
      </c>
      <c r="AA2693">
        <v>2007</v>
      </c>
      <c r="AB2693">
        <v>9999</v>
      </c>
      <c r="AC2693" t="s">
        <v>35</v>
      </c>
    </row>
    <row r="2694" spans="1:29" x14ac:dyDescent="0.25">
      <c r="A2694" s="31" t="s">
        <v>353</v>
      </c>
      <c r="B2694" s="23" t="s">
        <v>1233</v>
      </c>
      <c r="C2694" t="s">
        <v>1234</v>
      </c>
      <c r="D2694">
        <v>1</v>
      </c>
      <c r="E2694" t="s">
        <v>58</v>
      </c>
      <c r="F2694">
        <v>4</v>
      </c>
      <c r="G2694">
        <v>2016</v>
      </c>
      <c r="I2694" s="8">
        <v>85.96</v>
      </c>
      <c r="J2694" t="s">
        <v>59</v>
      </c>
      <c r="K2694" t="s">
        <v>47</v>
      </c>
      <c r="O2694">
        <v>0</v>
      </c>
      <c r="P2694">
        <v>0</v>
      </c>
      <c r="Q2694">
        <v>0</v>
      </c>
      <c r="R2694">
        <v>0</v>
      </c>
      <c r="W2694" t="s">
        <v>1235</v>
      </c>
      <c r="AA2694">
        <v>2007</v>
      </c>
      <c r="AB2694">
        <v>9999</v>
      </c>
      <c r="AC2694" t="s">
        <v>35</v>
      </c>
    </row>
    <row r="2695" spans="1:29" x14ac:dyDescent="0.25">
      <c r="A2695" s="31" t="s">
        <v>1236</v>
      </c>
      <c r="B2695" s="23" t="s">
        <v>1237</v>
      </c>
      <c r="D2695">
        <v>1</v>
      </c>
      <c r="E2695" t="s">
        <v>155</v>
      </c>
      <c r="F2695">
        <v>3</v>
      </c>
      <c r="G2695">
        <v>2016</v>
      </c>
      <c r="H2695" t="s">
        <v>154</v>
      </c>
      <c r="I2695" s="8">
        <v>4.8</v>
      </c>
      <c r="J2695" t="s">
        <v>121</v>
      </c>
      <c r="K2695" t="s">
        <v>41</v>
      </c>
      <c r="O2695">
        <v>0</v>
      </c>
      <c r="P2695">
        <v>0</v>
      </c>
      <c r="Q2695">
        <v>0</v>
      </c>
      <c r="R2695">
        <v>0</v>
      </c>
      <c r="W2695" t="s">
        <v>1347</v>
      </c>
      <c r="AA2695">
        <v>2009</v>
      </c>
      <c r="AB2695">
        <v>9999</v>
      </c>
      <c r="AC2695" t="s">
        <v>1239</v>
      </c>
    </row>
    <row r="2696" spans="1:29" x14ac:dyDescent="0.25">
      <c r="A2696" s="31" t="s">
        <v>153</v>
      </c>
      <c r="B2696" s="23" t="s">
        <v>154</v>
      </c>
      <c r="D2696">
        <v>1</v>
      </c>
      <c r="E2696" t="s">
        <v>155</v>
      </c>
      <c r="F2696">
        <v>3</v>
      </c>
      <c r="G2696">
        <v>2016</v>
      </c>
      <c r="I2696" s="8">
        <v>352.5372430830048</v>
      </c>
      <c r="J2696" t="s">
        <v>121</v>
      </c>
      <c r="K2696" t="s">
        <v>47</v>
      </c>
      <c r="O2696">
        <v>0</v>
      </c>
      <c r="P2696">
        <v>0</v>
      </c>
      <c r="Q2696">
        <v>0</v>
      </c>
      <c r="R2696">
        <v>0</v>
      </c>
      <c r="V2696">
        <v>1</v>
      </c>
      <c r="W2696" t="s">
        <v>1047</v>
      </c>
      <c r="AA2696">
        <v>2007</v>
      </c>
      <c r="AB2696">
        <v>9999</v>
      </c>
      <c r="AC2696" t="s">
        <v>35</v>
      </c>
    </row>
    <row r="2697" spans="1:29" x14ac:dyDescent="0.25">
      <c r="A2697" s="31" t="s">
        <v>1446</v>
      </c>
      <c r="B2697" s="23" t="s">
        <v>1470</v>
      </c>
      <c r="D2697">
        <v>1</v>
      </c>
      <c r="E2697" s="4">
        <v>711</v>
      </c>
      <c r="F2697">
        <v>7</v>
      </c>
      <c r="G2697">
        <v>2016</v>
      </c>
      <c r="I2697" s="8">
        <v>134.19999999999999</v>
      </c>
      <c r="J2697" s="2" t="s">
        <v>40</v>
      </c>
      <c r="K2697" t="s">
        <v>32</v>
      </c>
      <c r="O2697">
        <v>0</v>
      </c>
      <c r="P2697">
        <v>0</v>
      </c>
      <c r="Q2697">
        <v>0</v>
      </c>
      <c r="R2697">
        <v>0</v>
      </c>
      <c r="W2697" t="s">
        <v>1448</v>
      </c>
      <c r="AA2697">
        <v>2014</v>
      </c>
      <c r="AB2697">
        <v>9999</v>
      </c>
      <c r="AC2697" t="s">
        <v>1449</v>
      </c>
    </row>
    <row r="2698" spans="1:29" x14ac:dyDescent="0.25">
      <c r="A2698" s="31" t="s">
        <v>159</v>
      </c>
      <c r="B2698" s="23" t="s">
        <v>160</v>
      </c>
      <c r="D2698">
        <v>1</v>
      </c>
      <c r="E2698" t="s">
        <v>155</v>
      </c>
      <c r="F2698">
        <v>3</v>
      </c>
      <c r="G2698">
        <v>2016</v>
      </c>
      <c r="I2698" s="8">
        <v>318.77999999999997</v>
      </c>
      <c r="J2698" t="s">
        <v>121</v>
      </c>
      <c r="K2698" t="s">
        <v>47</v>
      </c>
      <c r="O2698">
        <v>0</v>
      </c>
      <c r="P2698">
        <v>0</v>
      </c>
      <c r="Q2698">
        <v>0</v>
      </c>
      <c r="R2698">
        <v>0</v>
      </c>
      <c r="W2698" t="s">
        <v>1515</v>
      </c>
      <c r="AA2698">
        <v>2007</v>
      </c>
      <c r="AB2698">
        <v>9999</v>
      </c>
      <c r="AC2698" t="s">
        <v>35</v>
      </c>
    </row>
    <row r="2699" spans="1:29" x14ac:dyDescent="0.25">
      <c r="A2699" s="31" t="s">
        <v>165</v>
      </c>
      <c r="B2699" s="23" t="s">
        <v>166</v>
      </c>
      <c r="C2699" t="s">
        <v>167</v>
      </c>
      <c r="D2699">
        <v>1</v>
      </c>
      <c r="E2699" t="s">
        <v>168</v>
      </c>
      <c r="F2699">
        <v>1</v>
      </c>
      <c r="G2699">
        <v>2016</v>
      </c>
      <c r="I2699" s="8">
        <v>145.5</v>
      </c>
      <c r="J2699" t="s">
        <v>52</v>
      </c>
      <c r="K2699" t="s">
        <v>47</v>
      </c>
      <c r="O2699">
        <v>0</v>
      </c>
      <c r="P2699">
        <v>0</v>
      </c>
      <c r="Q2699">
        <v>0</v>
      </c>
      <c r="R2699">
        <v>0</v>
      </c>
      <c r="W2699" t="s">
        <v>1348</v>
      </c>
      <c r="AA2699">
        <v>2007</v>
      </c>
      <c r="AB2699">
        <v>9999</v>
      </c>
      <c r="AC2699" t="s">
        <v>35</v>
      </c>
    </row>
    <row r="2700" spans="1:29" x14ac:dyDescent="0.25">
      <c r="A2700" s="31" t="s">
        <v>165</v>
      </c>
      <c r="B2700" s="23" t="s">
        <v>1349</v>
      </c>
      <c r="D2700">
        <v>1</v>
      </c>
      <c r="E2700" t="s">
        <v>38</v>
      </c>
      <c r="F2700">
        <v>4</v>
      </c>
      <c r="G2700">
        <v>2016</v>
      </c>
      <c r="H2700" t="s">
        <v>205</v>
      </c>
      <c r="I2700">
        <v>5</v>
      </c>
      <c r="J2700" t="s">
        <v>89</v>
      </c>
      <c r="K2700" t="s">
        <v>41</v>
      </c>
      <c r="O2700">
        <v>0</v>
      </c>
      <c r="P2700">
        <v>0</v>
      </c>
      <c r="Q2700">
        <v>0</v>
      </c>
      <c r="R2700">
        <v>0</v>
      </c>
      <c r="W2700" t="s">
        <v>1350</v>
      </c>
      <c r="AA2700">
        <v>2007</v>
      </c>
      <c r="AB2700">
        <v>9999</v>
      </c>
      <c r="AC2700" t="s">
        <v>35</v>
      </c>
    </row>
    <row r="2701" spans="1:29" x14ac:dyDescent="0.25">
      <c r="A2701" s="31" t="s">
        <v>170</v>
      </c>
      <c r="B2701" s="23" t="s">
        <v>171</v>
      </c>
      <c r="D2701">
        <v>1</v>
      </c>
      <c r="E2701" t="s">
        <v>30</v>
      </c>
      <c r="F2701">
        <v>4</v>
      </c>
      <c r="G2701">
        <v>2016</v>
      </c>
      <c r="I2701" s="8">
        <v>48.5</v>
      </c>
      <c r="J2701" t="s">
        <v>1471</v>
      </c>
      <c r="K2701" t="s">
        <v>47</v>
      </c>
      <c r="O2701">
        <v>0</v>
      </c>
      <c r="P2701">
        <v>0</v>
      </c>
      <c r="Q2701">
        <v>0</v>
      </c>
      <c r="R2701">
        <v>0</v>
      </c>
      <c r="W2701" t="s">
        <v>1050</v>
      </c>
      <c r="AA2701">
        <v>2007</v>
      </c>
      <c r="AB2701">
        <v>9999</v>
      </c>
      <c r="AC2701" t="s">
        <v>35</v>
      </c>
    </row>
    <row r="2702" spans="1:29" x14ac:dyDescent="0.25">
      <c r="A2702" s="31" t="s">
        <v>1051</v>
      </c>
      <c r="B2702" s="23" t="s">
        <v>1052</v>
      </c>
      <c r="D2702">
        <v>1</v>
      </c>
      <c r="E2702" t="s">
        <v>30</v>
      </c>
      <c r="F2702">
        <v>4</v>
      </c>
      <c r="G2702">
        <v>2016</v>
      </c>
      <c r="I2702" s="8">
        <v>106.76</v>
      </c>
      <c r="J2702" t="s">
        <v>1471</v>
      </c>
      <c r="K2702" t="s">
        <v>47</v>
      </c>
      <c r="O2702">
        <v>0</v>
      </c>
      <c r="P2702">
        <v>0</v>
      </c>
      <c r="Q2702">
        <v>0</v>
      </c>
      <c r="R2702">
        <v>0</v>
      </c>
      <c r="W2702" t="s">
        <v>1053</v>
      </c>
      <c r="AA2702">
        <v>2008</v>
      </c>
      <c r="AB2702">
        <v>9999</v>
      </c>
      <c r="AC2702" t="s">
        <v>1054</v>
      </c>
    </row>
    <row r="2703" spans="1:29" x14ac:dyDescent="0.25">
      <c r="A2703" s="31" t="s">
        <v>1420</v>
      </c>
      <c r="B2703" s="23" t="s">
        <v>1421</v>
      </c>
      <c r="D2703">
        <v>1</v>
      </c>
      <c r="E2703" s="5">
        <v>10</v>
      </c>
      <c r="F2703">
        <v>10</v>
      </c>
      <c r="G2703">
        <v>2016</v>
      </c>
      <c r="I2703" s="8">
        <v>24.1</v>
      </c>
      <c r="J2703" t="s">
        <v>40</v>
      </c>
      <c r="K2703" t="s">
        <v>41</v>
      </c>
      <c r="O2703">
        <v>0</v>
      </c>
      <c r="P2703">
        <v>0</v>
      </c>
      <c r="Q2703">
        <v>0</v>
      </c>
      <c r="R2703">
        <v>0</v>
      </c>
      <c r="W2703" t="s">
        <v>1422</v>
      </c>
      <c r="AA2703">
        <v>2013</v>
      </c>
      <c r="AB2703">
        <v>2016</v>
      </c>
      <c r="AC2703" t="s">
        <v>1423</v>
      </c>
    </row>
    <row r="2704" spans="1:29" x14ac:dyDescent="0.25">
      <c r="A2704" s="31" t="s">
        <v>173</v>
      </c>
      <c r="B2704" s="23" t="s">
        <v>174</v>
      </c>
      <c r="C2704" t="s">
        <v>175</v>
      </c>
      <c r="D2704">
        <v>1</v>
      </c>
      <c r="E2704" t="s">
        <v>45</v>
      </c>
      <c r="F2704">
        <v>4</v>
      </c>
      <c r="G2704">
        <v>2016</v>
      </c>
      <c r="I2704" s="8">
        <v>137.86000000000001</v>
      </c>
      <c r="J2704" t="s">
        <v>176</v>
      </c>
      <c r="K2704" t="s">
        <v>32</v>
      </c>
      <c r="O2704">
        <v>0</v>
      </c>
      <c r="P2704">
        <v>0</v>
      </c>
      <c r="Q2704">
        <v>0</v>
      </c>
      <c r="R2704">
        <v>0</v>
      </c>
      <c r="W2704" t="s">
        <v>1055</v>
      </c>
      <c r="AA2704">
        <v>2007</v>
      </c>
      <c r="AB2704">
        <v>9999</v>
      </c>
      <c r="AC2704" t="s">
        <v>35</v>
      </c>
    </row>
    <row r="2705" spans="1:29" x14ac:dyDescent="0.25">
      <c r="A2705" s="31" t="s">
        <v>178</v>
      </c>
      <c r="B2705" s="23" t="s">
        <v>1424</v>
      </c>
      <c r="C2705" t="s">
        <v>1425</v>
      </c>
      <c r="D2705">
        <v>1</v>
      </c>
      <c r="E2705" t="s">
        <v>45</v>
      </c>
      <c r="F2705">
        <v>4</v>
      </c>
      <c r="G2705">
        <v>2016</v>
      </c>
      <c r="I2705" s="8">
        <v>14.3</v>
      </c>
      <c r="J2705" t="s">
        <v>52</v>
      </c>
      <c r="K2705" t="s">
        <v>47</v>
      </c>
      <c r="O2705">
        <v>0</v>
      </c>
      <c r="P2705">
        <v>0</v>
      </c>
      <c r="Q2705">
        <v>0</v>
      </c>
      <c r="R2705">
        <v>0</v>
      </c>
      <c r="W2705" t="s">
        <v>1240</v>
      </c>
      <c r="AA2705">
        <v>2007</v>
      </c>
      <c r="AB2705">
        <v>9999</v>
      </c>
      <c r="AC2705" t="s">
        <v>35</v>
      </c>
    </row>
    <row r="2706" spans="1:29" x14ac:dyDescent="0.25">
      <c r="A2706" s="31" t="s">
        <v>181</v>
      </c>
      <c r="B2706" s="23" t="s">
        <v>182</v>
      </c>
      <c r="D2706">
        <v>1</v>
      </c>
      <c r="E2706" t="s">
        <v>38</v>
      </c>
      <c r="F2706">
        <v>4</v>
      </c>
      <c r="G2706">
        <v>2016</v>
      </c>
      <c r="H2706" t="s">
        <v>39</v>
      </c>
      <c r="I2706">
        <v>0.6</v>
      </c>
      <c r="J2706" t="s">
        <v>121</v>
      </c>
      <c r="K2706" t="s">
        <v>41</v>
      </c>
      <c r="O2706">
        <v>0</v>
      </c>
      <c r="P2706">
        <v>0</v>
      </c>
      <c r="Q2706">
        <v>0</v>
      </c>
      <c r="R2706">
        <v>0</v>
      </c>
      <c r="W2706" t="s">
        <v>1057</v>
      </c>
      <c r="AA2706">
        <v>2007</v>
      </c>
      <c r="AB2706">
        <v>9999</v>
      </c>
      <c r="AC2706" t="s">
        <v>35</v>
      </c>
    </row>
    <row r="2707" spans="1:29" x14ac:dyDescent="0.25">
      <c r="A2707" s="31" t="s">
        <v>184</v>
      </c>
      <c r="B2707" s="23" t="s">
        <v>185</v>
      </c>
      <c r="C2707" t="s">
        <v>186</v>
      </c>
      <c r="D2707">
        <v>1</v>
      </c>
      <c r="E2707" t="s">
        <v>45</v>
      </c>
      <c r="F2707">
        <v>4</v>
      </c>
      <c r="G2707">
        <v>2016</v>
      </c>
      <c r="I2707" s="8">
        <v>387.93</v>
      </c>
      <c r="J2707" t="s">
        <v>52</v>
      </c>
      <c r="K2707" t="s">
        <v>32</v>
      </c>
      <c r="O2707">
        <v>0</v>
      </c>
      <c r="P2707">
        <v>0</v>
      </c>
      <c r="Q2707">
        <v>0</v>
      </c>
      <c r="R2707">
        <v>0</v>
      </c>
      <c r="W2707" t="s">
        <v>1287</v>
      </c>
      <c r="AA2707">
        <v>2007</v>
      </c>
      <c r="AB2707">
        <v>9999</v>
      </c>
      <c r="AC2707" t="s">
        <v>35</v>
      </c>
    </row>
    <row r="2708" spans="1:29" x14ac:dyDescent="0.25">
      <c r="A2708" s="31" t="s">
        <v>1059</v>
      </c>
      <c r="B2708" s="23" t="s">
        <v>1060</v>
      </c>
      <c r="D2708">
        <v>1</v>
      </c>
      <c r="E2708" t="s">
        <v>874</v>
      </c>
      <c r="F2708">
        <v>1</v>
      </c>
      <c r="G2708">
        <v>2016</v>
      </c>
      <c r="I2708" s="8">
        <v>6.89</v>
      </c>
      <c r="J2708" t="s">
        <v>52</v>
      </c>
      <c r="K2708" t="s">
        <v>47</v>
      </c>
      <c r="O2708">
        <v>0</v>
      </c>
      <c r="P2708">
        <v>0</v>
      </c>
      <c r="Q2708">
        <v>0</v>
      </c>
      <c r="R2708">
        <v>0</v>
      </c>
      <c r="W2708" t="s">
        <v>1392</v>
      </c>
      <c r="AA2708">
        <v>2008</v>
      </c>
      <c r="AB2708">
        <v>9999</v>
      </c>
      <c r="AC2708" t="s">
        <v>1054</v>
      </c>
    </row>
    <row r="2709" spans="1:29" x14ac:dyDescent="0.25">
      <c r="A2709" s="31" t="s">
        <v>192</v>
      </c>
      <c r="B2709" s="25" t="s">
        <v>193</v>
      </c>
      <c r="D2709">
        <v>1</v>
      </c>
      <c r="E2709" t="s">
        <v>51</v>
      </c>
      <c r="F2709">
        <v>1</v>
      </c>
      <c r="G2709">
        <v>2016</v>
      </c>
      <c r="I2709" s="11">
        <v>55</v>
      </c>
      <c r="J2709" t="s">
        <v>52</v>
      </c>
      <c r="K2709" t="s">
        <v>53</v>
      </c>
      <c r="L2709" t="s">
        <v>54</v>
      </c>
      <c r="O2709">
        <v>0</v>
      </c>
      <c r="P2709">
        <v>0</v>
      </c>
      <c r="Q2709">
        <v>1</v>
      </c>
      <c r="R2709">
        <v>0</v>
      </c>
      <c r="W2709" t="s">
        <v>55</v>
      </c>
      <c r="AA2709">
        <v>2007</v>
      </c>
      <c r="AB2709">
        <v>9999</v>
      </c>
      <c r="AC2709" t="s">
        <v>35</v>
      </c>
    </row>
    <row r="2710" spans="1:29" x14ac:dyDescent="0.25">
      <c r="A2710" s="31" t="s">
        <v>194</v>
      </c>
      <c r="B2710" s="23" t="s">
        <v>195</v>
      </c>
      <c r="C2710" t="s">
        <v>196</v>
      </c>
      <c r="D2710">
        <v>1</v>
      </c>
      <c r="E2710" t="s">
        <v>197</v>
      </c>
      <c r="F2710">
        <v>2</v>
      </c>
      <c r="G2710">
        <v>2016</v>
      </c>
      <c r="I2710" s="8">
        <v>183.36</v>
      </c>
      <c r="J2710" t="s">
        <v>176</v>
      </c>
      <c r="K2710" t="s">
        <v>47</v>
      </c>
      <c r="O2710">
        <v>0</v>
      </c>
      <c r="P2710">
        <v>0</v>
      </c>
      <c r="Q2710">
        <v>0</v>
      </c>
      <c r="R2710">
        <v>0</v>
      </c>
      <c r="W2710" t="s">
        <v>1450</v>
      </c>
      <c r="AA2710">
        <v>2007</v>
      </c>
      <c r="AB2710">
        <v>9999</v>
      </c>
      <c r="AC2710" t="s">
        <v>35</v>
      </c>
    </row>
    <row r="2711" spans="1:29" x14ac:dyDescent="0.25">
      <c r="A2711" s="31" t="s">
        <v>1451</v>
      </c>
      <c r="B2711" s="23" t="s">
        <v>1452</v>
      </c>
      <c r="D2711">
        <v>1</v>
      </c>
      <c r="E2711" s="4">
        <v>760</v>
      </c>
      <c r="F2711">
        <v>7</v>
      </c>
      <c r="G2711">
        <v>2016</v>
      </c>
      <c r="I2711" s="8">
        <v>413.78</v>
      </c>
      <c r="J2711" t="s">
        <v>40</v>
      </c>
      <c r="K2711" t="s">
        <v>47</v>
      </c>
      <c r="O2711">
        <v>0</v>
      </c>
      <c r="P2711">
        <v>0</v>
      </c>
      <c r="Q2711">
        <v>0</v>
      </c>
      <c r="R2711">
        <v>0</v>
      </c>
      <c r="W2711" t="s">
        <v>1453</v>
      </c>
      <c r="AA2711">
        <v>2014</v>
      </c>
      <c r="AB2711">
        <v>9999</v>
      </c>
      <c r="AC2711" t="s">
        <v>1449</v>
      </c>
    </row>
    <row r="2712" spans="1:29" x14ac:dyDescent="0.25">
      <c r="A2712" s="31" t="s">
        <v>203</v>
      </c>
      <c r="B2712" s="23" t="s">
        <v>204</v>
      </c>
      <c r="D2712">
        <v>1</v>
      </c>
      <c r="E2712" t="s">
        <v>201</v>
      </c>
      <c r="F2712">
        <v>1</v>
      </c>
      <c r="G2712">
        <v>2016</v>
      </c>
      <c r="H2712" t="s">
        <v>205</v>
      </c>
      <c r="I2712">
        <v>2</v>
      </c>
      <c r="J2712" t="s">
        <v>52</v>
      </c>
      <c r="K2712" t="s">
        <v>41</v>
      </c>
      <c r="O2712">
        <v>0</v>
      </c>
      <c r="P2712">
        <v>0</v>
      </c>
      <c r="Q2712">
        <v>0</v>
      </c>
      <c r="R2712">
        <v>0</v>
      </c>
      <c r="W2712" t="s">
        <v>1064</v>
      </c>
      <c r="AA2712">
        <v>2007</v>
      </c>
      <c r="AB2712">
        <v>9999</v>
      </c>
      <c r="AC2712" t="s">
        <v>35</v>
      </c>
    </row>
    <row r="2713" spans="1:29" x14ac:dyDescent="0.25">
      <c r="A2713" s="31" t="s">
        <v>207</v>
      </c>
      <c r="B2713" s="23" t="s">
        <v>1472</v>
      </c>
      <c r="C2713" t="s">
        <v>209</v>
      </c>
      <c r="D2713">
        <v>1</v>
      </c>
      <c r="E2713" t="s">
        <v>210</v>
      </c>
      <c r="F2713">
        <v>10</v>
      </c>
      <c r="G2713">
        <v>2016</v>
      </c>
      <c r="I2713" s="8">
        <v>27.18</v>
      </c>
      <c r="J2713" t="s">
        <v>40</v>
      </c>
      <c r="K2713" t="s">
        <v>32</v>
      </c>
      <c r="O2713">
        <v>0</v>
      </c>
      <c r="P2713">
        <v>0</v>
      </c>
      <c r="Q2713">
        <v>0</v>
      </c>
      <c r="R2713">
        <v>0</v>
      </c>
      <c r="W2713" t="s">
        <v>1065</v>
      </c>
      <c r="AA2713">
        <v>2007</v>
      </c>
      <c r="AB2713">
        <v>9999</v>
      </c>
      <c r="AC2713" t="s">
        <v>35</v>
      </c>
    </row>
    <row r="2714" spans="1:29" ht="30" x14ac:dyDescent="0.25">
      <c r="A2714" s="31" t="s">
        <v>212</v>
      </c>
      <c r="B2714" s="23" t="s">
        <v>213</v>
      </c>
      <c r="C2714" t="s">
        <v>214</v>
      </c>
      <c r="D2714">
        <v>1</v>
      </c>
      <c r="E2714" s="4">
        <v>550</v>
      </c>
      <c r="F2714">
        <v>5</v>
      </c>
      <c r="G2714">
        <v>2016</v>
      </c>
      <c r="I2714" s="8">
        <v>46.23</v>
      </c>
      <c r="J2714" s="2" t="s">
        <v>1471</v>
      </c>
      <c r="K2714" t="s">
        <v>32</v>
      </c>
      <c r="O2714">
        <v>0</v>
      </c>
      <c r="P2714">
        <v>0</v>
      </c>
      <c r="Q2714">
        <v>0</v>
      </c>
      <c r="R2714">
        <v>0</v>
      </c>
      <c r="W2714" t="s">
        <v>1288</v>
      </c>
      <c r="AA2714">
        <v>2007</v>
      </c>
      <c r="AB2714">
        <v>9999</v>
      </c>
      <c r="AC2714" t="s">
        <v>35</v>
      </c>
    </row>
    <row r="2715" spans="1:29" x14ac:dyDescent="0.25">
      <c r="A2715" s="31" t="s">
        <v>216</v>
      </c>
      <c r="B2715" s="23" t="s">
        <v>217</v>
      </c>
      <c r="D2715">
        <v>1</v>
      </c>
      <c r="E2715" t="s">
        <v>218</v>
      </c>
      <c r="F2715">
        <v>2</v>
      </c>
      <c r="G2715">
        <v>2016</v>
      </c>
      <c r="I2715" s="8">
        <v>557.59</v>
      </c>
      <c r="J2715" t="s">
        <v>52</v>
      </c>
      <c r="K2715" t="s">
        <v>32</v>
      </c>
      <c r="O2715">
        <v>0</v>
      </c>
      <c r="P2715">
        <v>0</v>
      </c>
      <c r="Q2715">
        <v>0</v>
      </c>
      <c r="R2715">
        <v>0</v>
      </c>
      <c r="W2715" t="s">
        <v>1067</v>
      </c>
      <c r="AA2715">
        <v>2007</v>
      </c>
      <c r="AB2715">
        <v>9999</v>
      </c>
      <c r="AC2715" t="s">
        <v>35</v>
      </c>
    </row>
    <row r="2716" spans="1:29" x14ac:dyDescent="0.25">
      <c r="A2716" s="31" t="s">
        <v>220</v>
      </c>
      <c r="B2716" s="23" t="s">
        <v>221</v>
      </c>
      <c r="D2716">
        <v>1</v>
      </c>
      <c r="E2716" t="s">
        <v>222</v>
      </c>
      <c r="F2716">
        <v>8</v>
      </c>
      <c r="G2716">
        <v>2016</v>
      </c>
      <c r="I2716" s="8">
        <v>36.450000000000003</v>
      </c>
      <c r="J2716" t="s">
        <v>81</v>
      </c>
      <c r="K2716" t="s">
        <v>47</v>
      </c>
      <c r="O2716">
        <v>0</v>
      </c>
      <c r="P2716">
        <v>0</v>
      </c>
      <c r="Q2716">
        <v>0</v>
      </c>
      <c r="R2716">
        <v>0</v>
      </c>
      <c r="W2716" t="s">
        <v>1068</v>
      </c>
      <c r="AA2716">
        <v>2007</v>
      </c>
      <c r="AB2716">
        <v>9999</v>
      </c>
      <c r="AC2716" t="s">
        <v>35</v>
      </c>
    </row>
    <row r="2717" spans="1:29" x14ac:dyDescent="0.25">
      <c r="A2717" s="31" t="s">
        <v>224</v>
      </c>
      <c r="B2717" s="25" t="s">
        <v>225</v>
      </c>
      <c r="D2717">
        <v>1</v>
      </c>
      <c r="E2717" t="s">
        <v>51</v>
      </c>
      <c r="F2717">
        <v>1</v>
      </c>
      <c r="G2717">
        <v>2016</v>
      </c>
      <c r="I2717" s="11">
        <v>53</v>
      </c>
      <c r="J2717" t="s">
        <v>52</v>
      </c>
      <c r="K2717" t="s">
        <v>53</v>
      </c>
      <c r="L2717" t="s">
        <v>54</v>
      </c>
      <c r="O2717">
        <v>0</v>
      </c>
      <c r="P2717">
        <v>0</v>
      </c>
      <c r="Q2717">
        <v>1</v>
      </c>
      <c r="R2717">
        <v>0</v>
      </c>
      <c r="W2717" t="s">
        <v>55</v>
      </c>
      <c r="AA2717">
        <v>2007</v>
      </c>
      <c r="AB2717">
        <v>9999</v>
      </c>
      <c r="AC2717" t="s">
        <v>35</v>
      </c>
    </row>
    <row r="2718" spans="1:29" x14ac:dyDescent="0.25">
      <c r="A2718" s="31" t="s">
        <v>226</v>
      </c>
      <c r="B2718" s="23" t="s">
        <v>227</v>
      </c>
      <c r="C2718" t="s">
        <v>228</v>
      </c>
      <c r="D2718">
        <v>1</v>
      </c>
      <c r="E2718" t="s">
        <v>218</v>
      </c>
      <c r="F2718">
        <v>2</v>
      </c>
      <c r="G2718">
        <v>2016</v>
      </c>
      <c r="I2718" s="8">
        <v>3253.47</v>
      </c>
      <c r="J2718" t="s">
        <v>147</v>
      </c>
      <c r="K2718" t="s">
        <v>32</v>
      </c>
      <c r="O2718">
        <v>0</v>
      </c>
      <c r="P2718">
        <v>0</v>
      </c>
      <c r="Q2718">
        <v>0</v>
      </c>
      <c r="R2718">
        <v>0</v>
      </c>
      <c r="W2718" t="s">
        <v>1069</v>
      </c>
      <c r="AA2718">
        <v>2007</v>
      </c>
      <c r="AB2718">
        <v>9999</v>
      </c>
      <c r="AC2718" t="s">
        <v>35</v>
      </c>
    </row>
    <row r="2719" spans="1:29" x14ac:dyDescent="0.25">
      <c r="A2719" s="31" t="s">
        <v>230</v>
      </c>
      <c r="B2719" s="23" t="s">
        <v>231</v>
      </c>
      <c r="C2719" t="s">
        <v>232</v>
      </c>
      <c r="D2719">
        <v>1</v>
      </c>
      <c r="E2719" t="s">
        <v>145</v>
      </c>
      <c r="F2719">
        <v>2</v>
      </c>
      <c r="G2719">
        <v>2016</v>
      </c>
      <c r="J2719" t="s">
        <v>147</v>
      </c>
      <c r="K2719" t="s">
        <v>47</v>
      </c>
      <c r="O2719">
        <v>0</v>
      </c>
      <c r="P2719">
        <v>0</v>
      </c>
      <c r="Q2719">
        <v>0</v>
      </c>
      <c r="R2719">
        <v>0</v>
      </c>
      <c r="W2719" t="s">
        <v>1070</v>
      </c>
      <c r="AA2719">
        <v>2007</v>
      </c>
      <c r="AB2719">
        <v>9999</v>
      </c>
      <c r="AC2719" t="s">
        <v>35</v>
      </c>
    </row>
    <row r="2720" spans="1:29" x14ac:dyDescent="0.25">
      <c r="A2720" s="31" t="s">
        <v>237</v>
      </c>
      <c r="B2720" s="23" t="s">
        <v>238</v>
      </c>
      <c r="D2720">
        <v>1</v>
      </c>
      <c r="E2720" t="s">
        <v>218</v>
      </c>
      <c r="F2720">
        <v>2</v>
      </c>
      <c r="G2720">
        <v>2016</v>
      </c>
      <c r="I2720" s="8">
        <v>332.47</v>
      </c>
      <c r="J2720" t="s">
        <v>104</v>
      </c>
      <c r="K2720" t="s">
        <v>53</v>
      </c>
      <c r="L2720" t="s">
        <v>105</v>
      </c>
      <c r="O2720">
        <v>0</v>
      </c>
      <c r="P2720">
        <v>0</v>
      </c>
      <c r="Q2720">
        <v>0</v>
      </c>
      <c r="R2720">
        <v>0</v>
      </c>
      <c r="W2720" t="s">
        <v>1072</v>
      </c>
      <c r="AA2720">
        <v>2007</v>
      </c>
      <c r="AB2720">
        <v>9999</v>
      </c>
      <c r="AC2720" t="s">
        <v>35</v>
      </c>
    </row>
    <row r="2721" spans="1:29" x14ac:dyDescent="0.25">
      <c r="A2721" s="31" t="s">
        <v>240</v>
      </c>
      <c r="B2721" s="23" t="s">
        <v>241</v>
      </c>
      <c r="D2721">
        <v>1</v>
      </c>
      <c r="E2721" t="s">
        <v>218</v>
      </c>
      <c r="F2721">
        <v>2</v>
      </c>
      <c r="G2721">
        <v>2016</v>
      </c>
      <c r="I2721" s="8">
        <v>18693.09</v>
      </c>
      <c r="J2721" t="s">
        <v>147</v>
      </c>
      <c r="K2721" t="s">
        <v>47</v>
      </c>
      <c r="O2721">
        <v>0</v>
      </c>
      <c r="P2721">
        <v>0</v>
      </c>
      <c r="Q2721">
        <v>0</v>
      </c>
      <c r="R2721">
        <v>0</v>
      </c>
      <c r="W2721" t="s">
        <v>1073</v>
      </c>
      <c r="AA2721">
        <v>2007</v>
      </c>
      <c r="AB2721">
        <v>9999</v>
      </c>
      <c r="AC2721" t="s">
        <v>35</v>
      </c>
    </row>
    <row r="2722" spans="1:29" x14ac:dyDescent="0.25">
      <c r="A2722" s="31" t="s">
        <v>1289</v>
      </c>
      <c r="B2722" s="23" t="s">
        <v>1290</v>
      </c>
      <c r="D2722">
        <v>1</v>
      </c>
      <c r="E2722" t="s">
        <v>218</v>
      </c>
      <c r="F2722">
        <v>2</v>
      </c>
      <c r="G2722">
        <v>2016</v>
      </c>
      <c r="I2722" s="8">
        <v>4</v>
      </c>
      <c r="J2722" t="s">
        <v>147</v>
      </c>
      <c r="K2722" t="s">
        <v>53</v>
      </c>
      <c r="L2722" t="s">
        <v>60</v>
      </c>
      <c r="O2722">
        <v>1</v>
      </c>
      <c r="P2722">
        <v>0</v>
      </c>
      <c r="Q2722">
        <v>0</v>
      </c>
      <c r="R2722">
        <v>0</v>
      </c>
      <c r="W2722" t="s">
        <v>1291</v>
      </c>
      <c r="AA2722">
        <v>2010</v>
      </c>
      <c r="AB2722">
        <v>9999</v>
      </c>
      <c r="AC2722" t="s">
        <v>1292</v>
      </c>
    </row>
    <row r="2723" spans="1:29" x14ac:dyDescent="0.25">
      <c r="A2723" s="31" t="s">
        <v>243</v>
      </c>
      <c r="B2723" s="23" t="s">
        <v>244</v>
      </c>
      <c r="D2723">
        <v>1</v>
      </c>
      <c r="E2723" t="s">
        <v>210</v>
      </c>
      <c r="F2723">
        <v>10</v>
      </c>
      <c r="G2723">
        <v>2016</v>
      </c>
      <c r="I2723" s="8">
        <v>11790.46</v>
      </c>
      <c r="J2723" t="s">
        <v>40</v>
      </c>
      <c r="K2723" t="s">
        <v>32</v>
      </c>
      <c r="O2723">
        <v>0</v>
      </c>
      <c r="P2723">
        <v>0</v>
      </c>
      <c r="Q2723">
        <v>0</v>
      </c>
      <c r="R2723">
        <v>0</v>
      </c>
      <c r="W2723" t="s">
        <v>1293</v>
      </c>
      <c r="AA2723">
        <v>2007</v>
      </c>
      <c r="AB2723">
        <v>9999</v>
      </c>
      <c r="AC2723" t="s">
        <v>35</v>
      </c>
    </row>
    <row r="2724" spans="1:29" x14ac:dyDescent="0.25">
      <c r="A2724" s="31" t="s">
        <v>153</v>
      </c>
      <c r="B2724" s="23" t="s">
        <v>1356</v>
      </c>
      <c r="D2724">
        <v>12</v>
      </c>
      <c r="E2724" t="s">
        <v>155</v>
      </c>
      <c r="F2724">
        <v>3</v>
      </c>
      <c r="G2724">
        <v>2016</v>
      </c>
      <c r="I2724">
        <v>1338.0511956521721</v>
      </c>
      <c r="J2724" t="s">
        <v>121</v>
      </c>
      <c r="K2724" t="s">
        <v>53</v>
      </c>
      <c r="L2724" t="s">
        <v>60</v>
      </c>
      <c r="O2724">
        <v>1</v>
      </c>
      <c r="P2724">
        <v>0</v>
      </c>
      <c r="Q2724">
        <v>0</v>
      </c>
      <c r="R2724">
        <v>0</v>
      </c>
      <c r="V2724">
        <v>1</v>
      </c>
      <c r="W2724" t="s">
        <v>477</v>
      </c>
      <c r="AA2724">
        <v>2007</v>
      </c>
      <c r="AB2724">
        <v>9999</v>
      </c>
      <c r="AC2724" t="s">
        <v>35</v>
      </c>
    </row>
    <row r="2725" spans="1:29" x14ac:dyDescent="0.25">
      <c r="A2725" s="31" t="s">
        <v>246</v>
      </c>
      <c r="B2725" s="23" t="s">
        <v>247</v>
      </c>
      <c r="D2725">
        <v>1</v>
      </c>
      <c r="E2725" t="s">
        <v>120</v>
      </c>
      <c r="F2725">
        <v>3</v>
      </c>
      <c r="G2725">
        <v>2016</v>
      </c>
      <c r="H2725" t="s">
        <v>129</v>
      </c>
      <c r="I2725" s="8">
        <v>3.6</v>
      </c>
      <c r="J2725" t="s">
        <v>121</v>
      </c>
      <c r="K2725" t="s">
        <v>41</v>
      </c>
      <c r="O2725">
        <v>0</v>
      </c>
      <c r="P2725">
        <v>0</v>
      </c>
      <c r="Q2725">
        <v>0</v>
      </c>
      <c r="R2725">
        <v>0</v>
      </c>
      <c r="W2725" t="s">
        <v>1075</v>
      </c>
      <c r="AA2725">
        <v>2007</v>
      </c>
      <c r="AB2725">
        <v>9999</v>
      </c>
      <c r="AC2725" t="s">
        <v>35</v>
      </c>
    </row>
    <row r="2726" spans="1:29" x14ac:dyDescent="0.25">
      <c r="A2726" s="31" t="s">
        <v>252</v>
      </c>
      <c r="B2726" s="23" t="s">
        <v>253</v>
      </c>
      <c r="D2726">
        <v>1</v>
      </c>
      <c r="E2726" t="s">
        <v>145</v>
      </c>
      <c r="F2726">
        <v>2</v>
      </c>
      <c r="G2726">
        <v>2016</v>
      </c>
      <c r="H2726" t="s">
        <v>1473</v>
      </c>
      <c r="J2726" s="2" t="s">
        <v>147</v>
      </c>
      <c r="K2726" t="s">
        <v>41</v>
      </c>
      <c r="O2726">
        <v>0</v>
      </c>
      <c r="P2726">
        <v>0</v>
      </c>
      <c r="Q2726">
        <v>0</v>
      </c>
      <c r="R2726">
        <v>0</v>
      </c>
      <c r="W2726" t="s">
        <v>1077</v>
      </c>
      <c r="AA2726">
        <v>2007</v>
      </c>
      <c r="AB2726">
        <v>9999</v>
      </c>
      <c r="AC2726" t="s">
        <v>35</v>
      </c>
    </row>
    <row r="2727" spans="1:29" x14ac:dyDescent="0.25">
      <c r="A2727" s="31" t="s">
        <v>305</v>
      </c>
      <c r="B2727" s="23" t="s">
        <v>1455</v>
      </c>
      <c r="C2727" t="s">
        <v>1456</v>
      </c>
      <c r="D2727">
        <v>1</v>
      </c>
      <c r="E2727" t="s">
        <v>103</v>
      </c>
      <c r="F2727">
        <v>9</v>
      </c>
      <c r="G2727">
        <v>2016</v>
      </c>
      <c r="I2727" s="8">
        <v>102.25</v>
      </c>
      <c r="J2727" s="2" t="s">
        <v>104</v>
      </c>
      <c r="K2727" t="s">
        <v>53</v>
      </c>
      <c r="L2727" t="s">
        <v>105</v>
      </c>
      <c r="O2727">
        <v>0</v>
      </c>
      <c r="P2727">
        <v>1</v>
      </c>
      <c r="Q2727">
        <v>0</v>
      </c>
      <c r="R2727">
        <v>0</v>
      </c>
      <c r="W2727" t="s">
        <v>106</v>
      </c>
      <c r="AA2727">
        <v>2007</v>
      </c>
      <c r="AB2727">
        <v>9999</v>
      </c>
      <c r="AC2727" t="s">
        <v>35</v>
      </c>
    </row>
    <row r="2728" spans="1:29" x14ac:dyDescent="0.25">
      <c r="A2728" s="31" t="s">
        <v>259</v>
      </c>
      <c r="B2728" s="23" t="s">
        <v>260</v>
      </c>
      <c r="C2728" t="s">
        <v>261</v>
      </c>
      <c r="D2728">
        <v>1</v>
      </c>
      <c r="E2728" t="s">
        <v>103</v>
      </c>
      <c r="F2728">
        <v>9</v>
      </c>
      <c r="G2728">
        <v>2016</v>
      </c>
      <c r="I2728" s="8">
        <v>5303.53</v>
      </c>
      <c r="J2728" t="s">
        <v>104</v>
      </c>
      <c r="K2728" t="s">
        <v>53</v>
      </c>
      <c r="L2728" t="s">
        <v>105</v>
      </c>
      <c r="O2728">
        <v>0</v>
      </c>
      <c r="P2728">
        <v>1</v>
      </c>
      <c r="Q2728">
        <v>0</v>
      </c>
      <c r="R2728">
        <v>0</v>
      </c>
      <c r="W2728" t="s">
        <v>106</v>
      </c>
      <c r="AA2728">
        <v>2007</v>
      </c>
      <c r="AB2728">
        <v>9999</v>
      </c>
      <c r="AC2728" t="s">
        <v>35</v>
      </c>
    </row>
    <row r="2729" spans="1:29" x14ac:dyDescent="0.25">
      <c r="A2729" s="31" t="s">
        <v>266</v>
      </c>
      <c r="B2729" s="23" t="s">
        <v>267</v>
      </c>
      <c r="D2729">
        <v>1</v>
      </c>
      <c r="E2729" t="s">
        <v>85</v>
      </c>
      <c r="F2729">
        <v>4</v>
      </c>
      <c r="G2729">
        <v>2016</v>
      </c>
      <c r="I2729">
        <v>9.1</v>
      </c>
      <c r="J2729" t="s">
        <v>268</v>
      </c>
      <c r="K2729" t="s">
        <v>41</v>
      </c>
      <c r="O2729">
        <v>0</v>
      </c>
      <c r="P2729">
        <v>0</v>
      </c>
      <c r="Q2729">
        <v>0</v>
      </c>
      <c r="R2729">
        <v>0</v>
      </c>
      <c r="W2729" t="s">
        <v>1079</v>
      </c>
      <c r="AA2729">
        <v>2007</v>
      </c>
      <c r="AB2729">
        <v>9999</v>
      </c>
      <c r="AC2729" t="s">
        <v>35</v>
      </c>
    </row>
    <row r="2730" spans="1:29" x14ac:dyDescent="0.25">
      <c r="A2730" s="31" t="s">
        <v>1393</v>
      </c>
      <c r="B2730" s="25" t="s">
        <v>1394</v>
      </c>
      <c r="C2730" t="s">
        <v>1395</v>
      </c>
      <c r="D2730">
        <v>1</v>
      </c>
      <c r="E2730" t="s">
        <v>1396</v>
      </c>
      <c r="F2730">
        <v>5</v>
      </c>
      <c r="G2730">
        <v>2016</v>
      </c>
      <c r="I2730" s="8">
        <v>240.93</v>
      </c>
      <c r="J2730" t="s">
        <v>31</v>
      </c>
      <c r="K2730" t="s">
        <v>47</v>
      </c>
      <c r="O2730">
        <v>0</v>
      </c>
      <c r="P2730">
        <v>0</v>
      </c>
      <c r="Q2730">
        <v>0</v>
      </c>
      <c r="R2730">
        <v>0</v>
      </c>
      <c r="W2730" t="s">
        <v>1397</v>
      </c>
      <c r="AA2730">
        <v>2012</v>
      </c>
      <c r="AB2730">
        <v>9999</v>
      </c>
      <c r="AC2730" t="s">
        <v>1398</v>
      </c>
    </row>
    <row r="2731" spans="1:29" x14ac:dyDescent="0.25">
      <c r="A2731" s="31" t="s">
        <v>153</v>
      </c>
      <c r="B2731" s="23" t="s">
        <v>270</v>
      </c>
      <c r="D2731">
        <v>6</v>
      </c>
      <c r="E2731" t="s">
        <v>155</v>
      </c>
      <c r="F2731">
        <v>3</v>
      </c>
      <c r="G2731">
        <v>2016</v>
      </c>
      <c r="I2731">
        <v>665.26079792489895</v>
      </c>
      <c r="J2731" t="s">
        <v>121</v>
      </c>
      <c r="K2731" t="s">
        <v>53</v>
      </c>
      <c r="L2731" t="s">
        <v>60</v>
      </c>
      <c r="O2731">
        <v>1</v>
      </c>
      <c r="P2731">
        <v>0</v>
      </c>
      <c r="Q2731">
        <v>0</v>
      </c>
      <c r="R2731">
        <v>0</v>
      </c>
      <c r="V2731">
        <v>1</v>
      </c>
      <c r="W2731" t="s">
        <v>271</v>
      </c>
      <c r="AA2731">
        <v>2007</v>
      </c>
      <c r="AB2731">
        <v>9999</v>
      </c>
      <c r="AC2731" t="s">
        <v>35</v>
      </c>
    </row>
    <row r="2732" spans="1:29" x14ac:dyDescent="0.25">
      <c r="A2732" s="31" t="s">
        <v>153</v>
      </c>
      <c r="B2732" s="27" t="s">
        <v>272</v>
      </c>
      <c r="D2732">
        <v>8</v>
      </c>
      <c r="E2732" t="s">
        <v>155</v>
      </c>
      <c r="F2732">
        <v>3</v>
      </c>
      <c r="G2732">
        <v>2016</v>
      </c>
      <c r="I2732">
        <v>83.056264822132007</v>
      </c>
      <c r="J2732" s="2" t="s">
        <v>121</v>
      </c>
      <c r="K2732" t="s">
        <v>53</v>
      </c>
      <c r="L2732" t="s">
        <v>60</v>
      </c>
      <c r="O2732">
        <v>1</v>
      </c>
      <c r="P2732">
        <v>0</v>
      </c>
      <c r="Q2732">
        <v>0</v>
      </c>
      <c r="R2732">
        <v>0</v>
      </c>
      <c r="V2732">
        <v>1</v>
      </c>
      <c r="W2732" t="s">
        <v>273</v>
      </c>
      <c r="AA2732">
        <v>2007</v>
      </c>
      <c r="AB2732">
        <v>9999</v>
      </c>
      <c r="AC2732" t="s">
        <v>35</v>
      </c>
    </row>
    <row r="2733" spans="1:29" x14ac:dyDescent="0.25">
      <c r="A2733" s="31" t="s">
        <v>274</v>
      </c>
      <c r="B2733" s="23" t="s">
        <v>275</v>
      </c>
      <c r="C2733" t="s">
        <v>276</v>
      </c>
      <c r="D2733">
        <v>1</v>
      </c>
      <c r="E2733" t="s">
        <v>51</v>
      </c>
      <c r="F2733">
        <v>10</v>
      </c>
      <c r="G2733">
        <v>2016</v>
      </c>
      <c r="H2733" t="s">
        <v>746</v>
      </c>
      <c r="I2733">
        <v>4.3</v>
      </c>
      <c r="J2733" s="2" t="s">
        <v>40</v>
      </c>
      <c r="K2733" t="s">
        <v>41</v>
      </c>
      <c r="O2733">
        <v>0</v>
      </c>
      <c r="P2733">
        <v>0</v>
      </c>
      <c r="Q2733">
        <v>0</v>
      </c>
      <c r="R2733">
        <v>0</v>
      </c>
      <c r="W2733" t="s">
        <v>1399</v>
      </c>
      <c r="AA2733">
        <v>2007</v>
      </c>
      <c r="AB2733">
        <v>9999</v>
      </c>
      <c r="AC2733" t="s">
        <v>35</v>
      </c>
    </row>
    <row r="2734" spans="1:29" x14ac:dyDescent="0.25">
      <c r="A2734" s="31" t="s">
        <v>278</v>
      </c>
      <c r="B2734" s="23" t="s">
        <v>279</v>
      </c>
      <c r="D2734">
        <v>1</v>
      </c>
      <c r="E2734" t="s">
        <v>103</v>
      </c>
      <c r="F2734">
        <v>9</v>
      </c>
      <c r="G2734">
        <v>2016</v>
      </c>
      <c r="I2734" s="8">
        <v>631.39</v>
      </c>
      <c r="J2734" t="s">
        <v>104</v>
      </c>
      <c r="K2734" t="s">
        <v>53</v>
      </c>
      <c r="L2734" t="s">
        <v>105</v>
      </c>
      <c r="O2734">
        <v>0</v>
      </c>
      <c r="P2734">
        <v>1</v>
      </c>
      <c r="Q2734">
        <v>0</v>
      </c>
      <c r="R2734">
        <v>0</v>
      </c>
      <c r="W2734" t="s">
        <v>106</v>
      </c>
      <c r="AA2734">
        <v>2007</v>
      </c>
      <c r="AB2734">
        <v>9999</v>
      </c>
      <c r="AC2734" t="s">
        <v>35</v>
      </c>
    </row>
    <row r="2735" spans="1:29" x14ac:dyDescent="0.25">
      <c r="A2735" s="31" t="s">
        <v>280</v>
      </c>
      <c r="B2735" s="23" t="s">
        <v>281</v>
      </c>
      <c r="D2735">
        <v>1</v>
      </c>
      <c r="E2735" t="s">
        <v>103</v>
      </c>
      <c r="F2735">
        <v>9</v>
      </c>
      <c r="G2735">
        <v>2016</v>
      </c>
      <c r="I2735" s="8">
        <v>617.79999999999995</v>
      </c>
      <c r="J2735" t="s">
        <v>104</v>
      </c>
      <c r="K2735" t="s">
        <v>53</v>
      </c>
      <c r="L2735" t="s">
        <v>105</v>
      </c>
      <c r="O2735">
        <v>0</v>
      </c>
      <c r="P2735">
        <v>1</v>
      </c>
      <c r="Q2735">
        <v>0</v>
      </c>
      <c r="R2735">
        <v>0</v>
      </c>
      <c r="W2735" t="s">
        <v>106</v>
      </c>
      <c r="AA2735">
        <v>2007</v>
      </c>
      <c r="AB2735">
        <v>9999</v>
      </c>
      <c r="AC2735" t="s">
        <v>35</v>
      </c>
    </row>
    <row r="2736" spans="1:29" x14ac:dyDescent="0.25">
      <c r="A2736" s="31" t="s">
        <v>282</v>
      </c>
      <c r="B2736" s="23" t="s">
        <v>283</v>
      </c>
      <c r="D2736">
        <v>1</v>
      </c>
      <c r="E2736" t="s">
        <v>103</v>
      </c>
      <c r="F2736">
        <v>9</v>
      </c>
      <c r="G2736">
        <v>2016</v>
      </c>
      <c r="I2736" s="8">
        <v>572.96</v>
      </c>
      <c r="J2736" t="s">
        <v>104</v>
      </c>
      <c r="K2736" t="s">
        <v>53</v>
      </c>
      <c r="L2736" t="s">
        <v>105</v>
      </c>
      <c r="O2736">
        <v>0</v>
      </c>
      <c r="P2736">
        <v>1</v>
      </c>
      <c r="Q2736">
        <v>0</v>
      </c>
      <c r="R2736">
        <v>0</v>
      </c>
      <c r="W2736" t="s">
        <v>106</v>
      </c>
      <c r="AA2736">
        <v>2007</v>
      </c>
      <c r="AB2736">
        <v>9999</v>
      </c>
      <c r="AC2736" t="s">
        <v>35</v>
      </c>
    </row>
    <row r="2737" spans="1:29" x14ac:dyDescent="0.25">
      <c r="A2737" s="31" t="s">
        <v>284</v>
      </c>
      <c r="B2737" s="23" t="s">
        <v>285</v>
      </c>
      <c r="D2737">
        <v>1</v>
      </c>
      <c r="E2737" t="s">
        <v>103</v>
      </c>
      <c r="F2737">
        <v>9</v>
      </c>
      <c r="G2737">
        <v>2016</v>
      </c>
      <c r="I2737" s="8">
        <v>508.83</v>
      </c>
      <c r="J2737" t="s">
        <v>104</v>
      </c>
      <c r="K2737" t="s">
        <v>53</v>
      </c>
      <c r="L2737" t="s">
        <v>105</v>
      </c>
      <c r="O2737">
        <v>0</v>
      </c>
      <c r="P2737">
        <v>1</v>
      </c>
      <c r="Q2737">
        <v>0</v>
      </c>
      <c r="R2737">
        <v>0</v>
      </c>
      <c r="W2737" t="s">
        <v>106</v>
      </c>
      <c r="AA2737">
        <v>2007</v>
      </c>
      <c r="AB2737">
        <v>9999</v>
      </c>
      <c r="AC2737" t="s">
        <v>35</v>
      </c>
    </row>
    <row r="2738" spans="1:29" x14ac:dyDescent="0.25">
      <c r="A2738" s="31" t="s">
        <v>288</v>
      </c>
      <c r="B2738" s="23" t="s">
        <v>289</v>
      </c>
      <c r="D2738">
        <v>1</v>
      </c>
      <c r="E2738" t="s">
        <v>103</v>
      </c>
      <c r="F2738">
        <v>9</v>
      </c>
      <c r="G2738">
        <v>2016</v>
      </c>
      <c r="I2738" s="8">
        <v>453.24</v>
      </c>
      <c r="J2738" t="s">
        <v>104</v>
      </c>
      <c r="K2738" t="s">
        <v>53</v>
      </c>
      <c r="L2738" t="s">
        <v>105</v>
      </c>
      <c r="O2738">
        <v>0</v>
      </c>
      <c r="P2738">
        <v>1</v>
      </c>
      <c r="Q2738">
        <v>0</v>
      </c>
      <c r="R2738">
        <v>0</v>
      </c>
      <c r="W2738" t="s">
        <v>106</v>
      </c>
      <c r="AA2738">
        <v>2007</v>
      </c>
      <c r="AB2738">
        <v>9999</v>
      </c>
      <c r="AC2738" t="s">
        <v>35</v>
      </c>
    </row>
    <row r="2739" spans="1:29" x14ac:dyDescent="0.25">
      <c r="A2739" s="31" t="s">
        <v>1474</v>
      </c>
      <c r="B2739" s="23" t="s">
        <v>290</v>
      </c>
      <c r="D2739">
        <v>1</v>
      </c>
      <c r="E2739" t="s">
        <v>103</v>
      </c>
      <c r="F2739">
        <v>9</v>
      </c>
      <c r="G2739">
        <v>2016</v>
      </c>
      <c r="I2739" s="8">
        <v>459.94</v>
      </c>
      <c r="J2739" t="s">
        <v>104</v>
      </c>
      <c r="K2739" t="s">
        <v>53</v>
      </c>
      <c r="L2739" t="s">
        <v>105</v>
      </c>
      <c r="O2739">
        <v>0</v>
      </c>
      <c r="P2739">
        <v>1</v>
      </c>
      <c r="Q2739">
        <v>0</v>
      </c>
      <c r="R2739">
        <v>0</v>
      </c>
      <c r="W2739" t="s">
        <v>106</v>
      </c>
      <c r="AA2739">
        <v>2007</v>
      </c>
      <c r="AB2739">
        <v>9999</v>
      </c>
      <c r="AC2739" t="s">
        <v>1475</v>
      </c>
    </row>
    <row r="2740" spans="1:29" x14ac:dyDescent="0.25">
      <c r="A2740" s="31" t="s">
        <v>293</v>
      </c>
      <c r="B2740" s="23" t="s">
        <v>294</v>
      </c>
      <c r="D2740">
        <v>1</v>
      </c>
      <c r="E2740" t="s">
        <v>103</v>
      </c>
      <c r="F2740">
        <v>9</v>
      </c>
      <c r="G2740">
        <v>2016</v>
      </c>
      <c r="I2740" s="8">
        <v>489.94</v>
      </c>
      <c r="J2740" t="s">
        <v>104</v>
      </c>
      <c r="K2740" t="s">
        <v>53</v>
      </c>
      <c r="L2740" t="s">
        <v>105</v>
      </c>
      <c r="O2740">
        <v>0</v>
      </c>
      <c r="P2740">
        <v>1</v>
      </c>
      <c r="Q2740">
        <v>0</v>
      </c>
      <c r="R2740">
        <v>0</v>
      </c>
      <c r="W2740" t="s">
        <v>106</v>
      </c>
      <c r="AA2740">
        <v>2007</v>
      </c>
      <c r="AB2740">
        <v>9999</v>
      </c>
      <c r="AC2740" t="s">
        <v>35</v>
      </c>
    </row>
    <row r="2741" spans="1:29" x14ac:dyDescent="0.25">
      <c r="A2741" s="31" t="s">
        <v>295</v>
      </c>
      <c r="B2741" s="23" t="s">
        <v>296</v>
      </c>
      <c r="D2741">
        <v>1</v>
      </c>
      <c r="E2741" t="s">
        <v>128</v>
      </c>
      <c r="F2741">
        <v>9</v>
      </c>
      <c r="G2741">
        <v>2016</v>
      </c>
      <c r="H2741" t="s">
        <v>1428</v>
      </c>
      <c r="I2741">
        <v>0.1</v>
      </c>
      <c r="J2741" t="s">
        <v>104</v>
      </c>
      <c r="K2741" t="s">
        <v>41</v>
      </c>
      <c r="O2741">
        <v>0</v>
      </c>
      <c r="P2741">
        <v>0</v>
      </c>
      <c r="Q2741">
        <v>0</v>
      </c>
      <c r="R2741">
        <v>0</v>
      </c>
      <c r="W2741" t="s">
        <v>1081</v>
      </c>
      <c r="AA2741">
        <v>2007</v>
      </c>
      <c r="AB2741">
        <v>9999</v>
      </c>
      <c r="AC2741" t="s">
        <v>35</v>
      </c>
    </row>
    <row r="2742" spans="1:29" x14ac:dyDescent="0.25">
      <c r="A2742" s="31" t="s">
        <v>153</v>
      </c>
      <c r="B2742" s="23" t="s">
        <v>1476</v>
      </c>
      <c r="D2742">
        <v>1</v>
      </c>
      <c r="E2742" t="s">
        <v>155</v>
      </c>
      <c r="F2742">
        <v>3</v>
      </c>
      <c r="G2742">
        <v>2016</v>
      </c>
      <c r="I2742" s="11">
        <v>87.972727272726999</v>
      </c>
      <c r="J2742" t="s">
        <v>121</v>
      </c>
      <c r="K2742" t="s">
        <v>53</v>
      </c>
      <c r="L2742" t="s">
        <v>60</v>
      </c>
      <c r="O2742">
        <v>1</v>
      </c>
      <c r="P2742">
        <v>0</v>
      </c>
      <c r="Q2742">
        <v>0</v>
      </c>
      <c r="R2742">
        <v>0</v>
      </c>
      <c r="V2742">
        <v>1</v>
      </c>
      <c r="W2742" t="s">
        <v>304</v>
      </c>
      <c r="AA2742">
        <v>2007</v>
      </c>
      <c r="AB2742">
        <v>9999</v>
      </c>
      <c r="AC2742" t="s">
        <v>35</v>
      </c>
    </row>
    <row r="2743" spans="1:29" x14ac:dyDescent="0.25">
      <c r="A2743" s="31" t="s">
        <v>153</v>
      </c>
      <c r="B2743" s="23" t="s">
        <v>1477</v>
      </c>
      <c r="D2743">
        <v>1</v>
      </c>
      <c r="E2743" t="s">
        <v>155</v>
      </c>
      <c r="F2743">
        <v>3</v>
      </c>
      <c r="G2743">
        <v>2016</v>
      </c>
      <c r="I2743" s="11">
        <v>74.500494071145994</v>
      </c>
      <c r="J2743" t="s">
        <v>121</v>
      </c>
      <c r="K2743" t="s">
        <v>53</v>
      </c>
      <c r="L2743" t="s">
        <v>60</v>
      </c>
      <c r="O2743">
        <v>1</v>
      </c>
      <c r="P2743">
        <v>0</v>
      </c>
      <c r="Q2743">
        <v>0</v>
      </c>
      <c r="R2743">
        <v>0</v>
      </c>
      <c r="V2743">
        <v>1</v>
      </c>
      <c r="W2743" t="s">
        <v>645</v>
      </c>
      <c r="AA2743">
        <v>2007</v>
      </c>
      <c r="AB2743">
        <v>9999</v>
      </c>
      <c r="AC2743" t="s">
        <v>35</v>
      </c>
    </row>
    <row r="2744" spans="1:29" x14ac:dyDescent="0.25">
      <c r="A2744" s="31" t="s">
        <v>307</v>
      </c>
      <c r="B2744" s="23" t="s">
        <v>308</v>
      </c>
      <c r="D2744">
        <v>1</v>
      </c>
      <c r="E2744" t="s">
        <v>309</v>
      </c>
      <c r="F2744">
        <v>10</v>
      </c>
      <c r="G2744">
        <v>2016</v>
      </c>
      <c r="I2744" s="8">
        <v>60.2</v>
      </c>
      <c r="J2744" t="s">
        <v>59</v>
      </c>
      <c r="K2744" t="s">
        <v>47</v>
      </c>
      <c r="O2744">
        <v>0</v>
      </c>
      <c r="P2744">
        <v>0</v>
      </c>
      <c r="Q2744">
        <v>0</v>
      </c>
      <c r="R2744">
        <v>0</v>
      </c>
      <c r="W2744" t="s">
        <v>1083</v>
      </c>
      <c r="AA2744">
        <v>2007</v>
      </c>
      <c r="AB2744">
        <v>9999</v>
      </c>
      <c r="AC2744" t="s">
        <v>35</v>
      </c>
    </row>
    <row r="2745" spans="1:29" x14ac:dyDescent="0.25">
      <c r="A2745" s="31" t="s">
        <v>1294</v>
      </c>
      <c r="B2745" s="23" t="s">
        <v>1295</v>
      </c>
      <c r="C2745" t="s">
        <v>1296</v>
      </c>
      <c r="D2745">
        <v>1</v>
      </c>
      <c r="E2745" t="s">
        <v>95</v>
      </c>
      <c r="F2745">
        <v>10</v>
      </c>
      <c r="G2745">
        <v>2016</v>
      </c>
      <c r="I2745" s="8">
        <v>45.86</v>
      </c>
      <c r="J2745" t="s">
        <v>40</v>
      </c>
      <c r="K2745" t="s">
        <v>47</v>
      </c>
      <c r="O2745">
        <v>0</v>
      </c>
      <c r="P2745">
        <v>0</v>
      </c>
      <c r="Q2745">
        <v>0</v>
      </c>
      <c r="R2745">
        <v>0</v>
      </c>
      <c r="W2745" t="s">
        <v>1297</v>
      </c>
      <c r="AA2745">
        <v>2010</v>
      </c>
      <c r="AB2745">
        <v>9999</v>
      </c>
      <c r="AC2745" t="s">
        <v>1292</v>
      </c>
    </row>
    <row r="2746" spans="1:29" x14ac:dyDescent="0.25">
      <c r="A2746" s="31" t="s">
        <v>311</v>
      </c>
      <c r="B2746" s="23" t="s">
        <v>312</v>
      </c>
      <c r="C2746" t="s">
        <v>313</v>
      </c>
      <c r="D2746">
        <v>1</v>
      </c>
      <c r="E2746" t="s">
        <v>314</v>
      </c>
      <c r="F2746">
        <v>2</v>
      </c>
      <c r="G2746">
        <v>2016</v>
      </c>
      <c r="I2746" s="8">
        <v>26.06</v>
      </c>
      <c r="J2746" t="s">
        <v>176</v>
      </c>
      <c r="K2746" t="s">
        <v>47</v>
      </c>
      <c r="O2746">
        <v>0</v>
      </c>
      <c r="P2746">
        <v>0</v>
      </c>
      <c r="Q2746">
        <v>0</v>
      </c>
      <c r="R2746">
        <v>0</v>
      </c>
      <c r="W2746" t="s">
        <v>1358</v>
      </c>
      <c r="AA2746">
        <v>2007</v>
      </c>
      <c r="AB2746">
        <v>9999</v>
      </c>
      <c r="AC2746" t="s">
        <v>35</v>
      </c>
    </row>
    <row r="2747" spans="1:29" x14ac:dyDescent="0.25">
      <c r="A2747" s="31" t="s">
        <v>1457</v>
      </c>
      <c r="B2747" s="23" t="s">
        <v>1458</v>
      </c>
      <c r="C2747" t="s">
        <v>1459</v>
      </c>
      <c r="D2747">
        <v>1</v>
      </c>
      <c r="E2747" s="4">
        <v>760</v>
      </c>
      <c r="F2747">
        <v>7</v>
      </c>
      <c r="G2747">
        <v>2016</v>
      </c>
      <c r="I2747" s="8">
        <v>608.34</v>
      </c>
      <c r="J2747" t="s">
        <v>40</v>
      </c>
      <c r="K2747" t="s">
        <v>47</v>
      </c>
      <c r="O2747">
        <v>0</v>
      </c>
      <c r="P2747">
        <v>0</v>
      </c>
      <c r="Q2747">
        <v>0</v>
      </c>
      <c r="R2747">
        <v>0</v>
      </c>
      <c r="W2747" t="s">
        <v>1460</v>
      </c>
      <c r="AA2747">
        <v>2014</v>
      </c>
      <c r="AB2747">
        <v>9999</v>
      </c>
      <c r="AC2747" t="s">
        <v>1449</v>
      </c>
    </row>
    <row r="2748" spans="1:29" ht="30" x14ac:dyDescent="0.25">
      <c r="A2748" s="31" t="s">
        <v>316</v>
      </c>
      <c r="B2748" s="24" t="s">
        <v>1461</v>
      </c>
      <c r="C2748" t="s">
        <v>1462</v>
      </c>
      <c r="D2748">
        <v>1</v>
      </c>
      <c r="E2748" t="s">
        <v>318</v>
      </c>
      <c r="F2748">
        <v>4</v>
      </c>
      <c r="G2748">
        <v>2016</v>
      </c>
      <c r="I2748" s="8">
        <v>35.630000000000003</v>
      </c>
      <c r="J2748" t="s">
        <v>59</v>
      </c>
      <c r="K2748" t="s">
        <v>47</v>
      </c>
      <c r="O2748">
        <v>0</v>
      </c>
      <c r="P2748">
        <v>0</v>
      </c>
      <c r="Q2748">
        <v>0</v>
      </c>
      <c r="R2748">
        <v>0</v>
      </c>
      <c r="W2748" t="s">
        <v>1085</v>
      </c>
      <c r="AA2748">
        <v>2007</v>
      </c>
      <c r="AB2748">
        <v>9999</v>
      </c>
      <c r="AC2748" t="s">
        <v>35</v>
      </c>
    </row>
    <row r="2749" spans="1:29" x14ac:dyDescent="0.25">
      <c r="A2749" s="31" t="s">
        <v>324</v>
      </c>
      <c r="B2749" s="23" t="s">
        <v>325</v>
      </c>
      <c r="D2749">
        <v>1</v>
      </c>
      <c r="E2749" t="s">
        <v>103</v>
      </c>
      <c r="F2749">
        <v>9</v>
      </c>
      <c r="G2749">
        <v>2016</v>
      </c>
      <c r="I2749" s="8">
        <v>96.2</v>
      </c>
      <c r="J2749" t="s">
        <v>104</v>
      </c>
      <c r="K2749" t="s">
        <v>47</v>
      </c>
      <c r="O2749">
        <v>0</v>
      </c>
      <c r="P2749">
        <v>0</v>
      </c>
      <c r="Q2749">
        <v>0</v>
      </c>
      <c r="R2749">
        <v>0</v>
      </c>
      <c r="W2749" t="s">
        <v>1086</v>
      </c>
      <c r="AA2749">
        <v>2007</v>
      </c>
      <c r="AB2749">
        <v>9999</v>
      </c>
      <c r="AC2749" t="s">
        <v>35</v>
      </c>
    </row>
    <row r="2750" spans="1:29" x14ac:dyDescent="0.25">
      <c r="A2750" s="31" t="s">
        <v>327</v>
      </c>
      <c r="B2750" s="23" t="s">
        <v>328</v>
      </c>
      <c r="D2750">
        <v>1</v>
      </c>
      <c r="E2750" t="s">
        <v>80</v>
      </c>
      <c r="F2750">
        <v>8</v>
      </c>
      <c r="G2750">
        <v>2016</v>
      </c>
      <c r="I2750" s="8">
        <v>68.92</v>
      </c>
      <c r="J2750" t="s">
        <v>81</v>
      </c>
      <c r="K2750" t="s">
        <v>47</v>
      </c>
      <c r="O2750">
        <v>0</v>
      </c>
      <c r="P2750">
        <v>0</v>
      </c>
      <c r="Q2750">
        <v>0</v>
      </c>
      <c r="R2750">
        <v>0</v>
      </c>
      <c r="W2750" t="s">
        <v>1087</v>
      </c>
      <c r="AA2750">
        <v>2007</v>
      </c>
      <c r="AB2750">
        <v>9999</v>
      </c>
      <c r="AC2750" t="s">
        <v>35</v>
      </c>
    </row>
    <row r="2751" spans="1:29" x14ac:dyDescent="0.25">
      <c r="A2751" s="31" t="s">
        <v>346</v>
      </c>
      <c r="B2751" s="23" t="s">
        <v>347</v>
      </c>
      <c r="D2751">
        <v>1</v>
      </c>
      <c r="E2751" t="s">
        <v>348</v>
      </c>
      <c r="F2751">
        <v>1</v>
      </c>
      <c r="G2751">
        <v>2016</v>
      </c>
      <c r="I2751" s="8">
        <v>31.36</v>
      </c>
      <c r="J2751" t="s">
        <v>121</v>
      </c>
      <c r="K2751" t="s">
        <v>47</v>
      </c>
      <c r="O2751">
        <v>0</v>
      </c>
      <c r="P2751">
        <v>0</v>
      </c>
      <c r="Q2751">
        <v>0</v>
      </c>
      <c r="R2751">
        <v>0</v>
      </c>
      <c r="W2751" t="s">
        <v>349</v>
      </c>
      <c r="AA2751">
        <v>2007</v>
      </c>
      <c r="AB2751">
        <v>9999</v>
      </c>
      <c r="AC2751" t="s">
        <v>35</v>
      </c>
    </row>
    <row r="2752" spans="1:29" x14ac:dyDescent="0.25">
      <c r="A2752" s="31" t="s">
        <v>199</v>
      </c>
      <c r="B2752" s="23" t="s">
        <v>39</v>
      </c>
      <c r="D2752">
        <v>1</v>
      </c>
      <c r="E2752" t="s">
        <v>358</v>
      </c>
      <c r="F2752">
        <v>1</v>
      </c>
      <c r="G2752">
        <v>2016</v>
      </c>
      <c r="I2752" s="8">
        <v>267.48</v>
      </c>
      <c r="J2752" t="s">
        <v>52</v>
      </c>
      <c r="K2752" t="s">
        <v>47</v>
      </c>
      <c r="O2752">
        <v>0</v>
      </c>
      <c r="P2752">
        <v>0</v>
      </c>
      <c r="Q2752">
        <v>0</v>
      </c>
      <c r="R2752">
        <v>0</v>
      </c>
      <c r="W2752" t="s">
        <v>1094</v>
      </c>
      <c r="AA2752">
        <v>2007</v>
      </c>
      <c r="AB2752">
        <v>9999</v>
      </c>
      <c r="AC2752" t="s">
        <v>35</v>
      </c>
    </row>
    <row r="2753" spans="1:29" x14ac:dyDescent="0.25">
      <c r="A2753" s="31" t="s">
        <v>1478</v>
      </c>
      <c r="B2753" s="23" t="s">
        <v>360</v>
      </c>
      <c r="D2753">
        <v>4</v>
      </c>
      <c r="E2753" t="s">
        <v>155</v>
      </c>
      <c r="F2753">
        <v>3</v>
      </c>
      <c r="G2753">
        <v>2016</v>
      </c>
      <c r="I2753">
        <v>405.53910079051298</v>
      </c>
      <c r="J2753" t="s">
        <v>121</v>
      </c>
      <c r="K2753" t="s">
        <v>53</v>
      </c>
      <c r="L2753" t="s">
        <v>60</v>
      </c>
      <c r="O2753">
        <v>1</v>
      </c>
      <c r="P2753">
        <v>0</v>
      </c>
      <c r="Q2753">
        <v>0</v>
      </c>
      <c r="R2753">
        <v>0</v>
      </c>
      <c r="V2753">
        <v>1</v>
      </c>
      <c r="W2753" t="s">
        <v>361</v>
      </c>
      <c r="AA2753">
        <v>2007</v>
      </c>
      <c r="AB2753">
        <v>9999</v>
      </c>
      <c r="AC2753" t="s">
        <v>35</v>
      </c>
    </row>
    <row r="2754" spans="1:29" x14ac:dyDescent="0.25">
      <c r="A2754" s="31" t="s">
        <v>362</v>
      </c>
      <c r="B2754" s="23" t="s">
        <v>363</v>
      </c>
      <c r="D2754">
        <v>1</v>
      </c>
      <c r="E2754" t="s">
        <v>103</v>
      </c>
      <c r="F2754">
        <v>9</v>
      </c>
      <c r="G2754">
        <v>2016</v>
      </c>
      <c r="I2754" s="8">
        <v>1035.7</v>
      </c>
      <c r="J2754" t="s">
        <v>104</v>
      </c>
      <c r="K2754" t="s">
        <v>53</v>
      </c>
      <c r="L2754" t="s">
        <v>105</v>
      </c>
      <c r="O2754">
        <v>0</v>
      </c>
      <c r="P2754">
        <v>1</v>
      </c>
      <c r="Q2754">
        <v>0</v>
      </c>
      <c r="R2754">
        <v>0</v>
      </c>
      <c r="W2754" t="s">
        <v>106</v>
      </c>
      <c r="AA2754">
        <v>2007</v>
      </c>
      <c r="AB2754">
        <v>9999</v>
      </c>
      <c r="AC2754" t="s">
        <v>35</v>
      </c>
    </row>
    <row r="2755" spans="1:29" x14ac:dyDescent="0.25">
      <c r="A2755" s="31" t="s">
        <v>364</v>
      </c>
      <c r="B2755" s="23" t="s">
        <v>365</v>
      </c>
      <c r="C2755" t="s">
        <v>366</v>
      </c>
      <c r="D2755">
        <v>1</v>
      </c>
      <c r="E2755" t="s">
        <v>103</v>
      </c>
      <c r="F2755">
        <v>9</v>
      </c>
      <c r="G2755">
        <v>2016</v>
      </c>
      <c r="I2755" s="8">
        <v>4812.5</v>
      </c>
      <c r="J2755" t="s">
        <v>104</v>
      </c>
      <c r="K2755" t="s">
        <v>53</v>
      </c>
      <c r="L2755" t="s">
        <v>105</v>
      </c>
      <c r="O2755">
        <v>0</v>
      </c>
      <c r="P2755">
        <v>1</v>
      </c>
      <c r="Q2755">
        <v>0</v>
      </c>
      <c r="R2755">
        <v>0</v>
      </c>
      <c r="W2755" t="s">
        <v>106</v>
      </c>
      <c r="AA2755">
        <v>2007</v>
      </c>
      <c r="AB2755">
        <v>9999</v>
      </c>
      <c r="AC2755" t="s">
        <v>35</v>
      </c>
    </row>
    <row r="2756" spans="1:29" x14ac:dyDescent="0.25">
      <c r="A2756" s="31" t="s">
        <v>367</v>
      </c>
      <c r="B2756" s="23" t="s">
        <v>368</v>
      </c>
      <c r="C2756" t="s">
        <v>369</v>
      </c>
      <c r="D2756">
        <v>1</v>
      </c>
      <c r="E2756" t="s">
        <v>370</v>
      </c>
      <c r="F2756">
        <v>5</v>
      </c>
      <c r="G2756">
        <v>2016</v>
      </c>
      <c r="I2756" s="8">
        <v>249.01</v>
      </c>
      <c r="J2756" t="s">
        <v>1471</v>
      </c>
      <c r="K2756" t="s">
        <v>47</v>
      </c>
      <c r="O2756">
        <v>0</v>
      </c>
      <c r="P2756">
        <v>0</v>
      </c>
      <c r="Q2756">
        <v>0</v>
      </c>
      <c r="R2756">
        <v>0</v>
      </c>
      <c r="W2756" t="s">
        <v>1298</v>
      </c>
      <c r="AA2756">
        <v>2007</v>
      </c>
      <c r="AB2756">
        <v>9999</v>
      </c>
      <c r="AC2756" t="s">
        <v>35</v>
      </c>
    </row>
    <row r="2757" spans="1:29" x14ac:dyDescent="0.25">
      <c r="A2757" s="31" t="s">
        <v>372</v>
      </c>
      <c r="B2757" s="23" t="s">
        <v>373</v>
      </c>
      <c r="D2757">
        <v>1</v>
      </c>
      <c r="E2757" t="s">
        <v>45</v>
      </c>
      <c r="F2757">
        <v>4</v>
      </c>
      <c r="G2757">
        <v>2016</v>
      </c>
      <c r="I2757" s="8">
        <v>83.77</v>
      </c>
      <c r="J2757" t="s">
        <v>176</v>
      </c>
      <c r="K2757" t="s">
        <v>47</v>
      </c>
      <c r="O2757">
        <v>0</v>
      </c>
      <c r="P2757">
        <v>0</v>
      </c>
      <c r="Q2757">
        <v>0</v>
      </c>
      <c r="R2757">
        <v>0</v>
      </c>
      <c r="W2757" t="s">
        <v>1429</v>
      </c>
      <c r="AA2757">
        <v>2007</v>
      </c>
      <c r="AB2757">
        <v>9999</v>
      </c>
      <c r="AC2757" t="s">
        <v>35</v>
      </c>
    </row>
    <row r="2758" spans="1:29" x14ac:dyDescent="0.25">
      <c r="A2758" s="31" t="s">
        <v>375</v>
      </c>
      <c r="B2758" s="23" t="s">
        <v>163</v>
      </c>
      <c r="D2758">
        <v>1</v>
      </c>
      <c r="E2758" t="s">
        <v>168</v>
      </c>
      <c r="F2758">
        <v>1</v>
      </c>
      <c r="G2758">
        <v>2016</v>
      </c>
      <c r="I2758" s="8">
        <v>52.25</v>
      </c>
      <c r="J2758" t="s">
        <v>52</v>
      </c>
      <c r="K2758" t="s">
        <v>47</v>
      </c>
      <c r="O2758">
        <v>0</v>
      </c>
      <c r="P2758">
        <v>0</v>
      </c>
      <c r="Q2758">
        <v>0</v>
      </c>
      <c r="R2758">
        <v>0</v>
      </c>
      <c r="W2758" t="s">
        <v>1097</v>
      </c>
      <c r="AA2758">
        <v>2007</v>
      </c>
      <c r="AB2758">
        <v>9999</v>
      </c>
      <c r="AC2758" t="s">
        <v>35</v>
      </c>
    </row>
    <row r="2759" spans="1:29" x14ac:dyDescent="0.25">
      <c r="A2759" s="31" t="s">
        <v>377</v>
      </c>
      <c r="B2759" s="23" t="s">
        <v>378</v>
      </c>
      <c r="D2759">
        <v>1</v>
      </c>
      <c r="E2759" t="s">
        <v>45</v>
      </c>
      <c r="F2759">
        <v>4</v>
      </c>
      <c r="G2759">
        <v>2016</v>
      </c>
      <c r="I2759" s="8">
        <v>142.99</v>
      </c>
      <c r="J2759" t="s">
        <v>89</v>
      </c>
      <c r="K2759" t="s">
        <v>47</v>
      </c>
      <c r="O2759">
        <v>0</v>
      </c>
      <c r="P2759">
        <v>0</v>
      </c>
      <c r="Q2759">
        <v>0</v>
      </c>
      <c r="R2759">
        <v>0</v>
      </c>
      <c r="W2759" t="s">
        <v>1098</v>
      </c>
      <c r="AA2759">
        <v>2007</v>
      </c>
      <c r="AB2759">
        <v>9999</v>
      </c>
      <c r="AC2759" t="s">
        <v>35</v>
      </c>
    </row>
    <row r="2760" spans="1:29" x14ac:dyDescent="0.25">
      <c r="A2760" s="31" t="s">
        <v>380</v>
      </c>
      <c r="B2760" s="23" t="s">
        <v>381</v>
      </c>
      <c r="D2760">
        <v>1</v>
      </c>
      <c r="E2760" t="s">
        <v>103</v>
      </c>
      <c r="F2760">
        <v>9</v>
      </c>
      <c r="G2760">
        <v>2016</v>
      </c>
      <c r="I2760" s="8">
        <v>152.38999999999999</v>
      </c>
      <c r="J2760" t="s">
        <v>104</v>
      </c>
      <c r="K2760" t="s">
        <v>53</v>
      </c>
      <c r="L2760" t="s">
        <v>105</v>
      </c>
      <c r="O2760">
        <v>0</v>
      </c>
      <c r="P2760">
        <v>1</v>
      </c>
      <c r="Q2760">
        <v>0</v>
      </c>
      <c r="R2760">
        <v>0</v>
      </c>
      <c r="W2760" t="s">
        <v>106</v>
      </c>
      <c r="AA2760">
        <v>2007</v>
      </c>
      <c r="AB2760">
        <v>9999</v>
      </c>
      <c r="AC2760" t="s">
        <v>35</v>
      </c>
    </row>
    <row r="2761" spans="1:29" x14ac:dyDescent="0.25">
      <c r="A2761" s="31" t="s">
        <v>382</v>
      </c>
      <c r="B2761" s="23" t="s">
        <v>383</v>
      </c>
      <c r="D2761">
        <v>1</v>
      </c>
      <c r="E2761" t="s">
        <v>80</v>
      </c>
      <c r="F2761">
        <v>8</v>
      </c>
      <c r="G2761">
        <v>2016</v>
      </c>
      <c r="I2761" s="8">
        <v>26.7</v>
      </c>
      <c r="J2761" t="s">
        <v>81</v>
      </c>
      <c r="K2761" t="s">
        <v>32</v>
      </c>
      <c r="O2761">
        <v>0</v>
      </c>
      <c r="P2761">
        <v>0</v>
      </c>
      <c r="Q2761">
        <v>0</v>
      </c>
      <c r="R2761">
        <v>0</v>
      </c>
      <c r="W2761" t="s">
        <v>1099</v>
      </c>
      <c r="AA2761">
        <v>2007</v>
      </c>
      <c r="AB2761">
        <v>9999</v>
      </c>
      <c r="AC2761" t="s">
        <v>35</v>
      </c>
    </row>
    <row r="2762" spans="1:29" x14ac:dyDescent="0.25">
      <c r="A2762" s="31" t="s">
        <v>385</v>
      </c>
      <c r="B2762" s="23" t="s">
        <v>386</v>
      </c>
      <c r="D2762">
        <v>1</v>
      </c>
      <c r="E2762" t="s">
        <v>45</v>
      </c>
      <c r="F2762">
        <v>4</v>
      </c>
      <c r="G2762">
        <v>2016</v>
      </c>
      <c r="I2762" s="8">
        <v>154.82</v>
      </c>
      <c r="J2762" t="s">
        <v>52</v>
      </c>
      <c r="K2762" t="s">
        <v>47</v>
      </c>
      <c r="O2762">
        <v>0</v>
      </c>
      <c r="P2762">
        <v>0</v>
      </c>
      <c r="Q2762">
        <v>0</v>
      </c>
      <c r="R2762">
        <v>0</v>
      </c>
      <c r="W2762" t="s">
        <v>1300</v>
      </c>
      <c r="AA2762">
        <v>2007</v>
      </c>
      <c r="AB2762">
        <v>9999</v>
      </c>
      <c r="AC2762" t="s">
        <v>35</v>
      </c>
    </row>
    <row r="2763" spans="1:29" x14ac:dyDescent="0.25">
      <c r="A2763" s="31" t="s">
        <v>388</v>
      </c>
      <c r="B2763" s="23" t="s">
        <v>389</v>
      </c>
      <c r="D2763">
        <v>1</v>
      </c>
      <c r="E2763" t="s">
        <v>145</v>
      </c>
      <c r="F2763">
        <v>2</v>
      </c>
      <c r="G2763">
        <v>2016</v>
      </c>
      <c r="H2763" t="s">
        <v>185</v>
      </c>
      <c r="J2763" t="s">
        <v>52</v>
      </c>
      <c r="K2763" t="s">
        <v>41</v>
      </c>
      <c r="O2763">
        <v>0</v>
      </c>
      <c r="P2763">
        <v>0</v>
      </c>
      <c r="Q2763">
        <v>0</v>
      </c>
      <c r="R2763">
        <v>0</v>
      </c>
      <c r="W2763" t="s">
        <v>1101</v>
      </c>
      <c r="AA2763">
        <v>2007</v>
      </c>
      <c r="AB2763">
        <v>9999</v>
      </c>
      <c r="AC2763" t="s">
        <v>35</v>
      </c>
    </row>
    <row r="2764" spans="1:29" x14ac:dyDescent="0.25">
      <c r="A2764" s="31" t="s">
        <v>391</v>
      </c>
      <c r="B2764" s="23" t="s">
        <v>392</v>
      </c>
      <c r="D2764">
        <v>1</v>
      </c>
      <c r="E2764" t="s">
        <v>393</v>
      </c>
      <c r="F2764">
        <v>3</v>
      </c>
      <c r="G2764">
        <v>2016</v>
      </c>
      <c r="I2764" s="8">
        <v>9359.98</v>
      </c>
      <c r="J2764" t="s">
        <v>121</v>
      </c>
      <c r="K2764" t="s">
        <v>47</v>
      </c>
      <c r="O2764">
        <v>0</v>
      </c>
      <c r="P2764">
        <v>0</v>
      </c>
      <c r="Q2764">
        <v>0</v>
      </c>
      <c r="R2764">
        <v>0</v>
      </c>
      <c r="W2764" t="s">
        <v>1102</v>
      </c>
      <c r="AA2764">
        <v>2007</v>
      </c>
      <c r="AB2764">
        <v>9999</v>
      </c>
      <c r="AC2764" t="s">
        <v>35</v>
      </c>
    </row>
    <row r="2765" spans="1:29" x14ac:dyDescent="0.25">
      <c r="A2765" s="31" t="s">
        <v>401</v>
      </c>
      <c r="B2765" s="23" t="s">
        <v>402</v>
      </c>
      <c r="D2765">
        <v>1</v>
      </c>
      <c r="E2765" t="s">
        <v>155</v>
      </c>
      <c r="F2765">
        <v>3</v>
      </c>
      <c r="G2765">
        <v>2016</v>
      </c>
      <c r="I2765" s="8">
        <v>2093.9499999999998</v>
      </c>
      <c r="J2765" t="s">
        <v>52</v>
      </c>
      <c r="K2765" t="s">
        <v>47</v>
      </c>
      <c r="O2765">
        <v>0</v>
      </c>
      <c r="P2765">
        <v>0</v>
      </c>
      <c r="Q2765">
        <v>0</v>
      </c>
      <c r="R2765">
        <v>0</v>
      </c>
      <c r="W2765" t="s">
        <v>1105</v>
      </c>
      <c r="AA2765">
        <v>2007</v>
      </c>
      <c r="AB2765">
        <v>9999</v>
      </c>
      <c r="AC2765" t="s">
        <v>35</v>
      </c>
    </row>
    <row r="2766" spans="1:29" x14ac:dyDescent="0.25">
      <c r="A2766" s="31" t="s">
        <v>404</v>
      </c>
      <c r="B2766" s="23" t="s">
        <v>405</v>
      </c>
      <c r="C2766" t="s">
        <v>406</v>
      </c>
      <c r="D2766">
        <v>1</v>
      </c>
      <c r="E2766" t="s">
        <v>358</v>
      </c>
      <c r="F2766">
        <v>1</v>
      </c>
      <c r="G2766">
        <v>2016</v>
      </c>
      <c r="I2766" s="8">
        <v>303.23</v>
      </c>
      <c r="J2766" t="s">
        <v>104</v>
      </c>
      <c r="K2766" t="s">
        <v>47</v>
      </c>
      <c r="O2766">
        <v>0</v>
      </c>
      <c r="P2766">
        <v>0</v>
      </c>
      <c r="Q2766">
        <v>0</v>
      </c>
      <c r="R2766">
        <v>0</v>
      </c>
      <c r="W2766" t="s">
        <v>1245</v>
      </c>
      <c r="AA2766">
        <v>2007</v>
      </c>
      <c r="AB2766">
        <v>9999</v>
      </c>
      <c r="AC2766" t="s">
        <v>35</v>
      </c>
    </row>
    <row r="2767" spans="1:29" x14ac:dyDescent="0.25">
      <c r="A2767" s="31" t="s">
        <v>408</v>
      </c>
      <c r="B2767" s="23" t="s">
        <v>409</v>
      </c>
      <c r="D2767">
        <v>1</v>
      </c>
      <c r="E2767" t="s">
        <v>103</v>
      </c>
      <c r="F2767">
        <v>9</v>
      </c>
      <c r="G2767">
        <v>2016</v>
      </c>
      <c r="I2767" s="8">
        <v>46.15</v>
      </c>
      <c r="J2767" t="s">
        <v>104</v>
      </c>
      <c r="K2767" t="s">
        <v>53</v>
      </c>
      <c r="L2767" t="s">
        <v>105</v>
      </c>
      <c r="O2767">
        <v>0</v>
      </c>
      <c r="P2767">
        <v>1</v>
      </c>
      <c r="Q2767">
        <v>0</v>
      </c>
      <c r="R2767">
        <v>0</v>
      </c>
      <c r="W2767" t="s">
        <v>106</v>
      </c>
      <c r="AA2767">
        <v>2007</v>
      </c>
      <c r="AB2767">
        <v>9999</v>
      </c>
      <c r="AC2767" t="s">
        <v>35</v>
      </c>
    </row>
    <row r="2768" spans="1:29" x14ac:dyDescent="0.25">
      <c r="A2768" s="31" t="s">
        <v>410</v>
      </c>
      <c r="B2768" s="23" t="s">
        <v>411</v>
      </c>
      <c r="C2768" t="s">
        <v>412</v>
      </c>
      <c r="D2768">
        <v>1</v>
      </c>
      <c r="E2768" t="s">
        <v>103</v>
      </c>
      <c r="F2768">
        <v>9</v>
      </c>
      <c r="G2768">
        <v>2016</v>
      </c>
      <c r="I2768" s="8">
        <v>145.05000000000001</v>
      </c>
      <c r="J2768" t="s">
        <v>104</v>
      </c>
      <c r="K2768" t="s">
        <v>53</v>
      </c>
      <c r="L2768" t="s">
        <v>105</v>
      </c>
      <c r="O2768">
        <v>0</v>
      </c>
      <c r="P2768">
        <v>1</v>
      </c>
      <c r="Q2768">
        <v>0</v>
      </c>
      <c r="R2768">
        <v>0</v>
      </c>
      <c r="W2768" t="s">
        <v>106</v>
      </c>
      <c r="AA2768">
        <v>2007</v>
      </c>
      <c r="AB2768">
        <v>9999</v>
      </c>
      <c r="AC2768" t="s">
        <v>35</v>
      </c>
    </row>
    <row r="2769" spans="1:29" x14ac:dyDescent="0.25">
      <c r="A2769" s="31" t="s">
        <v>413</v>
      </c>
      <c r="B2769" s="23" t="s">
        <v>414</v>
      </c>
      <c r="C2769" t="s">
        <v>415</v>
      </c>
      <c r="D2769">
        <v>1</v>
      </c>
      <c r="E2769" t="s">
        <v>103</v>
      </c>
      <c r="F2769">
        <v>9</v>
      </c>
      <c r="G2769">
        <v>2016</v>
      </c>
      <c r="I2769" s="8">
        <v>3616.77</v>
      </c>
      <c r="J2769" t="s">
        <v>104</v>
      </c>
      <c r="K2769" t="s">
        <v>53</v>
      </c>
      <c r="L2769" t="s">
        <v>105</v>
      </c>
      <c r="O2769">
        <v>0</v>
      </c>
      <c r="P2769">
        <v>1</v>
      </c>
      <c r="Q2769">
        <v>0</v>
      </c>
      <c r="R2769">
        <v>0</v>
      </c>
      <c r="W2769" t="s">
        <v>106</v>
      </c>
      <c r="AA2769">
        <v>2007</v>
      </c>
      <c r="AB2769">
        <v>9999</v>
      </c>
      <c r="AC2769" t="s">
        <v>35</v>
      </c>
    </row>
    <row r="2770" spans="1:29" x14ac:dyDescent="0.25">
      <c r="A2770" s="31" t="s">
        <v>416</v>
      </c>
      <c r="B2770" s="23" t="s">
        <v>417</v>
      </c>
      <c r="C2770" t="s">
        <v>418</v>
      </c>
      <c r="D2770">
        <v>1</v>
      </c>
      <c r="E2770" t="s">
        <v>218</v>
      </c>
      <c r="F2770">
        <v>2</v>
      </c>
      <c r="G2770">
        <v>2016</v>
      </c>
      <c r="I2770" s="8">
        <v>721.39</v>
      </c>
      <c r="J2770" t="s">
        <v>147</v>
      </c>
      <c r="K2770" t="s">
        <v>47</v>
      </c>
      <c r="O2770">
        <v>0</v>
      </c>
      <c r="P2770">
        <v>0</v>
      </c>
      <c r="Q2770">
        <v>0</v>
      </c>
      <c r="R2770">
        <v>0</v>
      </c>
      <c r="W2770" t="s">
        <v>1107</v>
      </c>
      <c r="AA2770">
        <v>2007</v>
      </c>
      <c r="AB2770">
        <v>9999</v>
      </c>
      <c r="AC2770" t="s">
        <v>35</v>
      </c>
    </row>
    <row r="2771" spans="1:29" x14ac:dyDescent="0.25">
      <c r="A2771" s="31" t="s">
        <v>420</v>
      </c>
      <c r="B2771" s="23" t="s">
        <v>421</v>
      </c>
      <c r="D2771">
        <v>1</v>
      </c>
      <c r="E2771" t="s">
        <v>38</v>
      </c>
      <c r="F2771">
        <v>4</v>
      </c>
      <c r="G2771">
        <v>2016</v>
      </c>
      <c r="H2771" t="s">
        <v>39</v>
      </c>
      <c r="I2771">
        <v>3.2</v>
      </c>
      <c r="J2771" s="2" t="s">
        <v>1471</v>
      </c>
      <c r="K2771" t="s">
        <v>32</v>
      </c>
      <c r="O2771">
        <v>0</v>
      </c>
      <c r="P2771">
        <v>0</v>
      </c>
      <c r="Q2771">
        <v>0</v>
      </c>
      <c r="R2771">
        <v>0</v>
      </c>
      <c r="W2771" t="s">
        <v>1108</v>
      </c>
      <c r="AA2771">
        <v>2007</v>
      </c>
      <c r="AB2771">
        <v>9999</v>
      </c>
      <c r="AC2771" t="s">
        <v>35</v>
      </c>
    </row>
    <row r="2772" spans="1:29" x14ac:dyDescent="0.25">
      <c r="A2772" s="31" t="s">
        <v>423</v>
      </c>
      <c r="B2772" s="23" t="s">
        <v>424</v>
      </c>
      <c r="D2772">
        <v>1</v>
      </c>
      <c r="E2772" t="s">
        <v>85</v>
      </c>
      <c r="F2772">
        <v>1</v>
      </c>
      <c r="G2772">
        <v>2016</v>
      </c>
      <c r="H2772" t="s">
        <v>303</v>
      </c>
      <c r="I2772">
        <v>7</v>
      </c>
      <c r="J2772" t="s">
        <v>121</v>
      </c>
      <c r="K2772" t="s">
        <v>53</v>
      </c>
      <c r="L2772" t="s">
        <v>425</v>
      </c>
      <c r="O2772">
        <v>0</v>
      </c>
      <c r="P2772">
        <v>0</v>
      </c>
      <c r="Q2772">
        <v>0</v>
      </c>
      <c r="R2772">
        <v>0</v>
      </c>
      <c r="W2772" t="s">
        <v>426</v>
      </c>
      <c r="AA2772">
        <v>2007</v>
      </c>
      <c r="AB2772">
        <v>9999</v>
      </c>
      <c r="AC2772" t="s">
        <v>35</v>
      </c>
    </row>
    <row r="2773" spans="1:29" x14ac:dyDescent="0.25">
      <c r="A2773" s="31" t="s">
        <v>427</v>
      </c>
      <c r="B2773" s="23" t="s">
        <v>1246</v>
      </c>
      <c r="D2773">
        <v>1</v>
      </c>
      <c r="E2773" t="s">
        <v>45</v>
      </c>
      <c r="F2773">
        <v>4</v>
      </c>
      <c r="G2773">
        <v>2016</v>
      </c>
      <c r="I2773" s="8">
        <v>1838.9</v>
      </c>
      <c r="J2773" t="s">
        <v>89</v>
      </c>
      <c r="K2773" t="s">
        <v>32</v>
      </c>
      <c r="O2773">
        <v>0</v>
      </c>
      <c r="P2773">
        <v>0</v>
      </c>
      <c r="Q2773">
        <v>0</v>
      </c>
      <c r="R2773">
        <v>0</v>
      </c>
      <c r="W2773" t="s">
        <v>1301</v>
      </c>
      <c r="AA2773">
        <v>2007</v>
      </c>
      <c r="AB2773">
        <v>9999</v>
      </c>
      <c r="AC2773" t="s">
        <v>35</v>
      </c>
    </row>
    <row r="2774" spans="1:29" x14ac:dyDescent="0.25">
      <c r="A2774" s="31" t="s">
        <v>430</v>
      </c>
      <c r="B2774" s="23" t="s">
        <v>431</v>
      </c>
      <c r="D2774">
        <v>1</v>
      </c>
      <c r="E2774" t="s">
        <v>103</v>
      </c>
      <c r="F2774">
        <v>9</v>
      </c>
      <c r="G2774">
        <v>2016</v>
      </c>
      <c r="I2774" s="8">
        <v>3347.82</v>
      </c>
      <c r="J2774" t="s">
        <v>104</v>
      </c>
      <c r="K2774" t="s">
        <v>53</v>
      </c>
      <c r="L2774" t="s">
        <v>105</v>
      </c>
      <c r="O2774">
        <v>0</v>
      </c>
      <c r="P2774">
        <v>1</v>
      </c>
      <c r="Q2774">
        <v>0</v>
      </c>
      <c r="R2774">
        <v>0</v>
      </c>
      <c r="W2774" t="s">
        <v>106</v>
      </c>
      <c r="AA2774">
        <v>2007</v>
      </c>
      <c r="AB2774">
        <v>9999</v>
      </c>
      <c r="AC2774" t="s">
        <v>35</v>
      </c>
    </row>
    <row r="2775" spans="1:29" x14ac:dyDescent="0.25">
      <c r="A2775" s="31" t="s">
        <v>1302</v>
      </c>
      <c r="B2775" s="23" t="s">
        <v>1303</v>
      </c>
      <c r="D2775">
        <v>1</v>
      </c>
      <c r="E2775" t="s">
        <v>103</v>
      </c>
      <c r="F2775">
        <v>9</v>
      </c>
      <c r="G2775">
        <v>2016</v>
      </c>
      <c r="I2775" s="8">
        <v>1697.92</v>
      </c>
      <c r="J2775" t="s">
        <v>104</v>
      </c>
      <c r="K2775" t="s">
        <v>53</v>
      </c>
      <c r="L2775" t="s">
        <v>105</v>
      </c>
      <c r="O2775">
        <v>0</v>
      </c>
      <c r="P2775">
        <v>1</v>
      </c>
      <c r="Q2775">
        <v>0</v>
      </c>
      <c r="R2775">
        <v>0</v>
      </c>
      <c r="W2775" t="s">
        <v>106</v>
      </c>
      <c r="AA2775">
        <v>2010</v>
      </c>
      <c r="AB2775">
        <v>9999</v>
      </c>
      <c r="AC2775" t="s">
        <v>1292</v>
      </c>
    </row>
    <row r="2776" spans="1:29" ht="30" x14ac:dyDescent="0.25">
      <c r="A2776" s="31" t="s">
        <v>432</v>
      </c>
      <c r="B2776" s="23" t="s">
        <v>433</v>
      </c>
      <c r="D2776">
        <v>1</v>
      </c>
      <c r="E2776" t="s">
        <v>80</v>
      </c>
      <c r="F2776">
        <v>8</v>
      </c>
      <c r="G2776">
        <v>2016</v>
      </c>
      <c r="I2776" s="8">
        <v>55.06</v>
      </c>
      <c r="J2776" t="s">
        <v>81</v>
      </c>
      <c r="K2776" t="s">
        <v>47</v>
      </c>
      <c r="O2776">
        <v>0</v>
      </c>
      <c r="P2776">
        <v>0</v>
      </c>
      <c r="Q2776">
        <v>0</v>
      </c>
      <c r="R2776">
        <v>0</v>
      </c>
      <c r="W2776" t="s">
        <v>1111</v>
      </c>
      <c r="AA2776">
        <v>2007</v>
      </c>
      <c r="AB2776">
        <v>2017</v>
      </c>
      <c r="AC2776" t="s">
        <v>435</v>
      </c>
    </row>
    <row r="2777" spans="1:29" x14ac:dyDescent="0.25">
      <c r="A2777" s="31" t="s">
        <v>439</v>
      </c>
      <c r="B2777" s="23" t="s">
        <v>440</v>
      </c>
      <c r="C2777" t="s">
        <v>441</v>
      </c>
      <c r="D2777">
        <v>1</v>
      </c>
      <c r="E2777" t="s">
        <v>442</v>
      </c>
      <c r="F2777">
        <v>4</v>
      </c>
      <c r="G2777">
        <v>2016</v>
      </c>
      <c r="I2777" s="8">
        <v>499.59</v>
      </c>
      <c r="J2777" t="s">
        <v>89</v>
      </c>
      <c r="K2777" t="s">
        <v>47</v>
      </c>
      <c r="O2777">
        <v>0</v>
      </c>
      <c r="P2777">
        <v>0</v>
      </c>
      <c r="Q2777">
        <v>0</v>
      </c>
      <c r="R2777">
        <v>0</v>
      </c>
      <c r="W2777" t="s">
        <v>1304</v>
      </c>
      <c r="AA2777">
        <v>2007</v>
      </c>
      <c r="AB2777">
        <v>9999</v>
      </c>
      <c r="AC2777" t="s">
        <v>35</v>
      </c>
    </row>
    <row r="2778" spans="1:29" ht="30" x14ac:dyDescent="0.25">
      <c r="B2778" s="23" t="s">
        <v>444</v>
      </c>
      <c r="C2778" t="s">
        <v>445</v>
      </c>
      <c r="D2778">
        <v>5</v>
      </c>
      <c r="E2778" t="s">
        <v>38</v>
      </c>
      <c r="F2778">
        <v>4</v>
      </c>
      <c r="G2778">
        <v>2016</v>
      </c>
      <c r="I2778">
        <v>1.1000000000000001</v>
      </c>
      <c r="J2778" s="2" t="s">
        <v>31</v>
      </c>
      <c r="K2778" t="s">
        <v>41</v>
      </c>
      <c r="O2778">
        <v>0</v>
      </c>
      <c r="P2778">
        <v>0</v>
      </c>
      <c r="Q2778">
        <v>0</v>
      </c>
      <c r="R2778">
        <v>0</v>
      </c>
      <c r="W2778" t="s">
        <v>1114</v>
      </c>
      <c r="AA2778">
        <v>2007</v>
      </c>
      <c r="AB2778">
        <v>9999</v>
      </c>
      <c r="AC2778" t="s">
        <v>35</v>
      </c>
    </row>
    <row r="2779" spans="1:29" x14ac:dyDescent="0.25">
      <c r="A2779" s="31" t="s">
        <v>447</v>
      </c>
      <c r="B2779" s="23" t="s">
        <v>448</v>
      </c>
      <c r="D2779">
        <v>1</v>
      </c>
      <c r="E2779" t="s">
        <v>45</v>
      </c>
      <c r="F2779">
        <v>4</v>
      </c>
      <c r="G2779">
        <v>2016</v>
      </c>
      <c r="I2779" s="8">
        <v>39.299999999999997</v>
      </c>
      <c r="J2779" t="s">
        <v>52</v>
      </c>
      <c r="K2779" t="s">
        <v>32</v>
      </c>
      <c r="O2779">
        <v>0</v>
      </c>
      <c r="P2779">
        <v>0</v>
      </c>
      <c r="Q2779">
        <v>0</v>
      </c>
      <c r="R2779">
        <v>0</v>
      </c>
      <c r="S2779">
        <v>1</v>
      </c>
      <c r="T2779">
        <v>1</v>
      </c>
      <c r="U2779">
        <v>1</v>
      </c>
      <c r="W2779" t="s">
        <v>1115</v>
      </c>
      <c r="AA2779">
        <v>2007</v>
      </c>
      <c r="AB2779">
        <v>9999</v>
      </c>
      <c r="AC2779" t="s">
        <v>35</v>
      </c>
    </row>
    <row r="2780" spans="1:29" x14ac:dyDescent="0.25">
      <c r="A2780" s="31" t="s">
        <v>453</v>
      </c>
      <c r="B2780" s="23" t="s">
        <v>454</v>
      </c>
      <c r="C2780" t="s">
        <v>455</v>
      </c>
      <c r="D2780">
        <v>1</v>
      </c>
      <c r="E2780" t="s">
        <v>456</v>
      </c>
      <c r="F2780">
        <v>4</v>
      </c>
      <c r="G2780">
        <v>2016</v>
      </c>
      <c r="I2780" s="8">
        <v>1133.78</v>
      </c>
      <c r="J2780" t="s">
        <v>89</v>
      </c>
      <c r="K2780" t="s">
        <v>32</v>
      </c>
      <c r="L2780" t="s">
        <v>33</v>
      </c>
      <c r="O2780">
        <v>0</v>
      </c>
      <c r="P2780">
        <v>0</v>
      </c>
      <c r="Q2780">
        <v>0</v>
      </c>
      <c r="R2780">
        <v>1</v>
      </c>
      <c r="W2780" t="s">
        <v>1360</v>
      </c>
      <c r="AA2780">
        <v>2007</v>
      </c>
      <c r="AB2780">
        <v>9999</v>
      </c>
      <c r="AC2780" t="s">
        <v>35</v>
      </c>
    </row>
    <row r="2781" spans="1:29" x14ac:dyDescent="0.25">
      <c r="A2781" s="31" t="s">
        <v>458</v>
      </c>
      <c r="B2781" s="23" t="s">
        <v>459</v>
      </c>
      <c r="D2781">
        <v>1</v>
      </c>
      <c r="E2781" t="s">
        <v>103</v>
      </c>
      <c r="F2781">
        <v>9</v>
      </c>
      <c r="G2781">
        <v>2016</v>
      </c>
      <c r="I2781" s="8">
        <v>1467.67</v>
      </c>
      <c r="J2781" t="s">
        <v>104</v>
      </c>
      <c r="K2781" t="s">
        <v>53</v>
      </c>
      <c r="L2781" t="s">
        <v>105</v>
      </c>
      <c r="O2781">
        <v>0</v>
      </c>
      <c r="P2781">
        <v>1</v>
      </c>
      <c r="Q2781">
        <v>0</v>
      </c>
      <c r="R2781">
        <v>0</v>
      </c>
      <c r="W2781" t="s">
        <v>106</v>
      </c>
      <c r="AA2781">
        <v>2007</v>
      </c>
      <c r="AB2781">
        <v>9999</v>
      </c>
      <c r="AC2781" t="s">
        <v>35</v>
      </c>
    </row>
    <row r="2782" spans="1:29" x14ac:dyDescent="0.25">
      <c r="A2782" s="31" t="s">
        <v>460</v>
      </c>
      <c r="B2782" s="23" t="s">
        <v>461</v>
      </c>
      <c r="D2782">
        <v>1</v>
      </c>
      <c r="E2782" t="s">
        <v>103</v>
      </c>
      <c r="F2782">
        <v>9</v>
      </c>
      <c r="G2782">
        <v>2016</v>
      </c>
      <c r="I2782" s="8">
        <v>6893.25</v>
      </c>
      <c r="J2782" t="s">
        <v>104</v>
      </c>
      <c r="K2782" t="s">
        <v>53</v>
      </c>
      <c r="L2782" t="s">
        <v>105</v>
      </c>
      <c r="O2782">
        <v>0</v>
      </c>
      <c r="P2782">
        <v>1</v>
      </c>
      <c r="Q2782">
        <v>0</v>
      </c>
      <c r="R2782">
        <v>0</v>
      </c>
      <c r="W2782" t="s">
        <v>106</v>
      </c>
      <c r="AA2782">
        <v>2007</v>
      </c>
      <c r="AB2782">
        <v>9999</v>
      </c>
      <c r="AC2782" t="s">
        <v>35</v>
      </c>
    </row>
    <row r="2783" spans="1:29" x14ac:dyDescent="0.25">
      <c r="A2783" s="31" t="s">
        <v>465</v>
      </c>
      <c r="B2783" s="23" t="s">
        <v>466</v>
      </c>
      <c r="C2783" t="s">
        <v>467</v>
      </c>
      <c r="D2783">
        <v>1</v>
      </c>
      <c r="E2783" t="s">
        <v>468</v>
      </c>
      <c r="F2783">
        <v>7</v>
      </c>
      <c r="G2783">
        <v>2016</v>
      </c>
      <c r="I2783" s="8">
        <v>735.13</v>
      </c>
      <c r="J2783" t="s">
        <v>40</v>
      </c>
      <c r="K2783" t="s">
        <v>32</v>
      </c>
      <c r="O2783">
        <v>0</v>
      </c>
      <c r="P2783">
        <v>0</v>
      </c>
      <c r="Q2783">
        <v>0</v>
      </c>
      <c r="R2783">
        <v>0</v>
      </c>
      <c r="W2783" t="s">
        <v>1119</v>
      </c>
      <c r="AA2783">
        <v>2007</v>
      </c>
      <c r="AB2783">
        <v>9999</v>
      </c>
      <c r="AC2783" t="s">
        <v>35</v>
      </c>
    </row>
    <row r="2784" spans="1:29" x14ac:dyDescent="0.25">
      <c r="A2784" s="31" t="s">
        <v>478</v>
      </c>
      <c r="B2784" s="23" t="s">
        <v>479</v>
      </c>
      <c r="D2784">
        <v>1</v>
      </c>
      <c r="E2784" t="s">
        <v>348</v>
      </c>
      <c r="F2784">
        <v>1</v>
      </c>
      <c r="G2784">
        <v>2016</v>
      </c>
      <c r="I2784" s="8">
        <v>100.2</v>
      </c>
      <c r="J2784" t="s">
        <v>52</v>
      </c>
      <c r="K2784" t="s">
        <v>47</v>
      </c>
      <c r="O2784">
        <v>0</v>
      </c>
      <c r="P2784">
        <v>0</v>
      </c>
      <c r="Q2784">
        <v>0</v>
      </c>
      <c r="R2784">
        <v>0</v>
      </c>
      <c r="W2784" t="s">
        <v>1120</v>
      </c>
      <c r="AA2784">
        <v>2007</v>
      </c>
      <c r="AB2784">
        <v>9999</v>
      </c>
      <c r="AC2784" t="s">
        <v>35</v>
      </c>
    </row>
    <row r="2785" spans="1:29" x14ac:dyDescent="0.25">
      <c r="A2785" s="31" t="s">
        <v>481</v>
      </c>
      <c r="B2785" s="23" t="s">
        <v>482</v>
      </c>
      <c r="D2785">
        <v>1</v>
      </c>
      <c r="E2785" t="s">
        <v>348</v>
      </c>
      <c r="F2785">
        <v>1</v>
      </c>
      <c r="G2785">
        <v>2016</v>
      </c>
      <c r="I2785" s="8">
        <v>205.78</v>
      </c>
      <c r="J2785" t="s">
        <v>52</v>
      </c>
      <c r="K2785" t="s">
        <v>47</v>
      </c>
      <c r="O2785">
        <v>0</v>
      </c>
      <c r="P2785">
        <v>0</v>
      </c>
      <c r="Q2785">
        <v>0</v>
      </c>
      <c r="R2785">
        <v>0</v>
      </c>
      <c r="W2785" t="s">
        <v>1120</v>
      </c>
      <c r="AA2785">
        <v>2007</v>
      </c>
      <c r="AB2785">
        <v>9999</v>
      </c>
      <c r="AC2785" t="s">
        <v>35</v>
      </c>
    </row>
    <row r="2786" spans="1:29" x14ac:dyDescent="0.25">
      <c r="A2786" s="31" t="s">
        <v>483</v>
      </c>
      <c r="B2786" s="23" t="s">
        <v>484</v>
      </c>
      <c r="D2786">
        <v>1</v>
      </c>
      <c r="E2786" t="s">
        <v>348</v>
      </c>
      <c r="F2786">
        <v>1</v>
      </c>
      <c r="G2786">
        <v>2016</v>
      </c>
      <c r="I2786" s="8">
        <v>102.21</v>
      </c>
      <c r="J2786" t="s">
        <v>52</v>
      </c>
      <c r="K2786" t="s">
        <v>47</v>
      </c>
      <c r="O2786">
        <v>0</v>
      </c>
      <c r="P2786">
        <v>0</v>
      </c>
      <c r="Q2786">
        <v>0</v>
      </c>
      <c r="R2786">
        <v>0</v>
      </c>
      <c r="W2786" t="s">
        <v>1120</v>
      </c>
      <c r="AA2786">
        <v>2007</v>
      </c>
      <c r="AB2786">
        <v>9999</v>
      </c>
      <c r="AC2786" t="s">
        <v>35</v>
      </c>
    </row>
    <row r="2787" spans="1:29" x14ac:dyDescent="0.25">
      <c r="A2787" s="31" t="s">
        <v>485</v>
      </c>
      <c r="B2787" s="23" t="s">
        <v>486</v>
      </c>
      <c r="D2787">
        <v>1</v>
      </c>
      <c r="E2787" t="s">
        <v>348</v>
      </c>
      <c r="F2787">
        <v>1</v>
      </c>
      <c r="G2787">
        <v>2016</v>
      </c>
      <c r="I2787" s="8">
        <v>165.55</v>
      </c>
      <c r="J2787" t="s">
        <v>52</v>
      </c>
      <c r="K2787" t="s">
        <v>47</v>
      </c>
      <c r="O2787">
        <v>0</v>
      </c>
      <c r="P2787">
        <v>0</v>
      </c>
      <c r="Q2787">
        <v>0</v>
      </c>
      <c r="R2787">
        <v>0</v>
      </c>
      <c r="W2787" t="s">
        <v>1120</v>
      </c>
      <c r="AA2787">
        <v>2007</v>
      </c>
      <c r="AB2787">
        <v>9999</v>
      </c>
      <c r="AC2787" t="s">
        <v>35</v>
      </c>
    </row>
    <row r="2788" spans="1:29" x14ac:dyDescent="0.25">
      <c r="A2788" s="31" t="s">
        <v>487</v>
      </c>
      <c r="B2788" s="23" t="s">
        <v>488</v>
      </c>
      <c r="D2788">
        <v>1</v>
      </c>
      <c r="E2788" t="s">
        <v>348</v>
      </c>
      <c r="F2788">
        <v>1</v>
      </c>
      <c r="G2788">
        <v>2016</v>
      </c>
      <c r="I2788" s="8">
        <v>160.27000000000001</v>
      </c>
      <c r="J2788" t="s">
        <v>52</v>
      </c>
      <c r="K2788" t="s">
        <v>47</v>
      </c>
      <c r="O2788">
        <v>0</v>
      </c>
      <c r="P2788">
        <v>0</v>
      </c>
      <c r="Q2788">
        <v>0</v>
      </c>
      <c r="R2788">
        <v>0</v>
      </c>
      <c r="W2788" t="s">
        <v>1120</v>
      </c>
      <c r="AA2788">
        <v>2007</v>
      </c>
      <c r="AB2788">
        <v>9999</v>
      </c>
      <c r="AC2788" t="s">
        <v>35</v>
      </c>
    </row>
    <row r="2789" spans="1:29" x14ac:dyDescent="0.25">
      <c r="A2789" s="31" t="s">
        <v>489</v>
      </c>
      <c r="B2789" s="23" t="s">
        <v>490</v>
      </c>
      <c r="D2789">
        <v>1</v>
      </c>
      <c r="E2789" t="s">
        <v>348</v>
      </c>
      <c r="F2789">
        <v>1</v>
      </c>
      <c r="G2789">
        <v>2016</v>
      </c>
      <c r="I2789" s="8">
        <v>198.87</v>
      </c>
      <c r="J2789" t="s">
        <v>52</v>
      </c>
      <c r="K2789" t="s">
        <v>47</v>
      </c>
      <c r="O2789">
        <v>0</v>
      </c>
      <c r="P2789">
        <v>0</v>
      </c>
      <c r="Q2789">
        <v>0</v>
      </c>
      <c r="R2789">
        <v>0</v>
      </c>
      <c r="W2789" t="s">
        <v>1120</v>
      </c>
      <c r="AA2789">
        <v>2007</v>
      </c>
      <c r="AB2789">
        <v>9999</v>
      </c>
      <c r="AC2789" t="s">
        <v>35</v>
      </c>
    </row>
    <row r="2790" spans="1:29" x14ac:dyDescent="0.25">
      <c r="A2790" s="31" t="s">
        <v>491</v>
      </c>
      <c r="B2790" s="23" t="s">
        <v>492</v>
      </c>
      <c r="D2790">
        <v>1</v>
      </c>
      <c r="E2790" t="s">
        <v>348</v>
      </c>
      <c r="F2790">
        <v>1</v>
      </c>
      <c r="G2790">
        <v>2016</v>
      </c>
      <c r="I2790" s="8">
        <v>218.4</v>
      </c>
      <c r="J2790" t="s">
        <v>52</v>
      </c>
      <c r="K2790" t="s">
        <v>47</v>
      </c>
      <c r="O2790">
        <v>0</v>
      </c>
      <c r="P2790">
        <v>0</v>
      </c>
      <c r="Q2790">
        <v>0</v>
      </c>
      <c r="R2790">
        <v>0</v>
      </c>
      <c r="W2790" t="s">
        <v>1120</v>
      </c>
      <c r="AA2790">
        <v>2007</v>
      </c>
      <c r="AB2790">
        <v>9999</v>
      </c>
      <c r="AC2790" t="s">
        <v>35</v>
      </c>
    </row>
    <row r="2791" spans="1:29" x14ac:dyDescent="0.25">
      <c r="A2791" s="31" t="s">
        <v>493</v>
      </c>
      <c r="B2791" s="23" t="s">
        <v>494</v>
      </c>
      <c r="D2791">
        <v>1</v>
      </c>
      <c r="E2791" t="s">
        <v>348</v>
      </c>
      <c r="F2791">
        <v>1</v>
      </c>
      <c r="G2791">
        <v>2016</v>
      </c>
      <c r="I2791" s="8">
        <v>176.43</v>
      </c>
      <c r="J2791" t="s">
        <v>52</v>
      </c>
      <c r="K2791" t="s">
        <v>47</v>
      </c>
      <c r="O2791">
        <v>0</v>
      </c>
      <c r="P2791">
        <v>0</v>
      </c>
      <c r="Q2791">
        <v>0</v>
      </c>
      <c r="R2791">
        <v>0</v>
      </c>
      <c r="W2791" t="s">
        <v>1120</v>
      </c>
      <c r="AA2791">
        <v>2007</v>
      </c>
      <c r="AB2791">
        <v>9999</v>
      </c>
      <c r="AC2791" t="s">
        <v>35</v>
      </c>
    </row>
    <row r="2792" spans="1:29" x14ac:dyDescent="0.25">
      <c r="A2792" s="31" t="s">
        <v>495</v>
      </c>
      <c r="B2792" s="23" t="s">
        <v>496</v>
      </c>
      <c r="D2792">
        <v>1</v>
      </c>
      <c r="E2792" t="s">
        <v>348</v>
      </c>
      <c r="F2792">
        <v>1</v>
      </c>
      <c r="G2792">
        <v>2016</v>
      </c>
      <c r="I2792" s="8">
        <v>146.16</v>
      </c>
      <c r="J2792" t="s">
        <v>52</v>
      </c>
      <c r="K2792" t="s">
        <v>47</v>
      </c>
      <c r="O2792">
        <v>0</v>
      </c>
      <c r="P2792">
        <v>0</v>
      </c>
      <c r="Q2792">
        <v>0</v>
      </c>
      <c r="R2792">
        <v>0</v>
      </c>
      <c r="W2792" t="s">
        <v>1120</v>
      </c>
      <c r="AA2792">
        <v>2007</v>
      </c>
      <c r="AB2792">
        <v>9999</v>
      </c>
      <c r="AC2792" t="s">
        <v>35</v>
      </c>
    </row>
    <row r="2793" spans="1:29" x14ac:dyDescent="0.25">
      <c r="A2793" s="31" t="s">
        <v>497</v>
      </c>
      <c r="B2793" s="23" t="s">
        <v>498</v>
      </c>
      <c r="D2793">
        <v>1</v>
      </c>
      <c r="E2793" t="s">
        <v>348</v>
      </c>
      <c r="F2793">
        <v>1</v>
      </c>
      <c r="G2793">
        <v>2016</v>
      </c>
      <c r="I2793" s="8">
        <v>252.44</v>
      </c>
      <c r="J2793" t="s">
        <v>52</v>
      </c>
      <c r="K2793" t="s">
        <v>47</v>
      </c>
      <c r="O2793">
        <v>0</v>
      </c>
      <c r="P2793">
        <v>0</v>
      </c>
      <c r="Q2793">
        <v>0</v>
      </c>
      <c r="R2793">
        <v>0</v>
      </c>
      <c r="W2793" t="s">
        <v>1120</v>
      </c>
      <c r="AA2793">
        <v>2007</v>
      </c>
      <c r="AB2793">
        <v>9999</v>
      </c>
      <c r="AC2793" t="s">
        <v>35</v>
      </c>
    </row>
    <row r="2794" spans="1:29" x14ac:dyDescent="0.25">
      <c r="A2794" s="31" t="s">
        <v>499</v>
      </c>
      <c r="B2794" s="23" t="s">
        <v>500</v>
      </c>
      <c r="D2794">
        <v>1</v>
      </c>
      <c r="E2794" t="s">
        <v>348</v>
      </c>
      <c r="F2794">
        <v>1</v>
      </c>
      <c r="G2794">
        <v>2016</v>
      </c>
      <c r="I2794" s="8">
        <v>433.93</v>
      </c>
      <c r="J2794" t="s">
        <v>52</v>
      </c>
      <c r="K2794" t="s">
        <v>47</v>
      </c>
      <c r="O2794">
        <v>0</v>
      </c>
      <c r="P2794">
        <v>0</v>
      </c>
      <c r="Q2794">
        <v>0</v>
      </c>
      <c r="R2794">
        <v>0</v>
      </c>
      <c r="W2794" t="s">
        <v>1120</v>
      </c>
      <c r="AA2794">
        <v>2007</v>
      </c>
      <c r="AB2794">
        <v>9999</v>
      </c>
      <c r="AC2794" t="s">
        <v>35</v>
      </c>
    </row>
    <row r="2795" spans="1:29" x14ac:dyDescent="0.25">
      <c r="A2795" s="31" t="s">
        <v>501</v>
      </c>
      <c r="B2795" s="23" t="s">
        <v>502</v>
      </c>
      <c r="D2795">
        <v>1</v>
      </c>
      <c r="E2795" t="s">
        <v>348</v>
      </c>
      <c r="F2795">
        <v>1</v>
      </c>
      <c r="G2795">
        <v>2016</v>
      </c>
      <c r="I2795" s="8">
        <v>396.74</v>
      </c>
      <c r="J2795" t="s">
        <v>52</v>
      </c>
      <c r="K2795" t="s">
        <v>47</v>
      </c>
      <c r="O2795">
        <v>0</v>
      </c>
      <c r="P2795">
        <v>0</v>
      </c>
      <c r="Q2795">
        <v>0</v>
      </c>
      <c r="R2795">
        <v>0</v>
      </c>
      <c r="W2795" t="s">
        <v>1120</v>
      </c>
      <c r="AA2795">
        <v>2007</v>
      </c>
      <c r="AB2795">
        <v>9999</v>
      </c>
      <c r="AC2795" t="s">
        <v>35</v>
      </c>
    </row>
    <row r="2796" spans="1:29" x14ac:dyDescent="0.25">
      <c r="A2796" s="31" t="s">
        <v>503</v>
      </c>
      <c r="B2796" s="23" t="s">
        <v>504</v>
      </c>
      <c r="D2796">
        <v>1</v>
      </c>
      <c r="E2796" t="s">
        <v>348</v>
      </c>
      <c r="F2796">
        <v>1</v>
      </c>
      <c r="G2796">
        <v>2016</v>
      </c>
      <c r="I2796" s="8">
        <v>130.57</v>
      </c>
      <c r="J2796" t="s">
        <v>52</v>
      </c>
      <c r="K2796" t="s">
        <v>47</v>
      </c>
      <c r="O2796">
        <v>0</v>
      </c>
      <c r="P2796">
        <v>0</v>
      </c>
      <c r="Q2796">
        <v>0</v>
      </c>
      <c r="R2796">
        <v>0</v>
      </c>
      <c r="W2796" t="s">
        <v>1120</v>
      </c>
      <c r="AA2796">
        <v>2007</v>
      </c>
      <c r="AB2796">
        <v>9999</v>
      </c>
      <c r="AC2796" t="s">
        <v>35</v>
      </c>
    </row>
    <row r="2797" spans="1:29" x14ac:dyDescent="0.25">
      <c r="A2797" s="31" t="s">
        <v>505</v>
      </c>
      <c r="B2797" s="23" t="s">
        <v>506</v>
      </c>
      <c r="D2797">
        <v>1</v>
      </c>
      <c r="E2797" t="s">
        <v>348</v>
      </c>
      <c r="F2797">
        <v>1</v>
      </c>
      <c r="G2797">
        <v>2016</v>
      </c>
      <c r="I2797" s="8">
        <v>160.1</v>
      </c>
      <c r="J2797" t="s">
        <v>52</v>
      </c>
      <c r="K2797" t="s">
        <v>47</v>
      </c>
      <c r="O2797">
        <v>0</v>
      </c>
      <c r="P2797">
        <v>0</v>
      </c>
      <c r="Q2797">
        <v>0</v>
      </c>
      <c r="R2797">
        <v>0</v>
      </c>
      <c r="W2797" t="s">
        <v>1120</v>
      </c>
      <c r="AA2797">
        <v>2007</v>
      </c>
      <c r="AB2797">
        <v>9999</v>
      </c>
      <c r="AC2797" t="s">
        <v>35</v>
      </c>
    </row>
    <row r="2798" spans="1:29" x14ac:dyDescent="0.25">
      <c r="A2798" s="31" t="s">
        <v>507</v>
      </c>
      <c r="B2798" s="23" t="s">
        <v>508</v>
      </c>
      <c r="D2798">
        <v>1</v>
      </c>
      <c r="E2798" t="s">
        <v>348</v>
      </c>
      <c r="F2798">
        <v>1</v>
      </c>
      <c r="G2798">
        <v>2016</v>
      </c>
      <c r="I2798" s="8">
        <v>158.26</v>
      </c>
      <c r="J2798" t="s">
        <v>52</v>
      </c>
      <c r="K2798" t="s">
        <v>47</v>
      </c>
      <c r="O2798">
        <v>0</v>
      </c>
      <c r="P2798">
        <v>0</v>
      </c>
      <c r="Q2798">
        <v>0</v>
      </c>
      <c r="R2798">
        <v>0</v>
      </c>
      <c r="W2798" t="s">
        <v>1120</v>
      </c>
      <c r="AA2798">
        <v>2007</v>
      </c>
      <c r="AB2798">
        <v>9999</v>
      </c>
      <c r="AC2798" t="s">
        <v>35</v>
      </c>
    </row>
    <row r="2799" spans="1:29" x14ac:dyDescent="0.25">
      <c r="A2799" s="31" t="s">
        <v>509</v>
      </c>
      <c r="B2799" s="23" t="s">
        <v>510</v>
      </c>
      <c r="D2799">
        <v>1</v>
      </c>
      <c r="E2799" t="s">
        <v>348</v>
      </c>
      <c r="F2799">
        <v>1</v>
      </c>
      <c r="G2799">
        <v>2016</v>
      </c>
      <c r="I2799" s="8">
        <v>221.89</v>
      </c>
      <c r="J2799" t="s">
        <v>52</v>
      </c>
      <c r="K2799" t="s">
        <v>47</v>
      </c>
      <c r="O2799">
        <v>0</v>
      </c>
      <c r="P2799">
        <v>0</v>
      </c>
      <c r="Q2799">
        <v>0</v>
      </c>
      <c r="R2799">
        <v>0</v>
      </c>
      <c r="W2799" t="s">
        <v>1120</v>
      </c>
      <c r="AA2799">
        <v>2007</v>
      </c>
      <c r="AB2799">
        <v>9999</v>
      </c>
      <c r="AC2799" t="s">
        <v>35</v>
      </c>
    </row>
    <row r="2800" spans="1:29" x14ac:dyDescent="0.25">
      <c r="A2800" s="31" t="s">
        <v>511</v>
      </c>
      <c r="B2800" s="23" t="s">
        <v>512</v>
      </c>
      <c r="D2800">
        <v>1</v>
      </c>
      <c r="E2800" t="s">
        <v>348</v>
      </c>
      <c r="F2800">
        <v>1</v>
      </c>
      <c r="G2800">
        <v>2016</v>
      </c>
      <c r="I2800" s="8">
        <v>209.58</v>
      </c>
      <c r="J2800" t="s">
        <v>52</v>
      </c>
      <c r="K2800" t="s">
        <v>47</v>
      </c>
      <c r="O2800">
        <v>0</v>
      </c>
      <c r="P2800">
        <v>0</v>
      </c>
      <c r="Q2800">
        <v>0</v>
      </c>
      <c r="R2800">
        <v>0</v>
      </c>
      <c r="W2800" t="s">
        <v>1120</v>
      </c>
      <c r="AA2800">
        <v>2007</v>
      </c>
      <c r="AB2800">
        <v>9999</v>
      </c>
      <c r="AC2800" t="s">
        <v>35</v>
      </c>
    </row>
    <row r="2801" spans="1:29" x14ac:dyDescent="0.25">
      <c r="A2801" s="31" t="s">
        <v>513</v>
      </c>
      <c r="B2801" s="23" t="s">
        <v>514</v>
      </c>
      <c r="D2801">
        <v>1</v>
      </c>
      <c r="E2801" t="s">
        <v>348</v>
      </c>
      <c r="F2801">
        <v>1</v>
      </c>
      <c r="G2801">
        <v>2016</v>
      </c>
      <c r="I2801" s="8">
        <v>149.72</v>
      </c>
      <c r="J2801" t="s">
        <v>52</v>
      </c>
      <c r="K2801" t="s">
        <v>47</v>
      </c>
      <c r="O2801">
        <v>0</v>
      </c>
      <c r="P2801">
        <v>0</v>
      </c>
      <c r="Q2801">
        <v>0</v>
      </c>
      <c r="R2801">
        <v>0</v>
      </c>
      <c r="W2801" t="s">
        <v>1120</v>
      </c>
      <c r="AA2801">
        <v>2007</v>
      </c>
      <c r="AB2801">
        <v>9999</v>
      </c>
      <c r="AC2801" t="s">
        <v>35</v>
      </c>
    </row>
    <row r="2802" spans="1:29" x14ac:dyDescent="0.25">
      <c r="A2802" s="31" t="s">
        <v>515</v>
      </c>
      <c r="B2802" s="23" t="s">
        <v>516</v>
      </c>
      <c r="D2802">
        <v>1</v>
      </c>
      <c r="E2802" t="s">
        <v>348</v>
      </c>
      <c r="F2802">
        <v>1</v>
      </c>
      <c r="G2802">
        <v>2016</v>
      </c>
      <c r="I2802" s="8">
        <v>724.29</v>
      </c>
      <c r="J2802" t="s">
        <v>52</v>
      </c>
      <c r="K2802" t="s">
        <v>47</v>
      </c>
      <c r="O2802">
        <v>0</v>
      </c>
      <c r="P2802">
        <v>0</v>
      </c>
      <c r="Q2802">
        <v>0</v>
      </c>
      <c r="R2802">
        <v>0</v>
      </c>
      <c r="W2802" t="s">
        <v>1120</v>
      </c>
      <c r="AA2802">
        <v>2007</v>
      </c>
      <c r="AB2802">
        <v>9999</v>
      </c>
      <c r="AC2802" t="s">
        <v>35</v>
      </c>
    </row>
    <row r="2803" spans="1:29" x14ac:dyDescent="0.25">
      <c r="A2803" s="31" t="s">
        <v>517</v>
      </c>
      <c r="B2803" s="23" t="s">
        <v>518</v>
      </c>
      <c r="D2803">
        <v>1</v>
      </c>
      <c r="E2803" t="s">
        <v>348</v>
      </c>
      <c r="F2803">
        <v>1</v>
      </c>
      <c r="G2803">
        <v>2016</v>
      </c>
      <c r="I2803" s="8">
        <v>154.03</v>
      </c>
      <c r="J2803" t="s">
        <v>52</v>
      </c>
      <c r="K2803" t="s">
        <v>47</v>
      </c>
      <c r="O2803">
        <v>0</v>
      </c>
      <c r="P2803">
        <v>0</v>
      </c>
      <c r="Q2803">
        <v>0</v>
      </c>
      <c r="R2803">
        <v>0</v>
      </c>
      <c r="W2803" t="s">
        <v>1120</v>
      </c>
      <c r="AA2803">
        <v>2007</v>
      </c>
      <c r="AB2803">
        <v>9999</v>
      </c>
      <c r="AC2803" t="s">
        <v>35</v>
      </c>
    </row>
    <row r="2804" spans="1:29" x14ac:dyDescent="0.25">
      <c r="A2804" s="31" t="s">
        <v>519</v>
      </c>
      <c r="B2804" s="23" t="s">
        <v>520</v>
      </c>
      <c r="D2804">
        <v>1</v>
      </c>
      <c r="E2804" t="s">
        <v>348</v>
      </c>
      <c r="F2804">
        <v>1</v>
      </c>
      <c r="G2804">
        <v>2016</v>
      </c>
      <c r="I2804" s="8">
        <v>196.56</v>
      </c>
      <c r="J2804" t="s">
        <v>52</v>
      </c>
      <c r="K2804" t="s">
        <v>47</v>
      </c>
      <c r="O2804">
        <v>0</v>
      </c>
      <c r="P2804">
        <v>0</v>
      </c>
      <c r="Q2804">
        <v>0</v>
      </c>
      <c r="R2804">
        <v>0</v>
      </c>
      <c r="W2804" t="s">
        <v>1120</v>
      </c>
      <c r="AA2804">
        <v>2007</v>
      </c>
      <c r="AB2804">
        <v>9999</v>
      </c>
      <c r="AC2804" t="s">
        <v>35</v>
      </c>
    </row>
    <row r="2805" spans="1:29" x14ac:dyDescent="0.25">
      <c r="A2805" s="31" t="s">
        <v>523</v>
      </c>
      <c r="B2805" s="23" t="s">
        <v>524</v>
      </c>
      <c r="D2805">
        <v>1</v>
      </c>
      <c r="E2805" t="s">
        <v>103</v>
      </c>
      <c r="F2805">
        <v>9</v>
      </c>
      <c r="G2805">
        <v>2016</v>
      </c>
      <c r="I2805" s="8">
        <v>1275.3699999999999</v>
      </c>
      <c r="J2805" t="s">
        <v>104</v>
      </c>
      <c r="K2805" t="s">
        <v>53</v>
      </c>
      <c r="L2805" t="s">
        <v>105</v>
      </c>
      <c r="O2805">
        <v>0</v>
      </c>
      <c r="P2805">
        <v>1</v>
      </c>
      <c r="Q2805">
        <v>0</v>
      </c>
      <c r="R2805">
        <v>0</v>
      </c>
      <c r="W2805" t="s">
        <v>106</v>
      </c>
      <c r="AA2805">
        <v>2007</v>
      </c>
      <c r="AB2805">
        <v>9999</v>
      </c>
      <c r="AC2805" t="s">
        <v>35</v>
      </c>
    </row>
    <row r="2806" spans="1:29" x14ac:dyDescent="0.25">
      <c r="A2806" s="31" t="s">
        <v>525</v>
      </c>
      <c r="B2806" s="23" t="s">
        <v>526</v>
      </c>
      <c r="D2806">
        <v>1</v>
      </c>
      <c r="E2806" t="s">
        <v>45</v>
      </c>
      <c r="F2806">
        <v>4</v>
      </c>
      <c r="G2806">
        <v>2016</v>
      </c>
      <c r="I2806" s="8">
        <v>6.8</v>
      </c>
      <c r="J2806" t="s">
        <v>121</v>
      </c>
      <c r="K2806" t="s">
        <v>53</v>
      </c>
      <c r="L2806" t="s">
        <v>60</v>
      </c>
      <c r="O2806">
        <v>1</v>
      </c>
      <c r="P2806">
        <v>0</v>
      </c>
      <c r="Q2806">
        <v>0</v>
      </c>
      <c r="R2806">
        <v>0</v>
      </c>
      <c r="T2806">
        <v>1</v>
      </c>
      <c r="U2806">
        <v>1</v>
      </c>
      <c r="W2806" t="s">
        <v>527</v>
      </c>
      <c r="AA2806">
        <v>2007</v>
      </c>
      <c r="AB2806">
        <v>2016</v>
      </c>
      <c r="AC2806" t="s">
        <v>528</v>
      </c>
    </row>
    <row r="2807" spans="1:29" x14ac:dyDescent="0.25">
      <c r="A2807" s="31" t="s">
        <v>529</v>
      </c>
      <c r="B2807" s="23" t="s">
        <v>530</v>
      </c>
      <c r="D2807">
        <v>1</v>
      </c>
      <c r="E2807" t="s">
        <v>58</v>
      </c>
      <c r="F2807">
        <v>4</v>
      </c>
      <c r="G2807">
        <v>2016</v>
      </c>
      <c r="I2807" s="8">
        <v>8.64</v>
      </c>
      <c r="J2807" t="s">
        <v>59</v>
      </c>
      <c r="K2807" t="s">
        <v>47</v>
      </c>
      <c r="O2807">
        <v>0</v>
      </c>
      <c r="P2807">
        <v>0</v>
      </c>
      <c r="Q2807">
        <v>0</v>
      </c>
      <c r="R2807">
        <v>0</v>
      </c>
      <c r="W2807" t="s">
        <v>1121</v>
      </c>
      <c r="AA2807">
        <v>2007</v>
      </c>
      <c r="AB2807">
        <v>9999</v>
      </c>
      <c r="AC2807" t="s">
        <v>35</v>
      </c>
    </row>
    <row r="2808" spans="1:29" x14ac:dyDescent="0.25">
      <c r="A2808" s="31" t="s">
        <v>532</v>
      </c>
      <c r="B2808" s="23" t="s">
        <v>533</v>
      </c>
      <c r="D2808">
        <v>1</v>
      </c>
      <c r="E2808" t="s">
        <v>534</v>
      </c>
      <c r="F2808">
        <v>10</v>
      </c>
      <c r="G2808">
        <v>2016</v>
      </c>
      <c r="I2808" s="8">
        <v>6867.34</v>
      </c>
      <c r="J2808" t="s">
        <v>121</v>
      </c>
      <c r="K2808" t="s">
        <v>47</v>
      </c>
      <c r="O2808">
        <v>0</v>
      </c>
      <c r="P2808">
        <v>0</v>
      </c>
      <c r="Q2808">
        <v>0</v>
      </c>
      <c r="R2808">
        <v>0</v>
      </c>
      <c r="W2808" t="s">
        <v>1122</v>
      </c>
      <c r="AA2808">
        <v>2007</v>
      </c>
      <c r="AB2808">
        <v>9999</v>
      </c>
      <c r="AC2808" t="s">
        <v>35</v>
      </c>
    </row>
    <row r="2809" spans="1:29" x14ac:dyDescent="0.25">
      <c r="A2809" s="31" t="s">
        <v>536</v>
      </c>
      <c r="B2809" s="23" t="s">
        <v>537</v>
      </c>
      <c r="D2809">
        <v>1</v>
      </c>
      <c r="E2809" t="s">
        <v>103</v>
      </c>
      <c r="F2809">
        <v>9</v>
      </c>
      <c r="G2809">
        <v>2016</v>
      </c>
      <c r="I2809" s="8">
        <v>837.65</v>
      </c>
      <c r="J2809" t="s">
        <v>104</v>
      </c>
      <c r="K2809" t="s">
        <v>53</v>
      </c>
      <c r="L2809" t="s">
        <v>105</v>
      </c>
      <c r="O2809">
        <v>0</v>
      </c>
      <c r="P2809">
        <v>1</v>
      </c>
      <c r="Q2809">
        <v>0</v>
      </c>
      <c r="R2809">
        <v>0</v>
      </c>
      <c r="W2809" t="s">
        <v>106</v>
      </c>
      <c r="AA2809">
        <v>2007</v>
      </c>
      <c r="AB2809">
        <v>9999</v>
      </c>
      <c r="AC2809" t="s">
        <v>35</v>
      </c>
    </row>
    <row r="2810" spans="1:29" x14ac:dyDescent="0.25">
      <c r="A2810" s="31" t="s">
        <v>538</v>
      </c>
      <c r="B2810" s="23" t="s">
        <v>539</v>
      </c>
      <c r="D2810">
        <v>1</v>
      </c>
      <c r="E2810" t="s">
        <v>80</v>
      </c>
      <c r="F2810">
        <v>8</v>
      </c>
      <c r="G2810">
        <v>2016</v>
      </c>
      <c r="I2810" s="8">
        <v>128.13999999999999</v>
      </c>
      <c r="J2810" t="s">
        <v>81</v>
      </c>
      <c r="K2810" t="s">
        <v>47</v>
      </c>
      <c r="O2810">
        <v>0</v>
      </c>
      <c r="P2810">
        <v>0</v>
      </c>
      <c r="Q2810">
        <v>0</v>
      </c>
      <c r="R2810">
        <v>0</v>
      </c>
      <c r="W2810" t="s">
        <v>1123</v>
      </c>
      <c r="AA2810">
        <v>2007</v>
      </c>
      <c r="AB2810">
        <v>9999</v>
      </c>
      <c r="AC2810" t="s">
        <v>35</v>
      </c>
    </row>
    <row r="2811" spans="1:29" x14ac:dyDescent="0.25">
      <c r="A2811" s="31" t="s">
        <v>541</v>
      </c>
      <c r="B2811" s="23" t="s">
        <v>1479</v>
      </c>
      <c r="D2811">
        <v>1</v>
      </c>
      <c r="E2811" t="s">
        <v>543</v>
      </c>
      <c r="F2811">
        <v>10</v>
      </c>
      <c r="G2811">
        <v>2016</v>
      </c>
      <c r="I2811" s="8">
        <v>51.15</v>
      </c>
      <c r="J2811" t="s">
        <v>40</v>
      </c>
      <c r="K2811" t="s">
        <v>47</v>
      </c>
      <c r="O2811">
        <v>0</v>
      </c>
      <c r="P2811">
        <v>0</v>
      </c>
      <c r="Q2811">
        <v>0</v>
      </c>
      <c r="R2811">
        <v>0</v>
      </c>
      <c r="W2811" t="s">
        <v>1480</v>
      </c>
      <c r="AA2811">
        <v>2007</v>
      </c>
      <c r="AB2811">
        <v>9999</v>
      </c>
      <c r="AC2811" t="s">
        <v>35</v>
      </c>
    </row>
    <row r="2812" spans="1:29" x14ac:dyDescent="0.25">
      <c r="A2812" s="31" t="s">
        <v>545</v>
      </c>
      <c r="B2812" s="23" t="s">
        <v>1481</v>
      </c>
      <c r="C2812" t="s">
        <v>1482</v>
      </c>
      <c r="D2812">
        <v>1</v>
      </c>
      <c r="E2812" t="s">
        <v>1361</v>
      </c>
      <c r="F2812">
        <v>10</v>
      </c>
      <c r="G2812">
        <v>2016</v>
      </c>
      <c r="I2812" s="8">
        <v>11</v>
      </c>
      <c r="J2812" t="s">
        <v>40</v>
      </c>
      <c r="K2812" t="s">
        <v>47</v>
      </c>
      <c r="O2812">
        <v>0</v>
      </c>
      <c r="P2812">
        <v>0</v>
      </c>
      <c r="Q2812">
        <v>0</v>
      </c>
      <c r="R2812">
        <v>0</v>
      </c>
      <c r="W2812" t="s">
        <v>1125</v>
      </c>
      <c r="AA2812">
        <v>2007</v>
      </c>
      <c r="AB2812">
        <v>9999</v>
      </c>
      <c r="AC2812" t="s">
        <v>35</v>
      </c>
    </row>
    <row r="2813" spans="1:29" x14ac:dyDescent="0.25">
      <c r="A2813" s="31" t="s">
        <v>1400</v>
      </c>
      <c r="B2813" s="25" t="s">
        <v>1401</v>
      </c>
      <c r="D2813">
        <v>1</v>
      </c>
      <c r="E2813" t="s">
        <v>80</v>
      </c>
      <c r="F2813">
        <v>8</v>
      </c>
      <c r="G2813">
        <v>2016</v>
      </c>
      <c r="I2813" s="8">
        <v>12.05</v>
      </c>
      <c r="J2813" t="s">
        <v>81</v>
      </c>
      <c r="K2813" t="s">
        <v>47</v>
      </c>
      <c r="O2813">
        <v>0</v>
      </c>
      <c r="P2813">
        <v>0</v>
      </c>
      <c r="Q2813">
        <v>0</v>
      </c>
      <c r="R2813">
        <v>0</v>
      </c>
      <c r="W2813" t="s">
        <v>1402</v>
      </c>
      <c r="AA2813">
        <v>2012</v>
      </c>
      <c r="AB2813">
        <v>9999</v>
      </c>
      <c r="AC2813" t="s">
        <v>1398</v>
      </c>
    </row>
    <row r="2814" spans="1:29" x14ac:dyDescent="0.25">
      <c r="A2814" s="31" t="s">
        <v>1362</v>
      </c>
      <c r="B2814" s="23" t="s">
        <v>1483</v>
      </c>
      <c r="D2814">
        <v>1</v>
      </c>
      <c r="E2814" t="s">
        <v>631</v>
      </c>
      <c r="F2814">
        <v>8</v>
      </c>
      <c r="G2814">
        <v>2016</v>
      </c>
      <c r="I2814" s="8">
        <v>30.3</v>
      </c>
      <c r="J2814" t="s">
        <v>81</v>
      </c>
      <c r="K2814" t="s">
        <v>47</v>
      </c>
      <c r="O2814">
        <v>0</v>
      </c>
      <c r="P2814">
        <v>0</v>
      </c>
      <c r="Q2814">
        <v>0</v>
      </c>
      <c r="R2814">
        <v>0</v>
      </c>
      <c r="W2814" t="s">
        <v>1364</v>
      </c>
      <c r="AA2814">
        <v>2011</v>
      </c>
      <c r="AB2814">
        <v>9999</v>
      </c>
      <c r="AC2814" t="s">
        <v>1365</v>
      </c>
    </row>
    <row r="2815" spans="1:29" x14ac:dyDescent="0.25">
      <c r="A2815" s="31" t="s">
        <v>1248</v>
      </c>
      <c r="B2815" s="23" t="s">
        <v>1249</v>
      </c>
      <c r="C2815" t="s">
        <v>1250</v>
      </c>
      <c r="D2815">
        <v>1</v>
      </c>
      <c r="E2815" t="s">
        <v>1251</v>
      </c>
      <c r="F2815">
        <v>2</v>
      </c>
      <c r="G2815">
        <v>2016</v>
      </c>
      <c r="I2815" s="8">
        <v>935.92</v>
      </c>
      <c r="J2815" t="s">
        <v>121</v>
      </c>
      <c r="K2815" t="s">
        <v>47</v>
      </c>
      <c r="O2815">
        <v>0</v>
      </c>
      <c r="P2815">
        <v>0</v>
      </c>
      <c r="Q2815">
        <v>0</v>
      </c>
      <c r="R2815">
        <v>0</v>
      </c>
      <c r="W2815" t="s">
        <v>1252</v>
      </c>
      <c r="AA2815">
        <v>2009</v>
      </c>
      <c r="AB2815">
        <v>9999</v>
      </c>
      <c r="AC2815" t="s">
        <v>1239</v>
      </c>
    </row>
    <row r="2816" spans="1:29" x14ac:dyDescent="0.25">
      <c r="A2816" s="31" t="s">
        <v>939</v>
      </c>
      <c r="B2816" s="23" t="s">
        <v>1463</v>
      </c>
      <c r="D2816">
        <v>1</v>
      </c>
      <c r="E2816" t="s">
        <v>80</v>
      </c>
      <c r="F2816">
        <v>8</v>
      </c>
      <c r="G2816">
        <v>2016</v>
      </c>
      <c r="I2816" s="8">
        <v>99.08</v>
      </c>
      <c r="J2816" t="s">
        <v>81</v>
      </c>
      <c r="K2816" t="s">
        <v>47</v>
      </c>
      <c r="O2816">
        <v>0</v>
      </c>
      <c r="P2816">
        <v>0</v>
      </c>
      <c r="Q2816">
        <v>0</v>
      </c>
      <c r="R2816">
        <v>0</v>
      </c>
      <c r="W2816" t="s">
        <v>1464</v>
      </c>
      <c r="AA2816">
        <v>2007</v>
      </c>
      <c r="AB2816">
        <v>9999</v>
      </c>
      <c r="AC2816" t="s">
        <v>35</v>
      </c>
    </row>
    <row r="2817" spans="1:29" ht="30" x14ac:dyDescent="0.25">
      <c r="A2817" s="31" t="s">
        <v>1305</v>
      </c>
      <c r="B2817" s="23" t="s">
        <v>1306</v>
      </c>
      <c r="C2817" t="s">
        <v>1307</v>
      </c>
      <c r="D2817">
        <v>1</v>
      </c>
      <c r="E2817" t="s">
        <v>45</v>
      </c>
      <c r="F2817">
        <v>4</v>
      </c>
      <c r="G2817">
        <v>2016</v>
      </c>
      <c r="I2817" s="8">
        <v>53.45</v>
      </c>
      <c r="J2817" t="s">
        <v>89</v>
      </c>
      <c r="K2817" t="s">
        <v>47</v>
      </c>
      <c r="O2817">
        <v>0</v>
      </c>
      <c r="P2817">
        <v>0</v>
      </c>
      <c r="Q2817">
        <v>0</v>
      </c>
      <c r="R2817">
        <v>0</v>
      </c>
      <c r="W2817" t="s">
        <v>1308</v>
      </c>
      <c r="AA2817">
        <v>2010</v>
      </c>
      <c r="AB2817">
        <v>9999</v>
      </c>
      <c r="AC2817" t="s">
        <v>1292</v>
      </c>
    </row>
    <row r="2818" spans="1:29" x14ac:dyDescent="0.25">
      <c r="A2818" s="31" t="s">
        <v>964</v>
      </c>
      <c r="B2818" s="23" t="s">
        <v>1484</v>
      </c>
      <c r="C2818" t="s">
        <v>1485</v>
      </c>
      <c r="D2818">
        <v>1</v>
      </c>
      <c r="E2818" t="s">
        <v>80</v>
      </c>
      <c r="F2818">
        <v>8</v>
      </c>
      <c r="G2818">
        <v>2016</v>
      </c>
      <c r="I2818" s="8">
        <v>61.1</v>
      </c>
      <c r="J2818" t="s">
        <v>104</v>
      </c>
      <c r="K2818" t="s">
        <v>47</v>
      </c>
      <c r="O2818">
        <v>0</v>
      </c>
      <c r="P2818">
        <v>0</v>
      </c>
      <c r="Q2818">
        <v>0</v>
      </c>
      <c r="R2818">
        <v>0</v>
      </c>
      <c r="S2818">
        <v>1</v>
      </c>
      <c r="T2818">
        <v>1</v>
      </c>
      <c r="U2818">
        <v>1</v>
      </c>
      <c r="W2818" s="5" t="s">
        <v>1486</v>
      </c>
      <c r="AA2818">
        <v>2007</v>
      </c>
      <c r="AB2818">
        <v>9999</v>
      </c>
      <c r="AC2818" t="s">
        <v>35</v>
      </c>
    </row>
    <row r="2819" spans="1:29" x14ac:dyDescent="0.25">
      <c r="A2819" s="31" t="s">
        <v>1366</v>
      </c>
      <c r="B2819" s="23" t="s">
        <v>1487</v>
      </c>
      <c r="C2819" t="s">
        <v>1368</v>
      </c>
      <c r="D2819">
        <v>1</v>
      </c>
      <c r="E2819" t="s">
        <v>468</v>
      </c>
      <c r="F2819">
        <v>7</v>
      </c>
      <c r="G2819">
        <v>2016</v>
      </c>
      <c r="I2819" s="8">
        <v>25.41</v>
      </c>
      <c r="J2819" t="s">
        <v>40</v>
      </c>
      <c r="K2819" t="s">
        <v>32</v>
      </c>
      <c r="O2819">
        <v>0</v>
      </c>
      <c r="P2819">
        <v>0</v>
      </c>
      <c r="Q2819">
        <v>0</v>
      </c>
      <c r="R2819">
        <v>0</v>
      </c>
      <c r="W2819" t="s">
        <v>1369</v>
      </c>
      <c r="AA2819">
        <v>2011</v>
      </c>
      <c r="AB2819">
        <v>9999</v>
      </c>
      <c r="AC2819" t="s">
        <v>1365</v>
      </c>
    </row>
    <row r="2820" spans="1:29" x14ac:dyDescent="0.25">
      <c r="A2820" s="31" t="s">
        <v>1309</v>
      </c>
      <c r="B2820" s="23" t="s">
        <v>1310</v>
      </c>
      <c r="C2820" t="s">
        <v>1311</v>
      </c>
      <c r="D2820">
        <v>1</v>
      </c>
      <c r="E2820" t="s">
        <v>1312</v>
      </c>
      <c r="F2820">
        <v>9</v>
      </c>
      <c r="G2820">
        <v>2016</v>
      </c>
      <c r="I2820" s="8">
        <v>87.59</v>
      </c>
      <c r="J2820" t="s">
        <v>104</v>
      </c>
      <c r="K2820" t="s">
        <v>47</v>
      </c>
      <c r="O2820">
        <v>0</v>
      </c>
      <c r="P2820">
        <v>0</v>
      </c>
      <c r="Q2820">
        <v>0</v>
      </c>
      <c r="R2820">
        <v>0</v>
      </c>
      <c r="W2820" t="s">
        <v>1404</v>
      </c>
      <c r="AA2820">
        <v>2010</v>
      </c>
      <c r="AB2820">
        <v>9999</v>
      </c>
      <c r="AC2820" t="s">
        <v>1292</v>
      </c>
    </row>
    <row r="2821" spans="1:29" x14ac:dyDescent="0.25">
      <c r="A2821" s="31" t="s">
        <v>559</v>
      </c>
      <c r="B2821" s="23" t="s">
        <v>560</v>
      </c>
      <c r="C2821" t="s">
        <v>561</v>
      </c>
      <c r="D2821">
        <v>1</v>
      </c>
      <c r="E2821" t="s">
        <v>103</v>
      </c>
      <c r="F2821">
        <v>9</v>
      </c>
      <c r="G2821">
        <v>2016</v>
      </c>
      <c r="I2821" s="8">
        <v>810.99</v>
      </c>
      <c r="J2821" t="s">
        <v>104</v>
      </c>
      <c r="K2821" t="s">
        <v>53</v>
      </c>
      <c r="L2821" t="s">
        <v>105</v>
      </c>
      <c r="O2821">
        <v>0</v>
      </c>
      <c r="P2821">
        <v>1</v>
      </c>
      <c r="Q2821">
        <v>0</v>
      </c>
      <c r="R2821">
        <v>0</v>
      </c>
      <c r="W2821" t="s">
        <v>106</v>
      </c>
      <c r="AA2821">
        <v>2007</v>
      </c>
      <c r="AB2821">
        <v>9999</v>
      </c>
      <c r="AC2821" t="s">
        <v>35</v>
      </c>
    </row>
    <row r="2822" spans="1:29" ht="30" x14ac:dyDescent="0.25">
      <c r="A2822" s="31" t="s">
        <v>562</v>
      </c>
      <c r="B2822" s="23" t="s">
        <v>563</v>
      </c>
      <c r="D2822">
        <v>1</v>
      </c>
      <c r="E2822" t="s">
        <v>80</v>
      </c>
      <c r="F2822">
        <v>8</v>
      </c>
      <c r="G2822">
        <v>2016</v>
      </c>
      <c r="I2822" s="8">
        <v>132.13999999999999</v>
      </c>
      <c r="J2822" t="s">
        <v>81</v>
      </c>
      <c r="K2822" t="s">
        <v>47</v>
      </c>
      <c r="O2822">
        <v>0</v>
      </c>
      <c r="P2822">
        <v>0</v>
      </c>
      <c r="Q2822">
        <v>0</v>
      </c>
      <c r="R2822">
        <v>0</v>
      </c>
      <c r="W2822" t="s">
        <v>1128</v>
      </c>
      <c r="AA2822">
        <v>2007</v>
      </c>
      <c r="AB2822">
        <v>9999</v>
      </c>
      <c r="AC2822" t="s">
        <v>35</v>
      </c>
    </row>
    <row r="2823" spans="1:29" x14ac:dyDescent="0.25">
      <c r="A2823" s="31" t="s">
        <v>568</v>
      </c>
      <c r="B2823" s="23" t="s">
        <v>569</v>
      </c>
      <c r="D2823">
        <v>1</v>
      </c>
      <c r="E2823" t="s">
        <v>80</v>
      </c>
      <c r="F2823">
        <v>8</v>
      </c>
      <c r="G2823">
        <v>2016</v>
      </c>
      <c r="I2823" s="8">
        <v>236.95</v>
      </c>
      <c r="J2823" t="s">
        <v>81</v>
      </c>
      <c r="K2823" t="s">
        <v>47</v>
      </c>
      <c r="O2823">
        <v>0</v>
      </c>
      <c r="P2823">
        <v>0</v>
      </c>
      <c r="Q2823">
        <v>0</v>
      </c>
      <c r="R2823">
        <v>0</v>
      </c>
      <c r="W2823" t="s">
        <v>1129</v>
      </c>
      <c r="AA2823">
        <v>2007</v>
      </c>
      <c r="AB2823">
        <v>9999</v>
      </c>
      <c r="AC2823" t="s">
        <v>35</v>
      </c>
    </row>
    <row r="2824" spans="1:29" x14ac:dyDescent="0.25">
      <c r="A2824" s="31" t="s">
        <v>571</v>
      </c>
      <c r="B2824" s="23" t="s">
        <v>572</v>
      </c>
      <c r="D2824">
        <v>1</v>
      </c>
      <c r="E2824" t="s">
        <v>370</v>
      </c>
      <c r="F2824">
        <v>5</v>
      </c>
      <c r="G2824">
        <v>2016</v>
      </c>
      <c r="I2824" s="8">
        <v>458.5</v>
      </c>
      <c r="J2824" t="s">
        <v>1471</v>
      </c>
      <c r="K2824" t="s">
        <v>47</v>
      </c>
      <c r="O2824">
        <v>0</v>
      </c>
      <c r="P2824">
        <v>0</v>
      </c>
      <c r="Q2824">
        <v>0</v>
      </c>
      <c r="R2824">
        <v>0</v>
      </c>
      <c r="S2824">
        <v>1</v>
      </c>
      <c r="T2824">
        <v>1</v>
      </c>
      <c r="U2824">
        <v>1</v>
      </c>
      <c r="W2824" t="s">
        <v>1430</v>
      </c>
      <c r="AA2824">
        <v>2007</v>
      </c>
      <c r="AB2824">
        <v>9999</v>
      </c>
      <c r="AC2824" t="s">
        <v>35</v>
      </c>
    </row>
    <row r="2825" spans="1:29" x14ac:dyDescent="0.25">
      <c r="A2825" s="31" t="s">
        <v>574</v>
      </c>
      <c r="B2825" s="23" t="s">
        <v>575</v>
      </c>
      <c r="D2825">
        <v>1</v>
      </c>
      <c r="E2825" t="s">
        <v>222</v>
      </c>
      <c r="F2825">
        <v>1</v>
      </c>
      <c r="G2825">
        <v>2016</v>
      </c>
      <c r="I2825" s="8">
        <v>34.15</v>
      </c>
      <c r="J2825" t="s">
        <v>176</v>
      </c>
      <c r="K2825" t="s">
        <v>47</v>
      </c>
      <c r="O2825">
        <v>0</v>
      </c>
      <c r="P2825">
        <v>0</v>
      </c>
      <c r="Q2825">
        <v>0</v>
      </c>
      <c r="R2825">
        <v>0</v>
      </c>
      <c r="W2825" t="s">
        <v>1131</v>
      </c>
      <c r="AA2825">
        <v>2007</v>
      </c>
      <c r="AB2825">
        <v>9999</v>
      </c>
      <c r="AC2825" t="s">
        <v>35</v>
      </c>
    </row>
    <row r="2826" spans="1:29" x14ac:dyDescent="0.25">
      <c r="A2826" s="31" t="s">
        <v>577</v>
      </c>
      <c r="B2826" s="23" t="s">
        <v>578</v>
      </c>
      <c r="D2826">
        <v>1</v>
      </c>
      <c r="E2826" t="s">
        <v>396</v>
      </c>
      <c r="F2826">
        <v>3</v>
      </c>
      <c r="G2826">
        <v>2016</v>
      </c>
      <c r="H2826" t="s">
        <v>579</v>
      </c>
      <c r="I2826">
        <v>0.1</v>
      </c>
      <c r="J2826" t="s">
        <v>121</v>
      </c>
      <c r="K2826" t="s">
        <v>41</v>
      </c>
      <c r="O2826">
        <v>0</v>
      </c>
      <c r="P2826">
        <v>0</v>
      </c>
      <c r="Q2826">
        <v>0</v>
      </c>
      <c r="R2826">
        <v>0</v>
      </c>
      <c r="W2826" t="s">
        <v>1132</v>
      </c>
      <c r="AA2826">
        <v>2007</v>
      </c>
      <c r="AB2826">
        <v>9999</v>
      </c>
      <c r="AC2826" t="s">
        <v>35</v>
      </c>
    </row>
    <row r="2827" spans="1:29" x14ac:dyDescent="0.25">
      <c r="A2827" s="31" t="s">
        <v>581</v>
      </c>
      <c r="B2827" s="23" t="s">
        <v>582</v>
      </c>
      <c r="D2827">
        <v>1</v>
      </c>
      <c r="E2827" t="s">
        <v>80</v>
      </c>
      <c r="F2827">
        <v>8</v>
      </c>
      <c r="G2827">
        <v>2016</v>
      </c>
      <c r="H2827" t="s">
        <v>1315</v>
      </c>
      <c r="I2827">
        <v>4.5</v>
      </c>
      <c r="J2827" t="s">
        <v>81</v>
      </c>
      <c r="K2827" t="s">
        <v>41</v>
      </c>
      <c r="O2827">
        <v>0</v>
      </c>
      <c r="P2827">
        <v>0</v>
      </c>
      <c r="Q2827">
        <v>0</v>
      </c>
      <c r="R2827">
        <v>0</v>
      </c>
      <c r="W2827" t="s">
        <v>1133</v>
      </c>
      <c r="AA2827">
        <v>2007</v>
      </c>
      <c r="AB2827">
        <v>9999</v>
      </c>
      <c r="AC2827" t="s">
        <v>35</v>
      </c>
    </row>
    <row r="2828" spans="1:29" x14ac:dyDescent="0.25">
      <c r="A2828" s="31" t="s">
        <v>590</v>
      </c>
      <c r="B2828" s="23" t="s">
        <v>591</v>
      </c>
      <c r="D2828">
        <v>1</v>
      </c>
      <c r="E2828" t="s">
        <v>592</v>
      </c>
      <c r="F2828">
        <v>8</v>
      </c>
      <c r="G2828">
        <v>2016</v>
      </c>
      <c r="I2828" s="8">
        <v>7.36</v>
      </c>
      <c r="J2828" t="s">
        <v>81</v>
      </c>
      <c r="K2828" t="s">
        <v>41</v>
      </c>
      <c r="O2828">
        <v>0</v>
      </c>
      <c r="P2828">
        <v>0</v>
      </c>
      <c r="Q2828">
        <v>0</v>
      </c>
      <c r="R2828">
        <v>0</v>
      </c>
      <c r="W2828" t="s">
        <v>1134</v>
      </c>
      <c r="AA2828">
        <v>2007</v>
      </c>
      <c r="AB2828">
        <v>9999</v>
      </c>
      <c r="AC2828" t="s">
        <v>35</v>
      </c>
    </row>
    <row r="2829" spans="1:29" x14ac:dyDescent="0.25">
      <c r="A2829" s="31" t="s">
        <v>594</v>
      </c>
      <c r="B2829" s="23" t="s">
        <v>595</v>
      </c>
      <c r="D2829">
        <v>1</v>
      </c>
      <c r="E2829" t="s">
        <v>38</v>
      </c>
      <c r="F2829">
        <v>4</v>
      </c>
      <c r="G2829">
        <v>2016</v>
      </c>
      <c r="H2829" t="s">
        <v>906</v>
      </c>
      <c r="I2829">
        <v>0.15</v>
      </c>
      <c r="J2829" t="s">
        <v>59</v>
      </c>
      <c r="K2829" t="s">
        <v>41</v>
      </c>
      <c r="O2829">
        <v>0</v>
      </c>
      <c r="P2829">
        <v>0</v>
      </c>
      <c r="Q2829">
        <v>0</v>
      </c>
      <c r="R2829">
        <v>0</v>
      </c>
      <c r="W2829" t="s">
        <v>1135</v>
      </c>
      <c r="AA2829">
        <v>2007</v>
      </c>
      <c r="AB2829">
        <v>9999</v>
      </c>
      <c r="AC2829" t="s">
        <v>35</v>
      </c>
    </row>
    <row r="2830" spans="1:29" x14ac:dyDescent="0.25">
      <c r="A2830" s="31" t="s">
        <v>1253</v>
      </c>
      <c r="B2830" s="23" t="s">
        <v>598</v>
      </c>
      <c r="D2830">
        <v>1</v>
      </c>
      <c r="E2830" t="s">
        <v>38</v>
      </c>
      <c r="F2830">
        <v>4</v>
      </c>
      <c r="G2830">
        <v>2016</v>
      </c>
      <c r="H2830" t="s">
        <v>39</v>
      </c>
      <c r="J2830" t="s">
        <v>59</v>
      </c>
      <c r="K2830" t="s">
        <v>41</v>
      </c>
      <c r="O2830">
        <v>0</v>
      </c>
      <c r="P2830">
        <v>0</v>
      </c>
      <c r="Q2830">
        <v>0</v>
      </c>
      <c r="R2830">
        <v>0</v>
      </c>
      <c r="W2830" t="s">
        <v>1254</v>
      </c>
      <c r="AA2830">
        <v>2009</v>
      </c>
      <c r="AB2830">
        <v>9999</v>
      </c>
      <c r="AC2830" t="s">
        <v>1239</v>
      </c>
    </row>
    <row r="2831" spans="1:29" x14ac:dyDescent="0.25">
      <c r="A2831" s="31" t="s">
        <v>601</v>
      </c>
      <c r="B2831" s="23" t="s">
        <v>602</v>
      </c>
      <c r="D2831">
        <v>1</v>
      </c>
      <c r="E2831" t="s">
        <v>145</v>
      </c>
      <c r="F2831">
        <v>2</v>
      </c>
      <c r="G2831">
        <v>2016</v>
      </c>
      <c r="H2831" t="s">
        <v>1488</v>
      </c>
      <c r="I2831">
        <v>2.5000000000000001E-2</v>
      </c>
      <c r="J2831" s="2" t="s">
        <v>1471</v>
      </c>
      <c r="K2831" t="s">
        <v>41</v>
      </c>
      <c r="O2831">
        <v>0</v>
      </c>
      <c r="P2831">
        <v>0</v>
      </c>
      <c r="Q2831">
        <v>0</v>
      </c>
      <c r="R2831">
        <v>0</v>
      </c>
      <c r="W2831" t="s">
        <v>1137</v>
      </c>
      <c r="AA2831">
        <v>2007</v>
      </c>
      <c r="AB2831">
        <v>9999</v>
      </c>
      <c r="AC2831" t="s">
        <v>35</v>
      </c>
    </row>
    <row r="2832" spans="1:29" x14ac:dyDescent="0.25">
      <c r="A2832" s="31" t="s">
        <v>613</v>
      </c>
      <c r="B2832" s="23" t="s">
        <v>254</v>
      </c>
      <c r="C2832" t="s">
        <v>614</v>
      </c>
      <c r="D2832">
        <v>1</v>
      </c>
      <c r="E2832" t="s">
        <v>45</v>
      </c>
      <c r="F2832">
        <v>4</v>
      </c>
      <c r="G2832">
        <v>2016</v>
      </c>
      <c r="I2832" s="8">
        <v>317.10000000000002</v>
      </c>
      <c r="J2832" t="s">
        <v>89</v>
      </c>
      <c r="K2832" t="s">
        <v>47</v>
      </c>
      <c r="O2832">
        <v>0</v>
      </c>
      <c r="P2832">
        <v>0</v>
      </c>
      <c r="Q2832">
        <v>0</v>
      </c>
      <c r="R2832">
        <v>0</v>
      </c>
      <c r="W2832" t="s">
        <v>1140</v>
      </c>
      <c r="AA2832">
        <v>2007</v>
      </c>
      <c r="AB2832">
        <v>9999</v>
      </c>
      <c r="AC2832" t="s">
        <v>35</v>
      </c>
    </row>
    <row r="2833" spans="1:29" x14ac:dyDescent="0.25">
      <c r="A2833" s="31" t="s">
        <v>616</v>
      </c>
      <c r="B2833" s="23" t="s">
        <v>617</v>
      </c>
      <c r="D2833">
        <v>1</v>
      </c>
      <c r="E2833" t="s">
        <v>45</v>
      </c>
      <c r="F2833">
        <v>4</v>
      </c>
      <c r="G2833">
        <v>2016</v>
      </c>
      <c r="I2833" s="8">
        <v>14.73</v>
      </c>
      <c r="J2833" t="s">
        <v>89</v>
      </c>
      <c r="K2833" t="s">
        <v>53</v>
      </c>
      <c r="L2833" t="s">
        <v>60</v>
      </c>
      <c r="O2833">
        <v>1</v>
      </c>
      <c r="P2833">
        <v>0</v>
      </c>
      <c r="Q2833">
        <v>0</v>
      </c>
      <c r="R2833">
        <v>0</v>
      </c>
      <c r="W2833" t="s">
        <v>618</v>
      </c>
      <c r="AA2833">
        <v>2007</v>
      </c>
      <c r="AB2833">
        <v>2016</v>
      </c>
      <c r="AC2833" t="s">
        <v>528</v>
      </c>
    </row>
    <row r="2834" spans="1:29" x14ac:dyDescent="0.25">
      <c r="A2834" s="31" t="s">
        <v>1370</v>
      </c>
      <c r="B2834" s="23" t="s">
        <v>1371</v>
      </c>
      <c r="D2834">
        <v>1</v>
      </c>
      <c r="E2834" s="4">
        <v>411</v>
      </c>
      <c r="F2834">
        <v>4</v>
      </c>
      <c r="G2834">
        <v>2016</v>
      </c>
      <c r="H2834" t="s">
        <v>111</v>
      </c>
      <c r="I2834" s="12">
        <v>0</v>
      </c>
      <c r="J2834" t="s">
        <v>89</v>
      </c>
      <c r="K2834" t="s">
        <v>41</v>
      </c>
      <c r="O2834">
        <v>0</v>
      </c>
      <c r="P2834">
        <v>0</v>
      </c>
      <c r="Q2834">
        <v>0</v>
      </c>
      <c r="R2834">
        <v>0</v>
      </c>
      <c r="W2834" t="s">
        <v>1372</v>
      </c>
      <c r="AA2834">
        <v>2011</v>
      </c>
      <c r="AB2834">
        <v>9999</v>
      </c>
      <c r="AC2834" t="s">
        <v>1365</v>
      </c>
    </row>
    <row r="2835" spans="1:29" x14ac:dyDescent="0.25">
      <c r="A2835" s="31" t="s">
        <v>1317</v>
      </c>
      <c r="B2835" s="23" t="s">
        <v>1318</v>
      </c>
      <c r="D2835">
        <v>1</v>
      </c>
      <c r="E2835" t="s">
        <v>1319</v>
      </c>
      <c r="F2835">
        <v>10</v>
      </c>
      <c r="G2835">
        <v>2016</v>
      </c>
      <c r="I2835" s="8">
        <v>1041.6099999999999</v>
      </c>
      <c r="J2835" t="s">
        <v>40</v>
      </c>
      <c r="K2835" t="s">
        <v>32</v>
      </c>
      <c r="O2835">
        <v>0</v>
      </c>
      <c r="P2835">
        <v>0</v>
      </c>
      <c r="Q2835">
        <v>0</v>
      </c>
      <c r="R2835">
        <v>0</v>
      </c>
      <c r="W2835" t="s">
        <v>1320</v>
      </c>
      <c r="AA2835">
        <v>2010</v>
      </c>
      <c r="AB2835">
        <v>9999</v>
      </c>
      <c r="AC2835" t="s">
        <v>1292</v>
      </c>
    </row>
    <row r="2836" spans="1:29" x14ac:dyDescent="0.25">
      <c r="A2836" s="31" t="s">
        <v>1489</v>
      </c>
      <c r="B2836" s="23" t="s">
        <v>619</v>
      </c>
      <c r="D2836">
        <v>1</v>
      </c>
      <c r="E2836" t="s">
        <v>620</v>
      </c>
      <c r="F2836">
        <v>5</v>
      </c>
      <c r="G2836">
        <v>2016</v>
      </c>
      <c r="I2836" s="8">
        <v>29.6</v>
      </c>
      <c r="J2836" t="s">
        <v>104</v>
      </c>
      <c r="K2836" t="s">
        <v>47</v>
      </c>
      <c r="O2836">
        <v>0</v>
      </c>
      <c r="P2836">
        <v>0</v>
      </c>
      <c r="Q2836">
        <v>0</v>
      </c>
      <c r="R2836">
        <v>0</v>
      </c>
      <c r="W2836" t="s">
        <v>1141</v>
      </c>
      <c r="AA2836">
        <v>2007</v>
      </c>
      <c r="AB2836">
        <v>9999</v>
      </c>
      <c r="AC2836" t="s">
        <v>1475</v>
      </c>
    </row>
    <row r="2837" spans="1:29" x14ac:dyDescent="0.25">
      <c r="A2837" s="31" t="s">
        <v>472</v>
      </c>
      <c r="B2837" s="23" t="s">
        <v>1490</v>
      </c>
      <c r="D2837">
        <v>1</v>
      </c>
      <c r="E2837" t="s">
        <v>681</v>
      </c>
      <c r="F2837">
        <v>3</v>
      </c>
      <c r="G2837">
        <v>2016</v>
      </c>
      <c r="I2837" s="8">
        <v>26278.04</v>
      </c>
      <c r="J2837" t="s">
        <v>121</v>
      </c>
      <c r="K2837" t="s">
        <v>47</v>
      </c>
      <c r="O2837">
        <v>0</v>
      </c>
      <c r="P2837">
        <v>0</v>
      </c>
      <c r="Q2837">
        <v>0</v>
      </c>
      <c r="R2837">
        <v>0</v>
      </c>
      <c r="W2837" t="s">
        <v>1491</v>
      </c>
      <c r="AA2837">
        <v>2007</v>
      </c>
      <c r="AB2837">
        <v>9999</v>
      </c>
      <c r="AC2837" t="s">
        <v>35</v>
      </c>
    </row>
    <row r="2838" spans="1:29" x14ac:dyDescent="0.25">
      <c r="A2838" s="31" t="s">
        <v>622</v>
      </c>
      <c r="B2838" s="23" t="s">
        <v>623</v>
      </c>
      <c r="C2838" t="s">
        <v>624</v>
      </c>
      <c r="D2838">
        <v>1</v>
      </c>
      <c r="E2838" t="s">
        <v>625</v>
      </c>
      <c r="F2838">
        <v>4</v>
      </c>
      <c r="G2838">
        <v>2016</v>
      </c>
      <c r="I2838" s="8">
        <v>245.25</v>
      </c>
      <c r="J2838" t="s">
        <v>89</v>
      </c>
      <c r="K2838" t="s">
        <v>32</v>
      </c>
      <c r="O2838">
        <v>0</v>
      </c>
      <c r="P2838">
        <v>0</v>
      </c>
      <c r="Q2838">
        <v>0</v>
      </c>
      <c r="R2838">
        <v>0</v>
      </c>
      <c r="W2838" t="s">
        <v>1142</v>
      </c>
      <c r="AA2838">
        <v>2007</v>
      </c>
      <c r="AB2838">
        <v>9999</v>
      </c>
      <c r="AC2838" t="s">
        <v>35</v>
      </c>
    </row>
    <row r="2839" spans="1:29" x14ac:dyDescent="0.25">
      <c r="A2839" s="31" t="s">
        <v>199</v>
      </c>
      <c r="B2839" s="23" t="s">
        <v>1255</v>
      </c>
      <c r="D2839">
        <v>1</v>
      </c>
      <c r="E2839" t="s">
        <v>38</v>
      </c>
      <c r="F2839">
        <v>4</v>
      </c>
      <c r="G2839">
        <v>2016</v>
      </c>
      <c r="H2839" t="s">
        <v>39</v>
      </c>
      <c r="J2839" t="s">
        <v>52</v>
      </c>
      <c r="K2839" t="s">
        <v>41</v>
      </c>
      <c r="O2839">
        <v>0</v>
      </c>
      <c r="P2839">
        <v>0</v>
      </c>
      <c r="Q2839">
        <v>0</v>
      </c>
      <c r="R2839">
        <v>0</v>
      </c>
      <c r="W2839" t="s">
        <v>1256</v>
      </c>
      <c r="AA2839">
        <v>2007</v>
      </c>
      <c r="AB2839">
        <v>9999</v>
      </c>
      <c r="AC2839" t="s">
        <v>35</v>
      </c>
    </row>
    <row r="2840" spans="1:29" x14ac:dyDescent="0.25">
      <c r="A2840" s="31" t="s">
        <v>641</v>
      </c>
      <c r="B2840" s="23" t="s">
        <v>642</v>
      </c>
      <c r="D2840">
        <v>1</v>
      </c>
      <c r="E2840" t="s">
        <v>348</v>
      </c>
      <c r="F2840">
        <v>1</v>
      </c>
      <c r="G2840">
        <v>2016</v>
      </c>
      <c r="I2840" s="8">
        <v>3916.91</v>
      </c>
      <c r="J2840" t="s">
        <v>268</v>
      </c>
      <c r="K2840" t="s">
        <v>53</v>
      </c>
      <c r="L2840" t="s">
        <v>642</v>
      </c>
      <c r="O2840">
        <v>0</v>
      </c>
      <c r="P2840">
        <v>0</v>
      </c>
      <c r="Q2840">
        <v>0</v>
      </c>
      <c r="R2840">
        <v>0</v>
      </c>
      <c r="W2840" t="s">
        <v>643</v>
      </c>
      <c r="AA2840">
        <v>2007</v>
      </c>
      <c r="AB2840">
        <v>9999</v>
      </c>
      <c r="AC2840" t="s">
        <v>35</v>
      </c>
    </row>
    <row r="2841" spans="1:29" x14ac:dyDescent="0.25">
      <c r="A2841" s="31" t="s">
        <v>646</v>
      </c>
      <c r="B2841" s="25" t="s">
        <v>647</v>
      </c>
      <c r="D2841">
        <v>1</v>
      </c>
      <c r="E2841" t="s">
        <v>128</v>
      </c>
      <c r="F2841">
        <v>9</v>
      </c>
      <c r="G2841">
        <v>2016</v>
      </c>
      <c r="H2841" t="s">
        <v>1492</v>
      </c>
      <c r="I2841">
        <v>2.8</v>
      </c>
      <c r="J2841" t="s">
        <v>104</v>
      </c>
      <c r="K2841" t="s">
        <v>41</v>
      </c>
      <c r="O2841">
        <v>0</v>
      </c>
      <c r="P2841">
        <v>0</v>
      </c>
      <c r="Q2841">
        <v>0</v>
      </c>
      <c r="R2841">
        <v>0</v>
      </c>
      <c r="W2841" t="s">
        <v>1147</v>
      </c>
      <c r="AA2841">
        <v>2007</v>
      </c>
      <c r="AB2841">
        <v>2018</v>
      </c>
      <c r="AC2841" t="s">
        <v>649</v>
      </c>
    </row>
    <row r="2842" spans="1:29" x14ac:dyDescent="0.25">
      <c r="A2842" s="31" t="s">
        <v>650</v>
      </c>
      <c r="B2842" s="25" t="s">
        <v>651</v>
      </c>
      <c r="D2842">
        <v>1</v>
      </c>
      <c r="E2842" t="s">
        <v>128</v>
      </c>
      <c r="F2842">
        <v>9</v>
      </c>
      <c r="G2842">
        <v>2016</v>
      </c>
      <c r="H2842" t="s">
        <v>1493</v>
      </c>
      <c r="I2842">
        <v>1.75</v>
      </c>
      <c r="J2842" t="s">
        <v>104</v>
      </c>
      <c r="K2842" t="s">
        <v>41</v>
      </c>
      <c r="O2842">
        <v>0</v>
      </c>
      <c r="P2842">
        <v>0</v>
      </c>
      <c r="Q2842">
        <v>0</v>
      </c>
      <c r="R2842">
        <v>0</v>
      </c>
      <c r="W2842" t="s">
        <v>1147</v>
      </c>
      <c r="AA2842">
        <v>2007</v>
      </c>
      <c r="AB2842">
        <v>2018</v>
      </c>
      <c r="AC2842" t="s">
        <v>649</v>
      </c>
    </row>
    <row r="2843" spans="1:29" x14ac:dyDescent="0.25">
      <c r="A2843" s="31" t="s">
        <v>652</v>
      </c>
      <c r="B2843" s="25" t="s">
        <v>653</v>
      </c>
      <c r="D2843">
        <v>1</v>
      </c>
      <c r="E2843" t="s">
        <v>128</v>
      </c>
      <c r="F2843">
        <v>9</v>
      </c>
      <c r="G2843">
        <v>2016</v>
      </c>
      <c r="H2843" t="s">
        <v>1494</v>
      </c>
      <c r="I2843">
        <v>2.6</v>
      </c>
      <c r="J2843" t="s">
        <v>104</v>
      </c>
      <c r="K2843" t="s">
        <v>41</v>
      </c>
      <c r="O2843">
        <v>0</v>
      </c>
      <c r="P2843">
        <v>0</v>
      </c>
      <c r="Q2843">
        <v>0</v>
      </c>
      <c r="R2843">
        <v>0</v>
      </c>
      <c r="W2843" t="s">
        <v>1147</v>
      </c>
      <c r="AA2843">
        <v>2007</v>
      </c>
      <c r="AB2843">
        <v>2018</v>
      </c>
      <c r="AC2843" t="s">
        <v>649</v>
      </c>
    </row>
    <row r="2844" spans="1:29" x14ac:dyDescent="0.25">
      <c r="A2844" s="31" t="s">
        <v>654</v>
      </c>
      <c r="B2844" s="25" t="s">
        <v>655</v>
      </c>
      <c r="D2844">
        <v>1</v>
      </c>
      <c r="E2844" t="s">
        <v>128</v>
      </c>
      <c r="F2844">
        <v>9</v>
      </c>
      <c r="G2844">
        <v>2016</v>
      </c>
      <c r="H2844" t="s">
        <v>1495</v>
      </c>
      <c r="J2844" t="s">
        <v>104</v>
      </c>
      <c r="K2844" t="s">
        <v>41</v>
      </c>
      <c r="O2844">
        <v>0</v>
      </c>
      <c r="P2844">
        <v>0</v>
      </c>
      <c r="Q2844">
        <v>0</v>
      </c>
      <c r="R2844">
        <v>0</v>
      </c>
      <c r="W2844" t="s">
        <v>1147</v>
      </c>
      <c r="AA2844">
        <v>2007</v>
      </c>
      <c r="AB2844">
        <v>2018</v>
      </c>
      <c r="AC2844" t="s">
        <v>649</v>
      </c>
    </row>
    <row r="2845" spans="1:29" x14ac:dyDescent="0.25">
      <c r="A2845" s="31" t="s">
        <v>656</v>
      </c>
      <c r="B2845" s="25" t="s">
        <v>657</v>
      </c>
      <c r="D2845">
        <v>1</v>
      </c>
      <c r="E2845" t="s">
        <v>128</v>
      </c>
      <c r="F2845">
        <v>9</v>
      </c>
      <c r="G2845">
        <v>2016</v>
      </c>
      <c r="H2845" t="s">
        <v>1496</v>
      </c>
      <c r="I2845">
        <v>2.0499999999999998</v>
      </c>
      <c r="J2845" t="s">
        <v>104</v>
      </c>
      <c r="K2845" t="s">
        <v>41</v>
      </c>
      <c r="O2845">
        <v>0</v>
      </c>
      <c r="P2845">
        <v>0</v>
      </c>
      <c r="Q2845">
        <v>0</v>
      </c>
      <c r="R2845">
        <v>0</v>
      </c>
      <c r="W2845" t="s">
        <v>1147</v>
      </c>
      <c r="AA2845">
        <v>2007</v>
      </c>
      <c r="AB2845">
        <v>2018</v>
      </c>
      <c r="AC2845" t="s">
        <v>649</v>
      </c>
    </row>
    <row r="2846" spans="1:29" x14ac:dyDescent="0.25">
      <c r="A2846" s="31" t="s">
        <v>659</v>
      </c>
      <c r="B2846" s="25" t="s">
        <v>660</v>
      </c>
      <c r="D2846">
        <v>1</v>
      </c>
      <c r="E2846" t="s">
        <v>128</v>
      </c>
      <c r="F2846">
        <v>9</v>
      </c>
      <c r="G2846">
        <v>2016</v>
      </c>
      <c r="H2846" t="s">
        <v>1497</v>
      </c>
      <c r="I2846">
        <v>3.4</v>
      </c>
      <c r="J2846" t="s">
        <v>104</v>
      </c>
      <c r="K2846" t="s">
        <v>41</v>
      </c>
      <c r="O2846">
        <v>0</v>
      </c>
      <c r="P2846">
        <v>0</v>
      </c>
      <c r="Q2846">
        <v>0</v>
      </c>
      <c r="R2846">
        <v>0</v>
      </c>
      <c r="W2846" t="s">
        <v>1147</v>
      </c>
      <c r="AA2846">
        <v>2007</v>
      </c>
      <c r="AB2846">
        <v>2018</v>
      </c>
      <c r="AC2846" t="s">
        <v>649</v>
      </c>
    </row>
    <row r="2847" spans="1:29" x14ac:dyDescent="0.25">
      <c r="A2847" s="31" t="s">
        <v>199</v>
      </c>
      <c r="B2847" s="25" t="s">
        <v>665</v>
      </c>
      <c r="D2847">
        <v>1</v>
      </c>
      <c r="E2847" t="s">
        <v>45</v>
      </c>
      <c r="F2847">
        <v>4</v>
      </c>
      <c r="G2847">
        <v>2016</v>
      </c>
      <c r="H2847" t="s">
        <v>39</v>
      </c>
      <c r="I2847">
        <v>1.2</v>
      </c>
      <c r="J2847" t="s">
        <v>52</v>
      </c>
      <c r="K2847" t="s">
        <v>41</v>
      </c>
      <c r="O2847">
        <v>0</v>
      </c>
      <c r="P2847">
        <v>0</v>
      </c>
      <c r="Q2847">
        <v>0</v>
      </c>
      <c r="R2847">
        <v>0</v>
      </c>
      <c r="W2847" t="s">
        <v>1148</v>
      </c>
      <c r="AA2847">
        <v>2007</v>
      </c>
      <c r="AB2847">
        <v>9999</v>
      </c>
      <c r="AC2847" t="s">
        <v>35</v>
      </c>
    </row>
    <row r="2848" spans="1:29" x14ac:dyDescent="0.25">
      <c r="A2848" s="31" t="s">
        <v>667</v>
      </c>
      <c r="B2848" s="23" t="s">
        <v>668</v>
      </c>
      <c r="D2848">
        <v>1</v>
      </c>
      <c r="E2848" t="s">
        <v>45</v>
      </c>
      <c r="F2848">
        <v>4</v>
      </c>
      <c r="G2848">
        <v>2016</v>
      </c>
      <c r="I2848" s="8">
        <v>22.85</v>
      </c>
      <c r="J2848" t="s">
        <v>121</v>
      </c>
      <c r="K2848" t="s">
        <v>47</v>
      </c>
      <c r="O2848">
        <v>0</v>
      </c>
      <c r="P2848">
        <v>0</v>
      </c>
      <c r="Q2848">
        <v>0</v>
      </c>
      <c r="R2848">
        <v>0</v>
      </c>
      <c r="W2848" t="s">
        <v>1149</v>
      </c>
      <c r="AA2848">
        <v>2007</v>
      </c>
      <c r="AB2848">
        <v>9999</v>
      </c>
      <c r="AC2848" t="s">
        <v>35</v>
      </c>
    </row>
    <row r="2849" spans="1:29" x14ac:dyDescent="0.25">
      <c r="A2849" s="31" t="s">
        <v>670</v>
      </c>
      <c r="B2849" s="23" t="s">
        <v>671</v>
      </c>
      <c r="D2849">
        <v>1</v>
      </c>
      <c r="E2849" t="s">
        <v>80</v>
      </c>
      <c r="F2849">
        <v>8</v>
      </c>
      <c r="G2849">
        <v>2016</v>
      </c>
      <c r="I2849" s="8">
        <v>204.33</v>
      </c>
      <c r="J2849" t="s">
        <v>81</v>
      </c>
      <c r="K2849" t="s">
        <v>47</v>
      </c>
      <c r="O2849">
        <v>0</v>
      </c>
      <c r="P2849">
        <v>0</v>
      </c>
      <c r="Q2849">
        <v>0</v>
      </c>
      <c r="R2849">
        <v>0</v>
      </c>
      <c r="W2849" t="s">
        <v>1498</v>
      </c>
      <c r="AA2849">
        <v>2007</v>
      </c>
      <c r="AB2849">
        <v>9999</v>
      </c>
      <c r="AC2849" t="s">
        <v>35</v>
      </c>
    </row>
    <row r="2850" spans="1:29" x14ac:dyDescent="0.25">
      <c r="A2850" s="31" t="s">
        <v>673</v>
      </c>
      <c r="B2850" s="23" t="s">
        <v>1321</v>
      </c>
      <c r="D2850">
        <v>1</v>
      </c>
      <c r="E2850" t="s">
        <v>358</v>
      </c>
      <c r="F2850">
        <v>1</v>
      </c>
      <c r="G2850">
        <v>2016</v>
      </c>
      <c r="I2850" s="8">
        <v>460.32</v>
      </c>
      <c r="J2850" t="s">
        <v>81</v>
      </c>
      <c r="K2850" t="s">
        <v>47</v>
      </c>
      <c r="O2850">
        <v>0</v>
      </c>
      <c r="P2850">
        <v>0</v>
      </c>
      <c r="Q2850">
        <v>0</v>
      </c>
      <c r="R2850">
        <v>0</v>
      </c>
      <c r="W2850" t="s">
        <v>1322</v>
      </c>
      <c r="AA2850">
        <v>2007</v>
      </c>
      <c r="AB2850">
        <v>9999</v>
      </c>
      <c r="AC2850" t="s">
        <v>35</v>
      </c>
    </row>
    <row r="2851" spans="1:29" x14ac:dyDescent="0.25">
      <c r="A2851" s="31" t="s">
        <v>676</v>
      </c>
      <c r="B2851" s="23" t="s">
        <v>677</v>
      </c>
      <c r="C2851" t="s">
        <v>678</v>
      </c>
      <c r="D2851">
        <v>1</v>
      </c>
      <c r="E2851" t="s">
        <v>168</v>
      </c>
      <c r="F2851">
        <v>1</v>
      </c>
      <c r="G2851">
        <v>2016</v>
      </c>
      <c r="I2851" s="8">
        <v>172.14</v>
      </c>
      <c r="J2851" t="s">
        <v>52</v>
      </c>
      <c r="K2851" t="s">
        <v>32</v>
      </c>
      <c r="O2851">
        <v>0</v>
      </c>
      <c r="P2851">
        <v>0</v>
      </c>
      <c r="Q2851">
        <v>0</v>
      </c>
      <c r="R2851">
        <v>0</v>
      </c>
      <c r="W2851" t="s">
        <v>1152</v>
      </c>
      <c r="AA2851">
        <v>2007</v>
      </c>
      <c r="AB2851">
        <v>9999</v>
      </c>
      <c r="AC2851" t="s">
        <v>35</v>
      </c>
    </row>
    <row r="2852" spans="1:29" x14ac:dyDescent="0.25">
      <c r="A2852" s="31" t="s">
        <v>685</v>
      </c>
      <c r="B2852" s="23" t="s">
        <v>686</v>
      </c>
      <c r="D2852">
        <v>1</v>
      </c>
      <c r="E2852" t="s">
        <v>80</v>
      </c>
      <c r="F2852">
        <v>8</v>
      </c>
      <c r="G2852">
        <v>2016</v>
      </c>
      <c r="I2852" s="8">
        <v>25.65</v>
      </c>
      <c r="J2852" t="s">
        <v>81</v>
      </c>
      <c r="K2852" t="s">
        <v>47</v>
      </c>
      <c r="O2852">
        <v>0</v>
      </c>
      <c r="P2852">
        <v>0</v>
      </c>
      <c r="Q2852">
        <v>0</v>
      </c>
      <c r="R2852">
        <v>0</v>
      </c>
      <c r="W2852" t="s">
        <v>1153</v>
      </c>
      <c r="AA2852">
        <v>2007</v>
      </c>
      <c r="AB2852">
        <v>2017</v>
      </c>
      <c r="AC2852" t="s">
        <v>435</v>
      </c>
    </row>
    <row r="2853" spans="1:29" x14ac:dyDescent="0.25">
      <c r="A2853" s="31" t="s">
        <v>688</v>
      </c>
      <c r="B2853" s="23" t="s">
        <v>689</v>
      </c>
      <c r="D2853">
        <v>1</v>
      </c>
      <c r="E2853" t="s">
        <v>145</v>
      </c>
      <c r="F2853">
        <v>2</v>
      </c>
      <c r="G2853">
        <v>2016</v>
      </c>
      <c r="H2853" t="s">
        <v>146</v>
      </c>
      <c r="I2853">
        <v>0</v>
      </c>
      <c r="J2853" s="2" t="s">
        <v>147</v>
      </c>
      <c r="K2853" t="s">
        <v>41</v>
      </c>
      <c r="O2853">
        <v>0</v>
      </c>
      <c r="P2853">
        <v>0</v>
      </c>
      <c r="Q2853">
        <v>0</v>
      </c>
      <c r="R2853">
        <v>0</v>
      </c>
      <c r="W2853" t="s">
        <v>1154</v>
      </c>
      <c r="AA2853">
        <v>2007</v>
      </c>
      <c r="AB2853">
        <v>9999</v>
      </c>
      <c r="AC2853" t="s">
        <v>35</v>
      </c>
    </row>
    <row r="2854" spans="1:29" x14ac:dyDescent="0.25">
      <c r="A2854" s="31" t="s">
        <v>691</v>
      </c>
      <c r="B2854" s="23" t="s">
        <v>692</v>
      </c>
      <c r="D2854">
        <v>1</v>
      </c>
      <c r="E2854" t="s">
        <v>625</v>
      </c>
      <c r="F2854">
        <v>4</v>
      </c>
      <c r="G2854">
        <v>2016</v>
      </c>
      <c r="I2854" s="8">
        <v>17</v>
      </c>
      <c r="J2854" t="s">
        <v>104</v>
      </c>
      <c r="K2854" t="s">
        <v>32</v>
      </c>
      <c r="O2854">
        <v>0</v>
      </c>
      <c r="P2854">
        <v>0</v>
      </c>
      <c r="Q2854">
        <v>0</v>
      </c>
      <c r="R2854">
        <v>0</v>
      </c>
      <c r="W2854" t="s">
        <v>1155</v>
      </c>
      <c r="AA2854">
        <v>2007</v>
      </c>
      <c r="AB2854">
        <v>9999</v>
      </c>
      <c r="AC2854" t="s">
        <v>35</v>
      </c>
    </row>
    <row r="2855" spans="1:29" x14ac:dyDescent="0.25">
      <c r="A2855" s="31" t="s">
        <v>694</v>
      </c>
      <c r="B2855" s="25" t="s">
        <v>695</v>
      </c>
      <c r="C2855" t="s">
        <v>696</v>
      </c>
      <c r="D2855">
        <v>1</v>
      </c>
      <c r="E2855" t="s">
        <v>58</v>
      </c>
      <c r="F2855">
        <v>4</v>
      </c>
      <c r="G2855">
        <v>2016</v>
      </c>
      <c r="I2855" s="8">
        <v>115.24</v>
      </c>
      <c r="J2855" t="s">
        <v>59</v>
      </c>
      <c r="K2855" t="s">
        <v>47</v>
      </c>
      <c r="O2855">
        <v>0</v>
      </c>
      <c r="P2855">
        <v>0</v>
      </c>
      <c r="Q2855">
        <v>0</v>
      </c>
      <c r="R2855">
        <v>0</v>
      </c>
      <c r="W2855" t="s">
        <v>1156</v>
      </c>
      <c r="AA2855">
        <v>2007</v>
      </c>
      <c r="AB2855">
        <v>9999</v>
      </c>
      <c r="AC2855" t="s">
        <v>35</v>
      </c>
    </row>
    <row r="2856" spans="1:29" x14ac:dyDescent="0.25">
      <c r="A2856" s="31" t="s">
        <v>698</v>
      </c>
      <c r="B2856" s="23" t="s">
        <v>699</v>
      </c>
      <c r="D2856">
        <v>1</v>
      </c>
      <c r="E2856" t="s">
        <v>155</v>
      </c>
      <c r="F2856">
        <v>3</v>
      </c>
      <c r="G2856">
        <v>2016</v>
      </c>
      <c r="H2856" t="s">
        <v>700</v>
      </c>
      <c r="I2856">
        <v>5.5221343873509996</v>
      </c>
      <c r="J2856" t="s">
        <v>121</v>
      </c>
      <c r="K2856" t="s">
        <v>47</v>
      </c>
      <c r="O2856">
        <v>0</v>
      </c>
      <c r="P2856">
        <v>0</v>
      </c>
      <c r="Q2856">
        <v>0</v>
      </c>
      <c r="R2856">
        <v>0</v>
      </c>
      <c r="V2856">
        <v>1</v>
      </c>
      <c r="W2856" t="s">
        <v>1157</v>
      </c>
      <c r="AA2856">
        <v>2007</v>
      </c>
      <c r="AB2856">
        <v>9999</v>
      </c>
      <c r="AC2856" t="s">
        <v>35</v>
      </c>
    </row>
    <row r="2857" spans="1:29" x14ac:dyDescent="0.25">
      <c r="A2857" s="31" t="s">
        <v>702</v>
      </c>
      <c r="B2857" s="23" t="s">
        <v>703</v>
      </c>
      <c r="D2857">
        <v>1</v>
      </c>
      <c r="E2857" t="s">
        <v>155</v>
      </c>
      <c r="F2857">
        <v>3</v>
      </c>
      <c r="G2857">
        <v>2016</v>
      </c>
      <c r="H2857" t="s">
        <v>704</v>
      </c>
      <c r="I2857">
        <v>0.92</v>
      </c>
      <c r="J2857" t="s">
        <v>121</v>
      </c>
      <c r="K2857" t="s">
        <v>41</v>
      </c>
      <c r="O2857">
        <v>0</v>
      </c>
      <c r="P2857">
        <v>0</v>
      </c>
      <c r="Q2857">
        <v>0</v>
      </c>
      <c r="R2857">
        <v>0</v>
      </c>
      <c r="V2857">
        <v>1</v>
      </c>
      <c r="W2857" t="s">
        <v>1158</v>
      </c>
      <c r="AA2857">
        <v>2007</v>
      </c>
      <c r="AB2857">
        <v>9999</v>
      </c>
      <c r="AC2857" t="s">
        <v>35</v>
      </c>
    </row>
    <row r="2858" spans="1:29" x14ac:dyDescent="0.25">
      <c r="A2858" s="31" t="s">
        <v>706</v>
      </c>
      <c r="B2858" s="23" t="s">
        <v>707</v>
      </c>
      <c r="C2858" t="s">
        <v>708</v>
      </c>
      <c r="D2858">
        <v>1</v>
      </c>
      <c r="E2858" t="s">
        <v>155</v>
      </c>
      <c r="F2858">
        <v>3</v>
      </c>
      <c r="G2858">
        <v>2016</v>
      </c>
      <c r="I2858" s="8">
        <v>424.66</v>
      </c>
      <c r="J2858" t="s">
        <v>121</v>
      </c>
      <c r="K2858" t="s">
        <v>47</v>
      </c>
      <c r="O2858">
        <v>0</v>
      </c>
      <c r="P2858">
        <v>0</v>
      </c>
      <c r="Q2858">
        <v>0</v>
      </c>
      <c r="R2858">
        <v>0</v>
      </c>
      <c r="W2858" t="s">
        <v>1159</v>
      </c>
      <c r="AA2858">
        <v>2007</v>
      </c>
      <c r="AB2858">
        <v>9999</v>
      </c>
      <c r="AC2858" t="s">
        <v>35</v>
      </c>
    </row>
    <row r="2859" spans="1:29" x14ac:dyDescent="0.25">
      <c r="A2859" s="31" t="s">
        <v>710</v>
      </c>
      <c r="B2859" s="23" t="s">
        <v>711</v>
      </c>
      <c r="D2859">
        <v>1</v>
      </c>
      <c r="E2859" t="s">
        <v>712</v>
      </c>
      <c r="F2859">
        <v>9</v>
      </c>
      <c r="G2859">
        <v>2016</v>
      </c>
      <c r="I2859" s="8">
        <v>84.7</v>
      </c>
      <c r="J2859" t="s">
        <v>104</v>
      </c>
      <c r="K2859" t="s">
        <v>41</v>
      </c>
      <c r="O2859">
        <v>0</v>
      </c>
      <c r="P2859">
        <v>0</v>
      </c>
      <c r="Q2859">
        <v>0</v>
      </c>
      <c r="R2859">
        <v>0</v>
      </c>
      <c r="W2859" t="s">
        <v>1406</v>
      </c>
      <c r="AA2859">
        <v>2007</v>
      </c>
      <c r="AB2859">
        <v>9999</v>
      </c>
      <c r="AC2859" t="s">
        <v>35</v>
      </c>
    </row>
    <row r="2860" spans="1:29" x14ac:dyDescent="0.25">
      <c r="A2860" s="31" t="s">
        <v>714</v>
      </c>
      <c r="B2860" s="23" t="s">
        <v>715</v>
      </c>
      <c r="D2860">
        <v>1</v>
      </c>
      <c r="E2860" t="s">
        <v>80</v>
      </c>
      <c r="F2860">
        <v>8</v>
      </c>
      <c r="G2860">
        <v>2016</v>
      </c>
      <c r="I2860" s="8">
        <v>50.81</v>
      </c>
      <c r="J2860" t="s">
        <v>81</v>
      </c>
      <c r="K2860" t="s">
        <v>76</v>
      </c>
      <c r="O2860">
        <v>0</v>
      </c>
      <c r="P2860">
        <v>0</v>
      </c>
      <c r="Q2860">
        <v>0</v>
      </c>
      <c r="R2860">
        <v>0</v>
      </c>
      <c r="W2860" t="s">
        <v>1323</v>
      </c>
      <c r="AA2860">
        <v>2007</v>
      </c>
      <c r="AB2860">
        <v>9999</v>
      </c>
      <c r="AC2860" t="s">
        <v>35</v>
      </c>
    </row>
    <row r="2861" spans="1:29" x14ac:dyDescent="0.25">
      <c r="A2861" s="31" t="s">
        <v>717</v>
      </c>
      <c r="B2861" s="25" t="s">
        <v>718</v>
      </c>
      <c r="D2861">
        <v>1</v>
      </c>
      <c r="E2861" t="s">
        <v>51</v>
      </c>
      <c r="F2861">
        <v>1</v>
      </c>
      <c r="G2861">
        <v>2016</v>
      </c>
      <c r="I2861" s="11">
        <v>23</v>
      </c>
      <c r="J2861" t="s">
        <v>52</v>
      </c>
      <c r="K2861" t="s">
        <v>53</v>
      </c>
      <c r="L2861" t="s">
        <v>54</v>
      </c>
      <c r="O2861">
        <v>0</v>
      </c>
      <c r="P2861">
        <v>0</v>
      </c>
      <c r="Q2861">
        <v>1</v>
      </c>
      <c r="R2861">
        <v>0</v>
      </c>
      <c r="W2861" t="s">
        <v>55</v>
      </c>
      <c r="AA2861">
        <v>2007</v>
      </c>
      <c r="AB2861">
        <v>9999</v>
      </c>
      <c r="AC2861" t="s">
        <v>35</v>
      </c>
    </row>
    <row r="2862" spans="1:29" x14ac:dyDescent="0.25">
      <c r="A2862" s="31" t="s">
        <v>719</v>
      </c>
      <c r="B2862" s="25" t="s">
        <v>720</v>
      </c>
      <c r="D2862">
        <v>1</v>
      </c>
      <c r="E2862" t="s">
        <v>51</v>
      </c>
      <c r="F2862">
        <v>1</v>
      </c>
      <c r="G2862">
        <v>2016</v>
      </c>
      <c r="I2862" s="11">
        <v>31</v>
      </c>
      <c r="J2862" t="s">
        <v>52</v>
      </c>
      <c r="K2862" t="s">
        <v>53</v>
      </c>
      <c r="L2862" t="s">
        <v>54</v>
      </c>
      <c r="O2862">
        <v>0</v>
      </c>
      <c r="P2862">
        <v>0</v>
      </c>
      <c r="Q2862">
        <v>1</v>
      </c>
      <c r="R2862">
        <v>0</v>
      </c>
      <c r="W2862" t="s">
        <v>721</v>
      </c>
      <c r="AA2862">
        <v>2007</v>
      </c>
      <c r="AB2862">
        <v>9999</v>
      </c>
      <c r="AC2862" t="s">
        <v>35</v>
      </c>
    </row>
    <row r="2863" spans="1:29" x14ac:dyDescent="0.25">
      <c r="A2863" s="31" t="s">
        <v>722</v>
      </c>
      <c r="B2863" s="23" t="s">
        <v>723</v>
      </c>
      <c r="D2863">
        <v>1</v>
      </c>
      <c r="E2863" t="s">
        <v>724</v>
      </c>
      <c r="F2863">
        <v>4</v>
      </c>
      <c r="G2863">
        <v>2016</v>
      </c>
      <c r="I2863" s="8">
        <v>1236.45</v>
      </c>
      <c r="J2863" t="s">
        <v>89</v>
      </c>
      <c r="K2863" t="s">
        <v>32</v>
      </c>
      <c r="L2863" t="s">
        <v>33</v>
      </c>
      <c r="O2863">
        <v>0</v>
      </c>
      <c r="P2863">
        <v>0</v>
      </c>
      <c r="Q2863">
        <v>0</v>
      </c>
      <c r="R2863">
        <v>1</v>
      </c>
      <c r="W2863" t="s">
        <v>1161</v>
      </c>
      <c r="AA2863">
        <v>2007</v>
      </c>
      <c r="AB2863">
        <v>9999</v>
      </c>
      <c r="AC2863" t="s">
        <v>35</v>
      </c>
    </row>
    <row r="2864" spans="1:29" x14ac:dyDescent="0.25">
      <c r="A2864" s="31" t="s">
        <v>726</v>
      </c>
      <c r="B2864" s="23" t="s">
        <v>727</v>
      </c>
      <c r="D2864">
        <v>1</v>
      </c>
      <c r="E2864" t="s">
        <v>85</v>
      </c>
      <c r="F2864">
        <v>1</v>
      </c>
      <c r="G2864">
        <v>2016</v>
      </c>
      <c r="H2864" t="s">
        <v>205</v>
      </c>
      <c r="I2864">
        <v>12</v>
      </c>
      <c r="J2864" t="s">
        <v>52</v>
      </c>
      <c r="K2864" t="s">
        <v>41</v>
      </c>
      <c r="O2864">
        <v>0</v>
      </c>
      <c r="P2864">
        <v>0</v>
      </c>
      <c r="Q2864">
        <v>0</v>
      </c>
      <c r="R2864">
        <v>0</v>
      </c>
      <c r="W2864" t="s">
        <v>1162</v>
      </c>
      <c r="AA2864">
        <v>2007</v>
      </c>
      <c r="AB2864">
        <v>9999</v>
      </c>
      <c r="AC2864" t="s">
        <v>35</v>
      </c>
    </row>
    <row r="2865" spans="1:29" x14ac:dyDescent="0.25">
      <c r="A2865" s="31" t="s">
        <v>729</v>
      </c>
      <c r="B2865" s="23" t="s">
        <v>205</v>
      </c>
      <c r="D2865">
        <v>1</v>
      </c>
      <c r="E2865" t="s">
        <v>168</v>
      </c>
      <c r="F2865">
        <v>1</v>
      </c>
      <c r="G2865">
        <v>2016</v>
      </c>
      <c r="I2865" s="8">
        <v>9658.59</v>
      </c>
      <c r="J2865" t="s">
        <v>52</v>
      </c>
      <c r="K2865" t="s">
        <v>47</v>
      </c>
      <c r="O2865">
        <v>0</v>
      </c>
      <c r="P2865">
        <v>0</v>
      </c>
      <c r="Q2865">
        <v>0</v>
      </c>
      <c r="R2865">
        <v>0</v>
      </c>
      <c r="W2865" t="s">
        <v>1163</v>
      </c>
      <c r="AA2865">
        <v>2007</v>
      </c>
      <c r="AB2865">
        <v>9999</v>
      </c>
      <c r="AC2865" t="s">
        <v>35</v>
      </c>
    </row>
    <row r="2866" spans="1:29" x14ac:dyDescent="0.25">
      <c r="A2866" s="31" t="s">
        <v>731</v>
      </c>
      <c r="B2866" s="23" t="s">
        <v>732</v>
      </c>
      <c r="D2866">
        <v>1</v>
      </c>
      <c r="E2866" t="s">
        <v>51</v>
      </c>
      <c r="F2866">
        <v>10</v>
      </c>
      <c r="G2866">
        <v>2016</v>
      </c>
      <c r="H2866" t="s">
        <v>39</v>
      </c>
      <c r="I2866">
        <v>1.2</v>
      </c>
      <c r="J2866" t="s">
        <v>52</v>
      </c>
      <c r="K2866" t="s">
        <v>41</v>
      </c>
      <c r="O2866">
        <v>0</v>
      </c>
      <c r="P2866">
        <v>0</v>
      </c>
      <c r="Q2866">
        <v>0</v>
      </c>
      <c r="R2866">
        <v>0</v>
      </c>
      <c r="W2866" t="s">
        <v>1164</v>
      </c>
      <c r="AA2866">
        <v>2007</v>
      </c>
      <c r="AB2866">
        <v>9999</v>
      </c>
      <c r="AC2866" t="s">
        <v>35</v>
      </c>
    </row>
    <row r="2867" spans="1:29" x14ac:dyDescent="0.25">
      <c r="A2867" s="31" t="s">
        <v>734</v>
      </c>
      <c r="B2867" s="23" t="s">
        <v>735</v>
      </c>
      <c r="D2867">
        <v>1</v>
      </c>
      <c r="E2867" t="s">
        <v>736</v>
      </c>
      <c r="F2867">
        <v>4</v>
      </c>
      <c r="G2867">
        <v>2016</v>
      </c>
      <c r="I2867" s="8">
        <v>715.14</v>
      </c>
      <c r="J2867" t="s">
        <v>89</v>
      </c>
      <c r="K2867" t="s">
        <v>32</v>
      </c>
      <c r="O2867">
        <v>0</v>
      </c>
      <c r="P2867">
        <v>0</v>
      </c>
      <c r="Q2867">
        <v>0</v>
      </c>
      <c r="R2867">
        <v>0</v>
      </c>
      <c r="W2867" t="s">
        <v>1324</v>
      </c>
      <c r="AA2867">
        <v>2007</v>
      </c>
      <c r="AB2867">
        <v>9999</v>
      </c>
      <c r="AC2867" t="s">
        <v>35</v>
      </c>
    </row>
    <row r="2868" spans="1:29" x14ac:dyDescent="0.25">
      <c r="A2868" s="31" t="s">
        <v>1499</v>
      </c>
      <c r="B2868" s="23" t="s">
        <v>1500</v>
      </c>
      <c r="D2868">
        <v>1</v>
      </c>
      <c r="E2868" s="4">
        <v>960</v>
      </c>
      <c r="F2868">
        <v>9</v>
      </c>
      <c r="G2868">
        <v>2016</v>
      </c>
      <c r="I2868" s="8">
        <v>12.27</v>
      </c>
      <c r="J2868" t="s">
        <v>104</v>
      </c>
      <c r="K2868" t="s">
        <v>47</v>
      </c>
      <c r="O2868">
        <v>0</v>
      </c>
      <c r="P2868">
        <v>0</v>
      </c>
      <c r="Q2868">
        <v>0</v>
      </c>
      <c r="R2868">
        <v>0</v>
      </c>
      <c r="W2868" t="s">
        <v>1501</v>
      </c>
      <c r="AA2868">
        <v>2015</v>
      </c>
      <c r="AB2868">
        <v>9999</v>
      </c>
      <c r="AC2868" t="s">
        <v>1475</v>
      </c>
    </row>
    <row r="2869" spans="1:29" x14ac:dyDescent="0.25">
      <c r="A2869" s="31" t="s">
        <v>738</v>
      </c>
      <c r="B2869" s="23" t="s">
        <v>739</v>
      </c>
      <c r="D2869">
        <v>1</v>
      </c>
      <c r="E2869" t="s">
        <v>128</v>
      </c>
      <c r="F2869">
        <v>9</v>
      </c>
      <c r="G2869">
        <v>2016</v>
      </c>
      <c r="H2869" t="s">
        <v>1502</v>
      </c>
      <c r="I2869">
        <v>4.4000000000000004</v>
      </c>
      <c r="J2869" t="s">
        <v>104</v>
      </c>
      <c r="K2869" t="s">
        <v>41</v>
      </c>
      <c r="O2869">
        <v>0</v>
      </c>
      <c r="P2869">
        <v>0</v>
      </c>
      <c r="Q2869">
        <v>0</v>
      </c>
      <c r="R2869">
        <v>0</v>
      </c>
      <c r="W2869" t="s">
        <v>1166</v>
      </c>
      <c r="AA2869">
        <v>2007</v>
      </c>
      <c r="AB2869">
        <v>9999</v>
      </c>
      <c r="AC2869" t="s">
        <v>35</v>
      </c>
    </row>
    <row r="2870" spans="1:29" x14ac:dyDescent="0.25">
      <c r="A2870" s="31" t="s">
        <v>745</v>
      </c>
      <c r="B2870" s="23" t="s">
        <v>746</v>
      </c>
      <c r="D2870">
        <v>1</v>
      </c>
      <c r="E2870" t="s">
        <v>468</v>
      </c>
      <c r="F2870">
        <v>7</v>
      </c>
      <c r="G2870">
        <v>2016</v>
      </c>
      <c r="I2870" s="8">
        <v>566.55999999999995</v>
      </c>
      <c r="J2870" t="s">
        <v>40</v>
      </c>
      <c r="K2870" t="s">
        <v>32</v>
      </c>
      <c r="O2870">
        <v>0</v>
      </c>
      <c r="P2870">
        <v>0</v>
      </c>
      <c r="Q2870">
        <v>0</v>
      </c>
      <c r="R2870">
        <v>0</v>
      </c>
      <c r="W2870" t="s">
        <v>1516</v>
      </c>
      <c r="AA2870">
        <v>2007</v>
      </c>
      <c r="AB2870">
        <v>9999</v>
      </c>
      <c r="AC2870" t="s">
        <v>35</v>
      </c>
    </row>
    <row r="2871" spans="1:29" x14ac:dyDescent="0.25">
      <c r="A2871" s="31" t="s">
        <v>1263</v>
      </c>
      <c r="B2871" s="23" t="s">
        <v>1264</v>
      </c>
      <c r="C2871" t="s">
        <v>1265</v>
      </c>
      <c r="D2871">
        <v>1</v>
      </c>
      <c r="E2871" t="s">
        <v>712</v>
      </c>
      <c r="F2871">
        <v>9</v>
      </c>
      <c r="G2871">
        <v>2016</v>
      </c>
      <c r="I2871" s="8">
        <v>985.55</v>
      </c>
      <c r="J2871" t="s">
        <v>104</v>
      </c>
      <c r="K2871" t="s">
        <v>47</v>
      </c>
      <c r="O2871">
        <v>0</v>
      </c>
      <c r="P2871">
        <v>0</v>
      </c>
      <c r="Q2871">
        <v>0</v>
      </c>
      <c r="R2871">
        <v>0</v>
      </c>
      <c r="W2871" t="s">
        <v>1407</v>
      </c>
      <c r="AA2871">
        <v>2009</v>
      </c>
      <c r="AB2871">
        <v>9999</v>
      </c>
      <c r="AC2871" t="s">
        <v>1239</v>
      </c>
    </row>
    <row r="2872" spans="1:29" x14ac:dyDescent="0.25">
      <c r="A2872" s="31" t="s">
        <v>754</v>
      </c>
      <c r="B2872" s="23" t="s">
        <v>755</v>
      </c>
      <c r="D2872">
        <v>1</v>
      </c>
      <c r="E2872" t="s">
        <v>85</v>
      </c>
      <c r="F2872">
        <v>1</v>
      </c>
      <c r="G2872">
        <v>2016</v>
      </c>
      <c r="H2872" t="s">
        <v>1503</v>
      </c>
      <c r="I2872">
        <v>0.05</v>
      </c>
      <c r="J2872" t="s">
        <v>52</v>
      </c>
      <c r="K2872" t="s">
        <v>41</v>
      </c>
      <c r="O2872">
        <v>0</v>
      </c>
      <c r="P2872">
        <v>0</v>
      </c>
      <c r="Q2872">
        <v>0</v>
      </c>
      <c r="R2872">
        <v>0</v>
      </c>
      <c r="W2872" t="s">
        <v>1169</v>
      </c>
      <c r="AA2872">
        <v>2007</v>
      </c>
      <c r="AB2872">
        <v>9999</v>
      </c>
      <c r="AC2872" t="s">
        <v>35</v>
      </c>
    </row>
    <row r="2873" spans="1:29" ht="30" x14ac:dyDescent="0.25">
      <c r="A2873" s="31" t="s">
        <v>758</v>
      </c>
      <c r="B2873" s="23" t="s">
        <v>1504</v>
      </c>
      <c r="C2873" t="s">
        <v>1505</v>
      </c>
      <c r="D2873">
        <v>1</v>
      </c>
      <c r="E2873" t="s">
        <v>760</v>
      </c>
      <c r="F2873">
        <v>7</v>
      </c>
      <c r="G2873">
        <v>2016</v>
      </c>
      <c r="I2873" s="8">
        <v>56.77</v>
      </c>
      <c r="J2873" t="s">
        <v>40</v>
      </c>
      <c r="K2873" t="s">
        <v>47</v>
      </c>
      <c r="O2873">
        <v>0</v>
      </c>
      <c r="P2873">
        <v>0</v>
      </c>
      <c r="Q2873">
        <v>0</v>
      </c>
      <c r="R2873">
        <v>0</v>
      </c>
      <c r="W2873" t="s">
        <v>1170</v>
      </c>
      <c r="AA2873">
        <v>2007</v>
      </c>
      <c r="AB2873">
        <v>9999</v>
      </c>
      <c r="AC2873" t="s">
        <v>35</v>
      </c>
    </row>
    <row r="2874" spans="1:29" x14ac:dyDescent="0.25">
      <c r="A2874" s="31" t="s">
        <v>78</v>
      </c>
      <c r="B2874" s="23" t="s">
        <v>1465</v>
      </c>
      <c r="C2874" t="s">
        <v>1466</v>
      </c>
      <c r="D2874">
        <v>1</v>
      </c>
      <c r="E2874" t="s">
        <v>80</v>
      </c>
      <c r="F2874">
        <v>8</v>
      </c>
      <c r="G2874">
        <v>2016</v>
      </c>
      <c r="I2874" s="8">
        <v>30.71</v>
      </c>
      <c r="J2874" t="s">
        <v>81</v>
      </c>
      <c r="K2874" t="s">
        <v>47</v>
      </c>
      <c r="O2874">
        <v>0</v>
      </c>
      <c r="P2874">
        <v>0</v>
      </c>
      <c r="Q2874">
        <v>0</v>
      </c>
      <c r="R2874">
        <v>0</v>
      </c>
      <c r="W2874" t="s">
        <v>1467</v>
      </c>
      <c r="AA2874">
        <v>2007</v>
      </c>
      <c r="AB2874">
        <v>9999</v>
      </c>
      <c r="AC2874" t="s">
        <v>35</v>
      </c>
    </row>
    <row r="2875" spans="1:29" x14ac:dyDescent="0.25">
      <c r="A2875" s="31" t="s">
        <v>768</v>
      </c>
      <c r="B2875" s="23" t="s">
        <v>769</v>
      </c>
      <c r="C2875" t="s">
        <v>770</v>
      </c>
      <c r="D2875">
        <v>1</v>
      </c>
      <c r="E2875" t="s">
        <v>30</v>
      </c>
      <c r="F2875">
        <v>4</v>
      </c>
      <c r="G2875">
        <v>2016</v>
      </c>
      <c r="I2875" s="8">
        <v>339.27</v>
      </c>
      <c r="J2875" t="s">
        <v>1471</v>
      </c>
      <c r="K2875" t="s">
        <v>47</v>
      </c>
      <c r="O2875">
        <v>0</v>
      </c>
      <c r="P2875">
        <v>0</v>
      </c>
      <c r="Q2875">
        <v>0</v>
      </c>
      <c r="R2875">
        <v>0</v>
      </c>
      <c r="W2875" t="s">
        <v>1506</v>
      </c>
      <c r="AA2875">
        <v>2007</v>
      </c>
      <c r="AB2875">
        <v>9999</v>
      </c>
      <c r="AC2875" t="s">
        <v>35</v>
      </c>
    </row>
    <row r="2876" spans="1:29" x14ac:dyDescent="0.25">
      <c r="A2876" s="31" t="s">
        <v>772</v>
      </c>
      <c r="B2876" s="23" t="s">
        <v>773</v>
      </c>
      <c r="C2876" t="s">
        <v>774</v>
      </c>
      <c r="D2876">
        <v>1</v>
      </c>
      <c r="E2876" t="s">
        <v>358</v>
      </c>
      <c r="F2876">
        <v>1</v>
      </c>
      <c r="G2876">
        <v>2016</v>
      </c>
      <c r="I2876" s="8">
        <v>382.79</v>
      </c>
      <c r="J2876" t="s">
        <v>52</v>
      </c>
      <c r="K2876" t="s">
        <v>32</v>
      </c>
      <c r="O2876">
        <v>0</v>
      </c>
      <c r="P2876">
        <v>0</v>
      </c>
      <c r="Q2876">
        <v>0</v>
      </c>
      <c r="R2876">
        <v>0</v>
      </c>
      <c r="W2876" t="s">
        <v>1174</v>
      </c>
      <c r="AA2876">
        <v>2007</v>
      </c>
      <c r="AB2876">
        <v>9999</v>
      </c>
      <c r="AC2876" t="s">
        <v>35</v>
      </c>
    </row>
    <row r="2877" spans="1:29" x14ac:dyDescent="0.25">
      <c r="A2877" s="31" t="s">
        <v>779</v>
      </c>
      <c r="B2877" s="23" t="s">
        <v>780</v>
      </c>
      <c r="D2877">
        <v>1</v>
      </c>
      <c r="E2877" t="s">
        <v>80</v>
      </c>
      <c r="F2877">
        <v>8</v>
      </c>
      <c r="G2877">
        <v>2016</v>
      </c>
      <c r="I2877" s="8">
        <v>75.599999999999994</v>
      </c>
      <c r="J2877" t="s">
        <v>81</v>
      </c>
      <c r="K2877" t="s">
        <v>47</v>
      </c>
      <c r="O2877">
        <v>0</v>
      </c>
      <c r="P2877">
        <v>0</v>
      </c>
      <c r="Q2877">
        <v>0</v>
      </c>
      <c r="R2877">
        <v>0</v>
      </c>
      <c r="W2877" t="s">
        <v>1176</v>
      </c>
      <c r="AA2877">
        <v>2007</v>
      </c>
      <c r="AB2877">
        <v>9999</v>
      </c>
      <c r="AC2877" t="s">
        <v>35</v>
      </c>
    </row>
    <row r="2878" spans="1:29" x14ac:dyDescent="0.25">
      <c r="A2878" s="31" t="s">
        <v>782</v>
      </c>
      <c r="B2878" s="23" t="s">
        <v>783</v>
      </c>
      <c r="D2878">
        <v>1</v>
      </c>
      <c r="E2878" t="s">
        <v>784</v>
      </c>
      <c r="F2878">
        <v>6</v>
      </c>
      <c r="G2878">
        <v>2016</v>
      </c>
      <c r="I2878" s="8">
        <v>71.88</v>
      </c>
      <c r="J2878" t="s">
        <v>1471</v>
      </c>
      <c r="K2878" t="s">
        <v>47</v>
      </c>
      <c r="O2878">
        <v>0</v>
      </c>
      <c r="P2878">
        <v>0</v>
      </c>
      <c r="Q2878">
        <v>0</v>
      </c>
      <c r="R2878">
        <v>0</v>
      </c>
      <c r="W2878" t="s">
        <v>1326</v>
      </c>
      <c r="AA2878">
        <v>2007</v>
      </c>
      <c r="AB2878">
        <v>9999</v>
      </c>
      <c r="AC2878" t="s">
        <v>35</v>
      </c>
    </row>
    <row r="2879" spans="1:29" x14ac:dyDescent="0.25">
      <c r="A2879" s="31" t="s">
        <v>786</v>
      </c>
      <c r="B2879" s="23" t="s">
        <v>787</v>
      </c>
      <c r="C2879" t="s">
        <v>788</v>
      </c>
      <c r="D2879">
        <v>1</v>
      </c>
      <c r="E2879" t="s">
        <v>120</v>
      </c>
      <c r="F2879">
        <v>3</v>
      </c>
      <c r="G2879">
        <v>2016</v>
      </c>
      <c r="I2879" s="8">
        <v>31.97</v>
      </c>
      <c r="J2879" t="s">
        <v>121</v>
      </c>
      <c r="K2879" t="s">
        <v>47</v>
      </c>
      <c r="O2879">
        <v>0</v>
      </c>
      <c r="P2879">
        <v>0</v>
      </c>
      <c r="Q2879">
        <v>0</v>
      </c>
      <c r="R2879">
        <v>0</v>
      </c>
      <c r="W2879" t="s">
        <v>1178</v>
      </c>
      <c r="AA2879">
        <v>2007</v>
      </c>
      <c r="AB2879">
        <v>9999</v>
      </c>
      <c r="AC2879" t="s">
        <v>35</v>
      </c>
    </row>
    <row r="2880" spans="1:29" x14ac:dyDescent="0.25">
      <c r="A2880" s="31" t="s">
        <v>790</v>
      </c>
      <c r="B2880" s="23" t="s">
        <v>791</v>
      </c>
      <c r="D2880">
        <v>1</v>
      </c>
      <c r="E2880" t="s">
        <v>80</v>
      </c>
      <c r="F2880">
        <v>8</v>
      </c>
      <c r="G2880">
        <v>2016</v>
      </c>
      <c r="I2880" s="8">
        <v>202.54</v>
      </c>
      <c r="J2880" t="s">
        <v>81</v>
      </c>
      <c r="K2880" t="s">
        <v>47</v>
      </c>
      <c r="O2880">
        <v>0</v>
      </c>
      <c r="P2880">
        <v>0</v>
      </c>
      <c r="Q2880">
        <v>0</v>
      </c>
      <c r="R2880">
        <v>0</v>
      </c>
      <c r="W2880" t="s">
        <v>1507</v>
      </c>
      <c r="AA2880">
        <v>2007</v>
      </c>
      <c r="AB2880">
        <v>9999</v>
      </c>
      <c r="AC2880" t="s">
        <v>35</v>
      </c>
    </row>
    <row r="2881" spans="1:29" ht="26.25" x14ac:dyDescent="0.25">
      <c r="A2881" s="31" t="s">
        <v>1327</v>
      </c>
      <c r="B2881" s="26" t="s">
        <v>1328</v>
      </c>
      <c r="C2881" t="s">
        <v>1329</v>
      </c>
      <c r="D2881">
        <v>1</v>
      </c>
      <c r="E2881" t="s">
        <v>218</v>
      </c>
      <c r="F2881">
        <v>2</v>
      </c>
      <c r="G2881">
        <v>2016</v>
      </c>
      <c r="I2881" s="8">
        <v>5</v>
      </c>
      <c r="J2881" t="s">
        <v>147</v>
      </c>
      <c r="K2881" t="s">
        <v>41</v>
      </c>
      <c r="O2881">
        <v>0</v>
      </c>
      <c r="P2881">
        <v>0</v>
      </c>
      <c r="Q2881">
        <v>0</v>
      </c>
      <c r="R2881">
        <v>0</v>
      </c>
      <c r="W2881" t="s">
        <v>1330</v>
      </c>
      <c r="AA2881">
        <v>2010</v>
      </c>
      <c r="AB2881">
        <v>9999</v>
      </c>
      <c r="AC2881" t="s">
        <v>1292</v>
      </c>
    </row>
    <row r="2882" spans="1:29" x14ac:dyDescent="0.25">
      <c r="A2882" s="31" t="s">
        <v>796</v>
      </c>
      <c r="B2882" s="23" t="s">
        <v>797</v>
      </c>
      <c r="C2882" t="s">
        <v>798</v>
      </c>
      <c r="D2882">
        <v>1</v>
      </c>
      <c r="E2882" t="s">
        <v>534</v>
      </c>
      <c r="F2882">
        <v>10</v>
      </c>
      <c r="G2882">
        <v>2016</v>
      </c>
      <c r="I2882" s="8">
        <v>3241.84</v>
      </c>
      <c r="J2882" t="s">
        <v>40</v>
      </c>
      <c r="K2882" t="s">
        <v>47</v>
      </c>
      <c r="O2882">
        <v>0</v>
      </c>
      <c r="P2882">
        <v>0</v>
      </c>
      <c r="Q2882">
        <v>0</v>
      </c>
      <c r="R2882">
        <v>0</v>
      </c>
      <c r="W2882" t="s">
        <v>1181</v>
      </c>
      <c r="AA2882">
        <v>2007</v>
      </c>
      <c r="AB2882">
        <v>9999</v>
      </c>
      <c r="AC2882" t="s">
        <v>35</v>
      </c>
    </row>
    <row r="2883" spans="1:29" x14ac:dyDescent="0.25">
      <c r="A2883" s="31" t="s">
        <v>800</v>
      </c>
      <c r="B2883" s="23" t="s">
        <v>801</v>
      </c>
      <c r="C2883" t="s">
        <v>802</v>
      </c>
      <c r="D2883">
        <v>1</v>
      </c>
      <c r="E2883" t="s">
        <v>442</v>
      </c>
      <c r="F2883">
        <v>4</v>
      </c>
      <c r="G2883">
        <v>2016</v>
      </c>
      <c r="I2883" s="8">
        <v>1318.41</v>
      </c>
      <c r="J2883" t="s">
        <v>89</v>
      </c>
      <c r="K2883" t="s">
        <v>47</v>
      </c>
      <c r="O2883">
        <v>0</v>
      </c>
      <c r="P2883">
        <v>0</v>
      </c>
      <c r="Q2883">
        <v>0</v>
      </c>
      <c r="R2883">
        <v>0</v>
      </c>
      <c r="W2883" t="s">
        <v>1331</v>
      </c>
      <c r="AA2883">
        <v>2007</v>
      </c>
      <c r="AB2883">
        <v>9999</v>
      </c>
      <c r="AC2883" t="s">
        <v>35</v>
      </c>
    </row>
    <row r="2884" spans="1:29" x14ac:dyDescent="0.25">
      <c r="A2884" s="31" t="s">
        <v>808</v>
      </c>
      <c r="B2884" s="23" t="s">
        <v>809</v>
      </c>
      <c r="D2884">
        <v>1</v>
      </c>
      <c r="E2884" t="s">
        <v>80</v>
      </c>
      <c r="F2884">
        <v>8</v>
      </c>
      <c r="G2884">
        <v>2016</v>
      </c>
      <c r="I2884" s="8">
        <v>20.309999999999999</v>
      </c>
      <c r="J2884" t="s">
        <v>81</v>
      </c>
      <c r="K2884" t="s">
        <v>47</v>
      </c>
      <c r="O2884">
        <v>0</v>
      </c>
      <c r="P2884">
        <v>0</v>
      </c>
      <c r="Q2884">
        <v>0</v>
      </c>
      <c r="R2884">
        <v>0</v>
      </c>
      <c r="W2884" t="s">
        <v>1184</v>
      </c>
      <c r="AA2884">
        <v>2007</v>
      </c>
      <c r="AB2884">
        <v>9999</v>
      </c>
      <c r="AC2884" t="s">
        <v>35</v>
      </c>
    </row>
    <row r="2885" spans="1:29" x14ac:dyDescent="0.25">
      <c r="A2885" s="31" t="s">
        <v>814</v>
      </c>
      <c r="B2885" s="23" t="s">
        <v>815</v>
      </c>
      <c r="D2885">
        <v>1</v>
      </c>
      <c r="E2885" t="s">
        <v>80</v>
      </c>
      <c r="F2885">
        <v>8</v>
      </c>
      <c r="G2885">
        <v>2016</v>
      </c>
      <c r="I2885" s="8">
        <v>69.569999999999993</v>
      </c>
      <c r="J2885" t="s">
        <v>81</v>
      </c>
      <c r="K2885" t="s">
        <v>32</v>
      </c>
      <c r="O2885">
        <v>0</v>
      </c>
      <c r="P2885">
        <v>0</v>
      </c>
      <c r="Q2885">
        <v>0</v>
      </c>
      <c r="R2885">
        <v>0</v>
      </c>
      <c r="W2885" t="s">
        <v>1432</v>
      </c>
      <c r="AA2885">
        <v>2007</v>
      </c>
      <c r="AB2885">
        <v>9999</v>
      </c>
      <c r="AC2885" t="s">
        <v>35</v>
      </c>
    </row>
    <row r="2886" spans="1:29" x14ac:dyDescent="0.25">
      <c r="A2886" s="31" t="s">
        <v>822</v>
      </c>
      <c r="B2886" s="23" t="s">
        <v>823</v>
      </c>
      <c r="D2886">
        <v>1</v>
      </c>
      <c r="E2886" t="s">
        <v>80</v>
      </c>
      <c r="F2886">
        <v>8</v>
      </c>
      <c r="G2886">
        <v>2016</v>
      </c>
      <c r="I2886" s="8">
        <v>187.1</v>
      </c>
      <c r="J2886" t="s">
        <v>81</v>
      </c>
      <c r="K2886" t="s">
        <v>47</v>
      </c>
      <c r="O2886">
        <v>0</v>
      </c>
      <c r="P2886">
        <v>0</v>
      </c>
      <c r="Q2886">
        <v>0</v>
      </c>
      <c r="R2886">
        <v>0</v>
      </c>
      <c r="W2886" t="s">
        <v>1187</v>
      </c>
      <c r="AA2886">
        <v>2007</v>
      </c>
      <c r="AB2886">
        <v>9999</v>
      </c>
      <c r="AC2886" t="s">
        <v>35</v>
      </c>
    </row>
    <row r="2887" spans="1:29" x14ac:dyDescent="0.25">
      <c r="A2887" s="31" t="s">
        <v>1374</v>
      </c>
      <c r="B2887" s="23" t="s">
        <v>1375</v>
      </c>
      <c r="D2887">
        <v>1</v>
      </c>
      <c r="E2887" t="s">
        <v>80</v>
      </c>
      <c r="F2887">
        <v>8</v>
      </c>
      <c r="G2887">
        <v>2016</v>
      </c>
      <c r="I2887" s="8">
        <v>16.5</v>
      </c>
      <c r="J2887" t="s">
        <v>81</v>
      </c>
      <c r="K2887" t="s">
        <v>47</v>
      </c>
      <c r="O2887">
        <v>0</v>
      </c>
      <c r="P2887">
        <v>0</v>
      </c>
      <c r="Q2887">
        <v>0</v>
      </c>
      <c r="R2887">
        <v>0</v>
      </c>
      <c r="W2887" t="s">
        <v>1376</v>
      </c>
      <c r="AA2887">
        <v>2011</v>
      </c>
      <c r="AB2887">
        <v>2023</v>
      </c>
      <c r="AC2887" t="s">
        <v>1377</v>
      </c>
    </row>
    <row r="2888" spans="1:29" x14ac:dyDescent="0.25">
      <c r="A2888" s="31" t="s">
        <v>825</v>
      </c>
      <c r="B2888" s="23" t="s">
        <v>826</v>
      </c>
      <c r="D2888">
        <v>1</v>
      </c>
      <c r="E2888" t="s">
        <v>80</v>
      </c>
      <c r="F2888">
        <v>8</v>
      </c>
      <c r="G2888">
        <v>2016</v>
      </c>
      <c r="I2888" s="8">
        <v>115.56</v>
      </c>
      <c r="J2888" t="s">
        <v>81</v>
      </c>
      <c r="K2888" t="s">
        <v>47</v>
      </c>
      <c r="O2888">
        <v>0</v>
      </c>
      <c r="P2888">
        <v>0</v>
      </c>
      <c r="Q2888">
        <v>0</v>
      </c>
      <c r="R2888">
        <v>0</v>
      </c>
      <c r="W2888" t="s">
        <v>1188</v>
      </c>
      <c r="AA2888">
        <v>2007</v>
      </c>
      <c r="AB2888">
        <v>9999</v>
      </c>
      <c r="AC2888" t="s">
        <v>35</v>
      </c>
    </row>
    <row r="2889" spans="1:29" x14ac:dyDescent="0.25">
      <c r="A2889" s="31" t="s">
        <v>828</v>
      </c>
      <c r="B2889" s="25" t="s">
        <v>1408</v>
      </c>
      <c r="C2889" t="s">
        <v>1409</v>
      </c>
      <c r="D2889">
        <v>1</v>
      </c>
      <c r="E2889" t="s">
        <v>80</v>
      </c>
      <c r="F2889">
        <v>8</v>
      </c>
      <c r="G2889">
        <v>2016</v>
      </c>
      <c r="I2889" s="8">
        <v>66.61</v>
      </c>
      <c r="J2889" t="s">
        <v>81</v>
      </c>
      <c r="K2889" t="s">
        <v>47</v>
      </c>
      <c r="O2889">
        <v>0</v>
      </c>
      <c r="P2889">
        <v>0</v>
      </c>
      <c r="Q2889">
        <v>0</v>
      </c>
      <c r="R2889">
        <v>0</v>
      </c>
      <c r="W2889" t="s">
        <v>1410</v>
      </c>
      <c r="AA2889">
        <v>2007</v>
      </c>
      <c r="AB2889">
        <v>9999</v>
      </c>
      <c r="AC2889" t="s">
        <v>35</v>
      </c>
    </row>
    <row r="2890" spans="1:29" x14ac:dyDescent="0.25">
      <c r="A2890" s="31" t="s">
        <v>831</v>
      </c>
      <c r="B2890" s="23" t="s">
        <v>832</v>
      </c>
      <c r="C2890" t="s">
        <v>833</v>
      </c>
      <c r="D2890">
        <v>1</v>
      </c>
      <c r="E2890" t="s">
        <v>38</v>
      </c>
      <c r="F2890">
        <v>4</v>
      </c>
      <c r="G2890">
        <v>2016</v>
      </c>
      <c r="H2890" t="s">
        <v>906</v>
      </c>
      <c r="I2890">
        <v>0.05</v>
      </c>
      <c r="J2890" t="s">
        <v>59</v>
      </c>
      <c r="K2890" t="s">
        <v>41</v>
      </c>
      <c r="O2890">
        <v>0</v>
      </c>
      <c r="P2890">
        <v>0</v>
      </c>
      <c r="Q2890">
        <v>0</v>
      </c>
      <c r="R2890">
        <v>0</v>
      </c>
      <c r="W2890" t="s">
        <v>1190</v>
      </c>
      <c r="AA2890">
        <v>2007</v>
      </c>
      <c r="AB2890">
        <v>9999</v>
      </c>
      <c r="AC2890" t="s">
        <v>35</v>
      </c>
    </row>
    <row r="2891" spans="1:29" x14ac:dyDescent="0.25">
      <c r="A2891" s="31" t="s">
        <v>1433</v>
      </c>
      <c r="B2891" s="23" t="s">
        <v>1434</v>
      </c>
      <c r="D2891">
        <v>1</v>
      </c>
      <c r="E2891" s="4">
        <v>133</v>
      </c>
      <c r="F2891">
        <v>1</v>
      </c>
      <c r="G2891">
        <v>2016</v>
      </c>
      <c r="I2891" s="8">
        <v>341</v>
      </c>
      <c r="J2891" t="s">
        <v>52</v>
      </c>
      <c r="K2891" t="s">
        <v>32</v>
      </c>
      <c r="O2891">
        <v>0</v>
      </c>
      <c r="P2891">
        <v>0</v>
      </c>
      <c r="Q2891">
        <v>0</v>
      </c>
      <c r="R2891">
        <v>0</v>
      </c>
      <c r="W2891" t="s">
        <v>1435</v>
      </c>
      <c r="AA2891">
        <v>2013</v>
      </c>
      <c r="AB2891">
        <v>9999</v>
      </c>
      <c r="AC2891" t="s">
        <v>1419</v>
      </c>
    </row>
    <row r="2892" spans="1:29" x14ac:dyDescent="0.25">
      <c r="A2892" s="31" t="s">
        <v>1194</v>
      </c>
      <c r="B2892" s="23" t="s">
        <v>1195</v>
      </c>
      <c r="D2892">
        <v>1</v>
      </c>
      <c r="E2892" t="s">
        <v>85</v>
      </c>
      <c r="F2892">
        <v>1</v>
      </c>
      <c r="G2892">
        <v>2016</v>
      </c>
      <c r="H2892" t="s">
        <v>39</v>
      </c>
      <c r="J2892" t="s">
        <v>52</v>
      </c>
      <c r="K2892" t="s">
        <v>41</v>
      </c>
      <c r="O2892">
        <v>0</v>
      </c>
      <c r="P2892">
        <v>0</v>
      </c>
      <c r="Q2892">
        <v>0</v>
      </c>
      <c r="R2892">
        <v>0</v>
      </c>
      <c r="W2892" t="s">
        <v>1267</v>
      </c>
      <c r="AA2892">
        <v>2008</v>
      </c>
      <c r="AB2892">
        <v>9999</v>
      </c>
      <c r="AC2892" t="s">
        <v>1054</v>
      </c>
    </row>
    <row r="2893" spans="1:29" x14ac:dyDescent="0.25">
      <c r="A2893" s="31" t="s">
        <v>1268</v>
      </c>
      <c r="B2893" s="23" t="s">
        <v>1262</v>
      </c>
      <c r="D2893">
        <v>1</v>
      </c>
      <c r="E2893" t="s">
        <v>300</v>
      </c>
      <c r="F2893">
        <v>9</v>
      </c>
      <c r="G2893">
        <v>2016</v>
      </c>
      <c r="I2893" s="8">
        <v>417.18</v>
      </c>
      <c r="J2893" t="s">
        <v>104</v>
      </c>
      <c r="K2893" t="s">
        <v>47</v>
      </c>
      <c r="O2893">
        <v>0</v>
      </c>
      <c r="P2893">
        <v>0</v>
      </c>
      <c r="Q2893">
        <v>0</v>
      </c>
      <c r="R2893">
        <v>0</v>
      </c>
      <c r="W2893" t="s">
        <v>1411</v>
      </c>
      <c r="AA2893">
        <v>2009</v>
      </c>
      <c r="AB2893">
        <v>9999</v>
      </c>
      <c r="AC2893" t="s">
        <v>1239</v>
      </c>
    </row>
    <row r="2894" spans="1:29" x14ac:dyDescent="0.25">
      <c r="A2894" s="31" t="s">
        <v>845</v>
      </c>
      <c r="B2894" s="23" t="s">
        <v>846</v>
      </c>
      <c r="C2894" t="s">
        <v>847</v>
      </c>
      <c r="D2894">
        <v>1</v>
      </c>
      <c r="E2894" t="s">
        <v>300</v>
      </c>
      <c r="F2894">
        <v>9</v>
      </c>
      <c r="G2894">
        <v>2016</v>
      </c>
      <c r="I2894" s="8">
        <v>499.66</v>
      </c>
      <c r="J2894" t="s">
        <v>104</v>
      </c>
      <c r="K2894" t="s">
        <v>47</v>
      </c>
      <c r="O2894">
        <v>0</v>
      </c>
      <c r="P2894">
        <v>0</v>
      </c>
      <c r="Q2894">
        <v>0</v>
      </c>
      <c r="R2894">
        <v>0</v>
      </c>
      <c r="W2894" t="s">
        <v>1517</v>
      </c>
      <c r="AA2894">
        <v>2007</v>
      </c>
      <c r="AB2894">
        <v>9999</v>
      </c>
      <c r="AC2894" t="s">
        <v>35</v>
      </c>
    </row>
    <row r="2895" spans="1:29" x14ac:dyDescent="0.25">
      <c r="A2895" s="31" t="s">
        <v>852</v>
      </c>
      <c r="B2895" s="23" t="s">
        <v>853</v>
      </c>
      <c r="D2895">
        <v>1</v>
      </c>
      <c r="E2895" t="s">
        <v>85</v>
      </c>
      <c r="F2895">
        <v>1</v>
      </c>
      <c r="G2895">
        <v>2016</v>
      </c>
      <c r="H2895" t="s">
        <v>837</v>
      </c>
      <c r="I2895">
        <v>0.01</v>
      </c>
      <c r="J2895" t="s">
        <v>52</v>
      </c>
      <c r="K2895" t="s">
        <v>41</v>
      </c>
      <c r="O2895">
        <v>0</v>
      </c>
      <c r="P2895">
        <v>0</v>
      </c>
      <c r="Q2895">
        <v>0</v>
      </c>
      <c r="R2895">
        <v>0</v>
      </c>
      <c r="W2895" t="s">
        <v>1191</v>
      </c>
      <c r="AA2895">
        <v>2007</v>
      </c>
      <c r="AB2895">
        <v>9999</v>
      </c>
      <c r="AC2895" t="s">
        <v>35</v>
      </c>
    </row>
    <row r="2896" spans="1:29" x14ac:dyDescent="0.25">
      <c r="A2896" s="31" t="s">
        <v>836</v>
      </c>
      <c r="B2896" s="23" t="s">
        <v>1413</v>
      </c>
      <c r="D2896">
        <v>1</v>
      </c>
      <c r="E2896" t="s">
        <v>64</v>
      </c>
      <c r="F2896">
        <v>1</v>
      </c>
      <c r="G2896">
        <v>2016</v>
      </c>
      <c r="I2896" s="8">
        <v>243.17</v>
      </c>
      <c r="J2896" t="s">
        <v>52</v>
      </c>
      <c r="K2896" t="s">
        <v>32</v>
      </c>
      <c r="O2896">
        <v>0</v>
      </c>
      <c r="P2896">
        <v>0</v>
      </c>
      <c r="Q2896">
        <v>0</v>
      </c>
      <c r="R2896">
        <v>0</v>
      </c>
      <c r="W2896" t="s">
        <v>1191</v>
      </c>
      <c r="AA2896">
        <v>2007</v>
      </c>
      <c r="AB2896">
        <v>9999</v>
      </c>
      <c r="AC2896" t="s">
        <v>35</v>
      </c>
    </row>
    <row r="2897" spans="1:29" x14ac:dyDescent="0.25">
      <c r="A2897" s="31" t="s">
        <v>862</v>
      </c>
      <c r="B2897" s="23" t="s">
        <v>863</v>
      </c>
      <c r="C2897" t="s">
        <v>864</v>
      </c>
      <c r="D2897">
        <v>1</v>
      </c>
      <c r="E2897" t="s">
        <v>442</v>
      </c>
      <c r="F2897">
        <v>4</v>
      </c>
      <c r="G2897">
        <v>2016</v>
      </c>
      <c r="I2897" s="8">
        <v>304.04000000000002</v>
      </c>
      <c r="J2897" t="s">
        <v>89</v>
      </c>
      <c r="K2897" t="s">
        <v>47</v>
      </c>
      <c r="O2897">
        <v>0</v>
      </c>
      <c r="P2897">
        <v>0</v>
      </c>
      <c r="Q2897">
        <v>0</v>
      </c>
      <c r="R2897">
        <v>0</v>
      </c>
      <c r="W2897" t="s">
        <v>1334</v>
      </c>
      <c r="AA2897">
        <v>2007</v>
      </c>
      <c r="AB2897">
        <v>9999</v>
      </c>
      <c r="AC2897" t="s">
        <v>35</v>
      </c>
    </row>
    <row r="2898" spans="1:29" x14ac:dyDescent="0.25">
      <c r="A2898" s="31" t="s">
        <v>866</v>
      </c>
      <c r="B2898" s="23" t="s">
        <v>867</v>
      </c>
      <c r="C2898" t="s">
        <v>868</v>
      </c>
      <c r="D2898">
        <v>1</v>
      </c>
      <c r="E2898" t="s">
        <v>869</v>
      </c>
      <c r="F2898">
        <v>4</v>
      </c>
      <c r="G2898">
        <v>2016</v>
      </c>
      <c r="I2898" s="8">
        <v>180.79</v>
      </c>
      <c r="J2898" t="s">
        <v>89</v>
      </c>
      <c r="K2898" t="s">
        <v>32</v>
      </c>
      <c r="O2898">
        <v>0</v>
      </c>
      <c r="P2898">
        <v>0</v>
      </c>
      <c r="Q2898">
        <v>0</v>
      </c>
      <c r="R2898">
        <v>0</v>
      </c>
      <c r="W2898" t="s">
        <v>1199</v>
      </c>
      <c r="AA2898">
        <v>2007</v>
      </c>
      <c r="AB2898">
        <v>9999</v>
      </c>
      <c r="AC2898" t="s">
        <v>35</v>
      </c>
    </row>
    <row r="2899" spans="1:29" x14ac:dyDescent="0.25">
      <c r="A2899" s="31" t="s">
        <v>1023</v>
      </c>
      <c r="B2899" s="23" t="s">
        <v>1200</v>
      </c>
      <c r="D2899">
        <v>1</v>
      </c>
      <c r="E2899" t="s">
        <v>85</v>
      </c>
      <c r="F2899">
        <v>1</v>
      </c>
      <c r="G2899">
        <v>2016</v>
      </c>
      <c r="H2899" t="s">
        <v>39</v>
      </c>
      <c r="I2899">
        <v>3.5</v>
      </c>
      <c r="J2899" t="s">
        <v>52</v>
      </c>
      <c r="K2899" t="s">
        <v>41</v>
      </c>
      <c r="O2899">
        <v>0</v>
      </c>
      <c r="P2899">
        <v>0</v>
      </c>
      <c r="Q2899">
        <v>0</v>
      </c>
      <c r="R2899">
        <v>0</v>
      </c>
      <c r="W2899" t="s">
        <v>1271</v>
      </c>
      <c r="AA2899">
        <v>2007</v>
      </c>
      <c r="AB2899">
        <v>9999</v>
      </c>
      <c r="AC2899" t="s">
        <v>35</v>
      </c>
    </row>
    <row r="2900" spans="1:29" x14ac:dyDescent="0.25">
      <c r="A2900" s="31" t="s">
        <v>871</v>
      </c>
      <c r="B2900" s="23" t="s">
        <v>872</v>
      </c>
      <c r="C2900" t="s">
        <v>873</v>
      </c>
      <c r="D2900">
        <v>1</v>
      </c>
      <c r="E2900" t="s">
        <v>874</v>
      </c>
      <c r="F2900">
        <v>1</v>
      </c>
      <c r="G2900">
        <v>2016</v>
      </c>
      <c r="I2900" s="8">
        <v>1184.6199999999999</v>
      </c>
      <c r="J2900" t="s">
        <v>52</v>
      </c>
      <c r="K2900" t="s">
        <v>47</v>
      </c>
      <c r="O2900">
        <v>0</v>
      </c>
      <c r="P2900">
        <v>0</v>
      </c>
      <c r="Q2900">
        <v>0</v>
      </c>
      <c r="R2900">
        <v>0</v>
      </c>
      <c r="W2900" t="s">
        <v>1201</v>
      </c>
      <c r="AA2900">
        <v>2007</v>
      </c>
      <c r="AB2900">
        <v>9999</v>
      </c>
      <c r="AC2900" t="s">
        <v>35</v>
      </c>
    </row>
    <row r="2901" spans="1:29" x14ac:dyDescent="0.25">
      <c r="A2901" s="31" t="s">
        <v>876</v>
      </c>
      <c r="B2901" s="23" t="s">
        <v>877</v>
      </c>
      <c r="C2901" t="s">
        <v>878</v>
      </c>
      <c r="D2901">
        <v>1</v>
      </c>
      <c r="E2901" t="s">
        <v>168</v>
      </c>
      <c r="F2901">
        <v>1</v>
      </c>
      <c r="G2901">
        <v>2016</v>
      </c>
      <c r="I2901" s="8">
        <v>63.7</v>
      </c>
      <c r="J2901" t="s">
        <v>52</v>
      </c>
      <c r="K2901" t="s">
        <v>47</v>
      </c>
      <c r="O2901">
        <v>0</v>
      </c>
      <c r="P2901">
        <v>0</v>
      </c>
      <c r="Q2901">
        <v>0</v>
      </c>
      <c r="R2901">
        <v>0</v>
      </c>
      <c r="W2901" t="s">
        <v>1202</v>
      </c>
      <c r="AA2901">
        <v>2007</v>
      </c>
      <c r="AB2901">
        <v>9999</v>
      </c>
      <c r="AC2901" t="s">
        <v>35</v>
      </c>
    </row>
    <row r="2902" spans="1:29" x14ac:dyDescent="0.25">
      <c r="A2902" s="31" t="s">
        <v>1468</v>
      </c>
      <c r="B2902" s="24" t="s">
        <v>1469</v>
      </c>
      <c r="D2902">
        <v>1</v>
      </c>
      <c r="E2902" s="4">
        <v>941</v>
      </c>
      <c r="F2902">
        <v>9</v>
      </c>
      <c r="G2902">
        <v>2016</v>
      </c>
      <c r="I2902" s="8">
        <v>190.16</v>
      </c>
      <c r="J2902" t="s">
        <v>104</v>
      </c>
      <c r="K2902" t="s">
        <v>53</v>
      </c>
      <c r="L2902" t="s">
        <v>105</v>
      </c>
      <c r="O2902">
        <v>0</v>
      </c>
      <c r="P2902">
        <v>1</v>
      </c>
      <c r="Q2902">
        <v>0</v>
      </c>
      <c r="R2902">
        <v>0</v>
      </c>
      <c r="W2902" t="s">
        <v>106</v>
      </c>
      <c r="AA2902">
        <v>2014</v>
      </c>
      <c r="AB2902">
        <v>9999</v>
      </c>
      <c r="AC2902" t="s">
        <v>1449</v>
      </c>
    </row>
    <row r="2903" spans="1:29" x14ac:dyDescent="0.25">
      <c r="A2903" s="31" t="s">
        <v>880</v>
      </c>
      <c r="B2903" s="23" t="s">
        <v>881</v>
      </c>
      <c r="C2903" t="s">
        <v>882</v>
      </c>
      <c r="D2903">
        <v>1</v>
      </c>
      <c r="E2903" t="s">
        <v>103</v>
      </c>
      <c r="F2903">
        <v>9</v>
      </c>
      <c r="G2903">
        <v>2016</v>
      </c>
      <c r="I2903" s="8">
        <v>4791.8</v>
      </c>
      <c r="J2903" t="s">
        <v>104</v>
      </c>
      <c r="K2903" t="s">
        <v>53</v>
      </c>
      <c r="L2903" t="s">
        <v>105</v>
      </c>
      <c r="O2903">
        <v>0</v>
      </c>
      <c r="P2903">
        <v>1</v>
      </c>
      <c r="Q2903">
        <v>0</v>
      </c>
      <c r="R2903">
        <v>0</v>
      </c>
      <c r="W2903" t="s">
        <v>106</v>
      </c>
      <c r="AA2903">
        <v>2007</v>
      </c>
      <c r="AB2903">
        <v>9999</v>
      </c>
      <c r="AC2903" t="s">
        <v>35</v>
      </c>
    </row>
    <row r="2904" spans="1:29" x14ac:dyDescent="0.25">
      <c r="A2904" s="31" t="s">
        <v>1272</v>
      </c>
      <c r="B2904" s="23" t="s">
        <v>1273</v>
      </c>
      <c r="D2904">
        <v>1</v>
      </c>
      <c r="E2904" t="s">
        <v>1274</v>
      </c>
      <c r="F2904">
        <v>4</v>
      </c>
      <c r="G2904">
        <v>2016</v>
      </c>
      <c r="I2904" s="8">
        <v>284.8</v>
      </c>
      <c r="J2904" t="s">
        <v>1471</v>
      </c>
      <c r="K2904" t="s">
        <v>47</v>
      </c>
      <c r="O2904">
        <v>0</v>
      </c>
      <c r="P2904">
        <v>0</v>
      </c>
      <c r="Q2904">
        <v>0</v>
      </c>
      <c r="R2904">
        <v>0</v>
      </c>
      <c r="W2904" t="s">
        <v>1275</v>
      </c>
      <c r="AA2904">
        <v>2009</v>
      </c>
      <c r="AB2904">
        <v>9999</v>
      </c>
      <c r="AC2904" t="s">
        <v>1239</v>
      </c>
    </row>
    <row r="2905" spans="1:29" x14ac:dyDescent="0.25">
      <c r="A2905" s="31" t="s">
        <v>883</v>
      </c>
      <c r="B2905" s="23" t="s">
        <v>884</v>
      </c>
      <c r="C2905" t="s">
        <v>885</v>
      </c>
      <c r="D2905">
        <v>1</v>
      </c>
      <c r="E2905" t="s">
        <v>45</v>
      </c>
      <c r="F2905">
        <v>4</v>
      </c>
      <c r="G2905">
        <v>2016</v>
      </c>
      <c r="I2905" s="8">
        <v>108.62</v>
      </c>
      <c r="J2905" t="s">
        <v>176</v>
      </c>
      <c r="K2905" t="s">
        <v>47</v>
      </c>
      <c r="O2905">
        <v>0</v>
      </c>
      <c r="P2905">
        <v>0</v>
      </c>
      <c r="Q2905">
        <v>0</v>
      </c>
      <c r="R2905">
        <v>0</v>
      </c>
      <c r="W2905" t="s">
        <v>1335</v>
      </c>
      <c r="AA2905">
        <v>2007</v>
      </c>
      <c r="AB2905">
        <v>9999</v>
      </c>
      <c r="AC2905" t="s">
        <v>35</v>
      </c>
    </row>
    <row r="2906" spans="1:29" x14ac:dyDescent="0.25">
      <c r="A2906" s="31" t="s">
        <v>887</v>
      </c>
      <c r="B2906" s="23" t="s">
        <v>888</v>
      </c>
      <c r="C2906" t="s">
        <v>889</v>
      </c>
      <c r="D2906">
        <v>1</v>
      </c>
      <c r="E2906" t="s">
        <v>335</v>
      </c>
      <c r="F2906">
        <v>1</v>
      </c>
      <c r="G2906">
        <v>2016</v>
      </c>
      <c r="I2906" s="8">
        <v>515.89</v>
      </c>
      <c r="J2906" t="s">
        <v>176</v>
      </c>
      <c r="K2906" t="s">
        <v>32</v>
      </c>
      <c r="O2906">
        <v>0</v>
      </c>
      <c r="P2906">
        <v>0</v>
      </c>
      <c r="Q2906">
        <v>0</v>
      </c>
      <c r="R2906">
        <v>0</v>
      </c>
      <c r="W2906" t="s">
        <v>1381</v>
      </c>
      <c r="AA2906">
        <v>2007</v>
      </c>
      <c r="AB2906">
        <v>9999</v>
      </c>
      <c r="AC2906" t="s">
        <v>35</v>
      </c>
    </row>
    <row r="2907" spans="1:29" x14ac:dyDescent="0.25">
      <c r="A2907" s="31" t="s">
        <v>894</v>
      </c>
      <c r="B2907" s="23" t="s">
        <v>895</v>
      </c>
      <c r="D2907">
        <v>1</v>
      </c>
      <c r="E2907" t="s">
        <v>38</v>
      </c>
      <c r="F2907">
        <v>4</v>
      </c>
      <c r="G2907">
        <v>2016</v>
      </c>
      <c r="H2907" t="s">
        <v>715</v>
      </c>
      <c r="I2907">
        <v>0.3</v>
      </c>
      <c r="J2907" s="2" t="s">
        <v>89</v>
      </c>
      <c r="K2907" t="s">
        <v>53</v>
      </c>
      <c r="L2907" t="s">
        <v>53</v>
      </c>
      <c r="O2907">
        <v>0</v>
      </c>
      <c r="P2907">
        <v>0</v>
      </c>
      <c r="Q2907">
        <v>0</v>
      </c>
      <c r="R2907">
        <v>0</v>
      </c>
      <c r="W2907" t="s">
        <v>897</v>
      </c>
      <c r="AA2907">
        <v>2007</v>
      </c>
      <c r="AB2907">
        <v>9999</v>
      </c>
      <c r="AC2907" t="s">
        <v>35</v>
      </c>
    </row>
    <row r="2908" spans="1:29" x14ac:dyDescent="0.25">
      <c r="A2908" s="31" t="s">
        <v>900</v>
      </c>
      <c r="B2908" s="23" t="s">
        <v>901</v>
      </c>
      <c r="D2908">
        <v>1</v>
      </c>
      <c r="E2908" t="s">
        <v>38</v>
      </c>
      <c r="F2908">
        <v>4</v>
      </c>
      <c r="G2908">
        <v>2016</v>
      </c>
      <c r="H2908" t="s">
        <v>596</v>
      </c>
      <c r="J2908" t="s">
        <v>89</v>
      </c>
      <c r="K2908" t="s">
        <v>53</v>
      </c>
      <c r="L2908" t="s">
        <v>902</v>
      </c>
      <c r="O2908">
        <v>0</v>
      </c>
      <c r="P2908">
        <v>0</v>
      </c>
      <c r="Q2908">
        <v>0</v>
      </c>
      <c r="R2908">
        <v>0</v>
      </c>
      <c r="W2908" t="s">
        <v>903</v>
      </c>
      <c r="AA2908">
        <v>2007</v>
      </c>
      <c r="AB2908">
        <v>9999</v>
      </c>
      <c r="AC2908" t="s">
        <v>35</v>
      </c>
    </row>
    <row r="2909" spans="1:29" x14ac:dyDescent="0.25">
      <c r="A2909" s="31" t="s">
        <v>904</v>
      </c>
      <c r="B2909" s="25" t="s">
        <v>1436</v>
      </c>
      <c r="D2909">
        <v>1</v>
      </c>
      <c r="E2909" t="s">
        <v>38</v>
      </c>
      <c r="F2909">
        <v>4</v>
      </c>
      <c r="G2909">
        <v>2016</v>
      </c>
      <c r="H2909" t="s">
        <v>906</v>
      </c>
      <c r="I2909">
        <v>0.5</v>
      </c>
      <c r="J2909" t="s">
        <v>59</v>
      </c>
      <c r="K2909" t="s">
        <v>53</v>
      </c>
      <c r="L2909" t="s">
        <v>902</v>
      </c>
      <c r="O2909">
        <v>0</v>
      </c>
      <c r="P2909">
        <v>0</v>
      </c>
      <c r="Q2909">
        <v>0</v>
      </c>
      <c r="R2909">
        <v>0</v>
      </c>
      <c r="W2909" t="s">
        <v>907</v>
      </c>
      <c r="AA2909">
        <v>2007</v>
      </c>
      <c r="AB2909">
        <v>9999</v>
      </c>
      <c r="AC2909" t="s">
        <v>35</v>
      </c>
    </row>
    <row r="2910" spans="1:29" x14ac:dyDescent="0.25">
      <c r="A2910" s="31" t="s">
        <v>908</v>
      </c>
      <c r="B2910" s="23" t="s">
        <v>909</v>
      </c>
      <c r="C2910" t="s">
        <v>910</v>
      </c>
      <c r="D2910">
        <v>1</v>
      </c>
      <c r="E2910" t="s">
        <v>911</v>
      </c>
      <c r="F2910">
        <v>1</v>
      </c>
      <c r="G2910">
        <v>2016</v>
      </c>
      <c r="I2910" s="8">
        <v>111.23</v>
      </c>
      <c r="J2910" t="s">
        <v>176</v>
      </c>
      <c r="K2910" t="s">
        <v>47</v>
      </c>
      <c r="O2910">
        <v>0</v>
      </c>
      <c r="P2910">
        <v>0</v>
      </c>
      <c r="Q2910">
        <v>0</v>
      </c>
      <c r="R2910">
        <v>0</v>
      </c>
      <c r="W2910" t="s">
        <v>1518</v>
      </c>
      <c r="AA2910">
        <v>2007</v>
      </c>
      <c r="AB2910">
        <v>9999</v>
      </c>
      <c r="AC2910" t="s">
        <v>35</v>
      </c>
    </row>
    <row r="2911" spans="1:29" x14ac:dyDescent="0.25">
      <c r="A2911" s="31" t="s">
        <v>913</v>
      </c>
      <c r="B2911" s="23" t="s">
        <v>914</v>
      </c>
      <c r="C2911" t="s">
        <v>915</v>
      </c>
      <c r="D2911">
        <v>1</v>
      </c>
      <c r="E2911" t="s">
        <v>911</v>
      </c>
      <c r="F2911">
        <v>1</v>
      </c>
      <c r="G2911">
        <v>2016</v>
      </c>
      <c r="I2911" s="8">
        <v>11.43</v>
      </c>
      <c r="J2911" t="s">
        <v>268</v>
      </c>
      <c r="K2911" t="s">
        <v>47</v>
      </c>
      <c r="O2911">
        <v>0</v>
      </c>
      <c r="P2911">
        <v>0</v>
      </c>
      <c r="Q2911">
        <v>0</v>
      </c>
      <c r="R2911">
        <v>0</v>
      </c>
      <c r="W2911" t="s">
        <v>1276</v>
      </c>
      <c r="AA2911">
        <v>2007</v>
      </c>
      <c r="AB2911">
        <v>9999</v>
      </c>
      <c r="AC2911" t="s">
        <v>35</v>
      </c>
    </row>
    <row r="2912" spans="1:29" x14ac:dyDescent="0.25">
      <c r="A2912" s="31" t="s">
        <v>97</v>
      </c>
      <c r="B2912" s="23" t="s">
        <v>99</v>
      </c>
      <c r="C2912" t="s">
        <v>923</v>
      </c>
      <c r="D2912">
        <v>1</v>
      </c>
      <c r="E2912" t="s">
        <v>45</v>
      </c>
      <c r="F2912">
        <v>4</v>
      </c>
      <c r="G2912">
        <v>2016</v>
      </c>
      <c r="I2912" s="8">
        <v>217.98</v>
      </c>
      <c r="J2912" t="s">
        <v>89</v>
      </c>
      <c r="K2912" t="s">
        <v>47</v>
      </c>
      <c r="O2912">
        <v>0</v>
      </c>
      <c r="P2912">
        <v>0</v>
      </c>
      <c r="Q2912">
        <v>0</v>
      </c>
      <c r="R2912">
        <v>0</v>
      </c>
      <c r="W2912" t="s">
        <v>1277</v>
      </c>
      <c r="AA2912">
        <v>2007</v>
      </c>
      <c r="AB2912">
        <v>9999</v>
      </c>
      <c r="AC2912" t="s">
        <v>35</v>
      </c>
    </row>
    <row r="2913" spans="1:29" x14ac:dyDescent="0.25">
      <c r="A2913" s="31" t="s">
        <v>925</v>
      </c>
      <c r="B2913" s="23" t="s">
        <v>926</v>
      </c>
      <c r="C2913" t="s">
        <v>927</v>
      </c>
      <c r="D2913">
        <v>1</v>
      </c>
      <c r="E2913" t="s">
        <v>103</v>
      </c>
      <c r="F2913">
        <v>9</v>
      </c>
      <c r="G2913">
        <v>2016</v>
      </c>
      <c r="I2913" s="8">
        <v>2788.64</v>
      </c>
      <c r="J2913" t="s">
        <v>89</v>
      </c>
      <c r="K2913" t="s">
        <v>53</v>
      </c>
      <c r="L2913" t="s">
        <v>105</v>
      </c>
      <c r="O2913">
        <v>0</v>
      </c>
      <c r="P2913">
        <v>0</v>
      </c>
      <c r="Q2913">
        <v>0</v>
      </c>
      <c r="R2913">
        <v>0</v>
      </c>
      <c r="W2913" t="s">
        <v>928</v>
      </c>
      <c r="AA2913">
        <v>2007</v>
      </c>
      <c r="AB2913">
        <v>9999</v>
      </c>
      <c r="AC2913" t="s">
        <v>35</v>
      </c>
    </row>
    <row r="2914" spans="1:29" x14ac:dyDescent="0.25">
      <c r="A2914" s="31" t="s">
        <v>929</v>
      </c>
      <c r="B2914" s="23" t="s">
        <v>930</v>
      </c>
      <c r="C2914" t="s">
        <v>931</v>
      </c>
      <c r="D2914">
        <v>1</v>
      </c>
      <c r="E2914" t="s">
        <v>45</v>
      </c>
      <c r="F2914">
        <v>4</v>
      </c>
      <c r="G2914">
        <v>2016</v>
      </c>
      <c r="I2914" s="8">
        <v>571.5</v>
      </c>
      <c r="J2914" t="s">
        <v>1471</v>
      </c>
      <c r="K2914" t="s">
        <v>47</v>
      </c>
      <c r="O2914">
        <v>0</v>
      </c>
      <c r="P2914">
        <v>0</v>
      </c>
      <c r="Q2914">
        <v>0</v>
      </c>
      <c r="R2914">
        <v>0</v>
      </c>
      <c r="W2914" t="s">
        <v>1336</v>
      </c>
      <c r="AA2914">
        <v>2007</v>
      </c>
      <c r="AB2914">
        <v>9999</v>
      </c>
      <c r="AC2914" t="s">
        <v>35</v>
      </c>
    </row>
    <row r="2915" spans="1:29" x14ac:dyDescent="0.25">
      <c r="A2915" s="31" t="s">
        <v>1212</v>
      </c>
      <c r="B2915" s="23" t="s">
        <v>1213</v>
      </c>
      <c r="D2915">
        <v>1</v>
      </c>
      <c r="E2915" t="s">
        <v>681</v>
      </c>
      <c r="F2915">
        <v>3</v>
      </c>
      <c r="G2915">
        <v>2016</v>
      </c>
      <c r="I2915" s="8">
        <v>15.4</v>
      </c>
      <c r="J2915" t="s">
        <v>121</v>
      </c>
      <c r="K2915" t="s">
        <v>41</v>
      </c>
      <c r="O2915">
        <v>0</v>
      </c>
      <c r="P2915">
        <v>0</v>
      </c>
      <c r="Q2915">
        <v>0</v>
      </c>
      <c r="R2915">
        <v>0</v>
      </c>
      <c r="W2915" t="s">
        <v>1278</v>
      </c>
      <c r="AA2915">
        <v>2008</v>
      </c>
      <c r="AB2915">
        <v>9999</v>
      </c>
      <c r="AC2915" t="s">
        <v>1054</v>
      </c>
    </row>
    <row r="2916" spans="1:29" x14ac:dyDescent="0.25">
      <c r="A2916" s="31" t="s">
        <v>933</v>
      </c>
      <c r="B2916" s="23" t="s">
        <v>934</v>
      </c>
      <c r="C2916" t="s">
        <v>935</v>
      </c>
      <c r="D2916">
        <v>1</v>
      </c>
      <c r="E2916" t="s">
        <v>681</v>
      </c>
      <c r="F2916">
        <v>3</v>
      </c>
      <c r="G2916">
        <v>2016</v>
      </c>
      <c r="J2916" t="s">
        <v>121</v>
      </c>
      <c r="K2916" t="s">
        <v>47</v>
      </c>
      <c r="O2916">
        <v>0</v>
      </c>
      <c r="P2916">
        <v>0</v>
      </c>
      <c r="Q2916">
        <v>0</v>
      </c>
      <c r="R2916">
        <v>0</v>
      </c>
      <c r="W2916" t="s">
        <v>1508</v>
      </c>
      <c r="AA2916">
        <v>2007</v>
      </c>
      <c r="AB2916">
        <v>9999</v>
      </c>
      <c r="AC2916" t="s">
        <v>35</v>
      </c>
    </row>
    <row r="2917" spans="1:29" x14ac:dyDescent="0.25">
      <c r="A2917" s="31" t="s">
        <v>937</v>
      </c>
      <c r="B2917" s="23" t="s">
        <v>938</v>
      </c>
      <c r="D2917">
        <v>1</v>
      </c>
      <c r="E2917" t="s">
        <v>103</v>
      </c>
      <c r="F2917">
        <v>9</v>
      </c>
      <c r="G2917">
        <v>2016</v>
      </c>
      <c r="I2917" s="8">
        <v>705.17</v>
      </c>
      <c r="J2917" t="s">
        <v>104</v>
      </c>
      <c r="K2917" t="s">
        <v>53</v>
      </c>
      <c r="L2917" t="s">
        <v>105</v>
      </c>
      <c r="O2917">
        <v>0</v>
      </c>
      <c r="P2917">
        <v>1</v>
      </c>
      <c r="Q2917">
        <v>0</v>
      </c>
      <c r="R2917">
        <v>0</v>
      </c>
      <c r="W2917" t="s">
        <v>106</v>
      </c>
      <c r="AA2917">
        <v>2007</v>
      </c>
      <c r="AB2917">
        <v>9999</v>
      </c>
      <c r="AC2917" t="s">
        <v>35</v>
      </c>
    </row>
    <row r="2918" spans="1:29" x14ac:dyDescent="0.25">
      <c r="A2918" s="31" t="s">
        <v>462</v>
      </c>
      <c r="B2918" s="23" t="s">
        <v>1414</v>
      </c>
      <c r="C2918" t="s">
        <v>1280</v>
      </c>
      <c r="D2918">
        <v>1</v>
      </c>
      <c r="E2918" t="s">
        <v>468</v>
      </c>
      <c r="F2918">
        <v>7</v>
      </c>
      <c r="G2918">
        <v>2016</v>
      </c>
      <c r="I2918" s="8">
        <v>118.09</v>
      </c>
      <c r="J2918" t="s">
        <v>40</v>
      </c>
      <c r="K2918" t="s">
        <v>47</v>
      </c>
      <c r="O2918">
        <v>0</v>
      </c>
      <c r="P2918">
        <v>0</v>
      </c>
      <c r="Q2918">
        <v>0</v>
      </c>
      <c r="R2918">
        <v>0</v>
      </c>
      <c r="W2918" t="s">
        <v>1118</v>
      </c>
      <c r="AA2918">
        <v>2007</v>
      </c>
      <c r="AB2918">
        <v>9999</v>
      </c>
      <c r="AC2918" t="s">
        <v>35</v>
      </c>
    </row>
    <row r="2919" spans="1:29" x14ac:dyDescent="0.25">
      <c r="A2919" s="31" t="s">
        <v>1337</v>
      </c>
      <c r="B2919" s="23" t="s">
        <v>1315</v>
      </c>
      <c r="D2919">
        <v>1</v>
      </c>
      <c r="E2919" t="s">
        <v>45</v>
      </c>
      <c r="F2919">
        <v>4</v>
      </c>
      <c r="G2919">
        <v>2016</v>
      </c>
      <c r="I2919" s="8">
        <v>361.27</v>
      </c>
      <c r="J2919" t="s">
        <v>89</v>
      </c>
      <c r="K2919" t="s">
        <v>32</v>
      </c>
      <c r="O2919">
        <v>0</v>
      </c>
      <c r="P2919">
        <v>0</v>
      </c>
      <c r="Q2919">
        <v>0</v>
      </c>
      <c r="R2919">
        <v>0</v>
      </c>
      <c r="W2919" t="s">
        <v>1338</v>
      </c>
      <c r="AA2919">
        <v>2010</v>
      </c>
      <c r="AB2919">
        <v>9999</v>
      </c>
      <c r="AC2919" t="s">
        <v>1292</v>
      </c>
    </row>
    <row r="2920" spans="1:29" x14ac:dyDescent="0.25">
      <c r="A2920" s="31" t="s">
        <v>1509</v>
      </c>
      <c r="B2920" s="23" t="s">
        <v>946</v>
      </c>
      <c r="D2920">
        <v>48</v>
      </c>
      <c r="E2920" t="s">
        <v>155</v>
      </c>
      <c r="F2920">
        <v>3</v>
      </c>
      <c r="G2920">
        <v>2016</v>
      </c>
      <c r="I2920">
        <v>2805.7706272233027</v>
      </c>
      <c r="J2920" t="s">
        <v>121</v>
      </c>
      <c r="K2920" t="s">
        <v>53</v>
      </c>
      <c r="L2920" t="s">
        <v>60</v>
      </c>
      <c r="O2920">
        <v>1</v>
      </c>
      <c r="P2920">
        <v>0</v>
      </c>
      <c r="Q2920">
        <v>0</v>
      </c>
      <c r="R2920">
        <v>0</v>
      </c>
      <c r="V2920">
        <v>1</v>
      </c>
      <c r="W2920" t="s">
        <v>947</v>
      </c>
      <c r="AA2920">
        <v>2007</v>
      </c>
      <c r="AB2920">
        <v>9999</v>
      </c>
      <c r="AC2920" t="s">
        <v>35</v>
      </c>
    </row>
    <row r="2921" spans="1:29" x14ac:dyDescent="0.25">
      <c r="A2921" s="31" t="s">
        <v>950</v>
      </c>
      <c r="B2921" s="23" t="s">
        <v>951</v>
      </c>
      <c r="C2921" t="s">
        <v>952</v>
      </c>
      <c r="D2921">
        <v>1</v>
      </c>
      <c r="E2921" t="s">
        <v>218</v>
      </c>
      <c r="F2921">
        <v>2</v>
      </c>
      <c r="G2921">
        <v>2016</v>
      </c>
      <c r="I2921" s="8">
        <v>865.25</v>
      </c>
      <c r="J2921" t="s">
        <v>147</v>
      </c>
      <c r="K2921" t="s">
        <v>32</v>
      </c>
      <c r="O2921">
        <v>0</v>
      </c>
      <c r="P2921">
        <v>0</v>
      </c>
      <c r="Q2921">
        <v>0</v>
      </c>
      <c r="R2921">
        <v>0</v>
      </c>
      <c r="W2921" t="s">
        <v>1216</v>
      </c>
      <c r="AA2921">
        <v>2007</v>
      </c>
      <c r="AB2921">
        <v>9999</v>
      </c>
      <c r="AC2921" t="s">
        <v>35</v>
      </c>
    </row>
    <row r="2922" spans="1:29" x14ac:dyDescent="0.25">
      <c r="A2922" s="31" t="s">
        <v>954</v>
      </c>
      <c r="B2922" s="23" t="s">
        <v>1383</v>
      </c>
      <c r="C2922" t="s">
        <v>956</v>
      </c>
      <c r="D2922">
        <v>1</v>
      </c>
      <c r="E2922" t="s">
        <v>218</v>
      </c>
      <c r="F2922">
        <v>2</v>
      </c>
      <c r="G2922">
        <v>2016</v>
      </c>
      <c r="I2922" s="8">
        <v>108.35</v>
      </c>
      <c r="J2922" t="s">
        <v>147</v>
      </c>
      <c r="K2922" t="s">
        <v>47</v>
      </c>
      <c r="O2922">
        <v>0</v>
      </c>
      <c r="P2922">
        <v>0</v>
      </c>
      <c r="Q2922">
        <v>0</v>
      </c>
      <c r="R2922">
        <v>0</v>
      </c>
      <c r="W2922" t="s">
        <v>1384</v>
      </c>
      <c r="AA2922">
        <v>2007</v>
      </c>
      <c r="AB2922">
        <v>9999</v>
      </c>
      <c r="AC2922" t="s">
        <v>35</v>
      </c>
    </row>
    <row r="2923" spans="1:29" x14ac:dyDescent="0.25">
      <c r="A2923" s="31" t="s">
        <v>1385</v>
      </c>
      <c r="B2923" s="23" t="s">
        <v>1386</v>
      </c>
      <c r="D2923">
        <v>1</v>
      </c>
      <c r="E2923" t="s">
        <v>874</v>
      </c>
      <c r="F2923">
        <v>1</v>
      </c>
      <c r="G2923">
        <v>2016</v>
      </c>
      <c r="I2923" s="8">
        <v>32.200000000000003</v>
      </c>
      <c r="J2923" t="s">
        <v>89</v>
      </c>
      <c r="K2923" t="s">
        <v>47</v>
      </c>
      <c r="O2923">
        <v>0</v>
      </c>
      <c r="P2923">
        <v>0</v>
      </c>
      <c r="Q2923">
        <v>0</v>
      </c>
      <c r="R2923">
        <v>0</v>
      </c>
      <c r="W2923" t="s">
        <v>1387</v>
      </c>
      <c r="AA2923">
        <v>2011</v>
      </c>
      <c r="AB2923">
        <v>9999</v>
      </c>
      <c r="AC2923" t="s">
        <v>1365</v>
      </c>
    </row>
    <row r="2924" spans="1:29" x14ac:dyDescent="0.25">
      <c r="A2924" s="31" t="s">
        <v>1388</v>
      </c>
      <c r="B2924" s="23" t="s">
        <v>1389</v>
      </c>
      <c r="D2924">
        <v>1</v>
      </c>
      <c r="E2924" t="s">
        <v>1390</v>
      </c>
      <c r="F2924">
        <v>4</v>
      </c>
      <c r="G2924">
        <v>2016</v>
      </c>
      <c r="I2924" s="8">
        <v>6472.64</v>
      </c>
      <c r="J2924" t="s">
        <v>89</v>
      </c>
      <c r="K2924" t="s">
        <v>32</v>
      </c>
      <c r="O2924">
        <v>0</v>
      </c>
      <c r="P2924">
        <v>0</v>
      </c>
      <c r="Q2924">
        <v>0</v>
      </c>
      <c r="R2924">
        <v>0</v>
      </c>
      <c r="W2924" t="s">
        <v>1391</v>
      </c>
      <c r="AA2924">
        <v>2011</v>
      </c>
      <c r="AB2924">
        <v>9999</v>
      </c>
      <c r="AC2924" t="s">
        <v>1365</v>
      </c>
    </row>
    <row r="2925" spans="1:29" x14ac:dyDescent="0.25">
      <c r="A2925" s="31" t="s">
        <v>1281</v>
      </c>
      <c r="B2925" s="23" t="s">
        <v>1282</v>
      </c>
      <c r="D2925">
        <v>1</v>
      </c>
      <c r="E2925" t="s">
        <v>625</v>
      </c>
      <c r="F2925">
        <v>4</v>
      </c>
      <c r="G2925">
        <v>2016</v>
      </c>
      <c r="I2925" s="8">
        <v>1704.92</v>
      </c>
      <c r="J2925" t="s">
        <v>89</v>
      </c>
      <c r="K2925" t="s">
        <v>32</v>
      </c>
      <c r="O2925">
        <v>0</v>
      </c>
      <c r="P2925">
        <v>0</v>
      </c>
      <c r="Q2925">
        <v>0</v>
      </c>
      <c r="R2925">
        <v>0</v>
      </c>
      <c r="W2925" t="s">
        <v>1283</v>
      </c>
      <c r="AA2925">
        <v>2009</v>
      </c>
      <c r="AB2925">
        <v>9999</v>
      </c>
      <c r="AC2925" t="s">
        <v>1239</v>
      </c>
    </row>
    <row r="2926" spans="1:29" x14ac:dyDescent="0.25">
      <c r="A2926" s="31" t="s">
        <v>958</v>
      </c>
      <c r="B2926" s="25" t="s">
        <v>959</v>
      </c>
      <c r="D2926">
        <v>1</v>
      </c>
      <c r="E2926" t="s">
        <v>51</v>
      </c>
      <c r="F2926">
        <v>1</v>
      </c>
      <c r="G2926">
        <v>2016</v>
      </c>
      <c r="I2926" s="11">
        <v>54</v>
      </c>
      <c r="J2926" t="s">
        <v>52</v>
      </c>
      <c r="K2926" t="s">
        <v>53</v>
      </c>
      <c r="L2926" t="s">
        <v>54</v>
      </c>
      <c r="O2926">
        <v>0</v>
      </c>
      <c r="P2926">
        <v>0</v>
      </c>
      <c r="Q2926">
        <v>1</v>
      </c>
      <c r="R2926">
        <v>0</v>
      </c>
      <c r="W2926" t="s">
        <v>55</v>
      </c>
      <c r="AA2926">
        <v>2007</v>
      </c>
      <c r="AB2926">
        <v>9999</v>
      </c>
      <c r="AC2926" t="s">
        <v>35</v>
      </c>
    </row>
    <row r="2927" spans="1:29" x14ac:dyDescent="0.25">
      <c r="A2927" s="31" t="s">
        <v>960</v>
      </c>
      <c r="B2927" s="23" t="s">
        <v>961</v>
      </c>
      <c r="D2927">
        <v>1</v>
      </c>
      <c r="E2927" t="s">
        <v>168</v>
      </c>
      <c r="F2927">
        <v>1</v>
      </c>
      <c r="G2927">
        <v>2016</v>
      </c>
      <c r="I2927" s="8">
        <v>1902.42</v>
      </c>
      <c r="J2927" t="s">
        <v>52</v>
      </c>
      <c r="K2927" t="s">
        <v>47</v>
      </c>
      <c r="O2927">
        <v>0</v>
      </c>
      <c r="P2927">
        <v>0</v>
      </c>
      <c r="Q2927">
        <v>0</v>
      </c>
      <c r="R2927">
        <v>0</v>
      </c>
      <c r="W2927" t="s">
        <v>1218</v>
      </c>
      <c r="AA2927">
        <v>2007</v>
      </c>
      <c r="AB2927">
        <v>9999</v>
      </c>
      <c r="AC2927" t="s">
        <v>35</v>
      </c>
    </row>
    <row r="2928" spans="1:29" x14ac:dyDescent="0.25">
      <c r="A2928" s="31" t="s">
        <v>963</v>
      </c>
      <c r="B2928" s="23" t="s">
        <v>658</v>
      </c>
      <c r="D2928">
        <v>1</v>
      </c>
      <c r="E2928" t="s">
        <v>103</v>
      </c>
      <c r="F2928">
        <v>9</v>
      </c>
      <c r="G2928">
        <v>2016</v>
      </c>
      <c r="I2928" s="8">
        <v>3733</v>
      </c>
      <c r="J2928" t="s">
        <v>104</v>
      </c>
      <c r="K2928" t="s">
        <v>53</v>
      </c>
      <c r="L2928" t="s">
        <v>105</v>
      </c>
      <c r="O2928">
        <v>0</v>
      </c>
      <c r="P2928">
        <v>1</v>
      </c>
      <c r="Q2928">
        <v>0</v>
      </c>
      <c r="R2928">
        <v>0</v>
      </c>
      <c r="W2928" t="s">
        <v>106</v>
      </c>
      <c r="AA2928">
        <v>2007</v>
      </c>
      <c r="AB2928">
        <v>9999</v>
      </c>
      <c r="AC2928" t="s">
        <v>35</v>
      </c>
    </row>
    <row r="2929" spans="1:29" x14ac:dyDescent="0.25">
      <c r="A2929" s="31" t="s">
        <v>1437</v>
      </c>
      <c r="B2929" s="23" t="s">
        <v>1438</v>
      </c>
      <c r="C2929" t="s">
        <v>1439</v>
      </c>
      <c r="D2929">
        <v>1</v>
      </c>
      <c r="E2929" t="s">
        <v>103</v>
      </c>
      <c r="F2929">
        <v>9</v>
      </c>
      <c r="G2929">
        <v>2016</v>
      </c>
      <c r="I2929" s="8">
        <v>250.81</v>
      </c>
      <c r="J2929" t="s">
        <v>104</v>
      </c>
      <c r="K2929" t="s">
        <v>32</v>
      </c>
      <c r="O2929">
        <v>0</v>
      </c>
      <c r="P2929">
        <v>0</v>
      </c>
      <c r="Q2929">
        <v>0</v>
      </c>
      <c r="R2929">
        <v>0</v>
      </c>
      <c r="W2929" t="s">
        <v>1440</v>
      </c>
      <c r="AA2929">
        <v>2013</v>
      </c>
      <c r="AB2929">
        <v>9999</v>
      </c>
      <c r="AC2929" t="s">
        <v>1419</v>
      </c>
    </row>
    <row r="2930" spans="1:29" x14ac:dyDescent="0.25">
      <c r="A2930" s="31" t="s">
        <v>1441</v>
      </c>
      <c r="B2930" s="23" t="s">
        <v>1442</v>
      </c>
      <c r="C2930" t="s">
        <v>1443</v>
      </c>
      <c r="D2930">
        <v>1</v>
      </c>
      <c r="E2930" t="s">
        <v>103</v>
      </c>
      <c r="F2930">
        <v>9</v>
      </c>
      <c r="G2930">
        <v>2016</v>
      </c>
      <c r="I2930" s="8">
        <v>82.11</v>
      </c>
      <c r="J2930" t="s">
        <v>104</v>
      </c>
      <c r="K2930" t="s">
        <v>47</v>
      </c>
      <c r="O2930">
        <v>0</v>
      </c>
      <c r="P2930">
        <v>0</v>
      </c>
      <c r="Q2930">
        <v>0</v>
      </c>
      <c r="R2930">
        <v>0</v>
      </c>
      <c r="W2930" t="s">
        <v>1444</v>
      </c>
      <c r="AA2930">
        <v>2013</v>
      </c>
      <c r="AB2930">
        <v>9999</v>
      </c>
      <c r="AC2930" t="s">
        <v>1419</v>
      </c>
    </row>
    <row r="2931" spans="1:29" x14ac:dyDescent="0.25">
      <c r="A2931" s="31" t="s">
        <v>1510</v>
      </c>
      <c r="B2931" s="23" t="s">
        <v>1511</v>
      </c>
      <c r="D2931">
        <v>1</v>
      </c>
      <c r="E2931" s="4">
        <v>411</v>
      </c>
      <c r="F2931">
        <v>4</v>
      </c>
      <c r="G2931">
        <v>2016</v>
      </c>
      <c r="I2931" s="8">
        <v>45.06</v>
      </c>
      <c r="J2931" t="s">
        <v>52</v>
      </c>
      <c r="K2931" t="s">
        <v>47</v>
      </c>
      <c r="O2931">
        <v>0</v>
      </c>
      <c r="P2931">
        <v>0</v>
      </c>
      <c r="Q2931">
        <v>0</v>
      </c>
      <c r="R2931">
        <v>0</v>
      </c>
      <c r="W2931" t="s">
        <v>1512</v>
      </c>
      <c r="AA2931">
        <v>2015</v>
      </c>
      <c r="AB2931">
        <v>9999</v>
      </c>
      <c r="AC2931" t="s">
        <v>1475</v>
      </c>
    </row>
    <row r="2932" spans="1:29" x14ac:dyDescent="0.25">
      <c r="A2932" s="31" t="s">
        <v>967</v>
      </c>
      <c r="B2932" s="23" t="s">
        <v>661</v>
      </c>
      <c r="D2932">
        <v>1</v>
      </c>
      <c r="E2932" t="s">
        <v>103</v>
      </c>
      <c r="F2932">
        <v>9</v>
      </c>
      <c r="G2932">
        <v>2016</v>
      </c>
      <c r="I2932" s="8">
        <v>6208.57</v>
      </c>
      <c r="J2932" t="s">
        <v>104</v>
      </c>
      <c r="K2932" t="s">
        <v>53</v>
      </c>
      <c r="L2932" t="s">
        <v>105</v>
      </c>
      <c r="O2932">
        <v>0</v>
      </c>
      <c r="P2932">
        <v>1</v>
      </c>
      <c r="Q2932">
        <v>0</v>
      </c>
      <c r="R2932">
        <v>0</v>
      </c>
      <c r="W2932" t="s">
        <v>106</v>
      </c>
      <c r="AA2932">
        <v>2007</v>
      </c>
      <c r="AB2932">
        <v>9999</v>
      </c>
      <c r="AC2932" t="s">
        <v>35</v>
      </c>
    </row>
    <row r="2933" spans="1:29" x14ac:dyDescent="0.25">
      <c r="A2933" s="31" t="s">
        <v>968</v>
      </c>
      <c r="B2933" s="23" t="s">
        <v>969</v>
      </c>
      <c r="D2933">
        <v>1</v>
      </c>
      <c r="E2933" t="s">
        <v>85</v>
      </c>
      <c r="F2933">
        <v>1</v>
      </c>
      <c r="G2933">
        <v>2016</v>
      </c>
      <c r="H2933" t="s">
        <v>970</v>
      </c>
      <c r="I2933">
        <v>0.1</v>
      </c>
      <c r="J2933" t="s">
        <v>176</v>
      </c>
      <c r="K2933" t="s">
        <v>41</v>
      </c>
      <c r="O2933">
        <v>0</v>
      </c>
      <c r="P2933">
        <v>0</v>
      </c>
      <c r="Q2933">
        <v>0</v>
      </c>
      <c r="R2933">
        <v>0</v>
      </c>
      <c r="W2933" t="s">
        <v>971</v>
      </c>
      <c r="AA2933">
        <v>2007</v>
      </c>
      <c r="AB2933">
        <v>9999</v>
      </c>
      <c r="AC2933" t="s">
        <v>35</v>
      </c>
    </row>
    <row r="2934" spans="1:29" x14ac:dyDescent="0.25">
      <c r="A2934" s="31" t="s">
        <v>975</v>
      </c>
      <c r="B2934" s="23" t="s">
        <v>976</v>
      </c>
      <c r="D2934">
        <v>1</v>
      </c>
      <c r="E2934" t="s">
        <v>977</v>
      </c>
      <c r="F2934">
        <v>1</v>
      </c>
      <c r="G2934">
        <v>2016</v>
      </c>
      <c r="H2934" t="s">
        <v>205</v>
      </c>
      <c r="I2934" s="8">
        <v>15.81</v>
      </c>
      <c r="J2934" t="s">
        <v>81</v>
      </c>
      <c r="K2934" t="s">
        <v>41</v>
      </c>
      <c r="O2934">
        <v>0</v>
      </c>
      <c r="P2934">
        <v>0</v>
      </c>
      <c r="Q2934">
        <v>0</v>
      </c>
      <c r="R2934">
        <v>0</v>
      </c>
      <c r="W2934" t="s">
        <v>1220</v>
      </c>
      <c r="AA2934">
        <v>2007</v>
      </c>
      <c r="AB2934">
        <v>9999</v>
      </c>
      <c r="AC2934" t="s">
        <v>35</v>
      </c>
    </row>
    <row r="2935" spans="1:29" x14ac:dyDescent="0.25">
      <c r="A2935" s="31" t="s">
        <v>985</v>
      </c>
      <c r="B2935" s="23" t="s">
        <v>986</v>
      </c>
      <c r="C2935" t="s">
        <v>987</v>
      </c>
      <c r="D2935">
        <v>1</v>
      </c>
      <c r="E2935" t="s">
        <v>988</v>
      </c>
      <c r="F2935">
        <v>4</v>
      </c>
      <c r="G2935">
        <v>2016</v>
      </c>
      <c r="I2935" s="8">
        <v>176.45</v>
      </c>
      <c r="J2935" t="s">
        <v>89</v>
      </c>
      <c r="K2935" t="s">
        <v>32</v>
      </c>
      <c r="O2935">
        <v>0</v>
      </c>
      <c r="P2935">
        <v>0</v>
      </c>
      <c r="Q2935">
        <v>0</v>
      </c>
      <c r="R2935">
        <v>0</v>
      </c>
      <c r="W2935" t="s">
        <v>1339</v>
      </c>
      <c r="AA2935">
        <v>2007</v>
      </c>
      <c r="AB2935">
        <v>9999</v>
      </c>
      <c r="AC2935" t="s">
        <v>35</v>
      </c>
    </row>
    <row r="2936" spans="1:29" x14ac:dyDescent="0.25">
      <c r="A2936" s="31" t="s">
        <v>993</v>
      </c>
      <c r="B2936" s="23" t="s">
        <v>129</v>
      </c>
      <c r="D2936">
        <v>1</v>
      </c>
      <c r="E2936" t="s">
        <v>103</v>
      </c>
      <c r="F2936">
        <v>1</v>
      </c>
      <c r="G2936">
        <v>2016</v>
      </c>
      <c r="I2936" s="8">
        <v>166.35</v>
      </c>
      <c r="J2936" t="s">
        <v>104</v>
      </c>
      <c r="K2936" t="s">
        <v>32</v>
      </c>
      <c r="O2936">
        <v>0</v>
      </c>
      <c r="P2936">
        <v>0</v>
      </c>
      <c r="Q2936">
        <v>0</v>
      </c>
      <c r="R2936">
        <v>0</v>
      </c>
      <c r="W2936" t="s">
        <v>1340</v>
      </c>
      <c r="AA2936">
        <v>2007</v>
      </c>
      <c r="AB2936">
        <v>9999</v>
      </c>
      <c r="AC2936" t="s">
        <v>35</v>
      </c>
    </row>
    <row r="2937" spans="1:29" x14ac:dyDescent="0.25">
      <c r="A2937" s="31" t="s">
        <v>1005</v>
      </c>
      <c r="B2937" s="23" t="s">
        <v>1006</v>
      </c>
      <c r="D2937">
        <v>1</v>
      </c>
      <c r="E2937" t="s">
        <v>80</v>
      </c>
      <c r="F2937">
        <v>8</v>
      </c>
      <c r="G2937">
        <v>2016</v>
      </c>
      <c r="J2937" s="2" t="s">
        <v>81</v>
      </c>
      <c r="K2937" t="s">
        <v>53</v>
      </c>
      <c r="L2937" t="s">
        <v>53</v>
      </c>
      <c r="O2937">
        <v>0</v>
      </c>
      <c r="P2937">
        <v>0</v>
      </c>
      <c r="Q2937">
        <v>0</v>
      </c>
      <c r="R2937">
        <v>0</v>
      </c>
      <c r="W2937" t="s">
        <v>1007</v>
      </c>
      <c r="AA2937">
        <v>2007</v>
      </c>
      <c r="AB2937">
        <v>2016</v>
      </c>
      <c r="AC2937" t="s">
        <v>528</v>
      </c>
    </row>
    <row r="2938" spans="1:29" x14ac:dyDescent="0.25">
      <c r="A2938" s="31" t="s">
        <v>1008</v>
      </c>
      <c r="B2938" s="23" t="s">
        <v>1009</v>
      </c>
      <c r="D2938">
        <v>1</v>
      </c>
      <c r="E2938" t="s">
        <v>155</v>
      </c>
      <c r="F2938">
        <v>3</v>
      </c>
      <c r="G2938">
        <v>2016</v>
      </c>
      <c r="I2938" s="8">
        <v>1228.05</v>
      </c>
      <c r="J2938" t="s">
        <v>121</v>
      </c>
      <c r="K2938" t="s">
        <v>47</v>
      </c>
      <c r="O2938">
        <v>0</v>
      </c>
      <c r="P2938">
        <v>0</v>
      </c>
      <c r="Q2938">
        <v>0</v>
      </c>
      <c r="R2938">
        <v>0</v>
      </c>
      <c r="W2938" t="s">
        <v>1519</v>
      </c>
      <c r="AA2938">
        <v>2007</v>
      </c>
      <c r="AB2938">
        <v>9999</v>
      </c>
      <c r="AC2938" t="s">
        <v>35</v>
      </c>
    </row>
    <row r="2939" spans="1:29" x14ac:dyDescent="0.25">
      <c r="A2939" s="31" t="s">
        <v>1011</v>
      </c>
      <c r="B2939" s="23" t="s">
        <v>1012</v>
      </c>
      <c r="D2939">
        <v>1</v>
      </c>
      <c r="E2939" t="s">
        <v>103</v>
      </c>
      <c r="F2939">
        <v>9</v>
      </c>
      <c r="G2939">
        <v>2016</v>
      </c>
      <c r="I2939" s="8">
        <v>1053.5899999999999</v>
      </c>
      <c r="J2939" t="s">
        <v>104</v>
      </c>
      <c r="K2939" t="s">
        <v>53</v>
      </c>
      <c r="L2939" t="s">
        <v>105</v>
      </c>
      <c r="O2939">
        <v>0</v>
      </c>
      <c r="P2939">
        <v>1</v>
      </c>
      <c r="Q2939">
        <v>0</v>
      </c>
      <c r="R2939">
        <v>0</v>
      </c>
      <c r="W2939" t="s">
        <v>106</v>
      </c>
      <c r="AA2939">
        <v>2007</v>
      </c>
      <c r="AB2939">
        <v>9999</v>
      </c>
      <c r="AC2939" t="s">
        <v>35</v>
      </c>
    </row>
    <row r="2940" spans="1:29" x14ac:dyDescent="0.25">
      <c r="A2940" s="31" t="s">
        <v>1013</v>
      </c>
      <c r="B2940" s="23" t="s">
        <v>1014</v>
      </c>
      <c r="D2940">
        <v>1</v>
      </c>
      <c r="E2940" t="s">
        <v>128</v>
      </c>
      <c r="F2940">
        <v>9</v>
      </c>
      <c r="G2940">
        <v>2016</v>
      </c>
      <c r="H2940" t="s">
        <v>1513</v>
      </c>
      <c r="I2940">
        <v>4</v>
      </c>
      <c r="J2940" t="s">
        <v>104</v>
      </c>
      <c r="K2940" t="s">
        <v>41</v>
      </c>
      <c r="O2940">
        <v>0</v>
      </c>
      <c r="P2940">
        <v>0</v>
      </c>
      <c r="Q2940">
        <v>0</v>
      </c>
      <c r="R2940">
        <v>0</v>
      </c>
      <c r="W2940" t="s">
        <v>1229</v>
      </c>
      <c r="AA2940">
        <v>2007</v>
      </c>
      <c r="AB2940">
        <v>9999</v>
      </c>
      <c r="AC2940" t="s">
        <v>35</v>
      </c>
    </row>
    <row r="2941" spans="1:29" x14ac:dyDescent="0.25">
      <c r="A2941" s="31" t="s">
        <v>1016</v>
      </c>
      <c r="B2941" s="23" t="s">
        <v>1017</v>
      </c>
      <c r="D2941">
        <v>1</v>
      </c>
      <c r="E2941" t="s">
        <v>396</v>
      </c>
      <c r="F2941">
        <v>3</v>
      </c>
      <c r="G2941">
        <v>2016</v>
      </c>
      <c r="H2941" t="s">
        <v>1018</v>
      </c>
      <c r="I2941">
        <v>0.1</v>
      </c>
      <c r="J2941" t="s">
        <v>121</v>
      </c>
      <c r="K2941" t="s">
        <v>41</v>
      </c>
      <c r="O2941">
        <v>0</v>
      </c>
      <c r="P2941">
        <v>0</v>
      </c>
      <c r="Q2941">
        <v>0</v>
      </c>
      <c r="R2941">
        <v>0</v>
      </c>
      <c r="W2941" t="s">
        <v>1230</v>
      </c>
      <c r="AA2941">
        <v>2007</v>
      </c>
      <c r="AB2941">
        <v>9999</v>
      </c>
      <c r="AC2941" t="s">
        <v>35</v>
      </c>
    </row>
    <row r="2942" spans="1:29" x14ac:dyDescent="0.25">
      <c r="A2942" s="31" t="s">
        <v>1020</v>
      </c>
      <c r="B2942" s="23" t="s">
        <v>1021</v>
      </c>
      <c r="D2942">
        <v>1</v>
      </c>
      <c r="E2942" t="s">
        <v>103</v>
      </c>
      <c r="F2942">
        <v>9</v>
      </c>
      <c r="G2942">
        <v>2016</v>
      </c>
      <c r="I2942" s="8">
        <v>15.61</v>
      </c>
      <c r="J2942" t="s">
        <v>104</v>
      </c>
      <c r="K2942" t="s">
        <v>47</v>
      </c>
      <c r="O2942">
        <v>0</v>
      </c>
      <c r="P2942">
        <v>0</v>
      </c>
      <c r="Q2942">
        <v>0</v>
      </c>
      <c r="R2942">
        <v>0</v>
      </c>
      <c r="W2942" t="s">
        <v>1231</v>
      </c>
      <c r="AA2942">
        <v>2007</v>
      </c>
      <c r="AB2942">
        <v>9999</v>
      </c>
      <c r="AC2942" t="s">
        <v>35</v>
      </c>
    </row>
    <row r="2943" spans="1:29" x14ac:dyDescent="0.25">
      <c r="B2943" s="23" t="s">
        <v>1026</v>
      </c>
      <c r="D2943">
        <v>24</v>
      </c>
      <c r="F2943">
        <v>3</v>
      </c>
      <c r="G2943">
        <v>2016</v>
      </c>
      <c r="H2943" t="s">
        <v>392</v>
      </c>
      <c r="I2943" t="s">
        <v>1027</v>
      </c>
      <c r="J2943" t="s">
        <v>121</v>
      </c>
      <c r="K2943" t="s">
        <v>41</v>
      </c>
      <c r="O2943">
        <v>0</v>
      </c>
      <c r="P2943">
        <v>0</v>
      </c>
      <c r="Q2943">
        <v>0</v>
      </c>
      <c r="R2943">
        <v>0</v>
      </c>
      <c r="W2943" t="s">
        <v>1232</v>
      </c>
      <c r="AA2943">
        <v>2007</v>
      </c>
      <c r="AB2943">
        <v>9999</v>
      </c>
      <c r="AC2943" t="s">
        <v>35</v>
      </c>
    </row>
    <row r="2944" spans="1:29" x14ac:dyDescent="0.25">
      <c r="A2944" s="31" t="s">
        <v>28</v>
      </c>
      <c r="B2944" s="23" t="s">
        <v>29</v>
      </c>
      <c r="D2944">
        <v>1</v>
      </c>
      <c r="E2944" t="s">
        <v>30</v>
      </c>
      <c r="F2944">
        <v>4</v>
      </c>
      <c r="G2944">
        <v>2015</v>
      </c>
      <c r="I2944" s="8">
        <v>560.54999999999995</v>
      </c>
      <c r="J2944" s="2" t="s">
        <v>89</v>
      </c>
      <c r="K2944" t="s">
        <v>32</v>
      </c>
      <c r="L2944" t="s">
        <v>33</v>
      </c>
      <c r="O2944">
        <v>0</v>
      </c>
      <c r="P2944">
        <v>0</v>
      </c>
      <c r="Q2944">
        <v>0</v>
      </c>
      <c r="R2944">
        <v>1</v>
      </c>
      <c r="W2944" t="s">
        <v>1029</v>
      </c>
      <c r="AA2944">
        <v>2007</v>
      </c>
      <c r="AB2944">
        <v>9999</v>
      </c>
      <c r="AC2944" t="s">
        <v>35</v>
      </c>
    </row>
    <row r="2945" spans="1:29" x14ac:dyDescent="0.25">
      <c r="A2945" s="31" t="s">
        <v>36</v>
      </c>
      <c r="B2945" s="23" t="s">
        <v>1445</v>
      </c>
      <c r="D2945">
        <v>1</v>
      </c>
      <c r="E2945" s="5" t="s">
        <v>38</v>
      </c>
      <c r="F2945">
        <v>4</v>
      </c>
      <c r="G2945">
        <v>2015</v>
      </c>
      <c r="H2945" t="s">
        <v>39</v>
      </c>
      <c r="J2945" s="2" t="s">
        <v>40</v>
      </c>
      <c r="K2945" s="2" t="s">
        <v>41</v>
      </c>
      <c r="L2945" s="2"/>
      <c r="O2945">
        <v>0</v>
      </c>
      <c r="P2945">
        <v>0</v>
      </c>
      <c r="Q2945">
        <v>0</v>
      </c>
      <c r="R2945">
        <v>0</v>
      </c>
      <c r="W2945" t="s">
        <v>1030</v>
      </c>
      <c r="AA2945">
        <v>2007</v>
      </c>
      <c r="AB2945">
        <v>9999</v>
      </c>
      <c r="AC2945" t="s">
        <v>35</v>
      </c>
    </row>
    <row r="2946" spans="1:29" x14ac:dyDescent="0.25">
      <c r="A2946" s="31" t="s">
        <v>43</v>
      </c>
      <c r="B2946" s="23" t="s">
        <v>44</v>
      </c>
      <c r="D2946">
        <v>1</v>
      </c>
      <c r="E2946" t="s">
        <v>45</v>
      </c>
      <c r="F2946">
        <v>4</v>
      </c>
      <c r="G2946">
        <v>2015</v>
      </c>
      <c r="I2946" s="8">
        <v>38.32</v>
      </c>
      <c r="J2946" t="s">
        <v>52</v>
      </c>
      <c r="K2946" t="s">
        <v>47</v>
      </c>
      <c r="O2946">
        <v>0</v>
      </c>
      <c r="P2946">
        <v>0</v>
      </c>
      <c r="Q2946">
        <v>0</v>
      </c>
      <c r="R2946">
        <v>0</v>
      </c>
      <c r="W2946" t="s">
        <v>1031</v>
      </c>
      <c r="AA2946">
        <v>2007</v>
      </c>
      <c r="AB2946">
        <v>9999</v>
      </c>
      <c r="AC2946" t="s">
        <v>35</v>
      </c>
    </row>
    <row r="2947" spans="1:29" x14ac:dyDescent="0.25">
      <c r="A2947" s="31" t="s">
        <v>49</v>
      </c>
      <c r="B2947" s="25" t="s">
        <v>50</v>
      </c>
      <c r="D2947">
        <v>1</v>
      </c>
      <c r="E2947" t="s">
        <v>51</v>
      </c>
      <c r="F2947">
        <v>1</v>
      </c>
      <c r="G2947">
        <v>2015</v>
      </c>
      <c r="I2947" s="11"/>
      <c r="J2947" t="s">
        <v>52</v>
      </c>
      <c r="K2947" t="s">
        <v>53</v>
      </c>
      <c r="L2947" t="s">
        <v>54</v>
      </c>
      <c r="O2947">
        <v>0</v>
      </c>
      <c r="P2947">
        <v>0</v>
      </c>
      <c r="Q2947">
        <v>1</v>
      </c>
      <c r="R2947">
        <v>0</v>
      </c>
      <c r="W2947" t="s">
        <v>55</v>
      </c>
      <c r="AA2947">
        <v>2007</v>
      </c>
      <c r="AB2947">
        <v>9999</v>
      </c>
      <c r="AC2947" t="s">
        <v>35</v>
      </c>
    </row>
    <row r="2948" spans="1:29" x14ac:dyDescent="0.25">
      <c r="A2948" s="31" t="s">
        <v>996</v>
      </c>
      <c r="B2948" s="23" t="s">
        <v>1342</v>
      </c>
      <c r="D2948">
        <v>1</v>
      </c>
      <c r="E2948" t="s">
        <v>38</v>
      </c>
      <c r="F2948">
        <v>4</v>
      </c>
      <c r="G2948">
        <v>2015</v>
      </c>
      <c r="H2948" t="s">
        <v>998</v>
      </c>
      <c r="J2948" t="s">
        <v>89</v>
      </c>
      <c r="K2948" t="s">
        <v>41</v>
      </c>
      <c r="O2948">
        <v>0</v>
      </c>
      <c r="P2948">
        <v>0</v>
      </c>
      <c r="Q2948">
        <v>0</v>
      </c>
      <c r="R2948">
        <v>0</v>
      </c>
      <c r="W2948" t="s">
        <v>1344</v>
      </c>
      <c r="AA2948">
        <v>2007</v>
      </c>
      <c r="AB2948">
        <v>9999</v>
      </c>
      <c r="AC2948" t="s">
        <v>35</v>
      </c>
    </row>
    <row r="2949" spans="1:29" x14ac:dyDescent="0.25">
      <c r="A2949" s="31" t="s">
        <v>56</v>
      </c>
      <c r="B2949" s="23" t="s">
        <v>57</v>
      </c>
      <c r="D2949">
        <v>1</v>
      </c>
      <c r="E2949" t="s">
        <v>58</v>
      </c>
      <c r="F2949">
        <v>4</v>
      </c>
      <c r="G2949">
        <v>2015</v>
      </c>
      <c r="I2949" s="8">
        <v>20</v>
      </c>
      <c r="J2949" t="s">
        <v>59</v>
      </c>
      <c r="K2949" t="s">
        <v>53</v>
      </c>
      <c r="L2949" t="s">
        <v>60</v>
      </c>
      <c r="O2949">
        <v>1</v>
      </c>
      <c r="P2949">
        <v>0</v>
      </c>
      <c r="Q2949">
        <v>0</v>
      </c>
      <c r="R2949">
        <v>0</v>
      </c>
      <c r="W2949" t="s">
        <v>61</v>
      </c>
      <c r="AA2949">
        <v>2007</v>
      </c>
      <c r="AB2949">
        <v>9999</v>
      </c>
      <c r="AC2949" t="s">
        <v>35</v>
      </c>
    </row>
    <row r="2950" spans="1:29" x14ac:dyDescent="0.25">
      <c r="A2950" s="31" t="s">
        <v>71</v>
      </c>
      <c r="B2950" s="23" t="s">
        <v>1032</v>
      </c>
      <c r="D2950">
        <v>1</v>
      </c>
      <c r="E2950" t="s">
        <v>309</v>
      </c>
      <c r="F2950">
        <v>10</v>
      </c>
      <c r="G2950">
        <v>2015</v>
      </c>
      <c r="I2950" s="8">
        <v>11479.7</v>
      </c>
      <c r="J2950" t="s">
        <v>59</v>
      </c>
      <c r="K2950" t="s">
        <v>32</v>
      </c>
      <c r="O2950">
        <v>0</v>
      </c>
      <c r="P2950">
        <v>0</v>
      </c>
      <c r="Q2950">
        <v>0</v>
      </c>
      <c r="R2950">
        <v>0</v>
      </c>
      <c r="W2950" t="s">
        <v>1033</v>
      </c>
      <c r="AA2950">
        <v>2007</v>
      </c>
      <c r="AB2950">
        <v>9999</v>
      </c>
      <c r="AC2950" t="s">
        <v>35</v>
      </c>
    </row>
    <row r="2951" spans="1:29" x14ac:dyDescent="0.25">
      <c r="A2951" s="31" t="s">
        <v>62</v>
      </c>
      <c r="B2951" s="23" t="s">
        <v>63</v>
      </c>
      <c r="D2951">
        <v>1</v>
      </c>
      <c r="E2951" t="s">
        <v>64</v>
      </c>
      <c r="F2951">
        <v>1</v>
      </c>
      <c r="G2951">
        <v>2015</v>
      </c>
      <c r="I2951" s="8">
        <v>55.39</v>
      </c>
      <c r="J2951" t="s">
        <v>52</v>
      </c>
      <c r="K2951" t="s">
        <v>53</v>
      </c>
      <c r="L2951" t="s">
        <v>65</v>
      </c>
      <c r="O2951">
        <v>0</v>
      </c>
      <c r="P2951">
        <v>0</v>
      </c>
      <c r="Q2951">
        <v>0</v>
      </c>
      <c r="R2951">
        <v>0</v>
      </c>
      <c r="W2951" t="s">
        <v>1034</v>
      </c>
      <c r="AA2951">
        <v>2007</v>
      </c>
      <c r="AB2951">
        <v>9999</v>
      </c>
      <c r="AC2951" t="s">
        <v>35</v>
      </c>
    </row>
    <row r="2952" spans="1:29" x14ac:dyDescent="0.25">
      <c r="A2952" s="31" t="s">
        <v>74</v>
      </c>
      <c r="B2952" s="23" t="s">
        <v>75</v>
      </c>
      <c r="D2952">
        <v>1</v>
      </c>
      <c r="E2952" t="s">
        <v>58</v>
      </c>
      <c r="F2952">
        <v>4</v>
      </c>
      <c r="G2952">
        <v>2015</v>
      </c>
      <c r="I2952" s="8">
        <v>518.59</v>
      </c>
      <c r="J2952" t="s">
        <v>59</v>
      </c>
      <c r="K2952" t="s">
        <v>47</v>
      </c>
      <c r="O2952">
        <v>0</v>
      </c>
      <c r="P2952">
        <v>0</v>
      </c>
      <c r="Q2952">
        <v>0</v>
      </c>
      <c r="R2952">
        <v>0</v>
      </c>
      <c r="W2952" t="s">
        <v>1035</v>
      </c>
      <c r="AA2952">
        <v>2007</v>
      </c>
      <c r="AB2952">
        <v>9999</v>
      </c>
      <c r="AC2952" t="s">
        <v>35</v>
      </c>
    </row>
    <row r="2953" spans="1:29" x14ac:dyDescent="0.25">
      <c r="A2953" s="31" t="s">
        <v>83</v>
      </c>
      <c r="B2953" s="23" t="s">
        <v>84</v>
      </c>
      <c r="D2953">
        <v>1</v>
      </c>
      <c r="E2953" t="s">
        <v>85</v>
      </c>
      <c r="F2953">
        <v>1</v>
      </c>
      <c r="G2953">
        <v>2015</v>
      </c>
      <c r="H2953" t="s">
        <v>39</v>
      </c>
      <c r="J2953" s="2" t="s">
        <v>40</v>
      </c>
      <c r="K2953" t="s">
        <v>41</v>
      </c>
      <c r="O2953">
        <v>0</v>
      </c>
      <c r="P2953">
        <v>0</v>
      </c>
      <c r="Q2953">
        <v>0</v>
      </c>
      <c r="R2953">
        <v>0</v>
      </c>
      <c r="W2953" t="s">
        <v>86</v>
      </c>
      <c r="AA2953">
        <v>2007</v>
      </c>
      <c r="AB2953">
        <v>9999</v>
      </c>
      <c r="AC2953" t="s">
        <v>35</v>
      </c>
    </row>
    <row r="2954" spans="1:29" x14ac:dyDescent="0.25">
      <c r="A2954" s="31" t="s">
        <v>92</v>
      </c>
      <c r="B2954" s="23" t="s">
        <v>93</v>
      </c>
      <c r="C2954" t="s">
        <v>94</v>
      </c>
      <c r="D2954">
        <v>1</v>
      </c>
      <c r="E2954" t="s">
        <v>95</v>
      </c>
      <c r="F2954">
        <v>10</v>
      </c>
      <c r="G2954">
        <v>2015</v>
      </c>
      <c r="I2954" s="8">
        <v>22.6</v>
      </c>
      <c r="J2954" t="s">
        <v>40</v>
      </c>
      <c r="K2954" t="s">
        <v>47</v>
      </c>
      <c r="O2954">
        <v>0</v>
      </c>
      <c r="P2954">
        <v>0</v>
      </c>
      <c r="Q2954">
        <v>0</v>
      </c>
      <c r="R2954">
        <v>0</v>
      </c>
      <c r="W2954" t="s">
        <v>96</v>
      </c>
      <c r="AA2954">
        <v>2007</v>
      </c>
      <c r="AB2954">
        <v>9999</v>
      </c>
      <c r="AC2954" t="s">
        <v>35</v>
      </c>
    </row>
    <row r="2955" spans="1:29" x14ac:dyDescent="0.25">
      <c r="A2955" s="31" t="s">
        <v>101</v>
      </c>
      <c r="B2955" s="23" t="s">
        <v>102</v>
      </c>
      <c r="D2955">
        <v>1</v>
      </c>
      <c r="E2955" t="s">
        <v>103</v>
      </c>
      <c r="F2955">
        <v>9</v>
      </c>
      <c r="G2955">
        <v>2015</v>
      </c>
      <c r="I2955" s="8">
        <v>394.63</v>
      </c>
      <c r="J2955" t="s">
        <v>104</v>
      </c>
      <c r="K2955" t="s">
        <v>53</v>
      </c>
      <c r="L2955" t="s">
        <v>105</v>
      </c>
      <c r="O2955">
        <v>0</v>
      </c>
      <c r="P2955">
        <v>1</v>
      </c>
      <c r="Q2955">
        <v>0</v>
      </c>
      <c r="R2955">
        <v>0</v>
      </c>
      <c r="W2955" t="s">
        <v>106</v>
      </c>
      <c r="AA2955">
        <v>2007</v>
      </c>
      <c r="AB2955">
        <v>9999</v>
      </c>
      <c r="AC2955" t="s">
        <v>35</v>
      </c>
    </row>
    <row r="2956" spans="1:29" x14ac:dyDescent="0.25">
      <c r="A2956" s="31" t="s">
        <v>107</v>
      </c>
      <c r="B2956" s="23" t="s">
        <v>108</v>
      </c>
      <c r="D2956">
        <v>1</v>
      </c>
      <c r="E2956" t="s">
        <v>45</v>
      </c>
      <c r="F2956">
        <v>4</v>
      </c>
      <c r="G2956">
        <v>2015</v>
      </c>
      <c r="I2956" s="8">
        <v>8.4</v>
      </c>
      <c r="J2956" t="s">
        <v>52</v>
      </c>
      <c r="K2956" t="s">
        <v>41</v>
      </c>
      <c r="O2956">
        <v>0</v>
      </c>
      <c r="P2956">
        <v>0</v>
      </c>
      <c r="Q2956">
        <v>0</v>
      </c>
      <c r="R2956">
        <v>0</v>
      </c>
      <c r="W2956" t="s">
        <v>109</v>
      </c>
      <c r="AA2956">
        <v>2007</v>
      </c>
      <c r="AB2956">
        <v>9999</v>
      </c>
      <c r="AC2956" t="s">
        <v>35</v>
      </c>
    </row>
    <row r="2957" spans="1:29" x14ac:dyDescent="0.25">
      <c r="A2957" s="31" t="s">
        <v>110</v>
      </c>
      <c r="B2957" s="23" t="s">
        <v>111</v>
      </c>
      <c r="D2957">
        <v>1</v>
      </c>
      <c r="E2957" t="s">
        <v>45</v>
      </c>
      <c r="F2957">
        <v>4</v>
      </c>
      <c r="G2957">
        <v>2015</v>
      </c>
      <c r="I2957" s="8">
        <v>496.72</v>
      </c>
      <c r="J2957" t="s">
        <v>89</v>
      </c>
      <c r="K2957" t="s">
        <v>47</v>
      </c>
      <c r="O2957">
        <v>0</v>
      </c>
      <c r="P2957">
        <v>0</v>
      </c>
      <c r="Q2957">
        <v>0</v>
      </c>
      <c r="R2957">
        <v>0</v>
      </c>
      <c r="W2957" t="s">
        <v>1039</v>
      </c>
      <c r="AA2957">
        <v>2007</v>
      </c>
      <c r="AB2957">
        <v>9999</v>
      </c>
      <c r="AC2957" t="s">
        <v>35</v>
      </c>
    </row>
    <row r="2958" spans="1:29" x14ac:dyDescent="0.25">
      <c r="A2958" s="31" t="s">
        <v>113</v>
      </c>
      <c r="B2958" s="23" t="s">
        <v>114</v>
      </c>
      <c r="D2958">
        <v>1</v>
      </c>
      <c r="E2958" t="s">
        <v>115</v>
      </c>
      <c r="F2958">
        <v>6</v>
      </c>
      <c r="G2958">
        <v>2015</v>
      </c>
      <c r="I2958" s="8">
        <v>218.51</v>
      </c>
      <c r="J2958" t="s">
        <v>89</v>
      </c>
      <c r="K2958" t="s">
        <v>47</v>
      </c>
      <c r="O2958">
        <v>0</v>
      </c>
      <c r="P2958">
        <v>0</v>
      </c>
      <c r="Q2958">
        <v>0</v>
      </c>
      <c r="R2958">
        <v>0</v>
      </c>
      <c r="W2958" t="s">
        <v>1415</v>
      </c>
      <c r="AA2958">
        <v>2007</v>
      </c>
      <c r="AB2958">
        <v>9999</v>
      </c>
      <c r="AC2958" t="s">
        <v>35</v>
      </c>
    </row>
    <row r="2959" spans="1:29" x14ac:dyDescent="0.25">
      <c r="A2959" s="31" t="s">
        <v>117</v>
      </c>
      <c r="B2959" s="23" t="s">
        <v>118</v>
      </c>
      <c r="C2959" t="s">
        <v>119</v>
      </c>
      <c r="D2959">
        <v>1</v>
      </c>
      <c r="E2959" t="s">
        <v>120</v>
      </c>
      <c r="F2959">
        <v>3</v>
      </c>
      <c r="G2959">
        <v>2015</v>
      </c>
      <c r="I2959" s="8">
        <v>99.53</v>
      </c>
      <c r="J2959" t="s">
        <v>121</v>
      </c>
      <c r="K2959" t="s">
        <v>47</v>
      </c>
      <c r="O2959">
        <v>0</v>
      </c>
      <c r="P2959">
        <v>0</v>
      </c>
      <c r="Q2959">
        <v>0</v>
      </c>
      <c r="R2959">
        <v>0</v>
      </c>
      <c r="W2959" t="s">
        <v>1041</v>
      </c>
      <c r="AA2959">
        <v>2007</v>
      </c>
      <c r="AB2959">
        <v>9999</v>
      </c>
      <c r="AC2959" t="s">
        <v>35</v>
      </c>
    </row>
    <row r="2960" spans="1:29" x14ac:dyDescent="0.25">
      <c r="A2960" s="31" t="s">
        <v>123</v>
      </c>
      <c r="B2960" s="23" t="s">
        <v>124</v>
      </c>
      <c r="D2960">
        <v>1</v>
      </c>
      <c r="E2960" t="s">
        <v>120</v>
      </c>
      <c r="F2960">
        <v>3</v>
      </c>
      <c r="G2960">
        <v>2015</v>
      </c>
      <c r="I2960" s="8">
        <v>52.29</v>
      </c>
      <c r="J2960" t="s">
        <v>121</v>
      </c>
      <c r="K2960" t="s">
        <v>47</v>
      </c>
      <c r="O2960">
        <v>0</v>
      </c>
      <c r="P2960">
        <v>0</v>
      </c>
      <c r="Q2960">
        <v>0</v>
      </c>
      <c r="R2960">
        <v>0</v>
      </c>
      <c r="W2960" t="s">
        <v>1042</v>
      </c>
      <c r="AA2960">
        <v>2007</v>
      </c>
      <c r="AB2960">
        <v>9999</v>
      </c>
      <c r="AC2960" t="s">
        <v>35</v>
      </c>
    </row>
    <row r="2961" spans="1:29" x14ac:dyDescent="0.25">
      <c r="A2961" s="31" t="s">
        <v>1416</v>
      </c>
      <c r="B2961" s="23" t="s">
        <v>1417</v>
      </c>
      <c r="D2961">
        <v>1</v>
      </c>
      <c r="E2961" s="5" t="s">
        <v>38</v>
      </c>
      <c r="F2961">
        <v>4</v>
      </c>
      <c r="G2961">
        <v>2015</v>
      </c>
      <c r="H2961" t="s">
        <v>998</v>
      </c>
      <c r="J2961" t="s">
        <v>89</v>
      </c>
      <c r="K2961" t="s">
        <v>41</v>
      </c>
      <c r="O2961">
        <v>0</v>
      </c>
      <c r="P2961">
        <v>0</v>
      </c>
      <c r="Q2961">
        <v>0</v>
      </c>
      <c r="R2961">
        <v>0</v>
      </c>
      <c r="W2961" t="s">
        <v>1418</v>
      </c>
      <c r="AA2961">
        <v>2013</v>
      </c>
      <c r="AB2961">
        <v>9999</v>
      </c>
      <c r="AC2961" t="s">
        <v>1419</v>
      </c>
    </row>
    <row r="2962" spans="1:29" x14ac:dyDescent="0.25">
      <c r="A2962" s="31" t="s">
        <v>126</v>
      </c>
      <c r="B2962" s="25" t="s">
        <v>127</v>
      </c>
      <c r="D2962">
        <v>1</v>
      </c>
      <c r="E2962" t="s">
        <v>128</v>
      </c>
      <c r="F2962">
        <v>9</v>
      </c>
      <c r="G2962">
        <v>2015</v>
      </c>
      <c r="H2962" t="s">
        <v>129</v>
      </c>
      <c r="J2962" t="s">
        <v>104</v>
      </c>
      <c r="K2962" t="s">
        <v>41</v>
      </c>
      <c r="O2962">
        <v>0</v>
      </c>
      <c r="P2962">
        <v>0</v>
      </c>
      <c r="Q2962">
        <v>0</v>
      </c>
      <c r="R2962">
        <v>0</v>
      </c>
      <c r="W2962" t="s">
        <v>1043</v>
      </c>
      <c r="AA2962">
        <v>2007</v>
      </c>
      <c r="AB2962">
        <v>9999</v>
      </c>
      <c r="AC2962" t="s">
        <v>35</v>
      </c>
    </row>
    <row r="2963" spans="1:29" x14ac:dyDescent="0.25">
      <c r="A2963" s="31" t="s">
        <v>131</v>
      </c>
      <c r="B2963" s="23" t="s">
        <v>132</v>
      </c>
      <c r="C2963" t="s">
        <v>133</v>
      </c>
      <c r="D2963">
        <v>1</v>
      </c>
      <c r="E2963" t="s">
        <v>134</v>
      </c>
      <c r="F2963">
        <v>9</v>
      </c>
      <c r="G2963">
        <v>2015</v>
      </c>
      <c r="I2963" s="8">
        <v>839.26</v>
      </c>
      <c r="J2963" t="s">
        <v>104</v>
      </c>
      <c r="K2963" t="s">
        <v>47</v>
      </c>
      <c r="O2963">
        <v>0</v>
      </c>
      <c r="P2963">
        <v>0</v>
      </c>
      <c r="Q2963">
        <v>0</v>
      </c>
      <c r="R2963">
        <v>0</v>
      </c>
      <c r="W2963" t="s">
        <v>1044</v>
      </c>
      <c r="AA2963">
        <v>2007</v>
      </c>
      <c r="AB2963">
        <v>9999</v>
      </c>
      <c r="AC2963" t="s">
        <v>35</v>
      </c>
    </row>
    <row r="2964" spans="1:29" x14ac:dyDescent="0.25">
      <c r="A2964" s="31" t="s">
        <v>140</v>
      </c>
      <c r="B2964" s="23" t="s">
        <v>141</v>
      </c>
      <c r="D2964">
        <v>1</v>
      </c>
      <c r="E2964" t="s">
        <v>45</v>
      </c>
      <c r="F2964">
        <v>4</v>
      </c>
      <c r="G2964">
        <v>2015</v>
      </c>
      <c r="I2964" s="8">
        <v>44.33</v>
      </c>
      <c r="J2964" t="s">
        <v>121</v>
      </c>
      <c r="K2964" t="s">
        <v>47</v>
      </c>
      <c r="O2964">
        <v>0</v>
      </c>
      <c r="P2964">
        <v>0</v>
      </c>
      <c r="Q2964">
        <v>0</v>
      </c>
      <c r="R2964">
        <v>0</v>
      </c>
      <c r="W2964" t="s">
        <v>1045</v>
      </c>
      <c r="AA2964">
        <v>2007</v>
      </c>
      <c r="AB2964">
        <v>9999</v>
      </c>
      <c r="AC2964" t="s">
        <v>35</v>
      </c>
    </row>
    <row r="2965" spans="1:29" ht="30" x14ac:dyDescent="0.25">
      <c r="A2965" s="31" t="s">
        <v>143</v>
      </c>
      <c r="B2965" s="23" t="s">
        <v>144</v>
      </c>
      <c r="D2965">
        <v>1</v>
      </c>
      <c r="E2965" t="s">
        <v>145</v>
      </c>
      <c r="F2965">
        <v>2</v>
      </c>
      <c r="G2965">
        <v>2015</v>
      </c>
      <c r="H2965" t="s">
        <v>146</v>
      </c>
      <c r="J2965" s="2" t="s">
        <v>147</v>
      </c>
      <c r="K2965" t="s">
        <v>41</v>
      </c>
      <c r="O2965">
        <v>0</v>
      </c>
      <c r="P2965">
        <v>0</v>
      </c>
      <c r="Q2965">
        <v>0</v>
      </c>
      <c r="R2965">
        <v>0</v>
      </c>
      <c r="W2965" t="s">
        <v>1046</v>
      </c>
      <c r="AA2965">
        <v>2007</v>
      </c>
      <c r="AB2965">
        <v>9999</v>
      </c>
      <c r="AC2965" t="s">
        <v>35</v>
      </c>
    </row>
    <row r="2966" spans="1:29" x14ac:dyDescent="0.25">
      <c r="A2966" s="31" t="s">
        <v>353</v>
      </c>
      <c r="B2966" s="23" t="s">
        <v>1233</v>
      </c>
      <c r="C2966" t="s">
        <v>1234</v>
      </c>
      <c r="D2966">
        <v>1</v>
      </c>
      <c r="E2966" t="s">
        <v>58</v>
      </c>
      <c r="F2966">
        <v>4</v>
      </c>
      <c r="G2966">
        <v>2015</v>
      </c>
      <c r="I2966" s="8">
        <v>98.6</v>
      </c>
      <c r="J2966" t="s">
        <v>59</v>
      </c>
      <c r="K2966" t="s">
        <v>47</v>
      </c>
      <c r="O2966">
        <v>0</v>
      </c>
      <c r="P2966">
        <v>0</v>
      </c>
      <c r="Q2966">
        <v>0</v>
      </c>
      <c r="R2966">
        <v>0</v>
      </c>
      <c r="W2966" t="s">
        <v>1235</v>
      </c>
      <c r="AA2966">
        <v>2007</v>
      </c>
      <c r="AB2966">
        <v>9999</v>
      </c>
      <c r="AC2966" t="s">
        <v>35</v>
      </c>
    </row>
    <row r="2967" spans="1:29" x14ac:dyDescent="0.25">
      <c r="A2967" s="31" t="s">
        <v>1236</v>
      </c>
      <c r="B2967" s="23" t="s">
        <v>1237</v>
      </c>
      <c r="D2967">
        <v>1</v>
      </c>
      <c r="E2967" t="s">
        <v>155</v>
      </c>
      <c r="F2967">
        <v>3</v>
      </c>
      <c r="G2967">
        <v>2015</v>
      </c>
      <c r="H2967" t="s">
        <v>154</v>
      </c>
      <c r="I2967" s="8">
        <v>5.01</v>
      </c>
      <c r="J2967" t="s">
        <v>121</v>
      </c>
      <c r="K2967" t="s">
        <v>41</v>
      </c>
      <c r="O2967">
        <v>0</v>
      </c>
      <c r="P2967">
        <v>0</v>
      </c>
      <c r="Q2967">
        <v>0</v>
      </c>
      <c r="R2967">
        <v>0</v>
      </c>
      <c r="W2967" t="s">
        <v>1347</v>
      </c>
      <c r="AA2967">
        <v>2009</v>
      </c>
      <c r="AB2967">
        <v>9999</v>
      </c>
      <c r="AC2967" t="s">
        <v>1239</v>
      </c>
    </row>
    <row r="2968" spans="1:29" x14ac:dyDescent="0.25">
      <c r="A2968" s="31" t="s">
        <v>153</v>
      </c>
      <c r="B2968" s="23" t="s">
        <v>154</v>
      </c>
      <c r="D2968">
        <v>1</v>
      </c>
      <c r="E2968" t="s">
        <v>155</v>
      </c>
      <c r="F2968">
        <v>3</v>
      </c>
      <c r="G2968">
        <v>2015</v>
      </c>
      <c r="I2968" s="8">
        <v>353.71842629482097</v>
      </c>
      <c r="J2968" t="s">
        <v>121</v>
      </c>
      <c r="K2968" t="s">
        <v>47</v>
      </c>
      <c r="O2968">
        <v>0</v>
      </c>
      <c r="P2968">
        <v>0</v>
      </c>
      <c r="Q2968">
        <v>0</v>
      </c>
      <c r="R2968">
        <v>0</v>
      </c>
      <c r="V2968">
        <v>1</v>
      </c>
      <c r="W2968" t="s">
        <v>1047</v>
      </c>
      <c r="AA2968">
        <v>2007</v>
      </c>
      <c r="AB2968">
        <v>9999</v>
      </c>
      <c r="AC2968" t="s">
        <v>35</v>
      </c>
    </row>
    <row r="2969" spans="1:29" x14ac:dyDescent="0.25">
      <c r="A2969" s="31" t="s">
        <v>1446</v>
      </c>
      <c r="B2969" s="23" t="s">
        <v>1470</v>
      </c>
      <c r="D2969">
        <v>1</v>
      </c>
      <c r="E2969" s="4">
        <v>711</v>
      </c>
      <c r="F2969">
        <v>7</v>
      </c>
      <c r="G2969">
        <v>2015</v>
      </c>
      <c r="I2969" s="8">
        <v>117.05</v>
      </c>
      <c r="J2969" s="2" t="s">
        <v>40</v>
      </c>
      <c r="K2969" t="s">
        <v>32</v>
      </c>
      <c r="O2969">
        <v>0</v>
      </c>
      <c r="P2969">
        <v>0</v>
      </c>
      <c r="Q2969">
        <v>0</v>
      </c>
      <c r="R2969">
        <v>0</v>
      </c>
      <c r="W2969" t="s">
        <v>1448</v>
      </c>
      <c r="AA2969">
        <v>2014</v>
      </c>
      <c r="AB2969">
        <v>9999</v>
      </c>
      <c r="AC2969" t="s">
        <v>1449</v>
      </c>
    </row>
    <row r="2970" spans="1:29" x14ac:dyDescent="0.25">
      <c r="A2970" s="31" t="s">
        <v>159</v>
      </c>
      <c r="B2970" s="23" t="s">
        <v>160</v>
      </c>
      <c r="D2970">
        <v>1</v>
      </c>
      <c r="E2970" t="s">
        <v>155</v>
      </c>
      <c r="F2970">
        <v>3</v>
      </c>
      <c r="G2970">
        <v>2015</v>
      </c>
      <c r="I2970" s="8">
        <v>316.26</v>
      </c>
      <c r="J2970" t="s">
        <v>121</v>
      </c>
      <c r="K2970" t="s">
        <v>47</v>
      </c>
      <c r="O2970">
        <v>0</v>
      </c>
      <c r="P2970">
        <v>0</v>
      </c>
      <c r="Q2970">
        <v>0</v>
      </c>
      <c r="R2970">
        <v>0</v>
      </c>
      <c r="W2970" t="s">
        <v>1048</v>
      </c>
      <c r="AA2970">
        <v>2007</v>
      </c>
      <c r="AB2970">
        <v>9999</v>
      </c>
      <c r="AC2970" t="s">
        <v>35</v>
      </c>
    </row>
    <row r="2971" spans="1:29" x14ac:dyDescent="0.25">
      <c r="A2971" s="31" t="s">
        <v>165</v>
      </c>
      <c r="B2971" s="23" t="s">
        <v>166</v>
      </c>
      <c r="C2971" t="s">
        <v>167</v>
      </c>
      <c r="D2971">
        <v>1</v>
      </c>
      <c r="E2971" t="s">
        <v>168</v>
      </c>
      <c r="F2971">
        <v>1</v>
      </c>
      <c r="G2971">
        <v>2015</v>
      </c>
      <c r="I2971" s="8">
        <v>151.44999999999999</v>
      </c>
      <c r="J2971" t="s">
        <v>52</v>
      </c>
      <c r="K2971" t="s">
        <v>47</v>
      </c>
      <c r="O2971">
        <v>0</v>
      </c>
      <c r="P2971">
        <v>0</v>
      </c>
      <c r="Q2971">
        <v>0</v>
      </c>
      <c r="R2971">
        <v>0</v>
      </c>
      <c r="W2971" t="s">
        <v>1348</v>
      </c>
      <c r="AA2971">
        <v>2007</v>
      </c>
      <c r="AB2971">
        <v>9999</v>
      </c>
      <c r="AC2971" t="s">
        <v>35</v>
      </c>
    </row>
    <row r="2972" spans="1:29" x14ac:dyDescent="0.25">
      <c r="A2972" s="31" t="s">
        <v>165</v>
      </c>
      <c r="B2972" s="23" t="s">
        <v>1349</v>
      </c>
      <c r="D2972">
        <v>1</v>
      </c>
      <c r="E2972" t="s">
        <v>38</v>
      </c>
      <c r="F2972">
        <v>4</v>
      </c>
      <c r="G2972">
        <v>2015</v>
      </c>
      <c r="H2972" t="s">
        <v>205</v>
      </c>
      <c r="J2972" t="s">
        <v>89</v>
      </c>
      <c r="K2972" t="s">
        <v>41</v>
      </c>
      <c r="O2972">
        <v>0</v>
      </c>
      <c r="P2972">
        <v>0</v>
      </c>
      <c r="Q2972">
        <v>0</v>
      </c>
      <c r="R2972">
        <v>0</v>
      </c>
      <c r="W2972" t="s">
        <v>1350</v>
      </c>
      <c r="AA2972">
        <v>2007</v>
      </c>
      <c r="AB2972">
        <v>9999</v>
      </c>
      <c r="AC2972" t="s">
        <v>35</v>
      </c>
    </row>
    <row r="2973" spans="1:29" x14ac:dyDescent="0.25">
      <c r="A2973" s="31" t="s">
        <v>170</v>
      </c>
      <c r="B2973" s="23" t="s">
        <v>171</v>
      </c>
      <c r="D2973">
        <v>1</v>
      </c>
      <c r="E2973" t="s">
        <v>30</v>
      </c>
      <c r="F2973">
        <v>4</v>
      </c>
      <c r="G2973">
        <v>2015</v>
      </c>
      <c r="I2973" s="8">
        <v>45.55</v>
      </c>
      <c r="J2973" t="s">
        <v>1471</v>
      </c>
      <c r="K2973" t="s">
        <v>47</v>
      </c>
      <c r="O2973">
        <v>0</v>
      </c>
      <c r="P2973">
        <v>0</v>
      </c>
      <c r="Q2973">
        <v>0</v>
      </c>
      <c r="R2973">
        <v>0</v>
      </c>
      <c r="W2973" t="s">
        <v>1050</v>
      </c>
      <c r="AA2973">
        <v>2007</v>
      </c>
      <c r="AB2973">
        <v>9999</v>
      </c>
      <c r="AC2973" t="s">
        <v>35</v>
      </c>
    </row>
    <row r="2974" spans="1:29" x14ac:dyDescent="0.25">
      <c r="A2974" s="31" t="s">
        <v>1051</v>
      </c>
      <c r="B2974" s="23" t="s">
        <v>1052</v>
      </c>
      <c r="D2974">
        <v>1</v>
      </c>
      <c r="E2974" t="s">
        <v>30</v>
      </c>
      <c r="F2974">
        <v>4</v>
      </c>
      <c r="G2974">
        <v>2015</v>
      </c>
      <c r="I2974" s="8">
        <v>105.67</v>
      </c>
      <c r="J2974" t="s">
        <v>1471</v>
      </c>
      <c r="K2974" t="s">
        <v>47</v>
      </c>
      <c r="O2974">
        <v>0</v>
      </c>
      <c r="P2974">
        <v>0</v>
      </c>
      <c r="Q2974">
        <v>0</v>
      </c>
      <c r="R2974">
        <v>0</v>
      </c>
      <c r="W2974" t="s">
        <v>1053</v>
      </c>
      <c r="AA2974">
        <v>2008</v>
      </c>
      <c r="AB2974">
        <v>9999</v>
      </c>
      <c r="AC2974" t="s">
        <v>1054</v>
      </c>
    </row>
    <row r="2975" spans="1:29" x14ac:dyDescent="0.25">
      <c r="A2975" s="31" t="s">
        <v>1420</v>
      </c>
      <c r="B2975" s="23" t="s">
        <v>1421</v>
      </c>
      <c r="D2975">
        <v>1</v>
      </c>
      <c r="E2975" s="5">
        <v>10</v>
      </c>
      <c r="F2975">
        <v>10</v>
      </c>
      <c r="G2975">
        <v>2015</v>
      </c>
      <c r="I2975" s="8">
        <v>28</v>
      </c>
      <c r="J2975" t="s">
        <v>40</v>
      </c>
      <c r="K2975" t="s">
        <v>41</v>
      </c>
      <c r="O2975">
        <v>0</v>
      </c>
      <c r="P2975">
        <v>0</v>
      </c>
      <c r="Q2975">
        <v>0</v>
      </c>
      <c r="R2975">
        <v>0</v>
      </c>
      <c r="W2975" t="s">
        <v>1422</v>
      </c>
      <c r="AA2975">
        <v>2013</v>
      </c>
      <c r="AB2975">
        <v>2016</v>
      </c>
      <c r="AC2975" t="s">
        <v>1423</v>
      </c>
    </row>
    <row r="2976" spans="1:29" x14ac:dyDescent="0.25">
      <c r="A2976" s="31" t="s">
        <v>173</v>
      </c>
      <c r="B2976" s="23" t="s">
        <v>174</v>
      </c>
      <c r="C2976" t="s">
        <v>175</v>
      </c>
      <c r="D2976">
        <v>1</v>
      </c>
      <c r="E2976" t="s">
        <v>45</v>
      </c>
      <c r="F2976">
        <v>4</v>
      </c>
      <c r="G2976">
        <v>2015</v>
      </c>
      <c r="I2976" s="8">
        <v>144.4</v>
      </c>
      <c r="J2976" t="s">
        <v>176</v>
      </c>
      <c r="K2976" t="s">
        <v>32</v>
      </c>
      <c r="O2976">
        <v>0</v>
      </c>
      <c r="P2976">
        <v>0</v>
      </c>
      <c r="Q2976">
        <v>0</v>
      </c>
      <c r="R2976">
        <v>0</v>
      </c>
      <c r="W2976" t="s">
        <v>1055</v>
      </c>
      <c r="AA2976">
        <v>2007</v>
      </c>
      <c r="AB2976">
        <v>9999</v>
      </c>
      <c r="AC2976" t="s">
        <v>35</v>
      </c>
    </row>
    <row r="2977" spans="1:29" x14ac:dyDescent="0.25">
      <c r="A2977" s="31" t="s">
        <v>178</v>
      </c>
      <c r="B2977" s="23" t="s">
        <v>1424</v>
      </c>
      <c r="C2977" t="s">
        <v>1425</v>
      </c>
      <c r="D2977">
        <v>1</v>
      </c>
      <c r="E2977" t="s">
        <v>45</v>
      </c>
      <c r="F2977">
        <v>4</v>
      </c>
      <c r="G2977">
        <v>2015</v>
      </c>
      <c r="I2977" s="8">
        <v>16.3</v>
      </c>
      <c r="J2977" t="s">
        <v>52</v>
      </c>
      <c r="K2977" t="s">
        <v>47</v>
      </c>
      <c r="O2977">
        <v>0</v>
      </c>
      <c r="P2977">
        <v>0</v>
      </c>
      <c r="Q2977">
        <v>0</v>
      </c>
      <c r="R2977">
        <v>0</v>
      </c>
      <c r="W2977" t="s">
        <v>1240</v>
      </c>
      <c r="AA2977">
        <v>2007</v>
      </c>
      <c r="AB2977">
        <v>9999</v>
      </c>
      <c r="AC2977" t="s">
        <v>35</v>
      </c>
    </row>
    <row r="2978" spans="1:29" x14ac:dyDescent="0.25">
      <c r="A2978" s="31" t="s">
        <v>181</v>
      </c>
      <c r="B2978" s="23" t="s">
        <v>182</v>
      </c>
      <c r="D2978">
        <v>1</v>
      </c>
      <c r="E2978" t="s">
        <v>38</v>
      </c>
      <c r="F2978">
        <v>4</v>
      </c>
      <c r="G2978">
        <v>2015</v>
      </c>
      <c r="H2978" t="s">
        <v>39</v>
      </c>
      <c r="J2978" t="s">
        <v>121</v>
      </c>
      <c r="K2978" t="s">
        <v>41</v>
      </c>
      <c r="O2978">
        <v>0</v>
      </c>
      <c r="P2978">
        <v>0</v>
      </c>
      <c r="Q2978">
        <v>0</v>
      </c>
      <c r="R2978">
        <v>0</v>
      </c>
      <c r="W2978" t="s">
        <v>1057</v>
      </c>
      <c r="AA2978">
        <v>2007</v>
      </c>
      <c r="AB2978">
        <v>9999</v>
      </c>
      <c r="AC2978" t="s">
        <v>35</v>
      </c>
    </row>
    <row r="2979" spans="1:29" x14ac:dyDescent="0.25">
      <c r="A2979" s="31" t="s">
        <v>184</v>
      </c>
      <c r="B2979" s="23" t="s">
        <v>185</v>
      </c>
      <c r="C2979" t="s">
        <v>186</v>
      </c>
      <c r="D2979">
        <v>1</v>
      </c>
      <c r="E2979" t="s">
        <v>45</v>
      </c>
      <c r="F2979">
        <v>4</v>
      </c>
      <c r="G2979">
        <v>2015</v>
      </c>
      <c r="I2979" s="8">
        <v>370.84</v>
      </c>
      <c r="J2979" t="s">
        <v>52</v>
      </c>
      <c r="K2979" t="s">
        <v>32</v>
      </c>
      <c r="O2979">
        <v>0</v>
      </c>
      <c r="P2979">
        <v>0</v>
      </c>
      <c r="Q2979">
        <v>0</v>
      </c>
      <c r="R2979">
        <v>0</v>
      </c>
      <c r="W2979" t="s">
        <v>1287</v>
      </c>
      <c r="AA2979">
        <v>2007</v>
      </c>
      <c r="AB2979">
        <v>9999</v>
      </c>
      <c r="AC2979" t="s">
        <v>35</v>
      </c>
    </row>
    <row r="2980" spans="1:29" x14ac:dyDescent="0.25">
      <c r="A2980" s="31" t="s">
        <v>1059</v>
      </c>
      <c r="B2980" s="23" t="s">
        <v>1060</v>
      </c>
      <c r="D2980">
        <v>1</v>
      </c>
      <c r="E2980" t="s">
        <v>874</v>
      </c>
      <c r="F2980">
        <v>1</v>
      </c>
      <c r="G2980">
        <v>2015</v>
      </c>
      <c r="I2980" s="8">
        <v>5</v>
      </c>
      <c r="J2980" t="s">
        <v>52</v>
      </c>
      <c r="K2980" t="s">
        <v>47</v>
      </c>
      <c r="O2980">
        <v>0</v>
      </c>
      <c r="P2980">
        <v>0</v>
      </c>
      <c r="Q2980">
        <v>0</v>
      </c>
      <c r="R2980">
        <v>0</v>
      </c>
      <c r="W2980" t="s">
        <v>1392</v>
      </c>
      <c r="AA2980">
        <v>2008</v>
      </c>
      <c r="AB2980">
        <v>9999</v>
      </c>
      <c r="AC2980" t="s">
        <v>1054</v>
      </c>
    </row>
    <row r="2981" spans="1:29" x14ac:dyDescent="0.25">
      <c r="A2981" s="31" t="s">
        <v>192</v>
      </c>
      <c r="B2981" s="25" t="s">
        <v>193</v>
      </c>
      <c r="D2981">
        <v>1</v>
      </c>
      <c r="E2981" t="s">
        <v>51</v>
      </c>
      <c r="F2981">
        <v>1</v>
      </c>
      <c r="G2981">
        <v>2015</v>
      </c>
      <c r="I2981" s="11"/>
      <c r="J2981" t="s">
        <v>52</v>
      </c>
      <c r="K2981" t="s">
        <v>53</v>
      </c>
      <c r="L2981" t="s">
        <v>54</v>
      </c>
      <c r="O2981">
        <v>0</v>
      </c>
      <c r="P2981">
        <v>0</v>
      </c>
      <c r="Q2981">
        <v>1</v>
      </c>
      <c r="R2981">
        <v>0</v>
      </c>
      <c r="W2981" t="s">
        <v>55</v>
      </c>
      <c r="AA2981">
        <v>2007</v>
      </c>
      <c r="AB2981">
        <v>9999</v>
      </c>
      <c r="AC2981" t="s">
        <v>35</v>
      </c>
    </row>
    <row r="2982" spans="1:29" x14ac:dyDescent="0.25">
      <c r="A2982" s="31" t="s">
        <v>194</v>
      </c>
      <c r="B2982" s="23" t="s">
        <v>195</v>
      </c>
      <c r="C2982" t="s">
        <v>196</v>
      </c>
      <c r="D2982">
        <v>1</v>
      </c>
      <c r="E2982" t="s">
        <v>197</v>
      </c>
      <c r="F2982">
        <v>2</v>
      </c>
      <c r="G2982">
        <v>2015</v>
      </c>
      <c r="I2982" s="8">
        <v>168.09</v>
      </c>
      <c r="J2982" t="s">
        <v>176</v>
      </c>
      <c r="K2982" t="s">
        <v>47</v>
      </c>
      <c r="O2982">
        <v>0</v>
      </c>
      <c r="P2982">
        <v>0</v>
      </c>
      <c r="Q2982">
        <v>0</v>
      </c>
      <c r="R2982">
        <v>0</v>
      </c>
      <c r="W2982" t="s">
        <v>1450</v>
      </c>
      <c r="AA2982">
        <v>2007</v>
      </c>
      <c r="AB2982">
        <v>9999</v>
      </c>
      <c r="AC2982" t="s">
        <v>35</v>
      </c>
    </row>
    <row r="2983" spans="1:29" x14ac:dyDescent="0.25">
      <c r="A2983" s="31" t="s">
        <v>1451</v>
      </c>
      <c r="B2983" s="23" t="s">
        <v>1452</v>
      </c>
      <c r="D2983">
        <v>1</v>
      </c>
      <c r="E2983" s="4">
        <v>760</v>
      </c>
      <c r="F2983">
        <v>7</v>
      </c>
      <c r="G2983">
        <v>2015</v>
      </c>
      <c r="I2983" s="8">
        <v>412</v>
      </c>
      <c r="J2983" t="s">
        <v>40</v>
      </c>
      <c r="K2983" t="s">
        <v>47</v>
      </c>
      <c r="O2983">
        <v>0</v>
      </c>
      <c r="P2983">
        <v>0</v>
      </c>
      <c r="Q2983">
        <v>0</v>
      </c>
      <c r="R2983">
        <v>0</v>
      </c>
      <c r="W2983" t="s">
        <v>1453</v>
      </c>
      <c r="AA2983">
        <v>2014</v>
      </c>
      <c r="AB2983">
        <v>9999</v>
      </c>
      <c r="AC2983" t="s">
        <v>1449</v>
      </c>
    </row>
    <row r="2984" spans="1:29" x14ac:dyDescent="0.25">
      <c r="A2984" s="31" t="s">
        <v>203</v>
      </c>
      <c r="B2984" s="23" t="s">
        <v>204</v>
      </c>
      <c r="D2984">
        <v>1</v>
      </c>
      <c r="E2984" t="s">
        <v>201</v>
      </c>
      <c r="F2984">
        <v>1</v>
      </c>
      <c r="G2984">
        <v>2015</v>
      </c>
      <c r="H2984" t="s">
        <v>205</v>
      </c>
      <c r="J2984" t="s">
        <v>52</v>
      </c>
      <c r="K2984" t="s">
        <v>41</v>
      </c>
      <c r="O2984">
        <v>0</v>
      </c>
      <c r="P2984">
        <v>0</v>
      </c>
      <c r="Q2984">
        <v>0</v>
      </c>
      <c r="R2984">
        <v>0</v>
      </c>
      <c r="W2984" t="s">
        <v>1064</v>
      </c>
      <c r="AA2984">
        <v>2007</v>
      </c>
      <c r="AB2984">
        <v>9999</v>
      </c>
      <c r="AC2984" t="s">
        <v>35</v>
      </c>
    </row>
    <row r="2985" spans="1:29" x14ac:dyDescent="0.25">
      <c r="A2985" s="31" t="s">
        <v>207</v>
      </c>
      <c r="B2985" s="23" t="s">
        <v>1472</v>
      </c>
      <c r="C2985" t="s">
        <v>209</v>
      </c>
      <c r="D2985">
        <v>1</v>
      </c>
      <c r="E2985" t="s">
        <v>210</v>
      </c>
      <c r="F2985">
        <v>10</v>
      </c>
      <c r="G2985">
        <v>2015</v>
      </c>
      <c r="I2985" s="8">
        <v>22</v>
      </c>
      <c r="J2985" t="s">
        <v>40</v>
      </c>
      <c r="K2985" t="s">
        <v>32</v>
      </c>
      <c r="O2985">
        <v>0</v>
      </c>
      <c r="P2985">
        <v>0</v>
      </c>
      <c r="Q2985">
        <v>0</v>
      </c>
      <c r="R2985">
        <v>0</v>
      </c>
      <c r="W2985" t="s">
        <v>1065</v>
      </c>
      <c r="AA2985">
        <v>2007</v>
      </c>
      <c r="AB2985">
        <v>9999</v>
      </c>
      <c r="AC2985" t="s">
        <v>35</v>
      </c>
    </row>
    <row r="2986" spans="1:29" ht="30" x14ac:dyDescent="0.25">
      <c r="A2986" s="31" t="s">
        <v>212</v>
      </c>
      <c r="B2986" s="23" t="s">
        <v>213</v>
      </c>
      <c r="C2986" t="s">
        <v>214</v>
      </c>
      <c r="D2986">
        <v>1</v>
      </c>
      <c r="E2986" s="4">
        <v>550</v>
      </c>
      <c r="F2986">
        <v>5</v>
      </c>
      <c r="G2986">
        <v>2015</v>
      </c>
      <c r="I2986" s="8">
        <v>38.15</v>
      </c>
      <c r="J2986" s="2" t="s">
        <v>1471</v>
      </c>
      <c r="K2986" t="s">
        <v>32</v>
      </c>
      <c r="O2986">
        <v>0</v>
      </c>
      <c r="P2986">
        <v>0</v>
      </c>
      <c r="Q2986">
        <v>0</v>
      </c>
      <c r="R2986">
        <v>0</v>
      </c>
      <c r="W2986" t="s">
        <v>1288</v>
      </c>
      <c r="AA2986">
        <v>2007</v>
      </c>
      <c r="AB2986">
        <v>9999</v>
      </c>
      <c r="AC2986" t="s">
        <v>35</v>
      </c>
    </row>
    <row r="2987" spans="1:29" x14ac:dyDescent="0.25">
      <c r="A2987" s="31" t="s">
        <v>216</v>
      </c>
      <c r="B2987" s="23" t="s">
        <v>217</v>
      </c>
      <c r="D2987">
        <v>1</v>
      </c>
      <c r="E2987" t="s">
        <v>218</v>
      </c>
      <c r="F2987">
        <v>2</v>
      </c>
      <c r="G2987">
        <v>2015</v>
      </c>
      <c r="I2987" s="8">
        <v>603.95000000000005</v>
      </c>
      <c r="J2987" t="s">
        <v>52</v>
      </c>
      <c r="K2987" t="s">
        <v>32</v>
      </c>
      <c r="O2987">
        <v>0</v>
      </c>
      <c r="P2987">
        <v>0</v>
      </c>
      <c r="Q2987">
        <v>0</v>
      </c>
      <c r="R2987">
        <v>0</v>
      </c>
      <c r="W2987" t="s">
        <v>1067</v>
      </c>
      <c r="AA2987">
        <v>2007</v>
      </c>
      <c r="AB2987">
        <v>9999</v>
      </c>
      <c r="AC2987" t="s">
        <v>35</v>
      </c>
    </row>
    <row r="2988" spans="1:29" x14ac:dyDescent="0.25">
      <c r="A2988" s="31" t="s">
        <v>220</v>
      </c>
      <c r="B2988" s="23" t="s">
        <v>221</v>
      </c>
      <c r="D2988">
        <v>1</v>
      </c>
      <c r="E2988" t="s">
        <v>222</v>
      </c>
      <c r="F2988">
        <v>8</v>
      </c>
      <c r="G2988">
        <v>2015</v>
      </c>
      <c r="I2988" s="8">
        <v>30.63</v>
      </c>
      <c r="J2988" t="s">
        <v>81</v>
      </c>
      <c r="K2988" t="s">
        <v>47</v>
      </c>
      <c r="O2988">
        <v>0</v>
      </c>
      <c r="P2988">
        <v>0</v>
      </c>
      <c r="Q2988">
        <v>0</v>
      </c>
      <c r="R2988">
        <v>0</v>
      </c>
      <c r="W2988" t="s">
        <v>1068</v>
      </c>
      <c r="AA2988">
        <v>2007</v>
      </c>
      <c r="AB2988">
        <v>9999</v>
      </c>
      <c r="AC2988" t="s">
        <v>35</v>
      </c>
    </row>
    <row r="2989" spans="1:29" x14ac:dyDescent="0.25">
      <c r="A2989" s="31" t="s">
        <v>224</v>
      </c>
      <c r="B2989" s="25" t="s">
        <v>225</v>
      </c>
      <c r="D2989">
        <v>1</v>
      </c>
      <c r="E2989" t="s">
        <v>51</v>
      </c>
      <c r="F2989">
        <v>1</v>
      </c>
      <c r="G2989">
        <v>2015</v>
      </c>
      <c r="I2989" s="11"/>
      <c r="J2989" t="s">
        <v>52</v>
      </c>
      <c r="K2989" t="s">
        <v>53</v>
      </c>
      <c r="L2989" t="s">
        <v>54</v>
      </c>
      <c r="O2989">
        <v>0</v>
      </c>
      <c r="P2989">
        <v>0</v>
      </c>
      <c r="Q2989">
        <v>1</v>
      </c>
      <c r="R2989">
        <v>0</v>
      </c>
      <c r="W2989" t="s">
        <v>55</v>
      </c>
      <c r="AA2989">
        <v>2007</v>
      </c>
      <c r="AB2989">
        <v>9999</v>
      </c>
      <c r="AC2989" t="s">
        <v>35</v>
      </c>
    </row>
    <row r="2990" spans="1:29" x14ac:dyDescent="0.25">
      <c r="A2990" s="31" t="s">
        <v>226</v>
      </c>
      <c r="B2990" s="23" t="s">
        <v>227</v>
      </c>
      <c r="C2990" t="s">
        <v>228</v>
      </c>
      <c r="D2990">
        <v>1</v>
      </c>
      <c r="E2990" t="s">
        <v>218</v>
      </c>
      <c r="F2990">
        <v>2</v>
      </c>
      <c r="G2990">
        <v>2015</v>
      </c>
      <c r="I2990" s="8">
        <v>3166.81</v>
      </c>
      <c r="J2990" t="s">
        <v>147</v>
      </c>
      <c r="K2990" t="s">
        <v>32</v>
      </c>
      <c r="O2990">
        <v>0</v>
      </c>
      <c r="P2990">
        <v>0</v>
      </c>
      <c r="Q2990">
        <v>0</v>
      </c>
      <c r="R2990">
        <v>0</v>
      </c>
      <c r="W2990" t="s">
        <v>1069</v>
      </c>
      <c r="AA2990">
        <v>2007</v>
      </c>
      <c r="AB2990">
        <v>9999</v>
      </c>
      <c r="AC2990" t="s">
        <v>35</v>
      </c>
    </row>
    <row r="2991" spans="1:29" x14ac:dyDescent="0.25">
      <c r="A2991" s="31" t="s">
        <v>230</v>
      </c>
      <c r="B2991" s="23" t="s">
        <v>231</v>
      </c>
      <c r="C2991" t="s">
        <v>232</v>
      </c>
      <c r="D2991">
        <v>1</v>
      </c>
      <c r="E2991" t="s">
        <v>145</v>
      </c>
      <c r="F2991">
        <v>2</v>
      </c>
      <c r="G2991">
        <v>2015</v>
      </c>
      <c r="J2991" t="s">
        <v>147</v>
      </c>
      <c r="K2991" t="s">
        <v>47</v>
      </c>
      <c r="O2991">
        <v>0</v>
      </c>
      <c r="P2991">
        <v>0</v>
      </c>
      <c r="Q2991">
        <v>0</v>
      </c>
      <c r="R2991">
        <v>0</v>
      </c>
      <c r="W2991" t="s">
        <v>1070</v>
      </c>
      <c r="AA2991">
        <v>2007</v>
      </c>
      <c r="AB2991">
        <v>9999</v>
      </c>
      <c r="AC2991" t="s">
        <v>35</v>
      </c>
    </row>
    <row r="2992" spans="1:29" x14ac:dyDescent="0.25">
      <c r="A2992" s="31" t="s">
        <v>1352</v>
      </c>
      <c r="B2992" s="23" t="s">
        <v>1353</v>
      </c>
      <c r="D2992">
        <v>1</v>
      </c>
      <c r="E2992" t="s">
        <v>218</v>
      </c>
      <c r="F2992">
        <v>2</v>
      </c>
      <c r="G2992">
        <v>2015</v>
      </c>
      <c r="I2992" s="8">
        <v>44.7</v>
      </c>
      <c r="J2992" t="s">
        <v>147</v>
      </c>
      <c r="K2992" t="s">
        <v>47</v>
      </c>
      <c r="O2992">
        <v>0</v>
      </c>
      <c r="P2992">
        <v>0</v>
      </c>
      <c r="Q2992">
        <v>0</v>
      </c>
      <c r="R2992">
        <v>0</v>
      </c>
      <c r="W2992" t="s">
        <v>1354</v>
      </c>
      <c r="AA2992">
        <v>2011</v>
      </c>
      <c r="AB2992">
        <v>2015</v>
      </c>
      <c r="AC2992" t="s">
        <v>1355</v>
      </c>
    </row>
    <row r="2993" spans="1:29" x14ac:dyDescent="0.25">
      <c r="A2993" s="31" t="s">
        <v>237</v>
      </c>
      <c r="B2993" s="23" t="s">
        <v>238</v>
      </c>
      <c r="D2993">
        <v>1</v>
      </c>
      <c r="E2993" t="s">
        <v>218</v>
      </c>
      <c r="F2993">
        <v>2</v>
      </c>
      <c r="G2993">
        <v>2015</v>
      </c>
      <c r="I2993" s="8">
        <v>337.91</v>
      </c>
      <c r="J2993" t="s">
        <v>104</v>
      </c>
      <c r="K2993" t="s">
        <v>53</v>
      </c>
      <c r="L2993" t="s">
        <v>105</v>
      </c>
      <c r="O2993">
        <v>0</v>
      </c>
      <c r="P2993">
        <v>0</v>
      </c>
      <c r="Q2993">
        <v>0</v>
      </c>
      <c r="R2993">
        <v>0</v>
      </c>
      <c r="W2993" t="s">
        <v>1072</v>
      </c>
      <c r="AA2993">
        <v>2007</v>
      </c>
      <c r="AB2993">
        <v>9999</v>
      </c>
      <c r="AC2993" t="s">
        <v>35</v>
      </c>
    </row>
    <row r="2994" spans="1:29" x14ac:dyDescent="0.25">
      <c r="A2994" s="31" t="s">
        <v>240</v>
      </c>
      <c r="B2994" s="23" t="s">
        <v>241</v>
      </c>
      <c r="D2994">
        <v>1</v>
      </c>
      <c r="E2994" t="s">
        <v>218</v>
      </c>
      <c r="F2994">
        <v>2</v>
      </c>
      <c r="G2994">
        <v>2015</v>
      </c>
      <c r="I2994" s="8">
        <v>18446.97</v>
      </c>
      <c r="J2994" t="s">
        <v>147</v>
      </c>
      <c r="K2994" t="s">
        <v>47</v>
      </c>
      <c r="O2994">
        <v>0</v>
      </c>
      <c r="P2994">
        <v>0</v>
      </c>
      <c r="Q2994">
        <v>0</v>
      </c>
      <c r="R2994">
        <v>0</v>
      </c>
      <c r="W2994" t="s">
        <v>1073</v>
      </c>
      <c r="AA2994">
        <v>2007</v>
      </c>
      <c r="AB2994">
        <v>9999</v>
      </c>
      <c r="AC2994" t="s">
        <v>35</v>
      </c>
    </row>
    <row r="2995" spans="1:29" x14ac:dyDescent="0.25">
      <c r="A2995" s="31" t="s">
        <v>1289</v>
      </c>
      <c r="B2995" s="23" t="s">
        <v>1290</v>
      </c>
      <c r="D2995">
        <v>1</v>
      </c>
      <c r="E2995" t="s">
        <v>218</v>
      </c>
      <c r="F2995">
        <v>2</v>
      </c>
      <c r="G2995">
        <v>2015</v>
      </c>
      <c r="I2995" s="8">
        <v>4</v>
      </c>
      <c r="J2995" t="s">
        <v>147</v>
      </c>
      <c r="K2995" t="s">
        <v>53</v>
      </c>
      <c r="L2995" t="s">
        <v>60</v>
      </c>
      <c r="O2995">
        <v>1</v>
      </c>
      <c r="P2995">
        <v>0</v>
      </c>
      <c r="Q2995">
        <v>0</v>
      </c>
      <c r="R2995">
        <v>0</v>
      </c>
      <c r="W2995" t="s">
        <v>1291</v>
      </c>
      <c r="AA2995">
        <v>2010</v>
      </c>
      <c r="AB2995">
        <v>9999</v>
      </c>
      <c r="AC2995" t="s">
        <v>1292</v>
      </c>
    </row>
    <row r="2996" spans="1:29" x14ac:dyDescent="0.25">
      <c r="A2996" s="31" t="s">
        <v>243</v>
      </c>
      <c r="B2996" s="23" t="s">
        <v>244</v>
      </c>
      <c r="D2996">
        <v>1</v>
      </c>
      <c r="E2996" t="s">
        <v>210</v>
      </c>
      <c r="F2996">
        <v>10</v>
      </c>
      <c r="G2996">
        <v>2015</v>
      </c>
      <c r="I2996" s="8">
        <v>11598.17</v>
      </c>
      <c r="J2996" t="s">
        <v>40</v>
      </c>
      <c r="K2996" t="s">
        <v>32</v>
      </c>
      <c r="O2996">
        <v>0</v>
      </c>
      <c r="P2996">
        <v>0</v>
      </c>
      <c r="Q2996">
        <v>0</v>
      </c>
      <c r="R2996">
        <v>0</v>
      </c>
      <c r="W2996" t="s">
        <v>1293</v>
      </c>
      <c r="AA2996">
        <v>2007</v>
      </c>
      <c r="AB2996">
        <v>9999</v>
      </c>
      <c r="AC2996" t="s">
        <v>35</v>
      </c>
    </row>
    <row r="2997" spans="1:29" x14ac:dyDescent="0.25">
      <c r="A2997" s="31" t="s">
        <v>153</v>
      </c>
      <c r="B2997" s="23" t="s">
        <v>1356</v>
      </c>
      <c r="D2997">
        <v>12</v>
      </c>
      <c r="E2997" t="s">
        <v>155</v>
      </c>
      <c r="F2997">
        <v>3</v>
      </c>
      <c r="G2997">
        <v>2015</v>
      </c>
      <c r="I2997">
        <v>1311.3695318725061</v>
      </c>
      <c r="J2997" t="s">
        <v>121</v>
      </c>
      <c r="K2997" t="s">
        <v>53</v>
      </c>
      <c r="L2997" t="s">
        <v>60</v>
      </c>
      <c r="O2997">
        <v>1</v>
      </c>
      <c r="P2997">
        <v>0</v>
      </c>
      <c r="Q2997">
        <v>0</v>
      </c>
      <c r="R2997">
        <v>0</v>
      </c>
      <c r="V2997">
        <v>1</v>
      </c>
      <c r="W2997" t="s">
        <v>477</v>
      </c>
      <c r="AA2997">
        <v>2007</v>
      </c>
      <c r="AB2997">
        <v>9999</v>
      </c>
      <c r="AC2997" t="s">
        <v>35</v>
      </c>
    </row>
    <row r="2998" spans="1:29" x14ac:dyDescent="0.25">
      <c r="A2998" s="31" t="s">
        <v>246</v>
      </c>
      <c r="B2998" s="23" t="s">
        <v>247</v>
      </c>
      <c r="D2998">
        <v>1</v>
      </c>
      <c r="E2998" t="s">
        <v>120</v>
      </c>
      <c r="F2998">
        <v>3</v>
      </c>
      <c r="G2998">
        <v>2015</v>
      </c>
      <c r="H2998" t="s">
        <v>129</v>
      </c>
      <c r="I2998" s="8">
        <v>3.6</v>
      </c>
      <c r="J2998" t="s">
        <v>121</v>
      </c>
      <c r="K2998" t="s">
        <v>41</v>
      </c>
      <c r="O2998">
        <v>0</v>
      </c>
      <c r="P2998">
        <v>0</v>
      </c>
      <c r="Q2998">
        <v>0</v>
      </c>
      <c r="R2998">
        <v>0</v>
      </c>
      <c r="W2998" t="s">
        <v>1075</v>
      </c>
      <c r="AA2998">
        <v>2007</v>
      </c>
      <c r="AB2998">
        <v>9999</v>
      </c>
      <c r="AC2998" t="s">
        <v>35</v>
      </c>
    </row>
    <row r="2999" spans="1:29" x14ac:dyDescent="0.25">
      <c r="A2999" s="31" t="s">
        <v>252</v>
      </c>
      <c r="B2999" s="23" t="s">
        <v>253</v>
      </c>
      <c r="D2999">
        <v>1</v>
      </c>
      <c r="E2999" t="s">
        <v>145</v>
      </c>
      <c r="F2999">
        <v>2</v>
      </c>
      <c r="G2999">
        <v>2015</v>
      </c>
      <c r="H2999" t="s">
        <v>1473</v>
      </c>
      <c r="J2999" s="2" t="s">
        <v>147</v>
      </c>
      <c r="K2999" t="s">
        <v>41</v>
      </c>
      <c r="O2999">
        <v>0</v>
      </c>
      <c r="P2999">
        <v>0</v>
      </c>
      <c r="Q2999">
        <v>0</v>
      </c>
      <c r="R2999">
        <v>0</v>
      </c>
      <c r="W2999" t="s">
        <v>1077</v>
      </c>
      <c r="AA2999">
        <v>2007</v>
      </c>
      <c r="AB2999">
        <v>9999</v>
      </c>
      <c r="AC2999" t="s">
        <v>35</v>
      </c>
    </row>
    <row r="3000" spans="1:29" x14ac:dyDescent="0.25">
      <c r="A3000" s="31" t="s">
        <v>305</v>
      </c>
      <c r="B3000" s="23" t="s">
        <v>1455</v>
      </c>
      <c r="C3000" t="s">
        <v>1456</v>
      </c>
      <c r="D3000">
        <v>1</v>
      </c>
      <c r="E3000" t="s">
        <v>103</v>
      </c>
      <c r="F3000">
        <v>9</v>
      </c>
      <c r="G3000">
        <v>2015</v>
      </c>
      <c r="I3000" s="8">
        <v>102.2</v>
      </c>
      <c r="J3000" s="2" t="s">
        <v>104</v>
      </c>
      <c r="K3000" t="s">
        <v>53</v>
      </c>
      <c r="L3000" t="s">
        <v>105</v>
      </c>
      <c r="O3000">
        <v>0</v>
      </c>
      <c r="P3000">
        <v>1</v>
      </c>
      <c r="Q3000">
        <v>0</v>
      </c>
      <c r="R3000">
        <v>0</v>
      </c>
      <c r="W3000" t="s">
        <v>106</v>
      </c>
      <c r="AA3000">
        <v>2007</v>
      </c>
      <c r="AB3000">
        <v>9999</v>
      </c>
      <c r="AC3000" t="s">
        <v>35</v>
      </c>
    </row>
    <row r="3001" spans="1:29" x14ac:dyDescent="0.25">
      <c r="A3001" s="31" t="s">
        <v>259</v>
      </c>
      <c r="B3001" s="23" t="s">
        <v>260</v>
      </c>
      <c r="C3001" t="s">
        <v>261</v>
      </c>
      <c r="D3001">
        <v>1</v>
      </c>
      <c r="E3001" t="s">
        <v>103</v>
      </c>
      <c r="F3001">
        <v>9</v>
      </c>
      <c r="G3001">
        <v>2015</v>
      </c>
      <c r="I3001" s="8">
        <v>5146.1099999999997</v>
      </c>
      <c r="J3001" t="s">
        <v>104</v>
      </c>
      <c r="K3001" t="s">
        <v>53</v>
      </c>
      <c r="L3001" t="s">
        <v>105</v>
      </c>
      <c r="O3001">
        <v>0</v>
      </c>
      <c r="P3001">
        <v>1</v>
      </c>
      <c r="Q3001">
        <v>0</v>
      </c>
      <c r="R3001">
        <v>0</v>
      </c>
      <c r="W3001" t="s">
        <v>106</v>
      </c>
      <c r="AA3001">
        <v>2007</v>
      </c>
      <c r="AB3001">
        <v>9999</v>
      </c>
      <c r="AC3001" t="s">
        <v>35</v>
      </c>
    </row>
    <row r="3002" spans="1:29" x14ac:dyDescent="0.25">
      <c r="A3002" s="31" t="s">
        <v>266</v>
      </c>
      <c r="B3002" s="23" t="s">
        <v>267</v>
      </c>
      <c r="D3002">
        <v>1</v>
      </c>
      <c r="E3002" t="s">
        <v>85</v>
      </c>
      <c r="F3002">
        <v>4</v>
      </c>
      <c r="G3002">
        <v>2015</v>
      </c>
      <c r="J3002" t="s">
        <v>268</v>
      </c>
      <c r="K3002" t="s">
        <v>41</v>
      </c>
      <c r="O3002">
        <v>0</v>
      </c>
      <c r="P3002">
        <v>0</v>
      </c>
      <c r="Q3002">
        <v>0</v>
      </c>
      <c r="R3002">
        <v>0</v>
      </c>
      <c r="W3002" t="s">
        <v>1079</v>
      </c>
      <c r="AA3002">
        <v>2007</v>
      </c>
      <c r="AB3002">
        <v>9999</v>
      </c>
      <c r="AC3002" t="s">
        <v>35</v>
      </c>
    </row>
    <row r="3003" spans="1:29" x14ac:dyDescent="0.25">
      <c r="A3003" s="31" t="s">
        <v>1393</v>
      </c>
      <c r="B3003" s="25" t="s">
        <v>1394</v>
      </c>
      <c r="C3003" t="s">
        <v>1395</v>
      </c>
      <c r="D3003">
        <v>1</v>
      </c>
      <c r="E3003" t="s">
        <v>1396</v>
      </c>
      <c r="F3003">
        <v>5</v>
      </c>
      <c r="G3003">
        <v>2015</v>
      </c>
      <c r="I3003" s="8">
        <v>230.29</v>
      </c>
      <c r="J3003" t="s">
        <v>31</v>
      </c>
      <c r="K3003" t="s">
        <v>47</v>
      </c>
      <c r="O3003">
        <v>0</v>
      </c>
      <c r="P3003">
        <v>0</v>
      </c>
      <c r="Q3003">
        <v>0</v>
      </c>
      <c r="R3003">
        <v>0</v>
      </c>
      <c r="W3003" t="s">
        <v>1397</v>
      </c>
      <c r="AA3003">
        <v>2012</v>
      </c>
      <c r="AB3003">
        <v>9999</v>
      </c>
      <c r="AC3003" t="s">
        <v>1398</v>
      </c>
    </row>
    <row r="3004" spans="1:29" x14ac:dyDescent="0.25">
      <c r="A3004" s="31" t="s">
        <v>153</v>
      </c>
      <c r="B3004" s="23" t="s">
        <v>270</v>
      </c>
      <c r="D3004">
        <v>6</v>
      </c>
      <c r="E3004" t="s">
        <v>155</v>
      </c>
      <c r="F3004">
        <v>3</v>
      </c>
      <c r="G3004">
        <v>2015</v>
      </c>
      <c r="I3004">
        <v>653.90240712151308</v>
      </c>
      <c r="J3004" t="s">
        <v>121</v>
      </c>
      <c r="K3004" t="s">
        <v>53</v>
      </c>
      <c r="L3004" t="s">
        <v>60</v>
      </c>
      <c r="O3004">
        <v>1</v>
      </c>
      <c r="P3004">
        <v>0</v>
      </c>
      <c r="Q3004">
        <v>0</v>
      </c>
      <c r="R3004">
        <v>0</v>
      </c>
      <c r="V3004">
        <v>1</v>
      </c>
      <c r="W3004" t="s">
        <v>271</v>
      </c>
      <c r="AA3004">
        <v>2007</v>
      </c>
      <c r="AB3004">
        <v>9999</v>
      </c>
      <c r="AC3004" t="s">
        <v>35</v>
      </c>
    </row>
    <row r="3005" spans="1:29" x14ac:dyDescent="0.25">
      <c r="A3005" s="31" t="s">
        <v>153</v>
      </c>
      <c r="B3005" s="27" t="s">
        <v>272</v>
      </c>
      <c r="D3005">
        <v>8</v>
      </c>
      <c r="E3005" t="s">
        <v>155</v>
      </c>
      <c r="F3005">
        <v>3</v>
      </c>
      <c r="G3005">
        <v>2015</v>
      </c>
      <c r="I3005">
        <v>81.893300298801023</v>
      </c>
      <c r="J3005" s="2" t="s">
        <v>121</v>
      </c>
      <c r="K3005" t="s">
        <v>53</v>
      </c>
      <c r="L3005" t="s">
        <v>60</v>
      </c>
      <c r="O3005">
        <v>1</v>
      </c>
      <c r="P3005">
        <v>0</v>
      </c>
      <c r="Q3005">
        <v>0</v>
      </c>
      <c r="R3005">
        <v>0</v>
      </c>
      <c r="V3005">
        <v>1</v>
      </c>
      <c r="W3005" t="s">
        <v>273</v>
      </c>
      <c r="AA3005">
        <v>2007</v>
      </c>
      <c r="AB3005">
        <v>9999</v>
      </c>
      <c r="AC3005" t="s">
        <v>35</v>
      </c>
    </row>
    <row r="3006" spans="1:29" x14ac:dyDescent="0.25">
      <c r="A3006" s="31" t="s">
        <v>274</v>
      </c>
      <c r="B3006" s="23" t="s">
        <v>275</v>
      </c>
      <c r="C3006" t="s">
        <v>276</v>
      </c>
      <c r="D3006">
        <v>1</v>
      </c>
      <c r="E3006" t="s">
        <v>51</v>
      </c>
      <c r="F3006">
        <v>10</v>
      </c>
      <c r="G3006">
        <v>2015</v>
      </c>
      <c r="H3006" t="s">
        <v>746</v>
      </c>
      <c r="J3006" s="2" t="s">
        <v>40</v>
      </c>
      <c r="K3006" t="s">
        <v>41</v>
      </c>
      <c r="O3006">
        <v>0</v>
      </c>
      <c r="P3006">
        <v>0</v>
      </c>
      <c r="Q3006">
        <v>0</v>
      </c>
      <c r="R3006">
        <v>0</v>
      </c>
      <c r="W3006" t="s">
        <v>1399</v>
      </c>
      <c r="AA3006">
        <v>2007</v>
      </c>
      <c r="AB3006">
        <v>9999</v>
      </c>
      <c r="AC3006" t="s">
        <v>35</v>
      </c>
    </row>
    <row r="3007" spans="1:29" x14ac:dyDescent="0.25">
      <c r="A3007" s="31" t="s">
        <v>278</v>
      </c>
      <c r="B3007" s="23" t="s">
        <v>279</v>
      </c>
      <c r="D3007">
        <v>1</v>
      </c>
      <c r="E3007" t="s">
        <v>103</v>
      </c>
      <c r="F3007">
        <v>9</v>
      </c>
      <c r="G3007">
        <v>2015</v>
      </c>
      <c r="I3007" s="8">
        <v>648.11</v>
      </c>
      <c r="J3007" t="s">
        <v>104</v>
      </c>
      <c r="K3007" t="s">
        <v>53</v>
      </c>
      <c r="L3007" t="s">
        <v>105</v>
      </c>
      <c r="O3007">
        <v>0</v>
      </c>
      <c r="P3007">
        <v>1</v>
      </c>
      <c r="Q3007">
        <v>0</v>
      </c>
      <c r="R3007">
        <v>0</v>
      </c>
      <c r="W3007" t="s">
        <v>106</v>
      </c>
      <c r="AA3007">
        <v>2007</v>
      </c>
      <c r="AB3007">
        <v>9999</v>
      </c>
      <c r="AC3007" t="s">
        <v>35</v>
      </c>
    </row>
    <row r="3008" spans="1:29" x14ac:dyDescent="0.25">
      <c r="A3008" s="31" t="s">
        <v>280</v>
      </c>
      <c r="B3008" s="23" t="s">
        <v>281</v>
      </c>
      <c r="D3008">
        <v>1</v>
      </c>
      <c r="E3008" t="s">
        <v>103</v>
      </c>
      <c r="F3008">
        <v>9</v>
      </c>
      <c r="G3008">
        <v>2015</v>
      </c>
      <c r="I3008" s="8">
        <v>615.84</v>
      </c>
      <c r="J3008" t="s">
        <v>104</v>
      </c>
      <c r="K3008" t="s">
        <v>53</v>
      </c>
      <c r="L3008" t="s">
        <v>105</v>
      </c>
      <c r="O3008">
        <v>0</v>
      </c>
      <c r="P3008">
        <v>1</v>
      </c>
      <c r="Q3008">
        <v>0</v>
      </c>
      <c r="R3008">
        <v>0</v>
      </c>
      <c r="W3008" t="s">
        <v>106</v>
      </c>
      <c r="AA3008">
        <v>2007</v>
      </c>
      <c r="AB3008">
        <v>9999</v>
      </c>
      <c r="AC3008" t="s">
        <v>35</v>
      </c>
    </row>
    <row r="3009" spans="1:29" x14ac:dyDescent="0.25">
      <c r="A3009" s="31" t="s">
        <v>282</v>
      </c>
      <c r="B3009" s="23" t="s">
        <v>283</v>
      </c>
      <c r="D3009">
        <v>1</v>
      </c>
      <c r="E3009" t="s">
        <v>103</v>
      </c>
      <c r="F3009">
        <v>9</v>
      </c>
      <c r="G3009">
        <v>2015</v>
      </c>
      <c r="I3009" s="8">
        <v>572.05999999999995</v>
      </c>
      <c r="J3009" t="s">
        <v>104</v>
      </c>
      <c r="K3009" t="s">
        <v>53</v>
      </c>
      <c r="L3009" t="s">
        <v>105</v>
      </c>
      <c r="O3009">
        <v>0</v>
      </c>
      <c r="P3009">
        <v>1</v>
      </c>
      <c r="Q3009">
        <v>0</v>
      </c>
      <c r="R3009">
        <v>0</v>
      </c>
      <c r="W3009" t="s">
        <v>106</v>
      </c>
      <c r="AA3009">
        <v>2007</v>
      </c>
      <c r="AB3009">
        <v>9999</v>
      </c>
      <c r="AC3009" t="s">
        <v>35</v>
      </c>
    </row>
    <row r="3010" spans="1:29" x14ac:dyDescent="0.25">
      <c r="A3010" s="31" t="s">
        <v>284</v>
      </c>
      <c r="B3010" s="23" t="s">
        <v>285</v>
      </c>
      <c r="D3010">
        <v>1</v>
      </c>
      <c r="E3010" t="s">
        <v>103</v>
      </c>
      <c r="F3010">
        <v>9</v>
      </c>
      <c r="G3010">
        <v>2015</v>
      </c>
      <c r="I3010" s="8">
        <v>519.78</v>
      </c>
      <c r="J3010" t="s">
        <v>104</v>
      </c>
      <c r="K3010" t="s">
        <v>53</v>
      </c>
      <c r="L3010" t="s">
        <v>105</v>
      </c>
      <c r="O3010">
        <v>0</v>
      </c>
      <c r="P3010">
        <v>1</v>
      </c>
      <c r="Q3010">
        <v>0</v>
      </c>
      <c r="R3010">
        <v>0</v>
      </c>
      <c r="W3010" t="s">
        <v>106</v>
      </c>
      <c r="AA3010">
        <v>2007</v>
      </c>
      <c r="AB3010">
        <v>9999</v>
      </c>
      <c r="AC3010" t="s">
        <v>35</v>
      </c>
    </row>
    <row r="3011" spans="1:29" x14ac:dyDescent="0.25">
      <c r="A3011" s="31" t="s">
        <v>288</v>
      </c>
      <c r="B3011" s="23" t="s">
        <v>289</v>
      </c>
      <c r="D3011">
        <v>1</v>
      </c>
      <c r="E3011" t="s">
        <v>103</v>
      </c>
      <c r="F3011">
        <v>9</v>
      </c>
      <c r="G3011">
        <v>2015</v>
      </c>
      <c r="I3011" s="8">
        <v>448</v>
      </c>
      <c r="J3011" t="s">
        <v>104</v>
      </c>
      <c r="K3011" t="s">
        <v>53</v>
      </c>
      <c r="L3011" t="s">
        <v>105</v>
      </c>
      <c r="O3011">
        <v>0</v>
      </c>
      <c r="P3011">
        <v>1</v>
      </c>
      <c r="Q3011">
        <v>0</v>
      </c>
      <c r="R3011">
        <v>0</v>
      </c>
      <c r="W3011" t="s">
        <v>106</v>
      </c>
      <c r="AA3011">
        <v>2007</v>
      </c>
      <c r="AB3011">
        <v>9999</v>
      </c>
      <c r="AC3011" t="s">
        <v>35</v>
      </c>
    </row>
    <row r="3012" spans="1:29" x14ac:dyDescent="0.25">
      <c r="A3012" s="31" t="s">
        <v>1474</v>
      </c>
      <c r="B3012" s="23" t="s">
        <v>290</v>
      </c>
      <c r="D3012">
        <v>1</v>
      </c>
      <c r="E3012" t="s">
        <v>103</v>
      </c>
      <c r="F3012">
        <v>9</v>
      </c>
      <c r="G3012">
        <v>2015</v>
      </c>
      <c r="I3012" s="8">
        <v>486.05</v>
      </c>
      <c r="J3012" t="s">
        <v>104</v>
      </c>
      <c r="K3012" t="s">
        <v>53</v>
      </c>
      <c r="L3012" t="s">
        <v>105</v>
      </c>
      <c r="O3012">
        <v>0</v>
      </c>
      <c r="P3012">
        <v>1</v>
      </c>
      <c r="Q3012">
        <v>0</v>
      </c>
      <c r="R3012">
        <v>0</v>
      </c>
      <c r="W3012" t="s">
        <v>106</v>
      </c>
      <c r="AA3012">
        <v>2007</v>
      </c>
      <c r="AB3012">
        <v>9999</v>
      </c>
      <c r="AC3012" t="s">
        <v>1475</v>
      </c>
    </row>
    <row r="3013" spans="1:29" x14ac:dyDescent="0.25">
      <c r="A3013" s="31" t="s">
        <v>293</v>
      </c>
      <c r="B3013" s="23" t="s">
        <v>294</v>
      </c>
      <c r="D3013">
        <v>1</v>
      </c>
      <c r="E3013" t="s">
        <v>103</v>
      </c>
      <c r="F3013">
        <v>9</v>
      </c>
      <c r="G3013">
        <v>2015</v>
      </c>
      <c r="I3013" s="8">
        <v>486.74</v>
      </c>
      <c r="J3013" t="s">
        <v>104</v>
      </c>
      <c r="K3013" t="s">
        <v>53</v>
      </c>
      <c r="L3013" t="s">
        <v>105</v>
      </c>
      <c r="O3013">
        <v>0</v>
      </c>
      <c r="P3013">
        <v>1</v>
      </c>
      <c r="Q3013">
        <v>0</v>
      </c>
      <c r="R3013">
        <v>0</v>
      </c>
      <c r="W3013" t="s">
        <v>106</v>
      </c>
      <c r="AA3013">
        <v>2007</v>
      </c>
      <c r="AB3013">
        <v>9999</v>
      </c>
      <c r="AC3013" t="s">
        <v>35</v>
      </c>
    </row>
    <row r="3014" spans="1:29" x14ac:dyDescent="0.25">
      <c r="A3014" s="31" t="s">
        <v>295</v>
      </c>
      <c r="B3014" s="23" t="s">
        <v>296</v>
      </c>
      <c r="D3014">
        <v>1</v>
      </c>
      <c r="E3014" t="s">
        <v>128</v>
      </c>
      <c r="F3014">
        <v>9</v>
      </c>
      <c r="G3014">
        <v>2015</v>
      </c>
      <c r="H3014" t="s">
        <v>1428</v>
      </c>
      <c r="J3014" t="s">
        <v>104</v>
      </c>
      <c r="K3014" t="s">
        <v>41</v>
      </c>
      <c r="O3014">
        <v>0</v>
      </c>
      <c r="P3014">
        <v>0</v>
      </c>
      <c r="Q3014">
        <v>0</v>
      </c>
      <c r="R3014">
        <v>0</v>
      </c>
      <c r="W3014" t="s">
        <v>1081</v>
      </c>
      <c r="AA3014">
        <v>2007</v>
      </c>
      <c r="AB3014">
        <v>9999</v>
      </c>
      <c r="AC3014" t="s">
        <v>35</v>
      </c>
    </row>
    <row r="3015" spans="1:29" x14ac:dyDescent="0.25">
      <c r="A3015" s="31" t="s">
        <v>153</v>
      </c>
      <c r="B3015" s="23" t="s">
        <v>1476</v>
      </c>
      <c r="D3015">
        <v>1</v>
      </c>
      <c r="E3015" t="s">
        <v>155</v>
      </c>
      <c r="F3015">
        <v>3</v>
      </c>
      <c r="G3015">
        <v>2015</v>
      </c>
      <c r="I3015" s="11">
        <v>89.171513944222994</v>
      </c>
      <c r="J3015" t="s">
        <v>121</v>
      </c>
      <c r="K3015" t="s">
        <v>53</v>
      </c>
      <c r="L3015" t="s">
        <v>60</v>
      </c>
      <c r="O3015">
        <v>1</v>
      </c>
      <c r="P3015">
        <v>0</v>
      </c>
      <c r="Q3015">
        <v>0</v>
      </c>
      <c r="R3015">
        <v>0</v>
      </c>
      <c r="V3015">
        <v>1</v>
      </c>
      <c r="W3015" t="s">
        <v>304</v>
      </c>
      <c r="AA3015">
        <v>2007</v>
      </c>
      <c r="AB3015">
        <v>9999</v>
      </c>
      <c r="AC3015" t="s">
        <v>35</v>
      </c>
    </row>
    <row r="3016" spans="1:29" x14ac:dyDescent="0.25">
      <c r="A3016" s="31" t="s">
        <v>153</v>
      </c>
      <c r="B3016" s="23" t="s">
        <v>1477</v>
      </c>
      <c r="D3016">
        <v>1</v>
      </c>
      <c r="E3016" t="s">
        <v>155</v>
      </c>
      <c r="F3016">
        <v>3</v>
      </c>
      <c r="G3016">
        <v>2015</v>
      </c>
      <c r="I3016" s="11">
        <v>79.229382470119006</v>
      </c>
      <c r="J3016" t="s">
        <v>121</v>
      </c>
      <c r="K3016" t="s">
        <v>53</v>
      </c>
      <c r="L3016" t="s">
        <v>60</v>
      </c>
      <c r="O3016">
        <v>1</v>
      </c>
      <c r="P3016">
        <v>0</v>
      </c>
      <c r="Q3016">
        <v>0</v>
      </c>
      <c r="R3016">
        <v>0</v>
      </c>
      <c r="V3016">
        <v>1</v>
      </c>
      <c r="W3016" t="s">
        <v>645</v>
      </c>
      <c r="AA3016">
        <v>2007</v>
      </c>
      <c r="AB3016">
        <v>9999</v>
      </c>
      <c r="AC3016" t="s">
        <v>35</v>
      </c>
    </row>
    <row r="3017" spans="1:29" x14ac:dyDescent="0.25">
      <c r="A3017" s="31" t="s">
        <v>307</v>
      </c>
      <c r="B3017" s="23" t="s">
        <v>308</v>
      </c>
      <c r="D3017">
        <v>1</v>
      </c>
      <c r="E3017" t="s">
        <v>309</v>
      </c>
      <c r="F3017">
        <v>10</v>
      </c>
      <c r="G3017">
        <v>2015</v>
      </c>
      <c r="I3017" s="8">
        <v>57.58</v>
      </c>
      <c r="J3017" t="s">
        <v>59</v>
      </c>
      <c r="K3017" t="s">
        <v>47</v>
      </c>
      <c r="O3017">
        <v>0</v>
      </c>
      <c r="P3017">
        <v>0</v>
      </c>
      <c r="Q3017">
        <v>0</v>
      </c>
      <c r="R3017">
        <v>0</v>
      </c>
      <c r="W3017" t="s">
        <v>1083</v>
      </c>
      <c r="AA3017">
        <v>2007</v>
      </c>
      <c r="AB3017">
        <v>9999</v>
      </c>
      <c r="AC3017" t="s">
        <v>35</v>
      </c>
    </row>
    <row r="3018" spans="1:29" x14ac:dyDescent="0.25">
      <c r="A3018" s="31" t="s">
        <v>1294</v>
      </c>
      <c r="B3018" s="23" t="s">
        <v>1295</v>
      </c>
      <c r="C3018" t="s">
        <v>1296</v>
      </c>
      <c r="D3018">
        <v>1</v>
      </c>
      <c r="E3018" t="s">
        <v>95</v>
      </c>
      <c r="F3018">
        <v>10</v>
      </c>
      <c r="G3018">
        <v>2015</v>
      </c>
      <c r="I3018" s="8">
        <v>50.53</v>
      </c>
      <c r="J3018" t="s">
        <v>40</v>
      </c>
      <c r="K3018" t="s">
        <v>47</v>
      </c>
      <c r="O3018">
        <v>0</v>
      </c>
      <c r="P3018">
        <v>0</v>
      </c>
      <c r="Q3018">
        <v>0</v>
      </c>
      <c r="R3018">
        <v>0</v>
      </c>
      <c r="W3018" t="s">
        <v>1297</v>
      </c>
      <c r="AA3018">
        <v>2010</v>
      </c>
      <c r="AB3018">
        <v>9999</v>
      </c>
      <c r="AC3018" t="s">
        <v>1292</v>
      </c>
    </row>
    <row r="3019" spans="1:29" x14ac:dyDescent="0.25">
      <c r="A3019" s="31" t="s">
        <v>311</v>
      </c>
      <c r="B3019" s="23" t="s">
        <v>312</v>
      </c>
      <c r="C3019" t="s">
        <v>313</v>
      </c>
      <c r="D3019">
        <v>1</v>
      </c>
      <c r="E3019" t="s">
        <v>314</v>
      </c>
      <c r="F3019">
        <v>2</v>
      </c>
      <c r="G3019">
        <v>2015</v>
      </c>
      <c r="I3019" s="8">
        <v>24</v>
      </c>
      <c r="J3019" t="s">
        <v>176</v>
      </c>
      <c r="K3019" t="s">
        <v>47</v>
      </c>
      <c r="O3019">
        <v>0</v>
      </c>
      <c r="P3019">
        <v>0</v>
      </c>
      <c r="Q3019">
        <v>0</v>
      </c>
      <c r="R3019">
        <v>0</v>
      </c>
      <c r="W3019" t="s">
        <v>1358</v>
      </c>
      <c r="AA3019">
        <v>2007</v>
      </c>
      <c r="AB3019">
        <v>9999</v>
      </c>
      <c r="AC3019" t="s">
        <v>35</v>
      </c>
    </row>
    <row r="3020" spans="1:29" x14ac:dyDescent="0.25">
      <c r="A3020" s="31" t="s">
        <v>1457</v>
      </c>
      <c r="B3020" s="23" t="s">
        <v>1458</v>
      </c>
      <c r="C3020" t="s">
        <v>1459</v>
      </c>
      <c r="D3020">
        <v>1</v>
      </c>
      <c r="E3020" s="4">
        <v>760</v>
      </c>
      <c r="F3020">
        <v>7</v>
      </c>
      <c r="G3020">
        <v>2015</v>
      </c>
      <c r="I3020" s="8">
        <v>666.52</v>
      </c>
      <c r="J3020" t="s">
        <v>40</v>
      </c>
      <c r="K3020" t="s">
        <v>47</v>
      </c>
      <c r="O3020">
        <v>0</v>
      </c>
      <c r="P3020">
        <v>0</v>
      </c>
      <c r="Q3020">
        <v>0</v>
      </c>
      <c r="R3020">
        <v>0</v>
      </c>
      <c r="W3020" t="s">
        <v>1460</v>
      </c>
      <c r="AA3020">
        <v>2014</v>
      </c>
      <c r="AB3020">
        <v>9999</v>
      </c>
      <c r="AC3020" t="s">
        <v>1449</v>
      </c>
    </row>
    <row r="3021" spans="1:29" ht="30" x14ac:dyDescent="0.25">
      <c r="A3021" s="31" t="s">
        <v>316</v>
      </c>
      <c r="B3021" s="24" t="s">
        <v>1461</v>
      </c>
      <c r="C3021" t="s">
        <v>1462</v>
      </c>
      <c r="D3021">
        <v>1</v>
      </c>
      <c r="E3021" t="s">
        <v>318</v>
      </c>
      <c r="F3021">
        <v>4</v>
      </c>
      <c r="G3021">
        <v>2015</v>
      </c>
      <c r="I3021" s="8">
        <v>36.729999999999997</v>
      </c>
      <c r="J3021" t="s">
        <v>59</v>
      </c>
      <c r="K3021" t="s">
        <v>47</v>
      </c>
      <c r="O3021">
        <v>0</v>
      </c>
      <c r="P3021">
        <v>0</v>
      </c>
      <c r="Q3021">
        <v>0</v>
      </c>
      <c r="R3021">
        <v>0</v>
      </c>
      <c r="W3021" t="s">
        <v>1085</v>
      </c>
      <c r="AA3021">
        <v>2007</v>
      </c>
      <c r="AB3021">
        <v>9999</v>
      </c>
      <c r="AC3021" t="s">
        <v>35</v>
      </c>
    </row>
    <row r="3022" spans="1:29" x14ac:dyDescent="0.25">
      <c r="A3022" s="31" t="s">
        <v>324</v>
      </c>
      <c r="B3022" s="23" t="s">
        <v>325</v>
      </c>
      <c r="D3022">
        <v>1</v>
      </c>
      <c r="E3022" t="s">
        <v>103</v>
      </c>
      <c r="F3022">
        <v>9</v>
      </c>
      <c r="G3022">
        <v>2015</v>
      </c>
      <c r="I3022" s="8">
        <v>91.28</v>
      </c>
      <c r="J3022" t="s">
        <v>104</v>
      </c>
      <c r="K3022" t="s">
        <v>47</v>
      </c>
      <c r="O3022">
        <v>0</v>
      </c>
      <c r="P3022">
        <v>0</v>
      </c>
      <c r="Q3022">
        <v>0</v>
      </c>
      <c r="R3022">
        <v>0</v>
      </c>
      <c r="W3022" t="s">
        <v>1086</v>
      </c>
      <c r="AA3022">
        <v>2007</v>
      </c>
      <c r="AB3022">
        <v>9999</v>
      </c>
      <c r="AC3022" t="s">
        <v>35</v>
      </c>
    </row>
    <row r="3023" spans="1:29" x14ac:dyDescent="0.25">
      <c r="A3023" s="31" t="s">
        <v>327</v>
      </c>
      <c r="B3023" s="23" t="s">
        <v>328</v>
      </c>
      <c r="D3023">
        <v>1</v>
      </c>
      <c r="E3023" t="s">
        <v>80</v>
      </c>
      <c r="F3023">
        <v>8</v>
      </c>
      <c r="G3023">
        <v>2015</v>
      </c>
      <c r="I3023" s="8">
        <v>65.11</v>
      </c>
      <c r="J3023" t="s">
        <v>81</v>
      </c>
      <c r="K3023" t="s">
        <v>47</v>
      </c>
      <c r="O3023">
        <v>0</v>
      </c>
      <c r="P3023">
        <v>0</v>
      </c>
      <c r="Q3023">
        <v>0</v>
      </c>
      <c r="R3023">
        <v>0</v>
      </c>
      <c r="W3023" t="s">
        <v>1087</v>
      </c>
      <c r="AA3023">
        <v>2007</v>
      </c>
      <c r="AB3023">
        <v>9999</v>
      </c>
      <c r="AC3023" t="s">
        <v>35</v>
      </c>
    </row>
    <row r="3024" spans="1:29" x14ac:dyDescent="0.25">
      <c r="A3024" s="31" t="s">
        <v>346</v>
      </c>
      <c r="B3024" s="23" t="s">
        <v>347</v>
      </c>
      <c r="D3024">
        <v>1</v>
      </c>
      <c r="E3024" t="s">
        <v>348</v>
      </c>
      <c r="F3024">
        <v>1</v>
      </c>
      <c r="G3024">
        <v>2015</v>
      </c>
      <c r="I3024" s="8">
        <v>34.28</v>
      </c>
      <c r="J3024" t="s">
        <v>121</v>
      </c>
      <c r="K3024" t="s">
        <v>47</v>
      </c>
      <c r="O3024">
        <v>0</v>
      </c>
      <c r="P3024">
        <v>0</v>
      </c>
      <c r="Q3024">
        <v>0</v>
      </c>
      <c r="R3024">
        <v>0</v>
      </c>
      <c r="W3024" t="s">
        <v>349</v>
      </c>
      <c r="AA3024">
        <v>2007</v>
      </c>
      <c r="AB3024">
        <v>9999</v>
      </c>
      <c r="AC3024" t="s">
        <v>35</v>
      </c>
    </row>
    <row r="3025" spans="1:29" x14ac:dyDescent="0.25">
      <c r="A3025" s="31" t="s">
        <v>199</v>
      </c>
      <c r="B3025" s="23" t="s">
        <v>39</v>
      </c>
      <c r="D3025">
        <v>1</v>
      </c>
      <c r="E3025" t="s">
        <v>358</v>
      </c>
      <c r="F3025">
        <v>1</v>
      </c>
      <c r="G3025">
        <v>2015</v>
      </c>
      <c r="I3025" s="8">
        <v>250.92</v>
      </c>
      <c r="J3025" t="s">
        <v>52</v>
      </c>
      <c r="K3025" t="s">
        <v>47</v>
      </c>
      <c r="O3025">
        <v>0</v>
      </c>
      <c r="P3025">
        <v>0</v>
      </c>
      <c r="Q3025">
        <v>0</v>
      </c>
      <c r="R3025">
        <v>0</v>
      </c>
      <c r="W3025" t="s">
        <v>1094</v>
      </c>
      <c r="AA3025">
        <v>2007</v>
      </c>
      <c r="AB3025">
        <v>9999</v>
      </c>
      <c r="AC3025" t="s">
        <v>35</v>
      </c>
    </row>
    <row r="3026" spans="1:29" x14ac:dyDescent="0.25">
      <c r="A3026" s="31" t="s">
        <v>1478</v>
      </c>
      <c r="B3026" s="23" t="s">
        <v>360</v>
      </c>
      <c r="D3026">
        <v>4</v>
      </c>
      <c r="E3026" t="s">
        <v>155</v>
      </c>
      <c r="F3026">
        <v>3</v>
      </c>
      <c r="G3026">
        <v>2015</v>
      </c>
      <c r="I3026">
        <v>416.20790826693201</v>
      </c>
      <c r="J3026" t="s">
        <v>121</v>
      </c>
      <c r="K3026" t="s">
        <v>53</v>
      </c>
      <c r="L3026" t="s">
        <v>60</v>
      </c>
      <c r="O3026">
        <v>1</v>
      </c>
      <c r="P3026">
        <v>0</v>
      </c>
      <c r="Q3026">
        <v>0</v>
      </c>
      <c r="R3026">
        <v>0</v>
      </c>
      <c r="V3026">
        <v>1</v>
      </c>
      <c r="W3026" t="s">
        <v>361</v>
      </c>
      <c r="AA3026">
        <v>2007</v>
      </c>
      <c r="AB3026">
        <v>9999</v>
      </c>
      <c r="AC3026" t="s">
        <v>35</v>
      </c>
    </row>
    <row r="3027" spans="1:29" x14ac:dyDescent="0.25">
      <c r="A3027" s="31" t="s">
        <v>362</v>
      </c>
      <c r="B3027" s="23" t="s">
        <v>363</v>
      </c>
      <c r="D3027">
        <v>1</v>
      </c>
      <c r="E3027" t="s">
        <v>103</v>
      </c>
      <c r="F3027">
        <v>9</v>
      </c>
      <c r="G3027">
        <v>2015</v>
      </c>
      <c r="I3027" s="8">
        <v>1044.3399999999999</v>
      </c>
      <c r="J3027" t="s">
        <v>104</v>
      </c>
      <c r="K3027" t="s">
        <v>53</v>
      </c>
      <c r="L3027" t="s">
        <v>105</v>
      </c>
      <c r="O3027">
        <v>0</v>
      </c>
      <c r="P3027">
        <v>1</v>
      </c>
      <c r="Q3027">
        <v>0</v>
      </c>
      <c r="R3027">
        <v>0</v>
      </c>
      <c r="W3027" t="s">
        <v>106</v>
      </c>
      <c r="AA3027">
        <v>2007</v>
      </c>
      <c r="AB3027">
        <v>9999</v>
      </c>
      <c r="AC3027" t="s">
        <v>35</v>
      </c>
    </row>
    <row r="3028" spans="1:29" x14ac:dyDescent="0.25">
      <c r="A3028" s="31" t="s">
        <v>364</v>
      </c>
      <c r="B3028" s="23" t="s">
        <v>365</v>
      </c>
      <c r="C3028" t="s">
        <v>366</v>
      </c>
      <c r="D3028">
        <v>1</v>
      </c>
      <c r="E3028" t="s">
        <v>103</v>
      </c>
      <c r="F3028">
        <v>9</v>
      </c>
      <c r="G3028">
        <v>2015</v>
      </c>
      <c r="I3028" s="8">
        <v>4891.2299999999996</v>
      </c>
      <c r="J3028" t="s">
        <v>104</v>
      </c>
      <c r="K3028" t="s">
        <v>53</v>
      </c>
      <c r="L3028" t="s">
        <v>105</v>
      </c>
      <c r="O3028">
        <v>0</v>
      </c>
      <c r="P3028">
        <v>1</v>
      </c>
      <c r="Q3028">
        <v>0</v>
      </c>
      <c r="R3028">
        <v>0</v>
      </c>
      <c r="W3028" t="s">
        <v>106</v>
      </c>
      <c r="AA3028">
        <v>2007</v>
      </c>
      <c r="AB3028">
        <v>9999</v>
      </c>
      <c r="AC3028" t="s">
        <v>35</v>
      </c>
    </row>
    <row r="3029" spans="1:29" x14ac:dyDescent="0.25">
      <c r="A3029" s="31" t="s">
        <v>367</v>
      </c>
      <c r="B3029" s="23" t="s">
        <v>368</v>
      </c>
      <c r="C3029" t="s">
        <v>369</v>
      </c>
      <c r="D3029">
        <v>1</v>
      </c>
      <c r="E3029" t="s">
        <v>370</v>
      </c>
      <c r="F3029">
        <v>5</v>
      </c>
      <c r="G3029">
        <v>2015</v>
      </c>
      <c r="I3029" s="8">
        <v>228.09</v>
      </c>
      <c r="J3029" t="s">
        <v>1471</v>
      </c>
      <c r="K3029" t="s">
        <v>47</v>
      </c>
      <c r="O3029">
        <v>0</v>
      </c>
      <c r="P3029">
        <v>0</v>
      </c>
      <c r="Q3029">
        <v>0</v>
      </c>
      <c r="R3029">
        <v>0</v>
      </c>
      <c r="W3029" t="s">
        <v>1298</v>
      </c>
      <c r="AA3029">
        <v>2007</v>
      </c>
      <c r="AB3029">
        <v>9999</v>
      </c>
      <c r="AC3029" t="s">
        <v>35</v>
      </c>
    </row>
    <row r="3030" spans="1:29" x14ac:dyDescent="0.25">
      <c r="A3030" s="31" t="s">
        <v>372</v>
      </c>
      <c r="B3030" s="23" t="s">
        <v>373</v>
      </c>
      <c r="D3030">
        <v>1</v>
      </c>
      <c r="E3030" t="s">
        <v>45</v>
      </c>
      <c r="F3030">
        <v>4</v>
      </c>
      <c r="G3030">
        <v>2015</v>
      </c>
      <c r="I3030" s="8">
        <v>88.56</v>
      </c>
      <c r="J3030" t="s">
        <v>176</v>
      </c>
      <c r="K3030" t="s">
        <v>47</v>
      </c>
      <c r="O3030">
        <v>0</v>
      </c>
      <c r="P3030">
        <v>0</v>
      </c>
      <c r="Q3030">
        <v>0</v>
      </c>
      <c r="R3030">
        <v>0</v>
      </c>
      <c r="W3030" t="s">
        <v>1429</v>
      </c>
      <c r="AA3030">
        <v>2007</v>
      </c>
      <c r="AB3030">
        <v>9999</v>
      </c>
      <c r="AC3030" t="s">
        <v>35</v>
      </c>
    </row>
    <row r="3031" spans="1:29" x14ac:dyDescent="0.25">
      <c r="A3031" s="31" t="s">
        <v>375</v>
      </c>
      <c r="B3031" s="23" t="s">
        <v>163</v>
      </c>
      <c r="D3031">
        <v>1</v>
      </c>
      <c r="E3031" t="s">
        <v>168</v>
      </c>
      <c r="F3031">
        <v>1</v>
      </c>
      <c r="G3031">
        <v>2015</v>
      </c>
      <c r="I3031" s="8">
        <v>51.56</v>
      </c>
      <c r="J3031" t="s">
        <v>52</v>
      </c>
      <c r="K3031" t="s">
        <v>47</v>
      </c>
      <c r="O3031">
        <v>0</v>
      </c>
      <c r="P3031">
        <v>0</v>
      </c>
      <c r="Q3031">
        <v>0</v>
      </c>
      <c r="R3031">
        <v>0</v>
      </c>
      <c r="W3031" t="s">
        <v>1097</v>
      </c>
      <c r="AA3031">
        <v>2007</v>
      </c>
      <c r="AB3031">
        <v>9999</v>
      </c>
      <c r="AC3031" t="s">
        <v>35</v>
      </c>
    </row>
    <row r="3032" spans="1:29" x14ac:dyDescent="0.25">
      <c r="A3032" s="31" t="s">
        <v>377</v>
      </c>
      <c r="B3032" s="23" t="s">
        <v>378</v>
      </c>
      <c r="D3032">
        <v>1</v>
      </c>
      <c r="E3032" t="s">
        <v>45</v>
      </c>
      <c r="F3032">
        <v>4</v>
      </c>
      <c r="G3032">
        <v>2015</v>
      </c>
      <c r="I3032" s="8">
        <v>197.53</v>
      </c>
      <c r="J3032" t="s">
        <v>89</v>
      </c>
      <c r="K3032" t="s">
        <v>47</v>
      </c>
      <c r="O3032">
        <v>0</v>
      </c>
      <c r="P3032">
        <v>0</v>
      </c>
      <c r="Q3032">
        <v>0</v>
      </c>
      <c r="R3032">
        <v>0</v>
      </c>
      <c r="W3032" t="s">
        <v>1098</v>
      </c>
      <c r="AA3032">
        <v>2007</v>
      </c>
      <c r="AB3032">
        <v>9999</v>
      </c>
      <c r="AC3032" t="s">
        <v>35</v>
      </c>
    </row>
    <row r="3033" spans="1:29" x14ac:dyDescent="0.25">
      <c r="A3033" s="31" t="s">
        <v>380</v>
      </c>
      <c r="B3033" s="23" t="s">
        <v>381</v>
      </c>
      <c r="D3033">
        <v>1</v>
      </c>
      <c r="E3033" t="s">
        <v>103</v>
      </c>
      <c r="F3033">
        <v>9</v>
      </c>
      <c r="G3033">
        <v>2015</v>
      </c>
      <c r="I3033" s="8">
        <v>156.6</v>
      </c>
      <c r="J3033" t="s">
        <v>104</v>
      </c>
      <c r="K3033" t="s">
        <v>53</v>
      </c>
      <c r="L3033" t="s">
        <v>105</v>
      </c>
      <c r="O3033">
        <v>0</v>
      </c>
      <c r="P3033">
        <v>1</v>
      </c>
      <c r="Q3033">
        <v>0</v>
      </c>
      <c r="R3033">
        <v>0</v>
      </c>
      <c r="W3033" t="s">
        <v>106</v>
      </c>
      <c r="AA3033">
        <v>2007</v>
      </c>
      <c r="AB3033">
        <v>9999</v>
      </c>
      <c r="AC3033" t="s">
        <v>35</v>
      </c>
    </row>
    <row r="3034" spans="1:29" x14ac:dyDescent="0.25">
      <c r="A3034" s="31" t="s">
        <v>382</v>
      </c>
      <c r="B3034" s="23" t="s">
        <v>383</v>
      </c>
      <c r="D3034">
        <v>1</v>
      </c>
      <c r="E3034" t="s">
        <v>80</v>
      </c>
      <c r="F3034">
        <v>8</v>
      </c>
      <c r="G3034">
        <v>2015</v>
      </c>
      <c r="I3034" s="8">
        <v>22.3</v>
      </c>
      <c r="J3034" t="s">
        <v>81</v>
      </c>
      <c r="K3034" t="s">
        <v>32</v>
      </c>
      <c r="O3034">
        <v>0</v>
      </c>
      <c r="P3034">
        <v>0</v>
      </c>
      <c r="Q3034">
        <v>0</v>
      </c>
      <c r="R3034">
        <v>0</v>
      </c>
      <c r="W3034" t="s">
        <v>1099</v>
      </c>
      <c r="AA3034">
        <v>2007</v>
      </c>
      <c r="AB3034">
        <v>9999</v>
      </c>
      <c r="AC3034" t="s">
        <v>35</v>
      </c>
    </row>
    <row r="3035" spans="1:29" x14ac:dyDescent="0.25">
      <c r="A3035" s="31" t="s">
        <v>385</v>
      </c>
      <c r="B3035" s="23" t="s">
        <v>386</v>
      </c>
      <c r="D3035">
        <v>1</v>
      </c>
      <c r="E3035" t="s">
        <v>45</v>
      </c>
      <c r="F3035">
        <v>4</v>
      </c>
      <c r="G3035">
        <v>2015</v>
      </c>
      <c r="I3035" s="8">
        <v>140.1</v>
      </c>
      <c r="J3035" t="s">
        <v>52</v>
      </c>
      <c r="K3035" t="s">
        <v>47</v>
      </c>
      <c r="O3035">
        <v>0</v>
      </c>
      <c r="P3035">
        <v>0</v>
      </c>
      <c r="Q3035">
        <v>0</v>
      </c>
      <c r="R3035">
        <v>0</v>
      </c>
      <c r="W3035" t="s">
        <v>1300</v>
      </c>
      <c r="AA3035">
        <v>2007</v>
      </c>
      <c r="AB3035">
        <v>9999</v>
      </c>
      <c r="AC3035" t="s">
        <v>35</v>
      </c>
    </row>
    <row r="3036" spans="1:29" x14ac:dyDescent="0.25">
      <c r="A3036" s="31" t="s">
        <v>388</v>
      </c>
      <c r="B3036" s="23" t="s">
        <v>389</v>
      </c>
      <c r="D3036">
        <v>1</v>
      </c>
      <c r="E3036" t="s">
        <v>145</v>
      </c>
      <c r="F3036">
        <v>2</v>
      </c>
      <c r="G3036">
        <v>2015</v>
      </c>
      <c r="H3036" t="s">
        <v>185</v>
      </c>
      <c r="J3036" t="s">
        <v>52</v>
      </c>
      <c r="K3036" t="s">
        <v>41</v>
      </c>
      <c r="O3036">
        <v>0</v>
      </c>
      <c r="P3036">
        <v>0</v>
      </c>
      <c r="Q3036">
        <v>0</v>
      </c>
      <c r="R3036">
        <v>0</v>
      </c>
      <c r="W3036" t="s">
        <v>1101</v>
      </c>
      <c r="AA3036">
        <v>2007</v>
      </c>
      <c r="AB3036">
        <v>9999</v>
      </c>
      <c r="AC3036" t="s">
        <v>35</v>
      </c>
    </row>
    <row r="3037" spans="1:29" x14ac:dyDescent="0.25">
      <c r="A3037" s="31" t="s">
        <v>391</v>
      </c>
      <c r="B3037" s="23" t="s">
        <v>392</v>
      </c>
      <c r="D3037">
        <v>1</v>
      </c>
      <c r="E3037" t="s">
        <v>393</v>
      </c>
      <c r="F3037">
        <v>3</v>
      </c>
      <c r="G3037">
        <v>2015</v>
      </c>
      <c r="I3037" s="8">
        <v>9166.41</v>
      </c>
      <c r="J3037" t="s">
        <v>121</v>
      </c>
      <c r="K3037" t="s">
        <v>47</v>
      </c>
      <c r="O3037">
        <v>0</v>
      </c>
      <c r="P3037">
        <v>0</v>
      </c>
      <c r="Q3037">
        <v>0</v>
      </c>
      <c r="R3037">
        <v>0</v>
      </c>
      <c r="W3037" t="s">
        <v>1102</v>
      </c>
      <c r="AA3037">
        <v>2007</v>
      </c>
      <c r="AB3037">
        <v>9999</v>
      </c>
      <c r="AC3037" t="s">
        <v>35</v>
      </c>
    </row>
    <row r="3038" spans="1:29" x14ac:dyDescent="0.25">
      <c r="A3038" s="31" t="s">
        <v>401</v>
      </c>
      <c r="B3038" s="23" t="s">
        <v>402</v>
      </c>
      <c r="D3038">
        <v>1</v>
      </c>
      <c r="E3038" t="s">
        <v>155</v>
      </c>
      <c r="F3038">
        <v>3</v>
      </c>
      <c r="G3038">
        <v>2015</v>
      </c>
      <c r="I3038" s="8">
        <v>2070.0300000000002</v>
      </c>
      <c r="J3038" t="s">
        <v>52</v>
      </c>
      <c r="K3038" t="s">
        <v>47</v>
      </c>
      <c r="O3038">
        <v>0</v>
      </c>
      <c r="P3038">
        <v>0</v>
      </c>
      <c r="Q3038">
        <v>0</v>
      </c>
      <c r="R3038">
        <v>0</v>
      </c>
      <c r="W3038" t="s">
        <v>1105</v>
      </c>
      <c r="AA3038">
        <v>2007</v>
      </c>
      <c r="AB3038">
        <v>9999</v>
      </c>
      <c r="AC3038" t="s">
        <v>35</v>
      </c>
    </row>
    <row r="3039" spans="1:29" x14ac:dyDescent="0.25">
      <c r="A3039" s="31" t="s">
        <v>404</v>
      </c>
      <c r="B3039" s="23" t="s">
        <v>405</v>
      </c>
      <c r="C3039" t="s">
        <v>406</v>
      </c>
      <c r="D3039">
        <v>1</v>
      </c>
      <c r="E3039" t="s">
        <v>358</v>
      </c>
      <c r="F3039">
        <v>1</v>
      </c>
      <c r="G3039">
        <v>2015</v>
      </c>
      <c r="I3039" s="8">
        <v>311.25</v>
      </c>
      <c r="J3039" t="s">
        <v>104</v>
      </c>
      <c r="K3039" t="s">
        <v>47</v>
      </c>
      <c r="O3039">
        <v>0</v>
      </c>
      <c r="P3039">
        <v>0</v>
      </c>
      <c r="Q3039">
        <v>0</v>
      </c>
      <c r="R3039">
        <v>0</v>
      </c>
      <c r="W3039" t="s">
        <v>1245</v>
      </c>
      <c r="AA3039">
        <v>2007</v>
      </c>
      <c r="AB3039">
        <v>9999</v>
      </c>
      <c r="AC3039" t="s">
        <v>35</v>
      </c>
    </row>
    <row r="3040" spans="1:29" x14ac:dyDescent="0.25">
      <c r="A3040" s="31" t="s">
        <v>408</v>
      </c>
      <c r="B3040" s="23" t="s">
        <v>409</v>
      </c>
      <c r="D3040">
        <v>1</v>
      </c>
      <c r="E3040" t="s">
        <v>103</v>
      </c>
      <c r="F3040">
        <v>9</v>
      </c>
      <c r="G3040">
        <v>2015</v>
      </c>
      <c r="I3040" s="8">
        <v>51.2</v>
      </c>
      <c r="J3040" t="s">
        <v>104</v>
      </c>
      <c r="K3040" t="s">
        <v>53</v>
      </c>
      <c r="L3040" t="s">
        <v>105</v>
      </c>
      <c r="O3040">
        <v>0</v>
      </c>
      <c r="P3040">
        <v>1</v>
      </c>
      <c r="Q3040">
        <v>0</v>
      </c>
      <c r="R3040">
        <v>0</v>
      </c>
      <c r="W3040" t="s">
        <v>106</v>
      </c>
      <c r="AA3040">
        <v>2007</v>
      </c>
      <c r="AB3040">
        <v>9999</v>
      </c>
      <c r="AC3040" t="s">
        <v>35</v>
      </c>
    </row>
    <row r="3041" spans="1:29" x14ac:dyDescent="0.25">
      <c r="A3041" s="31" t="s">
        <v>410</v>
      </c>
      <c r="B3041" s="23" t="s">
        <v>411</v>
      </c>
      <c r="C3041" t="s">
        <v>412</v>
      </c>
      <c r="D3041">
        <v>1</v>
      </c>
      <c r="E3041" t="s">
        <v>103</v>
      </c>
      <c r="F3041">
        <v>9</v>
      </c>
      <c r="G3041">
        <v>2015</v>
      </c>
      <c r="I3041" s="8">
        <v>148</v>
      </c>
      <c r="J3041" t="s">
        <v>104</v>
      </c>
      <c r="K3041" t="s">
        <v>53</v>
      </c>
      <c r="L3041" t="s">
        <v>105</v>
      </c>
      <c r="O3041">
        <v>0</v>
      </c>
      <c r="P3041">
        <v>1</v>
      </c>
      <c r="Q3041">
        <v>0</v>
      </c>
      <c r="R3041">
        <v>0</v>
      </c>
      <c r="W3041" t="s">
        <v>106</v>
      </c>
      <c r="AA3041">
        <v>2007</v>
      </c>
      <c r="AB3041">
        <v>9999</v>
      </c>
      <c r="AC3041" t="s">
        <v>35</v>
      </c>
    </row>
    <row r="3042" spans="1:29" x14ac:dyDescent="0.25">
      <c r="A3042" s="31" t="s">
        <v>413</v>
      </c>
      <c r="B3042" s="23" t="s">
        <v>414</v>
      </c>
      <c r="C3042" t="s">
        <v>415</v>
      </c>
      <c r="D3042">
        <v>1</v>
      </c>
      <c r="E3042" t="s">
        <v>103</v>
      </c>
      <c r="F3042">
        <v>9</v>
      </c>
      <c r="G3042">
        <v>2015</v>
      </c>
      <c r="I3042" s="8">
        <v>3724.38</v>
      </c>
      <c r="J3042" t="s">
        <v>104</v>
      </c>
      <c r="K3042" t="s">
        <v>53</v>
      </c>
      <c r="L3042" t="s">
        <v>105</v>
      </c>
      <c r="O3042">
        <v>0</v>
      </c>
      <c r="P3042">
        <v>1</v>
      </c>
      <c r="Q3042">
        <v>0</v>
      </c>
      <c r="R3042">
        <v>0</v>
      </c>
      <c r="W3042" t="s">
        <v>106</v>
      </c>
      <c r="AA3042">
        <v>2007</v>
      </c>
      <c r="AB3042">
        <v>9999</v>
      </c>
      <c r="AC3042" t="s">
        <v>35</v>
      </c>
    </row>
    <row r="3043" spans="1:29" x14ac:dyDescent="0.25">
      <c r="A3043" s="31" t="s">
        <v>416</v>
      </c>
      <c r="B3043" s="23" t="s">
        <v>417</v>
      </c>
      <c r="C3043" t="s">
        <v>418</v>
      </c>
      <c r="D3043">
        <v>1</v>
      </c>
      <c r="E3043" t="s">
        <v>218</v>
      </c>
      <c r="F3043">
        <v>2</v>
      </c>
      <c r="G3043">
        <v>2015</v>
      </c>
      <c r="I3043" s="8">
        <v>689.28</v>
      </c>
      <c r="J3043" t="s">
        <v>147</v>
      </c>
      <c r="K3043" t="s">
        <v>47</v>
      </c>
      <c r="O3043">
        <v>0</v>
      </c>
      <c r="P3043">
        <v>0</v>
      </c>
      <c r="Q3043">
        <v>0</v>
      </c>
      <c r="R3043">
        <v>0</v>
      </c>
      <c r="W3043" t="s">
        <v>1107</v>
      </c>
      <c r="AA3043">
        <v>2007</v>
      </c>
      <c r="AB3043">
        <v>9999</v>
      </c>
      <c r="AC3043" t="s">
        <v>35</v>
      </c>
    </row>
    <row r="3044" spans="1:29" x14ac:dyDescent="0.25">
      <c r="A3044" s="31" t="s">
        <v>420</v>
      </c>
      <c r="B3044" s="23" t="s">
        <v>421</v>
      </c>
      <c r="D3044">
        <v>1</v>
      </c>
      <c r="E3044" t="s">
        <v>38</v>
      </c>
      <c r="F3044">
        <v>4</v>
      </c>
      <c r="G3044">
        <v>2015</v>
      </c>
      <c r="H3044" t="s">
        <v>39</v>
      </c>
      <c r="J3044" s="2" t="s">
        <v>1471</v>
      </c>
      <c r="K3044" t="s">
        <v>32</v>
      </c>
      <c r="O3044">
        <v>0</v>
      </c>
      <c r="P3044">
        <v>0</v>
      </c>
      <c r="Q3044">
        <v>0</v>
      </c>
      <c r="R3044">
        <v>0</v>
      </c>
      <c r="W3044" t="s">
        <v>1108</v>
      </c>
      <c r="AA3044">
        <v>2007</v>
      </c>
      <c r="AB3044">
        <v>9999</v>
      </c>
      <c r="AC3044" t="s">
        <v>35</v>
      </c>
    </row>
    <row r="3045" spans="1:29" x14ac:dyDescent="0.25">
      <c r="A3045" s="31" t="s">
        <v>423</v>
      </c>
      <c r="B3045" s="23" t="s">
        <v>424</v>
      </c>
      <c r="D3045">
        <v>1</v>
      </c>
      <c r="E3045" t="s">
        <v>85</v>
      </c>
      <c r="F3045">
        <v>1</v>
      </c>
      <c r="G3045">
        <v>2015</v>
      </c>
      <c r="H3045" t="s">
        <v>303</v>
      </c>
      <c r="J3045" t="s">
        <v>121</v>
      </c>
      <c r="K3045" t="s">
        <v>53</v>
      </c>
      <c r="L3045" t="s">
        <v>425</v>
      </c>
      <c r="O3045">
        <v>0</v>
      </c>
      <c r="P3045">
        <v>0</v>
      </c>
      <c r="Q3045">
        <v>0</v>
      </c>
      <c r="R3045">
        <v>0</v>
      </c>
      <c r="W3045" t="s">
        <v>426</v>
      </c>
      <c r="AA3045">
        <v>2007</v>
      </c>
      <c r="AB3045">
        <v>9999</v>
      </c>
      <c r="AC3045" t="s">
        <v>35</v>
      </c>
    </row>
    <row r="3046" spans="1:29" x14ac:dyDescent="0.25">
      <c r="A3046" s="31" t="s">
        <v>427</v>
      </c>
      <c r="B3046" s="23" t="s">
        <v>1246</v>
      </c>
      <c r="D3046">
        <v>1</v>
      </c>
      <c r="E3046" t="s">
        <v>45</v>
      </c>
      <c r="F3046">
        <v>4</v>
      </c>
      <c r="G3046">
        <v>2015</v>
      </c>
      <c r="I3046" s="8">
        <v>1810.12</v>
      </c>
      <c r="J3046" t="s">
        <v>89</v>
      </c>
      <c r="K3046" t="s">
        <v>32</v>
      </c>
      <c r="O3046">
        <v>0</v>
      </c>
      <c r="P3046">
        <v>0</v>
      </c>
      <c r="Q3046">
        <v>0</v>
      </c>
      <c r="R3046">
        <v>0</v>
      </c>
      <c r="W3046" t="s">
        <v>1301</v>
      </c>
      <c r="AA3046">
        <v>2007</v>
      </c>
      <c r="AB3046">
        <v>9999</v>
      </c>
      <c r="AC3046" t="s">
        <v>35</v>
      </c>
    </row>
    <row r="3047" spans="1:29" x14ac:dyDescent="0.25">
      <c r="A3047" s="31" t="s">
        <v>430</v>
      </c>
      <c r="B3047" s="23" t="s">
        <v>431</v>
      </c>
      <c r="D3047">
        <v>1</v>
      </c>
      <c r="E3047" t="s">
        <v>103</v>
      </c>
      <c r="F3047">
        <v>9</v>
      </c>
      <c r="G3047">
        <v>2015</v>
      </c>
      <c r="I3047" s="8">
        <v>3381.68</v>
      </c>
      <c r="J3047" t="s">
        <v>104</v>
      </c>
      <c r="K3047" t="s">
        <v>53</v>
      </c>
      <c r="L3047" t="s">
        <v>105</v>
      </c>
      <c r="O3047">
        <v>0</v>
      </c>
      <c r="P3047">
        <v>1</v>
      </c>
      <c r="Q3047">
        <v>0</v>
      </c>
      <c r="R3047">
        <v>0</v>
      </c>
      <c r="W3047" t="s">
        <v>106</v>
      </c>
      <c r="AA3047">
        <v>2007</v>
      </c>
      <c r="AB3047">
        <v>9999</v>
      </c>
      <c r="AC3047" t="s">
        <v>35</v>
      </c>
    </row>
    <row r="3048" spans="1:29" x14ac:dyDescent="0.25">
      <c r="A3048" s="31" t="s">
        <v>1302</v>
      </c>
      <c r="B3048" s="23" t="s">
        <v>1303</v>
      </c>
      <c r="D3048">
        <v>1</v>
      </c>
      <c r="E3048" t="s">
        <v>103</v>
      </c>
      <c r="F3048">
        <v>9</v>
      </c>
      <c r="G3048">
        <v>2015</v>
      </c>
      <c r="I3048" s="8">
        <v>1690.56</v>
      </c>
      <c r="J3048" t="s">
        <v>104</v>
      </c>
      <c r="K3048" t="s">
        <v>53</v>
      </c>
      <c r="L3048" t="s">
        <v>105</v>
      </c>
      <c r="O3048">
        <v>0</v>
      </c>
      <c r="P3048">
        <v>1</v>
      </c>
      <c r="Q3048">
        <v>0</v>
      </c>
      <c r="R3048">
        <v>0</v>
      </c>
      <c r="W3048" t="s">
        <v>106</v>
      </c>
      <c r="AA3048">
        <v>2010</v>
      </c>
      <c r="AB3048">
        <v>9999</v>
      </c>
      <c r="AC3048" t="s">
        <v>1292</v>
      </c>
    </row>
    <row r="3049" spans="1:29" ht="30" x14ac:dyDescent="0.25">
      <c r="A3049" s="31" t="s">
        <v>432</v>
      </c>
      <c r="B3049" s="23" t="s">
        <v>433</v>
      </c>
      <c r="D3049">
        <v>1</v>
      </c>
      <c r="E3049" t="s">
        <v>80</v>
      </c>
      <c r="F3049">
        <v>8</v>
      </c>
      <c r="G3049">
        <v>2015</v>
      </c>
      <c r="I3049" s="8">
        <v>53.88</v>
      </c>
      <c r="J3049" t="s">
        <v>81</v>
      </c>
      <c r="K3049" t="s">
        <v>47</v>
      </c>
      <c r="O3049">
        <v>0</v>
      </c>
      <c r="P3049">
        <v>0</v>
      </c>
      <c r="Q3049">
        <v>0</v>
      </c>
      <c r="R3049">
        <v>0</v>
      </c>
      <c r="W3049" t="s">
        <v>1111</v>
      </c>
      <c r="AA3049">
        <v>2007</v>
      </c>
      <c r="AB3049">
        <v>2017</v>
      </c>
      <c r="AC3049" t="s">
        <v>435</v>
      </c>
    </row>
    <row r="3050" spans="1:29" x14ac:dyDescent="0.25">
      <c r="A3050" s="31" t="s">
        <v>439</v>
      </c>
      <c r="B3050" s="23" t="s">
        <v>440</v>
      </c>
      <c r="C3050" t="s">
        <v>441</v>
      </c>
      <c r="D3050">
        <v>1</v>
      </c>
      <c r="E3050" t="s">
        <v>442</v>
      </c>
      <c r="F3050">
        <v>4</v>
      </c>
      <c r="G3050">
        <v>2015</v>
      </c>
      <c r="I3050" s="8">
        <v>501.4</v>
      </c>
      <c r="J3050" t="s">
        <v>89</v>
      </c>
      <c r="K3050" t="s">
        <v>47</v>
      </c>
      <c r="O3050">
        <v>0</v>
      </c>
      <c r="P3050">
        <v>0</v>
      </c>
      <c r="Q3050">
        <v>0</v>
      </c>
      <c r="R3050">
        <v>0</v>
      </c>
      <c r="W3050" t="s">
        <v>1304</v>
      </c>
      <c r="AA3050">
        <v>2007</v>
      </c>
      <c r="AB3050">
        <v>9999</v>
      </c>
      <c r="AC3050" t="s">
        <v>35</v>
      </c>
    </row>
    <row r="3051" spans="1:29" ht="30" x14ac:dyDescent="0.25">
      <c r="B3051" s="23" t="s">
        <v>444</v>
      </c>
      <c r="C3051" t="s">
        <v>445</v>
      </c>
      <c r="D3051">
        <v>5</v>
      </c>
      <c r="E3051" t="s">
        <v>38</v>
      </c>
      <c r="F3051">
        <v>4</v>
      </c>
      <c r="G3051">
        <v>2015</v>
      </c>
      <c r="J3051" s="2" t="s">
        <v>31</v>
      </c>
      <c r="K3051" t="s">
        <v>41</v>
      </c>
      <c r="O3051">
        <v>0</v>
      </c>
      <c r="P3051">
        <v>0</v>
      </c>
      <c r="Q3051">
        <v>0</v>
      </c>
      <c r="R3051">
        <v>0</v>
      </c>
      <c r="W3051" t="s">
        <v>1114</v>
      </c>
      <c r="AA3051">
        <v>2007</v>
      </c>
      <c r="AB3051">
        <v>9999</v>
      </c>
      <c r="AC3051" t="s">
        <v>35</v>
      </c>
    </row>
    <row r="3052" spans="1:29" x14ac:dyDescent="0.25">
      <c r="A3052" s="31" t="s">
        <v>447</v>
      </c>
      <c r="B3052" s="23" t="s">
        <v>448</v>
      </c>
      <c r="D3052">
        <v>1</v>
      </c>
      <c r="E3052" t="s">
        <v>45</v>
      </c>
      <c r="F3052">
        <v>4</v>
      </c>
      <c r="G3052">
        <v>2015</v>
      </c>
      <c r="I3052" s="8">
        <v>37.68</v>
      </c>
      <c r="J3052" t="s">
        <v>52</v>
      </c>
      <c r="K3052" t="s">
        <v>32</v>
      </c>
      <c r="O3052">
        <v>0</v>
      </c>
      <c r="P3052">
        <v>0</v>
      </c>
      <c r="Q3052">
        <v>0</v>
      </c>
      <c r="R3052">
        <v>0</v>
      </c>
      <c r="S3052">
        <v>1</v>
      </c>
      <c r="T3052">
        <v>1</v>
      </c>
      <c r="U3052">
        <v>1</v>
      </c>
      <c r="W3052" t="s">
        <v>1115</v>
      </c>
      <c r="AA3052">
        <v>2007</v>
      </c>
      <c r="AB3052">
        <v>9999</v>
      </c>
      <c r="AC3052" t="s">
        <v>35</v>
      </c>
    </row>
    <row r="3053" spans="1:29" x14ac:dyDescent="0.25">
      <c r="A3053" s="31" t="s">
        <v>453</v>
      </c>
      <c r="B3053" s="23" t="s">
        <v>454</v>
      </c>
      <c r="C3053" t="s">
        <v>455</v>
      </c>
      <c r="D3053">
        <v>1</v>
      </c>
      <c r="E3053" t="s">
        <v>456</v>
      </c>
      <c r="F3053">
        <v>4</v>
      </c>
      <c r="G3053">
        <v>2015</v>
      </c>
      <c r="I3053" s="8">
        <v>1177.82</v>
      </c>
      <c r="J3053" t="s">
        <v>89</v>
      </c>
      <c r="K3053" t="s">
        <v>32</v>
      </c>
      <c r="L3053" t="s">
        <v>33</v>
      </c>
      <c r="O3053">
        <v>0</v>
      </c>
      <c r="P3053">
        <v>0</v>
      </c>
      <c r="Q3053">
        <v>0</v>
      </c>
      <c r="R3053">
        <v>1</v>
      </c>
      <c r="W3053" t="s">
        <v>1360</v>
      </c>
      <c r="AA3053">
        <v>2007</v>
      </c>
      <c r="AB3053">
        <v>9999</v>
      </c>
      <c r="AC3053" t="s">
        <v>35</v>
      </c>
    </row>
    <row r="3054" spans="1:29" x14ac:dyDescent="0.25">
      <c r="A3054" s="31" t="s">
        <v>458</v>
      </c>
      <c r="B3054" s="23" t="s">
        <v>459</v>
      </c>
      <c r="D3054">
        <v>1</v>
      </c>
      <c r="E3054" t="s">
        <v>103</v>
      </c>
      <c r="F3054">
        <v>9</v>
      </c>
      <c r="G3054">
        <v>2015</v>
      </c>
      <c r="I3054" s="8">
        <v>1483.83</v>
      </c>
      <c r="J3054" t="s">
        <v>104</v>
      </c>
      <c r="K3054" t="s">
        <v>53</v>
      </c>
      <c r="L3054" t="s">
        <v>105</v>
      </c>
      <c r="O3054">
        <v>0</v>
      </c>
      <c r="P3054">
        <v>1</v>
      </c>
      <c r="Q3054">
        <v>0</v>
      </c>
      <c r="R3054">
        <v>0</v>
      </c>
      <c r="W3054" t="s">
        <v>106</v>
      </c>
      <c r="AA3054">
        <v>2007</v>
      </c>
      <c r="AB3054">
        <v>9999</v>
      </c>
      <c r="AC3054" t="s">
        <v>35</v>
      </c>
    </row>
    <row r="3055" spans="1:29" x14ac:dyDescent="0.25">
      <c r="A3055" s="31" t="s">
        <v>460</v>
      </c>
      <c r="B3055" s="23" t="s">
        <v>461</v>
      </c>
      <c r="D3055">
        <v>1</v>
      </c>
      <c r="E3055" t="s">
        <v>103</v>
      </c>
      <c r="F3055">
        <v>9</v>
      </c>
      <c r="G3055">
        <v>2015</v>
      </c>
      <c r="I3055" s="8">
        <v>7011.38</v>
      </c>
      <c r="J3055" t="s">
        <v>104</v>
      </c>
      <c r="K3055" t="s">
        <v>53</v>
      </c>
      <c r="L3055" t="s">
        <v>105</v>
      </c>
      <c r="O3055">
        <v>0</v>
      </c>
      <c r="P3055">
        <v>1</v>
      </c>
      <c r="Q3055">
        <v>0</v>
      </c>
      <c r="R3055">
        <v>0</v>
      </c>
      <c r="W3055" t="s">
        <v>106</v>
      </c>
      <c r="AA3055">
        <v>2007</v>
      </c>
      <c r="AB3055">
        <v>9999</v>
      </c>
      <c r="AC3055" t="s">
        <v>35</v>
      </c>
    </row>
    <row r="3056" spans="1:29" x14ac:dyDescent="0.25">
      <c r="A3056" s="31" t="s">
        <v>465</v>
      </c>
      <c r="B3056" s="23" t="s">
        <v>466</v>
      </c>
      <c r="C3056" t="s">
        <v>467</v>
      </c>
      <c r="D3056">
        <v>1</v>
      </c>
      <c r="E3056" t="s">
        <v>468</v>
      </c>
      <c r="F3056">
        <v>7</v>
      </c>
      <c r="G3056">
        <v>2015</v>
      </c>
      <c r="I3056" s="8">
        <v>708.4</v>
      </c>
      <c r="J3056" t="s">
        <v>40</v>
      </c>
      <c r="K3056" t="s">
        <v>32</v>
      </c>
      <c r="O3056">
        <v>0</v>
      </c>
      <c r="P3056">
        <v>0</v>
      </c>
      <c r="Q3056">
        <v>0</v>
      </c>
      <c r="R3056">
        <v>0</v>
      </c>
      <c r="W3056" t="s">
        <v>1119</v>
      </c>
      <c r="AA3056">
        <v>2007</v>
      </c>
      <c r="AB3056">
        <v>9999</v>
      </c>
      <c r="AC3056" t="s">
        <v>35</v>
      </c>
    </row>
    <row r="3057" spans="1:29" x14ac:dyDescent="0.25">
      <c r="A3057" s="31" t="s">
        <v>478</v>
      </c>
      <c r="B3057" s="23" t="s">
        <v>479</v>
      </c>
      <c r="D3057">
        <v>1</v>
      </c>
      <c r="E3057" t="s">
        <v>348</v>
      </c>
      <c r="F3057">
        <v>1</v>
      </c>
      <c r="G3057">
        <v>2015</v>
      </c>
      <c r="I3057" s="8">
        <v>104.7</v>
      </c>
      <c r="J3057" t="s">
        <v>52</v>
      </c>
      <c r="K3057" t="s">
        <v>47</v>
      </c>
      <c r="O3057">
        <v>0</v>
      </c>
      <c r="P3057">
        <v>0</v>
      </c>
      <c r="Q3057">
        <v>0</v>
      </c>
      <c r="R3057">
        <v>0</v>
      </c>
      <c r="W3057" t="s">
        <v>1120</v>
      </c>
      <c r="AA3057">
        <v>2007</v>
      </c>
      <c r="AB3057">
        <v>9999</v>
      </c>
      <c r="AC3057" t="s">
        <v>35</v>
      </c>
    </row>
    <row r="3058" spans="1:29" x14ac:dyDescent="0.25">
      <c r="A3058" s="31" t="s">
        <v>481</v>
      </c>
      <c r="B3058" s="23" t="s">
        <v>482</v>
      </c>
      <c r="D3058">
        <v>1</v>
      </c>
      <c r="E3058" t="s">
        <v>348</v>
      </c>
      <c r="F3058">
        <v>1</v>
      </c>
      <c r="G3058">
        <v>2015</v>
      </c>
      <c r="I3058" s="8">
        <v>219.28</v>
      </c>
      <c r="J3058" t="s">
        <v>52</v>
      </c>
      <c r="K3058" t="s">
        <v>47</v>
      </c>
      <c r="O3058">
        <v>0</v>
      </c>
      <c r="P3058">
        <v>0</v>
      </c>
      <c r="Q3058">
        <v>0</v>
      </c>
      <c r="R3058">
        <v>0</v>
      </c>
      <c r="W3058" t="s">
        <v>1120</v>
      </c>
      <c r="AA3058">
        <v>2007</v>
      </c>
      <c r="AB3058">
        <v>9999</v>
      </c>
      <c r="AC3058" t="s">
        <v>35</v>
      </c>
    </row>
    <row r="3059" spans="1:29" x14ac:dyDescent="0.25">
      <c r="A3059" s="31" t="s">
        <v>483</v>
      </c>
      <c r="B3059" s="23" t="s">
        <v>484</v>
      </c>
      <c r="D3059">
        <v>1</v>
      </c>
      <c r="E3059" t="s">
        <v>348</v>
      </c>
      <c r="F3059">
        <v>1</v>
      </c>
      <c r="G3059">
        <v>2015</v>
      </c>
      <c r="I3059" s="8">
        <v>93.06</v>
      </c>
      <c r="J3059" t="s">
        <v>52</v>
      </c>
      <c r="K3059" t="s">
        <v>47</v>
      </c>
      <c r="O3059">
        <v>0</v>
      </c>
      <c r="P3059">
        <v>0</v>
      </c>
      <c r="Q3059">
        <v>0</v>
      </c>
      <c r="R3059">
        <v>0</v>
      </c>
      <c r="W3059" t="s">
        <v>1120</v>
      </c>
      <c r="AA3059">
        <v>2007</v>
      </c>
      <c r="AB3059">
        <v>9999</v>
      </c>
      <c r="AC3059" t="s">
        <v>35</v>
      </c>
    </row>
    <row r="3060" spans="1:29" x14ac:dyDescent="0.25">
      <c r="A3060" s="31" t="s">
        <v>485</v>
      </c>
      <c r="B3060" s="23" t="s">
        <v>486</v>
      </c>
      <c r="D3060">
        <v>1</v>
      </c>
      <c r="E3060" t="s">
        <v>348</v>
      </c>
      <c r="F3060">
        <v>1</v>
      </c>
      <c r="G3060">
        <v>2015</v>
      </c>
      <c r="I3060" s="8">
        <v>169.1</v>
      </c>
      <c r="J3060" t="s">
        <v>52</v>
      </c>
      <c r="K3060" t="s">
        <v>47</v>
      </c>
      <c r="O3060">
        <v>0</v>
      </c>
      <c r="P3060">
        <v>0</v>
      </c>
      <c r="Q3060">
        <v>0</v>
      </c>
      <c r="R3060">
        <v>0</v>
      </c>
      <c r="W3060" t="s">
        <v>1120</v>
      </c>
      <c r="AA3060">
        <v>2007</v>
      </c>
      <c r="AB3060">
        <v>9999</v>
      </c>
      <c r="AC3060" t="s">
        <v>35</v>
      </c>
    </row>
    <row r="3061" spans="1:29" x14ac:dyDescent="0.25">
      <c r="A3061" s="31" t="s">
        <v>487</v>
      </c>
      <c r="B3061" s="23" t="s">
        <v>488</v>
      </c>
      <c r="D3061">
        <v>1</v>
      </c>
      <c r="E3061" t="s">
        <v>348</v>
      </c>
      <c r="F3061">
        <v>1</v>
      </c>
      <c r="G3061">
        <v>2015</v>
      </c>
      <c r="I3061" s="8">
        <v>167.55</v>
      </c>
      <c r="J3061" t="s">
        <v>52</v>
      </c>
      <c r="K3061" t="s">
        <v>47</v>
      </c>
      <c r="O3061">
        <v>0</v>
      </c>
      <c r="P3061">
        <v>0</v>
      </c>
      <c r="Q3061">
        <v>0</v>
      </c>
      <c r="R3061">
        <v>0</v>
      </c>
      <c r="W3061" t="s">
        <v>1120</v>
      </c>
      <c r="AA3061">
        <v>2007</v>
      </c>
      <c r="AB3061">
        <v>9999</v>
      </c>
      <c r="AC3061" t="s">
        <v>35</v>
      </c>
    </row>
    <row r="3062" spans="1:29" x14ac:dyDescent="0.25">
      <c r="A3062" s="31" t="s">
        <v>489</v>
      </c>
      <c r="B3062" s="23" t="s">
        <v>490</v>
      </c>
      <c r="D3062">
        <v>1</v>
      </c>
      <c r="E3062" t="s">
        <v>348</v>
      </c>
      <c r="F3062">
        <v>1</v>
      </c>
      <c r="G3062">
        <v>2015</v>
      </c>
      <c r="I3062" s="8">
        <v>201.48</v>
      </c>
      <c r="J3062" t="s">
        <v>52</v>
      </c>
      <c r="K3062" t="s">
        <v>47</v>
      </c>
      <c r="O3062">
        <v>0</v>
      </c>
      <c r="P3062">
        <v>0</v>
      </c>
      <c r="Q3062">
        <v>0</v>
      </c>
      <c r="R3062">
        <v>0</v>
      </c>
      <c r="W3062" t="s">
        <v>1120</v>
      </c>
      <c r="AA3062">
        <v>2007</v>
      </c>
      <c r="AB3062">
        <v>9999</v>
      </c>
      <c r="AC3062" t="s">
        <v>35</v>
      </c>
    </row>
    <row r="3063" spans="1:29" x14ac:dyDescent="0.25">
      <c r="A3063" s="31" t="s">
        <v>491</v>
      </c>
      <c r="B3063" s="23" t="s">
        <v>492</v>
      </c>
      <c r="D3063">
        <v>1</v>
      </c>
      <c r="E3063" t="s">
        <v>348</v>
      </c>
      <c r="F3063">
        <v>1</v>
      </c>
      <c r="G3063">
        <v>2015</v>
      </c>
      <c r="I3063" s="8">
        <v>222.11</v>
      </c>
      <c r="J3063" t="s">
        <v>52</v>
      </c>
      <c r="K3063" t="s">
        <v>47</v>
      </c>
      <c r="O3063">
        <v>0</v>
      </c>
      <c r="P3063">
        <v>0</v>
      </c>
      <c r="Q3063">
        <v>0</v>
      </c>
      <c r="R3063">
        <v>0</v>
      </c>
      <c r="W3063" t="s">
        <v>1120</v>
      </c>
      <c r="AA3063">
        <v>2007</v>
      </c>
      <c r="AB3063">
        <v>9999</v>
      </c>
      <c r="AC3063" t="s">
        <v>35</v>
      </c>
    </row>
    <row r="3064" spans="1:29" x14ac:dyDescent="0.25">
      <c r="A3064" s="31" t="s">
        <v>493</v>
      </c>
      <c r="B3064" s="23" t="s">
        <v>494</v>
      </c>
      <c r="D3064">
        <v>1</v>
      </c>
      <c r="E3064" t="s">
        <v>348</v>
      </c>
      <c r="F3064">
        <v>1</v>
      </c>
      <c r="G3064">
        <v>2015</v>
      </c>
      <c r="I3064" s="8">
        <v>182.13</v>
      </c>
      <c r="J3064" t="s">
        <v>52</v>
      </c>
      <c r="K3064" t="s">
        <v>47</v>
      </c>
      <c r="O3064">
        <v>0</v>
      </c>
      <c r="P3064">
        <v>0</v>
      </c>
      <c r="Q3064">
        <v>0</v>
      </c>
      <c r="R3064">
        <v>0</v>
      </c>
      <c r="W3064" t="s">
        <v>1120</v>
      </c>
      <c r="AA3064">
        <v>2007</v>
      </c>
      <c r="AB3064">
        <v>9999</v>
      </c>
      <c r="AC3064" t="s">
        <v>35</v>
      </c>
    </row>
    <row r="3065" spans="1:29" x14ac:dyDescent="0.25">
      <c r="A3065" s="31" t="s">
        <v>495</v>
      </c>
      <c r="B3065" s="23" t="s">
        <v>496</v>
      </c>
      <c r="D3065">
        <v>1</v>
      </c>
      <c r="E3065" t="s">
        <v>348</v>
      </c>
      <c r="F3065">
        <v>1</v>
      </c>
      <c r="G3065">
        <v>2015</v>
      </c>
      <c r="I3065" s="8">
        <v>151.33000000000001</v>
      </c>
      <c r="J3065" t="s">
        <v>52</v>
      </c>
      <c r="K3065" t="s">
        <v>47</v>
      </c>
      <c r="O3065">
        <v>0</v>
      </c>
      <c r="P3065">
        <v>0</v>
      </c>
      <c r="Q3065">
        <v>0</v>
      </c>
      <c r="R3065">
        <v>0</v>
      </c>
      <c r="W3065" t="s">
        <v>1120</v>
      </c>
      <c r="AA3065">
        <v>2007</v>
      </c>
      <c r="AB3065">
        <v>9999</v>
      </c>
      <c r="AC3065" t="s">
        <v>35</v>
      </c>
    </row>
    <row r="3066" spans="1:29" x14ac:dyDescent="0.25">
      <c r="A3066" s="31" t="s">
        <v>497</v>
      </c>
      <c r="B3066" s="23" t="s">
        <v>498</v>
      </c>
      <c r="D3066">
        <v>1</v>
      </c>
      <c r="E3066" t="s">
        <v>348</v>
      </c>
      <c r="F3066">
        <v>1</v>
      </c>
      <c r="G3066">
        <v>2015</v>
      </c>
      <c r="I3066" s="8">
        <v>248.16</v>
      </c>
      <c r="J3066" t="s">
        <v>52</v>
      </c>
      <c r="K3066" t="s">
        <v>47</v>
      </c>
      <c r="O3066">
        <v>0</v>
      </c>
      <c r="P3066">
        <v>0</v>
      </c>
      <c r="Q3066">
        <v>0</v>
      </c>
      <c r="R3066">
        <v>0</v>
      </c>
      <c r="W3066" t="s">
        <v>1120</v>
      </c>
      <c r="AA3066">
        <v>2007</v>
      </c>
      <c r="AB3066">
        <v>9999</v>
      </c>
      <c r="AC3066" t="s">
        <v>35</v>
      </c>
    </row>
    <row r="3067" spans="1:29" x14ac:dyDescent="0.25">
      <c r="A3067" s="31" t="s">
        <v>499</v>
      </c>
      <c r="B3067" s="23" t="s">
        <v>500</v>
      </c>
      <c r="D3067">
        <v>1</v>
      </c>
      <c r="E3067" t="s">
        <v>348</v>
      </c>
      <c r="F3067">
        <v>1</v>
      </c>
      <c r="G3067">
        <v>2015</v>
      </c>
      <c r="I3067" s="8">
        <v>436.7</v>
      </c>
      <c r="J3067" t="s">
        <v>52</v>
      </c>
      <c r="K3067" t="s">
        <v>47</v>
      </c>
      <c r="O3067">
        <v>0</v>
      </c>
      <c r="P3067">
        <v>0</v>
      </c>
      <c r="Q3067">
        <v>0</v>
      </c>
      <c r="R3067">
        <v>0</v>
      </c>
      <c r="W3067" t="s">
        <v>1120</v>
      </c>
      <c r="AA3067">
        <v>2007</v>
      </c>
      <c r="AB3067">
        <v>9999</v>
      </c>
      <c r="AC3067" t="s">
        <v>35</v>
      </c>
    </row>
    <row r="3068" spans="1:29" x14ac:dyDescent="0.25">
      <c r="A3068" s="31" t="s">
        <v>501</v>
      </c>
      <c r="B3068" s="23" t="s">
        <v>502</v>
      </c>
      <c r="D3068">
        <v>1</v>
      </c>
      <c r="E3068" t="s">
        <v>348</v>
      </c>
      <c r="F3068">
        <v>1</v>
      </c>
      <c r="G3068">
        <v>2015</v>
      </c>
      <c r="I3068" s="8">
        <v>409.6</v>
      </c>
      <c r="J3068" t="s">
        <v>52</v>
      </c>
      <c r="K3068" t="s">
        <v>47</v>
      </c>
      <c r="O3068">
        <v>0</v>
      </c>
      <c r="P3068">
        <v>0</v>
      </c>
      <c r="Q3068">
        <v>0</v>
      </c>
      <c r="R3068">
        <v>0</v>
      </c>
      <c r="W3068" t="s">
        <v>1120</v>
      </c>
      <c r="AA3068">
        <v>2007</v>
      </c>
      <c r="AB3068">
        <v>9999</v>
      </c>
      <c r="AC3068" t="s">
        <v>35</v>
      </c>
    </row>
    <row r="3069" spans="1:29" x14ac:dyDescent="0.25">
      <c r="A3069" s="31" t="s">
        <v>503</v>
      </c>
      <c r="B3069" s="23" t="s">
        <v>504</v>
      </c>
      <c r="D3069">
        <v>1</v>
      </c>
      <c r="E3069" t="s">
        <v>348</v>
      </c>
      <c r="F3069">
        <v>1</v>
      </c>
      <c r="G3069">
        <v>2015</v>
      </c>
      <c r="I3069" s="8">
        <v>141.57</v>
      </c>
      <c r="J3069" t="s">
        <v>52</v>
      </c>
      <c r="K3069" t="s">
        <v>47</v>
      </c>
      <c r="O3069">
        <v>0</v>
      </c>
      <c r="P3069">
        <v>0</v>
      </c>
      <c r="Q3069">
        <v>0</v>
      </c>
      <c r="R3069">
        <v>0</v>
      </c>
      <c r="W3069" t="s">
        <v>1120</v>
      </c>
      <c r="AA3069">
        <v>2007</v>
      </c>
      <c r="AB3069">
        <v>9999</v>
      </c>
      <c r="AC3069" t="s">
        <v>35</v>
      </c>
    </row>
    <row r="3070" spans="1:29" x14ac:dyDescent="0.25">
      <c r="A3070" s="31" t="s">
        <v>505</v>
      </c>
      <c r="B3070" s="23" t="s">
        <v>506</v>
      </c>
      <c r="D3070">
        <v>1</v>
      </c>
      <c r="E3070" t="s">
        <v>348</v>
      </c>
      <c r="F3070">
        <v>1</v>
      </c>
      <c r="G3070">
        <v>2015</v>
      </c>
      <c r="I3070" s="8">
        <v>164.5</v>
      </c>
      <c r="J3070" t="s">
        <v>52</v>
      </c>
      <c r="K3070" t="s">
        <v>47</v>
      </c>
      <c r="O3070">
        <v>0</v>
      </c>
      <c r="P3070">
        <v>0</v>
      </c>
      <c r="Q3070">
        <v>0</v>
      </c>
      <c r="R3070">
        <v>0</v>
      </c>
      <c r="W3070" t="s">
        <v>1120</v>
      </c>
      <c r="AA3070">
        <v>2007</v>
      </c>
      <c r="AB3070">
        <v>9999</v>
      </c>
      <c r="AC3070" t="s">
        <v>35</v>
      </c>
    </row>
    <row r="3071" spans="1:29" x14ac:dyDescent="0.25">
      <c r="A3071" s="31" t="s">
        <v>507</v>
      </c>
      <c r="B3071" s="23" t="s">
        <v>508</v>
      </c>
      <c r="D3071">
        <v>1</v>
      </c>
      <c r="E3071" t="s">
        <v>348</v>
      </c>
      <c r="F3071">
        <v>1</v>
      </c>
      <c r="G3071">
        <v>2015</v>
      </c>
      <c r="I3071" s="8">
        <v>171.78</v>
      </c>
      <c r="J3071" t="s">
        <v>52</v>
      </c>
      <c r="K3071" t="s">
        <v>47</v>
      </c>
      <c r="O3071">
        <v>0</v>
      </c>
      <c r="P3071">
        <v>0</v>
      </c>
      <c r="Q3071">
        <v>0</v>
      </c>
      <c r="R3071">
        <v>0</v>
      </c>
      <c r="W3071" t="s">
        <v>1120</v>
      </c>
      <c r="AA3071">
        <v>2007</v>
      </c>
      <c r="AB3071">
        <v>9999</v>
      </c>
      <c r="AC3071" t="s">
        <v>35</v>
      </c>
    </row>
    <row r="3072" spans="1:29" x14ac:dyDescent="0.25">
      <c r="A3072" s="31" t="s">
        <v>509</v>
      </c>
      <c r="B3072" s="23" t="s">
        <v>510</v>
      </c>
      <c r="D3072">
        <v>1</v>
      </c>
      <c r="E3072" t="s">
        <v>348</v>
      </c>
      <c r="F3072">
        <v>1</v>
      </c>
      <c r="G3072">
        <v>2015</v>
      </c>
      <c r="I3072" s="8">
        <v>226.99</v>
      </c>
      <c r="J3072" t="s">
        <v>52</v>
      </c>
      <c r="K3072" t="s">
        <v>47</v>
      </c>
      <c r="O3072">
        <v>0</v>
      </c>
      <c r="P3072">
        <v>0</v>
      </c>
      <c r="Q3072">
        <v>0</v>
      </c>
      <c r="R3072">
        <v>0</v>
      </c>
      <c r="W3072" t="s">
        <v>1120</v>
      </c>
      <c r="AA3072">
        <v>2007</v>
      </c>
      <c r="AB3072">
        <v>9999</v>
      </c>
      <c r="AC3072" t="s">
        <v>35</v>
      </c>
    </row>
    <row r="3073" spans="1:29" x14ac:dyDescent="0.25">
      <c r="A3073" s="31" t="s">
        <v>511</v>
      </c>
      <c r="B3073" s="23" t="s">
        <v>512</v>
      </c>
      <c r="D3073">
        <v>1</v>
      </c>
      <c r="E3073" t="s">
        <v>348</v>
      </c>
      <c r="F3073">
        <v>1</v>
      </c>
      <c r="G3073">
        <v>2015</v>
      </c>
      <c r="I3073" s="8">
        <v>203.45</v>
      </c>
      <c r="J3073" t="s">
        <v>52</v>
      </c>
      <c r="K3073" t="s">
        <v>47</v>
      </c>
      <c r="O3073">
        <v>0</v>
      </c>
      <c r="P3073">
        <v>0</v>
      </c>
      <c r="Q3073">
        <v>0</v>
      </c>
      <c r="R3073">
        <v>0</v>
      </c>
      <c r="W3073" t="s">
        <v>1120</v>
      </c>
      <c r="AA3073">
        <v>2007</v>
      </c>
      <c r="AB3073">
        <v>9999</v>
      </c>
      <c r="AC3073" t="s">
        <v>35</v>
      </c>
    </row>
    <row r="3074" spans="1:29" x14ac:dyDescent="0.25">
      <c r="A3074" s="31" t="s">
        <v>513</v>
      </c>
      <c r="B3074" s="23" t="s">
        <v>514</v>
      </c>
      <c r="D3074">
        <v>1</v>
      </c>
      <c r="E3074" t="s">
        <v>348</v>
      </c>
      <c r="F3074">
        <v>1</v>
      </c>
      <c r="G3074">
        <v>2015</v>
      </c>
      <c r="I3074" s="8">
        <v>152.21</v>
      </c>
      <c r="J3074" t="s">
        <v>52</v>
      </c>
      <c r="K3074" t="s">
        <v>47</v>
      </c>
      <c r="O3074">
        <v>0</v>
      </c>
      <c r="P3074">
        <v>0</v>
      </c>
      <c r="Q3074">
        <v>0</v>
      </c>
      <c r="R3074">
        <v>0</v>
      </c>
      <c r="W3074" t="s">
        <v>1120</v>
      </c>
      <c r="AA3074">
        <v>2007</v>
      </c>
      <c r="AB3074">
        <v>9999</v>
      </c>
      <c r="AC3074" t="s">
        <v>35</v>
      </c>
    </row>
    <row r="3075" spans="1:29" x14ac:dyDescent="0.25">
      <c r="A3075" s="31" t="s">
        <v>515</v>
      </c>
      <c r="B3075" s="23" t="s">
        <v>516</v>
      </c>
      <c r="D3075">
        <v>1</v>
      </c>
      <c r="E3075" t="s">
        <v>348</v>
      </c>
      <c r="F3075">
        <v>1</v>
      </c>
      <c r="G3075">
        <v>2015</v>
      </c>
      <c r="I3075" s="8">
        <v>741.45</v>
      </c>
      <c r="J3075" t="s">
        <v>52</v>
      </c>
      <c r="K3075" t="s">
        <v>47</v>
      </c>
      <c r="O3075">
        <v>0</v>
      </c>
      <c r="P3075">
        <v>0</v>
      </c>
      <c r="Q3075">
        <v>0</v>
      </c>
      <c r="R3075">
        <v>0</v>
      </c>
      <c r="W3075" t="s">
        <v>1120</v>
      </c>
      <c r="AA3075">
        <v>2007</v>
      </c>
      <c r="AB3075">
        <v>9999</v>
      </c>
      <c r="AC3075" t="s">
        <v>35</v>
      </c>
    </row>
    <row r="3076" spans="1:29" x14ac:dyDescent="0.25">
      <c r="A3076" s="31" t="s">
        <v>517</v>
      </c>
      <c r="B3076" s="23" t="s">
        <v>518</v>
      </c>
      <c r="D3076">
        <v>1</v>
      </c>
      <c r="E3076" t="s">
        <v>348</v>
      </c>
      <c r="F3076">
        <v>1</v>
      </c>
      <c r="G3076">
        <v>2015</v>
      </c>
      <c r="I3076" s="8">
        <v>161.09</v>
      </c>
      <c r="J3076" t="s">
        <v>52</v>
      </c>
      <c r="K3076" t="s">
        <v>47</v>
      </c>
      <c r="O3076">
        <v>0</v>
      </c>
      <c r="P3076">
        <v>0</v>
      </c>
      <c r="Q3076">
        <v>0</v>
      </c>
      <c r="R3076">
        <v>0</v>
      </c>
      <c r="W3076" t="s">
        <v>1120</v>
      </c>
      <c r="AA3076">
        <v>2007</v>
      </c>
      <c r="AB3076">
        <v>9999</v>
      </c>
      <c r="AC3076" t="s">
        <v>35</v>
      </c>
    </row>
    <row r="3077" spans="1:29" x14ac:dyDescent="0.25">
      <c r="A3077" s="31" t="s">
        <v>519</v>
      </c>
      <c r="B3077" s="23" t="s">
        <v>520</v>
      </c>
      <c r="D3077">
        <v>1</v>
      </c>
      <c r="E3077" t="s">
        <v>348</v>
      </c>
      <c r="F3077">
        <v>1</v>
      </c>
      <c r="G3077">
        <v>2015</v>
      </c>
      <c r="I3077" s="8">
        <v>208.65</v>
      </c>
      <c r="J3077" t="s">
        <v>52</v>
      </c>
      <c r="K3077" t="s">
        <v>47</v>
      </c>
      <c r="O3077">
        <v>0</v>
      </c>
      <c r="P3077">
        <v>0</v>
      </c>
      <c r="Q3077">
        <v>0</v>
      </c>
      <c r="R3077">
        <v>0</v>
      </c>
      <c r="W3077" t="s">
        <v>1120</v>
      </c>
      <c r="AA3077">
        <v>2007</v>
      </c>
      <c r="AB3077">
        <v>9999</v>
      </c>
      <c r="AC3077" t="s">
        <v>35</v>
      </c>
    </row>
    <row r="3078" spans="1:29" x14ac:dyDescent="0.25">
      <c r="A3078" s="31" t="s">
        <v>523</v>
      </c>
      <c r="B3078" s="23" t="s">
        <v>524</v>
      </c>
      <c r="D3078">
        <v>1</v>
      </c>
      <c r="E3078" t="s">
        <v>103</v>
      </c>
      <c r="F3078">
        <v>9</v>
      </c>
      <c r="G3078">
        <v>2015</v>
      </c>
      <c r="I3078" s="8">
        <v>1322.74</v>
      </c>
      <c r="J3078" t="s">
        <v>104</v>
      </c>
      <c r="K3078" t="s">
        <v>53</v>
      </c>
      <c r="L3078" t="s">
        <v>105</v>
      </c>
      <c r="O3078">
        <v>0</v>
      </c>
      <c r="P3078">
        <v>1</v>
      </c>
      <c r="Q3078">
        <v>0</v>
      </c>
      <c r="R3078">
        <v>0</v>
      </c>
      <c r="W3078" t="s">
        <v>106</v>
      </c>
      <c r="AA3078">
        <v>2007</v>
      </c>
      <c r="AB3078">
        <v>9999</v>
      </c>
      <c r="AC3078" t="s">
        <v>35</v>
      </c>
    </row>
    <row r="3079" spans="1:29" x14ac:dyDescent="0.25">
      <c r="A3079" s="31" t="s">
        <v>525</v>
      </c>
      <c r="B3079" s="23" t="s">
        <v>526</v>
      </c>
      <c r="D3079">
        <v>1</v>
      </c>
      <c r="E3079" t="s">
        <v>45</v>
      </c>
      <c r="F3079">
        <v>4</v>
      </c>
      <c r="G3079">
        <v>2015</v>
      </c>
      <c r="I3079" s="8">
        <v>6</v>
      </c>
      <c r="J3079" t="s">
        <v>121</v>
      </c>
      <c r="K3079" t="s">
        <v>53</v>
      </c>
      <c r="L3079" t="s">
        <v>60</v>
      </c>
      <c r="O3079">
        <v>1</v>
      </c>
      <c r="P3079">
        <v>0</v>
      </c>
      <c r="Q3079">
        <v>0</v>
      </c>
      <c r="R3079">
        <v>0</v>
      </c>
      <c r="T3079">
        <v>1</v>
      </c>
      <c r="U3079">
        <v>1</v>
      </c>
      <c r="W3079" t="s">
        <v>527</v>
      </c>
      <c r="AA3079">
        <v>2007</v>
      </c>
      <c r="AB3079">
        <v>2016</v>
      </c>
      <c r="AC3079" t="s">
        <v>528</v>
      </c>
    </row>
    <row r="3080" spans="1:29" x14ac:dyDescent="0.25">
      <c r="A3080" s="31" t="s">
        <v>529</v>
      </c>
      <c r="B3080" s="23" t="s">
        <v>530</v>
      </c>
      <c r="D3080">
        <v>1</v>
      </c>
      <c r="E3080" t="s">
        <v>58</v>
      </c>
      <c r="F3080">
        <v>4</v>
      </c>
      <c r="G3080">
        <v>2015</v>
      </c>
      <c r="I3080" s="8">
        <v>11.97</v>
      </c>
      <c r="J3080" t="s">
        <v>59</v>
      </c>
      <c r="K3080" t="s">
        <v>47</v>
      </c>
      <c r="O3080">
        <v>0</v>
      </c>
      <c r="P3080">
        <v>0</v>
      </c>
      <c r="Q3080">
        <v>0</v>
      </c>
      <c r="R3080">
        <v>0</v>
      </c>
      <c r="W3080" t="s">
        <v>1121</v>
      </c>
      <c r="AA3080">
        <v>2007</v>
      </c>
      <c r="AB3080">
        <v>9999</v>
      </c>
      <c r="AC3080" t="s">
        <v>35</v>
      </c>
    </row>
    <row r="3081" spans="1:29" x14ac:dyDescent="0.25">
      <c r="A3081" s="31" t="s">
        <v>532</v>
      </c>
      <c r="B3081" s="23" t="s">
        <v>533</v>
      </c>
      <c r="D3081">
        <v>1</v>
      </c>
      <c r="E3081" t="s">
        <v>534</v>
      </c>
      <c r="F3081">
        <v>10</v>
      </c>
      <c r="G3081">
        <v>2015</v>
      </c>
      <c r="I3081" s="8">
        <v>4779.6000000000004</v>
      </c>
      <c r="J3081" t="s">
        <v>121</v>
      </c>
      <c r="K3081" t="s">
        <v>47</v>
      </c>
      <c r="O3081">
        <v>0</v>
      </c>
      <c r="P3081">
        <v>0</v>
      </c>
      <c r="Q3081">
        <v>0</v>
      </c>
      <c r="R3081">
        <v>0</v>
      </c>
      <c r="W3081" t="s">
        <v>1122</v>
      </c>
      <c r="AA3081">
        <v>2007</v>
      </c>
      <c r="AB3081">
        <v>9999</v>
      </c>
      <c r="AC3081" t="s">
        <v>35</v>
      </c>
    </row>
    <row r="3082" spans="1:29" x14ac:dyDescent="0.25">
      <c r="A3082" s="31" t="s">
        <v>536</v>
      </c>
      <c r="B3082" s="23" t="s">
        <v>537</v>
      </c>
      <c r="D3082">
        <v>1</v>
      </c>
      <c r="E3082" t="s">
        <v>103</v>
      </c>
      <c r="F3082">
        <v>9</v>
      </c>
      <c r="G3082">
        <v>2015</v>
      </c>
      <c r="I3082" s="8">
        <v>843.33</v>
      </c>
      <c r="J3082" t="s">
        <v>104</v>
      </c>
      <c r="K3082" t="s">
        <v>53</v>
      </c>
      <c r="L3082" t="s">
        <v>105</v>
      </c>
      <c r="O3082">
        <v>0</v>
      </c>
      <c r="P3082">
        <v>1</v>
      </c>
      <c r="Q3082">
        <v>0</v>
      </c>
      <c r="R3082">
        <v>0</v>
      </c>
      <c r="W3082" t="s">
        <v>106</v>
      </c>
      <c r="AA3082">
        <v>2007</v>
      </c>
      <c r="AB3082">
        <v>9999</v>
      </c>
      <c r="AC3082" t="s">
        <v>35</v>
      </c>
    </row>
    <row r="3083" spans="1:29" x14ac:dyDescent="0.25">
      <c r="A3083" s="31" t="s">
        <v>538</v>
      </c>
      <c r="B3083" s="23" t="s">
        <v>539</v>
      </c>
      <c r="D3083">
        <v>1</v>
      </c>
      <c r="E3083" t="s">
        <v>80</v>
      </c>
      <c r="F3083">
        <v>8</v>
      </c>
      <c r="G3083">
        <v>2015</v>
      </c>
      <c r="I3083" s="8">
        <v>125.71</v>
      </c>
      <c r="J3083" t="s">
        <v>81</v>
      </c>
      <c r="K3083" t="s">
        <v>47</v>
      </c>
      <c r="O3083">
        <v>0</v>
      </c>
      <c r="P3083">
        <v>0</v>
      </c>
      <c r="Q3083">
        <v>0</v>
      </c>
      <c r="R3083">
        <v>0</v>
      </c>
      <c r="W3083" t="s">
        <v>1123</v>
      </c>
      <c r="AA3083">
        <v>2007</v>
      </c>
      <c r="AB3083">
        <v>9999</v>
      </c>
      <c r="AC3083" t="s">
        <v>35</v>
      </c>
    </row>
    <row r="3084" spans="1:29" x14ac:dyDescent="0.25">
      <c r="A3084" s="31" t="s">
        <v>541</v>
      </c>
      <c r="B3084" s="23" t="s">
        <v>1479</v>
      </c>
      <c r="D3084">
        <v>1</v>
      </c>
      <c r="E3084" t="s">
        <v>543</v>
      </c>
      <c r="F3084">
        <v>10</v>
      </c>
      <c r="G3084">
        <v>2015</v>
      </c>
      <c r="I3084" s="8">
        <v>42.31</v>
      </c>
      <c r="J3084" t="s">
        <v>40</v>
      </c>
      <c r="K3084" t="s">
        <v>47</v>
      </c>
      <c r="O3084">
        <v>0</v>
      </c>
      <c r="P3084">
        <v>0</v>
      </c>
      <c r="Q3084">
        <v>0</v>
      </c>
      <c r="R3084">
        <v>0</v>
      </c>
      <c r="W3084" t="s">
        <v>1480</v>
      </c>
      <c r="AA3084">
        <v>2007</v>
      </c>
      <c r="AB3084">
        <v>9999</v>
      </c>
      <c r="AC3084" t="s">
        <v>35</v>
      </c>
    </row>
    <row r="3085" spans="1:29" x14ac:dyDescent="0.25">
      <c r="A3085" s="31" t="s">
        <v>545</v>
      </c>
      <c r="B3085" s="23" t="s">
        <v>1481</v>
      </c>
      <c r="C3085" t="s">
        <v>1482</v>
      </c>
      <c r="D3085">
        <v>1</v>
      </c>
      <c r="E3085" t="s">
        <v>1361</v>
      </c>
      <c r="F3085">
        <v>10</v>
      </c>
      <c r="G3085">
        <v>2015</v>
      </c>
      <c r="I3085" s="8">
        <v>11.9</v>
      </c>
      <c r="J3085" t="s">
        <v>40</v>
      </c>
      <c r="K3085" t="s">
        <v>47</v>
      </c>
      <c r="O3085">
        <v>0</v>
      </c>
      <c r="P3085">
        <v>0</v>
      </c>
      <c r="Q3085">
        <v>0</v>
      </c>
      <c r="R3085">
        <v>0</v>
      </c>
      <c r="W3085" t="s">
        <v>1125</v>
      </c>
      <c r="AA3085">
        <v>2007</v>
      </c>
      <c r="AB3085">
        <v>9999</v>
      </c>
      <c r="AC3085" t="s">
        <v>35</v>
      </c>
    </row>
    <row r="3086" spans="1:29" x14ac:dyDescent="0.25">
      <c r="A3086" s="31" t="s">
        <v>1400</v>
      </c>
      <c r="B3086" s="25" t="s">
        <v>1401</v>
      </c>
      <c r="D3086">
        <v>1</v>
      </c>
      <c r="E3086" t="s">
        <v>80</v>
      </c>
      <c r="F3086">
        <v>8</v>
      </c>
      <c r="G3086">
        <v>2015</v>
      </c>
      <c r="I3086" s="8">
        <v>9.1999999999999993</v>
      </c>
      <c r="J3086" t="s">
        <v>81</v>
      </c>
      <c r="K3086" t="s">
        <v>47</v>
      </c>
      <c r="O3086">
        <v>0</v>
      </c>
      <c r="P3086">
        <v>0</v>
      </c>
      <c r="Q3086">
        <v>0</v>
      </c>
      <c r="R3086">
        <v>0</v>
      </c>
      <c r="W3086" t="s">
        <v>1402</v>
      </c>
      <c r="AA3086">
        <v>2012</v>
      </c>
      <c r="AB3086">
        <v>9999</v>
      </c>
      <c r="AC3086" t="s">
        <v>1398</v>
      </c>
    </row>
    <row r="3087" spans="1:29" x14ac:dyDescent="0.25">
      <c r="A3087" s="31" t="s">
        <v>1362</v>
      </c>
      <c r="B3087" s="23" t="s">
        <v>1483</v>
      </c>
      <c r="D3087">
        <v>1</v>
      </c>
      <c r="E3087" t="s">
        <v>631</v>
      </c>
      <c r="F3087">
        <v>8</v>
      </c>
      <c r="G3087">
        <v>2015</v>
      </c>
      <c r="I3087" s="8">
        <v>24.15</v>
      </c>
      <c r="J3087" t="s">
        <v>81</v>
      </c>
      <c r="K3087" t="s">
        <v>47</v>
      </c>
      <c r="O3087">
        <v>0</v>
      </c>
      <c r="P3087">
        <v>0</v>
      </c>
      <c r="Q3087">
        <v>0</v>
      </c>
      <c r="R3087">
        <v>0</v>
      </c>
      <c r="W3087" t="s">
        <v>1364</v>
      </c>
      <c r="AA3087">
        <v>2011</v>
      </c>
      <c r="AB3087">
        <v>9999</v>
      </c>
      <c r="AC3087" t="s">
        <v>1365</v>
      </c>
    </row>
    <row r="3088" spans="1:29" x14ac:dyDescent="0.25">
      <c r="A3088" s="31" t="s">
        <v>1248</v>
      </c>
      <c r="B3088" s="23" t="s">
        <v>1249</v>
      </c>
      <c r="C3088" t="s">
        <v>1250</v>
      </c>
      <c r="D3088">
        <v>1</v>
      </c>
      <c r="E3088" t="s">
        <v>1251</v>
      </c>
      <c r="F3088">
        <v>2</v>
      </c>
      <c r="G3088">
        <v>2015</v>
      </c>
      <c r="I3088" s="8">
        <v>979.3</v>
      </c>
      <c r="J3088" t="s">
        <v>121</v>
      </c>
      <c r="K3088" t="s">
        <v>47</v>
      </c>
      <c r="O3088">
        <v>0</v>
      </c>
      <c r="P3088">
        <v>0</v>
      </c>
      <c r="Q3088">
        <v>0</v>
      </c>
      <c r="R3088">
        <v>0</v>
      </c>
      <c r="W3088" t="s">
        <v>1252</v>
      </c>
      <c r="AA3088">
        <v>2009</v>
      </c>
      <c r="AB3088">
        <v>9999</v>
      </c>
      <c r="AC3088" t="s">
        <v>1239</v>
      </c>
    </row>
    <row r="3089" spans="1:29" x14ac:dyDescent="0.25">
      <c r="A3089" s="31" t="s">
        <v>939</v>
      </c>
      <c r="B3089" s="23" t="s">
        <v>1463</v>
      </c>
      <c r="D3089">
        <v>1</v>
      </c>
      <c r="E3089" t="s">
        <v>80</v>
      </c>
      <c r="F3089">
        <v>8</v>
      </c>
      <c r="G3089">
        <v>2015</v>
      </c>
      <c r="I3089" s="8">
        <v>95.95</v>
      </c>
      <c r="J3089" t="s">
        <v>81</v>
      </c>
      <c r="K3089" t="s">
        <v>47</v>
      </c>
      <c r="O3089">
        <v>0</v>
      </c>
      <c r="P3089">
        <v>0</v>
      </c>
      <c r="Q3089">
        <v>0</v>
      </c>
      <c r="R3089">
        <v>0</v>
      </c>
      <c r="W3089" t="s">
        <v>1464</v>
      </c>
      <c r="AA3089">
        <v>2007</v>
      </c>
      <c r="AB3089">
        <v>9999</v>
      </c>
      <c r="AC3089" t="s">
        <v>35</v>
      </c>
    </row>
    <row r="3090" spans="1:29" ht="30" x14ac:dyDescent="0.25">
      <c r="A3090" s="31" t="s">
        <v>1305</v>
      </c>
      <c r="B3090" s="23" t="s">
        <v>1306</v>
      </c>
      <c r="C3090" t="s">
        <v>1307</v>
      </c>
      <c r="D3090">
        <v>1</v>
      </c>
      <c r="E3090" t="s">
        <v>45</v>
      </c>
      <c r="F3090">
        <v>4</v>
      </c>
      <c r="G3090">
        <v>2015</v>
      </c>
      <c r="I3090" s="8">
        <v>52.4</v>
      </c>
      <c r="J3090" t="s">
        <v>89</v>
      </c>
      <c r="K3090" t="s">
        <v>47</v>
      </c>
      <c r="O3090">
        <v>0</v>
      </c>
      <c r="P3090">
        <v>0</v>
      </c>
      <c r="Q3090">
        <v>0</v>
      </c>
      <c r="R3090">
        <v>0</v>
      </c>
      <c r="W3090" t="s">
        <v>1308</v>
      </c>
      <c r="AA3090">
        <v>2010</v>
      </c>
      <c r="AB3090">
        <v>9999</v>
      </c>
      <c r="AC3090" t="s">
        <v>1292</v>
      </c>
    </row>
    <row r="3091" spans="1:29" x14ac:dyDescent="0.25">
      <c r="A3091" s="31" t="s">
        <v>964</v>
      </c>
      <c r="B3091" s="23" t="s">
        <v>1484</v>
      </c>
      <c r="C3091" t="s">
        <v>1485</v>
      </c>
      <c r="D3091">
        <v>1</v>
      </c>
      <c r="E3091" t="s">
        <v>80</v>
      </c>
      <c r="F3091">
        <v>8</v>
      </c>
      <c r="G3091">
        <v>2015</v>
      </c>
      <c r="I3091" s="8">
        <v>61.45</v>
      </c>
      <c r="J3091" t="s">
        <v>104</v>
      </c>
      <c r="K3091" t="s">
        <v>47</v>
      </c>
      <c r="O3091">
        <v>0</v>
      </c>
      <c r="P3091">
        <v>0</v>
      </c>
      <c r="Q3091">
        <v>0</v>
      </c>
      <c r="R3091">
        <v>0</v>
      </c>
      <c r="S3091">
        <v>1</v>
      </c>
      <c r="T3091">
        <v>1</v>
      </c>
      <c r="U3091">
        <v>1</v>
      </c>
      <c r="W3091" s="5" t="s">
        <v>1486</v>
      </c>
      <c r="AA3091">
        <v>2007</v>
      </c>
      <c r="AB3091">
        <v>9999</v>
      </c>
      <c r="AC3091" t="s">
        <v>35</v>
      </c>
    </row>
    <row r="3092" spans="1:29" x14ac:dyDescent="0.25">
      <c r="A3092" s="31" t="s">
        <v>1366</v>
      </c>
      <c r="B3092" s="23" t="s">
        <v>1487</v>
      </c>
      <c r="C3092" t="s">
        <v>1368</v>
      </c>
      <c r="D3092">
        <v>1</v>
      </c>
      <c r="E3092" t="s">
        <v>468</v>
      </c>
      <c r="F3092">
        <v>7</v>
      </c>
      <c r="G3092">
        <v>2015</v>
      </c>
      <c r="I3092" s="8">
        <v>29.1</v>
      </c>
      <c r="J3092" t="s">
        <v>40</v>
      </c>
      <c r="K3092" t="s">
        <v>32</v>
      </c>
      <c r="O3092">
        <v>0</v>
      </c>
      <c r="P3092">
        <v>0</v>
      </c>
      <c r="Q3092">
        <v>0</v>
      </c>
      <c r="R3092">
        <v>0</v>
      </c>
      <c r="W3092" t="s">
        <v>1369</v>
      </c>
      <c r="AA3092">
        <v>2011</v>
      </c>
      <c r="AB3092">
        <v>9999</v>
      </c>
      <c r="AC3092" t="s">
        <v>1365</v>
      </c>
    </row>
    <row r="3093" spans="1:29" x14ac:dyDescent="0.25">
      <c r="A3093" s="31" t="s">
        <v>1309</v>
      </c>
      <c r="B3093" s="23" t="s">
        <v>1310</v>
      </c>
      <c r="C3093" t="s">
        <v>1311</v>
      </c>
      <c r="D3093">
        <v>1</v>
      </c>
      <c r="E3093" t="s">
        <v>1312</v>
      </c>
      <c r="F3093">
        <v>9</v>
      </c>
      <c r="G3093">
        <v>2015</v>
      </c>
      <c r="I3093" s="8">
        <v>94.51</v>
      </c>
      <c r="J3093" t="s">
        <v>104</v>
      </c>
      <c r="K3093" t="s">
        <v>47</v>
      </c>
      <c r="O3093">
        <v>0</v>
      </c>
      <c r="P3093">
        <v>0</v>
      </c>
      <c r="Q3093">
        <v>0</v>
      </c>
      <c r="R3093">
        <v>0</v>
      </c>
      <c r="W3093" t="s">
        <v>1404</v>
      </c>
      <c r="AA3093">
        <v>2010</v>
      </c>
      <c r="AB3093">
        <v>9999</v>
      </c>
      <c r="AC3093" t="s">
        <v>1292</v>
      </c>
    </row>
    <row r="3094" spans="1:29" x14ac:dyDescent="0.25">
      <c r="A3094" s="31" t="s">
        <v>559</v>
      </c>
      <c r="B3094" s="23" t="s">
        <v>560</v>
      </c>
      <c r="C3094" t="s">
        <v>561</v>
      </c>
      <c r="D3094">
        <v>1</v>
      </c>
      <c r="E3094" t="s">
        <v>103</v>
      </c>
      <c r="F3094">
        <v>9</v>
      </c>
      <c r="G3094">
        <v>2015</v>
      </c>
      <c r="I3094" s="8">
        <v>798.96</v>
      </c>
      <c r="J3094" t="s">
        <v>104</v>
      </c>
      <c r="K3094" t="s">
        <v>53</v>
      </c>
      <c r="L3094" t="s">
        <v>105</v>
      </c>
      <c r="O3094">
        <v>0</v>
      </c>
      <c r="P3094">
        <v>1</v>
      </c>
      <c r="Q3094">
        <v>0</v>
      </c>
      <c r="R3094">
        <v>0</v>
      </c>
      <c r="W3094" t="s">
        <v>106</v>
      </c>
      <c r="AA3094">
        <v>2007</v>
      </c>
      <c r="AB3094">
        <v>9999</v>
      </c>
      <c r="AC3094" t="s">
        <v>35</v>
      </c>
    </row>
    <row r="3095" spans="1:29" ht="30" x14ac:dyDescent="0.25">
      <c r="A3095" s="31" t="s">
        <v>562</v>
      </c>
      <c r="B3095" s="23" t="s">
        <v>563</v>
      </c>
      <c r="D3095">
        <v>1</v>
      </c>
      <c r="E3095" t="s">
        <v>80</v>
      </c>
      <c r="F3095">
        <v>8</v>
      </c>
      <c r="G3095">
        <v>2015</v>
      </c>
      <c r="I3095" s="8">
        <v>137.41</v>
      </c>
      <c r="J3095" t="s">
        <v>81</v>
      </c>
      <c r="K3095" t="s">
        <v>47</v>
      </c>
      <c r="O3095">
        <v>0</v>
      </c>
      <c r="P3095">
        <v>0</v>
      </c>
      <c r="Q3095">
        <v>0</v>
      </c>
      <c r="R3095">
        <v>0</v>
      </c>
      <c r="W3095" t="s">
        <v>1128</v>
      </c>
      <c r="AA3095">
        <v>2007</v>
      </c>
      <c r="AB3095">
        <v>9999</v>
      </c>
      <c r="AC3095" t="s">
        <v>35</v>
      </c>
    </row>
    <row r="3096" spans="1:29" x14ac:dyDescent="0.25">
      <c r="A3096" s="31" t="s">
        <v>568</v>
      </c>
      <c r="B3096" s="23" t="s">
        <v>569</v>
      </c>
      <c r="D3096">
        <v>1</v>
      </c>
      <c r="E3096" t="s">
        <v>80</v>
      </c>
      <c r="F3096">
        <v>8</v>
      </c>
      <c r="G3096">
        <v>2015</v>
      </c>
      <c r="I3096" s="8">
        <v>225.52</v>
      </c>
      <c r="J3096" t="s">
        <v>81</v>
      </c>
      <c r="K3096" t="s">
        <v>47</v>
      </c>
      <c r="O3096">
        <v>0</v>
      </c>
      <c r="P3096">
        <v>0</v>
      </c>
      <c r="Q3096">
        <v>0</v>
      </c>
      <c r="R3096">
        <v>0</v>
      </c>
      <c r="W3096" t="s">
        <v>1129</v>
      </c>
      <c r="AA3096">
        <v>2007</v>
      </c>
      <c r="AB3096">
        <v>9999</v>
      </c>
      <c r="AC3096" t="s">
        <v>35</v>
      </c>
    </row>
    <row r="3097" spans="1:29" x14ac:dyDescent="0.25">
      <c r="A3097" s="31" t="s">
        <v>571</v>
      </c>
      <c r="B3097" s="23" t="s">
        <v>572</v>
      </c>
      <c r="D3097">
        <v>1</v>
      </c>
      <c r="E3097" t="s">
        <v>370</v>
      </c>
      <c r="F3097">
        <v>5</v>
      </c>
      <c r="G3097">
        <v>2015</v>
      </c>
      <c r="I3097" s="8">
        <v>430.29</v>
      </c>
      <c r="J3097" t="s">
        <v>1471</v>
      </c>
      <c r="K3097" t="s">
        <v>47</v>
      </c>
      <c r="O3097">
        <v>0</v>
      </c>
      <c r="P3097">
        <v>0</v>
      </c>
      <c r="Q3097">
        <v>0</v>
      </c>
      <c r="R3097">
        <v>0</v>
      </c>
      <c r="S3097">
        <v>1</v>
      </c>
      <c r="T3097">
        <v>1</v>
      </c>
      <c r="U3097">
        <v>1</v>
      </c>
      <c r="W3097" t="s">
        <v>1430</v>
      </c>
      <c r="AA3097">
        <v>2007</v>
      </c>
      <c r="AB3097">
        <v>9999</v>
      </c>
      <c r="AC3097" t="s">
        <v>35</v>
      </c>
    </row>
    <row r="3098" spans="1:29" x14ac:dyDescent="0.25">
      <c r="A3098" s="31" t="s">
        <v>574</v>
      </c>
      <c r="B3098" s="23" t="s">
        <v>575</v>
      </c>
      <c r="D3098">
        <v>1</v>
      </c>
      <c r="E3098" t="s">
        <v>222</v>
      </c>
      <c r="F3098">
        <v>1</v>
      </c>
      <c r="G3098">
        <v>2015</v>
      </c>
      <c r="I3098" s="8">
        <v>41.1</v>
      </c>
      <c r="J3098" t="s">
        <v>176</v>
      </c>
      <c r="K3098" t="s">
        <v>47</v>
      </c>
      <c r="O3098">
        <v>0</v>
      </c>
      <c r="P3098">
        <v>0</v>
      </c>
      <c r="Q3098">
        <v>0</v>
      </c>
      <c r="R3098">
        <v>0</v>
      </c>
      <c r="W3098" t="s">
        <v>1131</v>
      </c>
      <c r="AA3098">
        <v>2007</v>
      </c>
      <c r="AB3098">
        <v>9999</v>
      </c>
      <c r="AC3098" t="s">
        <v>35</v>
      </c>
    </row>
    <row r="3099" spans="1:29" x14ac:dyDescent="0.25">
      <c r="A3099" s="31" t="s">
        <v>577</v>
      </c>
      <c r="B3099" s="23" t="s">
        <v>578</v>
      </c>
      <c r="D3099">
        <v>1</v>
      </c>
      <c r="E3099" t="s">
        <v>396</v>
      </c>
      <c r="F3099">
        <v>3</v>
      </c>
      <c r="G3099">
        <v>2015</v>
      </c>
      <c r="H3099" t="s">
        <v>579</v>
      </c>
      <c r="J3099" t="s">
        <v>121</v>
      </c>
      <c r="K3099" t="s">
        <v>41</v>
      </c>
      <c r="O3099">
        <v>0</v>
      </c>
      <c r="P3099">
        <v>0</v>
      </c>
      <c r="Q3099">
        <v>0</v>
      </c>
      <c r="R3099">
        <v>0</v>
      </c>
      <c r="W3099" t="s">
        <v>1132</v>
      </c>
      <c r="AA3099">
        <v>2007</v>
      </c>
      <c r="AB3099">
        <v>9999</v>
      </c>
      <c r="AC3099" t="s">
        <v>35</v>
      </c>
    </row>
    <row r="3100" spans="1:29" x14ac:dyDescent="0.25">
      <c r="A3100" s="31" t="s">
        <v>581</v>
      </c>
      <c r="B3100" s="23" t="s">
        <v>582</v>
      </c>
      <c r="D3100">
        <v>1</v>
      </c>
      <c r="E3100" t="s">
        <v>80</v>
      </c>
      <c r="F3100">
        <v>8</v>
      </c>
      <c r="G3100">
        <v>2015</v>
      </c>
      <c r="H3100" t="s">
        <v>1315</v>
      </c>
      <c r="J3100" t="s">
        <v>81</v>
      </c>
      <c r="K3100" t="s">
        <v>41</v>
      </c>
      <c r="O3100">
        <v>0</v>
      </c>
      <c r="P3100">
        <v>0</v>
      </c>
      <c r="Q3100">
        <v>0</v>
      </c>
      <c r="R3100">
        <v>0</v>
      </c>
      <c r="W3100" t="s">
        <v>1133</v>
      </c>
      <c r="AA3100">
        <v>2007</v>
      </c>
      <c r="AB3100">
        <v>9999</v>
      </c>
      <c r="AC3100" t="s">
        <v>35</v>
      </c>
    </row>
    <row r="3101" spans="1:29" x14ac:dyDescent="0.25">
      <c r="A3101" s="31" t="s">
        <v>590</v>
      </c>
      <c r="B3101" s="23" t="s">
        <v>591</v>
      </c>
      <c r="D3101">
        <v>1</v>
      </c>
      <c r="E3101" t="s">
        <v>592</v>
      </c>
      <c r="F3101">
        <v>8</v>
      </c>
      <c r="G3101">
        <v>2015</v>
      </c>
      <c r="I3101" s="8">
        <v>8.51</v>
      </c>
      <c r="J3101" t="s">
        <v>81</v>
      </c>
      <c r="K3101" t="s">
        <v>41</v>
      </c>
      <c r="O3101">
        <v>0</v>
      </c>
      <c r="P3101">
        <v>0</v>
      </c>
      <c r="Q3101">
        <v>0</v>
      </c>
      <c r="R3101">
        <v>0</v>
      </c>
      <c r="W3101" t="s">
        <v>1134</v>
      </c>
      <c r="AA3101">
        <v>2007</v>
      </c>
      <c r="AB3101">
        <v>9999</v>
      </c>
      <c r="AC3101" t="s">
        <v>35</v>
      </c>
    </row>
    <row r="3102" spans="1:29" x14ac:dyDescent="0.25">
      <c r="A3102" s="31" t="s">
        <v>594</v>
      </c>
      <c r="B3102" s="23" t="s">
        <v>595</v>
      </c>
      <c r="D3102">
        <v>1</v>
      </c>
      <c r="E3102" t="s">
        <v>38</v>
      </c>
      <c r="F3102">
        <v>4</v>
      </c>
      <c r="G3102">
        <v>2015</v>
      </c>
      <c r="H3102" t="s">
        <v>906</v>
      </c>
      <c r="J3102" t="s">
        <v>59</v>
      </c>
      <c r="K3102" t="s">
        <v>41</v>
      </c>
      <c r="O3102">
        <v>0</v>
      </c>
      <c r="P3102">
        <v>0</v>
      </c>
      <c r="Q3102">
        <v>0</v>
      </c>
      <c r="R3102">
        <v>0</v>
      </c>
      <c r="W3102" t="s">
        <v>1135</v>
      </c>
      <c r="AA3102">
        <v>2007</v>
      </c>
      <c r="AB3102">
        <v>9999</v>
      </c>
      <c r="AC3102" t="s">
        <v>35</v>
      </c>
    </row>
    <row r="3103" spans="1:29" x14ac:dyDescent="0.25">
      <c r="A3103" s="31" t="s">
        <v>1253</v>
      </c>
      <c r="B3103" s="23" t="s">
        <v>598</v>
      </c>
      <c r="D3103">
        <v>1</v>
      </c>
      <c r="E3103" t="s">
        <v>38</v>
      </c>
      <c r="F3103">
        <v>4</v>
      </c>
      <c r="G3103">
        <v>2015</v>
      </c>
      <c r="H3103" t="s">
        <v>39</v>
      </c>
      <c r="J3103" t="s">
        <v>59</v>
      </c>
      <c r="K3103" t="s">
        <v>41</v>
      </c>
      <c r="O3103">
        <v>0</v>
      </c>
      <c r="P3103">
        <v>0</v>
      </c>
      <c r="Q3103">
        <v>0</v>
      </c>
      <c r="R3103">
        <v>0</v>
      </c>
      <c r="W3103" t="s">
        <v>1254</v>
      </c>
      <c r="AA3103">
        <v>2009</v>
      </c>
      <c r="AB3103">
        <v>9999</v>
      </c>
      <c r="AC3103" t="s">
        <v>1239</v>
      </c>
    </row>
    <row r="3104" spans="1:29" x14ac:dyDescent="0.25">
      <c r="A3104" s="31" t="s">
        <v>601</v>
      </c>
      <c r="B3104" s="23" t="s">
        <v>602</v>
      </c>
      <c r="D3104">
        <v>1</v>
      </c>
      <c r="E3104" t="s">
        <v>145</v>
      </c>
      <c r="F3104">
        <v>2</v>
      </c>
      <c r="G3104">
        <v>2015</v>
      </c>
      <c r="H3104" t="s">
        <v>1488</v>
      </c>
      <c r="J3104" s="2" t="s">
        <v>1471</v>
      </c>
      <c r="K3104" t="s">
        <v>41</v>
      </c>
      <c r="O3104">
        <v>0</v>
      </c>
      <c r="P3104">
        <v>0</v>
      </c>
      <c r="Q3104">
        <v>0</v>
      </c>
      <c r="R3104">
        <v>0</v>
      </c>
      <c r="W3104" t="s">
        <v>1137</v>
      </c>
      <c r="AA3104">
        <v>2007</v>
      </c>
      <c r="AB3104">
        <v>9999</v>
      </c>
      <c r="AC3104" t="s">
        <v>35</v>
      </c>
    </row>
    <row r="3105" spans="1:29" x14ac:dyDescent="0.25">
      <c r="A3105" s="31" t="s">
        <v>613</v>
      </c>
      <c r="B3105" s="23" t="s">
        <v>254</v>
      </c>
      <c r="C3105" t="s">
        <v>614</v>
      </c>
      <c r="D3105">
        <v>1</v>
      </c>
      <c r="E3105" t="s">
        <v>45</v>
      </c>
      <c r="F3105">
        <v>4</v>
      </c>
      <c r="G3105">
        <v>2015</v>
      </c>
      <c r="I3105" s="8">
        <v>12.35</v>
      </c>
      <c r="J3105" t="s">
        <v>89</v>
      </c>
      <c r="K3105" t="s">
        <v>47</v>
      </c>
      <c r="O3105">
        <v>0</v>
      </c>
      <c r="P3105">
        <v>0</v>
      </c>
      <c r="Q3105">
        <v>0</v>
      </c>
      <c r="R3105">
        <v>0</v>
      </c>
      <c r="W3105" t="s">
        <v>1140</v>
      </c>
      <c r="AA3105">
        <v>2007</v>
      </c>
      <c r="AB3105">
        <v>9999</v>
      </c>
      <c r="AC3105" t="s">
        <v>35</v>
      </c>
    </row>
    <row r="3106" spans="1:29" x14ac:dyDescent="0.25">
      <c r="A3106" s="31" t="s">
        <v>616</v>
      </c>
      <c r="B3106" s="23" t="s">
        <v>617</v>
      </c>
      <c r="D3106">
        <v>1</v>
      </c>
      <c r="E3106" t="s">
        <v>45</v>
      </c>
      <c r="F3106">
        <v>4</v>
      </c>
      <c r="G3106">
        <v>2015</v>
      </c>
      <c r="I3106" s="8">
        <v>12.35</v>
      </c>
      <c r="J3106" t="s">
        <v>89</v>
      </c>
      <c r="K3106" t="s">
        <v>53</v>
      </c>
      <c r="L3106" t="s">
        <v>60</v>
      </c>
      <c r="O3106">
        <v>1</v>
      </c>
      <c r="P3106">
        <v>0</v>
      </c>
      <c r="Q3106">
        <v>0</v>
      </c>
      <c r="R3106">
        <v>0</v>
      </c>
      <c r="W3106" t="s">
        <v>618</v>
      </c>
      <c r="AA3106">
        <v>2007</v>
      </c>
      <c r="AB3106">
        <v>2016</v>
      </c>
      <c r="AC3106" t="s">
        <v>528</v>
      </c>
    </row>
    <row r="3107" spans="1:29" x14ac:dyDescent="0.25">
      <c r="A3107" s="31" t="s">
        <v>1370</v>
      </c>
      <c r="B3107" s="23" t="s">
        <v>1371</v>
      </c>
      <c r="D3107">
        <v>1</v>
      </c>
      <c r="E3107" s="4">
        <v>411</v>
      </c>
      <c r="F3107">
        <v>4</v>
      </c>
      <c r="G3107">
        <v>2015</v>
      </c>
      <c r="H3107" t="s">
        <v>111</v>
      </c>
      <c r="I3107" s="8"/>
      <c r="J3107" t="s">
        <v>89</v>
      </c>
      <c r="K3107" t="s">
        <v>41</v>
      </c>
      <c r="O3107">
        <v>0</v>
      </c>
      <c r="P3107">
        <v>0</v>
      </c>
      <c r="Q3107">
        <v>0</v>
      </c>
      <c r="R3107">
        <v>0</v>
      </c>
      <c r="W3107" t="s">
        <v>1372</v>
      </c>
      <c r="AA3107">
        <v>2011</v>
      </c>
      <c r="AB3107">
        <v>9999</v>
      </c>
      <c r="AC3107" t="s">
        <v>1365</v>
      </c>
    </row>
    <row r="3108" spans="1:29" x14ac:dyDescent="0.25">
      <c r="A3108" s="31" t="s">
        <v>1317</v>
      </c>
      <c r="B3108" s="23" t="s">
        <v>1318</v>
      </c>
      <c r="D3108">
        <v>1</v>
      </c>
      <c r="E3108" t="s">
        <v>1319</v>
      </c>
      <c r="F3108">
        <v>10</v>
      </c>
      <c r="G3108">
        <v>2015</v>
      </c>
      <c r="I3108" s="8">
        <v>1002.12</v>
      </c>
      <c r="J3108" t="s">
        <v>40</v>
      </c>
      <c r="K3108" t="s">
        <v>32</v>
      </c>
      <c r="O3108">
        <v>0</v>
      </c>
      <c r="P3108">
        <v>0</v>
      </c>
      <c r="Q3108">
        <v>0</v>
      </c>
      <c r="R3108">
        <v>0</v>
      </c>
      <c r="W3108" t="s">
        <v>1320</v>
      </c>
      <c r="AA3108">
        <v>2010</v>
      </c>
      <c r="AB3108">
        <v>9999</v>
      </c>
      <c r="AC3108" t="s">
        <v>1292</v>
      </c>
    </row>
    <row r="3109" spans="1:29" x14ac:dyDescent="0.25">
      <c r="A3109" s="31" t="s">
        <v>1489</v>
      </c>
      <c r="B3109" s="23" t="s">
        <v>619</v>
      </c>
      <c r="D3109">
        <v>1</v>
      </c>
      <c r="E3109" t="s">
        <v>620</v>
      </c>
      <c r="F3109">
        <v>5</v>
      </c>
      <c r="G3109">
        <v>2015</v>
      </c>
      <c r="I3109" s="8">
        <v>28.26</v>
      </c>
      <c r="J3109" t="s">
        <v>104</v>
      </c>
      <c r="K3109" t="s">
        <v>47</v>
      </c>
      <c r="O3109">
        <v>0</v>
      </c>
      <c r="P3109">
        <v>0</v>
      </c>
      <c r="Q3109">
        <v>0</v>
      </c>
      <c r="R3109">
        <v>0</v>
      </c>
      <c r="W3109" t="s">
        <v>1141</v>
      </c>
      <c r="AA3109">
        <v>2007</v>
      </c>
      <c r="AB3109">
        <v>9999</v>
      </c>
      <c r="AC3109" t="s">
        <v>1475</v>
      </c>
    </row>
    <row r="3110" spans="1:29" x14ac:dyDescent="0.25">
      <c r="A3110" s="31" t="s">
        <v>472</v>
      </c>
      <c r="B3110" s="23" t="s">
        <v>1490</v>
      </c>
      <c r="D3110">
        <v>1</v>
      </c>
      <c r="E3110" t="s">
        <v>681</v>
      </c>
      <c r="F3110">
        <v>3</v>
      </c>
      <c r="G3110">
        <v>2015</v>
      </c>
      <c r="I3110" s="8">
        <v>26574.9</v>
      </c>
      <c r="J3110" t="s">
        <v>121</v>
      </c>
      <c r="K3110" t="s">
        <v>47</v>
      </c>
      <c r="O3110">
        <v>0</v>
      </c>
      <c r="P3110">
        <v>0</v>
      </c>
      <c r="Q3110">
        <v>0</v>
      </c>
      <c r="R3110">
        <v>0</v>
      </c>
      <c r="W3110" t="s">
        <v>1491</v>
      </c>
      <c r="AA3110">
        <v>2007</v>
      </c>
      <c r="AB3110">
        <v>9999</v>
      </c>
      <c r="AC3110" t="s">
        <v>35</v>
      </c>
    </row>
    <row r="3111" spans="1:29" x14ac:dyDescent="0.25">
      <c r="A3111" s="31" t="s">
        <v>622</v>
      </c>
      <c r="B3111" s="23" t="s">
        <v>623</v>
      </c>
      <c r="C3111" t="s">
        <v>624</v>
      </c>
      <c r="D3111">
        <v>1</v>
      </c>
      <c r="E3111" t="s">
        <v>625</v>
      </c>
      <c r="F3111">
        <v>4</v>
      </c>
      <c r="G3111">
        <v>2015</v>
      </c>
      <c r="I3111" s="8">
        <v>244.23</v>
      </c>
      <c r="J3111" t="s">
        <v>89</v>
      </c>
      <c r="K3111" t="s">
        <v>32</v>
      </c>
      <c r="O3111">
        <v>0</v>
      </c>
      <c r="P3111">
        <v>0</v>
      </c>
      <c r="Q3111">
        <v>0</v>
      </c>
      <c r="R3111">
        <v>0</v>
      </c>
      <c r="W3111" t="s">
        <v>1142</v>
      </c>
      <c r="AA3111">
        <v>2007</v>
      </c>
      <c r="AB3111">
        <v>9999</v>
      </c>
      <c r="AC3111" t="s">
        <v>35</v>
      </c>
    </row>
    <row r="3112" spans="1:29" x14ac:dyDescent="0.25">
      <c r="A3112" s="31" t="s">
        <v>199</v>
      </c>
      <c r="B3112" s="23" t="s">
        <v>1255</v>
      </c>
      <c r="D3112">
        <v>1</v>
      </c>
      <c r="E3112" t="s">
        <v>38</v>
      </c>
      <c r="F3112">
        <v>4</v>
      </c>
      <c r="G3112">
        <v>2015</v>
      </c>
      <c r="H3112" t="s">
        <v>39</v>
      </c>
      <c r="J3112" t="s">
        <v>52</v>
      </c>
      <c r="K3112" t="s">
        <v>41</v>
      </c>
      <c r="O3112">
        <v>0</v>
      </c>
      <c r="P3112">
        <v>0</v>
      </c>
      <c r="Q3112">
        <v>0</v>
      </c>
      <c r="R3112">
        <v>0</v>
      </c>
      <c r="W3112" t="s">
        <v>1256</v>
      </c>
      <c r="AA3112">
        <v>2007</v>
      </c>
      <c r="AB3112">
        <v>9999</v>
      </c>
      <c r="AC3112" t="s">
        <v>35</v>
      </c>
    </row>
    <row r="3113" spans="1:29" x14ac:dyDescent="0.25">
      <c r="A3113" s="31" t="s">
        <v>641</v>
      </c>
      <c r="B3113" s="23" t="s">
        <v>642</v>
      </c>
      <c r="D3113">
        <v>1</v>
      </c>
      <c r="E3113" t="s">
        <v>348</v>
      </c>
      <c r="F3113">
        <v>1</v>
      </c>
      <c r="G3113">
        <v>2015</v>
      </c>
      <c r="I3113" s="8">
        <v>3920.15</v>
      </c>
      <c r="J3113" t="s">
        <v>268</v>
      </c>
      <c r="K3113" t="s">
        <v>53</v>
      </c>
      <c r="L3113" t="s">
        <v>642</v>
      </c>
      <c r="O3113">
        <v>0</v>
      </c>
      <c r="P3113">
        <v>0</v>
      </c>
      <c r="Q3113">
        <v>0</v>
      </c>
      <c r="R3113">
        <v>0</v>
      </c>
      <c r="W3113" t="s">
        <v>643</v>
      </c>
      <c r="AA3113">
        <v>2007</v>
      </c>
      <c r="AB3113">
        <v>9999</v>
      </c>
      <c r="AC3113" t="s">
        <v>35</v>
      </c>
    </row>
    <row r="3114" spans="1:29" x14ac:dyDescent="0.25">
      <c r="A3114" s="31" t="s">
        <v>646</v>
      </c>
      <c r="B3114" s="25" t="s">
        <v>647</v>
      </c>
      <c r="D3114">
        <v>1</v>
      </c>
      <c r="E3114" t="s">
        <v>128</v>
      </c>
      <c r="F3114">
        <v>9</v>
      </c>
      <c r="G3114">
        <v>2015</v>
      </c>
      <c r="H3114" t="s">
        <v>1492</v>
      </c>
      <c r="J3114" t="s">
        <v>104</v>
      </c>
      <c r="K3114" t="s">
        <v>41</v>
      </c>
      <c r="O3114">
        <v>0</v>
      </c>
      <c r="P3114">
        <v>0</v>
      </c>
      <c r="Q3114">
        <v>0</v>
      </c>
      <c r="R3114">
        <v>0</v>
      </c>
      <c r="W3114" t="s">
        <v>1147</v>
      </c>
      <c r="AA3114">
        <v>2007</v>
      </c>
      <c r="AB3114">
        <v>2018</v>
      </c>
      <c r="AC3114" t="s">
        <v>649</v>
      </c>
    </row>
    <row r="3115" spans="1:29" x14ac:dyDescent="0.25">
      <c r="A3115" s="31" t="s">
        <v>650</v>
      </c>
      <c r="B3115" s="25" t="s">
        <v>651</v>
      </c>
      <c r="D3115">
        <v>1</v>
      </c>
      <c r="E3115" t="s">
        <v>128</v>
      </c>
      <c r="F3115">
        <v>9</v>
      </c>
      <c r="G3115">
        <v>2015</v>
      </c>
      <c r="H3115" t="s">
        <v>1493</v>
      </c>
      <c r="J3115" t="s">
        <v>104</v>
      </c>
      <c r="K3115" t="s">
        <v>41</v>
      </c>
      <c r="O3115">
        <v>0</v>
      </c>
      <c r="P3115">
        <v>0</v>
      </c>
      <c r="Q3115">
        <v>0</v>
      </c>
      <c r="R3115">
        <v>0</v>
      </c>
      <c r="W3115" t="s">
        <v>1147</v>
      </c>
      <c r="AA3115">
        <v>2007</v>
      </c>
      <c r="AB3115">
        <v>2018</v>
      </c>
      <c r="AC3115" t="s">
        <v>649</v>
      </c>
    </row>
    <row r="3116" spans="1:29" x14ac:dyDescent="0.25">
      <c r="A3116" s="31" t="s">
        <v>652</v>
      </c>
      <c r="B3116" s="25" t="s">
        <v>653</v>
      </c>
      <c r="D3116">
        <v>1</v>
      </c>
      <c r="E3116" t="s">
        <v>128</v>
      </c>
      <c r="F3116">
        <v>9</v>
      </c>
      <c r="G3116">
        <v>2015</v>
      </c>
      <c r="H3116" t="s">
        <v>1494</v>
      </c>
      <c r="J3116" t="s">
        <v>104</v>
      </c>
      <c r="K3116" t="s">
        <v>41</v>
      </c>
      <c r="O3116">
        <v>0</v>
      </c>
      <c r="P3116">
        <v>0</v>
      </c>
      <c r="Q3116">
        <v>0</v>
      </c>
      <c r="R3116">
        <v>0</v>
      </c>
      <c r="W3116" t="s">
        <v>1147</v>
      </c>
      <c r="AA3116">
        <v>2007</v>
      </c>
      <c r="AB3116">
        <v>2018</v>
      </c>
      <c r="AC3116" t="s">
        <v>649</v>
      </c>
    </row>
    <row r="3117" spans="1:29" x14ac:dyDescent="0.25">
      <c r="A3117" s="31" t="s">
        <v>654</v>
      </c>
      <c r="B3117" s="25" t="s">
        <v>655</v>
      </c>
      <c r="D3117">
        <v>1</v>
      </c>
      <c r="E3117" t="s">
        <v>128</v>
      </c>
      <c r="F3117">
        <v>9</v>
      </c>
      <c r="G3117">
        <v>2015</v>
      </c>
      <c r="H3117" t="s">
        <v>1495</v>
      </c>
      <c r="J3117" t="s">
        <v>104</v>
      </c>
      <c r="K3117" t="s">
        <v>41</v>
      </c>
      <c r="O3117">
        <v>0</v>
      </c>
      <c r="P3117">
        <v>0</v>
      </c>
      <c r="Q3117">
        <v>0</v>
      </c>
      <c r="R3117">
        <v>0</v>
      </c>
      <c r="W3117" t="s">
        <v>1147</v>
      </c>
      <c r="AA3117">
        <v>2007</v>
      </c>
      <c r="AB3117">
        <v>2018</v>
      </c>
      <c r="AC3117" t="s">
        <v>649</v>
      </c>
    </row>
    <row r="3118" spans="1:29" x14ac:dyDescent="0.25">
      <c r="A3118" s="31" t="s">
        <v>656</v>
      </c>
      <c r="B3118" s="25" t="s">
        <v>657</v>
      </c>
      <c r="D3118">
        <v>1</v>
      </c>
      <c r="E3118" t="s">
        <v>128</v>
      </c>
      <c r="F3118">
        <v>9</v>
      </c>
      <c r="G3118">
        <v>2015</v>
      </c>
      <c r="H3118" t="s">
        <v>1496</v>
      </c>
      <c r="J3118" t="s">
        <v>104</v>
      </c>
      <c r="K3118" t="s">
        <v>41</v>
      </c>
      <c r="O3118">
        <v>0</v>
      </c>
      <c r="P3118">
        <v>0</v>
      </c>
      <c r="Q3118">
        <v>0</v>
      </c>
      <c r="R3118">
        <v>0</v>
      </c>
      <c r="W3118" t="s">
        <v>1147</v>
      </c>
      <c r="AA3118">
        <v>2007</v>
      </c>
      <c r="AB3118">
        <v>2018</v>
      </c>
      <c r="AC3118" t="s">
        <v>649</v>
      </c>
    </row>
    <row r="3119" spans="1:29" x14ac:dyDescent="0.25">
      <c r="A3119" s="31" t="s">
        <v>659</v>
      </c>
      <c r="B3119" s="25" t="s">
        <v>660</v>
      </c>
      <c r="D3119">
        <v>1</v>
      </c>
      <c r="E3119" t="s">
        <v>128</v>
      </c>
      <c r="F3119">
        <v>9</v>
      </c>
      <c r="G3119">
        <v>2015</v>
      </c>
      <c r="H3119" t="s">
        <v>1497</v>
      </c>
      <c r="J3119" t="s">
        <v>104</v>
      </c>
      <c r="K3119" t="s">
        <v>41</v>
      </c>
      <c r="O3119">
        <v>0</v>
      </c>
      <c r="P3119">
        <v>0</v>
      </c>
      <c r="Q3119">
        <v>0</v>
      </c>
      <c r="R3119">
        <v>0</v>
      </c>
      <c r="W3119" t="s">
        <v>1147</v>
      </c>
      <c r="AA3119">
        <v>2007</v>
      </c>
      <c r="AB3119">
        <v>2018</v>
      </c>
      <c r="AC3119" t="s">
        <v>649</v>
      </c>
    </row>
    <row r="3120" spans="1:29" x14ac:dyDescent="0.25">
      <c r="A3120" s="31" t="s">
        <v>199</v>
      </c>
      <c r="B3120" s="25" t="s">
        <v>665</v>
      </c>
      <c r="D3120">
        <v>1</v>
      </c>
      <c r="E3120" t="s">
        <v>45</v>
      </c>
      <c r="F3120">
        <v>4</v>
      </c>
      <c r="G3120">
        <v>2015</v>
      </c>
      <c r="H3120" t="s">
        <v>39</v>
      </c>
      <c r="J3120" t="s">
        <v>52</v>
      </c>
      <c r="K3120" t="s">
        <v>41</v>
      </c>
      <c r="O3120">
        <v>0</v>
      </c>
      <c r="P3120">
        <v>0</v>
      </c>
      <c r="Q3120">
        <v>0</v>
      </c>
      <c r="R3120">
        <v>0</v>
      </c>
      <c r="W3120" t="s">
        <v>1148</v>
      </c>
      <c r="AA3120">
        <v>2007</v>
      </c>
      <c r="AB3120">
        <v>9999</v>
      </c>
      <c r="AC3120" t="s">
        <v>35</v>
      </c>
    </row>
    <row r="3121" spans="1:29" x14ac:dyDescent="0.25">
      <c r="A3121" s="31" t="s">
        <v>667</v>
      </c>
      <c r="B3121" s="23" t="s">
        <v>668</v>
      </c>
      <c r="D3121">
        <v>1</v>
      </c>
      <c r="E3121" t="s">
        <v>45</v>
      </c>
      <c r="F3121">
        <v>4</v>
      </c>
      <c r="G3121">
        <v>2015</v>
      </c>
      <c r="I3121" s="8">
        <v>21.05</v>
      </c>
      <c r="J3121" t="s">
        <v>121</v>
      </c>
      <c r="K3121" t="s">
        <v>47</v>
      </c>
      <c r="O3121">
        <v>0</v>
      </c>
      <c r="P3121">
        <v>0</v>
      </c>
      <c r="Q3121">
        <v>0</v>
      </c>
      <c r="R3121">
        <v>0</v>
      </c>
      <c r="W3121" t="s">
        <v>1149</v>
      </c>
      <c r="AA3121">
        <v>2007</v>
      </c>
      <c r="AB3121">
        <v>9999</v>
      </c>
      <c r="AC3121" t="s">
        <v>35</v>
      </c>
    </row>
    <row r="3122" spans="1:29" x14ac:dyDescent="0.25">
      <c r="A3122" s="31" t="s">
        <v>670</v>
      </c>
      <c r="B3122" s="23" t="s">
        <v>671</v>
      </c>
      <c r="D3122">
        <v>1</v>
      </c>
      <c r="E3122" t="s">
        <v>80</v>
      </c>
      <c r="F3122">
        <v>8</v>
      </c>
      <c r="G3122">
        <v>2015</v>
      </c>
      <c r="I3122" s="8">
        <v>220.12</v>
      </c>
      <c r="J3122" t="s">
        <v>81</v>
      </c>
      <c r="K3122" t="s">
        <v>47</v>
      </c>
      <c r="O3122">
        <v>0</v>
      </c>
      <c r="P3122">
        <v>0</v>
      </c>
      <c r="Q3122">
        <v>0</v>
      </c>
      <c r="R3122">
        <v>0</v>
      </c>
      <c r="W3122" t="s">
        <v>1498</v>
      </c>
      <c r="AA3122">
        <v>2007</v>
      </c>
      <c r="AB3122">
        <v>9999</v>
      </c>
      <c r="AC3122" t="s">
        <v>35</v>
      </c>
    </row>
    <row r="3123" spans="1:29" x14ac:dyDescent="0.25">
      <c r="A3123" s="31" t="s">
        <v>673</v>
      </c>
      <c r="B3123" s="23" t="s">
        <v>1321</v>
      </c>
      <c r="D3123">
        <v>1</v>
      </c>
      <c r="E3123" t="s">
        <v>358</v>
      </c>
      <c r="F3123">
        <v>1</v>
      </c>
      <c r="G3123">
        <v>2015</v>
      </c>
      <c r="I3123" s="8">
        <v>471.38</v>
      </c>
      <c r="J3123" t="s">
        <v>81</v>
      </c>
      <c r="K3123" t="s">
        <v>47</v>
      </c>
      <c r="O3123">
        <v>0</v>
      </c>
      <c r="P3123">
        <v>0</v>
      </c>
      <c r="Q3123">
        <v>0</v>
      </c>
      <c r="R3123">
        <v>0</v>
      </c>
      <c r="W3123" t="s">
        <v>1322</v>
      </c>
      <c r="AA3123">
        <v>2007</v>
      </c>
      <c r="AB3123">
        <v>9999</v>
      </c>
      <c r="AC3123" t="s">
        <v>35</v>
      </c>
    </row>
    <row r="3124" spans="1:29" x14ac:dyDescent="0.25">
      <c r="A3124" s="31" t="s">
        <v>676</v>
      </c>
      <c r="B3124" s="23" t="s">
        <v>677</v>
      </c>
      <c r="C3124" t="s">
        <v>678</v>
      </c>
      <c r="D3124">
        <v>1</v>
      </c>
      <c r="E3124" t="s">
        <v>168</v>
      </c>
      <c r="F3124">
        <v>1</v>
      </c>
      <c r="G3124">
        <v>2015</v>
      </c>
      <c r="I3124" s="8">
        <v>161.66999999999999</v>
      </c>
      <c r="J3124" t="s">
        <v>52</v>
      </c>
      <c r="K3124" t="s">
        <v>32</v>
      </c>
      <c r="O3124">
        <v>0</v>
      </c>
      <c r="P3124">
        <v>0</v>
      </c>
      <c r="Q3124">
        <v>0</v>
      </c>
      <c r="R3124">
        <v>0</v>
      </c>
      <c r="W3124" t="s">
        <v>1152</v>
      </c>
      <c r="AA3124">
        <v>2007</v>
      </c>
      <c r="AB3124">
        <v>9999</v>
      </c>
      <c r="AC3124" t="s">
        <v>35</v>
      </c>
    </row>
    <row r="3125" spans="1:29" x14ac:dyDescent="0.25">
      <c r="A3125" s="31" t="s">
        <v>685</v>
      </c>
      <c r="B3125" s="23" t="s">
        <v>686</v>
      </c>
      <c r="D3125">
        <v>1</v>
      </c>
      <c r="E3125" t="s">
        <v>80</v>
      </c>
      <c r="F3125">
        <v>8</v>
      </c>
      <c r="G3125">
        <v>2015</v>
      </c>
      <c r="I3125" s="8">
        <v>24.75</v>
      </c>
      <c r="J3125" t="s">
        <v>81</v>
      </c>
      <c r="K3125" t="s">
        <v>47</v>
      </c>
      <c r="O3125">
        <v>0</v>
      </c>
      <c r="P3125">
        <v>0</v>
      </c>
      <c r="Q3125">
        <v>0</v>
      </c>
      <c r="R3125">
        <v>0</v>
      </c>
      <c r="W3125" t="s">
        <v>1153</v>
      </c>
      <c r="AA3125">
        <v>2007</v>
      </c>
      <c r="AB3125">
        <v>2017</v>
      </c>
      <c r="AC3125" t="s">
        <v>435</v>
      </c>
    </row>
    <row r="3126" spans="1:29" x14ac:dyDescent="0.25">
      <c r="A3126" s="31" t="s">
        <v>688</v>
      </c>
      <c r="B3126" s="23" t="s">
        <v>689</v>
      </c>
      <c r="D3126">
        <v>1</v>
      </c>
      <c r="E3126" t="s">
        <v>145</v>
      </c>
      <c r="F3126">
        <v>2</v>
      </c>
      <c r="G3126">
        <v>2015</v>
      </c>
      <c r="H3126" t="s">
        <v>146</v>
      </c>
      <c r="J3126" s="2" t="s">
        <v>147</v>
      </c>
      <c r="K3126" t="s">
        <v>41</v>
      </c>
      <c r="O3126">
        <v>0</v>
      </c>
      <c r="P3126">
        <v>0</v>
      </c>
      <c r="Q3126">
        <v>0</v>
      </c>
      <c r="R3126">
        <v>0</v>
      </c>
      <c r="W3126" t="s">
        <v>1154</v>
      </c>
      <c r="AA3126">
        <v>2007</v>
      </c>
      <c r="AB3126">
        <v>9999</v>
      </c>
      <c r="AC3126" t="s">
        <v>35</v>
      </c>
    </row>
    <row r="3127" spans="1:29" x14ac:dyDescent="0.25">
      <c r="A3127" s="31" t="s">
        <v>691</v>
      </c>
      <c r="B3127" s="23" t="s">
        <v>692</v>
      </c>
      <c r="D3127">
        <v>1</v>
      </c>
      <c r="E3127" t="s">
        <v>625</v>
      </c>
      <c r="F3127">
        <v>4</v>
      </c>
      <c r="G3127">
        <v>2015</v>
      </c>
      <c r="I3127" s="8">
        <v>14.85</v>
      </c>
      <c r="J3127" t="s">
        <v>104</v>
      </c>
      <c r="K3127" t="s">
        <v>32</v>
      </c>
      <c r="O3127">
        <v>0</v>
      </c>
      <c r="P3127">
        <v>0</v>
      </c>
      <c r="Q3127">
        <v>0</v>
      </c>
      <c r="R3127">
        <v>0</v>
      </c>
      <c r="W3127" t="s">
        <v>1155</v>
      </c>
      <c r="AA3127">
        <v>2007</v>
      </c>
      <c r="AB3127">
        <v>9999</v>
      </c>
      <c r="AC3127" t="s">
        <v>35</v>
      </c>
    </row>
    <row r="3128" spans="1:29" x14ac:dyDescent="0.25">
      <c r="A3128" s="31" t="s">
        <v>694</v>
      </c>
      <c r="B3128" s="25" t="s">
        <v>695</v>
      </c>
      <c r="C3128" t="s">
        <v>696</v>
      </c>
      <c r="D3128">
        <v>1</v>
      </c>
      <c r="E3128" t="s">
        <v>58</v>
      </c>
      <c r="F3128">
        <v>4</v>
      </c>
      <c r="G3128">
        <v>2015</v>
      </c>
      <c r="I3128" s="8">
        <v>115.18</v>
      </c>
      <c r="J3128" t="s">
        <v>59</v>
      </c>
      <c r="K3128" t="s">
        <v>47</v>
      </c>
      <c r="O3128">
        <v>0</v>
      </c>
      <c r="P3128">
        <v>0</v>
      </c>
      <c r="Q3128">
        <v>0</v>
      </c>
      <c r="R3128">
        <v>0</v>
      </c>
      <c r="W3128" t="s">
        <v>1156</v>
      </c>
      <c r="AA3128">
        <v>2007</v>
      </c>
      <c r="AB3128">
        <v>9999</v>
      </c>
      <c r="AC3128" t="s">
        <v>35</v>
      </c>
    </row>
    <row r="3129" spans="1:29" x14ac:dyDescent="0.25">
      <c r="A3129" s="31" t="s">
        <v>698</v>
      </c>
      <c r="B3129" s="23" t="s">
        <v>699</v>
      </c>
      <c r="D3129">
        <v>1</v>
      </c>
      <c r="E3129" t="s">
        <v>155</v>
      </c>
      <c r="F3129">
        <v>3</v>
      </c>
      <c r="G3129">
        <v>2015</v>
      </c>
      <c r="H3129" t="s">
        <v>700</v>
      </c>
      <c r="I3129">
        <v>5.7402390438240003</v>
      </c>
      <c r="J3129" t="s">
        <v>121</v>
      </c>
      <c r="K3129" t="s">
        <v>47</v>
      </c>
      <c r="O3129">
        <v>0</v>
      </c>
      <c r="P3129">
        <v>0</v>
      </c>
      <c r="Q3129">
        <v>0</v>
      </c>
      <c r="R3129">
        <v>0</v>
      </c>
      <c r="V3129">
        <v>1</v>
      </c>
      <c r="W3129" t="s">
        <v>1157</v>
      </c>
      <c r="AA3129">
        <v>2007</v>
      </c>
      <c r="AB3129">
        <v>9999</v>
      </c>
      <c r="AC3129" t="s">
        <v>35</v>
      </c>
    </row>
    <row r="3130" spans="1:29" x14ac:dyDescent="0.25">
      <c r="A3130" s="31" t="s">
        <v>702</v>
      </c>
      <c r="B3130" s="23" t="s">
        <v>703</v>
      </c>
      <c r="D3130">
        <v>1</v>
      </c>
      <c r="E3130" t="s">
        <v>155</v>
      </c>
      <c r="F3130">
        <v>3</v>
      </c>
      <c r="G3130">
        <v>2015</v>
      </c>
      <c r="H3130" t="s">
        <v>704</v>
      </c>
      <c r="I3130">
        <v>0.9</v>
      </c>
      <c r="J3130" t="s">
        <v>121</v>
      </c>
      <c r="K3130" t="s">
        <v>41</v>
      </c>
      <c r="O3130">
        <v>0</v>
      </c>
      <c r="P3130">
        <v>0</v>
      </c>
      <c r="Q3130">
        <v>0</v>
      </c>
      <c r="R3130">
        <v>0</v>
      </c>
      <c r="V3130">
        <v>1</v>
      </c>
      <c r="W3130" t="s">
        <v>1158</v>
      </c>
      <c r="AA3130">
        <v>2007</v>
      </c>
      <c r="AB3130">
        <v>9999</v>
      </c>
      <c r="AC3130" t="s">
        <v>35</v>
      </c>
    </row>
    <row r="3131" spans="1:29" x14ac:dyDescent="0.25">
      <c r="A3131" s="31" t="s">
        <v>706</v>
      </c>
      <c r="B3131" s="23" t="s">
        <v>707</v>
      </c>
      <c r="C3131" t="s">
        <v>708</v>
      </c>
      <c r="D3131">
        <v>1</v>
      </c>
      <c r="E3131" t="s">
        <v>155</v>
      </c>
      <c r="F3131">
        <v>3</v>
      </c>
      <c r="G3131">
        <v>2015</v>
      </c>
      <c r="I3131" s="8">
        <v>435.05</v>
      </c>
      <c r="J3131" t="s">
        <v>121</v>
      </c>
      <c r="K3131" t="s">
        <v>47</v>
      </c>
      <c r="O3131">
        <v>0</v>
      </c>
      <c r="P3131">
        <v>0</v>
      </c>
      <c r="Q3131">
        <v>0</v>
      </c>
      <c r="R3131">
        <v>0</v>
      </c>
      <c r="W3131" t="s">
        <v>1159</v>
      </c>
      <c r="AA3131">
        <v>2007</v>
      </c>
      <c r="AB3131">
        <v>9999</v>
      </c>
      <c r="AC3131" t="s">
        <v>35</v>
      </c>
    </row>
    <row r="3132" spans="1:29" x14ac:dyDescent="0.25">
      <c r="A3132" s="31" t="s">
        <v>710</v>
      </c>
      <c r="B3132" s="23" t="s">
        <v>711</v>
      </c>
      <c r="D3132">
        <v>1</v>
      </c>
      <c r="E3132" t="s">
        <v>712</v>
      </c>
      <c r="F3132">
        <v>9</v>
      </c>
      <c r="G3132">
        <v>2015</v>
      </c>
      <c r="I3132" s="8">
        <v>90.99</v>
      </c>
      <c r="J3132" t="s">
        <v>104</v>
      </c>
      <c r="K3132" t="s">
        <v>41</v>
      </c>
      <c r="O3132">
        <v>0</v>
      </c>
      <c r="P3132">
        <v>0</v>
      </c>
      <c r="Q3132">
        <v>0</v>
      </c>
      <c r="R3132">
        <v>0</v>
      </c>
      <c r="W3132" t="s">
        <v>1406</v>
      </c>
      <c r="AA3132">
        <v>2007</v>
      </c>
      <c r="AB3132">
        <v>9999</v>
      </c>
      <c r="AC3132" t="s">
        <v>35</v>
      </c>
    </row>
    <row r="3133" spans="1:29" x14ac:dyDescent="0.25">
      <c r="A3133" s="31" t="s">
        <v>714</v>
      </c>
      <c r="B3133" s="23" t="s">
        <v>715</v>
      </c>
      <c r="D3133">
        <v>1</v>
      </c>
      <c r="E3133" t="s">
        <v>80</v>
      </c>
      <c r="F3133">
        <v>8</v>
      </c>
      <c r="G3133">
        <v>2015</v>
      </c>
      <c r="I3133" s="8">
        <v>49.62</v>
      </c>
      <c r="J3133" t="s">
        <v>81</v>
      </c>
      <c r="K3133" t="s">
        <v>76</v>
      </c>
      <c r="O3133">
        <v>0</v>
      </c>
      <c r="P3133">
        <v>0</v>
      </c>
      <c r="Q3133">
        <v>0</v>
      </c>
      <c r="R3133">
        <v>0</v>
      </c>
      <c r="W3133" t="s">
        <v>1323</v>
      </c>
      <c r="AA3133">
        <v>2007</v>
      </c>
      <c r="AB3133">
        <v>9999</v>
      </c>
      <c r="AC3133" t="s">
        <v>35</v>
      </c>
    </row>
    <row r="3134" spans="1:29" x14ac:dyDescent="0.25">
      <c r="A3134" s="31" t="s">
        <v>717</v>
      </c>
      <c r="B3134" s="25" t="s">
        <v>718</v>
      </c>
      <c r="D3134">
        <v>1</v>
      </c>
      <c r="E3134" t="s">
        <v>51</v>
      </c>
      <c r="F3134">
        <v>1</v>
      </c>
      <c r="G3134">
        <v>2015</v>
      </c>
      <c r="I3134" s="11"/>
      <c r="J3134" t="s">
        <v>52</v>
      </c>
      <c r="K3134" t="s">
        <v>53</v>
      </c>
      <c r="L3134" t="s">
        <v>54</v>
      </c>
      <c r="O3134">
        <v>0</v>
      </c>
      <c r="P3134">
        <v>0</v>
      </c>
      <c r="Q3134">
        <v>1</v>
      </c>
      <c r="R3134">
        <v>0</v>
      </c>
      <c r="W3134" t="s">
        <v>55</v>
      </c>
      <c r="AA3134">
        <v>2007</v>
      </c>
      <c r="AB3134">
        <v>9999</v>
      </c>
      <c r="AC3134" t="s">
        <v>35</v>
      </c>
    </row>
    <row r="3135" spans="1:29" x14ac:dyDescent="0.25">
      <c r="A3135" s="31" t="s">
        <v>719</v>
      </c>
      <c r="B3135" s="25" t="s">
        <v>720</v>
      </c>
      <c r="D3135">
        <v>1</v>
      </c>
      <c r="E3135" t="s">
        <v>51</v>
      </c>
      <c r="F3135">
        <v>1</v>
      </c>
      <c r="G3135">
        <v>2015</v>
      </c>
      <c r="I3135" s="11"/>
      <c r="J3135" t="s">
        <v>52</v>
      </c>
      <c r="K3135" t="s">
        <v>53</v>
      </c>
      <c r="L3135" t="s">
        <v>54</v>
      </c>
      <c r="O3135">
        <v>0</v>
      </c>
      <c r="P3135">
        <v>0</v>
      </c>
      <c r="Q3135">
        <v>1</v>
      </c>
      <c r="R3135">
        <v>0</v>
      </c>
      <c r="W3135" t="s">
        <v>721</v>
      </c>
      <c r="AA3135">
        <v>2007</v>
      </c>
      <c r="AB3135">
        <v>9999</v>
      </c>
      <c r="AC3135" t="s">
        <v>35</v>
      </c>
    </row>
    <row r="3136" spans="1:29" x14ac:dyDescent="0.25">
      <c r="A3136" s="31" t="s">
        <v>722</v>
      </c>
      <c r="B3136" s="23" t="s">
        <v>723</v>
      </c>
      <c r="D3136">
        <v>1</v>
      </c>
      <c r="E3136" t="s">
        <v>724</v>
      </c>
      <c r="F3136">
        <v>4</v>
      </c>
      <c r="G3136">
        <v>2015</v>
      </c>
      <c r="I3136" s="8">
        <v>1202.24</v>
      </c>
      <c r="J3136" t="s">
        <v>89</v>
      </c>
      <c r="K3136" t="s">
        <v>32</v>
      </c>
      <c r="L3136" t="s">
        <v>33</v>
      </c>
      <c r="O3136">
        <v>0</v>
      </c>
      <c r="P3136">
        <v>0</v>
      </c>
      <c r="Q3136">
        <v>0</v>
      </c>
      <c r="R3136">
        <v>1</v>
      </c>
      <c r="W3136" t="s">
        <v>1161</v>
      </c>
      <c r="AA3136">
        <v>2007</v>
      </c>
      <c r="AB3136">
        <v>9999</v>
      </c>
      <c r="AC3136" t="s">
        <v>35</v>
      </c>
    </row>
    <row r="3137" spans="1:29" x14ac:dyDescent="0.25">
      <c r="A3137" s="31" t="s">
        <v>726</v>
      </c>
      <c r="B3137" s="23" t="s">
        <v>727</v>
      </c>
      <c r="D3137">
        <v>1</v>
      </c>
      <c r="E3137" t="s">
        <v>85</v>
      </c>
      <c r="F3137">
        <v>1</v>
      </c>
      <c r="G3137">
        <v>2015</v>
      </c>
      <c r="H3137" t="s">
        <v>205</v>
      </c>
      <c r="J3137" t="s">
        <v>52</v>
      </c>
      <c r="K3137" t="s">
        <v>41</v>
      </c>
      <c r="O3137">
        <v>0</v>
      </c>
      <c r="P3137">
        <v>0</v>
      </c>
      <c r="Q3137">
        <v>0</v>
      </c>
      <c r="R3137">
        <v>0</v>
      </c>
      <c r="W3137" t="s">
        <v>1162</v>
      </c>
      <c r="AA3137">
        <v>2007</v>
      </c>
      <c r="AB3137">
        <v>9999</v>
      </c>
      <c r="AC3137" t="s">
        <v>35</v>
      </c>
    </row>
    <row r="3138" spans="1:29" x14ac:dyDescent="0.25">
      <c r="A3138" s="31" t="s">
        <v>729</v>
      </c>
      <c r="B3138" s="23" t="s">
        <v>205</v>
      </c>
      <c r="D3138">
        <v>1</v>
      </c>
      <c r="E3138" t="s">
        <v>168</v>
      </c>
      <c r="F3138">
        <v>1</v>
      </c>
      <c r="G3138">
        <v>2015</v>
      </c>
      <c r="I3138" s="8">
        <v>9805.1</v>
      </c>
      <c r="J3138" t="s">
        <v>52</v>
      </c>
      <c r="K3138" t="s">
        <v>47</v>
      </c>
      <c r="O3138">
        <v>0</v>
      </c>
      <c r="P3138">
        <v>0</v>
      </c>
      <c r="Q3138">
        <v>0</v>
      </c>
      <c r="R3138">
        <v>0</v>
      </c>
      <c r="W3138" t="s">
        <v>1163</v>
      </c>
      <c r="AA3138">
        <v>2007</v>
      </c>
      <c r="AB3138">
        <v>9999</v>
      </c>
      <c r="AC3138" t="s">
        <v>35</v>
      </c>
    </row>
    <row r="3139" spans="1:29" x14ac:dyDescent="0.25">
      <c r="A3139" s="31" t="s">
        <v>731</v>
      </c>
      <c r="B3139" s="23" t="s">
        <v>732</v>
      </c>
      <c r="D3139">
        <v>1</v>
      </c>
      <c r="E3139" t="s">
        <v>51</v>
      </c>
      <c r="F3139">
        <v>10</v>
      </c>
      <c r="G3139">
        <v>2015</v>
      </c>
      <c r="H3139" t="s">
        <v>39</v>
      </c>
      <c r="J3139" t="s">
        <v>52</v>
      </c>
      <c r="K3139" t="s">
        <v>41</v>
      </c>
      <c r="O3139">
        <v>0</v>
      </c>
      <c r="P3139">
        <v>0</v>
      </c>
      <c r="Q3139">
        <v>0</v>
      </c>
      <c r="R3139">
        <v>0</v>
      </c>
      <c r="W3139" t="s">
        <v>1164</v>
      </c>
      <c r="AA3139">
        <v>2007</v>
      </c>
      <c r="AB3139">
        <v>9999</v>
      </c>
      <c r="AC3139" t="s">
        <v>35</v>
      </c>
    </row>
    <row r="3140" spans="1:29" x14ac:dyDescent="0.25">
      <c r="A3140" s="31" t="s">
        <v>734</v>
      </c>
      <c r="B3140" s="23" t="s">
        <v>735</v>
      </c>
      <c r="D3140">
        <v>1</v>
      </c>
      <c r="E3140" t="s">
        <v>736</v>
      </c>
      <c r="F3140">
        <v>4</v>
      </c>
      <c r="G3140">
        <v>2015</v>
      </c>
      <c r="I3140" s="8">
        <v>772.78</v>
      </c>
      <c r="J3140" t="s">
        <v>89</v>
      </c>
      <c r="K3140" t="s">
        <v>32</v>
      </c>
      <c r="O3140">
        <v>0</v>
      </c>
      <c r="P3140">
        <v>0</v>
      </c>
      <c r="Q3140">
        <v>0</v>
      </c>
      <c r="R3140">
        <v>0</v>
      </c>
      <c r="W3140" t="s">
        <v>1324</v>
      </c>
      <c r="AA3140">
        <v>2007</v>
      </c>
      <c r="AB3140">
        <v>9999</v>
      </c>
      <c r="AC3140" t="s">
        <v>35</v>
      </c>
    </row>
    <row r="3141" spans="1:29" x14ac:dyDescent="0.25">
      <c r="A3141" s="31" t="s">
        <v>1499</v>
      </c>
      <c r="B3141" s="23" t="s">
        <v>1500</v>
      </c>
      <c r="D3141">
        <v>1</v>
      </c>
      <c r="E3141" s="4">
        <v>960</v>
      </c>
      <c r="F3141">
        <v>9</v>
      </c>
      <c r="G3141">
        <v>2015</v>
      </c>
      <c r="I3141" s="8">
        <v>4</v>
      </c>
      <c r="J3141" t="s">
        <v>104</v>
      </c>
      <c r="K3141" t="s">
        <v>47</v>
      </c>
      <c r="O3141">
        <v>0</v>
      </c>
      <c r="P3141">
        <v>0</v>
      </c>
      <c r="Q3141">
        <v>0</v>
      </c>
      <c r="R3141">
        <v>0</v>
      </c>
      <c r="W3141" t="s">
        <v>1501</v>
      </c>
      <c r="AA3141">
        <v>2015</v>
      </c>
      <c r="AB3141">
        <v>9999</v>
      </c>
      <c r="AC3141" t="s">
        <v>1475</v>
      </c>
    </row>
    <row r="3142" spans="1:29" x14ac:dyDescent="0.25">
      <c r="A3142" s="31" t="s">
        <v>738</v>
      </c>
      <c r="B3142" s="23" t="s">
        <v>739</v>
      </c>
      <c r="D3142">
        <v>1</v>
      </c>
      <c r="E3142" t="s">
        <v>128</v>
      </c>
      <c r="F3142">
        <v>9</v>
      </c>
      <c r="G3142">
        <v>2015</v>
      </c>
      <c r="H3142" t="s">
        <v>1502</v>
      </c>
      <c r="J3142" t="s">
        <v>104</v>
      </c>
      <c r="K3142" t="s">
        <v>41</v>
      </c>
      <c r="O3142">
        <v>0</v>
      </c>
      <c r="P3142">
        <v>0</v>
      </c>
      <c r="Q3142">
        <v>0</v>
      </c>
      <c r="R3142">
        <v>0</v>
      </c>
      <c r="W3142" t="s">
        <v>1166</v>
      </c>
      <c r="AA3142">
        <v>2007</v>
      </c>
      <c r="AB3142">
        <v>9999</v>
      </c>
      <c r="AC3142" t="s">
        <v>35</v>
      </c>
    </row>
    <row r="3143" spans="1:29" x14ac:dyDescent="0.25">
      <c r="A3143" s="31" t="s">
        <v>745</v>
      </c>
      <c r="B3143" s="23" t="s">
        <v>746</v>
      </c>
      <c r="D3143">
        <v>1</v>
      </c>
      <c r="E3143" t="s">
        <v>468</v>
      </c>
      <c r="F3143">
        <v>7</v>
      </c>
      <c r="G3143">
        <v>2015</v>
      </c>
      <c r="I3143" s="8">
        <v>630.76</v>
      </c>
      <c r="J3143" t="s">
        <v>40</v>
      </c>
      <c r="K3143" t="s">
        <v>47</v>
      </c>
      <c r="O3143">
        <v>0</v>
      </c>
      <c r="P3143">
        <v>0</v>
      </c>
      <c r="Q3143">
        <v>0</v>
      </c>
      <c r="R3143">
        <v>0</v>
      </c>
      <c r="W3143" t="s">
        <v>1325</v>
      </c>
      <c r="AA3143">
        <v>2007</v>
      </c>
      <c r="AB3143">
        <v>9999</v>
      </c>
      <c r="AC3143" t="s">
        <v>35</v>
      </c>
    </row>
    <row r="3144" spans="1:29" x14ac:dyDescent="0.25">
      <c r="A3144" s="31" t="s">
        <v>1263</v>
      </c>
      <c r="B3144" s="23" t="s">
        <v>1264</v>
      </c>
      <c r="C3144" t="s">
        <v>1265</v>
      </c>
      <c r="D3144">
        <v>1</v>
      </c>
      <c r="E3144" t="s">
        <v>712</v>
      </c>
      <c r="F3144">
        <v>9</v>
      </c>
      <c r="G3144">
        <v>2015</v>
      </c>
      <c r="I3144" s="8">
        <v>999.16</v>
      </c>
      <c r="J3144" t="s">
        <v>104</v>
      </c>
      <c r="K3144" t="s">
        <v>47</v>
      </c>
      <c r="O3144">
        <v>0</v>
      </c>
      <c r="P3144">
        <v>0</v>
      </c>
      <c r="Q3144">
        <v>0</v>
      </c>
      <c r="R3144">
        <v>0</v>
      </c>
      <c r="W3144" t="s">
        <v>1407</v>
      </c>
      <c r="AA3144">
        <v>2009</v>
      </c>
      <c r="AB3144">
        <v>9999</v>
      </c>
      <c r="AC3144" t="s">
        <v>1239</v>
      </c>
    </row>
    <row r="3145" spans="1:29" x14ac:dyDescent="0.25">
      <c r="A3145" s="31" t="s">
        <v>754</v>
      </c>
      <c r="B3145" s="23" t="s">
        <v>755</v>
      </c>
      <c r="D3145">
        <v>1</v>
      </c>
      <c r="E3145" t="s">
        <v>85</v>
      </c>
      <c r="F3145">
        <v>1</v>
      </c>
      <c r="G3145">
        <v>2015</v>
      </c>
      <c r="H3145" t="s">
        <v>1503</v>
      </c>
      <c r="J3145" t="s">
        <v>52</v>
      </c>
      <c r="K3145" t="s">
        <v>41</v>
      </c>
      <c r="O3145">
        <v>0</v>
      </c>
      <c r="P3145">
        <v>0</v>
      </c>
      <c r="Q3145">
        <v>0</v>
      </c>
      <c r="R3145">
        <v>0</v>
      </c>
      <c r="W3145" t="s">
        <v>1169</v>
      </c>
      <c r="AA3145">
        <v>2007</v>
      </c>
      <c r="AB3145">
        <v>9999</v>
      </c>
      <c r="AC3145" t="s">
        <v>35</v>
      </c>
    </row>
    <row r="3146" spans="1:29" ht="30" x14ac:dyDescent="0.25">
      <c r="A3146" s="31" t="s">
        <v>758</v>
      </c>
      <c r="B3146" s="23" t="s">
        <v>1504</v>
      </c>
      <c r="C3146" t="s">
        <v>1505</v>
      </c>
      <c r="D3146">
        <v>1</v>
      </c>
      <c r="E3146" t="s">
        <v>760</v>
      </c>
      <c r="F3146">
        <v>7</v>
      </c>
      <c r="G3146">
        <v>2015</v>
      </c>
      <c r="I3146" s="8">
        <v>53.95</v>
      </c>
      <c r="J3146" t="s">
        <v>40</v>
      </c>
      <c r="K3146" t="s">
        <v>47</v>
      </c>
      <c r="O3146">
        <v>0</v>
      </c>
      <c r="P3146">
        <v>0</v>
      </c>
      <c r="Q3146">
        <v>0</v>
      </c>
      <c r="R3146">
        <v>0</v>
      </c>
      <c r="W3146" t="s">
        <v>1170</v>
      </c>
      <c r="AA3146">
        <v>2007</v>
      </c>
      <c r="AB3146">
        <v>9999</v>
      </c>
      <c r="AC3146" t="s">
        <v>35</v>
      </c>
    </row>
    <row r="3147" spans="1:29" x14ac:dyDescent="0.25">
      <c r="A3147" s="31" t="s">
        <v>78</v>
      </c>
      <c r="B3147" s="23" t="s">
        <v>1465</v>
      </c>
      <c r="C3147" t="s">
        <v>1466</v>
      </c>
      <c r="D3147">
        <v>1</v>
      </c>
      <c r="E3147" t="s">
        <v>80</v>
      </c>
      <c r="F3147">
        <v>8</v>
      </c>
      <c r="G3147">
        <v>2015</v>
      </c>
      <c r="I3147" s="8">
        <v>31.86</v>
      </c>
      <c r="J3147" t="s">
        <v>81</v>
      </c>
      <c r="K3147" t="s">
        <v>47</v>
      </c>
      <c r="O3147">
        <v>0</v>
      </c>
      <c r="P3147">
        <v>0</v>
      </c>
      <c r="Q3147">
        <v>0</v>
      </c>
      <c r="R3147">
        <v>0</v>
      </c>
      <c r="W3147" t="s">
        <v>1467</v>
      </c>
      <c r="AA3147">
        <v>2007</v>
      </c>
      <c r="AB3147">
        <v>9999</v>
      </c>
      <c r="AC3147" t="s">
        <v>35</v>
      </c>
    </row>
    <row r="3148" spans="1:29" x14ac:dyDescent="0.25">
      <c r="A3148" s="31" t="s">
        <v>768</v>
      </c>
      <c r="B3148" s="23" t="s">
        <v>769</v>
      </c>
      <c r="C3148" t="s">
        <v>770</v>
      </c>
      <c r="D3148">
        <v>1</v>
      </c>
      <c r="E3148" t="s">
        <v>30</v>
      </c>
      <c r="F3148">
        <v>4</v>
      </c>
      <c r="G3148">
        <v>2015</v>
      </c>
      <c r="I3148" s="8">
        <v>350.38</v>
      </c>
      <c r="J3148" t="s">
        <v>1471</v>
      </c>
      <c r="K3148" t="s">
        <v>47</v>
      </c>
      <c r="O3148">
        <v>0</v>
      </c>
      <c r="P3148">
        <v>0</v>
      </c>
      <c r="Q3148">
        <v>0</v>
      </c>
      <c r="R3148">
        <v>0</v>
      </c>
      <c r="W3148" t="s">
        <v>1506</v>
      </c>
      <c r="AA3148">
        <v>2007</v>
      </c>
      <c r="AB3148">
        <v>9999</v>
      </c>
      <c r="AC3148" t="s">
        <v>35</v>
      </c>
    </row>
    <row r="3149" spans="1:29" x14ac:dyDescent="0.25">
      <c r="A3149" s="31" t="s">
        <v>772</v>
      </c>
      <c r="B3149" s="23" t="s">
        <v>773</v>
      </c>
      <c r="C3149" t="s">
        <v>774</v>
      </c>
      <c r="D3149">
        <v>1</v>
      </c>
      <c r="E3149" t="s">
        <v>358</v>
      </c>
      <c r="F3149">
        <v>1</v>
      </c>
      <c r="G3149">
        <v>2015</v>
      </c>
      <c r="I3149" s="8">
        <v>386.11</v>
      </c>
      <c r="J3149" t="s">
        <v>52</v>
      </c>
      <c r="K3149" t="s">
        <v>32</v>
      </c>
      <c r="O3149">
        <v>0</v>
      </c>
      <c r="P3149">
        <v>0</v>
      </c>
      <c r="Q3149">
        <v>0</v>
      </c>
      <c r="R3149">
        <v>0</v>
      </c>
      <c r="W3149" t="s">
        <v>1174</v>
      </c>
      <c r="AA3149">
        <v>2007</v>
      </c>
      <c r="AB3149">
        <v>9999</v>
      </c>
      <c r="AC3149" t="s">
        <v>35</v>
      </c>
    </row>
    <row r="3150" spans="1:29" x14ac:dyDescent="0.25">
      <c r="A3150" s="31" t="s">
        <v>779</v>
      </c>
      <c r="B3150" s="23" t="s">
        <v>780</v>
      </c>
      <c r="D3150">
        <v>1</v>
      </c>
      <c r="E3150" t="s">
        <v>80</v>
      </c>
      <c r="F3150">
        <v>8</v>
      </c>
      <c r="G3150">
        <v>2015</v>
      </c>
      <c r="I3150" s="8">
        <v>74.53</v>
      </c>
      <c r="J3150" t="s">
        <v>81</v>
      </c>
      <c r="K3150" t="s">
        <v>47</v>
      </c>
      <c r="O3150">
        <v>0</v>
      </c>
      <c r="P3150">
        <v>0</v>
      </c>
      <c r="Q3150">
        <v>0</v>
      </c>
      <c r="R3150">
        <v>0</v>
      </c>
      <c r="W3150" t="s">
        <v>1176</v>
      </c>
      <c r="AA3150">
        <v>2007</v>
      </c>
      <c r="AB3150">
        <v>9999</v>
      </c>
      <c r="AC3150" t="s">
        <v>35</v>
      </c>
    </row>
    <row r="3151" spans="1:29" x14ac:dyDescent="0.25">
      <c r="A3151" s="31" t="s">
        <v>782</v>
      </c>
      <c r="B3151" s="23" t="s">
        <v>783</v>
      </c>
      <c r="D3151">
        <v>1</v>
      </c>
      <c r="E3151" t="s">
        <v>784</v>
      </c>
      <c r="F3151">
        <v>6</v>
      </c>
      <c r="G3151">
        <v>2015</v>
      </c>
      <c r="I3151" s="8">
        <v>76.97</v>
      </c>
      <c r="J3151" t="s">
        <v>1471</v>
      </c>
      <c r="K3151" t="s">
        <v>47</v>
      </c>
      <c r="O3151">
        <v>0</v>
      </c>
      <c r="P3151">
        <v>0</v>
      </c>
      <c r="Q3151">
        <v>0</v>
      </c>
      <c r="R3151">
        <v>0</v>
      </c>
      <c r="W3151" t="s">
        <v>1326</v>
      </c>
      <c r="AA3151">
        <v>2007</v>
      </c>
      <c r="AB3151">
        <v>9999</v>
      </c>
      <c r="AC3151" t="s">
        <v>35</v>
      </c>
    </row>
    <row r="3152" spans="1:29" x14ac:dyDescent="0.25">
      <c r="A3152" s="31" t="s">
        <v>786</v>
      </c>
      <c r="B3152" s="23" t="s">
        <v>787</v>
      </c>
      <c r="C3152" t="s">
        <v>788</v>
      </c>
      <c r="D3152">
        <v>1</v>
      </c>
      <c r="E3152" t="s">
        <v>120</v>
      </c>
      <c r="F3152">
        <v>3</v>
      </c>
      <c r="G3152">
        <v>2015</v>
      </c>
      <c r="I3152" s="8">
        <v>28.35</v>
      </c>
      <c r="J3152" t="s">
        <v>121</v>
      </c>
      <c r="K3152" t="s">
        <v>47</v>
      </c>
      <c r="O3152">
        <v>0</v>
      </c>
      <c r="P3152">
        <v>0</v>
      </c>
      <c r="Q3152">
        <v>0</v>
      </c>
      <c r="R3152">
        <v>0</v>
      </c>
      <c r="W3152" t="s">
        <v>1178</v>
      </c>
      <c r="AA3152">
        <v>2007</v>
      </c>
      <c r="AB3152">
        <v>9999</v>
      </c>
      <c r="AC3152" t="s">
        <v>35</v>
      </c>
    </row>
    <row r="3153" spans="1:29" x14ac:dyDescent="0.25">
      <c r="A3153" s="31" t="s">
        <v>790</v>
      </c>
      <c r="B3153" s="23" t="s">
        <v>791</v>
      </c>
      <c r="D3153">
        <v>1</v>
      </c>
      <c r="E3153" t="s">
        <v>80</v>
      </c>
      <c r="F3153">
        <v>8</v>
      </c>
      <c r="G3153">
        <v>2015</v>
      </c>
      <c r="I3153" s="8">
        <v>190.15</v>
      </c>
      <c r="J3153" t="s">
        <v>81</v>
      </c>
      <c r="K3153" t="s">
        <v>47</v>
      </c>
      <c r="O3153">
        <v>0</v>
      </c>
      <c r="P3153">
        <v>0</v>
      </c>
      <c r="Q3153">
        <v>0</v>
      </c>
      <c r="R3153">
        <v>0</v>
      </c>
      <c r="W3153" t="s">
        <v>1507</v>
      </c>
      <c r="AA3153">
        <v>2007</v>
      </c>
      <c r="AB3153">
        <v>9999</v>
      </c>
      <c r="AC3153" t="s">
        <v>35</v>
      </c>
    </row>
    <row r="3154" spans="1:29" ht="26.25" x14ac:dyDescent="0.25">
      <c r="A3154" s="31" t="s">
        <v>1327</v>
      </c>
      <c r="B3154" s="26" t="s">
        <v>1328</v>
      </c>
      <c r="C3154" t="s">
        <v>1329</v>
      </c>
      <c r="D3154">
        <v>1</v>
      </c>
      <c r="E3154" t="s">
        <v>218</v>
      </c>
      <c r="F3154">
        <v>2</v>
      </c>
      <c r="G3154">
        <v>2015</v>
      </c>
      <c r="I3154" s="8">
        <v>5.26</v>
      </c>
      <c r="J3154" t="s">
        <v>147</v>
      </c>
      <c r="K3154" t="s">
        <v>41</v>
      </c>
      <c r="O3154">
        <v>0</v>
      </c>
      <c r="P3154">
        <v>0</v>
      </c>
      <c r="Q3154">
        <v>0</v>
      </c>
      <c r="R3154">
        <v>0</v>
      </c>
      <c r="W3154" t="s">
        <v>1330</v>
      </c>
      <c r="AA3154">
        <v>2010</v>
      </c>
      <c r="AB3154">
        <v>9999</v>
      </c>
      <c r="AC3154" t="s">
        <v>1292</v>
      </c>
    </row>
    <row r="3155" spans="1:29" x14ac:dyDescent="0.25">
      <c r="A3155" s="31" t="s">
        <v>796</v>
      </c>
      <c r="B3155" s="23" t="s">
        <v>797</v>
      </c>
      <c r="C3155" t="s">
        <v>798</v>
      </c>
      <c r="D3155">
        <v>1</v>
      </c>
      <c r="E3155" t="s">
        <v>534</v>
      </c>
      <c r="F3155">
        <v>10</v>
      </c>
      <c r="G3155">
        <v>2015</v>
      </c>
      <c r="I3155" s="8">
        <v>3131.09</v>
      </c>
      <c r="J3155" t="s">
        <v>40</v>
      </c>
      <c r="K3155" t="s">
        <v>47</v>
      </c>
      <c r="O3155">
        <v>0</v>
      </c>
      <c r="P3155">
        <v>0</v>
      </c>
      <c r="Q3155">
        <v>0</v>
      </c>
      <c r="R3155">
        <v>0</v>
      </c>
      <c r="W3155" t="s">
        <v>1181</v>
      </c>
      <c r="AA3155">
        <v>2007</v>
      </c>
      <c r="AB3155">
        <v>9999</v>
      </c>
      <c r="AC3155" t="s">
        <v>35</v>
      </c>
    </row>
    <row r="3156" spans="1:29" x14ac:dyDescent="0.25">
      <c r="A3156" s="31" t="s">
        <v>800</v>
      </c>
      <c r="B3156" s="23" t="s">
        <v>801</v>
      </c>
      <c r="C3156" t="s">
        <v>802</v>
      </c>
      <c r="D3156">
        <v>1</v>
      </c>
      <c r="E3156" t="s">
        <v>442</v>
      </c>
      <c r="F3156">
        <v>4</v>
      </c>
      <c r="G3156">
        <v>2015</v>
      </c>
      <c r="I3156" s="8">
        <v>1651.51</v>
      </c>
      <c r="J3156" t="s">
        <v>89</v>
      </c>
      <c r="K3156" t="s">
        <v>47</v>
      </c>
      <c r="O3156">
        <v>0</v>
      </c>
      <c r="P3156">
        <v>0</v>
      </c>
      <c r="Q3156">
        <v>0</v>
      </c>
      <c r="R3156">
        <v>0</v>
      </c>
      <c r="W3156" t="s">
        <v>1331</v>
      </c>
      <c r="AA3156">
        <v>2007</v>
      </c>
      <c r="AB3156">
        <v>9999</v>
      </c>
      <c r="AC3156" t="s">
        <v>35</v>
      </c>
    </row>
    <row r="3157" spans="1:29" x14ac:dyDescent="0.25">
      <c r="A3157" s="31" t="s">
        <v>808</v>
      </c>
      <c r="B3157" s="23" t="s">
        <v>809</v>
      </c>
      <c r="D3157">
        <v>1</v>
      </c>
      <c r="E3157" t="s">
        <v>80</v>
      </c>
      <c r="F3157">
        <v>8</v>
      </c>
      <c r="G3157">
        <v>2015</v>
      </c>
      <c r="I3157" s="8">
        <v>18.45</v>
      </c>
      <c r="J3157" t="s">
        <v>81</v>
      </c>
      <c r="K3157" t="s">
        <v>47</v>
      </c>
      <c r="O3157">
        <v>0</v>
      </c>
      <c r="P3157">
        <v>0</v>
      </c>
      <c r="Q3157">
        <v>0</v>
      </c>
      <c r="R3157">
        <v>0</v>
      </c>
      <c r="W3157" t="s">
        <v>1184</v>
      </c>
      <c r="AA3157">
        <v>2007</v>
      </c>
      <c r="AB3157">
        <v>9999</v>
      </c>
      <c r="AC3157" t="s">
        <v>35</v>
      </c>
    </row>
    <row r="3158" spans="1:29" x14ac:dyDescent="0.25">
      <c r="A3158" s="31" t="s">
        <v>814</v>
      </c>
      <c r="B3158" s="23" t="s">
        <v>815</v>
      </c>
      <c r="D3158">
        <v>1</v>
      </c>
      <c r="E3158" t="s">
        <v>80</v>
      </c>
      <c r="F3158">
        <v>8</v>
      </c>
      <c r="G3158">
        <v>2015</v>
      </c>
      <c r="I3158" s="8">
        <v>69.11</v>
      </c>
      <c r="J3158" t="s">
        <v>81</v>
      </c>
      <c r="K3158" t="s">
        <v>32</v>
      </c>
      <c r="O3158">
        <v>0</v>
      </c>
      <c r="P3158">
        <v>0</v>
      </c>
      <c r="Q3158">
        <v>0</v>
      </c>
      <c r="R3158">
        <v>0</v>
      </c>
      <c r="W3158" t="s">
        <v>1432</v>
      </c>
      <c r="AA3158">
        <v>2007</v>
      </c>
      <c r="AB3158">
        <v>9999</v>
      </c>
      <c r="AC3158" t="s">
        <v>35</v>
      </c>
    </row>
    <row r="3159" spans="1:29" x14ac:dyDescent="0.25">
      <c r="A3159" s="31" t="s">
        <v>822</v>
      </c>
      <c r="B3159" s="23" t="s">
        <v>823</v>
      </c>
      <c r="D3159">
        <v>1</v>
      </c>
      <c r="E3159" t="s">
        <v>80</v>
      </c>
      <c r="F3159">
        <v>8</v>
      </c>
      <c r="G3159">
        <v>2015</v>
      </c>
      <c r="I3159" s="8">
        <v>183.6</v>
      </c>
      <c r="J3159" t="s">
        <v>81</v>
      </c>
      <c r="K3159" t="s">
        <v>47</v>
      </c>
      <c r="O3159">
        <v>0</v>
      </c>
      <c r="P3159">
        <v>0</v>
      </c>
      <c r="Q3159">
        <v>0</v>
      </c>
      <c r="R3159">
        <v>0</v>
      </c>
      <c r="W3159" t="s">
        <v>1187</v>
      </c>
      <c r="AA3159">
        <v>2007</v>
      </c>
      <c r="AB3159">
        <v>9999</v>
      </c>
      <c r="AC3159" t="s">
        <v>35</v>
      </c>
    </row>
    <row r="3160" spans="1:29" x14ac:dyDescent="0.25">
      <c r="A3160" s="31" t="s">
        <v>1374</v>
      </c>
      <c r="B3160" s="23" t="s">
        <v>1375</v>
      </c>
      <c r="D3160">
        <v>1</v>
      </c>
      <c r="E3160" t="s">
        <v>80</v>
      </c>
      <c r="F3160">
        <v>8</v>
      </c>
      <c r="G3160">
        <v>2015</v>
      </c>
      <c r="I3160" s="8">
        <v>17.350000000000001</v>
      </c>
      <c r="J3160" t="s">
        <v>81</v>
      </c>
      <c r="K3160" t="s">
        <v>47</v>
      </c>
      <c r="O3160">
        <v>0</v>
      </c>
      <c r="P3160">
        <v>0</v>
      </c>
      <c r="Q3160">
        <v>0</v>
      </c>
      <c r="R3160">
        <v>0</v>
      </c>
      <c r="W3160" t="s">
        <v>1376</v>
      </c>
      <c r="AA3160">
        <v>2011</v>
      </c>
      <c r="AB3160">
        <v>2023</v>
      </c>
      <c r="AC3160" t="s">
        <v>1377</v>
      </c>
    </row>
    <row r="3161" spans="1:29" x14ac:dyDescent="0.25">
      <c r="A3161" s="31" t="s">
        <v>825</v>
      </c>
      <c r="B3161" s="23" t="s">
        <v>826</v>
      </c>
      <c r="D3161">
        <v>1</v>
      </c>
      <c r="E3161" t="s">
        <v>80</v>
      </c>
      <c r="F3161">
        <v>8</v>
      </c>
      <c r="G3161">
        <v>2015</v>
      </c>
      <c r="I3161" s="8">
        <v>117.36</v>
      </c>
      <c r="J3161" t="s">
        <v>81</v>
      </c>
      <c r="K3161" t="s">
        <v>47</v>
      </c>
      <c r="O3161">
        <v>0</v>
      </c>
      <c r="P3161">
        <v>0</v>
      </c>
      <c r="Q3161">
        <v>0</v>
      </c>
      <c r="R3161">
        <v>0</v>
      </c>
      <c r="W3161" t="s">
        <v>1188</v>
      </c>
      <c r="AA3161">
        <v>2007</v>
      </c>
      <c r="AB3161">
        <v>9999</v>
      </c>
      <c r="AC3161" t="s">
        <v>35</v>
      </c>
    </row>
    <row r="3162" spans="1:29" x14ac:dyDescent="0.25">
      <c r="A3162" s="31" t="s">
        <v>828</v>
      </c>
      <c r="B3162" s="25" t="s">
        <v>1408</v>
      </c>
      <c r="C3162" t="s">
        <v>1409</v>
      </c>
      <c r="D3162">
        <v>1</v>
      </c>
      <c r="E3162" t="s">
        <v>80</v>
      </c>
      <c r="F3162">
        <v>8</v>
      </c>
      <c r="G3162">
        <v>2015</v>
      </c>
      <c r="I3162" s="8">
        <v>65.33</v>
      </c>
      <c r="J3162" t="s">
        <v>81</v>
      </c>
      <c r="K3162" t="s">
        <v>47</v>
      </c>
      <c r="O3162">
        <v>0</v>
      </c>
      <c r="P3162">
        <v>0</v>
      </c>
      <c r="Q3162">
        <v>0</v>
      </c>
      <c r="R3162">
        <v>0</v>
      </c>
      <c r="W3162" t="s">
        <v>1410</v>
      </c>
      <c r="AA3162">
        <v>2007</v>
      </c>
      <c r="AB3162">
        <v>9999</v>
      </c>
      <c r="AC3162" t="s">
        <v>35</v>
      </c>
    </row>
    <row r="3163" spans="1:29" x14ac:dyDescent="0.25">
      <c r="A3163" s="31" t="s">
        <v>831</v>
      </c>
      <c r="B3163" s="23" t="s">
        <v>832</v>
      </c>
      <c r="C3163" t="s">
        <v>833</v>
      </c>
      <c r="D3163">
        <v>1</v>
      </c>
      <c r="E3163" t="s">
        <v>38</v>
      </c>
      <c r="F3163">
        <v>4</v>
      </c>
      <c r="G3163">
        <v>2015</v>
      </c>
      <c r="H3163" t="s">
        <v>906</v>
      </c>
      <c r="J3163" t="s">
        <v>59</v>
      </c>
      <c r="K3163" t="s">
        <v>41</v>
      </c>
      <c r="O3163">
        <v>0</v>
      </c>
      <c r="P3163">
        <v>0</v>
      </c>
      <c r="Q3163">
        <v>0</v>
      </c>
      <c r="R3163">
        <v>0</v>
      </c>
      <c r="W3163" t="s">
        <v>1190</v>
      </c>
      <c r="AA3163">
        <v>2007</v>
      </c>
      <c r="AB3163">
        <v>9999</v>
      </c>
      <c r="AC3163" t="s">
        <v>35</v>
      </c>
    </row>
    <row r="3164" spans="1:29" x14ac:dyDescent="0.25">
      <c r="A3164" s="31" t="s">
        <v>1433</v>
      </c>
      <c r="B3164" s="23" t="s">
        <v>1434</v>
      </c>
      <c r="D3164">
        <v>1</v>
      </c>
      <c r="E3164" s="4">
        <v>133</v>
      </c>
      <c r="F3164">
        <v>1</v>
      </c>
      <c r="G3164">
        <v>2015</v>
      </c>
      <c r="I3164" s="8">
        <v>255.71</v>
      </c>
      <c r="J3164" t="s">
        <v>52</v>
      </c>
      <c r="K3164" t="s">
        <v>32</v>
      </c>
      <c r="O3164">
        <v>0</v>
      </c>
      <c r="P3164">
        <v>0</v>
      </c>
      <c r="Q3164">
        <v>0</v>
      </c>
      <c r="R3164">
        <v>0</v>
      </c>
      <c r="W3164" t="s">
        <v>1435</v>
      </c>
      <c r="AA3164">
        <v>2013</v>
      </c>
      <c r="AB3164">
        <v>9999</v>
      </c>
      <c r="AC3164" t="s">
        <v>1419</v>
      </c>
    </row>
    <row r="3165" spans="1:29" x14ac:dyDescent="0.25">
      <c r="A3165" s="31" t="s">
        <v>1194</v>
      </c>
      <c r="B3165" s="23" t="s">
        <v>1195</v>
      </c>
      <c r="D3165">
        <v>1</v>
      </c>
      <c r="E3165" t="s">
        <v>85</v>
      </c>
      <c r="F3165">
        <v>1</v>
      </c>
      <c r="G3165">
        <v>2015</v>
      </c>
      <c r="H3165" t="s">
        <v>39</v>
      </c>
      <c r="J3165" t="s">
        <v>52</v>
      </c>
      <c r="K3165" t="s">
        <v>41</v>
      </c>
      <c r="O3165">
        <v>0</v>
      </c>
      <c r="P3165">
        <v>0</v>
      </c>
      <c r="Q3165">
        <v>0</v>
      </c>
      <c r="R3165">
        <v>0</v>
      </c>
      <c r="W3165" t="s">
        <v>1267</v>
      </c>
      <c r="AA3165">
        <v>2008</v>
      </c>
      <c r="AB3165">
        <v>9999</v>
      </c>
      <c r="AC3165" t="s">
        <v>1054</v>
      </c>
    </row>
    <row r="3166" spans="1:29" x14ac:dyDescent="0.25">
      <c r="A3166" s="31" t="s">
        <v>1268</v>
      </c>
      <c r="B3166" s="23" t="s">
        <v>1262</v>
      </c>
      <c r="D3166">
        <v>1</v>
      </c>
      <c r="E3166" t="s">
        <v>300</v>
      </c>
      <c r="F3166">
        <v>9</v>
      </c>
      <c r="G3166">
        <v>2015</v>
      </c>
      <c r="I3166" s="8">
        <v>375.94</v>
      </c>
      <c r="J3166" t="s">
        <v>104</v>
      </c>
      <c r="K3166" t="s">
        <v>47</v>
      </c>
      <c r="O3166">
        <v>0</v>
      </c>
      <c r="P3166">
        <v>0</v>
      </c>
      <c r="Q3166">
        <v>0</v>
      </c>
      <c r="R3166">
        <v>0</v>
      </c>
      <c r="W3166" t="s">
        <v>1411</v>
      </c>
      <c r="AA3166">
        <v>2009</v>
      </c>
      <c r="AB3166">
        <v>9999</v>
      </c>
      <c r="AC3166" t="s">
        <v>1239</v>
      </c>
    </row>
    <row r="3167" spans="1:29" x14ac:dyDescent="0.25">
      <c r="A3167" s="31" t="s">
        <v>845</v>
      </c>
      <c r="B3167" s="23" t="s">
        <v>846</v>
      </c>
      <c r="C3167" t="s">
        <v>847</v>
      </c>
      <c r="D3167">
        <v>1</v>
      </c>
      <c r="E3167" t="s">
        <v>300</v>
      </c>
      <c r="F3167">
        <v>9</v>
      </c>
      <c r="G3167">
        <v>2015</v>
      </c>
      <c r="I3167" s="8">
        <v>496.85</v>
      </c>
      <c r="J3167" t="s">
        <v>104</v>
      </c>
      <c r="K3167" t="s">
        <v>47</v>
      </c>
      <c r="O3167">
        <v>0</v>
      </c>
      <c r="P3167">
        <v>0</v>
      </c>
      <c r="Q3167">
        <v>0</v>
      </c>
      <c r="R3167">
        <v>0</v>
      </c>
      <c r="W3167" t="s">
        <v>1412</v>
      </c>
      <c r="AA3167">
        <v>2007</v>
      </c>
      <c r="AB3167">
        <v>9999</v>
      </c>
      <c r="AC3167" t="s">
        <v>35</v>
      </c>
    </row>
    <row r="3168" spans="1:29" x14ac:dyDescent="0.25">
      <c r="A3168" s="31" t="s">
        <v>852</v>
      </c>
      <c r="B3168" s="23" t="s">
        <v>853</v>
      </c>
      <c r="D3168">
        <v>1</v>
      </c>
      <c r="E3168" t="s">
        <v>85</v>
      </c>
      <c r="F3168">
        <v>1</v>
      </c>
      <c r="G3168">
        <v>2015</v>
      </c>
      <c r="H3168" t="s">
        <v>837</v>
      </c>
      <c r="J3168" t="s">
        <v>52</v>
      </c>
      <c r="K3168" t="s">
        <v>41</v>
      </c>
      <c r="O3168">
        <v>0</v>
      </c>
      <c r="P3168">
        <v>0</v>
      </c>
      <c r="Q3168">
        <v>0</v>
      </c>
      <c r="R3168">
        <v>0</v>
      </c>
      <c r="W3168" t="s">
        <v>1191</v>
      </c>
      <c r="AA3168">
        <v>2007</v>
      </c>
      <c r="AB3168">
        <v>9999</v>
      </c>
      <c r="AC3168" t="s">
        <v>35</v>
      </c>
    </row>
    <row r="3169" spans="1:29" x14ac:dyDescent="0.25">
      <c r="A3169" s="31" t="s">
        <v>836</v>
      </c>
      <c r="B3169" s="23" t="s">
        <v>1413</v>
      </c>
      <c r="D3169">
        <v>1</v>
      </c>
      <c r="E3169" t="s">
        <v>64</v>
      </c>
      <c r="F3169">
        <v>1</v>
      </c>
      <c r="G3169">
        <v>2015</v>
      </c>
      <c r="I3169" s="8">
        <v>250.1</v>
      </c>
      <c r="J3169" t="s">
        <v>52</v>
      </c>
      <c r="K3169" t="s">
        <v>32</v>
      </c>
      <c r="O3169">
        <v>0</v>
      </c>
      <c r="P3169">
        <v>0</v>
      </c>
      <c r="Q3169">
        <v>0</v>
      </c>
      <c r="R3169">
        <v>0</v>
      </c>
      <c r="W3169" t="s">
        <v>1191</v>
      </c>
      <c r="AA3169">
        <v>2007</v>
      </c>
      <c r="AB3169">
        <v>9999</v>
      </c>
      <c r="AC3169" t="s">
        <v>35</v>
      </c>
    </row>
    <row r="3170" spans="1:29" x14ac:dyDescent="0.25">
      <c r="A3170" s="31" t="s">
        <v>857</v>
      </c>
      <c r="B3170" s="25" t="s">
        <v>858</v>
      </c>
      <c r="D3170">
        <v>1</v>
      </c>
      <c r="E3170" t="s">
        <v>859</v>
      </c>
      <c r="F3170">
        <v>5</v>
      </c>
      <c r="G3170">
        <v>2015</v>
      </c>
      <c r="I3170" s="8">
        <v>8.19</v>
      </c>
      <c r="J3170" t="s">
        <v>1471</v>
      </c>
      <c r="K3170" t="s">
        <v>47</v>
      </c>
      <c r="O3170">
        <v>0</v>
      </c>
      <c r="P3170">
        <v>0</v>
      </c>
      <c r="Q3170">
        <v>0</v>
      </c>
      <c r="R3170">
        <v>0</v>
      </c>
      <c r="W3170" t="s">
        <v>1197</v>
      </c>
      <c r="AA3170">
        <v>2007</v>
      </c>
      <c r="AB3170">
        <v>2015</v>
      </c>
      <c r="AC3170" t="s">
        <v>861</v>
      </c>
    </row>
    <row r="3171" spans="1:29" x14ac:dyDescent="0.25">
      <c r="A3171" s="31" t="s">
        <v>862</v>
      </c>
      <c r="B3171" s="23" t="s">
        <v>863</v>
      </c>
      <c r="C3171" t="s">
        <v>864</v>
      </c>
      <c r="D3171">
        <v>1</v>
      </c>
      <c r="E3171" t="s">
        <v>442</v>
      </c>
      <c r="F3171">
        <v>4</v>
      </c>
      <c r="G3171">
        <v>2015</v>
      </c>
      <c r="I3171" s="8">
        <v>323.8</v>
      </c>
      <c r="J3171" t="s">
        <v>89</v>
      </c>
      <c r="K3171" t="s">
        <v>47</v>
      </c>
      <c r="O3171">
        <v>0</v>
      </c>
      <c r="P3171">
        <v>0</v>
      </c>
      <c r="Q3171">
        <v>0</v>
      </c>
      <c r="R3171">
        <v>0</v>
      </c>
      <c r="W3171" t="s">
        <v>1334</v>
      </c>
      <c r="AA3171">
        <v>2007</v>
      </c>
      <c r="AB3171">
        <v>9999</v>
      </c>
      <c r="AC3171" t="s">
        <v>35</v>
      </c>
    </row>
    <row r="3172" spans="1:29" x14ac:dyDescent="0.25">
      <c r="A3172" s="31" t="s">
        <v>866</v>
      </c>
      <c r="B3172" s="23" t="s">
        <v>867</v>
      </c>
      <c r="C3172" t="s">
        <v>868</v>
      </c>
      <c r="D3172">
        <v>1</v>
      </c>
      <c r="E3172" t="s">
        <v>869</v>
      </c>
      <c r="F3172">
        <v>4</v>
      </c>
      <c r="G3172">
        <v>2015</v>
      </c>
      <c r="I3172" s="8">
        <v>184.22</v>
      </c>
      <c r="J3172" t="s">
        <v>89</v>
      </c>
      <c r="K3172" t="s">
        <v>32</v>
      </c>
      <c r="O3172">
        <v>0</v>
      </c>
      <c r="P3172">
        <v>0</v>
      </c>
      <c r="Q3172">
        <v>0</v>
      </c>
      <c r="R3172">
        <v>0</v>
      </c>
      <c r="W3172" t="s">
        <v>1199</v>
      </c>
      <c r="AA3172">
        <v>2007</v>
      </c>
      <c r="AB3172">
        <v>9999</v>
      </c>
      <c r="AC3172" t="s">
        <v>35</v>
      </c>
    </row>
    <row r="3173" spans="1:29" x14ac:dyDescent="0.25">
      <c r="A3173" s="31" t="s">
        <v>1023</v>
      </c>
      <c r="B3173" s="23" t="s">
        <v>1200</v>
      </c>
      <c r="D3173">
        <v>1</v>
      </c>
      <c r="E3173" t="s">
        <v>85</v>
      </c>
      <c r="F3173">
        <v>1</v>
      </c>
      <c r="G3173">
        <v>2015</v>
      </c>
      <c r="H3173" t="s">
        <v>39</v>
      </c>
      <c r="J3173" t="s">
        <v>52</v>
      </c>
      <c r="K3173" t="s">
        <v>41</v>
      </c>
      <c r="O3173">
        <v>0</v>
      </c>
      <c r="P3173">
        <v>0</v>
      </c>
      <c r="Q3173">
        <v>0</v>
      </c>
      <c r="R3173">
        <v>0</v>
      </c>
      <c r="W3173" t="s">
        <v>1271</v>
      </c>
      <c r="AA3173">
        <v>2007</v>
      </c>
      <c r="AB3173">
        <v>9999</v>
      </c>
      <c r="AC3173" t="s">
        <v>35</v>
      </c>
    </row>
    <row r="3174" spans="1:29" x14ac:dyDescent="0.25">
      <c r="A3174" s="31" t="s">
        <v>871</v>
      </c>
      <c r="B3174" s="23" t="s">
        <v>872</v>
      </c>
      <c r="C3174" t="s">
        <v>873</v>
      </c>
      <c r="D3174">
        <v>1</v>
      </c>
      <c r="E3174" t="s">
        <v>874</v>
      </c>
      <c r="F3174">
        <v>1</v>
      </c>
      <c r="G3174">
        <v>2015</v>
      </c>
      <c r="I3174" s="8">
        <v>1192.8699999999999</v>
      </c>
      <c r="J3174" t="s">
        <v>52</v>
      </c>
      <c r="K3174" t="s">
        <v>47</v>
      </c>
      <c r="O3174">
        <v>0</v>
      </c>
      <c r="P3174">
        <v>0</v>
      </c>
      <c r="Q3174">
        <v>0</v>
      </c>
      <c r="R3174">
        <v>0</v>
      </c>
      <c r="W3174" t="s">
        <v>1201</v>
      </c>
      <c r="AA3174">
        <v>2007</v>
      </c>
      <c r="AB3174">
        <v>9999</v>
      </c>
      <c r="AC3174" t="s">
        <v>35</v>
      </c>
    </row>
    <row r="3175" spans="1:29" x14ac:dyDescent="0.25">
      <c r="A3175" s="31" t="s">
        <v>876</v>
      </c>
      <c r="B3175" s="23" t="s">
        <v>877</v>
      </c>
      <c r="C3175" t="s">
        <v>878</v>
      </c>
      <c r="D3175">
        <v>1</v>
      </c>
      <c r="E3175" t="s">
        <v>168</v>
      </c>
      <c r="F3175">
        <v>1</v>
      </c>
      <c r="G3175">
        <v>2015</v>
      </c>
      <c r="I3175" s="8">
        <v>64.5</v>
      </c>
      <c r="J3175" t="s">
        <v>52</v>
      </c>
      <c r="K3175" t="s">
        <v>47</v>
      </c>
      <c r="O3175">
        <v>0</v>
      </c>
      <c r="P3175">
        <v>0</v>
      </c>
      <c r="Q3175">
        <v>0</v>
      </c>
      <c r="R3175">
        <v>0</v>
      </c>
      <c r="W3175" t="s">
        <v>1202</v>
      </c>
      <c r="AA3175">
        <v>2007</v>
      </c>
      <c r="AB3175">
        <v>9999</v>
      </c>
      <c r="AC3175" t="s">
        <v>35</v>
      </c>
    </row>
    <row r="3176" spans="1:29" x14ac:dyDescent="0.25">
      <c r="A3176" s="31" t="s">
        <v>1468</v>
      </c>
      <c r="B3176" s="24" t="s">
        <v>1469</v>
      </c>
      <c r="D3176">
        <v>1</v>
      </c>
      <c r="E3176" s="4">
        <v>941</v>
      </c>
      <c r="F3176">
        <v>9</v>
      </c>
      <c r="G3176">
        <v>2015</v>
      </c>
      <c r="I3176" s="8">
        <v>207.92</v>
      </c>
      <c r="J3176" t="s">
        <v>104</v>
      </c>
      <c r="K3176" t="s">
        <v>53</v>
      </c>
      <c r="L3176" t="s">
        <v>105</v>
      </c>
      <c r="O3176">
        <v>0</v>
      </c>
      <c r="P3176">
        <v>1</v>
      </c>
      <c r="Q3176">
        <v>0</v>
      </c>
      <c r="R3176">
        <v>0</v>
      </c>
      <c r="W3176" t="s">
        <v>106</v>
      </c>
      <c r="AA3176">
        <v>2014</v>
      </c>
      <c r="AB3176">
        <v>9999</v>
      </c>
      <c r="AC3176" t="s">
        <v>1449</v>
      </c>
    </row>
    <row r="3177" spans="1:29" x14ac:dyDescent="0.25">
      <c r="A3177" s="31" t="s">
        <v>880</v>
      </c>
      <c r="B3177" s="23" t="s">
        <v>881</v>
      </c>
      <c r="C3177" t="s">
        <v>882</v>
      </c>
      <c r="D3177">
        <v>1</v>
      </c>
      <c r="E3177" t="s">
        <v>103</v>
      </c>
      <c r="F3177">
        <v>9</v>
      </c>
      <c r="G3177">
        <v>2015</v>
      </c>
      <c r="I3177" s="8">
        <v>4706.47</v>
      </c>
      <c r="J3177" t="s">
        <v>104</v>
      </c>
      <c r="K3177" t="s">
        <v>53</v>
      </c>
      <c r="L3177" t="s">
        <v>105</v>
      </c>
      <c r="O3177">
        <v>0</v>
      </c>
      <c r="P3177">
        <v>1</v>
      </c>
      <c r="Q3177">
        <v>0</v>
      </c>
      <c r="R3177">
        <v>0</v>
      </c>
      <c r="W3177" t="s">
        <v>106</v>
      </c>
      <c r="AA3177">
        <v>2007</v>
      </c>
      <c r="AB3177">
        <v>9999</v>
      </c>
      <c r="AC3177" t="s">
        <v>35</v>
      </c>
    </row>
    <row r="3178" spans="1:29" x14ac:dyDescent="0.25">
      <c r="A3178" s="31" t="s">
        <v>1272</v>
      </c>
      <c r="B3178" s="23" t="s">
        <v>1273</v>
      </c>
      <c r="D3178">
        <v>1</v>
      </c>
      <c r="E3178" t="s">
        <v>1274</v>
      </c>
      <c r="F3178">
        <v>4</v>
      </c>
      <c r="G3178">
        <v>2015</v>
      </c>
      <c r="I3178" s="8">
        <v>303.32</v>
      </c>
      <c r="J3178" t="s">
        <v>1471</v>
      </c>
      <c r="K3178" t="s">
        <v>47</v>
      </c>
      <c r="O3178">
        <v>0</v>
      </c>
      <c r="P3178">
        <v>0</v>
      </c>
      <c r="Q3178">
        <v>0</v>
      </c>
      <c r="R3178">
        <v>0</v>
      </c>
      <c r="W3178" t="s">
        <v>1275</v>
      </c>
      <c r="AA3178">
        <v>2009</v>
      </c>
      <c r="AB3178">
        <v>9999</v>
      </c>
      <c r="AC3178" t="s">
        <v>1239</v>
      </c>
    </row>
    <row r="3179" spans="1:29" x14ac:dyDescent="0.25">
      <c r="A3179" s="31" t="s">
        <v>883</v>
      </c>
      <c r="B3179" s="23" t="s">
        <v>884</v>
      </c>
      <c r="C3179" t="s">
        <v>885</v>
      </c>
      <c r="D3179">
        <v>1</v>
      </c>
      <c r="E3179" t="s">
        <v>45</v>
      </c>
      <c r="F3179">
        <v>4</v>
      </c>
      <c r="G3179">
        <v>2015</v>
      </c>
      <c r="I3179" s="8">
        <v>110.98</v>
      </c>
      <c r="J3179" t="s">
        <v>176</v>
      </c>
      <c r="K3179" t="s">
        <v>47</v>
      </c>
      <c r="O3179">
        <v>0</v>
      </c>
      <c r="P3179">
        <v>0</v>
      </c>
      <c r="Q3179">
        <v>0</v>
      </c>
      <c r="R3179">
        <v>0</v>
      </c>
      <c r="W3179" t="s">
        <v>1335</v>
      </c>
      <c r="AA3179">
        <v>2007</v>
      </c>
      <c r="AB3179">
        <v>9999</v>
      </c>
      <c r="AC3179" t="s">
        <v>35</v>
      </c>
    </row>
    <row r="3180" spans="1:29" x14ac:dyDescent="0.25">
      <c r="A3180" s="31" t="s">
        <v>887</v>
      </c>
      <c r="B3180" s="23" t="s">
        <v>888</v>
      </c>
      <c r="C3180" t="s">
        <v>889</v>
      </c>
      <c r="D3180">
        <v>1</v>
      </c>
      <c r="E3180" t="s">
        <v>335</v>
      </c>
      <c r="F3180">
        <v>1</v>
      </c>
      <c r="G3180">
        <v>2015</v>
      </c>
      <c r="I3180" s="8">
        <v>508.58</v>
      </c>
      <c r="J3180" t="s">
        <v>176</v>
      </c>
      <c r="K3180" t="s">
        <v>32</v>
      </c>
      <c r="O3180">
        <v>0</v>
      </c>
      <c r="P3180">
        <v>0</v>
      </c>
      <c r="Q3180">
        <v>0</v>
      </c>
      <c r="R3180">
        <v>0</v>
      </c>
      <c r="W3180" t="s">
        <v>1381</v>
      </c>
      <c r="AA3180">
        <v>2007</v>
      </c>
      <c r="AB3180">
        <v>9999</v>
      </c>
      <c r="AC3180" t="s">
        <v>35</v>
      </c>
    </row>
    <row r="3181" spans="1:29" x14ac:dyDescent="0.25">
      <c r="A3181" s="31" t="s">
        <v>894</v>
      </c>
      <c r="B3181" s="23" t="s">
        <v>895</v>
      </c>
      <c r="D3181">
        <v>1</v>
      </c>
      <c r="E3181" t="s">
        <v>38</v>
      </c>
      <c r="F3181">
        <v>4</v>
      </c>
      <c r="G3181">
        <v>2015</v>
      </c>
      <c r="H3181" t="s">
        <v>715</v>
      </c>
      <c r="J3181" s="2" t="s">
        <v>89</v>
      </c>
      <c r="K3181" t="s">
        <v>53</v>
      </c>
      <c r="L3181" t="s">
        <v>53</v>
      </c>
      <c r="O3181">
        <v>0</v>
      </c>
      <c r="P3181">
        <v>0</v>
      </c>
      <c r="Q3181">
        <v>0</v>
      </c>
      <c r="R3181">
        <v>0</v>
      </c>
      <c r="W3181" t="s">
        <v>897</v>
      </c>
      <c r="AA3181">
        <v>2007</v>
      </c>
      <c r="AB3181">
        <v>9999</v>
      </c>
      <c r="AC3181" t="s">
        <v>35</v>
      </c>
    </row>
    <row r="3182" spans="1:29" x14ac:dyDescent="0.25">
      <c r="A3182" s="31" t="s">
        <v>900</v>
      </c>
      <c r="B3182" s="23" t="s">
        <v>901</v>
      </c>
      <c r="D3182">
        <v>1</v>
      </c>
      <c r="E3182" t="s">
        <v>38</v>
      </c>
      <c r="F3182">
        <v>4</v>
      </c>
      <c r="G3182">
        <v>2015</v>
      </c>
      <c r="H3182" t="s">
        <v>596</v>
      </c>
      <c r="J3182" t="s">
        <v>89</v>
      </c>
      <c r="K3182" t="s">
        <v>53</v>
      </c>
      <c r="L3182" t="s">
        <v>902</v>
      </c>
      <c r="O3182">
        <v>0</v>
      </c>
      <c r="P3182">
        <v>0</v>
      </c>
      <c r="Q3182">
        <v>0</v>
      </c>
      <c r="R3182">
        <v>0</v>
      </c>
      <c r="W3182" t="s">
        <v>903</v>
      </c>
      <c r="AA3182">
        <v>2007</v>
      </c>
      <c r="AB3182">
        <v>9999</v>
      </c>
      <c r="AC3182" t="s">
        <v>35</v>
      </c>
    </row>
    <row r="3183" spans="1:29" x14ac:dyDescent="0.25">
      <c r="A3183" s="31" t="s">
        <v>904</v>
      </c>
      <c r="B3183" s="25" t="s">
        <v>1436</v>
      </c>
      <c r="D3183">
        <v>1</v>
      </c>
      <c r="E3183" t="s">
        <v>38</v>
      </c>
      <c r="F3183">
        <v>4</v>
      </c>
      <c r="G3183">
        <v>2015</v>
      </c>
      <c r="H3183" t="s">
        <v>906</v>
      </c>
      <c r="J3183" t="s">
        <v>59</v>
      </c>
      <c r="K3183" t="s">
        <v>53</v>
      </c>
      <c r="L3183" t="s">
        <v>902</v>
      </c>
      <c r="O3183">
        <v>0</v>
      </c>
      <c r="P3183">
        <v>0</v>
      </c>
      <c r="Q3183">
        <v>0</v>
      </c>
      <c r="R3183">
        <v>0</v>
      </c>
      <c r="W3183" t="s">
        <v>907</v>
      </c>
      <c r="AA3183">
        <v>2007</v>
      </c>
      <c r="AB3183">
        <v>9999</v>
      </c>
      <c r="AC3183" t="s">
        <v>35</v>
      </c>
    </row>
    <row r="3184" spans="1:29" x14ac:dyDescent="0.25">
      <c r="A3184" s="31" t="s">
        <v>908</v>
      </c>
      <c r="B3184" s="23" t="s">
        <v>909</v>
      </c>
      <c r="C3184" t="s">
        <v>910</v>
      </c>
      <c r="D3184">
        <v>1</v>
      </c>
      <c r="E3184" t="s">
        <v>911</v>
      </c>
      <c r="F3184">
        <v>1</v>
      </c>
      <c r="G3184">
        <v>2015</v>
      </c>
      <c r="I3184" s="8">
        <v>114.41</v>
      </c>
      <c r="J3184" t="s">
        <v>176</v>
      </c>
      <c r="K3184" t="s">
        <v>47</v>
      </c>
      <c r="O3184">
        <v>0</v>
      </c>
      <c r="P3184">
        <v>0</v>
      </c>
      <c r="Q3184">
        <v>0</v>
      </c>
      <c r="R3184">
        <v>0</v>
      </c>
      <c r="W3184" t="s">
        <v>1206</v>
      </c>
      <c r="AA3184">
        <v>2007</v>
      </c>
      <c r="AB3184">
        <v>9999</v>
      </c>
      <c r="AC3184" t="s">
        <v>35</v>
      </c>
    </row>
    <row r="3185" spans="1:29" x14ac:dyDescent="0.25">
      <c r="A3185" s="31" t="s">
        <v>913</v>
      </c>
      <c r="B3185" s="23" t="s">
        <v>914</v>
      </c>
      <c r="C3185" t="s">
        <v>915</v>
      </c>
      <c r="D3185">
        <v>1</v>
      </c>
      <c r="E3185" t="s">
        <v>911</v>
      </c>
      <c r="F3185">
        <v>1</v>
      </c>
      <c r="G3185">
        <v>2015</v>
      </c>
      <c r="I3185" s="8">
        <v>12.38</v>
      </c>
      <c r="J3185" t="s">
        <v>268</v>
      </c>
      <c r="K3185" t="s">
        <v>47</v>
      </c>
      <c r="O3185">
        <v>0</v>
      </c>
      <c r="P3185">
        <v>0</v>
      </c>
      <c r="Q3185">
        <v>0</v>
      </c>
      <c r="R3185">
        <v>0</v>
      </c>
      <c r="W3185" t="s">
        <v>1276</v>
      </c>
      <c r="AA3185">
        <v>2007</v>
      </c>
      <c r="AB3185">
        <v>9999</v>
      </c>
      <c r="AC3185" t="s">
        <v>35</v>
      </c>
    </row>
    <row r="3186" spans="1:29" x14ac:dyDescent="0.25">
      <c r="A3186" s="31" t="s">
        <v>97</v>
      </c>
      <c r="B3186" s="23" t="s">
        <v>99</v>
      </c>
      <c r="C3186" t="s">
        <v>923</v>
      </c>
      <c r="D3186">
        <v>1</v>
      </c>
      <c r="E3186" t="s">
        <v>45</v>
      </c>
      <c r="F3186">
        <v>4</v>
      </c>
      <c r="G3186">
        <v>2015</v>
      </c>
      <c r="I3186" s="8">
        <v>230.57</v>
      </c>
      <c r="J3186" t="s">
        <v>89</v>
      </c>
      <c r="K3186" t="s">
        <v>47</v>
      </c>
      <c r="O3186">
        <v>0</v>
      </c>
      <c r="P3186">
        <v>0</v>
      </c>
      <c r="Q3186">
        <v>0</v>
      </c>
      <c r="R3186">
        <v>0</v>
      </c>
      <c r="W3186" t="s">
        <v>1277</v>
      </c>
      <c r="AA3186">
        <v>2007</v>
      </c>
      <c r="AB3186">
        <v>9999</v>
      </c>
      <c r="AC3186" t="s">
        <v>35</v>
      </c>
    </row>
    <row r="3187" spans="1:29" x14ac:dyDescent="0.25">
      <c r="A3187" s="31" t="s">
        <v>925</v>
      </c>
      <c r="B3187" s="23" t="s">
        <v>926</v>
      </c>
      <c r="C3187" t="s">
        <v>927</v>
      </c>
      <c r="D3187">
        <v>1</v>
      </c>
      <c r="E3187" t="s">
        <v>103</v>
      </c>
      <c r="F3187">
        <v>9</v>
      </c>
      <c r="G3187">
        <v>2015</v>
      </c>
      <c r="I3187" s="8">
        <v>2879</v>
      </c>
      <c r="J3187" t="s">
        <v>89</v>
      </c>
      <c r="K3187" t="s">
        <v>53</v>
      </c>
      <c r="L3187" t="s">
        <v>105</v>
      </c>
      <c r="O3187">
        <v>0</v>
      </c>
      <c r="P3187">
        <v>0</v>
      </c>
      <c r="Q3187">
        <v>0</v>
      </c>
      <c r="R3187">
        <v>0</v>
      </c>
      <c r="W3187" t="s">
        <v>928</v>
      </c>
      <c r="AA3187">
        <v>2007</v>
      </c>
      <c r="AB3187">
        <v>9999</v>
      </c>
      <c r="AC3187" t="s">
        <v>35</v>
      </c>
    </row>
    <row r="3188" spans="1:29" x14ac:dyDescent="0.25">
      <c r="A3188" s="31" t="s">
        <v>929</v>
      </c>
      <c r="B3188" s="23" t="s">
        <v>930</v>
      </c>
      <c r="C3188" t="s">
        <v>931</v>
      </c>
      <c r="D3188">
        <v>1</v>
      </c>
      <c r="E3188" t="s">
        <v>45</v>
      </c>
      <c r="F3188">
        <v>4</v>
      </c>
      <c r="G3188">
        <v>2015</v>
      </c>
      <c r="I3188" s="8">
        <v>564.1</v>
      </c>
      <c r="J3188" t="s">
        <v>1471</v>
      </c>
      <c r="K3188" t="s">
        <v>47</v>
      </c>
      <c r="O3188">
        <v>0</v>
      </c>
      <c r="P3188">
        <v>0</v>
      </c>
      <c r="Q3188">
        <v>0</v>
      </c>
      <c r="R3188">
        <v>0</v>
      </c>
      <c r="W3188" t="s">
        <v>1336</v>
      </c>
      <c r="AA3188">
        <v>2007</v>
      </c>
      <c r="AB3188">
        <v>9999</v>
      </c>
      <c r="AC3188" t="s">
        <v>35</v>
      </c>
    </row>
    <row r="3189" spans="1:29" x14ac:dyDescent="0.25">
      <c r="A3189" s="31" t="s">
        <v>1212</v>
      </c>
      <c r="B3189" s="23" t="s">
        <v>1213</v>
      </c>
      <c r="D3189">
        <v>1</v>
      </c>
      <c r="E3189" t="s">
        <v>681</v>
      </c>
      <c r="F3189">
        <v>3</v>
      </c>
      <c r="G3189">
        <v>2015</v>
      </c>
      <c r="I3189" s="8">
        <v>13</v>
      </c>
      <c r="J3189" t="s">
        <v>121</v>
      </c>
      <c r="K3189" t="s">
        <v>41</v>
      </c>
      <c r="O3189">
        <v>0</v>
      </c>
      <c r="P3189">
        <v>0</v>
      </c>
      <c r="Q3189">
        <v>0</v>
      </c>
      <c r="R3189">
        <v>0</v>
      </c>
      <c r="W3189" t="s">
        <v>1278</v>
      </c>
      <c r="AA3189">
        <v>2008</v>
      </c>
      <c r="AB3189">
        <v>9999</v>
      </c>
      <c r="AC3189" t="s">
        <v>1054</v>
      </c>
    </row>
    <row r="3190" spans="1:29" x14ac:dyDescent="0.25">
      <c r="A3190" s="31" t="s">
        <v>933</v>
      </c>
      <c r="B3190" s="23" t="s">
        <v>934</v>
      </c>
      <c r="C3190" t="s">
        <v>935</v>
      </c>
      <c r="D3190">
        <v>1</v>
      </c>
      <c r="E3190" t="s">
        <v>681</v>
      </c>
      <c r="F3190">
        <v>3</v>
      </c>
      <c r="G3190">
        <v>2015</v>
      </c>
      <c r="J3190" t="s">
        <v>121</v>
      </c>
      <c r="K3190" t="s">
        <v>47</v>
      </c>
      <c r="O3190">
        <v>0</v>
      </c>
      <c r="P3190">
        <v>0</v>
      </c>
      <c r="Q3190">
        <v>0</v>
      </c>
      <c r="R3190">
        <v>0</v>
      </c>
      <c r="W3190" t="s">
        <v>1508</v>
      </c>
      <c r="AA3190">
        <v>2007</v>
      </c>
      <c r="AB3190">
        <v>9999</v>
      </c>
      <c r="AC3190" t="s">
        <v>35</v>
      </c>
    </row>
    <row r="3191" spans="1:29" x14ac:dyDescent="0.25">
      <c r="A3191" s="31" t="s">
        <v>937</v>
      </c>
      <c r="B3191" s="23" t="s">
        <v>938</v>
      </c>
      <c r="D3191">
        <v>1</v>
      </c>
      <c r="E3191" t="s">
        <v>103</v>
      </c>
      <c r="F3191">
        <v>9</v>
      </c>
      <c r="G3191">
        <v>2015</v>
      </c>
      <c r="I3191" s="8">
        <v>682.74</v>
      </c>
      <c r="J3191" t="s">
        <v>104</v>
      </c>
      <c r="K3191" t="s">
        <v>53</v>
      </c>
      <c r="L3191" t="s">
        <v>105</v>
      </c>
      <c r="O3191">
        <v>0</v>
      </c>
      <c r="P3191">
        <v>1</v>
      </c>
      <c r="Q3191">
        <v>0</v>
      </c>
      <c r="R3191">
        <v>0</v>
      </c>
      <c r="W3191" t="s">
        <v>106</v>
      </c>
      <c r="AA3191">
        <v>2007</v>
      </c>
      <c r="AB3191">
        <v>9999</v>
      </c>
      <c r="AC3191" t="s">
        <v>35</v>
      </c>
    </row>
    <row r="3192" spans="1:29" x14ac:dyDescent="0.25">
      <c r="A3192" s="31" t="s">
        <v>462</v>
      </c>
      <c r="B3192" s="23" t="s">
        <v>1414</v>
      </c>
      <c r="C3192" t="s">
        <v>1280</v>
      </c>
      <c r="D3192">
        <v>1</v>
      </c>
      <c r="E3192" t="s">
        <v>468</v>
      </c>
      <c r="F3192">
        <v>7</v>
      </c>
      <c r="G3192">
        <v>2015</v>
      </c>
      <c r="I3192" s="8">
        <v>106.6</v>
      </c>
      <c r="J3192" t="s">
        <v>40</v>
      </c>
      <c r="K3192" t="s">
        <v>47</v>
      </c>
      <c r="O3192">
        <v>0</v>
      </c>
      <c r="P3192">
        <v>0</v>
      </c>
      <c r="Q3192">
        <v>0</v>
      </c>
      <c r="R3192">
        <v>0</v>
      </c>
      <c r="W3192" t="s">
        <v>1118</v>
      </c>
      <c r="AA3192">
        <v>2007</v>
      </c>
      <c r="AB3192">
        <v>9999</v>
      </c>
      <c r="AC3192" t="s">
        <v>35</v>
      </c>
    </row>
    <row r="3193" spans="1:29" x14ac:dyDescent="0.25">
      <c r="A3193" s="31" t="s">
        <v>1337</v>
      </c>
      <c r="B3193" s="23" t="s">
        <v>1315</v>
      </c>
      <c r="D3193">
        <v>1</v>
      </c>
      <c r="E3193" t="s">
        <v>45</v>
      </c>
      <c r="F3193">
        <v>4</v>
      </c>
      <c r="G3193">
        <v>2015</v>
      </c>
      <c r="I3193" s="8">
        <v>353.41</v>
      </c>
      <c r="J3193" t="s">
        <v>89</v>
      </c>
      <c r="K3193" t="s">
        <v>32</v>
      </c>
      <c r="O3193">
        <v>0</v>
      </c>
      <c r="P3193">
        <v>0</v>
      </c>
      <c r="Q3193">
        <v>0</v>
      </c>
      <c r="R3193">
        <v>0</v>
      </c>
      <c r="W3193" t="s">
        <v>1338</v>
      </c>
      <c r="AA3193">
        <v>2010</v>
      </c>
      <c r="AB3193">
        <v>9999</v>
      </c>
      <c r="AC3193" t="s">
        <v>1292</v>
      </c>
    </row>
    <row r="3194" spans="1:29" x14ac:dyDescent="0.25">
      <c r="A3194" s="31" t="s">
        <v>1509</v>
      </c>
      <c r="B3194" s="23" t="s">
        <v>946</v>
      </c>
      <c r="D3194">
        <v>48</v>
      </c>
      <c r="E3194" t="s">
        <v>155</v>
      </c>
      <c r="F3194">
        <v>3</v>
      </c>
      <c r="G3194">
        <v>2015</v>
      </c>
      <c r="I3194">
        <v>2817.3207019920114</v>
      </c>
      <c r="J3194" t="s">
        <v>121</v>
      </c>
      <c r="K3194" t="s">
        <v>53</v>
      </c>
      <c r="L3194" t="s">
        <v>60</v>
      </c>
      <c r="O3194">
        <v>1</v>
      </c>
      <c r="P3194">
        <v>0</v>
      </c>
      <c r="Q3194">
        <v>0</v>
      </c>
      <c r="R3194">
        <v>0</v>
      </c>
      <c r="V3194">
        <v>1</v>
      </c>
      <c r="W3194" t="s">
        <v>947</v>
      </c>
      <c r="AA3194">
        <v>2007</v>
      </c>
      <c r="AB3194">
        <v>9999</v>
      </c>
      <c r="AC3194" t="s">
        <v>35</v>
      </c>
    </row>
    <row r="3195" spans="1:29" x14ac:dyDescent="0.25">
      <c r="A3195" s="31" t="s">
        <v>950</v>
      </c>
      <c r="B3195" s="23" t="s">
        <v>951</v>
      </c>
      <c r="C3195" t="s">
        <v>952</v>
      </c>
      <c r="D3195">
        <v>1</v>
      </c>
      <c r="E3195" t="s">
        <v>218</v>
      </c>
      <c r="F3195">
        <v>2</v>
      </c>
      <c r="G3195">
        <v>2015</v>
      </c>
      <c r="I3195" s="8">
        <v>918.95</v>
      </c>
      <c r="J3195" t="s">
        <v>147</v>
      </c>
      <c r="K3195" t="s">
        <v>32</v>
      </c>
      <c r="O3195">
        <v>0</v>
      </c>
      <c r="P3195">
        <v>0</v>
      </c>
      <c r="Q3195">
        <v>0</v>
      </c>
      <c r="R3195">
        <v>0</v>
      </c>
      <c r="W3195" t="s">
        <v>1216</v>
      </c>
      <c r="AA3195">
        <v>2007</v>
      </c>
      <c r="AB3195">
        <v>9999</v>
      </c>
      <c r="AC3195" t="s">
        <v>35</v>
      </c>
    </row>
    <row r="3196" spans="1:29" x14ac:dyDescent="0.25">
      <c r="A3196" s="31" t="s">
        <v>954</v>
      </c>
      <c r="B3196" s="23" t="s">
        <v>1383</v>
      </c>
      <c r="C3196" t="s">
        <v>956</v>
      </c>
      <c r="D3196">
        <v>1</v>
      </c>
      <c r="E3196" t="s">
        <v>218</v>
      </c>
      <c r="F3196">
        <v>2</v>
      </c>
      <c r="G3196">
        <v>2015</v>
      </c>
      <c r="I3196" s="8">
        <v>97.8</v>
      </c>
      <c r="J3196" t="s">
        <v>147</v>
      </c>
      <c r="K3196" t="s">
        <v>47</v>
      </c>
      <c r="O3196">
        <v>0</v>
      </c>
      <c r="P3196">
        <v>0</v>
      </c>
      <c r="Q3196">
        <v>0</v>
      </c>
      <c r="R3196">
        <v>0</v>
      </c>
      <c r="W3196" t="s">
        <v>1384</v>
      </c>
      <c r="AA3196">
        <v>2007</v>
      </c>
      <c r="AB3196">
        <v>9999</v>
      </c>
      <c r="AC3196" t="s">
        <v>35</v>
      </c>
    </row>
    <row r="3197" spans="1:29" x14ac:dyDescent="0.25">
      <c r="A3197" s="31" t="s">
        <v>1385</v>
      </c>
      <c r="B3197" s="23" t="s">
        <v>1386</v>
      </c>
      <c r="D3197">
        <v>1</v>
      </c>
      <c r="E3197" t="s">
        <v>874</v>
      </c>
      <c r="F3197">
        <v>1</v>
      </c>
      <c r="G3197">
        <v>2015</v>
      </c>
      <c r="I3197" s="8">
        <v>31.26</v>
      </c>
      <c r="J3197" t="s">
        <v>89</v>
      </c>
      <c r="K3197" t="s">
        <v>47</v>
      </c>
      <c r="O3197">
        <v>0</v>
      </c>
      <c r="P3197">
        <v>0</v>
      </c>
      <c r="Q3197">
        <v>0</v>
      </c>
      <c r="R3197">
        <v>0</v>
      </c>
      <c r="W3197" t="s">
        <v>1387</v>
      </c>
      <c r="AA3197">
        <v>2011</v>
      </c>
      <c r="AB3197">
        <v>9999</v>
      </c>
      <c r="AC3197" t="s">
        <v>1365</v>
      </c>
    </row>
    <row r="3198" spans="1:29" x14ac:dyDescent="0.25">
      <c r="A3198" s="31" t="s">
        <v>1388</v>
      </c>
      <c r="B3198" s="23" t="s">
        <v>1389</v>
      </c>
      <c r="D3198">
        <v>1</v>
      </c>
      <c r="E3198" t="s">
        <v>1390</v>
      </c>
      <c r="F3198">
        <v>4</v>
      </c>
      <c r="G3198">
        <v>2015</v>
      </c>
      <c r="I3198" s="8">
        <v>6306.62</v>
      </c>
      <c r="J3198" t="s">
        <v>89</v>
      </c>
      <c r="K3198" t="s">
        <v>32</v>
      </c>
      <c r="O3198">
        <v>0</v>
      </c>
      <c r="P3198">
        <v>0</v>
      </c>
      <c r="Q3198">
        <v>0</v>
      </c>
      <c r="R3198">
        <v>0</v>
      </c>
      <c r="W3198" t="s">
        <v>1391</v>
      </c>
      <c r="AA3198">
        <v>2011</v>
      </c>
      <c r="AB3198">
        <v>9999</v>
      </c>
      <c r="AC3198" t="s">
        <v>1365</v>
      </c>
    </row>
    <row r="3199" spans="1:29" x14ac:dyDescent="0.25">
      <c r="A3199" s="31" t="s">
        <v>1281</v>
      </c>
      <c r="B3199" s="23" t="s">
        <v>1282</v>
      </c>
      <c r="D3199">
        <v>1</v>
      </c>
      <c r="E3199" t="s">
        <v>625</v>
      </c>
      <c r="F3199">
        <v>4</v>
      </c>
      <c r="G3199">
        <v>2015</v>
      </c>
      <c r="I3199" s="8">
        <v>1709.82</v>
      </c>
      <c r="J3199" t="s">
        <v>89</v>
      </c>
      <c r="K3199" t="s">
        <v>32</v>
      </c>
      <c r="O3199">
        <v>0</v>
      </c>
      <c r="P3199">
        <v>0</v>
      </c>
      <c r="Q3199">
        <v>0</v>
      </c>
      <c r="R3199">
        <v>0</v>
      </c>
      <c r="W3199" t="s">
        <v>1283</v>
      </c>
      <c r="AA3199">
        <v>2009</v>
      </c>
      <c r="AB3199">
        <v>9999</v>
      </c>
      <c r="AC3199" t="s">
        <v>1239</v>
      </c>
    </row>
    <row r="3200" spans="1:29" x14ac:dyDescent="0.25">
      <c r="A3200" s="31" t="s">
        <v>958</v>
      </c>
      <c r="B3200" s="25" t="s">
        <v>959</v>
      </c>
      <c r="D3200">
        <v>1</v>
      </c>
      <c r="E3200" t="s">
        <v>51</v>
      </c>
      <c r="F3200">
        <v>1</v>
      </c>
      <c r="G3200">
        <v>2015</v>
      </c>
      <c r="I3200" s="11"/>
      <c r="J3200" t="s">
        <v>52</v>
      </c>
      <c r="K3200" t="s">
        <v>53</v>
      </c>
      <c r="L3200" t="s">
        <v>54</v>
      </c>
      <c r="O3200">
        <v>0</v>
      </c>
      <c r="P3200">
        <v>0</v>
      </c>
      <c r="Q3200">
        <v>1</v>
      </c>
      <c r="R3200">
        <v>0</v>
      </c>
      <c r="W3200" t="s">
        <v>55</v>
      </c>
      <c r="AA3200">
        <v>2007</v>
      </c>
      <c r="AB3200">
        <v>9999</v>
      </c>
      <c r="AC3200" t="s">
        <v>35</v>
      </c>
    </row>
    <row r="3201" spans="1:29" x14ac:dyDescent="0.25">
      <c r="A3201" s="31" t="s">
        <v>960</v>
      </c>
      <c r="B3201" s="23" t="s">
        <v>961</v>
      </c>
      <c r="D3201">
        <v>1</v>
      </c>
      <c r="E3201" t="s">
        <v>168</v>
      </c>
      <c r="F3201">
        <v>1</v>
      </c>
      <c r="G3201">
        <v>2015</v>
      </c>
      <c r="I3201" s="8">
        <v>1905.39</v>
      </c>
      <c r="J3201" t="s">
        <v>52</v>
      </c>
      <c r="K3201" t="s">
        <v>47</v>
      </c>
      <c r="O3201">
        <v>0</v>
      </c>
      <c r="P3201">
        <v>0</v>
      </c>
      <c r="Q3201">
        <v>0</v>
      </c>
      <c r="R3201">
        <v>0</v>
      </c>
      <c r="W3201" t="s">
        <v>1218</v>
      </c>
      <c r="AA3201">
        <v>2007</v>
      </c>
      <c r="AB3201">
        <v>9999</v>
      </c>
      <c r="AC3201" t="s">
        <v>35</v>
      </c>
    </row>
    <row r="3202" spans="1:29" x14ac:dyDescent="0.25">
      <c r="A3202" s="31" t="s">
        <v>963</v>
      </c>
      <c r="B3202" s="23" t="s">
        <v>658</v>
      </c>
      <c r="D3202">
        <v>1</v>
      </c>
      <c r="E3202" t="s">
        <v>103</v>
      </c>
      <c r="F3202">
        <v>9</v>
      </c>
      <c r="G3202">
        <v>2015</v>
      </c>
      <c r="I3202" s="8">
        <v>3843.62</v>
      </c>
      <c r="J3202" t="s">
        <v>104</v>
      </c>
      <c r="K3202" t="s">
        <v>53</v>
      </c>
      <c r="L3202" t="s">
        <v>105</v>
      </c>
      <c r="O3202">
        <v>0</v>
      </c>
      <c r="P3202">
        <v>1</v>
      </c>
      <c r="Q3202">
        <v>0</v>
      </c>
      <c r="R3202">
        <v>0</v>
      </c>
      <c r="W3202" t="s">
        <v>106</v>
      </c>
      <c r="AA3202">
        <v>2007</v>
      </c>
      <c r="AB3202">
        <v>9999</v>
      </c>
      <c r="AC3202" t="s">
        <v>35</v>
      </c>
    </row>
    <row r="3203" spans="1:29" x14ac:dyDescent="0.25">
      <c r="A3203" s="31" t="s">
        <v>1437</v>
      </c>
      <c r="B3203" s="23" t="s">
        <v>1438</v>
      </c>
      <c r="C3203" t="s">
        <v>1439</v>
      </c>
      <c r="D3203">
        <v>1</v>
      </c>
      <c r="E3203" t="s">
        <v>103</v>
      </c>
      <c r="F3203">
        <v>9</v>
      </c>
      <c r="G3203">
        <v>2015</v>
      </c>
      <c r="I3203" s="8">
        <v>232.21</v>
      </c>
      <c r="J3203" t="s">
        <v>104</v>
      </c>
      <c r="K3203" t="s">
        <v>32</v>
      </c>
      <c r="O3203">
        <v>0</v>
      </c>
      <c r="P3203">
        <v>0</v>
      </c>
      <c r="Q3203">
        <v>0</v>
      </c>
      <c r="R3203">
        <v>0</v>
      </c>
      <c r="W3203" t="s">
        <v>1440</v>
      </c>
      <c r="AA3203">
        <v>2013</v>
      </c>
      <c r="AB3203">
        <v>9999</v>
      </c>
      <c r="AC3203" t="s">
        <v>1419</v>
      </c>
    </row>
    <row r="3204" spans="1:29" x14ac:dyDescent="0.25">
      <c r="A3204" s="31" t="s">
        <v>1441</v>
      </c>
      <c r="B3204" s="23" t="s">
        <v>1442</v>
      </c>
      <c r="C3204" t="s">
        <v>1443</v>
      </c>
      <c r="D3204">
        <v>1</v>
      </c>
      <c r="E3204" t="s">
        <v>103</v>
      </c>
      <c r="F3204">
        <v>9</v>
      </c>
      <c r="G3204">
        <v>2015</v>
      </c>
      <c r="I3204" s="8">
        <v>83.05</v>
      </c>
      <c r="J3204" t="s">
        <v>104</v>
      </c>
      <c r="K3204" t="s">
        <v>47</v>
      </c>
      <c r="O3204">
        <v>0</v>
      </c>
      <c r="P3204">
        <v>0</v>
      </c>
      <c r="Q3204">
        <v>0</v>
      </c>
      <c r="R3204">
        <v>0</v>
      </c>
      <c r="W3204" t="s">
        <v>1444</v>
      </c>
      <c r="AA3204">
        <v>2013</v>
      </c>
      <c r="AB3204">
        <v>9999</v>
      </c>
      <c r="AC3204" t="s">
        <v>1419</v>
      </c>
    </row>
    <row r="3205" spans="1:29" x14ac:dyDescent="0.25">
      <c r="A3205" s="31" t="s">
        <v>1510</v>
      </c>
      <c r="B3205" s="23" t="s">
        <v>1511</v>
      </c>
      <c r="D3205">
        <v>1</v>
      </c>
      <c r="E3205" s="4">
        <v>411</v>
      </c>
      <c r="F3205">
        <v>4</v>
      </c>
      <c r="G3205">
        <v>2015</v>
      </c>
      <c r="I3205" s="8"/>
      <c r="J3205" t="s">
        <v>52</v>
      </c>
      <c r="K3205" t="s">
        <v>47</v>
      </c>
      <c r="O3205">
        <v>0</v>
      </c>
      <c r="P3205">
        <v>0</v>
      </c>
      <c r="Q3205">
        <v>0</v>
      </c>
      <c r="R3205">
        <v>0</v>
      </c>
      <c r="W3205" t="s">
        <v>1512</v>
      </c>
      <c r="AA3205">
        <v>2015</v>
      </c>
      <c r="AB3205">
        <v>9999</v>
      </c>
      <c r="AC3205" t="s">
        <v>1475</v>
      </c>
    </row>
    <row r="3206" spans="1:29" x14ac:dyDescent="0.25">
      <c r="A3206" s="31" t="s">
        <v>967</v>
      </c>
      <c r="B3206" s="23" t="s">
        <v>661</v>
      </c>
      <c r="D3206">
        <v>1</v>
      </c>
      <c r="E3206" t="s">
        <v>103</v>
      </c>
      <c r="F3206">
        <v>9</v>
      </c>
      <c r="G3206">
        <v>2015</v>
      </c>
      <c r="I3206" s="8">
        <v>6202</v>
      </c>
      <c r="J3206" t="s">
        <v>104</v>
      </c>
      <c r="K3206" t="s">
        <v>53</v>
      </c>
      <c r="L3206" t="s">
        <v>105</v>
      </c>
      <c r="O3206">
        <v>0</v>
      </c>
      <c r="P3206">
        <v>1</v>
      </c>
      <c r="Q3206">
        <v>0</v>
      </c>
      <c r="R3206">
        <v>0</v>
      </c>
      <c r="W3206" t="s">
        <v>106</v>
      </c>
      <c r="AA3206">
        <v>2007</v>
      </c>
      <c r="AB3206">
        <v>9999</v>
      </c>
      <c r="AC3206" t="s">
        <v>35</v>
      </c>
    </row>
    <row r="3207" spans="1:29" x14ac:dyDescent="0.25">
      <c r="A3207" s="31" t="s">
        <v>968</v>
      </c>
      <c r="B3207" s="23" t="s">
        <v>969</v>
      </c>
      <c r="D3207">
        <v>1</v>
      </c>
      <c r="E3207" t="s">
        <v>85</v>
      </c>
      <c r="F3207">
        <v>1</v>
      </c>
      <c r="G3207">
        <v>2015</v>
      </c>
      <c r="H3207" t="s">
        <v>970</v>
      </c>
      <c r="J3207" t="s">
        <v>176</v>
      </c>
      <c r="K3207" t="s">
        <v>41</v>
      </c>
      <c r="O3207">
        <v>0</v>
      </c>
      <c r="P3207">
        <v>0</v>
      </c>
      <c r="Q3207">
        <v>0</v>
      </c>
      <c r="R3207">
        <v>0</v>
      </c>
      <c r="W3207" t="s">
        <v>971</v>
      </c>
      <c r="AA3207">
        <v>2007</v>
      </c>
      <c r="AB3207">
        <v>9999</v>
      </c>
      <c r="AC3207" t="s">
        <v>35</v>
      </c>
    </row>
    <row r="3208" spans="1:29" x14ac:dyDescent="0.25">
      <c r="A3208" s="31" t="s">
        <v>975</v>
      </c>
      <c r="B3208" s="23" t="s">
        <v>976</v>
      </c>
      <c r="D3208">
        <v>1</v>
      </c>
      <c r="E3208" t="s">
        <v>977</v>
      </c>
      <c r="F3208">
        <v>1</v>
      </c>
      <c r="G3208">
        <v>2015</v>
      </c>
      <c r="H3208" t="s">
        <v>205</v>
      </c>
      <c r="I3208" s="8">
        <v>19.510000000000002</v>
      </c>
      <c r="J3208" t="s">
        <v>81</v>
      </c>
      <c r="K3208" t="s">
        <v>41</v>
      </c>
      <c r="O3208">
        <v>0</v>
      </c>
      <c r="P3208">
        <v>0</v>
      </c>
      <c r="Q3208">
        <v>0</v>
      </c>
      <c r="R3208">
        <v>0</v>
      </c>
      <c r="W3208" t="s">
        <v>1220</v>
      </c>
      <c r="AA3208">
        <v>2007</v>
      </c>
      <c r="AB3208">
        <v>9999</v>
      </c>
      <c r="AC3208" t="s">
        <v>35</v>
      </c>
    </row>
    <row r="3209" spans="1:29" x14ac:dyDescent="0.25">
      <c r="A3209" s="31" t="s">
        <v>985</v>
      </c>
      <c r="B3209" s="23" t="s">
        <v>986</v>
      </c>
      <c r="C3209" t="s">
        <v>987</v>
      </c>
      <c r="D3209">
        <v>1</v>
      </c>
      <c r="E3209" t="s">
        <v>988</v>
      </c>
      <c r="F3209">
        <v>4</v>
      </c>
      <c r="G3209">
        <v>2015</v>
      </c>
      <c r="I3209" s="8">
        <v>179.64</v>
      </c>
      <c r="J3209" t="s">
        <v>89</v>
      </c>
      <c r="K3209" t="s">
        <v>32</v>
      </c>
      <c r="O3209">
        <v>0</v>
      </c>
      <c r="P3209">
        <v>0</v>
      </c>
      <c r="Q3209">
        <v>0</v>
      </c>
      <c r="R3209">
        <v>0</v>
      </c>
      <c r="W3209" t="s">
        <v>1339</v>
      </c>
      <c r="AA3209">
        <v>2007</v>
      </c>
      <c r="AB3209">
        <v>9999</v>
      </c>
      <c r="AC3209" t="s">
        <v>35</v>
      </c>
    </row>
    <row r="3210" spans="1:29" x14ac:dyDescent="0.25">
      <c r="A3210" s="31" t="s">
        <v>993</v>
      </c>
      <c r="B3210" s="23" t="s">
        <v>129</v>
      </c>
      <c r="D3210">
        <v>1</v>
      </c>
      <c r="E3210" t="s">
        <v>103</v>
      </c>
      <c r="F3210">
        <v>1</v>
      </c>
      <c r="G3210">
        <v>2015</v>
      </c>
      <c r="I3210" s="8">
        <v>155.91999999999999</v>
      </c>
      <c r="J3210" t="s">
        <v>104</v>
      </c>
      <c r="K3210" t="s">
        <v>32</v>
      </c>
      <c r="O3210">
        <v>0</v>
      </c>
      <c r="P3210">
        <v>0</v>
      </c>
      <c r="Q3210">
        <v>0</v>
      </c>
      <c r="R3210">
        <v>0</v>
      </c>
      <c r="W3210" t="s">
        <v>1340</v>
      </c>
      <c r="AA3210">
        <v>2007</v>
      </c>
      <c r="AB3210">
        <v>9999</v>
      </c>
      <c r="AC3210" t="s">
        <v>35</v>
      </c>
    </row>
    <row r="3211" spans="1:29" x14ac:dyDescent="0.25">
      <c r="A3211" s="31" t="s">
        <v>1005</v>
      </c>
      <c r="B3211" s="23" t="s">
        <v>1006</v>
      </c>
      <c r="D3211">
        <v>1</v>
      </c>
      <c r="E3211" t="s">
        <v>80</v>
      </c>
      <c r="F3211">
        <v>8</v>
      </c>
      <c r="G3211">
        <v>2015</v>
      </c>
      <c r="J3211" s="2" t="s">
        <v>81</v>
      </c>
      <c r="K3211" t="s">
        <v>53</v>
      </c>
      <c r="L3211" t="s">
        <v>53</v>
      </c>
      <c r="O3211">
        <v>0</v>
      </c>
      <c r="P3211">
        <v>0</v>
      </c>
      <c r="Q3211">
        <v>0</v>
      </c>
      <c r="R3211">
        <v>0</v>
      </c>
      <c r="W3211" t="s">
        <v>1007</v>
      </c>
      <c r="AA3211">
        <v>2007</v>
      </c>
      <c r="AB3211">
        <v>2016</v>
      </c>
      <c r="AC3211" t="s">
        <v>528</v>
      </c>
    </row>
    <row r="3212" spans="1:29" x14ac:dyDescent="0.25">
      <c r="A3212" s="31" t="s">
        <v>1008</v>
      </c>
      <c r="B3212" s="23" t="s">
        <v>1009</v>
      </c>
      <c r="D3212">
        <v>1</v>
      </c>
      <c r="E3212" t="s">
        <v>155</v>
      </c>
      <c r="F3212">
        <v>3</v>
      </c>
      <c r="G3212">
        <v>2015</v>
      </c>
      <c r="I3212" s="8">
        <v>1229.71</v>
      </c>
      <c r="J3212" t="s">
        <v>121</v>
      </c>
      <c r="K3212" t="s">
        <v>47</v>
      </c>
      <c r="O3212">
        <v>0</v>
      </c>
      <c r="P3212">
        <v>0</v>
      </c>
      <c r="Q3212">
        <v>0</v>
      </c>
      <c r="R3212">
        <v>0</v>
      </c>
      <c r="W3212" t="s">
        <v>1228</v>
      </c>
      <c r="AA3212">
        <v>2007</v>
      </c>
      <c r="AB3212">
        <v>9999</v>
      </c>
      <c r="AC3212" t="s">
        <v>35</v>
      </c>
    </row>
    <row r="3213" spans="1:29" x14ac:dyDescent="0.25">
      <c r="A3213" s="31" t="s">
        <v>1011</v>
      </c>
      <c r="B3213" s="23" t="s">
        <v>1012</v>
      </c>
      <c r="D3213">
        <v>1</v>
      </c>
      <c r="E3213" t="s">
        <v>103</v>
      </c>
      <c r="F3213">
        <v>9</v>
      </c>
      <c r="G3213">
        <v>2015</v>
      </c>
      <c r="I3213" s="8">
        <v>1021.86</v>
      </c>
      <c r="J3213" t="s">
        <v>104</v>
      </c>
      <c r="K3213" t="s">
        <v>53</v>
      </c>
      <c r="L3213" t="s">
        <v>105</v>
      </c>
      <c r="O3213">
        <v>0</v>
      </c>
      <c r="P3213">
        <v>1</v>
      </c>
      <c r="Q3213">
        <v>0</v>
      </c>
      <c r="R3213">
        <v>0</v>
      </c>
      <c r="W3213" t="s">
        <v>106</v>
      </c>
      <c r="AA3213">
        <v>2007</v>
      </c>
      <c r="AB3213">
        <v>9999</v>
      </c>
      <c r="AC3213" t="s">
        <v>35</v>
      </c>
    </row>
    <row r="3214" spans="1:29" x14ac:dyDescent="0.25">
      <c r="A3214" s="31" t="s">
        <v>1013</v>
      </c>
      <c r="B3214" s="23" t="s">
        <v>1014</v>
      </c>
      <c r="D3214">
        <v>1</v>
      </c>
      <c r="E3214" t="s">
        <v>128</v>
      </c>
      <c r="F3214">
        <v>9</v>
      </c>
      <c r="G3214">
        <v>2015</v>
      </c>
      <c r="H3214" t="s">
        <v>1513</v>
      </c>
      <c r="J3214" t="s">
        <v>104</v>
      </c>
      <c r="K3214" t="s">
        <v>41</v>
      </c>
      <c r="O3214">
        <v>0</v>
      </c>
      <c r="P3214">
        <v>0</v>
      </c>
      <c r="Q3214">
        <v>0</v>
      </c>
      <c r="R3214">
        <v>0</v>
      </c>
      <c r="W3214" t="s">
        <v>1229</v>
      </c>
      <c r="AA3214">
        <v>2007</v>
      </c>
      <c r="AB3214">
        <v>9999</v>
      </c>
      <c r="AC3214" t="s">
        <v>35</v>
      </c>
    </row>
    <row r="3215" spans="1:29" x14ac:dyDescent="0.25">
      <c r="A3215" s="31" t="s">
        <v>1016</v>
      </c>
      <c r="B3215" s="23" t="s">
        <v>1017</v>
      </c>
      <c r="D3215">
        <v>1</v>
      </c>
      <c r="E3215" t="s">
        <v>396</v>
      </c>
      <c r="F3215">
        <v>3</v>
      </c>
      <c r="G3215">
        <v>2015</v>
      </c>
      <c r="H3215" t="s">
        <v>1018</v>
      </c>
      <c r="J3215" t="s">
        <v>121</v>
      </c>
      <c r="K3215" t="s">
        <v>41</v>
      </c>
      <c r="O3215">
        <v>0</v>
      </c>
      <c r="P3215">
        <v>0</v>
      </c>
      <c r="Q3215">
        <v>0</v>
      </c>
      <c r="R3215">
        <v>0</v>
      </c>
      <c r="W3215" t="s">
        <v>1230</v>
      </c>
      <c r="AA3215">
        <v>2007</v>
      </c>
      <c r="AB3215">
        <v>9999</v>
      </c>
      <c r="AC3215" t="s">
        <v>35</v>
      </c>
    </row>
    <row r="3216" spans="1:29" x14ac:dyDescent="0.25">
      <c r="A3216" s="31" t="s">
        <v>1020</v>
      </c>
      <c r="B3216" s="23" t="s">
        <v>1021</v>
      </c>
      <c r="D3216">
        <v>1</v>
      </c>
      <c r="E3216" t="s">
        <v>103</v>
      </c>
      <c r="F3216">
        <v>9</v>
      </c>
      <c r="G3216">
        <v>2015</v>
      </c>
      <c r="I3216" s="8">
        <v>18.899999999999999</v>
      </c>
      <c r="J3216" t="s">
        <v>104</v>
      </c>
      <c r="K3216" t="s">
        <v>47</v>
      </c>
      <c r="O3216">
        <v>0</v>
      </c>
      <c r="P3216">
        <v>0</v>
      </c>
      <c r="Q3216">
        <v>0</v>
      </c>
      <c r="R3216">
        <v>0</v>
      </c>
      <c r="W3216" t="s">
        <v>1231</v>
      </c>
      <c r="AA3216">
        <v>2007</v>
      </c>
      <c r="AB3216">
        <v>9999</v>
      </c>
      <c r="AC3216" t="s">
        <v>35</v>
      </c>
    </row>
    <row r="3217" spans="1:29" x14ac:dyDescent="0.25">
      <c r="B3217" s="23" t="s">
        <v>1026</v>
      </c>
      <c r="D3217">
        <v>24</v>
      </c>
      <c r="F3217">
        <v>3</v>
      </c>
      <c r="G3217">
        <v>2015</v>
      </c>
      <c r="H3217" t="s">
        <v>392</v>
      </c>
      <c r="I3217" t="s">
        <v>1027</v>
      </c>
      <c r="J3217" t="s">
        <v>121</v>
      </c>
      <c r="K3217" t="s">
        <v>41</v>
      </c>
      <c r="O3217">
        <v>0</v>
      </c>
      <c r="P3217">
        <v>0</v>
      </c>
      <c r="Q3217">
        <v>0</v>
      </c>
      <c r="R3217">
        <v>0</v>
      </c>
      <c r="W3217" t="s">
        <v>1232</v>
      </c>
      <c r="AA3217">
        <v>2007</v>
      </c>
      <c r="AB3217">
        <v>9999</v>
      </c>
      <c r="AC3217" t="s">
        <v>35</v>
      </c>
    </row>
    <row r="3218" spans="1:29" x14ac:dyDescent="0.25">
      <c r="A3218" s="31" t="s">
        <v>28</v>
      </c>
      <c r="B3218" s="23" t="s">
        <v>29</v>
      </c>
      <c r="D3218">
        <v>1</v>
      </c>
      <c r="E3218" t="s">
        <v>30</v>
      </c>
      <c r="F3218">
        <v>4</v>
      </c>
      <c r="G3218">
        <v>2014</v>
      </c>
      <c r="I3218" s="8">
        <v>504.75</v>
      </c>
      <c r="J3218" s="2" t="s">
        <v>89</v>
      </c>
      <c r="K3218" t="s">
        <v>32</v>
      </c>
      <c r="L3218" t="s">
        <v>33</v>
      </c>
      <c r="M3218">
        <v>0</v>
      </c>
      <c r="O3218">
        <v>0</v>
      </c>
      <c r="P3218">
        <v>0</v>
      </c>
      <c r="Q3218">
        <v>0</v>
      </c>
      <c r="R3218">
        <v>1</v>
      </c>
      <c r="W3218" t="s">
        <v>1029</v>
      </c>
      <c r="AA3218">
        <v>2007</v>
      </c>
      <c r="AB3218">
        <v>9999</v>
      </c>
      <c r="AC3218" t="s">
        <v>35</v>
      </c>
    </row>
    <row r="3219" spans="1:29" x14ac:dyDescent="0.25">
      <c r="A3219" s="31" t="s">
        <v>36</v>
      </c>
      <c r="B3219" s="24" t="s">
        <v>1445</v>
      </c>
      <c r="D3219">
        <v>1</v>
      </c>
      <c r="E3219" s="5" t="s">
        <v>38</v>
      </c>
      <c r="F3219">
        <v>4</v>
      </c>
      <c r="G3219">
        <v>2014</v>
      </c>
      <c r="H3219" t="s">
        <v>39</v>
      </c>
      <c r="J3219" s="2" t="s">
        <v>40</v>
      </c>
      <c r="K3219" s="2" t="s">
        <v>41</v>
      </c>
      <c r="L3219" s="2"/>
      <c r="M3219">
        <v>0</v>
      </c>
      <c r="O3219">
        <v>0</v>
      </c>
      <c r="P3219">
        <v>0</v>
      </c>
      <c r="Q3219">
        <v>0</v>
      </c>
      <c r="R3219">
        <v>0</v>
      </c>
      <c r="W3219" t="s">
        <v>1030</v>
      </c>
      <c r="AA3219">
        <v>2007</v>
      </c>
      <c r="AB3219">
        <v>9999</v>
      </c>
      <c r="AC3219" t="s">
        <v>35</v>
      </c>
    </row>
    <row r="3220" spans="1:29" x14ac:dyDescent="0.25">
      <c r="A3220" s="31" t="s">
        <v>43</v>
      </c>
      <c r="B3220" s="23" t="s">
        <v>44</v>
      </c>
      <c r="D3220">
        <v>1</v>
      </c>
      <c r="E3220" t="s">
        <v>45</v>
      </c>
      <c r="F3220">
        <v>4</v>
      </c>
      <c r="G3220">
        <v>2014</v>
      </c>
      <c r="I3220" s="8">
        <v>35.17</v>
      </c>
      <c r="J3220" t="s">
        <v>121</v>
      </c>
      <c r="K3220" t="s">
        <v>47</v>
      </c>
      <c r="M3220">
        <v>1</v>
      </c>
      <c r="O3220">
        <v>0</v>
      </c>
      <c r="P3220">
        <v>0</v>
      </c>
      <c r="Q3220">
        <v>0</v>
      </c>
      <c r="R3220">
        <v>0</v>
      </c>
      <c r="W3220" t="s">
        <v>1031</v>
      </c>
      <c r="AA3220">
        <v>2007</v>
      </c>
      <c r="AB3220">
        <v>9999</v>
      </c>
      <c r="AC3220" t="s">
        <v>35</v>
      </c>
    </row>
    <row r="3221" spans="1:29" x14ac:dyDescent="0.25">
      <c r="A3221" s="31" t="s">
        <v>49</v>
      </c>
      <c r="B3221" s="25" t="s">
        <v>50</v>
      </c>
      <c r="D3221">
        <v>1</v>
      </c>
      <c r="E3221" t="s">
        <v>51</v>
      </c>
      <c r="F3221">
        <v>1</v>
      </c>
      <c r="G3221">
        <v>2014</v>
      </c>
      <c r="J3221" t="s">
        <v>52</v>
      </c>
      <c r="K3221" t="s">
        <v>53</v>
      </c>
      <c r="L3221" t="s">
        <v>54</v>
      </c>
      <c r="M3221">
        <v>0</v>
      </c>
      <c r="O3221">
        <v>0</v>
      </c>
      <c r="P3221">
        <v>0</v>
      </c>
      <c r="Q3221">
        <v>1</v>
      </c>
      <c r="R3221">
        <v>0</v>
      </c>
      <c r="W3221" t="s">
        <v>55</v>
      </c>
      <c r="AA3221">
        <v>2007</v>
      </c>
      <c r="AB3221">
        <v>9999</v>
      </c>
      <c r="AC3221" t="s">
        <v>35</v>
      </c>
    </row>
    <row r="3222" spans="1:29" x14ac:dyDescent="0.25">
      <c r="A3222" s="31" t="s">
        <v>996</v>
      </c>
      <c r="B3222" s="25" t="s">
        <v>1342</v>
      </c>
      <c r="D3222">
        <v>1</v>
      </c>
      <c r="E3222" t="s">
        <v>38</v>
      </c>
      <c r="F3222">
        <v>4</v>
      </c>
      <c r="G3222">
        <v>2014</v>
      </c>
      <c r="H3222" t="s">
        <v>998</v>
      </c>
      <c r="J3222" t="s">
        <v>1343</v>
      </c>
      <c r="K3222" t="s">
        <v>41</v>
      </c>
      <c r="M3222">
        <v>0</v>
      </c>
      <c r="O3222">
        <v>0</v>
      </c>
      <c r="P3222">
        <v>0</v>
      </c>
      <c r="Q3222">
        <v>0</v>
      </c>
      <c r="R3222">
        <v>0</v>
      </c>
      <c r="W3222" t="s">
        <v>1344</v>
      </c>
      <c r="AA3222">
        <v>2007</v>
      </c>
      <c r="AB3222">
        <v>9999</v>
      </c>
      <c r="AC3222" t="s">
        <v>35</v>
      </c>
    </row>
    <row r="3223" spans="1:29" x14ac:dyDescent="0.25">
      <c r="A3223" s="31" t="s">
        <v>56</v>
      </c>
      <c r="B3223" s="23" t="s">
        <v>57</v>
      </c>
      <c r="D3223">
        <v>1</v>
      </c>
      <c r="E3223" t="s">
        <v>58</v>
      </c>
      <c r="F3223">
        <v>4</v>
      </c>
      <c r="G3223">
        <v>2014</v>
      </c>
      <c r="I3223" s="8">
        <v>20</v>
      </c>
      <c r="J3223" t="s">
        <v>59</v>
      </c>
      <c r="K3223" t="s">
        <v>53</v>
      </c>
      <c r="L3223" t="s">
        <v>60</v>
      </c>
      <c r="M3223">
        <v>0</v>
      </c>
      <c r="O3223">
        <v>1</v>
      </c>
      <c r="P3223">
        <v>0</v>
      </c>
      <c r="Q3223">
        <v>0</v>
      </c>
      <c r="R3223">
        <v>0</v>
      </c>
      <c r="W3223" t="s">
        <v>61</v>
      </c>
      <c r="AA3223">
        <v>2007</v>
      </c>
      <c r="AB3223">
        <v>9999</v>
      </c>
      <c r="AC3223" t="s">
        <v>35</v>
      </c>
    </row>
    <row r="3224" spans="1:29" x14ac:dyDescent="0.25">
      <c r="A3224" s="31" t="s">
        <v>71</v>
      </c>
      <c r="B3224" s="23" t="s">
        <v>1032</v>
      </c>
      <c r="D3224">
        <v>1</v>
      </c>
      <c r="E3224" t="s">
        <v>309</v>
      </c>
      <c r="F3224">
        <v>10</v>
      </c>
      <c r="G3224">
        <v>2014</v>
      </c>
      <c r="I3224" s="8">
        <v>11021.07</v>
      </c>
      <c r="J3224" t="s">
        <v>59</v>
      </c>
      <c r="K3224" t="s">
        <v>32</v>
      </c>
      <c r="M3224">
        <v>0</v>
      </c>
      <c r="O3224">
        <v>0</v>
      </c>
      <c r="P3224">
        <v>0</v>
      </c>
      <c r="Q3224">
        <v>0</v>
      </c>
      <c r="R3224">
        <v>0</v>
      </c>
      <c r="W3224" t="s">
        <v>1033</v>
      </c>
      <c r="AA3224">
        <v>2007</v>
      </c>
      <c r="AB3224">
        <v>9999</v>
      </c>
      <c r="AC3224" t="s">
        <v>35</v>
      </c>
    </row>
    <row r="3225" spans="1:29" x14ac:dyDescent="0.25">
      <c r="A3225" s="31" t="s">
        <v>62</v>
      </c>
      <c r="B3225" s="23" t="s">
        <v>63</v>
      </c>
      <c r="D3225">
        <v>1</v>
      </c>
      <c r="E3225" t="s">
        <v>64</v>
      </c>
      <c r="F3225">
        <v>1</v>
      </c>
      <c r="G3225">
        <v>2014</v>
      </c>
      <c r="I3225" s="8">
        <v>57.04</v>
      </c>
      <c r="J3225" t="s">
        <v>40</v>
      </c>
      <c r="K3225" t="s">
        <v>53</v>
      </c>
      <c r="L3225" t="s">
        <v>65</v>
      </c>
      <c r="M3225">
        <v>0</v>
      </c>
      <c r="O3225">
        <v>0</v>
      </c>
      <c r="P3225">
        <v>0</v>
      </c>
      <c r="Q3225">
        <v>0</v>
      </c>
      <c r="R3225">
        <v>0</v>
      </c>
      <c r="W3225" t="s">
        <v>1034</v>
      </c>
      <c r="AA3225">
        <v>2007</v>
      </c>
      <c r="AB3225">
        <v>9999</v>
      </c>
      <c r="AC3225" t="s">
        <v>35</v>
      </c>
    </row>
    <row r="3226" spans="1:29" x14ac:dyDescent="0.25">
      <c r="A3226" s="31" t="s">
        <v>74</v>
      </c>
      <c r="B3226" s="23" t="s">
        <v>75</v>
      </c>
      <c r="D3226">
        <v>1</v>
      </c>
      <c r="E3226" t="s">
        <v>58</v>
      </c>
      <c r="F3226">
        <v>4</v>
      </c>
      <c r="G3226">
        <v>2014</v>
      </c>
      <c r="I3226" s="8">
        <v>500.44</v>
      </c>
      <c r="J3226" t="s">
        <v>59</v>
      </c>
      <c r="K3226" t="s">
        <v>47</v>
      </c>
      <c r="M3226">
        <v>1</v>
      </c>
      <c r="O3226">
        <v>0</v>
      </c>
      <c r="P3226">
        <v>0</v>
      </c>
      <c r="Q3226">
        <v>0</v>
      </c>
      <c r="R3226">
        <v>0</v>
      </c>
      <c r="W3226" t="s">
        <v>1035</v>
      </c>
      <c r="AA3226">
        <v>2007</v>
      </c>
      <c r="AB3226">
        <v>9999</v>
      </c>
      <c r="AC3226" t="s">
        <v>35</v>
      </c>
    </row>
    <row r="3227" spans="1:29" x14ac:dyDescent="0.25">
      <c r="A3227" s="31" t="s">
        <v>83</v>
      </c>
      <c r="B3227" s="25" t="s">
        <v>84</v>
      </c>
      <c r="D3227">
        <v>1</v>
      </c>
      <c r="E3227" t="s">
        <v>85</v>
      </c>
      <c r="F3227">
        <v>1</v>
      </c>
      <c r="G3227">
        <v>2014</v>
      </c>
      <c r="H3227" t="s">
        <v>39</v>
      </c>
      <c r="J3227" s="2" t="s">
        <v>40</v>
      </c>
      <c r="K3227" t="s">
        <v>41</v>
      </c>
      <c r="M3227">
        <v>0</v>
      </c>
      <c r="O3227">
        <v>0</v>
      </c>
      <c r="P3227">
        <v>0</v>
      </c>
      <c r="Q3227">
        <v>0</v>
      </c>
      <c r="R3227">
        <v>0</v>
      </c>
      <c r="W3227" t="s">
        <v>86</v>
      </c>
      <c r="AA3227">
        <v>2007</v>
      </c>
      <c r="AB3227">
        <v>9999</v>
      </c>
      <c r="AC3227" t="s">
        <v>35</v>
      </c>
    </row>
    <row r="3228" spans="1:29" x14ac:dyDescent="0.25">
      <c r="A3228" s="31" t="s">
        <v>92</v>
      </c>
      <c r="B3228" s="23" t="s">
        <v>93</v>
      </c>
      <c r="C3228" t="s">
        <v>94</v>
      </c>
      <c r="D3228">
        <v>1</v>
      </c>
      <c r="E3228" t="s">
        <v>95</v>
      </c>
      <c r="F3228">
        <v>10</v>
      </c>
      <c r="G3228">
        <v>2014</v>
      </c>
      <c r="I3228" s="8">
        <v>30.85</v>
      </c>
      <c r="J3228" t="s">
        <v>40</v>
      </c>
      <c r="K3228" t="s">
        <v>47</v>
      </c>
      <c r="M3228">
        <v>0</v>
      </c>
      <c r="O3228">
        <v>0</v>
      </c>
      <c r="P3228">
        <v>0</v>
      </c>
      <c r="Q3228">
        <v>0</v>
      </c>
      <c r="R3228">
        <v>0</v>
      </c>
      <c r="W3228" t="s">
        <v>96</v>
      </c>
      <c r="AA3228">
        <v>2007</v>
      </c>
      <c r="AB3228">
        <v>9999</v>
      </c>
      <c r="AC3228" t="s">
        <v>35</v>
      </c>
    </row>
    <row r="3229" spans="1:29" x14ac:dyDescent="0.25">
      <c r="A3229" s="31" t="s">
        <v>101</v>
      </c>
      <c r="B3229" s="23" t="s">
        <v>102</v>
      </c>
      <c r="D3229">
        <v>1</v>
      </c>
      <c r="E3229" t="s">
        <v>103</v>
      </c>
      <c r="F3229">
        <v>9</v>
      </c>
      <c r="G3229">
        <v>2014</v>
      </c>
      <c r="I3229" s="8">
        <v>430.55</v>
      </c>
      <c r="J3229" t="s">
        <v>104</v>
      </c>
      <c r="K3229" t="s">
        <v>53</v>
      </c>
      <c r="L3229" t="s">
        <v>105</v>
      </c>
      <c r="M3229">
        <v>0</v>
      </c>
      <c r="O3229">
        <v>0</v>
      </c>
      <c r="P3229">
        <v>1</v>
      </c>
      <c r="Q3229">
        <v>0</v>
      </c>
      <c r="R3229">
        <v>0</v>
      </c>
      <c r="W3229" t="s">
        <v>106</v>
      </c>
      <c r="AA3229">
        <v>2007</v>
      </c>
      <c r="AB3229">
        <v>9999</v>
      </c>
      <c r="AC3229" t="s">
        <v>35</v>
      </c>
    </row>
    <row r="3230" spans="1:29" x14ac:dyDescent="0.25">
      <c r="A3230" s="31" t="s">
        <v>107</v>
      </c>
      <c r="B3230" s="23" t="s">
        <v>108</v>
      </c>
      <c r="D3230">
        <v>1</v>
      </c>
      <c r="E3230" t="s">
        <v>45</v>
      </c>
      <c r="F3230">
        <v>4</v>
      </c>
      <c r="G3230">
        <v>2014</v>
      </c>
      <c r="I3230" s="8">
        <v>6.2</v>
      </c>
      <c r="J3230" t="s">
        <v>52</v>
      </c>
      <c r="K3230" t="s">
        <v>41</v>
      </c>
      <c r="M3230">
        <v>0</v>
      </c>
      <c r="O3230">
        <v>0</v>
      </c>
      <c r="P3230">
        <v>0</v>
      </c>
      <c r="Q3230">
        <v>0</v>
      </c>
      <c r="R3230">
        <v>0</v>
      </c>
      <c r="W3230" t="s">
        <v>109</v>
      </c>
      <c r="AA3230">
        <v>2007</v>
      </c>
      <c r="AB3230">
        <v>9999</v>
      </c>
      <c r="AC3230" t="s">
        <v>35</v>
      </c>
    </row>
    <row r="3231" spans="1:29" x14ac:dyDescent="0.25">
      <c r="A3231" s="31" t="s">
        <v>110</v>
      </c>
      <c r="B3231" s="23" t="s">
        <v>111</v>
      </c>
      <c r="D3231">
        <v>1</v>
      </c>
      <c r="E3231" t="s">
        <v>45</v>
      </c>
      <c r="F3231">
        <v>4</v>
      </c>
      <c r="G3231">
        <v>2014</v>
      </c>
      <c r="I3231" s="8">
        <v>487.89</v>
      </c>
      <c r="J3231" t="s">
        <v>89</v>
      </c>
      <c r="K3231" t="s">
        <v>47</v>
      </c>
      <c r="M3231">
        <v>1</v>
      </c>
      <c r="O3231">
        <v>0</v>
      </c>
      <c r="P3231">
        <v>0</v>
      </c>
      <c r="Q3231">
        <v>0</v>
      </c>
      <c r="R3231">
        <v>0</v>
      </c>
      <c r="W3231" t="s">
        <v>1039</v>
      </c>
      <c r="AA3231">
        <v>2007</v>
      </c>
      <c r="AB3231">
        <v>9999</v>
      </c>
      <c r="AC3231" t="s">
        <v>35</v>
      </c>
    </row>
    <row r="3232" spans="1:29" x14ac:dyDescent="0.25">
      <c r="A3232" s="31" t="s">
        <v>113</v>
      </c>
      <c r="B3232" s="23" t="s">
        <v>114</v>
      </c>
      <c r="D3232">
        <v>1</v>
      </c>
      <c r="E3232" t="s">
        <v>115</v>
      </c>
      <c r="F3232">
        <v>6</v>
      </c>
      <c r="G3232">
        <v>2014</v>
      </c>
      <c r="I3232" s="8">
        <v>220.36</v>
      </c>
      <c r="J3232" t="s">
        <v>40</v>
      </c>
      <c r="K3232" t="s">
        <v>47</v>
      </c>
      <c r="M3232">
        <v>1</v>
      </c>
      <c r="O3232">
        <v>0</v>
      </c>
      <c r="P3232">
        <v>0</v>
      </c>
      <c r="Q3232">
        <v>0</v>
      </c>
      <c r="R3232">
        <v>0</v>
      </c>
      <c r="W3232" t="s">
        <v>1415</v>
      </c>
      <c r="AA3232">
        <v>2007</v>
      </c>
      <c r="AB3232">
        <v>9999</v>
      </c>
      <c r="AC3232" t="s">
        <v>35</v>
      </c>
    </row>
    <row r="3233" spans="1:29" x14ac:dyDescent="0.25">
      <c r="A3233" s="31" t="s">
        <v>117</v>
      </c>
      <c r="B3233" s="23" t="s">
        <v>118</v>
      </c>
      <c r="C3233" t="s">
        <v>119</v>
      </c>
      <c r="D3233">
        <v>1</v>
      </c>
      <c r="E3233" t="s">
        <v>120</v>
      </c>
      <c r="F3233">
        <v>3</v>
      </c>
      <c r="G3233">
        <v>2014</v>
      </c>
      <c r="I3233" s="8">
        <v>97.91</v>
      </c>
      <c r="J3233" t="s">
        <v>121</v>
      </c>
      <c r="K3233" t="s">
        <v>47</v>
      </c>
      <c r="M3233">
        <v>1</v>
      </c>
      <c r="O3233">
        <v>0</v>
      </c>
      <c r="P3233">
        <v>0</v>
      </c>
      <c r="Q3233">
        <v>0</v>
      </c>
      <c r="R3233">
        <v>0</v>
      </c>
      <c r="W3233" t="s">
        <v>1041</v>
      </c>
      <c r="AA3233">
        <v>2007</v>
      </c>
      <c r="AB3233">
        <v>9999</v>
      </c>
      <c r="AC3233" t="s">
        <v>35</v>
      </c>
    </row>
    <row r="3234" spans="1:29" x14ac:dyDescent="0.25">
      <c r="A3234" s="31" t="s">
        <v>123</v>
      </c>
      <c r="B3234" s="23" t="s">
        <v>124</v>
      </c>
      <c r="D3234">
        <v>1</v>
      </c>
      <c r="E3234" t="s">
        <v>120</v>
      </c>
      <c r="F3234">
        <v>3</v>
      </c>
      <c r="G3234">
        <v>2014</v>
      </c>
      <c r="I3234" s="8">
        <v>51.01</v>
      </c>
      <c r="J3234" t="s">
        <v>121</v>
      </c>
      <c r="K3234" t="s">
        <v>47</v>
      </c>
      <c r="M3234">
        <v>0</v>
      </c>
      <c r="O3234">
        <v>0</v>
      </c>
      <c r="P3234">
        <v>0</v>
      </c>
      <c r="Q3234">
        <v>0</v>
      </c>
      <c r="R3234">
        <v>0</v>
      </c>
      <c r="W3234" t="s">
        <v>1042</v>
      </c>
      <c r="AA3234">
        <v>2007</v>
      </c>
      <c r="AB3234">
        <v>9999</v>
      </c>
      <c r="AC3234" t="s">
        <v>35</v>
      </c>
    </row>
    <row r="3235" spans="1:29" x14ac:dyDescent="0.25">
      <c r="A3235" s="31" t="s">
        <v>1416</v>
      </c>
      <c r="B3235" s="23" t="s">
        <v>1417</v>
      </c>
      <c r="D3235">
        <v>1</v>
      </c>
      <c r="E3235" s="5" t="s">
        <v>38</v>
      </c>
      <c r="F3235">
        <v>4</v>
      </c>
      <c r="G3235">
        <v>2014</v>
      </c>
      <c r="H3235" t="s">
        <v>998</v>
      </c>
      <c r="J3235" t="s">
        <v>1343</v>
      </c>
      <c r="K3235" t="s">
        <v>41</v>
      </c>
      <c r="M3235">
        <v>0</v>
      </c>
      <c r="O3235">
        <v>0</v>
      </c>
      <c r="P3235">
        <v>0</v>
      </c>
      <c r="Q3235">
        <v>0</v>
      </c>
      <c r="R3235">
        <v>0</v>
      </c>
      <c r="W3235" t="s">
        <v>1418</v>
      </c>
      <c r="AA3235">
        <v>2013</v>
      </c>
      <c r="AB3235">
        <v>9999</v>
      </c>
      <c r="AC3235" t="s">
        <v>1419</v>
      </c>
    </row>
    <row r="3236" spans="1:29" x14ac:dyDescent="0.25">
      <c r="A3236" s="31" t="s">
        <v>126</v>
      </c>
      <c r="B3236" s="25" t="s">
        <v>127</v>
      </c>
      <c r="D3236">
        <v>1</v>
      </c>
      <c r="E3236" t="s">
        <v>128</v>
      </c>
      <c r="F3236">
        <v>9</v>
      </c>
      <c r="G3236">
        <v>2014</v>
      </c>
      <c r="H3236" t="s">
        <v>129</v>
      </c>
      <c r="J3236" t="s">
        <v>104</v>
      </c>
      <c r="K3236" t="s">
        <v>41</v>
      </c>
      <c r="M3236">
        <v>0</v>
      </c>
      <c r="O3236">
        <v>0</v>
      </c>
      <c r="P3236">
        <v>0</v>
      </c>
      <c r="Q3236">
        <v>0</v>
      </c>
      <c r="R3236">
        <v>0</v>
      </c>
      <c r="W3236" t="s">
        <v>1043</v>
      </c>
      <c r="AA3236">
        <v>2007</v>
      </c>
      <c r="AB3236">
        <v>9999</v>
      </c>
      <c r="AC3236" t="s">
        <v>35</v>
      </c>
    </row>
    <row r="3237" spans="1:29" x14ac:dyDescent="0.25">
      <c r="A3237" s="31" t="s">
        <v>131</v>
      </c>
      <c r="B3237" s="23" t="s">
        <v>132</v>
      </c>
      <c r="C3237" t="s">
        <v>133</v>
      </c>
      <c r="D3237">
        <v>1</v>
      </c>
      <c r="E3237" t="s">
        <v>134</v>
      </c>
      <c r="F3237">
        <v>9</v>
      </c>
      <c r="G3237">
        <v>2014</v>
      </c>
      <c r="I3237" s="8">
        <v>821.63</v>
      </c>
      <c r="J3237" t="s">
        <v>104</v>
      </c>
      <c r="K3237" t="s">
        <v>47</v>
      </c>
      <c r="M3237">
        <v>1</v>
      </c>
      <c r="O3237">
        <v>0</v>
      </c>
      <c r="P3237">
        <v>0</v>
      </c>
      <c r="Q3237">
        <v>0</v>
      </c>
      <c r="R3237">
        <v>0</v>
      </c>
      <c r="W3237" t="s">
        <v>1044</v>
      </c>
      <c r="AA3237">
        <v>2007</v>
      </c>
      <c r="AB3237">
        <v>9999</v>
      </c>
      <c r="AC3237" t="s">
        <v>35</v>
      </c>
    </row>
    <row r="3238" spans="1:29" x14ac:dyDescent="0.25">
      <c r="A3238" s="31" t="s">
        <v>140</v>
      </c>
      <c r="B3238" s="23" t="s">
        <v>141</v>
      </c>
      <c r="D3238">
        <v>1</v>
      </c>
      <c r="E3238" t="s">
        <v>45</v>
      </c>
      <c r="F3238">
        <v>4</v>
      </c>
      <c r="G3238">
        <v>2014</v>
      </c>
      <c r="I3238" s="8">
        <v>43.15</v>
      </c>
      <c r="J3238" t="s">
        <v>121</v>
      </c>
      <c r="K3238" t="s">
        <v>47</v>
      </c>
      <c r="M3238">
        <v>1</v>
      </c>
      <c r="O3238">
        <v>0</v>
      </c>
      <c r="P3238">
        <v>0</v>
      </c>
      <c r="Q3238">
        <v>0</v>
      </c>
      <c r="R3238">
        <v>0</v>
      </c>
      <c r="W3238" t="s">
        <v>1045</v>
      </c>
      <c r="AA3238">
        <v>2007</v>
      </c>
      <c r="AB3238">
        <v>9999</v>
      </c>
      <c r="AC3238" t="s">
        <v>35</v>
      </c>
    </row>
    <row r="3239" spans="1:29" ht="30" x14ac:dyDescent="0.25">
      <c r="A3239" s="31" t="s">
        <v>143</v>
      </c>
      <c r="B3239" s="25" t="s">
        <v>144</v>
      </c>
      <c r="D3239">
        <v>1</v>
      </c>
      <c r="E3239" t="s">
        <v>145</v>
      </c>
      <c r="F3239">
        <v>2</v>
      </c>
      <c r="G3239">
        <v>2014</v>
      </c>
      <c r="H3239" t="s">
        <v>146</v>
      </c>
      <c r="J3239" s="2" t="s">
        <v>147</v>
      </c>
      <c r="K3239" t="s">
        <v>41</v>
      </c>
      <c r="M3239">
        <v>0</v>
      </c>
      <c r="O3239">
        <v>0</v>
      </c>
      <c r="P3239">
        <v>0</v>
      </c>
      <c r="Q3239">
        <v>0</v>
      </c>
      <c r="R3239">
        <v>0</v>
      </c>
      <c r="W3239" t="s">
        <v>1046</v>
      </c>
      <c r="AA3239">
        <v>2007</v>
      </c>
      <c r="AB3239">
        <v>9999</v>
      </c>
      <c r="AC3239" t="s">
        <v>35</v>
      </c>
    </row>
    <row r="3240" spans="1:29" x14ac:dyDescent="0.25">
      <c r="A3240" s="31" t="s">
        <v>353</v>
      </c>
      <c r="B3240" s="23" t="s">
        <v>1233</v>
      </c>
      <c r="C3240" t="s">
        <v>1234</v>
      </c>
      <c r="D3240">
        <v>1</v>
      </c>
      <c r="E3240" t="s">
        <v>58</v>
      </c>
      <c r="F3240">
        <v>4</v>
      </c>
      <c r="G3240">
        <v>2014</v>
      </c>
      <c r="I3240" s="8">
        <v>93.9</v>
      </c>
      <c r="J3240" t="s">
        <v>59</v>
      </c>
      <c r="K3240" t="s">
        <v>47</v>
      </c>
      <c r="M3240">
        <v>0</v>
      </c>
      <c r="O3240">
        <v>0</v>
      </c>
      <c r="P3240">
        <v>0</v>
      </c>
      <c r="Q3240">
        <v>0</v>
      </c>
      <c r="R3240">
        <v>0</v>
      </c>
      <c r="W3240" t="s">
        <v>1235</v>
      </c>
      <c r="AA3240">
        <v>2007</v>
      </c>
      <c r="AB3240">
        <v>9999</v>
      </c>
      <c r="AC3240" t="s">
        <v>35</v>
      </c>
    </row>
    <row r="3241" spans="1:29" x14ac:dyDescent="0.25">
      <c r="A3241" s="31" t="s">
        <v>1236</v>
      </c>
      <c r="B3241" s="23" t="s">
        <v>1237</v>
      </c>
      <c r="D3241">
        <v>1</v>
      </c>
      <c r="E3241" t="s">
        <v>155</v>
      </c>
      <c r="F3241">
        <v>3</v>
      </c>
      <c r="G3241">
        <v>2014</v>
      </c>
      <c r="H3241" t="s">
        <v>154</v>
      </c>
      <c r="I3241" s="8">
        <v>4.8</v>
      </c>
      <c r="J3241" t="s">
        <v>121</v>
      </c>
      <c r="K3241" t="s">
        <v>41</v>
      </c>
      <c r="M3241">
        <v>0</v>
      </c>
      <c r="O3241">
        <v>0</v>
      </c>
      <c r="P3241">
        <v>0</v>
      </c>
      <c r="Q3241">
        <v>0</v>
      </c>
      <c r="R3241">
        <v>0</v>
      </c>
      <c r="W3241" t="s">
        <v>1347</v>
      </c>
      <c r="AA3241">
        <v>2009</v>
      </c>
      <c r="AB3241">
        <v>9999</v>
      </c>
      <c r="AC3241" t="s">
        <v>1239</v>
      </c>
    </row>
    <row r="3242" spans="1:29" x14ac:dyDescent="0.25">
      <c r="A3242" s="31" t="s">
        <v>153</v>
      </c>
      <c r="B3242" s="23" t="s">
        <v>154</v>
      </c>
      <c r="D3242">
        <v>1</v>
      </c>
      <c r="E3242" t="s">
        <v>155</v>
      </c>
      <c r="F3242">
        <v>3</v>
      </c>
      <c r="G3242">
        <v>2014</v>
      </c>
      <c r="I3242" s="8">
        <v>343.64257028112502</v>
      </c>
      <c r="J3242" t="s">
        <v>121</v>
      </c>
      <c r="K3242" t="s">
        <v>47</v>
      </c>
      <c r="M3242">
        <v>1</v>
      </c>
      <c r="O3242">
        <v>0</v>
      </c>
      <c r="P3242">
        <v>0</v>
      </c>
      <c r="Q3242">
        <v>0</v>
      </c>
      <c r="R3242">
        <v>0</v>
      </c>
      <c r="V3242">
        <v>1</v>
      </c>
      <c r="W3242" t="s">
        <v>1047</v>
      </c>
      <c r="AA3242">
        <v>2007</v>
      </c>
      <c r="AB3242">
        <v>9999</v>
      </c>
      <c r="AC3242" t="s">
        <v>35</v>
      </c>
    </row>
    <row r="3243" spans="1:29" x14ac:dyDescent="0.25">
      <c r="A3243" s="31" t="s">
        <v>1446</v>
      </c>
      <c r="B3243" s="24" t="s">
        <v>1447</v>
      </c>
      <c r="C3243" s="2"/>
      <c r="D3243" s="2">
        <v>1</v>
      </c>
      <c r="E3243" s="4">
        <v>711</v>
      </c>
      <c r="F3243">
        <v>7</v>
      </c>
      <c r="G3243" s="2">
        <v>2014</v>
      </c>
      <c r="H3243" s="2"/>
      <c r="I3243" s="10">
        <v>120.48</v>
      </c>
      <c r="J3243" s="2" t="s">
        <v>40</v>
      </c>
      <c r="K3243" s="2" t="s">
        <v>32</v>
      </c>
      <c r="L3243" s="2"/>
      <c r="M3243">
        <v>0</v>
      </c>
      <c r="O3243">
        <v>0</v>
      </c>
      <c r="P3243">
        <v>0</v>
      </c>
      <c r="Q3243">
        <v>0</v>
      </c>
      <c r="R3243">
        <v>0</v>
      </c>
      <c r="W3243" t="s">
        <v>1448</v>
      </c>
      <c r="AA3243">
        <v>2014</v>
      </c>
      <c r="AB3243">
        <v>9999</v>
      </c>
      <c r="AC3243" t="s">
        <v>1449</v>
      </c>
    </row>
    <row r="3244" spans="1:29" x14ac:dyDescent="0.25">
      <c r="A3244" s="31" t="s">
        <v>159</v>
      </c>
      <c r="B3244" s="23" t="s">
        <v>160</v>
      </c>
      <c r="D3244">
        <v>1</v>
      </c>
      <c r="E3244" t="s">
        <v>155</v>
      </c>
      <c r="F3244">
        <v>3</v>
      </c>
      <c r="G3244">
        <v>2014</v>
      </c>
      <c r="I3244" s="8">
        <v>346.01</v>
      </c>
      <c r="J3244" t="s">
        <v>121</v>
      </c>
      <c r="K3244" t="s">
        <v>47</v>
      </c>
      <c r="M3244">
        <v>1</v>
      </c>
      <c r="O3244">
        <v>0</v>
      </c>
      <c r="P3244">
        <v>0</v>
      </c>
      <c r="Q3244">
        <v>0</v>
      </c>
      <c r="R3244">
        <v>0</v>
      </c>
      <c r="W3244" t="s">
        <v>1048</v>
      </c>
      <c r="AA3244">
        <v>2007</v>
      </c>
      <c r="AB3244">
        <v>9999</v>
      </c>
      <c r="AC3244" t="s">
        <v>35</v>
      </c>
    </row>
    <row r="3245" spans="1:29" x14ac:dyDescent="0.25">
      <c r="A3245" s="31" t="s">
        <v>165</v>
      </c>
      <c r="B3245" s="23" t="s">
        <v>166</v>
      </c>
      <c r="C3245" t="s">
        <v>167</v>
      </c>
      <c r="D3245">
        <v>1</v>
      </c>
      <c r="E3245" t="s">
        <v>168</v>
      </c>
      <c r="F3245">
        <v>1</v>
      </c>
      <c r="G3245">
        <v>2014</v>
      </c>
      <c r="I3245" s="8">
        <v>158.55000000000001</v>
      </c>
      <c r="J3245" t="s">
        <v>52</v>
      </c>
      <c r="K3245" t="s">
        <v>47</v>
      </c>
      <c r="M3245">
        <v>1</v>
      </c>
      <c r="O3245">
        <v>0</v>
      </c>
      <c r="P3245">
        <v>0</v>
      </c>
      <c r="Q3245">
        <v>0</v>
      </c>
      <c r="R3245">
        <v>0</v>
      </c>
      <c r="W3245" t="s">
        <v>1348</v>
      </c>
      <c r="AA3245">
        <v>2007</v>
      </c>
      <c r="AB3245">
        <v>9999</v>
      </c>
      <c r="AC3245" t="s">
        <v>35</v>
      </c>
    </row>
    <row r="3246" spans="1:29" x14ac:dyDescent="0.25">
      <c r="A3246" s="31" t="s">
        <v>165</v>
      </c>
      <c r="B3246" s="25" t="s">
        <v>1349</v>
      </c>
      <c r="D3246">
        <v>1</v>
      </c>
      <c r="E3246" t="s">
        <v>38</v>
      </c>
      <c r="F3246">
        <v>4</v>
      </c>
      <c r="G3246">
        <v>2014</v>
      </c>
      <c r="H3246" t="s">
        <v>205</v>
      </c>
      <c r="J3246" t="s">
        <v>89</v>
      </c>
      <c r="K3246" t="s">
        <v>41</v>
      </c>
      <c r="M3246">
        <v>0</v>
      </c>
      <c r="O3246">
        <v>0</v>
      </c>
      <c r="P3246">
        <v>0</v>
      </c>
      <c r="Q3246">
        <v>0</v>
      </c>
      <c r="R3246">
        <v>0</v>
      </c>
      <c r="W3246" t="s">
        <v>1350</v>
      </c>
      <c r="AA3246">
        <v>2007</v>
      </c>
      <c r="AB3246">
        <v>9999</v>
      </c>
      <c r="AC3246" t="s">
        <v>35</v>
      </c>
    </row>
    <row r="3247" spans="1:29" x14ac:dyDescent="0.25">
      <c r="A3247" s="31" t="s">
        <v>170</v>
      </c>
      <c r="B3247" s="23" t="s">
        <v>171</v>
      </c>
      <c r="D3247">
        <v>1</v>
      </c>
      <c r="E3247" t="s">
        <v>30</v>
      </c>
      <c r="F3247">
        <v>4</v>
      </c>
      <c r="G3247">
        <v>2014</v>
      </c>
      <c r="I3247" s="8">
        <v>46.5</v>
      </c>
      <c r="J3247" t="s">
        <v>89</v>
      </c>
      <c r="K3247" t="s">
        <v>47</v>
      </c>
      <c r="M3247">
        <v>1</v>
      </c>
      <c r="O3247">
        <v>0</v>
      </c>
      <c r="P3247">
        <v>0</v>
      </c>
      <c r="Q3247">
        <v>0</v>
      </c>
      <c r="R3247">
        <v>0</v>
      </c>
      <c r="W3247" t="s">
        <v>1050</v>
      </c>
      <c r="AA3247">
        <v>2007</v>
      </c>
      <c r="AB3247">
        <v>9999</v>
      </c>
      <c r="AC3247" t="s">
        <v>35</v>
      </c>
    </row>
    <row r="3248" spans="1:29" x14ac:dyDescent="0.25">
      <c r="A3248" s="31" t="s">
        <v>1051</v>
      </c>
      <c r="B3248" s="23" t="s">
        <v>1052</v>
      </c>
      <c r="D3248">
        <v>1</v>
      </c>
      <c r="E3248" t="s">
        <v>30</v>
      </c>
      <c r="F3248">
        <v>4</v>
      </c>
      <c r="G3248">
        <v>2014</v>
      </c>
      <c r="I3248" s="8">
        <v>97.65</v>
      </c>
      <c r="J3248" t="s">
        <v>89</v>
      </c>
      <c r="K3248" t="s">
        <v>47</v>
      </c>
      <c r="M3248">
        <v>1</v>
      </c>
      <c r="O3248">
        <v>0</v>
      </c>
      <c r="P3248">
        <v>0</v>
      </c>
      <c r="Q3248">
        <v>0</v>
      </c>
      <c r="R3248">
        <v>0</v>
      </c>
      <c r="W3248" t="s">
        <v>1053</v>
      </c>
      <c r="AA3248">
        <v>2008</v>
      </c>
      <c r="AB3248">
        <v>9999</v>
      </c>
      <c r="AC3248" t="s">
        <v>1054</v>
      </c>
    </row>
    <row r="3249" spans="1:29" x14ac:dyDescent="0.25">
      <c r="A3249" s="31" t="s">
        <v>1420</v>
      </c>
      <c r="B3249" s="23" t="s">
        <v>1421</v>
      </c>
      <c r="D3249">
        <v>1</v>
      </c>
      <c r="E3249" s="5">
        <v>10</v>
      </c>
      <c r="F3249">
        <v>10</v>
      </c>
      <c r="G3249">
        <v>2014</v>
      </c>
      <c r="I3249" s="8">
        <v>26.6</v>
      </c>
      <c r="J3249" t="s">
        <v>40</v>
      </c>
      <c r="K3249" t="s">
        <v>41</v>
      </c>
      <c r="M3249">
        <v>0</v>
      </c>
      <c r="O3249">
        <v>0</v>
      </c>
      <c r="P3249">
        <v>0</v>
      </c>
      <c r="Q3249">
        <v>0</v>
      </c>
      <c r="R3249">
        <v>0</v>
      </c>
      <c r="W3249" t="s">
        <v>1422</v>
      </c>
      <c r="AA3249">
        <v>2013</v>
      </c>
      <c r="AB3249">
        <v>2016</v>
      </c>
      <c r="AC3249" t="s">
        <v>1423</v>
      </c>
    </row>
    <row r="3250" spans="1:29" x14ac:dyDescent="0.25">
      <c r="A3250" s="31" t="s">
        <v>173</v>
      </c>
      <c r="B3250" s="23" t="s">
        <v>174</v>
      </c>
      <c r="C3250" t="s">
        <v>175</v>
      </c>
      <c r="D3250">
        <v>1</v>
      </c>
      <c r="E3250" t="s">
        <v>45</v>
      </c>
      <c r="F3250">
        <v>4</v>
      </c>
      <c r="G3250">
        <v>2014</v>
      </c>
      <c r="I3250" s="8">
        <v>141.55000000000001</v>
      </c>
      <c r="J3250" t="s">
        <v>176</v>
      </c>
      <c r="K3250" t="s">
        <v>32</v>
      </c>
      <c r="M3250">
        <v>0</v>
      </c>
      <c r="O3250">
        <v>0</v>
      </c>
      <c r="P3250">
        <v>0</v>
      </c>
      <c r="Q3250">
        <v>0</v>
      </c>
      <c r="R3250">
        <v>0</v>
      </c>
      <c r="W3250" t="s">
        <v>1055</v>
      </c>
      <c r="AA3250">
        <v>2007</v>
      </c>
      <c r="AB3250">
        <v>9999</v>
      </c>
      <c r="AC3250" t="s">
        <v>35</v>
      </c>
    </row>
    <row r="3251" spans="1:29" x14ac:dyDescent="0.25">
      <c r="A3251" s="31" t="s">
        <v>178</v>
      </c>
      <c r="B3251" s="23" t="s">
        <v>1424</v>
      </c>
      <c r="C3251" t="s">
        <v>1425</v>
      </c>
      <c r="D3251">
        <v>1</v>
      </c>
      <c r="E3251" t="s">
        <v>45</v>
      </c>
      <c r="F3251">
        <v>4</v>
      </c>
      <c r="G3251">
        <v>2014</v>
      </c>
      <c r="I3251" s="8">
        <v>14.7</v>
      </c>
      <c r="J3251" t="s">
        <v>121</v>
      </c>
      <c r="K3251" t="s">
        <v>47</v>
      </c>
      <c r="M3251">
        <v>0</v>
      </c>
      <c r="O3251">
        <v>0</v>
      </c>
      <c r="P3251">
        <v>0</v>
      </c>
      <c r="Q3251">
        <v>0</v>
      </c>
      <c r="R3251">
        <v>0</v>
      </c>
      <c r="W3251" t="s">
        <v>1240</v>
      </c>
      <c r="AA3251">
        <v>2007</v>
      </c>
      <c r="AB3251">
        <v>9999</v>
      </c>
      <c r="AC3251" t="s">
        <v>35</v>
      </c>
    </row>
    <row r="3252" spans="1:29" x14ac:dyDescent="0.25">
      <c r="A3252" s="31" t="s">
        <v>181</v>
      </c>
      <c r="B3252" s="25" t="s">
        <v>182</v>
      </c>
      <c r="D3252">
        <v>1</v>
      </c>
      <c r="E3252" t="s">
        <v>38</v>
      </c>
      <c r="F3252">
        <v>4</v>
      </c>
      <c r="G3252">
        <v>2014</v>
      </c>
      <c r="H3252" t="s">
        <v>39</v>
      </c>
      <c r="J3252" t="s">
        <v>121</v>
      </c>
      <c r="K3252" t="s">
        <v>41</v>
      </c>
      <c r="M3252">
        <v>0</v>
      </c>
      <c r="O3252">
        <v>0</v>
      </c>
      <c r="P3252">
        <v>0</v>
      </c>
      <c r="Q3252">
        <v>0</v>
      </c>
      <c r="R3252">
        <v>0</v>
      </c>
      <c r="W3252" t="s">
        <v>1057</v>
      </c>
      <c r="AA3252">
        <v>2007</v>
      </c>
      <c r="AB3252">
        <v>9999</v>
      </c>
      <c r="AC3252" t="s">
        <v>35</v>
      </c>
    </row>
    <row r="3253" spans="1:29" x14ac:dyDescent="0.25">
      <c r="A3253" s="31" t="s">
        <v>184</v>
      </c>
      <c r="B3253" s="23" t="s">
        <v>185</v>
      </c>
      <c r="C3253" t="s">
        <v>186</v>
      </c>
      <c r="D3253">
        <v>1</v>
      </c>
      <c r="E3253" t="s">
        <v>45</v>
      </c>
      <c r="F3253">
        <v>4</v>
      </c>
      <c r="G3253">
        <v>2014</v>
      </c>
      <c r="I3253" s="8">
        <v>320.48</v>
      </c>
      <c r="J3253" t="s">
        <v>52</v>
      </c>
      <c r="K3253" t="s">
        <v>32</v>
      </c>
      <c r="M3253">
        <v>0</v>
      </c>
      <c r="O3253">
        <v>0</v>
      </c>
      <c r="P3253">
        <v>0</v>
      </c>
      <c r="Q3253">
        <v>0</v>
      </c>
      <c r="R3253">
        <v>0</v>
      </c>
      <c r="W3253" t="s">
        <v>1287</v>
      </c>
      <c r="AA3253">
        <v>2007</v>
      </c>
      <c r="AB3253">
        <v>9999</v>
      </c>
      <c r="AC3253" t="s">
        <v>35</v>
      </c>
    </row>
    <row r="3254" spans="1:29" x14ac:dyDescent="0.25">
      <c r="A3254" s="31" t="s">
        <v>1059</v>
      </c>
      <c r="B3254" s="23" t="s">
        <v>1060</v>
      </c>
      <c r="D3254">
        <v>1</v>
      </c>
      <c r="E3254" t="s">
        <v>874</v>
      </c>
      <c r="F3254">
        <v>1</v>
      </c>
      <c r="G3254">
        <v>2014</v>
      </c>
      <c r="I3254" s="8">
        <v>5</v>
      </c>
      <c r="J3254" t="s">
        <v>52</v>
      </c>
      <c r="K3254" t="s">
        <v>47</v>
      </c>
      <c r="M3254">
        <v>0</v>
      </c>
      <c r="O3254">
        <v>0</v>
      </c>
      <c r="P3254">
        <v>0</v>
      </c>
      <c r="Q3254">
        <v>0</v>
      </c>
      <c r="R3254">
        <v>0</v>
      </c>
      <c r="W3254" t="s">
        <v>1392</v>
      </c>
      <c r="AA3254">
        <v>2008</v>
      </c>
      <c r="AB3254">
        <v>9999</v>
      </c>
      <c r="AC3254" t="s">
        <v>1054</v>
      </c>
    </row>
    <row r="3255" spans="1:29" x14ac:dyDescent="0.25">
      <c r="A3255" s="31" t="s">
        <v>192</v>
      </c>
      <c r="B3255" s="25" t="s">
        <v>193</v>
      </c>
      <c r="D3255">
        <v>1</v>
      </c>
      <c r="E3255" t="s">
        <v>51</v>
      </c>
      <c r="F3255">
        <v>1</v>
      </c>
      <c r="G3255">
        <v>2014</v>
      </c>
      <c r="J3255" t="s">
        <v>52</v>
      </c>
      <c r="K3255" t="s">
        <v>53</v>
      </c>
      <c r="L3255" t="s">
        <v>54</v>
      </c>
      <c r="M3255">
        <v>0</v>
      </c>
      <c r="O3255">
        <v>0</v>
      </c>
      <c r="P3255">
        <v>0</v>
      </c>
      <c r="Q3255">
        <v>1</v>
      </c>
      <c r="R3255">
        <v>0</v>
      </c>
      <c r="W3255" t="s">
        <v>55</v>
      </c>
      <c r="AA3255">
        <v>2007</v>
      </c>
      <c r="AB3255">
        <v>9999</v>
      </c>
      <c r="AC3255" t="s">
        <v>35</v>
      </c>
    </row>
    <row r="3256" spans="1:29" x14ac:dyDescent="0.25">
      <c r="A3256" s="31" t="s">
        <v>194</v>
      </c>
      <c r="B3256" s="23" t="s">
        <v>195</v>
      </c>
      <c r="C3256" t="s">
        <v>196</v>
      </c>
      <c r="D3256">
        <v>1</v>
      </c>
      <c r="E3256" t="s">
        <v>197</v>
      </c>
      <c r="F3256">
        <v>2</v>
      </c>
      <c r="G3256">
        <v>2014</v>
      </c>
      <c r="I3256" s="8">
        <v>165.46</v>
      </c>
      <c r="J3256" t="s">
        <v>176</v>
      </c>
      <c r="K3256" t="s">
        <v>47</v>
      </c>
      <c r="M3256">
        <v>1</v>
      </c>
      <c r="O3256">
        <v>0</v>
      </c>
      <c r="P3256">
        <v>0</v>
      </c>
      <c r="Q3256">
        <v>0</v>
      </c>
      <c r="R3256">
        <v>0</v>
      </c>
      <c r="W3256" t="s">
        <v>1450</v>
      </c>
      <c r="AA3256">
        <v>2007</v>
      </c>
      <c r="AB3256">
        <v>9999</v>
      </c>
      <c r="AC3256" t="s">
        <v>35</v>
      </c>
    </row>
    <row r="3257" spans="1:29" x14ac:dyDescent="0.25">
      <c r="A3257" s="31" t="s">
        <v>1451</v>
      </c>
      <c r="B3257" s="23" t="s">
        <v>1452</v>
      </c>
      <c r="C3257" s="2"/>
      <c r="D3257" s="2">
        <v>1</v>
      </c>
      <c r="E3257" s="4">
        <v>760</v>
      </c>
      <c r="F3257">
        <v>7</v>
      </c>
      <c r="G3257" s="2">
        <v>2014</v>
      </c>
      <c r="H3257" s="2"/>
      <c r="I3257" s="10">
        <v>392.68</v>
      </c>
      <c r="J3257" s="2" t="s">
        <v>40</v>
      </c>
      <c r="K3257" t="s">
        <v>47</v>
      </c>
      <c r="M3257">
        <v>1</v>
      </c>
      <c r="O3257">
        <v>0</v>
      </c>
      <c r="P3257">
        <v>0</v>
      </c>
      <c r="Q3257">
        <v>0</v>
      </c>
      <c r="R3257">
        <v>0</v>
      </c>
      <c r="W3257" t="s">
        <v>1453</v>
      </c>
      <c r="AA3257">
        <v>2014</v>
      </c>
      <c r="AB3257">
        <v>9999</v>
      </c>
      <c r="AC3257" t="s">
        <v>1449</v>
      </c>
    </row>
    <row r="3258" spans="1:29" x14ac:dyDescent="0.25">
      <c r="A3258" s="31" t="s">
        <v>203</v>
      </c>
      <c r="B3258" s="25" t="s">
        <v>204</v>
      </c>
      <c r="D3258">
        <v>1</v>
      </c>
      <c r="E3258" t="s">
        <v>201</v>
      </c>
      <c r="F3258">
        <v>1</v>
      </c>
      <c r="G3258">
        <v>2014</v>
      </c>
      <c r="H3258" t="s">
        <v>205</v>
      </c>
      <c r="J3258" t="s">
        <v>52</v>
      </c>
      <c r="K3258" t="s">
        <v>41</v>
      </c>
      <c r="M3258">
        <v>0</v>
      </c>
      <c r="O3258">
        <v>0</v>
      </c>
      <c r="P3258">
        <v>0</v>
      </c>
      <c r="Q3258">
        <v>0</v>
      </c>
      <c r="R3258">
        <v>0</v>
      </c>
      <c r="W3258" t="s">
        <v>1064</v>
      </c>
      <c r="AA3258">
        <v>2007</v>
      </c>
      <c r="AB3258">
        <v>9999</v>
      </c>
      <c r="AC3258" t="s">
        <v>35</v>
      </c>
    </row>
    <row r="3259" spans="1:29" x14ac:dyDescent="0.25">
      <c r="A3259" s="31" t="s">
        <v>207</v>
      </c>
      <c r="B3259" s="24" t="s">
        <v>1454</v>
      </c>
      <c r="C3259" t="s">
        <v>209</v>
      </c>
      <c r="D3259">
        <v>1</v>
      </c>
      <c r="E3259" t="s">
        <v>210</v>
      </c>
      <c r="F3259">
        <v>10</v>
      </c>
      <c r="G3259">
        <v>2014</v>
      </c>
      <c r="I3259" s="8">
        <v>23.05</v>
      </c>
      <c r="J3259" s="2" t="s">
        <v>40</v>
      </c>
      <c r="K3259" s="2" t="s">
        <v>32</v>
      </c>
      <c r="L3259" s="2"/>
      <c r="M3259">
        <v>0</v>
      </c>
      <c r="O3259">
        <v>0</v>
      </c>
      <c r="P3259">
        <v>0</v>
      </c>
      <c r="Q3259">
        <v>0</v>
      </c>
      <c r="R3259">
        <v>0</v>
      </c>
      <c r="W3259" t="s">
        <v>1065</v>
      </c>
      <c r="AA3259">
        <v>2007</v>
      </c>
      <c r="AB3259">
        <v>9999</v>
      </c>
      <c r="AC3259" t="s">
        <v>35</v>
      </c>
    </row>
    <row r="3260" spans="1:29" ht="30" x14ac:dyDescent="0.25">
      <c r="A3260" s="31" t="s">
        <v>212</v>
      </c>
      <c r="B3260" s="23" t="s">
        <v>213</v>
      </c>
      <c r="C3260" t="s">
        <v>214</v>
      </c>
      <c r="D3260">
        <v>1</v>
      </c>
      <c r="E3260" s="4">
        <v>550</v>
      </c>
      <c r="F3260">
        <v>5</v>
      </c>
      <c r="G3260">
        <v>2014</v>
      </c>
      <c r="I3260" s="8">
        <v>43.95</v>
      </c>
      <c r="J3260" s="2" t="s">
        <v>31</v>
      </c>
      <c r="K3260" t="s">
        <v>47</v>
      </c>
      <c r="M3260">
        <v>0</v>
      </c>
      <c r="O3260">
        <v>0</v>
      </c>
      <c r="P3260">
        <v>0</v>
      </c>
      <c r="Q3260">
        <v>0</v>
      </c>
      <c r="R3260">
        <v>0</v>
      </c>
      <c r="W3260" t="s">
        <v>1288</v>
      </c>
      <c r="AA3260">
        <v>2007</v>
      </c>
      <c r="AB3260">
        <v>9999</v>
      </c>
      <c r="AC3260" t="s">
        <v>35</v>
      </c>
    </row>
    <row r="3261" spans="1:29" x14ac:dyDescent="0.25">
      <c r="A3261" s="31" t="s">
        <v>216</v>
      </c>
      <c r="B3261" s="23" t="s">
        <v>217</v>
      </c>
      <c r="D3261">
        <v>1</v>
      </c>
      <c r="E3261" t="s">
        <v>218</v>
      </c>
      <c r="F3261">
        <v>2</v>
      </c>
      <c r="G3261">
        <v>2014</v>
      </c>
      <c r="I3261" s="8">
        <v>640.22</v>
      </c>
      <c r="J3261" t="s">
        <v>40</v>
      </c>
      <c r="K3261" t="s">
        <v>32</v>
      </c>
      <c r="M3261">
        <v>0</v>
      </c>
      <c r="O3261">
        <v>0</v>
      </c>
      <c r="P3261">
        <v>0</v>
      </c>
      <c r="Q3261">
        <v>0</v>
      </c>
      <c r="R3261">
        <v>0</v>
      </c>
      <c r="W3261" t="s">
        <v>1067</v>
      </c>
      <c r="AA3261">
        <v>2007</v>
      </c>
      <c r="AB3261">
        <v>9999</v>
      </c>
      <c r="AC3261" t="s">
        <v>35</v>
      </c>
    </row>
    <row r="3262" spans="1:29" x14ac:dyDescent="0.25">
      <c r="A3262" s="31" t="s">
        <v>220</v>
      </c>
      <c r="B3262" s="23" t="s">
        <v>221</v>
      </c>
      <c r="D3262">
        <v>1</v>
      </c>
      <c r="E3262" t="s">
        <v>222</v>
      </c>
      <c r="F3262">
        <v>8</v>
      </c>
      <c r="G3262">
        <v>2014</v>
      </c>
      <c r="I3262" s="8">
        <v>30.81</v>
      </c>
      <c r="J3262" t="s">
        <v>81</v>
      </c>
      <c r="K3262" t="s">
        <v>47</v>
      </c>
      <c r="M3262">
        <v>0</v>
      </c>
      <c r="O3262">
        <v>0</v>
      </c>
      <c r="P3262">
        <v>0</v>
      </c>
      <c r="Q3262">
        <v>0</v>
      </c>
      <c r="R3262">
        <v>0</v>
      </c>
      <c r="W3262" t="s">
        <v>1068</v>
      </c>
      <c r="AA3262">
        <v>2007</v>
      </c>
      <c r="AB3262">
        <v>9999</v>
      </c>
      <c r="AC3262" t="s">
        <v>35</v>
      </c>
    </row>
    <row r="3263" spans="1:29" x14ac:dyDescent="0.25">
      <c r="A3263" s="31" t="s">
        <v>224</v>
      </c>
      <c r="B3263" s="25" t="s">
        <v>225</v>
      </c>
      <c r="D3263">
        <v>1</v>
      </c>
      <c r="E3263" t="s">
        <v>51</v>
      </c>
      <c r="F3263">
        <v>1</v>
      </c>
      <c r="G3263">
        <v>2014</v>
      </c>
      <c r="J3263" t="s">
        <v>52</v>
      </c>
      <c r="K3263" t="s">
        <v>53</v>
      </c>
      <c r="L3263" t="s">
        <v>54</v>
      </c>
      <c r="M3263">
        <v>0</v>
      </c>
      <c r="O3263">
        <v>0</v>
      </c>
      <c r="P3263">
        <v>0</v>
      </c>
      <c r="Q3263">
        <v>1</v>
      </c>
      <c r="R3263">
        <v>0</v>
      </c>
      <c r="W3263" t="s">
        <v>55</v>
      </c>
      <c r="AA3263">
        <v>2007</v>
      </c>
      <c r="AB3263">
        <v>9999</v>
      </c>
      <c r="AC3263" t="s">
        <v>35</v>
      </c>
    </row>
    <row r="3264" spans="1:29" x14ac:dyDescent="0.25">
      <c r="A3264" s="31" t="s">
        <v>226</v>
      </c>
      <c r="B3264" s="23" t="s">
        <v>227</v>
      </c>
      <c r="C3264" t="s">
        <v>228</v>
      </c>
      <c r="D3264">
        <v>1</v>
      </c>
      <c r="E3264" t="s">
        <v>218</v>
      </c>
      <c r="F3264">
        <v>2</v>
      </c>
      <c r="G3264">
        <v>2014</v>
      </c>
      <c r="I3264" s="8">
        <v>3114.98</v>
      </c>
      <c r="J3264" t="s">
        <v>147</v>
      </c>
      <c r="K3264" t="s">
        <v>32</v>
      </c>
      <c r="M3264">
        <v>0</v>
      </c>
      <c r="O3264">
        <v>0</v>
      </c>
      <c r="P3264">
        <v>0</v>
      </c>
      <c r="Q3264">
        <v>0</v>
      </c>
      <c r="R3264">
        <v>0</v>
      </c>
      <c r="W3264" t="s">
        <v>1069</v>
      </c>
      <c r="AA3264">
        <v>2007</v>
      </c>
      <c r="AB3264">
        <v>9999</v>
      </c>
      <c r="AC3264" t="s">
        <v>35</v>
      </c>
    </row>
    <row r="3265" spans="1:29" x14ac:dyDescent="0.25">
      <c r="A3265" s="31" t="s">
        <v>230</v>
      </c>
      <c r="B3265" s="25" t="s">
        <v>231</v>
      </c>
      <c r="C3265" t="s">
        <v>232</v>
      </c>
      <c r="D3265">
        <v>1</v>
      </c>
      <c r="E3265" t="s">
        <v>145</v>
      </c>
      <c r="F3265">
        <v>2</v>
      </c>
      <c r="G3265">
        <v>2014</v>
      </c>
      <c r="J3265" t="s">
        <v>147</v>
      </c>
      <c r="K3265" t="s">
        <v>47</v>
      </c>
      <c r="M3265">
        <v>0</v>
      </c>
      <c r="O3265">
        <v>0</v>
      </c>
      <c r="P3265">
        <v>0</v>
      </c>
      <c r="Q3265">
        <v>0</v>
      </c>
      <c r="R3265">
        <v>0</v>
      </c>
      <c r="W3265" t="s">
        <v>1070</v>
      </c>
      <c r="AA3265">
        <v>2007</v>
      </c>
      <c r="AB3265">
        <v>9999</v>
      </c>
      <c r="AC3265" t="s">
        <v>35</v>
      </c>
    </row>
    <row r="3266" spans="1:29" x14ac:dyDescent="0.25">
      <c r="A3266" s="31" t="s">
        <v>1352</v>
      </c>
      <c r="B3266" s="23" t="s">
        <v>1353</v>
      </c>
      <c r="D3266">
        <v>1</v>
      </c>
      <c r="E3266" t="s">
        <v>218</v>
      </c>
      <c r="F3266">
        <v>2</v>
      </c>
      <c r="G3266">
        <v>2014</v>
      </c>
      <c r="I3266" s="8">
        <v>43.8</v>
      </c>
      <c r="J3266" t="s">
        <v>147</v>
      </c>
      <c r="K3266" t="s">
        <v>47</v>
      </c>
      <c r="M3266">
        <v>0</v>
      </c>
      <c r="O3266">
        <v>0</v>
      </c>
      <c r="P3266">
        <v>0</v>
      </c>
      <c r="Q3266">
        <v>0</v>
      </c>
      <c r="R3266">
        <v>0</v>
      </c>
      <c r="W3266" t="s">
        <v>1354</v>
      </c>
      <c r="AA3266">
        <v>2011</v>
      </c>
      <c r="AB3266">
        <v>2015</v>
      </c>
      <c r="AC3266" t="s">
        <v>1355</v>
      </c>
    </row>
    <row r="3267" spans="1:29" x14ac:dyDescent="0.25">
      <c r="A3267" s="31" t="s">
        <v>237</v>
      </c>
      <c r="B3267" s="23" t="s">
        <v>238</v>
      </c>
      <c r="D3267">
        <v>1</v>
      </c>
      <c r="E3267" t="s">
        <v>218</v>
      </c>
      <c r="F3267">
        <v>2</v>
      </c>
      <c r="G3267">
        <v>2014</v>
      </c>
      <c r="I3267" s="8">
        <v>332.88</v>
      </c>
      <c r="J3267" t="s">
        <v>104</v>
      </c>
      <c r="K3267" t="s">
        <v>53</v>
      </c>
      <c r="L3267" t="s">
        <v>105</v>
      </c>
      <c r="M3267">
        <v>0</v>
      </c>
      <c r="O3267">
        <v>0</v>
      </c>
      <c r="P3267">
        <v>0</v>
      </c>
      <c r="Q3267">
        <v>0</v>
      </c>
      <c r="R3267">
        <v>0</v>
      </c>
      <c r="W3267" t="s">
        <v>1072</v>
      </c>
      <c r="AA3267">
        <v>2007</v>
      </c>
      <c r="AB3267">
        <v>9999</v>
      </c>
      <c r="AC3267" t="s">
        <v>35</v>
      </c>
    </row>
    <row r="3268" spans="1:29" x14ac:dyDescent="0.25">
      <c r="A3268" s="31" t="s">
        <v>240</v>
      </c>
      <c r="B3268" s="23" t="s">
        <v>241</v>
      </c>
      <c r="D3268">
        <v>1</v>
      </c>
      <c r="E3268" t="s">
        <v>218</v>
      </c>
      <c r="F3268">
        <v>2</v>
      </c>
      <c r="G3268">
        <v>2014</v>
      </c>
      <c r="I3268" s="8">
        <v>18461.09</v>
      </c>
      <c r="J3268" t="s">
        <v>147</v>
      </c>
      <c r="K3268" t="s">
        <v>47</v>
      </c>
      <c r="M3268">
        <v>1</v>
      </c>
      <c r="O3268">
        <v>0</v>
      </c>
      <c r="P3268">
        <v>0</v>
      </c>
      <c r="Q3268">
        <v>0</v>
      </c>
      <c r="R3268">
        <v>0</v>
      </c>
      <c r="W3268" t="s">
        <v>1073</v>
      </c>
      <c r="AA3268">
        <v>2007</v>
      </c>
      <c r="AB3268">
        <v>9999</v>
      </c>
      <c r="AC3268" t="s">
        <v>35</v>
      </c>
    </row>
    <row r="3269" spans="1:29" x14ac:dyDescent="0.25">
      <c r="A3269" s="31" t="s">
        <v>1289</v>
      </c>
      <c r="B3269" s="23" t="s">
        <v>1290</v>
      </c>
      <c r="D3269">
        <v>1</v>
      </c>
      <c r="E3269" t="s">
        <v>218</v>
      </c>
      <c r="F3269">
        <v>2</v>
      </c>
      <c r="G3269">
        <v>2014</v>
      </c>
      <c r="I3269" s="8">
        <v>4</v>
      </c>
      <c r="J3269" t="s">
        <v>147</v>
      </c>
      <c r="K3269" t="s">
        <v>53</v>
      </c>
      <c r="L3269" t="s">
        <v>60</v>
      </c>
      <c r="M3269">
        <v>0</v>
      </c>
      <c r="O3269">
        <v>1</v>
      </c>
      <c r="P3269">
        <v>0</v>
      </c>
      <c r="Q3269">
        <v>0</v>
      </c>
      <c r="R3269">
        <v>0</v>
      </c>
      <c r="W3269" t="s">
        <v>1291</v>
      </c>
      <c r="AA3269">
        <v>2010</v>
      </c>
      <c r="AB3269">
        <v>9999</v>
      </c>
      <c r="AC3269" t="s">
        <v>1292</v>
      </c>
    </row>
    <row r="3270" spans="1:29" x14ac:dyDescent="0.25">
      <c r="A3270" s="31" t="s">
        <v>243</v>
      </c>
      <c r="B3270" s="23" t="s">
        <v>244</v>
      </c>
      <c r="D3270">
        <v>1</v>
      </c>
      <c r="E3270" t="s">
        <v>210</v>
      </c>
      <c r="F3270">
        <v>10</v>
      </c>
      <c r="G3270">
        <v>2014</v>
      </c>
      <c r="I3270" s="8">
        <v>11707.9</v>
      </c>
      <c r="J3270" t="s">
        <v>40</v>
      </c>
      <c r="K3270" t="s">
        <v>32</v>
      </c>
      <c r="M3270">
        <v>1</v>
      </c>
      <c r="O3270">
        <v>0</v>
      </c>
      <c r="P3270">
        <v>0</v>
      </c>
      <c r="Q3270">
        <v>0</v>
      </c>
      <c r="R3270">
        <v>0</v>
      </c>
      <c r="W3270" t="s">
        <v>1293</v>
      </c>
      <c r="AA3270">
        <v>2007</v>
      </c>
      <c r="AB3270">
        <v>9999</v>
      </c>
      <c r="AC3270" t="s">
        <v>35</v>
      </c>
    </row>
    <row r="3271" spans="1:29" x14ac:dyDescent="0.25">
      <c r="A3271" s="31" t="s">
        <v>153</v>
      </c>
      <c r="B3271" s="25" t="s">
        <v>1356</v>
      </c>
      <c r="D3271">
        <v>12</v>
      </c>
      <c r="E3271" t="s">
        <v>155</v>
      </c>
      <c r="F3271">
        <v>3</v>
      </c>
      <c r="G3271">
        <v>2014</v>
      </c>
      <c r="I3271">
        <v>1299.665874999996</v>
      </c>
      <c r="J3271" t="s">
        <v>121</v>
      </c>
      <c r="K3271" t="s">
        <v>53</v>
      </c>
      <c r="L3271" t="s">
        <v>60</v>
      </c>
      <c r="M3271">
        <v>0</v>
      </c>
      <c r="O3271">
        <v>1</v>
      </c>
      <c r="P3271">
        <v>0</v>
      </c>
      <c r="Q3271">
        <v>0</v>
      </c>
      <c r="R3271">
        <v>0</v>
      </c>
      <c r="V3271">
        <v>1</v>
      </c>
      <c r="W3271" t="s">
        <v>477</v>
      </c>
      <c r="AA3271">
        <v>2007</v>
      </c>
      <c r="AB3271">
        <v>9999</v>
      </c>
      <c r="AC3271" t="s">
        <v>35</v>
      </c>
    </row>
    <row r="3272" spans="1:29" x14ac:dyDescent="0.25">
      <c r="A3272" s="31" t="s">
        <v>246</v>
      </c>
      <c r="B3272" s="23" t="s">
        <v>247</v>
      </c>
      <c r="D3272">
        <v>1</v>
      </c>
      <c r="E3272" t="s">
        <v>120</v>
      </c>
      <c r="F3272">
        <v>3</v>
      </c>
      <c r="G3272">
        <v>2014</v>
      </c>
      <c r="H3272" t="s">
        <v>129</v>
      </c>
      <c r="I3272" s="8">
        <v>3.6</v>
      </c>
      <c r="J3272" t="s">
        <v>121</v>
      </c>
      <c r="K3272" t="s">
        <v>41</v>
      </c>
      <c r="M3272">
        <v>0</v>
      </c>
      <c r="O3272">
        <v>0</v>
      </c>
      <c r="P3272">
        <v>0</v>
      </c>
      <c r="Q3272">
        <v>0</v>
      </c>
      <c r="R3272">
        <v>0</v>
      </c>
      <c r="W3272" t="s">
        <v>1075</v>
      </c>
      <c r="AA3272">
        <v>2007</v>
      </c>
      <c r="AB3272">
        <v>9999</v>
      </c>
      <c r="AC3272" t="s">
        <v>35</v>
      </c>
    </row>
    <row r="3273" spans="1:29" x14ac:dyDescent="0.25">
      <c r="A3273" s="31" t="s">
        <v>252</v>
      </c>
      <c r="B3273" s="25" t="s">
        <v>253</v>
      </c>
      <c r="D3273">
        <v>1</v>
      </c>
      <c r="E3273" t="s">
        <v>145</v>
      </c>
      <c r="F3273">
        <v>2</v>
      </c>
      <c r="G3273">
        <v>2014</v>
      </c>
      <c r="H3273" t="s">
        <v>254</v>
      </c>
      <c r="J3273" s="2" t="s">
        <v>147</v>
      </c>
      <c r="K3273" t="s">
        <v>41</v>
      </c>
      <c r="M3273">
        <v>0</v>
      </c>
      <c r="O3273">
        <v>0</v>
      </c>
      <c r="P3273">
        <v>0</v>
      </c>
      <c r="Q3273">
        <v>0</v>
      </c>
      <c r="R3273">
        <v>0</v>
      </c>
      <c r="W3273" t="s">
        <v>1077</v>
      </c>
      <c r="AA3273">
        <v>2007</v>
      </c>
      <c r="AB3273">
        <v>9999</v>
      </c>
      <c r="AC3273" t="s">
        <v>35</v>
      </c>
    </row>
    <row r="3274" spans="1:29" x14ac:dyDescent="0.25">
      <c r="A3274" s="31" t="s">
        <v>305</v>
      </c>
      <c r="B3274" s="23" t="s">
        <v>1455</v>
      </c>
      <c r="C3274" t="s">
        <v>1456</v>
      </c>
      <c r="D3274">
        <v>1</v>
      </c>
      <c r="E3274" t="s">
        <v>103</v>
      </c>
      <c r="F3274">
        <v>9</v>
      </c>
      <c r="G3274">
        <v>2014</v>
      </c>
      <c r="I3274" s="8">
        <v>106.42</v>
      </c>
      <c r="J3274" s="2" t="s">
        <v>104</v>
      </c>
      <c r="K3274" t="s">
        <v>53</v>
      </c>
      <c r="L3274" t="s">
        <v>105</v>
      </c>
      <c r="M3274">
        <v>0</v>
      </c>
      <c r="O3274">
        <v>0</v>
      </c>
      <c r="P3274">
        <v>1</v>
      </c>
      <c r="Q3274">
        <v>0</v>
      </c>
      <c r="R3274">
        <v>0</v>
      </c>
      <c r="W3274" t="s">
        <v>106</v>
      </c>
      <c r="AA3274">
        <v>2007</v>
      </c>
      <c r="AB3274">
        <v>9999</v>
      </c>
      <c r="AC3274" t="s">
        <v>35</v>
      </c>
    </row>
    <row r="3275" spans="1:29" x14ac:dyDescent="0.25">
      <c r="A3275" s="31" t="s">
        <v>259</v>
      </c>
      <c r="B3275" s="23" t="s">
        <v>260</v>
      </c>
      <c r="C3275" t="s">
        <v>261</v>
      </c>
      <c r="D3275">
        <v>1</v>
      </c>
      <c r="E3275" t="s">
        <v>103</v>
      </c>
      <c r="F3275">
        <v>9</v>
      </c>
      <c r="G3275">
        <v>2014</v>
      </c>
      <c r="I3275" s="8">
        <v>5054.01</v>
      </c>
      <c r="J3275" t="s">
        <v>104</v>
      </c>
      <c r="K3275" t="s">
        <v>53</v>
      </c>
      <c r="L3275" t="s">
        <v>105</v>
      </c>
      <c r="M3275">
        <v>0</v>
      </c>
      <c r="O3275">
        <v>0</v>
      </c>
      <c r="P3275">
        <v>1</v>
      </c>
      <c r="Q3275">
        <v>0</v>
      </c>
      <c r="R3275">
        <v>0</v>
      </c>
      <c r="W3275" t="s">
        <v>106</v>
      </c>
      <c r="AA3275">
        <v>2007</v>
      </c>
      <c r="AB3275">
        <v>9999</v>
      </c>
      <c r="AC3275" t="s">
        <v>35</v>
      </c>
    </row>
    <row r="3276" spans="1:29" x14ac:dyDescent="0.25">
      <c r="A3276" s="31" t="s">
        <v>266</v>
      </c>
      <c r="B3276" s="25" t="s">
        <v>267</v>
      </c>
      <c r="D3276">
        <v>1</v>
      </c>
      <c r="E3276" t="s">
        <v>85</v>
      </c>
      <c r="F3276">
        <v>4</v>
      </c>
      <c r="G3276">
        <v>2014</v>
      </c>
      <c r="J3276" t="s">
        <v>268</v>
      </c>
      <c r="K3276" t="s">
        <v>41</v>
      </c>
      <c r="M3276">
        <v>0</v>
      </c>
      <c r="O3276">
        <v>0</v>
      </c>
      <c r="P3276">
        <v>0</v>
      </c>
      <c r="Q3276">
        <v>0</v>
      </c>
      <c r="R3276">
        <v>0</v>
      </c>
      <c r="W3276" t="s">
        <v>1079</v>
      </c>
      <c r="AA3276">
        <v>2007</v>
      </c>
      <c r="AB3276">
        <v>9999</v>
      </c>
      <c r="AC3276" t="s">
        <v>35</v>
      </c>
    </row>
    <row r="3277" spans="1:29" x14ac:dyDescent="0.25">
      <c r="A3277" s="31" t="s">
        <v>1393</v>
      </c>
      <c r="B3277" s="25" t="s">
        <v>1394</v>
      </c>
      <c r="C3277" t="s">
        <v>1395</v>
      </c>
      <c r="D3277">
        <v>1</v>
      </c>
      <c r="E3277" t="s">
        <v>1396</v>
      </c>
      <c r="F3277">
        <v>5</v>
      </c>
      <c r="G3277">
        <v>2014</v>
      </c>
      <c r="I3277" s="8">
        <v>217.51</v>
      </c>
      <c r="J3277" t="s">
        <v>31</v>
      </c>
      <c r="K3277" t="s">
        <v>47</v>
      </c>
      <c r="M3277">
        <v>1</v>
      </c>
      <c r="O3277">
        <v>0</v>
      </c>
      <c r="P3277">
        <v>0</v>
      </c>
      <c r="Q3277">
        <v>0</v>
      </c>
      <c r="R3277">
        <v>0</v>
      </c>
      <c r="W3277" t="s">
        <v>1397</v>
      </c>
      <c r="AA3277">
        <v>2012</v>
      </c>
      <c r="AB3277">
        <v>9999</v>
      </c>
      <c r="AC3277" t="s">
        <v>1398</v>
      </c>
    </row>
    <row r="3278" spans="1:29" x14ac:dyDescent="0.25">
      <c r="A3278" s="31" t="s">
        <v>153</v>
      </c>
      <c r="B3278" s="23" t="s">
        <v>270</v>
      </c>
      <c r="D3278">
        <v>6</v>
      </c>
      <c r="E3278" t="s">
        <v>155</v>
      </c>
      <c r="F3278">
        <v>3</v>
      </c>
      <c r="G3278">
        <v>2014</v>
      </c>
      <c r="I3278">
        <v>667.72005020080201</v>
      </c>
      <c r="J3278" t="s">
        <v>121</v>
      </c>
      <c r="K3278" t="s">
        <v>53</v>
      </c>
      <c r="L3278" t="s">
        <v>60</v>
      </c>
      <c r="M3278">
        <v>0</v>
      </c>
      <c r="O3278">
        <v>1</v>
      </c>
      <c r="P3278">
        <v>0</v>
      </c>
      <c r="Q3278">
        <v>0</v>
      </c>
      <c r="R3278">
        <v>0</v>
      </c>
      <c r="V3278">
        <v>1</v>
      </c>
      <c r="W3278" t="s">
        <v>271</v>
      </c>
      <c r="AA3278">
        <v>2007</v>
      </c>
      <c r="AB3278">
        <v>9999</v>
      </c>
      <c r="AC3278" t="s">
        <v>35</v>
      </c>
    </row>
    <row r="3279" spans="1:29" x14ac:dyDescent="0.25">
      <c r="A3279" s="31" t="s">
        <v>153</v>
      </c>
      <c r="B3279" s="28" t="s">
        <v>272</v>
      </c>
      <c r="D3279">
        <v>8</v>
      </c>
      <c r="E3279" t="s">
        <v>155</v>
      </c>
      <c r="F3279">
        <v>3</v>
      </c>
      <c r="G3279">
        <v>2014</v>
      </c>
      <c r="I3279">
        <v>81.386947791162001</v>
      </c>
      <c r="J3279" s="2" t="s">
        <v>121</v>
      </c>
      <c r="K3279" t="s">
        <v>53</v>
      </c>
      <c r="L3279" t="s">
        <v>60</v>
      </c>
      <c r="M3279">
        <v>0</v>
      </c>
      <c r="O3279">
        <v>1</v>
      </c>
      <c r="P3279">
        <v>0</v>
      </c>
      <c r="Q3279">
        <v>0</v>
      </c>
      <c r="R3279">
        <v>0</v>
      </c>
      <c r="V3279">
        <v>1</v>
      </c>
      <c r="W3279" t="s">
        <v>273</v>
      </c>
      <c r="AA3279">
        <v>2007</v>
      </c>
      <c r="AB3279">
        <v>9999</v>
      </c>
      <c r="AC3279" t="s">
        <v>35</v>
      </c>
    </row>
    <row r="3280" spans="1:29" x14ac:dyDescent="0.25">
      <c r="A3280" s="31" t="s">
        <v>274</v>
      </c>
      <c r="B3280" s="25" t="s">
        <v>275</v>
      </c>
      <c r="C3280" t="s">
        <v>276</v>
      </c>
      <c r="D3280">
        <v>1</v>
      </c>
      <c r="E3280" t="s">
        <v>51</v>
      </c>
      <c r="F3280">
        <v>10</v>
      </c>
      <c r="G3280">
        <v>2014</v>
      </c>
      <c r="J3280" s="2" t="s">
        <v>40</v>
      </c>
      <c r="K3280" t="s">
        <v>41</v>
      </c>
      <c r="M3280">
        <v>0</v>
      </c>
      <c r="O3280">
        <v>0</v>
      </c>
      <c r="P3280">
        <v>0</v>
      </c>
      <c r="Q3280">
        <v>0</v>
      </c>
      <c r="R3280">
        <v>0</v>
      </c>
      <c r="W3280" t="s">
        <v>1399</v>
      </c>
      <c r="AA3280">
        <v>2007</v>
      </c>
      <c r="AB3280">
        <v>9999</v>
      </c>
      <c r="AC3280" t="s">
        <v>35</v>
      </c>
    </row>
    <row r="3281" spans="1:29" x14ac:dyDescent="0.25">
      <c r="A3281" s="31" t="s">
        <v>278</v>
      </c>
      <c r="B3281" s="23" t="s">
        <v>279</v>
      </c>
      <c r="D3281">
        <v>1</v>
      </c>
      <c r="E3281" t="s">
        <v>103</v>
      </c>
      <c r="F3281">
        <v>9</v>
      </c>
      <c r="G3281">
        <v>2014</v>
      </c>
      <c r="I3281" s="8">
        <v>674.17</v>
      </c>
      <c r="J3281" t="s">
        <v>104</v>
      </c>
      <c r="K3281" t="s">
        <v>53</v>
      </c>
      <c r="L3281" t="s">
        <v>105</v>
      </c>
      <c r="M3281">
        <v>0</v>
      </c>
      <c r="O3281">
        <v>0</v>
      </c>
      <c r="P3281">
        <v>1</v>
      </c>
      <c r="Q3281">
        <v>0</v>
      </c>
      <c r="R3281">
        <v>0</v>
      </c>
      <c r="W3281" t="s">
        <v>106</v>
      </c>
      <c r="AA3281">
        <v>2007</v>
      </c>
      <c r="AB3281">
        <v>9999</v>
      </c>
      <c r="AC3281" t="s">
        <v>35</v>
      </c>
    </row>
    <row r="3282" spans="1:29" x14ac:dyDescent="0.25">
      <c r="A3282" s="31" t="s">
        <v>280</v>
      </c>
      <c r="B3282" s="23" t="s">
        <v>281</v>
      </c>
      <c r="D3282">
        <v>1</v>
      </c>
      <c r="E3282" t="s">
        <v>103</v>
      </c>
      <c r="F3282">
        <v>9</v>
      </c>
      <c r="G3282">
        <v>2014</v>
      </c>
      <c r="I3282" s="8">
        <v>624.30999999999995</v>
      </c>
      <c r="J3282" t="s">
        <v>104</v>
      </c>
      <c r="K3282" t="s">
        <v>53</v>
      </c>
      <c r="L3282" t="s">
        <v>105</v>
      </c>
      <c r="M3282">
        <v>0</v>
      </c>
      <c r="O3282">
        <v>0</v>
      </c>
      <c r="P3282">
        <v>1</v>
      </c>
      <c r="Q3282">
        <v>0</v>
      </c>
      <c r="R3282">
        <v>0</v>
      </c>
      <c r="W3282" t="s">
        <v>106</v>
      </c>
      <c r="AA3282">
        <v>2007</v>
      </c>
      <c r="AB3282">
        <v>9999</v>
      </c>
      <c r="AC3282" t="s">
        <v>35</v>
      </c>
    </row>
    <row r="3283" spans="1:29" x14ac:dyDescent="0.25">
      <c r="A3283" s="31" t="s">
        <v>282</v>
      </c>
      <c r="B3283" s="23" t="s">
        <v>283</v>
      </c>
      <c r="D3283">
        <v>1</v>
      </c>
      <c r="E3283" t="s">
        <v>103</v>
      </c>
      <c r="F3283">
        <v>9</v>
      </c>
      <c r="G3283">
        <v>2014</v>
      </c>
      <c r="I3283" s="8">
        <v>572.02</v>
      </c>
      <c r="J3283" t="s">
        <v>104</v>
      </c>
      <c r="K3283" t="s">
        <v>53</v>
      </c>
      <c r="L3283" t="s">
        <v>105</v>
      </c>
      <c r="M3283">
        <v>0</v>
      </c>
      <c r="O3283">
        <v>0</v>
      </c>
      <c r="P3283">
        <v>1</v>
      </c>
      <c r="Q3283">
        <v>0</v>
      </c>
      <c r="R3283">
        <v>0</v>
      </c>
      <c r="W3283" t="s">
        <v>106</v>
      </c>
      <c r="AA3283">
        <v>2007</v>
      </c>
      <c r="AB3283">
        <v>9999</v>
      </c>
      <c r="AC3283" t="s">
        <v>35</v>
      </c>
    </row>
    <row r="3284" spans="1:29" x14ac:dyDescent="0.25">
      <c r="A3284" s="31" t="s">
        <v>284</v>
      </c>
      <c r="B3284" s="23" t="s">
        <v>285</v>
      </c>
      <c r="D3284">
        <v>1</v>
      </c>
      <c r="E3284" t="s">
        <v>103</v>
      </c>
      <c r="F3284">
        <v>9</v>
      </c>
      <c r="G3284">
        <v>2014</v>
      </c>
      <c r="I3284" s="8">
        <v>510.41</v>
      </c>
      <c r="J3284" t="s">
        <v>104</v>
      </c>
      <c r="K3284" t="s">
        <v>53</v>
      </c>
      <c r="L3284" t="s">
        <v>105</v>
      </c>
      <c r="M3284">
        <v>0</v>
      </c>
      <c r="O3284">
        <v>0</v>
      </c>
      <c r="P3284">
        <v>1</v>
      </c>
      <c r="Q3284">
        <v>0</v>
      </c>
      <c r="R3284">
        <v>0</v>
      </c>
      <c r="W3284" t="s">
        <v>106</v>
      </c>
      <c r="AA3284">
        <v>2007</v>
      </c>
      <c r="AB3284">
        <v>9999</v>
      </c>
      <c r="AC3284" t="s">
        <v>35</v>
      </c>
    </row>
    <row r="3285" spans="1:29" x14ac:dyDescent="0.25">
      <c r="A3285" s="31" t="s">
        <v>288</v>
      </c>
      <c r="B3285" s="23" t="s">
        <v>289</v>
      </c>
      <c r="D3285">
        <v>1</v>
      </c>
      <c r="E3285" t="s">
        <v>103</v>
      </c>
      <c r="F3285">
        <v>9</v>
      </c>
      <c r="G3285">
        <v>2014</v>
      </c>
      <c r="I3285" s="8">
        <v>428.66</v>
      </c>
      <c r="J3285" t="s">
        <v>104</v>
      </c>
      <c r="K3285" t="s">
        <v>53</v>
      </c>
      <c r="L3285" t="s">
        <v>105</v>
      </c>
      <c r="M3285">
        <v>0</v>
      </c>
      <c r="O3285">
        <v>0</v>
      </c>
      <c r="P3285">
        <v>1</v>
      </c>
      <c r="Q3285">
        <v>0</v>
      </c>
      <c r="R3285">
        <v>0</v>
      </c>
      <c r="W3285" t="s">
        <v>106</v>
      </c>
      <c r="AA3285">
        <v>2007</v>
      </c>
      <c r="AB3285">
        <v>9999</v>
      </c>
      <c r="AC3285" t="s">
        <v>35</v>
      </c>
    </row>
    <row r="3286" spans="1:29" x14ac:dyDescent="0.25">
      <c r="A3286" s="31" t="s">
        <v>288</v>
      </c>
      <c r="B3286" s="23" t="s">
        <v>290</v>
      </c>
      <c r="D3286">
        <v>1</v>
      </c>
      <c r="E3286" t="s">
        <v>103</v>
      </c>
      <c r="F3286">
        <v>9</v>
      </c>
      <c r="G3286">
        <v>2014</v>
      </c>
      <c r="I3286" s="8">
        <v>490.57</v>
      </c>
      <c r="J3286" t="s">
        <v>104</v>
      </c>
      <c r="K3286" t="s">
        <v>53</v>
      </c>
      <c r="L3286" t="s">
        <v>105</v>
      </c>
      <c r="M3286">
        <v>0</v>
      </c>
      <c r="O3286">
        <v>0</v>
      </c>
      <c r="P3286">
        <v>1</v>
      </c>
      <c r="Q3286">
        <v>0</v>
      </c>
      <c r="R3286">
        <v>0</v>
      </c>
      <c r="W3286" t="s">
        <v>106</v>
      </c>
      <c r="AA3286">
        <v>2007</v>
      </c>
      <c r="AB3286">
        <v>9999</v>
      </c>
      <c r="AC3286" t="s">
        <v>35</v>
      </c>
    </row>
    <row r="3287" spans="1:29" x14ac:dyDescent="0.25">
      <c r="A3287" s="31" t="s">
        <v>293</v>
      </c>
      <c r="B3287" s="23" t="s">
        <v>294</v>
      </c>
      <c r="D3287">
        <v>1</v>
      </c>
      <c r="E3287" t="s">
        <v>103</v>
      </c>
      <c r="F3287">
        <v>9</v>
      </c>
      <c r="G3287">
        <v>2014</v>
      </c>
      <c r="I3287" s="8">
        <v>484.19</v>
      </c>
      <c r="J3287" t="s">
        <v>104</v>
      </c>
      <c r="K3287" t="s">
        <v>53</v>
      </c>
      <c r="L3287" t="s">
        <v>105</v>
      </c>
      <c r="M3287">
        <v>0</v>
      </c>
      <c r="O3287">
        <v>0</v>
      </c>
      <c r="P3287">
        <v>1</v>
      </c>
      <c r="Q3287">
        <v>0</v>
      </c>
      <c r="R3287">
        <v>0</v>
      </c>
      <c r="W3287" t="s">
        <v>106</v>
      </c>
      <c r="AA3287">
        <v>2007</v>
      </c>
      <c r="AB3287">
        <v>9999</v>
      </c>
      <c r="AC3287" t="s">
        <v>35</v>
      </c>
    </row>
    <row r="3288" spans="1:29" x14ac:dyDescent="0.25">
      <c r="A3288" s="31" t="s">
        <v>295</v>
      </c>
      <c r="B3288" s="25" t="s">
        <v>296</v>
      </c>
      <c r="D3288">
        <v>1</v>
      </c>
      <c r="E3288" t="s">
        <v>128</v>
      </c>
      <c r="F3288">
        <v>9</v>
      </c>
      <c r="G3288">
        <v>2014</v>
      </c>
      <c r="H3288" t="s">
        <v>1428</v>
      </c>
      <c r="J3288" t="s">
        <v>104</v>
      </c>
      <c r="K3288" t="s">
        <v>41</v>
      </c>
      <c r="M3288">
        <v>0</v>
      </c>
      <c r="O3288">
        <v>0</v>
      </c>
      <c r="P3288">
        <v>0</v>
      </c>
      <c r="Q3288">
        <v>0</v>
      </c>
      <c r="R3288">
        <v>0</v>
      </c>
      <c r="W3288" t="s">
        <v>1081</v>
      </c>
      <c r="AA3288">
        <v>2007</v>
      </c>
      <c r="AB3288">
        <v>9999</v>
      </c>
      <c r="AC3288" t="s">
        <v>35</v>
      </c>
    </row>
    <row r="3289" spans="1:29" x14ac:dyDescent="0.25">
      <c r="A3289" s="31" t="s">
        <v>153</v>
      </c>
      <c r="B3289" s="25" t="s">
        <v>303</v>
      </c>
      <c r="D3289">
        <v>1</v>
      </c>
      <c r="E3289" t="s">
        <v>155</v>
      </c>
      <c r="F3289">
        <v>3</v>
      </c>
      <c r="G3289">
        <v>2014</v>
      </c>
      <c r="I3289">
        <v>84.731626506024</v>
      </c>
      <c r="J3289" t="s">
        <v>121</v>
      </c>
      <c r="K3289" t="s">
        <v>53</v>
      </c>
      <c r="L3289" t="s">
        <v>60</v>
      </c>
      <c r="M3289">
        <v>0</v>
      </c>
      <c r="O3289">
        <v>1</v>
      </c>
      <c r="P3289">
        <v>0</v>
      </c>
      <c r="Q3289">
        <v>0</v>
      </c>
      <c r="R3289">
        <v>0</v>
      </c>
      <c r="V3289">
        <v>1</v>
      </c>
      <c r="W3289" t="s">
        <v>304</v>
      </c>
      <c r="AA3289">
        <v>2007</v>
      </c>
      <c r="AB3289">
        <v>9999</v>
      </c>
      <c r="AC3289" t="s">
        <v>35</v>
      </c>
    </row>
    <row r="3290" spans="1:29" x14ac:dyDescent="0.25">
      <c r="A3290" s="31" t="s">
        <v>153</v>
      </c>
      <c r="B3290" s="25" t="s">
        <v>1357</v>
      </c>
      <c r="D3290">
        <v>1</v>
      </c>
      <c r="E3290" t="s">
        <v>155</v>
      </c>
      <c r="F3290">
        <v>3</v>
      </c>
      <c r="G3290">
        <v>2014</v>
      </c>
      <c r="I3290">
        <v>75.158935742970996</v>
      </c>
      <c r="J3290" t="s">
        <v>121</v>
      </c>
      <c r="K3290" t="s">
        <v>53</v>
      </c>
      <c r="L3290" t="s">
        <v>60</v>
      </c>
      <c r="M3290">
        <v>0</v>
      </c>
      <c r="O3290">
        <v>1</v>
      </c>
      <c r="P3290">
        <v>0</v>
      </c>
      <c r="Q3290">
        <v>0</v>
      </c>
      <c r="R3290">
        <v>0</v>
      </c>
      <c r="V3290">
        <v>1</v>
      </c>
      <c r="W3290" t="s">
        <v>645</v>
      </c>
      <c r="AA3290">
        <v>2007</v>
      </c>
      <c r="AB3290">
        <v>9999</v>
      </c>
      <c r="AC3290" t="s">
        <v>35</v>
      </c>
    </row>
    <row r="3291" spans="1:29" x14ac:dyDescent="0.25">
      <c r="A3291" s="31" t="s">
        <v>307</v>
      </c>
      <c r="B3291" s="23" t="s">
        <v>308</v>
      </c>
      <c r="D3291">
        <v>1</v>
      </c>
      <c r="E3291" t="s">
        <v>309</v>
      </c>
      <c r="F3291">
        <v>10</v>
      </c>
      <c r="G3291">
        <v>2014</v>
      </c>
      <c r="I3291" s="8">
        <v>60.86</v>
      </c>
      <c r="J3291" t="s">
        <v>59</v>
      </c>
      <c r="K3291" t="s">
        <v>47</v>
      </c>
      <c r="M3291">
        <v>1</v>
      </c>
      <c r="O3291">
        <v>0</v>
      </c>
      <c r="P3291">
        <v>0</v>
      </c>
      <c r="Q3291">
        <v>0</v>
      </c>
      <c r="R3291">
        <v>0</v>
      </c>
      <c r="W3291" t="s">
        <v>1083</v>
      </c>
      <c r="AA3291">
        <v>2007</v>
      </c>
      <c r="AB3291">
        <v>9999</v>
      </c>
      <c r="AC3291" t="s">
        <v>35</v>
      </c>
    </row>
    <row r="3292" spans="1:29" x14ac:dyDescent="0.25">
      <c r="A3292" s="31" t="s">
        <v>1294</v>
      </c>
      <c r="B3292" s="23" t="s">
        <v>1295</v>
      </c>
      <c r="C3292" t="s">
        <v>1296</v>
      </c>
      <c r="D3292">
        <v>1</v>
      </c>
      <c r="E3292" t="s">
        <v>95</v>
      </c>
      <c r="F3292">
        <v>10</v>
      </c>
      <c r="G3292">
        <v>2014</v>
      </c>
      <c r="I3292" s="8">
        <v>50.48</v>
      </c>
      <c r="J3292" t="s">
        <v>40</v>
      </c>
      <c r="K3292" t="s">
        <v>47</v>
      </c>
      <c r="M3292">
        <v>1</v>
      </c>
      <c r="O3292">
        <v>0</v>
      </c>
      <c r="P3292">
        <v>0</v>
      </c>
      <c r="Q3292">
        <v>0</v>
      </c>
      <c r="R3292">
        <v>0</v>
      </c>
      <c r="W3292" t="s">
        <v>1297</v>
      </c>
      <c r="AA3292">
        <v>2010</v>
      </c>
      <c r="AB3292">
        <v>9999</v>
      </c>
      <c r="AC3292" t="s">
        <v>1292</v>
      </c>
    </row>
    <row r="3293" spans="1:29" x14ac:dyDescent="0.25">
      <c r="A3293" s="31" t="s">
        <v>311</v>
      </c>
      <c r="B3293" s="23" t="s">
        <v>312</v>
      </c>
      <c r="C3293" t="s">
        <v>313</v>
      </c>
      <c r="D3293">
        <v>1</v>
      </c>
      <c r="E3293" t="s">
        <v>314</v>
      </c>
      <c r="F3293">
        <v>2</v>
      </c>
      <c r="G3293">
        <v>2014</v>
      </c>
      <c r="I3293" s="8">
        <v>24.85</v>
      </c>
      <c r="J3293" t="s">
        <v>176</v>
      </c>
      <c r="K3293" t="s">
        <v>47</v>
      </c>
      <c r="M3293">
        <v>0</v>
      </c>
      <c r="O3293">
        <v>0</v>
      </c>
      <c r="P3293">
        <v>0</v>
      </c>
      <c r="Q3293">
        <v>0</v>
      </c>
      <c r="R3293">
        <v>0</v>
      </c>
      <c r="W3293" t="s">
        <v>1358</v>
      </c>
      <c r="AA3293">
        <v>2007</v>
      </c>
      <c r="AB3293">
        <v>9999</v>
      </c>
      <c r="AC3293" t="s">
        <v>35</v>
      </c>
    </row>
    <row r="3294" spans="1:29" x14ac:dyDescent="0.25">
      <c r="A3294" s="31" t="s">
        <v>1457</v>
      </c>
      <c r="B3294" s="24" t="s">
        <v>1458</v>
      </c>
      <c r="C3294" t="s">
        <v>1459</v>
      </c>
      <c r="D3294">
        <v>1</v>
      </c>
      <c r="E3294" s="4">
        <v>760</v>
      </c>
      <c r="F3294">
        <v>7</v>
      </c>
      <c r="G3294">
        <v>2014</v>
      </c>
      <c r="I3294" s="8">
        <v>589.67999999999995</v>
      </c>
      <c r="J3294" s="2" t="s">
        <v>40</v>
      </c>
      <c r="K3294" t="s">
        <v>47</v>
      </c>
      <c r="M3294">
        <v>1</v>
      </c>
      <c r="O3294">
        <v>0</v>
      </c>
      <c r="P3294">
        <v>0</v>
      </c>
      <c r="Q3294">
        <v>0</v>
      </c>
      <c r="R3294">
        <v>0</v>
      </c>
      <c r="W3294" t="s">
        <v>1460</v>
      </c>
      <c r="AA3294">
        <v>2014</v>
      </c>
      <c r="AB3294">
        <v>9999</v>
      </c>
      <c r="AC3294" t="s">
        <v>1449</v>
      </c>
    </row>
    <row r="3295" spans="1:29" ht="30" x14ac:dyDescent="0.25">
      <c r="A3295" s="31" t="s">
        <v>316</v>
      </c>
      <c r="B3295" s="24" t="s">
        <v>1461</v>
      </c>
      <c r="C3295" t="s">
        <v>1462</v>
      </c>
      <c r="D3295">
        <v>1</v>
      </c>
      <c r="E3295" t="s">
        <v>318</v>
      </c>
      <c r="F3295">
        <v>4</v>
      </c>
      <c r="G3295">
        <v>2014</v>
      </c>
      <c r="I3295" s="8">
        <v>37.83</v>
      </c>
      <c r="J3295" t="s">
        <v>59</v>
      </c>
      <c r="K3295" t="s">
        <v>47</v>
      </c>
      <c r="M3295">
        <v>0</v>
      </c>
      <c r="O3295">
        <v>0</v>
      </c>
      <c r="P3295">
        <v>0</v>
      </c>
      <c r="Q3295">
        <v>0</v>
      </c>
      <c r="R3295">
        <v>0</v>
      </c>
      <c r="W3295" t="s">
        <v>1085</v>
      </c>
      <c r="AA3295">
        <v>2007</v>
      </c>
      <c r="AB3295">
        <v>9999</v>
      </c>
      <c r="AC3295" t="s">
        <v>35</v>
      </c>
    </row>
    <row r="3296" spans="1:29" x14ac:dyDescent="0.25">
      <c r="A3296" s="31" t="s">
        <v>324</v>
      </c>
      <c r="B3296" s="23" t="s">
        <v>325</v>
      </c>
      <c r="D3296">
        <v>1</v>
      </c>
      <c r="E3296" t="s">
        <v>103</v>
      </c>
      <c r="F3296">
        <v>9</v>
      </c>
      <c r="G3296">
        <v>2014</v>
      </c>
      <c r="I3296" s="8">
        <v>92.83</v>
      </c>
      <c r="J3296" t="s">
        <v>104</v>
      </c>
      <c r="K3296" t="s">
        <v>47</v>
      </c>
      <c r="M3296">
        <v>1</v>
      </c>
      <c r="O3296">
        <v>0</v>
      </c>
      <c r="P3296">
        <v>0</v>
      </c>
      <c r="Q3296">
        <v>0</v>
      </c>
      <c r="R3296">
        <v>0</v>
      </c>
      <c r="W3296" t="s">
        <v>1086</v>
      </c>
      <c r="AA3296">
        <v>2007</v>
      </c>
      <c r="AB3296">
        <v>9999</v>
      </c>
      <c r="AC3296" t="s">
        <v>35</v>
      </c>
    </row>
    <row r="3297" spans="1:29" x14ac:dyDescent="0.25">
      <c r="A3297" s="31" t="s">
        <v>327</v>
      </c>
      <c r="B3297" s="23" t="s">
        <v>328</v>
      </c>
      <c r="D3297">
        <v>1</v>
      </c>
      <c r="E3297" t="s">
        <v>80</v>
      </c>
      <c r="F3297">
        <v>8</v>
      </c>
      <c r="G3297">
        <v>2014</v>
      </c>
      <c r="I3297" s="8">
        <v>77.27</v>
      </c>
      <c r="J3297" t="s">
        <v>81</v>
      </c>
      <c r="K3297" t="s">
        <v>47</v>
      </c>
      <c r="M3297">
        <v>0</v>
      </c>
      <c r="O3297">
        <v>0</v>
      </c>
      <c r="P3297">
        <v>0</v>
      </c>
      <c r="Q3297">
        <v>0</v>
      </c>
      <c r="R3297">
        <v>0</v>
      </c>
      <c r="W3297" t="s">
        <v>1087</v>
      </c>
      <c r="AA3297">
        <v>2007</v>
      </c>
      <c r="AB3297">
        <v>9999</v>
      </c>
      <c r="AC3297" t="s">
        <v>35</v>
      </c>
    </row>
    <row r="3298" spans="1:29" x14ac:dyDescent="0.25">
      <c r="A3298" s="31" t="s">
        <v>346</v>
      </c>
      <c r="B3298" s="23" t="s">
        <v>347</v>
      </c>
      <c r="D3298">
        <v>1</v>
      </c>
      <c r="E3298" t="s">
        <v>348</v>
      </c>
      <c r="F3298">
        <v>1</v>
      </c>
      <c r="G3298">
        <v>2014</v>
      </c>
      <c r="I3298" s="8">
        <v>32.5</v>
      </c>
      <c r="J3298" t="s">
        <v>121</v>
      </c>
      <c r="K3298" t="s">
        <v>47</v>
      </c>
      <c r="M3298">
        <v>0</v>
      </c>
      <c r="O3298">
        <v>0</v>
      </c>
      <c r="P3298">
        <v>0</v>
      </c>
      <c r="Q3298">
        <v>0</v>
      </c>
      <c r="R3298">
        <v>0</v>
      </c>
      <c r="W3298" t="s">
        <v>349</v>
      </c>
      <c r="AA3298">
        <v>2007</v>
      </c>
      <c r="AB3298">
        <v>9999</v>
      </c>
      <c r="AC3298" t="s">
        <v>35</v>
      </c>
    </row>
    <row r="3299" spans="1:29" x14ac:dyDescent="0.25">
      <c r="A3299" s="31" t="s">
        <v>199</v>
      </c>
      <c r="B3299" s="23" t="s">
        <v>39</v>
      </c>
      <c r="D3299">
        <v>1</v>
      </c>
      <c r="E3299" t="s">
        <v>358</v>
      </c>
      <c r="F3299">
        <v>1</v>
      </c>
      <c r="G3299">
        <v>2014</v>
      </c>
      <c r="I3299" s="8">
        <v>255.8</v>
      </c>
      <c r="J3299" t="s">
        <v>52</v>
      </c>
      <c r="K3299" t="s">
        <v>47</v>
      </c>
      <c r="M3299">
        <v>1</v>
      </c>
      <c r="O3299">
        <v>0</v>
      </c>
      <c r="P3299">
        <v>0</v>
      </c>
      <c r="Q3299">
        <v>0</v>
      </c>
      <c r="R3299">
        <v>0</v>
      </c>
      <c r="W3299" t="s">
        <v>1094</v>
      </c>
      <c r="AA3299">
        <v>2007</v>
      </c>
      <c r="AB3299">
        <v>9999</v>
      </c>
      <c r="AC3299" t="s">
        <v>35</v>
      </c>
    </row>
    <row r="3300" spans="1:29" x14ac:dyDescent="0.25">
      <c r="A3300" s="31" t="s">
        <v>153</v>
      </c>
      <c r="B3300" s="23" t="s">
        <v>360</v>
      </c>
      <c r="D3300">
        <v>4</v>
      </c>
      <c r="E3300" t="s">
        <v>155</v>
      </c>
      <c r="F3300">
        <v>3</v>
      </c>
      <c r="G3300">
        <v>2014</v>
      </c>
      <c r="I3300">
        <v>420.58910642570197</v>
      </c>
      <c r="J3300" t="s">
        <v>121</v>
      </c>
      <c r="K3300" t="s">
        <v>53</v>
      </c>
      <c r="L3300" t="s">
        <v>60</v>
      </c>
      <c r="M3300">
        <v>0</v>
      </c>
      <c r="O3300">
        <v>1</v>
      </c>
      <c r="P3300">
        <v>0</v>
      </c>
      <c r="Q3300">
        <v>0</v>
      </c>
      <c r="R3300">
        <v>0</v>
      </c>
      <c r="V3300">
        <v>1</v>
      </c>
      <c r="W3300" t="s">
        <v>361</v>
      </c>
      <c r="AA3300">
        <v>2007</v>
      </c>
      <c r="AB3300">
        <v>9999</v>
      </c>
      <c r="AC3300" t="s">
        <v>35</v>
      </c>
    </row>
    <row r="3301" spans="1:29" x14ac:dyDescent="0.25">
      <c r="A3301" s="31" t="s">
        <v>362</v>
      </c>
      <c r="B3301" s="23" t="s">
        <v>363</v>
      </c>
      <c r="D3301">
        <v>1</v>
      </c>
      <c r="E3301" t="s">
        <v>103</v>
      </c>
      <c r="F3301">
        <v>9</v>
      </c>
      <c r="G3301">
        <v>2014</v>
      </c>
      <c r="I3301" s="8">
        <v>1022.67</v>
      </c>
      <c r="J3301" t="s">
        <v>104</v>
      </c>
      <c r="K3301" t="s">
        <v>53</v>
      </c>
      <c r="L3301" t="s">
        <v>105</v>
      </c>
      <c r="M3301">
        <v>0</v>
      </c>
      <c r="O3301">
        <v>0</v>
      </c>
      <c r="P3301">
        <v>1</v>
      </c>
      <c r="Q3301">
        <v>0</v>
      </c>
      <c r="R3301">
        <v>0</v>
      </c>
      <c r="W3301" t="s">
        <v>106</v>
      </c>
      <c r="AA3301">
        <v>2007</v>
      </c>
      <c r="AB3301">
        <v>9999</v>
      </c>
      <c r="AC3301" t="s">
        <v>35</v>
      </c>
    </row>
    <row r="3302" spans="1:29" x14ac:dyDescent="0.25">
      <c r="A3302" s="31" t="s">
        <v>364</v>
      </c>
      <c r="B3302" s="23" t="s">
        <v>365</v>
      </c>
      <c r="C3302" t="s">
        <v>366</v>
      </c>
      <c r="D3302">
        <v>1</v>
      </c>
      <c r="E3302" t="s">
        <v>103</v>
      </c>
      <c r="F3302">
        <v>9</v>
      </c>
      <c r="G3302">
        <v>2014</v>
      </c>
      <c r="I3302" s="8">
        <v>4606.1099999999997</v>
      </c>
      <c r="J3302" t="s">
        <v>104</v>
      </c>
      <c r="K3302" t="s">
        <v>53</v>
      </c>
      <c r="L3302" t="s">
        <v>105</v>
      </c>
      <c r="M3302">
        <v>0</v>
      </c>
      <c r="O3302">
        <v>0</v>
      </c>
      <c r="P3302">
        <v>1</v>
      </c>
      <c r="Q3302">
        <v>0</v>
      </c>
      <c r="R3302">
        <v>0</v>
      </c>
      <c r="W3302" t="s">
        <v>106</v>
      </c>
      <c r="AA3302">
        <v>2007</v>
      </c>
      <c r="AB3302">
        <v>9999</v>
      </c>
      <c r="AC3302" t="s">
        <v>35</v>
      </c>
    </row>
    <row r="3303" spans="1:29" x14ac:dyDescent="0.25">
      <c r="A3303" s="31" t="s">
        <v>367</v>
      </c>
      <c r="B3303" s="23" t="s">
        <v>368</v>
      </c>
      <c r="C3303" t="s">
        <v>369</v>
      </c>
      <c r="D3303">
        <v>1</v>
      </c>
      <c r="E3303" t="s">
        <v>370</v>
      </c>
      <c r="F3303">
        <v>5</v>
      </c>
      <c r="G3303">
        <v>2014</v>
      </c>
      <c r="I3303" s="8">
        <v>229.46</v>
      </c>
      <c r="J3303" t="s">
        <v>31</v>
      </c>
      <c r="K3303" t="s">
        <v>47</v>
      </c>
      <c r="M3303">
        <v>1</v>
      </c>
      <c r="O3303">
        <v>0</v>
      </c>
      <c r="P3303">
        <v>0</v>
      </c>
      <c r="Q3303">
        <v>0</v>
      </c>
      <c r="R3303">
        <v>0</v>
      </c>
      <c r="W3303" t="s">
        <v>1298</v>
      </c>
      <c r="AA3303">
        <v>2007</v>
      </c>
      <c r="AB3303">
        <v>9999</v>
      </c>
      <c r="AC3303" t="s">
        <v>35</v>
      </c>
    </row>
    <row r="3304" spans="1:29" x14ac:dyDescent="0.25">
      <c r="A3304" s="31" t="s">
        <v>372</v>
      </c>
      <c r="B3304" s="23" t="s">
        <v>373</v>
      </c>
      <c r="D3304">
        <v>1</v>
      </c>
      <c r="E3304" t="s">
        <v>45</v>
      </c>
      <c r="F3304">
        <v>4</v>
      </c>
      <c r="G3304">
        <v>2014</v>
      </c>
      <c r="I3304" s="8">
        <v>80.45</v>
      </c>
      <c r="J3304" t="s">
        <v>176</v>
      </c>
      <c r="K3304" t="s">
        <v>47</v>
      </c>
      <c r="M3304">
        <v>0</v>
      </c>
      <c r="O3304">
        <v>0</v>
      </c>
      <c r="P3304">
        <v>0</v>
      </c>
      <c r="Q3304">
        <v>0</v>
      </c>
      <c r="R3304">
        <v>0</v>
      </c>
      <c r="W3304" t="s">
        <v>1429</v>
      </c>
      <c r="AA3304">
        <v>2007</v>
      </c>
      <c r="AB3304">
        <v>9999</v>
      </c>
      <c r="AC3304" t="s">
        <v>35</v>
      </c>
    </row>
    <row r="3305" spans="1:29" x14ac:dyDescent="0.25">
      <c r="A3305" s="31" t="s">
        <v>375</v>
      </c>
      <c r="B3305" s="23" t="s">
        <v>163</v>
      </c>
      <c r="D3305">
        <v>1</v>
      </c>
      <c r="E3305" t="s">
        <v>168</v>
      </c>
      <c r="F3305">
        <v>1</v>
      </c>
      <c r="G3305">
        <v>2014</v>
      </c>
      <c r="I3305" s="8">
        <v>53.81</v>
      </c>
      <c r="J3305" t="s">
        <v>52</v>
      </c>
      <c r="K3305" t="s">
        <v>47</v>
      </c>
      <c r="M3305">
        <v>0</v>
      </c>
      <c r="O3305">
        <v>0</v>
      </c>
      <c r="P3305">
        <v>0</v>
      </c>
      <c r="Q3305">
        <v>0</v>
      </c>
      <c r="R3305">
        <v>0</v>
      </c>
      <c r="W3305" t="s">
        <v>1097</v>
      </c>
      <c r="AA3305">
        <v>2007</v>
      </c>
      <c r="AB3305">
        <v>9999</v>
      </c>
      <c r="AC3305" t="s">
        <v>35</v>
      </c>
    </row>
    <row r="3306" spans="1:29" x14ac:dyDescent="0.25">
      <c r="A3306" s="31" t="s">
        <v>377</v>
      </c>
      <c r="B3306" s="23" t="s">
        <v>378</v>
      </c>
      <c r="D3306">
        <v>1</v>
      </c>
      <c r="E3306" t="s">
        <v>45</v>
      </c>
      <c r="F3306">
        <v>4</v>
      </c>
      <c r="G3306">
        <v>2014</v>
      </c>
      <c r="I3306" s="8">
        <v>127.53</v>
      </c>
      <c r="J3306" t="s">
        <v>89</v>
      </c>
      <c r="K3306" t="s">
        <v>47</v>
      </c>
      <c r="M3306">
        <v>0</v>
      </c>
      <c r="O3306">
        <v>0</v>
      </c>
      <c r="P3306">
        <v>0</v>
      </c>
      <c r="Q3306">
        <v>0</v>
      </c>
      <c r="R3306">
        <v>0</v>
      </c>
      <c r="W3306" t="s">
        <v>1098</v>
      </c>
      <c r="AA3306">
        <v>2007</v>
      </c>
      <c r="AB3306">
        <v>9999</v>
      </c>
      <c r="AC3306" t="s">
        <v>35</v>
      </c>
    </row>
    <row r="3307" spans="1:29" x14ac:dyDescent="0.25">
      <c r="A3307" s="31" t="s">
        <v>380</v>
      </c>
      <c r="B3307" s="23" t="s">
        <v>381</v>
      </c>
      <c r="D3307">
        <v>1</v>
      </c>
      <c r="E3307" t="s">
        <v>103</v>
      </c>
      <c r="F3307">
        <v>9</v>
      </c>
      <c r="G3307">
        <v>2014</v>
      </c>
      <c r="I3307" s="8">
        <v>150.66</v>
      </c>
      <c r="J3307" t="s">
        <v>104</v>
      </c>
      <c r="K3307" t="s">
        <v>53</v>
      </c>
      <c r="L3307" t="s">
        <v>105</v>
      </c>
      <c r="M3307">
        <v>0</v>
      </c>
      <c r="O3307">
        <v>0</v>
      </c>
      <c r="P3307">
        <v>1</v>
      </c>
      <c r="Q3307">
        <v>0</v>
      </c>
      <c r="R3307">
        <v>0</v>
      </c>
      <c r="W3307" t="s">
        <v>106</v>
      </c>
      <c r="AA3307">
        <v>2007</v>
      </c>
      <c r="AB3307">
        <v>9999</v>
      </c>
      <c r="AC3307" t="s">
        <v>35</v>
      </c>
    </row>
    <row r="3308" spans="1:29" x14ac:dyDescent="0.25">
      <c r="A3308" s="31" t="s">
        <v>382</v>
      </c>
      <c r="B3308" s="23" t="s">
        <v>383</v>
      </c>
      <c r="D3308">
        <v>1</v>
      </c>
      <c r="E3308" t="s">
        <v>80</v>
      </c>
      <c r="F3308">
        <v>8</v>
      </c>
      <c r="G3308">
        <v>2014</v>
      </c>
      <c r="I3308" s="8">
        <v>22.7</v>
      </c>
      <c r="J3308" t="s">
        <v>81</v>
      </c>
      <c r="K3308" t="s">
        <v>32</v>
      </c>
      <c r="M3308">
        <v>0</v>
      </c>
      <c r="O3308">
        <v>0</v>
      </c>
      <c r="P3308">
        <v>0</v>
      </c>
      <c r="Q3308">
        <v>0</v>
      </c>
      <c r="R3308">
        <v>0</v>
      </c>
      <c r="W3308" t="s">
        <v>1099</v>
      </c>
      <c r="AA3308">
        <v>2007</v>
      </c>
      <c r="AB3308">
        <v>9999</v>
      </c>
      <c r="AC3308" t="s">
        <v>35</v>
      </c>
    </row>
    <row r="3309" spans="1:29" x14ac:dyDescent="0.25">
      <c r="A3309" s="31" t="s">
        <v>385</v>
      </c>
      <c r="B3309" s="23" t="s">
        <v>386</v>
      </c>
      <c r="D3309">
        <v>1</v>
      </c>
      <c r="E3309" t="s">
        <v>45</v>
      </c>
      <c r="F3309">
        <v>4</v>
      </c>
      <c r="G3309">
        <v>2014</v>
      </c>
      <c r="I3309" s="8">
        <v>121.36</v>
      </c>
      <c r="J3309" t="s">
        <v>121</v>
      </c>
      <c r="K3309" t="s">
        <v>47</v>
      </c>
      <c r="M3309">
        <v>1</v>
      </c>
      <c r="O3309">
        <v>0</v>
      </c>
      <c r="P3309">
        <v>0</v>
      </c>
      <c r="Q3309">
        <v>0</v>
      </c>
      <c r="R3309">
        <v>0</v>
      </c>
      <c r="W3309" t="s">
        <v>1300</v>
      </c>
      <c r="AA3309">
        <v>2007</v>
      </c>
      <c r="AB3309">
        <v>9999</v>
      </c>
      <c r="AC3309" t="s">
        <v>35</v>
      </c>
    </row>
    <row r="3310" spans="1:29" x14ac:dyDescent="0.25">
      <c r="A3310" s="31" t="s">
        <v>388</v>
      </c>
      <c r="B3310" s="25" t="s">
        <v>389</v>
      </c>
      <c r="D3310">
        <v>1</v>
      </c>
      <c r="E3310" t="s">
        <v>145</v>
      </c>
      <c r="F3310">
        <v>2</v>
      </c>
      <c r="G3310">
        <v>2014</v>
      </c>
      <c r="H3310" t="s">
        <v>185</v>
      </c>
      <c r="J3310" t="s">
        <v>52</v>
      </c>
      <c r="K3310" t="s">
        <v>41</v>
      </c>
      <c r="M3310">
        <v>0</v>
      </c>
      <c r="O3310">
        <v>0</v>
      </c>
      <c r="P3310">
        <v>0</v>
      </c>
      <c r="Q3310">
        <v>0</v>
      </c>
      <c r="R3310">
        <v>0</v>
      </c>
      <c r="W3310" t="s">
        <v>1101</v>
      </c>
      <c r="AA3310">
        <v>2007</v>
      </c>
      <c r="AB3310">
        <v>9999</v>
      </c>
      <c r="AC3310" t="s">
        <v>35</v>
      </c>
    </row>
    <row r="3311" spans="1:29" x14ac:dyDescent="0.25">
      <c r="A3311" s="31" t="s">
        <v>391</v>
      </c>
      <c r="B3311" s="23" t="s">
        <v>392</v>
      </c>
      <c r="D3311">
        <v>1</v>
      </c>
      <c r="E3311" t="s">
        <v>393</v>
      </c>
      <c r="F3311">
        <v>3</v>
      </c>
      <c r="G3311">
        <v>2014</v>
      </c>
      <c r="I3311" s="8">
        <v>9013.67</v>
      </c>
      <c r="J3311" t="s">
        <v>121</v>
      </c>
      <c r="K3311" t="s">
        <v>47</v>
      </c>
      <c r="M3311">
        <v>1</v>
      </c>
      <c r="O3311">
        <v>0</v>
      </c>
      <c r="P3311">
        <v>0</v>
      </c>
      <c r="Q3311">
        <v>0</v>
      </c>
      <c r="R3311">
        <v>0</v>
      </c>
      <c r="W3311" t="s">
        <v>1102</v>
      </c>
      <c r="AA3311">
        <v>2007</v>
      </c>
      <c r="AB3311">
        <v>9999</v>
      </c>
      <c r="AC3311" t="s">
        <v>35</v>
      </c>
    </row>
    <row r="3312" spans="1:29" x14ac:dyDescent="0.25">
      <c r="A3312" s="31" t="s">
        <v>401</v>
      </c>
      <c r="B3312" s="23" t="s">
        <v>402</v>
      </c>
      <c r="D3312">
        <v>1</v>
      </c>
      <c r="E3312" t="s">
        <v>155</v>
      </c>
      <c r="F3312">
        <v>3</v>
      </c>
      <c r="G3312">
        <v>2014</v>
      </c>
      <c r="I3312" s="8">
        <v>2176.69</v>
      </c>
      <c r="J3312" t="s">
        <v>52</v>
      </c>
      <c r="K3312" t="s">
        <v>47</v>
      </c>
      <c r="M3312">
        <v>1</v>
      </c>
      <c r="O3312">
        <v>0</v>
      </c>
      <c r="P3312">
        <v>0</v>
      </c>
      <c r="Q3312">
        <v>0</v>
      </c>
      <c r="R3312">
        <v>0</v>
      </c>
      <c r="W3312" t="s">
        <v>1105</v>
      </c>
      <c r="AA3312">
        <v>2007</v>
      </c>
      <c r="AB3312">
        <v>9999</v>
      </c>
      <c r="AC3312" t="s">
        <v>35</v>
      </c>
    </row>
    <row r="3313" spans="1:29" x14ac:dyDescent="0.25">
      <c r="A3313" s="31" t="s">
        <v>404</v>
      </c>
      <c r="B3313" s="23" t="s">
        <v>405</v>
      </c>
      <c r="C3313" t="s">
        <v>406</v>
      </c>
      <c r="D3313">
        <v>1</v>
      </c>
      <c r="E3313" t="s">
        <v>358</v>
      </c>
      <c r="F3313">
        <v>1</v>
      </c>
      <c r="G3313">
        <v>2014</v>
      </c>
      <c r="I3313" s="8">
        <v>310.01</v>
      </c>
      <c r="J3313" t="s">
        <v>104</v>
      </c>
      <c r="K3313" t="s">
        <v>47</v>
      </c>
      <c r="M3313">
        <v>1</v>
      </c>
      <c r="O3313">
        <v>0</v>
      </c>
      <c r="P3313">
        <v>0</v>
      </c>
      <c r="Q3313">
        <v>0</v>
      </c>
      <c r="R3313">
        <v>0</v>
      </c>
      <c r="W3313" t="s">
        <v>1245</v>
      </c>
      <c r="AA3313">
        <v>2007</v>
      </c>
      <c r="AB3313">
        <v>9999</v>
      </c>
      <c r="AC3313" t="s">
        <v>35</v>
      </c>
    </row>
    <row r="3314" spans="1:29" x14ac:dyDescent="0.25">
      <c r="A3314" s="31" t="s">
        <v>408</v>
      </c>
      <c r="B3314" s="23" t="s">
        <v>409</v>
      </c>
      <c r="D3314">
        <v>1</v>
      </c>
      <c r="E3314" t="s">
        <v>103</v>
      </c>
      <c r="F3314">
        <v>9</v>
      </c>
      <c r="G3314">
        <v>2014</v>
      </c>
      <c r="I3314" s="8">
        <v>50.89</v>
      </c>
      <c r="J3314" t="s">
        <v>104</v>
      </c>
      <c r="K3314" t="s">
        <v>53</v>
      </c>
      <c r="L3314" t="s">
        <v>105</v>
      </c>
      <c r="M3314">
        <v>0</v>
      </c>
      <c r="O3314">
        <v>0</v>
      </c>
      <c r="P3314">
        <v>1</v>
      </c>
      <c r="Q3314">
        <v>0</v>
      </c>
      <c r="R3314">
        <v>0</v>
      </c>
      <c r="W3314" t="s">
        <v>106</v>
      </c>
      <c r="AA3314">
        <v>2007</v>
      </c>
      <c r="AB3314">
        <v>9999</v>
      </c>
      <c r="AC3314" t="s">
        <v>35</v>
      </c>
    </row>
    <row r="3315" spans="1:29" x14ac:dyDescent="0.25">
      <c r="A3315" s="31" t="s">
        <v>410</v>
      </c>
      <c r="B3315" s="23" t="s">
        <v>411</v>
      </c>
      <c r="C3315" t="s">
        <v>412</v>
      </c>
      <c r="D3315">
        <v>1</v>
      </c>
      <c r="E3315" t="s">
        <v>103</v>
      </c>
      <c r="F3315">
        <v>9</v>
      </c>
      <c r="G3315">
        <v>2014</v>
      </c>
      <c r="I3315" s="8">
        <v>160.62</v>
      </c>
      <c r="J3315" t="s">
        <v>104</v>
      </c>
      <c r="K3315" t="s">
        <v>53</v>
      </c>
      <c r="L3315" t="s">
        <v>105</v>
      </c>
      <c r="M3315">
        <v>0</v>
      </c>
      <c r="O3315">
        <v>0</v>
      </c>
      <c r="P3315">
        <v>1</v>
      </c>
      <c r="Q3315">
        <v>0</v>
      </c>
      <c r="R3315">
        <v>0</v>
      </c>
      <c r="W3315" t="s">
        <v>106</v>
      </c>
      <c r="AA3315">
        <v>2007</v>
      </c>
      <c r="AB3315">
        <v>9999</v>
      </c>
      <c r="AC3315" t="s">
        <v>35</v>
      </c>
    </row>
    <row r="3316" spans="1:29" x14ac:dyDescent="0.25">
      <c r="A3316" s="31" t="s">
        <v>413</v>
      </c>
      <c r="B3316" s="23" t="s">
        <v>414</v>
      </c>
      <c r="C3316" t="s">
        <v>415</v>
      </c>
      <c r="D3316">
        <v>1</v>
      </c>
      <c r="E3316" t="s">
        <v>103</v>
      </c>
      <c r="F3316">
        <v>9</v>
      </c>
      <c r="G3316">
        <v>2014</v>
      </c>
      <c r="I3316" s="8">
        <v>3769.72</v>
      </c>
      <c r="J3316" t="s">
        <v>104</v>
      </c>
      <c r="K3316" t="s">
        <v>53</v>
      </c>
      <c r="L3316" t="s">
        <v>105</v>
      </c>
      <c r="M3316">
        <v>0</v>
      </c>
      <c r="O3316">
        <v>0</v>
      </c>
      <c r="P3316">
        <v>1</v>
      </c>
      <c r="Q3316">
        <v>0</v>
      </c>
      <c r="R3316">
        <v>0</v>
      </c>
      <c r="W3316" t="s">
        <v>106</v>
      </c>
      <c r="AA3316">
        <v>2007</v>
      </c>
      <c r="AB3316">
        <v>9999</v>
      </c>
      <c r="AC3316" t="s">
        <v>35</v>
      </c>
    </row>
    <row r="3317" spans="1:29" x14ac:dyDescent="0.25">
      <c r="A3317" s="31" t="s">
        <v>416</v>
      </c>
      <c r="B3317" s="23" t="s">
        <v>417</v>
      </c>
      <c r="C3317" t="s">
        <v>418</v>
      </c>
      <c r="D3317">
        <v>1</v>
      </c>
      <c r="E3317" t="s">
        <v>218</v>
      </c>
      <c r="F3317">
        <v>2</v>
      </c>
      <c r="G3317">
        <v>2014</v>
      </c>
      <c r="I3317" s="8">
        <v>736.86</v>
      </c>
      <c r="J3317" t="s">
        <v>147</v>
      </c>
      <c r="K3317" t="s">
        <v>47</v>
      </c>
      <c r="M3317">
        <v>1</v>
      </c>
      <c r="O3317">
        <v>0</v>
      </c>
      <c r="P3317">
        <v>0</v>
      </c>
      <c r="Q3317">
        <v>0</v>
      </c>
      <c r="R3317">
        <v>0</v>
      </c>
      <c r="W3317" t="s">
        <v>1107</v>
      </c>
      <c r="AA3317">
        <v>2007</v>
      </c>
      <c r="AB3317">
        <v>9999</v>
      </c>
      <c r="AC3317" t="s">
        <v>35</v>
      </c>
    </row>
    <row r="3318" spans="1:29" x14ac:dyDescent="0.25">
      <c r="A3318" s="31" t="s">
        <v>420</v>
      </c>
      <c r="B3318" s="25" t="s">
        <v>421</v>
      </c>
      <c r="D3318">
        <v>1</v>
      </c>
      <c r="E3318" t="s">
        <v>38</v>
      </c>
      <c r="F3318">
        <v>4</v>
      </c>
      <c r="G3318">
        <v>2014</v>
      </c>
      <c r="H3318" t="s">
        <v>39</v>
      </c>
      <c r="J3318" s="2" t="s">
        <v>31</v>
      </c>
      <c r="K3318" t="s">
        <v>32</v>
      </c>
      <c r="M3318">
        <v>0</v>
      </c>
      <c r="O3318">
        <v>0</v>
      </c>
      <c r="P3318">
        <v>0</v>
      </c>
      <c r="Q3318">
        <v>0</v>
      </c>
      <c r="R3318">
        <v>0</v>
      </c>
      <c r="W3318" t="s">
        <v>1108</v>
      </c>
      <c r="AA3318">
        <v>2007</v>
      </c>
      <c r="AB3318">
        <v>9999</v>
      </c>
      <c r="AC3318" t="s">
        <v>35</v>
      </c>
    </row>
    <row r="3319" spans="1:29" x14ac:dyDescent="0.25">
      <c r="A3319" s="31" t="s">
        <v>423</v>
      </c>
      <c r="B3319" s="25" t="s">
        <v>424</v>
      </c>
      <c r="D3319">
        <v>1</v>
      </c>
      <c r="E3319" t="s">
        <v>85</v>
      </c>
      <c r="F3319">
        <v>1</v>
      </c>
      <c r="G3319">
        <v>2014</v>
      </c>
      <c r="H3319" t="s">
        <v>303</v>
      </c>
      <c r="J3319" t="s">
        <v>121</v>
      </c>
      <c r="K3319" t="s">
        <v>53</v>
      </c>
      <c r="L3319" t="s">
        <v>425</v>
      </c>
      <c r="M3319">
        <v>0</v>
      </c>
      <c r="O3319">
        <v>0</v>
      </c>
      <c r="P3319">
        <v>0</v>
      </c>
      <c r="Q3319">
        <v>0</v>
      </c>
      <c r="R3319">
        <v>0</v>
      </c>
      <c r="W3319" t="s">
        <v>426</v>
      </c>
      <c r="AA3319">
        <v>2007</v>
      </c>
      <c r="AB3319">
        <v>9999</v>
      </c>
      <c r="AC3319" t="s">
        <v>35</v>
      </c>
    </row>
    <row r="3320" spans="1:29" x14ac:dyDescent="0.25">
      <c r="A3320" s="31" t="s">
        <v>427</v>
      </c>
      <c r="B3320" s="23" t="s">
        <v>1246</v>
      </c>
      <c r="D3320">
        <v>1</v>
      </c>
      <c r="E3320" t="s">
        <v>45</v>
      </c>
      <c r="F3320">
        <v>4</v>
      </c>
      <c r="G3320">
        <v>2014</v>
      </c>
      <c r="I3320" s="8">
        <v>1869.26</v>
      </c>
      <c r="J3320" t="s">
        <v>40</v>
      </c>
      <c r="K3320" t="s">
        <v>32</v>
      </c>
      <c r="M3320">
        <v>0</v>
      </c>
      <c r="O3320">
        <v>0</v>
      </c>
      <c r="P3320">
        <v>0</v>
      </c>
      <c r="Q3320">
        <v>0</v>
      </c>
      <c r="R3320">
        <v>0</v>
      </c>
      <c r="W3320" t="s">
        <v>1301</v>
      </c>
      <c r="AA3320">
        <v>2007</v>
      </c>
      <c r="AB3320">
        <v>9999</v>
      </c>
      <c r="AC3320" t="s">
        <v>35</v>
      </c>
    </row>
    <row r="3321" spans="1:29" x14ac:dyDescent="0.25">
      <c r="A3321" s="31" t="s">
        <v>430</v>
      </c>
      <c r="B3321" s="23" t="s">
        <v>431</v>
      </c>
      <c r="D3321">
        <v>1</v>
      </c>
      <c r="E3321" t="s">
        <v>103</v>
      </c>
      <c r="F3321">
        <v>9</v>
      </c>
      <c r="G3321">
        <v>2014</v>
      </c>
      <c r="I3321" s="8">
        <v>3448.23</v>
      </c>
      <c r="J3321" t="s">
        <v>104</v>
      </c>
      <c r="K3321" t="s">
        <v>53</v>
      </c>
      <c r="L3321" t="s">
        <v>105</v>
      </c>
      <c r="M3321">
        <v>0</v>
      </c>
      <c r="O3321">
        <v>0</v>
      </c>
      <c r="P3321">
        <v>1</v>
      </c>
      <c r="Q3321">
        <v>0</v>
      </c>
      <c r="R3321">
        <v>0</v>
      </c>
      <c r="W3321" t="s">
        <v>106</v>
      </c>
      <c r="AA3321">
        <v>2007</v>
      </c>
      <c r="AB3321">
        <v>9999</v>
      </c>
      <c r="AC3321" t="s">
        <v>35</v>
      </c>
    </row>
    <row r="3322" spans="1:29" x14ac:dyDescent="0.25">
      <c r="A3322" s="31" t="s">
        <v>1302</v>
      </c>
      <c r="B3322" s="23" t="s">
        <v>1303</v>
      </c>
      <c r="D3322">
        <v>1</v>
      </c>
      <c r="E3322" t="s">
        <v>103</v>
      </c>
      <c r="F3322">
        <v>9</v>
      </c>
      <c r="G3322">
        <v>2014</v>
      </c>
      <c r="I3322" s="8">
        <v>1680.42</v>
      </c>
      <c r="J3322" t="s">
        <v>104</v>
      </c>
      <c r="K3322" t="s">
        <v>53</v>
      </c>
      <c r="L3322" t="s">
        <v>105</v>
      </c>
      <c r="M3322">
        <v>0</v>
      </c>
      <c r="O3322">
        <v>0</v>
      </c>
      <c r="P3322">
        <v>1</v>
      </c>
      <c r="Q3322">
        <v>0</v>
      </c>
      <c r="R3322">
        <v>0</v>
      </c>
      <c r="W3322" t="s">
        <v>106</v>
      </c>
      <c r="AA3322">
        <v>2010</v>
      </c>
      <c r="AB3322">
        <v>9999</v>
      </c>
      <c r="AC3322" t="s">
        <v>1292</v>
      </c>
    </row>
    <row r="3323" spans="1:29" ht="30" x14ac:dyDescent="0.25">
      <c r="A3323" s="31" t="s">
        <v>432</v>
      </c>
      <c r="B3323" s="23" t="s">
        <v>433</v>
      </c>
      <c r="D3323">
        <v>1</v>
      </c>
      <c r="E3323" t="s">
        <v>80</v>
      </c>
      <c r="F3323">
        <v>8</v>
      </c>
      <c r="G3323">
        <v>2014</v>
      </c>
      <c r="I3323" s="8">
        <v>59.79</v>
      </c>
      <c r="J3323" t="s">
        <v>81</v>
      </c>
      <c r="K3323" t="s">
        <v>47</v>
      </c>
      <c r="M3323">
        <v>0</v>
      </c>
      <c r="O3323">
        <v>0</v>
      </c>
      <c r="P3323">
        <v>0</v>
      </c>
      <c r="Q3323">
        <v>0</v>
      </c>
      <c r="R3323">
        <v>0</v>
      </c>
      <c r="W3323" t="s">
        <v>1111</v>
      </c>
      <c r="AA3323">
        <v>2007</v>
      </c>
      <c r="AB3323">
        <v>2017</v>
      </c>
      <c r="AC3323" t="s">
        <v>435</v>
      </c>
    </row>
    <row r="3324" spans="1:29" x14ac:dyDescent="0.25">
      <c r="A3324" s="31" t="s">
        <v>439</v>
      </c>
      <c r="B3324" s="23" t="s">
        <v>440</v>
      </c>
      <c r="C3324" t="s">
        <v>441</v>
      </c>
      <c r="D3324">
        <v>1</v>
      </c>
      <c r="E3324" t="s">
        <v>442</v>
      </c>
      <c r="F3324">
        <v>4</v>
      </c>
      <c r="G3324">
        <v>2014</v>
      </c>
      <c r="I3324" s="8">
        <v>507.08</v>
      </c>
      <c r="J3324" t="s">
        <v>1343</v>
      </c>
      <c r="K3324" t="s">
        <v>47</v>
      </c>
      <c r="M3324">
        <v>1</v>
      </c>
      <c r="O3324">
        <v>0</v>
      </c>
      <c r="P3324">
        <v>0</v>
      </c>
      <c r="Q3324">
        <v>0</v>
      </c>
      <c r="R3324">
        <v>0</v>
      </c>
      <c r="W3324" t="s">
        <v>1304</v>
      </c>
      <c r="AA3324">
        <v>2007</v>
      </c>
      <c r="AB3324">
        <v>9999</v>
      </c>
      <c r="AC3324" t="s">
        <v>35</v>
      </c>
    </row>
    <row r="3325" spans="1:29" ht="30" x14ac:dyDescent="0.25">
      <c r="B3325" s="25" t="s">
        <v>444</v>
      </c>
      <c r="C3325" t="s">
        <v>445</v>
      </c>
      <c r="D3325">
        <v>5</v>
      </c>
      <c r="E3325" t="s">
        <v>38</v>
      </c>
      <c r="F3325">
        <v>4</v>
      </c>
      <c r="G3325">
        <v>2014</v>
      </c>
      <c r="J3325" s="2" t="s">
        <v>31</v>
      </c>
      <c r="K3325" t="s">
        <v>41</v>
      </c>
      <c r="M3325">
        <v>0</v>
      </c>
      <c r="O3325">
        <v>0</v>
      </c>
      <c r="P3325">
        <v>0</v>
      </c>
      <c r="Q3325">
        <v>0</v>
      </c>
      <c r="R3325">
        <v>0</v>
      </c>
      <c r="W3325" t="s">
        <v>1114</v>
      </c>
      <c r="AA3325">
        <v>2007</v>
      </c>
      <c r="AB3325">
        <v>9999</v>
      </c>
      <c r="AC3325" t="s">
        <v>35</v>
      </c>
    </row>
    <row r="3326" spans="1:29" x14ac:dyDescent="0.25">
      <c r="A3326" s="31" t="s">
        <v>447</v>
      </c>
      <c r="B3326" s="23" t="s">
        <v>448</v>
      </c>
      <c r="D3326">
        <v>1</v>
      </c>
      <c r="E3326" t="s">
        <v>45</v>
      </c>
      <c r="F3326">
        <v>4</v>
      </c>
      <c r="G3326">
        <v>2014</v>
      </c>
      <c r="I3326" s="8">
        <v>37.58</v>
      </c>
      <c r="J3326" t="s">
        <v>52</v>
      </c>
      <c r="K3326" t="s">
        <v>32</v>
      </c>
      <c r="M3326">
        <v>0</v>
      </c>
      <c r="O3326">
        <v>0</v>
      </c>
      <c r="P3326">
        <v>0</v>
      </c>
      <c r="Q3326">
        <v>0</v>
      </c>
      <c r="R3326">
        <v>0</v>
      </c>
      <c r="W3326" t="s">
        <v>1115</v>
      </c>
      <c r="AA3326">
        <v>2007</v>
      </c>
      <c r="AB3326">
        <v>9999</v>
      </c>
      <c r="AC3326" t="s">
        <v>35</v>
      </c>
    </row>
    <row r="3327" spans="1:29" x14ac:dyDescent="0.25">
      <c r="A3327" s="31" t="s">
        <v>453</v>
      </c>
      <c r="B3327" s="23" t="s">
        <v>454</v>
      </c>
      <c r="C3327" t="s">
        <v>455</v>
      </c>
      <c r="D3327">
        <v>1</v>
      </c>
      <c r="E3327" t="s">
        <v>456</v>
      </c>
      <c r="F3327">
        <v>4</v>
      </c>
      <c r="G3327">
        <v>2014</v>
      </c>
      <c r="I3327" s="8">
        <v>1207.4000000000001</v>
      </c>
      <c r="J3327" t="s">
        <v>89</v>
      </c>
      <c r="K3327" t="s">
        <v>32</v>
      </c>
      <c r="L3327" t="s">
        <v>33</v>
      </c>
      <c r="M3327">
        <v>0</v>
      </c>
      <c r="O3327">
        <v>0</v>
      </c>
      <c r="P3327">
        <v>0</v>
      </c>
      <c r="Q3327">
        <v>0</v>
      </c>
      <c r="R3327">
        <v>1</v>
      </c>
      <c r="W3327" t="s">
        <v>1360</v>
      </c>
      <c r="AA3327">
        <v>2007</v>
      </c>
      <c r="AB3327">
        <v>9999</v>
      </c>
      <c r="AC3327" t="s">
        <v>35</v>
      </c>
    </row>
    <row r="3328" spans="1:29" x14ac:dyDescent="0.25">
      <c r="A3328" s="31" t="s">
        <v>458</v>
      </c>
      <c r="B3328" s="23" t="s">
        <v>459</v>
      </c>
      <c r="D3328">
        <v>1</v>
      </c>
      <c r="E3328" t="s">
        <v>103</v>
      </c>
      <c r="F3328">
        <v>9</v>
      </c>
      <c r="G3328">
        <v>2014</v>
      </c>
      <c r="I3328" s="8">
        <v>1479.91</v>
      </c>
      <c r="J3328" t="s">
        <v>104</v>
      </c>
      <c r="K3328" t="s">
        <v>53</v>
      </c>
      <c r="L3328" t="s">
        <v>105</v>
      </c>
      <c r="M3328">
        <v>0</v>
      </c>
      <c r="O3328">
        <v>0</v>
      </c>
      <c r="P3328">
        <v>1</v>
      </c>
      <c r="Q3328">
        <v>0</v>
      </c>
      <c r="R3328">
        <v>0</v>
      </c>
      <c r="W3328" t="s">
        <v>106</v>
      </c>
      <c r="AA3328">
        <v>2007</v>
      </c>
      <c r="AB3328">
        <v>9999</v>
      </c>
      <c r="AC3328" t="s">
        <v>35</v>
      </c>
    </row>
    <row r="3329" spans="1:29" x14ac:dyDescent="0.25">
      <c r="A3329" s="31" t="s">
        <v>460</v>
      </c>
      <c r="B3329" s="23" t="s">
        <v>461</v>
      </c>
      <c r="D3329">
        <v>1</v>
      </c>
      <c r="E3329" t="s">
        <v>103</v>
      </c>
      <c r="F3329">
        <v>9</v>
      </c>
      <c r="G3329">
        <v>2014</v>
      </c>
      <c r="I3329" s="8">
        <v>7093.35</v>
      </c>
      <c r="J3329" t="s">
        <v>104</v>
      </c>
      <c r="K3329" t="s">
        <v>53</v>
      </c>
      <c r="L3329" t="s">
        <v>105</v>
      </c>
      <c r="M3329">
        <v>0</v>
      </c>
      <c r="O3329">
        <v>0</v>
      </c>
      <c r="P3329">
        <v>1</v>
      </c>
      <c r="Q3329">
        <v>0</v>
      </c>
      <c r="R3329">
        <v>0</v>
      </c>
      <c r="W3329" t="s">
        <v>106</v>
      </c>
      <c r="AA3329">
        <v>2007</v>
      </c>
      <c r="AB3329">
        <v>9999</v>
      </c>
      <c r="AC3329" t="s">
        <v>35</v>
      </c>
    </row>
    <row r="3330" spans="1:29" x14ac:dyDescent="0.25">
      <c r="A3330" s="31" t="s">
        <v>465</v>
      </c>
      <c r="B3330" s="23" t="s">
        <v>466</v>
      </c>
      <c r="C3330" t="s">
        <v>467</v>
      </c>
      <c r="D3330">
        <v>1</v>
      </c>
      <c r="E3330" t="s">
        <v>468</v>
      </c>
      <c r="F3330">
        <v>7</v>
      </c>
      <c r="G3330">
        <v>2014</v>
      </c>
      <c r="I3330" s="8">
        <v>744.09</v>
      </c>
      <c r="J3330" t="s">
        <v>40</v>
      </c>
      <c r="K3330" t="s">
        <v>32</v>
      </c>
      <c r="M3330">
        <v>0</v>
      </c>
      <c r="O3330">
        <v>0</v>
      </c>
      <c r="P3330">
        <v>0</v>
      </c>
      <c r="Q3330">
        <v>0</v>
      </c>
      <c r="R3330">
        <v>0</v>
      </c>
      <c r="W3330" t="s">
        <v>1119</v>
      </c>
      <c r="AA3330">
        <v>2007</v>
      </c>
      <c r="AB3330">
        <v>9999</v>
      </c>
      <c r="AC3330" t="s">
        <v>35</v>
      </c>
    </row>
    <row r="3331" spans="1:29" x14ac:dyDescent="0.25">
      <c r="A3331" s="31" t="s">
        <v>478</v>
      </c>
      <c r="B3331" s="23" t="s">
        <v>479</v>
      </c>
      <c r="D3331">
        <v>1</v>
      </c>
      <c r="E3331" t="s">
        <v>348</v>
      </c>
      <c r="F3331">
        <v>1</v>
      </c>
      <c r="G3331">
        <v>2014</v>
      </c>
      <c r="I3331" s="8">
        <v>98.69</v>
      </c>
      <c r="J3331" t="s">
        <v>40</v>
      </c>
      <c r="K3331" t="s">
        <v>47</v>
      </c>
      <c r="M3331">
        <v>1</v>
      </c>
      <c r="O3331">
        <v>0</v>
      </c>
      <c r="P3331">
        <v>0</v>
      </c>
      <c r="Q3331">
        <v>0</v>
      </c>
      <c r="R3331">
        <v>0</v>
      </c>
      <c r="W3331" t="s">
        <v>1120</v>
      </c>
      <c r="AA3331">
        <v>2007</v>
      </c>
      <c r="AB3331">
        <v>9999</v>
      </c>
      <c r="AC3331" t="s">
        <v>35</v>
      </c>
    </row>
    <row r="3332" spans="1:29" x14ac:dyDescent="0.25">
      <c r="A3332" s="31" t="s">
        <v>481</v>
      </c>
      <c r="B3332" s="23" t="s">
        <v>482</v>
      </c>
      <c r="D3332">
        <v>1</v>
      </c>
      <c r="E3332" t="s">
        <v>348</v>
      </c>
      <c r="F3332">
        <v>1</v>
      </c>
      <c r="G3332">
        <v>2014</v>
      </c>
      <c r="I3332" s="8">
        <v>216.75</v>
      </c>
      <c r="J3332" t="s">
        <v>40</v>
      </c>
      <c r="K3332" t="s">
        <v>47</v>
      </c>
      <c r="M3332">
        <v>1</v>
      </c>
      <c r="O3332">
        <v>0</v>
      </c>
      <c r="P3332">
        <v>0</v>
      </c>
      <c r="Q3332">
        <v>0</v>
      </c>
      <c r="R3332">
        <v>0</v>
      </c>
      <c r="W3332" t="s">
        <v>1120</v>
      </c>
      <c r="AA3332">
        <v>2007</v>
      </c>
      <c r="AB3332">
        <v>9999</v>
      </c>
      <c r="AC3332" t="s">
        <v>35</v>
      </c>
    </row>
    <row r="3333" spans="1:29" x14ac:dyDescent="0.25">
      <c r="A3333" s="31" t="s">
        <v>483</v>
      </c>
      <c r="B3333" s="23" t="s">
        <v>484</v>
      </c>
      <c r="D3333">
        <v>1</v>
      </c>
      <c r="E3333" t="s">
        <v>348</v>
      </c>
      <c r="F3333">
        <v>1</v>
      </c>
      <c r="G3333">
        <v>2014</v>
      </c>
      <c r="I3333" s="8">
        <v>99.64</v>
      </c>
      <c r="J3333" t="s">
        <v>40</v>
      </c>
      <c r="K3333" t="s">
        <v>47</v>
      </c>
      <c r="M3333">
        <v>1</v>
      </c>
      <c r="O3333">
        <v>0</v>
      </c>
      <c r="P3333">
        <v>0</v>
      </c>
      <c r="Q3333">
        <v>0</v>
      </c>
      <c r="R3333">
        <v>0</v>
      </c>
      <c r="W3333" t="s">
        <v>1120</v>
      </c>
      <c r="AA3333">
        <v>2007</v>
      </c>
      <c r="AB3333">
        <v>9999</v>
      </c>
      <c r="AC3333" t="s">
        <v>35</v>
      </c>
    </row>
    <row r="3334" spans="1:29" x14ac:dyDescent="0.25">
      <c r="A3334" s="31" t="s">
        <v>485</v>
      </c>
      <c r="B3334" s="23" t="s">
        <v>486</v>
      </c>
      <c r="D3334">
        <v>1</v>
      </c>
      <c r="E3334" t="s">
        <v>348</v>
      </c>
      <c r="F3334">
        <v>1</v>
      </c>
      <c r="G3334">
        <v>2014</v>
      </c>
      <c r="I3334" s="8">
        <v>186.92</v>
      </c>
      <c r="J3334" t="s">
        <v>40</v>
      </c>
      <c r="K3334" t="s">
        <v>47</v>
      </c>
      <c r="M3334">
        <v>1</v>
      </c>
      <c r="O3334">
        <v>0</v>
      </c>
      <c r="P3334">
        <v>0</v>
      </c>
      <c r="Q3334">
        <v>0</v>
      </c>
      <c r="R3334">
        <v>0</v>
      </c>
      <c r="W3334" t="s">
        <v>1120</v>
      </c>
      <c r="AA3334">
        <v>2007</v>
      </c>
      <c r="AB3334">
        <v>9999</v>
      </c>
      <c r="AC3334" t="s">
        <v>35</v>
      </c>
    </row>
    <row r="3335" spans="1:29" x14ac:dyDescent="0.25">
      <c r="A3335" s="31" t="s">
        <v>487</v>
      </c>
      <c r="B3335" s="23" t="s">
        <v>488</v>
      </c>
      <c r="D3335">
        <v>1</v>
      </c>
      <c r="E3335" t="s">
        <v>348</v>
      </c>
      <c r="F3335">
        <v>1</v>
      </c>
      <c r="G3335">
        <v>2014</v>
      </c>
      <c r="I3335" s="8">
        <v>165.43</v>
      </c>
      <c r="J3335" t="s">
        <v>40</v>
      </c>
      <c r="K3335" t="s">
        <v>47</v>
      </c>
      <c r="M3335">
        <v>1</v>
      </c>
      <c r="O3335">
        <v>0</v>
      </c>
      <c r="P3335">
        <v>0</v>
      </c>
      <c r="Q3335">
        <v>0</v>
      </c>
      <c r="R3335">
        <v>0</v>
      </c>
      <c r="W3335" t="s">
        <v>1120</v>
      </c>
      <c r="AA3335">
        <v>2007</v>
      </c>
      <c r="AB3335">
        <v>9999</v>
      </c>
      <c r="AC3335" t="s">
        <v>35</v>
      </c>
    </row>
    <row r="3336" spans="1:29" x14ac:dyDescent="0.25">
      <c r="A3336" s="31" t="s">
        <v>489</v>
      </c>
      <c r="B3336" s="23" t="s">
        <v>490</v>
      </c>
      <c r="D3336">
        <v>1</v>
      </c>
      <c r="E3336" t="s">
        <v>348</v>
      </c>
      <c r="F3336">
        <v>1</v>
      </c>
      <c r="G3336">
        <v>2014</v>
      </c>
      <c r="I3336" s="8">
        <v>197.15</v>
      </c>
      <c r="J3336" t="s">
        <v>40</v>
      </c>
      <c r="K3336" t="s">
        <v>47</v>
      </c>
      <c r="M3336">
        <v>1</v>
      </c>
      <c r="O3336">
        <v>0</v>
      </c>
      <c r="P3336">
        <v>0</v>
      </c>
      <c r="Q3336">
        <v>0</v>
      </c>
      <c r="R3336">
        <v>0</v>
      </c>
      <c r="W3336" t="s">
        <v>1120</v>
      </c>
      <c r="AA3336">
        <v>2007</v>
      </c>
      <c r="AB3336">
        <v>9999</v>
      </c>
      <c r="AC3336" t="s">
        <v>35</v>
      </c>
    </row>
    <row r="3337" spans="1:29" x14ac:dyDescent="0.25">
      <c r="A3337" s="31" t="s">
        <v>491</v>
      </c>
      <c r="B3337" s="23" t="s">
        <v>492</v>
      </c>
      <c r="D3337">
        <v>1</v>
      </c>
      <c r="E3337" t="s">
        <v>348</v>
      </c>
      <c r="F3337">
        <v>1</v>
      </c>
      <c r="G3337">
        <v>2014</v>
      </c>
      <c r="I3337" s="8">
        <v>228.15</v>
      </c>
      <c r="J3337" t="s">
        <v>40</v>
      </c>
      <c r="K3337" t="s">
        <v>47</v>
      </c>
      <c r="M3337">
        <v>1</v>
      </c>
      <c r="O3337">
        <v>0</v>
      </c>
      <c r="P3337">
        <v>0</v>
      </c>
      <c r="Q3337">
        <v>0</v>
      </c>
      <c r="R3337">
        <v>0</v>
      </c>
      <c r="W3337" t="s">
        <v>1120</v>
      </c>
      <c r="AA3337">
        <v>2007</v>
      </c>
      <c r="AB3337">
        <v>9999</v>
      </c>
      <c r="AC3337" t="s">
        <v>35</v>
      </c>
    </row>
    <row r="3338" spans="1:29" x14ac:dyDescent="0.25">
      <c r="A3338" s="31" t="s">
        <v>493</v>
      </c>
      <c r="B3338" s="23" t="s">
        <v>494</v>
      </c>
      <c r="D3338">
        <v>1</v>
      </c>
      <c r="E3338" t="s">
        <v>348</v>
      </c>
      <c r="F3338">
        <v>1</v>
      </c>
      <c r="G3338">
        <v>2014</v>
      </c>
      <c r="I3338" s="8">
        <v>180.9</v>
      </c>
      <c r="J3338" t="s">
        <v>40</v>
      </c>
      <c r="K3338" t="s">
        <v>47</v>
      </c>
      <c r="M3338">
        <v>1</v>
      </c>
      <c r="O3338">
        <v>0</v>
      </c>
      <c r="P3338">
        <v>0</v>
      </c>
      <c r="Q3338">
        <v>0</v>
      </c>
      <c r="R3338">
        <v>0</v>
      </c>
      <c r="W3338" t="s">
        <v>1120</v>
      </c>
      <c r="AA3338">
        <v>2007</v>
      </c>
      <c r="AB3338">
        <v>9999</v>
      </c>
      <c r="AC3338" t="s">
        <v>35</v>
      </c>
    </row>
    <row r="3339" spans="1:29" x14ac:dyDescent="0.25">
      <c r="A3339" s="31" t="s">
        <v>495</v>
      </c>
      <c r="B3339" s="23" t="s">
        <v>496</v>
      </c>
      <c r="D3339">
        <v>1</v>
      </c>
      <c r="E3339" t="s">
        <v>348</v>
      </c>
      <c r="F3339">
        <v>1</v>
      </c>
      <c r="G3339">
        <v>2014</v>
      </c>
      <c r="I3339" s="8">
        <v>148.47</v>
      </c>
      <c r="J3339" t="s">
        <v>40</v>
      </c>
      <c r="K3339" t="s">
        <v>47</v>
      </c>
      <c r="M3339">
        <v>1</v>
      </c>
      <c r="O3339">
        <v>0</v>
      </c>
      <c r="P3339">
        <v>0</v>
      </c>
      <c r="Q3339">
        <v>0</v>
      </c>
      <c r="R3339">
        <v>0</v>
      </c>
      <c r="W3339" t="s">
        <v>1120</v>
      </c>
      <c r="AA3339">
        <v>2007</v>
      </c>
      <c r="AB3339">
        <v>9999</v>
      </c>
      <c r="AC3339" t="s">
        <v>35</v>
      </c>
    </row>
    <row r="3340" spans="1:29" x14ac:dyDescent="0.25">
      <c r="A3340" s="31" t="s">
        <v>497</v>
      </c>
      <c r="B3340" s="23" t="s">
        <v>498</v>
      </c>
      <c r="D3340">
        <v>1</v>
      </c>
      <c r="E3340" t="s">
        <v>348</v>
      </c>
      <c r="F3340">
        <v>1</v>
      </c>
      <c r="G3340">
        <v>2014</v>
      </c>
      <c r="I3340" s="8">
        <v>245.53</v>
      </c>
      <c r="J3340" t="s">
        <v>40</v>
      </c>
      <c r="K3340" t="s">
        <v>47</v>
      </c>
      <c r="M3340">
        <v>1</v>
      </c>
      <c r="O3340">
        <v>0</v>
      </c>
      <c r="P3340">
        <v>0</v>
      </c>
      <c r="Q3340">
        <v>0</v>
      </c>
      <c r="R3340">
        <v>0</v>
      </c>
      <c r="W3340" t="s">
        <v>1120</v>
      </c>
      <c r="AA3340">
        <v>2007</v>
      </c>
      <c r="AB3340">
        <v>9999</v>
      </c>
      <c r="AC3340" t="s">
        <v>35</v>
      </c>
    </row>
    <row r="3341" spans="1:29" x14ac:dyDescent="0.25">
      <c r="A3341" s="31" t="s">
        <v>499</v>
      </c>
      <c r="B3341" s="23" t="s">
        <v>500</v>
      </c>
      <c r="D3341">
        <v>1</v>
      </c>
      <c r="E3341" t="s">
        <v>348</v>
      </c>
      <c r="F3341">
        <v>1</v>
      </c>
      <c r="G3341">
        <v>2014</v>
      </c>
      <c r="I3341" s="8">
        <v>433.95</v>
      </c>
      <c r="J3341" t="s">
        <v>40</v>
      </c>
      <c r="K3341" t="s">
        <v>47</v>
      </c>
      <c r="M3341">
        <v>1</v>
      </c>
      <c r="O3341">
        <v>0</v>
      </c>
      <c r="P3341">
        <v>0</v>
      </c>
      <c r="Q3341">
        <v>0</v>
      </c>
      <c r="R3341">
        <v>0</v>
      </c>
      <c r="W3341" t="s">
        <v>1120</v>
      </c>
      <c r="AA3341">
        <v>2007</v>
      </c>
      <c r="AB3341">
        <v>9999</v>
      </c>
      <c r="AC3341" t="s">
        <v>35</v>
      </c>
    </row>
    <row r="3342" spans="1:29" x14ac:dyDescent="0.25">
      <c r="A3342" s="31" t="s">
        <v>501</v>
      </c>
      <c r="B3342" s="23" t="s">
        <v>502</v>
      </c>
      <c r="D3342">
        <v>1</v>
      </c>
      <c r="E3342" t="s">
        <v>348</v>
      </c>
      <c r="F3342">
        <v>1</v>
      </c>
      <c r="G3342">
        <v>2014</v>
      </c>
      <c r="I3342" s="8">
        <v>418.45</v>
      </c>
      <c r="J3342" t="s">
        <v>40</v>
      </c>
      <c r="K3342" t="s">
        <v>47</v>
      </c>
      <c r="M3342">
        <v>1</v>
      </c>
      <c r="O3342">
        <v>0</v>
      </c>
      <c r="P3342">
        <v>0</v>
      </c>
      <c r="Q3342">
        <v>0</v>
      </c>
      <c r="R3342">
        <v>0</v>
      </c>
      <c r="W3342" t="s">
        <v>1120</v>
      </c>
      <c r="AA3342">
        <v>2007</v>
      </c>
      <c r="AB3342">
        <v>9999</v>
      </c>
      <c r="AC3342" t="s">
        <v>35</v>
      </c>
    </row>
    <row r="3343" spans="1:29" x14ac:dyDescent="0.25">
      <c r="A3343" s="31" t="s">
        <v>503</v>
      </c>
      <c r="B3343" s="23" t="s">
        <v>504</v>
      </c>
      <c r="D3343">
        <v>1</v>
      </c>
      <c r="E3343" t="s">
        <v>348</v>
      </c>
      <c r="F3343">
        <v>1</v>
      </c>
      <c r="G3343">
        <v>2014</v>
      </c>
      <c r="I3343" s="8">
        <v>138.91999999999999</v>
      </c>
      <c r="J3343" t="s">
        <v>40</v>
      </c>
      <c r="K3343" t="s">
        <v>47</v>
      </c>
      <c r="M3343">
        <v>1</v>
      </c>
      <c r="O3343">
        <v>0</v>
      </c>
      <c r="P3343">
        <v>0</v>
      </c>
      <c r="Q3343">
        <v>0</v>
      </c>
      <c r="R3343">
        <v>0</v>
      </c>
      <c r="W3343" t="s">
        <v>1120</v>
      </c>
      <c r="AA3343">
        <v>2007</v>
      </c>
      <c r="AB3343">
        <v>9999</v>
      </c>
      <c r="AC3343" t="s">
        <v>35</v>
      </c>
    </row>
    <row r="3344" spans="1:29" x14ac:dyDescent="0.25">
      <c r="A3344" s="31" t="s">
        <v>505</v>
      </c>
      <c r="B3344" s="23" t="s">
        <v>506</v>
      </c>
      <c r="D3344">
        <v>1</v>
      </c>
      <c r="E3344" t="s">
        <v>348</v>
      </c>
      <c r="F3344">
        <v>1</v>
      </c>
      <c r="G3344">
        <v>2014</v>
      </c>
      <c r="I3344" s="8">
        <v>159.59</v>
      </c>
      <c r="J3344" t="s">
        <v>40</v>
      </c>
      <c r="K3344" t="s">
        <v>47</v>
      </c>
      <c r="M3344">
        <v>1</v>
      </c>
      <c r="O3344">
        <v>0</v>
      </c>
      <c r="P3344">
        <v>0</v>
      </c>
      <c r="Q3344">
        <v>0</v>
      </c>
      <c r="R3344">
        <v>0</v>
      </c>
      <c r="W3344" t="s">
        <v>1120</v>
      </c>
      <c r="AA3344">
        <v>2007</v>
      </c>
      <c r="AB3344">
        <v>9999</v>
      </c>
      <c r="AC3344" t="s">
        <v>35</v>
      </c>
    </row>
    <row r="3345" spans="1:29" x14ac:dyDescent="0.25">
      <c r="A3345" s="31" t="s">
        <v>507</v>
      </c>
      <c r="B3345" s="23" t="s">
        <v>508</v>
      </c>
      <c r="D3345">
        <v>1</v>
      </c>
      <c r="E3345" t="s">
        <v>348</v>
      </c>
      <c r="F3345">
        <v>1</v>
      </c>
      <c r="G3345">
        <v>2014</v>
      </c>
      <c r="I3345" s="8">
        <v>181.47</v>
      </c>
      <c r="J3345" t="s">
        <v>40</v>
      </c>
      <c r="K3345" t="s">
        <v>47</v>
      </c>
      <c r="M3345">
        <v>1</v>
      </c>
      <c r="O3345">
        <v>0</v>
      </c>
      <c r="P3345">
        <v>0</v>
      </c>
      <c r="Q3345">
        <v>0</v>
      </c>
      <c r="R3345">
        <v>0</v>
      </c>
      <c r="W3345" t="s">
        <v>1120</v>
      </c>
      <c r="AA3345">
        <v>2007</v>
      </c>
      <c r="AB3345">
        <v>9999</v>
      </c>
      <c r="AC3345" t="s">
        <v>35</v>
      </c>
    </row>
    <row r="3346" spans="1:29" x14ac:dyDescent="0.25">
      <c r="A3346" s="31" t="s">
        <v>509</v>
      </c>
      <c r="B3346" s="23" t="s">
        <v>510</v>
      </c>
      <c r="D3346">
        <v>1</v>
      </c>
      <c r="E3346" t="s">
        <v>348</v>
      </c>
      <c r="F3346">
        <v>1</v>
      </c>
      <c r="G3346">
        <v>2014</v>
      </c>
      <c r="I3346" s="8">
        <v>233.57</v>
      </c>
      <c r="J3346" t="s">
        <v>40</v>
      </c>
      <c r="K3346" t="s">
        <v>47</v>
      </c>
      <c r="M3346">
        <v>1</v>
      </c>
      <c r="O3346">
        <v>0</v>
      </c>
      <c r="P3346">
        <v>0</v>
      </c>
      <c r="Q3346">
        <v>0</v>
      </c>
      <c r="R3346">
        <v>0</v>
      </c>
      <c r="W3346" t="s">
        <v>1120</v>
      </c>
      <c r="AA3346">
        <v>2007</v>
      </c>
      <c r="AB3346">
        <v>9999</v>
      </c>
      <c r="AC3346" t="s">
        <v>35</v>
      </c>
    </row>
    <row r="3347" spans="1:29" x14ac:dyDescent="0.25">
      <c r="A3347" s="31" t="s">
        <v>511</v>
      </c>
      <c r="B3347" s="23" t="s">
        <v>512</v>
      </c>
      <c r="D3347">
        <v>1</v>
      </c>
      <c r="E3347" t="s">
        <v>348</v>
      </c>
      <c r="F3347">
        <v>1</v>
      </c>
      <c r="G3347">
        <v>2014</v>
      </c>
      <c r="I3347" s="8">
        <v>210.01</v>
      </c>
      <c r="J3347" t="s">
        <v>40</v>
      </c>
      <c r="K3347" t="s">
        <v>47</v>
      </c>
      <c r="M3347">
        <v>1</v>
      </c>
      <c r="O3347">
        <v>0</v>
      </c>
      <c r="P3347">
        <v>0</v>
      </c>
      <c r="Q3347">
        <v>0</v>
      </c>
      <c r="R3347">
        <v>0</v>
      </c>
      <c r="W3347" t="s">
        <v>1120</v>
      </c>
      <c r="AA3347">
        <v>2007</v>
      </c>
      <c r="AB3347">
        <v>9999</v>
      </c>
      <c r="AC3347" t="s">
        <v>35</v>
      </c>
    </row>
    <row r="3348" spans="1:29" x14ac:dyDescent="0.25">
      <c r="A3348" s="31" t="s">
        <v>513</v>
      </c>
      <c r="B3348" s="23" t="s">
        <v>514</v>
      </c>
      <c r="D3348">
        <v>1</v>
      </c>
      <c r="E3348" t="s">
        <v>348</v>
      </c>
      <c r="F3348">
        <v>1</v>
      </c>
      <c r="G3348">
        <v>2014</v>
      </c>
      <c r="I3348" s="8">
        <v>145.54</v>
      </c>
      <c r="J3348" t="s">
        <v>40</v>
      </c>
      <c r="K3348" t="s">
        <v>47</v>
      </c>
      <c r="M3348">
        <v>1</v>
      </c>
      <c r="O3348">
        <v>0</v>
      </c>
      <c r="P3348">
        <v>0</v>
      </c>
      <c r="Q3348">
        <v>0</v>
      </c>
      <c r="R3348">
        <v>0</v>
      </c>
      <c r="W3348" t="s">
        <v>1120</v>
      </c>
      <c r="AA3348">
        <v>2007</v>
      </c>
      <c r="AB3348">
        <v>9999</v>
      </c>
      <c r="AC3348" t="s">
        <v>35</v>
      </c>
    </row>
    <row r="3349" spans="1:29" x14ac:dyDescent="0.25">
      <c r="A3349" s="31" t="s">
        <v>515</v>
      </c>
      <c r="B3349" s="23" t="s">
        <v>516</v>
      </c>
      <c r="D3349">
        <v>1</v>
      </c>
      <c r="E3349" t="s">
        <v>348</v>
      </c>
      <c r="F3349">
        <v>1</v>
      </c>
      <c r="G3349">
        <v>2014</v>
      </c>
      <c r="I3349" s="8">
        <v>743.66</v>
      </c>
      <c r="J3349" t="s">
        <v>40</v>
      </c>
      <c r="K3349" t="s">
        <v>47</v>
      </c>
      <c r="M3349">
        <v>1</v>
      </c>
      <c r="O3349">
        <v>0</v>
      </c>
      <c r="P3349">
        <v>0</v>
      </c>
      <c r="Q3349">
        <v>0</v>
      </c>
      <c r="R3349">
        <v>0</v>
      </c>
      <c r="W3349" t="s">
        <v>1120</v>
      </c>
      <c r="AA3349">
        <v>2007</v>
      </c>
      <c r="AB3349">
        <v>9999</v>
      </c>
      <c r="AC3349" t="s">
        <v>35</v>
      </c>
    </row>
    <row r="3350" spans="1:29" x14ac:dyDescent="0.25">
      <c r="A3350" s="31" t="s">
        <v>517</v>
      </c>
      <c r="B3350" s="23" t="s">
        <v>518</v>
      </c>
      <c r="D3350">
        <v>1</v>
      </c>
      <c r="E3350" t="s">
        <v>348</v>
      </c>
      <c r="F3350">
        <v>1</v>
      </c>
      <c r="G3350">
        <v>2014</v>
      </c>
      <c r="I3350" s="8">
        <v>167.87</v>
      </c>
      <c r="J3350" t="s">
        <v>40</v>
      </c>
      <c r="K3350" t="s">
        <v>47</v>
      </c>
      <c r="M3350">
        <v>1</v>
      </c>
      <c r="O3350">
        <v>0</v>
      </c>
      <c r="P3350">
        <v>0</v>
      </c>
      <c r="Q3350">
        <v>0</v>
      </c>
      <c r="R3350">
        <v>0</v>
      </c>
      <c r="W3350" t="s">
        <v>1120</v>
      </c>
      <c r="AA3350">
        <v>2007</v>
      </c>
      <c r="AB3350">
        <v>9999</v>
      </c>
      <c r="AC3350" t="s">
        <v>35</v>
      </c>
    </row>
    <row r="3351" spans="1:29" x14ac:dyDescent="0.25">
      <c r="A3351" s="31" t="s">
        <v>519</v>
      </c>
      <c r="B3351" s="23" t="s">
        <v>520</v>
      </c>
      <c r="D3351">
        <v>1</v>
      </c>
      <c r="E3351" t="s">
        <v>348</v>
      </c>
      <c r="F3351">
        <v>1</v>
      </c>
      <c r="G3351">
        <v>2014</v>
      </c>
      <c r="I3351" s="8">
        <v>212.92</v>
      </c>
      <c r="J3351" t="s">
        <v>40</v>
      </c>
      <c r="K3351" t="s">
        <v>47</v>
      </c>
      <c r="M3351">
        <v>1</v>
      </c>
      <c r="O3351">
        <v>0</v>
      </c>
      <c r="P3351">
        <v>0</v>
      </c>
      <c r="Q3351">
        <v>0</v>
      </c>
      <c r="R3351">
        <v>0</v>
      </c>
      <c r="W3351" t="s">
        <v>1120</v>
      </c>
      <c r="AA3351">
        <v>2007</v>
      </c>
      <c r="AB3351">
        <v>9999</v>
      </c>
      <c r="AC3351" t="s">
        <v>35</v>
      </c>
    </row>
    <row r="3352" spans="1:29" x14ac:dyDescent="0.25">
      <c r="A3352" s="31" t="s">
        <v>523</v>
      </c>
      <c r="B3352" s="23" t="s">
        <v>524</v>
      </c>
      <c r="D3352">
        <v>1</v>
      </c>
      <c r="E3352" t="s">
        <v>103</v>
      </c>
      <c r="F3352">
        <v>9</v>
      </c>
      <c r="G3352">
        <v>2014</v>
      </c>
      <c r="I3352" s="8">
        <v>1312.77</v>
      </c>
      <c r="J3352" t="s">
        <v>104</v>
      </c>
      <c r="K3352" t="s">
        <v>53</v>
      </c>
      <c r="L3352" t="s">
        <v>105</v>
      </c>
      <c r="M3352">
        <v>0</v>
      </c>
      <c r="O3352">
        <v>0</v>
      </c>
      <c r="P3352">
        <v>1</v>
      </c>
      <c r="Q3352">
        <v>0</v>
      </c>
      <c r="R3352">
        <v>0</v>
      </c>
      <c r="W3352" t="s">
        <v>106</v>
      </c>
      <c r="AA3352">
        <v>2007</v>
      </c>
      <c r="AB3352">
        <v>9999</v>
      </c>
      <c r="AC3352" t="s">
        <v>35</v>
      </c>
    </row>
    <row r="3353" spans="1:29" x14ac:dyDescent="0.25">
      <c r="A3353" s="31" t="s">
        <v>525</v>
      </c>
      <c r="B3353" s="23" t="s">
        <v>526</v>
      </c>
      <c r="D3353">
        <v>1</v>
      </c>
      <c r="E3353" t="s">
        <v>45</v>
      </c>
      <c r="F3353">
        <v>4</v>
      </c>
      <c r="G3353">
        <v>2014</v>
      </c>
      <c r="I3353" s="8">
        <v>5</v>
      </c>
      <c r="J3353" t="s">
        <v>121</v>
      </c>
      <c r="K3353" t="s">
        <v>53</v>
      </c>
      <c r="L3353" t="s">
        <v>60</v>
      </c>
      <c r="M3353">
        <v>0</v>
      </c>
      <c r="O3353">
        <v>1</v>
      </c>
      <c r="P3353">
        <v>0</v>
      </c>
      <c r="Q3353">
        <v>0</v>
      </c>
      <c r="R3353">
        <v>0</v>
      </c>
      <c r="W3353" t="s">
        <v>527</v>
      </c>
      <c r="AA3353">
        <v>2007</v>
      </c>
      <c r="AB3353">
        <v>2016</v>
      </c>
      <c r="AC3353" t="s">
        <v>528</v>
      </c>
    </row>
    <row r="3354" spans="1:29" x14ac:dyDescent="0.25">
      <c r="A3354" s="31" t="s">
        <v>529</v>
      </c>
      <c r="B3354" s="23" t="s">
        <v>530</v>
      </c>
      <c r="D3354">
        <v>1</v>
      </c>
      <c r="E3354" t="s">
        <v>58</v>
      </c>
      <c r="F3354">
        <v>4</v>
      </c>
      <c r="G3354">
        <v>2014</v>
      </c>
      <c r="I3354" s="8">
        <v>11.87</v>
      </c>
      <c r="J3354" t="s">
        <v>59</v>
      </c>
      <c r="K3354" t="s">
        <v>47</v>
      </c>
      <c r="M3354">
        <v>1</v>
      </c>
      <c r="O3354">
        <v>0</v>
      </c>
      <c r="P3354">
        <v>0</v>
      </c>
      <c r="Q3354">
        <v>0</v>
      </c>
      <c r="R3354">
        <v>0</v>
      </c>
      <c r="W3354" t="s">
        <v>1121</v>
      </c>
      <c r="AA3354">
        <v>2007</v>
      </c>
      <c r="AB3354">
        <v>9999</v>
      </c>
      <c r="AC3354" t="s">
        <v>35</v>
      </c>
    </row>
    <row r="3355" spans="1:29" x14ac:dyDescent="0.25">
      <c r="A3355" s="31" t="s">
        <v>532</v>
      </c>
      <c r="B3355" s="23" t="s">
        <v>533</v>
      </c>
      <c r="D3355">
        <v>1</v>
      </c>
      <c r="E3355" t="s">
        <v>534</v>
      </c>
      <c r="F3355">
        <v>10</v>
      </c>
      <c r="G3355">
        <v>2014</v>
      </c>
      <c r="I3355" s="8">
        <v>4020.46</v>
      </c>
      <c r="J3355" t="s">
        <v>121</v>
      </c>
      <c r="K3355" t="s">
        <v>47</v>
      </c>
      <c r="M3355">
        <v>1</v>
      </c>
      <c r="O3355">
        <v>0</v>
      </c>
      <c r="P3355">
        <v>0</v>
      </c>
      <c r="Q3355">
        <v>0</v>
      </c>
      <c r="R3355">
        <v>0</v>
      </c>
      <c r="W3355" t="s">
        <v>1122</v>
      </c>
      <c r="AA3355">
        <v>2007</v>
      </c>
      <c r="AB3355">
        <v>9999</v>
      </c>
      <c r="AC3355" t="s">
        <v>35</v>
      </c>
    </row>
    <row r="3356" spans="1:29" x14ac:dyDescent="0.25">
      <c r="A3356" s="31" t="s">
        <v>536</v>
      </c>
      <c r="B3356" s="23" t="s">
        <v>537</v>
      </c>
      <c r="D3356">
        <v>1</v>
      </c>
      <c r="E3356" t="s">
        <v>103</v>
      </c>
      <c r="F3356">
        <v>9</v>
      </c>
      <c r="G3356">
        <v>2014</v>
      </c>
      <c r="I3356" s="8">
        <v>867.27</v>
      </c>
      <c r="J3356" t="s">
        <v>104</v>
      </c>
      <c r="K3356" t="s">
        <v>53</v>
      </c>
      <c r="L3356" t="s">
        <v>105</v>
      </c>
      <c r="M3356">
        <v>0</v>
      </c>
      <c r="O3356">
        <v>0</v>
      </c>
      <c r="P3356">
        <v>1</v>
      </c>
      <c r="Q3356">
        <v>0</v>
      </c>
      <c r="R3356">
        <v>0</v>
      </c>
      <c r="W3356" t="s">
        <v>106</v>
      </c>
      <c r="AA3356">
        <v>2007</v>
      </c>
      <c r="AB3356">
        <v>9999</v>
      </c>
      <c r="AC3356" t="s">
        <v>35</v>
      </c>
    </row>
    <row r="3357" spans="1:29" x14ac:dyDescent="0.25">
      <c r="A3357" s="31" t="s">
        <v>538</v>
      </c>
      <c r="B3357" s="23" t="s">
        <v>539</v>
      </c>
      <c r="D3357">
        <v>1</v>
      </c>
      <c r="E3357" t="s">
        <v>80</v>
      </c>
      <c r="F3357">
        <v>8</v>
      </c>
      <c r="G3357">
        <v>2014</v>
      </c>
      <c r="I3357" s="8">
        <v>120.57</v>
      </c>
      <c r="J3357" t="s">
        <v>81</v>
      </c>
      <c r="K3357" t="s">
        <v>47</v>
      </c>
      <c r="M3357">
        <v>0</v>
      </c>
      <c r="O3357">
        <v>0</v>
      </c>
      <c r="P3357">
        <v>0</v>
      </c>
      <c r="Q3357">
        <v>0</v>
      </c>
      <c r="R3357">
        <v>0</v>
      </c>
      <c r="W3357" t="s">
        <v>1123</v>
      </c>
      <c r="AA3357">
        <v>2007</v>
      </c>
      <c r="AB3357">
        <v>9999</v>
      </c>
      <c r="AC3357" t="s">
        <v>35</v>
      </c>
    </row>
    <row r="3358" spans="1:29" x14ac:dyDescent="0.25">
      <c r="A3358" s="31" t="s">
        <v>541</v>
      </c>
      <c r="B3358" s="23" t="s">
        <v>542</v>
      </c>
      <c r="D3358">
        <v>1</v>
      </c>
      <c r="E3358" t="s">
        <v>543</v>
      </c>
      <c r="F3358">
        <v>10</v>
      </c>
      <c r="G3358">
        <v>2014</v>
      </c>
      <c r="I3358" s="8">
        <v>19.88</v>
      </c>
      <c r="J3358" t="s">
        <v>40</v>
      </c>
      <c r="K3358" t="s">
        <v>47</v>
      </c>
      <c r="M3358">
        <v>1</v>
      </c>
      <c r="O3358">
        <v>0</v>
      </c>
      <c r="P3358">
        <v>0</v>
      </c>
      <c r="Q3358">
        <v>0</v>
      </c>
      <c r="R3358">
        <v>0</v>
      </c>
      <c r="W3358" t="s">
        <v>1124</v>
      </c>
      <c r="AA3358">
        <v>2007</v>
      </c>
      <c r="AB3358">
        <v>9999</v>
      </c>
      <c r="AC3358" t="s">
        <v>35</v>
      </c>
    </row>
    <row r="3359" spans="1:29" x14ac:dyDescent="0.25">
      <c r="A3359" s="31" t="s">
        <v>545</v>
      </c>
      <c r="B3359" s="23" t="s">
        <v>546</v>
      </c>
      <c r="D3359">
        <v>1</v>
      </c>
      <c r="E3359" t="s">
        <v>1361</v>
      </c>
      <c r="F3359">
        <v>10</v>
      </c>
      <c r="G3359">
        <v>2014</v>
      </c>
      <c r="I3359" s="8">
        <v>10.050000000000001</v>
      </c>
      <c r="J3359" t="s">
        <v>40</v>
      </c>
      <c r="K3359" t="s">
        <v>47</v>
      </c>
      <c r="M3359">
        <v>1</v>
      </c>
      <c r="O3359">
        <v>0</v>
      </c>
      <c r="P3359">
        <v>0</v>
      </c>
      <c r="Q3359">
        <v>0</v>
      </c>
      <c r="R3359">
        <v>0</v>
      </c>
      <c r="W3359" t="s">
        <v>1125</v>
      </c>
      <c r="AA3359">
        <v>2007</v>
      </c>
      <c r="AB3359">
        <v>9999</v>
      </c>
      <c r="AC3359" t="s">
        <v>35</v>
      </c>
    </row>
    <row r="3360" spans="1:29" x14ac:dyDescent="0.25">
      <c r="A3360" s="31" t="s">
        <v>1400</v>
      </c>
      <c r="B3360" s="25" t="s">
        <v>1401</v>
      </c>
      <c r="D3360">
        <v>1</v>
      </c>
      <c r="E3360" t="s">
        <v>80</v>
      </c>
      <c r="F3360">
        <v>8</v>
      </c>
      <c r="G3360">
        <v>2014</v>
      </c>
      <c r="I3360" s="8">
        <v>6</v>
      </c>
      <c r="J3360" t="s">
        <v>81</v>
      </c>
      <c r="K3360" t="s">
        <v>47</v>
      </c>
      <c r="M3360">
        <v>1</v>
      </c>
      <c r="O3360">
        <v>0</v>
      </c>
      <c r="P3360">
        <v>0</v>
      </c>
      <c r="Q3360">
        <v>0</v>
      </c>
      <c r="R3360">
        <v>0</v>
      </c>
      <c r="W3360" t="s">
        <v>1402</v>
      </c>
      <c r="AA3360">
        <v>2012</v>
      </c>
      <c r="AB3360">
        <v>9999</v>
      </c>
      <c r="AC3360" t="s">
        <v>1398</v>
      </c>
    </row>
    <row r="3361" spans="1:29" x14ac:dyDescent="0.25">
      <c r="A3361" s="31" t="s">
        <v>1362</v>
      </c>
      <c r="B3361" s="23" t="s">
        <v>1403</v>
      </c>
      <c r="D3361">
        <v>1</v>
      </c>
      <c r="E3361" t="s">
        <v>631</v>
      </c>
      <c r="F3361">
        <v>8</v>
      </c>
      <c r="G3361">
        <v>2014</v>
      </c>
      <c r="I3361" s="8">
        <v>25.5</v>
      </c>
      <c r="J3361" t="s">
        <v>81</v>
      </c>
      <c r="K3361" t="s">
        <v>47</v>
      </c>
      <c r="M3361">
        <v>1</v>
      </c>
      <c r="O3361">
        <v>0</v>
      </c>
      <c r="P3361">
        <v>0</v>
      </c>
      <c r="Q3361">
        <v>0</v>
      </c>
      <c r="R3361">
        <v>0</v>
      </c>
      <c r="W3361" t="s">
        <v>1364</v>
      </c>
      <c r="AA3361">
        <v>2011</v>
      </c>
      <c r="AB3361">
        <v>9999</v>
      </c>
      <c r="AC3361" t="s">
        <v>1365</v>
      </c>
    </row>
    <row r="3362" spans="1:29" x14ac:dyDescent="0.25">
      <c r="A3362" s="31" t="s">
        <v>1248</v>
      </c>
      <c r="B3362" s="23" t="s">
        <v>1249</v>
      </c>
      <c r="C3362" t="s">
        <v>1250</v>
      </c>
      <c r="D3362">
        <v>1</v>
      </c>
      <c r="E3362" t="s">
        <v>1251</v>
      </c>
      <c r="F3362">
        <v>2</v>
      </c>
      <c r="G3362">
        <v>2014</v>
      </c>
      <c r="I3362" s="8">
        <v>942.72</v>
      </c>
      <c r="J3362" t="s">
        <v>147</v>
      </c>
      <c r="K3362" t="s">
        <v>47</v>
      </c>
      <c r="M3362">
        <v>1</v>
      </c>
      <c r="O3362">
        <v>0</v>
      </c>
      <c r="P3362">
        <v>0</v>
      </c>
      <c r="Q3362">
        <v>0</v>
      </c>
      <c r="R3362">
        <v>0</v>
      </c>
      <c r="W3362" t="s">
        <v>1252</v>
      </c>
      <c r="AA3362">
        <v>2009</v>
      </c>
      <c r="AB3362">
        <v>9999</v>
      </c>
      <c r="AC3362" t="s">
        <v>1239</v>
      </c>
    </row>
    <row r="3363" spans="1:29" x14ac:dyDescent="0.25">
      <c r="A3363" s="31" t="s">
        <v>939</v>
      </c>
      <c r="B3363" s="23" t="s">
        <v>1463</v>
      </c>
      <c r="D3363">
        <v>1</v>
      </c>
      <c r="E3363" t="s">
        <v>80</v>
      </c>
      <c r="F3363">
        <v>8</v>
      </c>
      <c r="G3363">
        <v>2014</v>
      </c>
      <c r="I3363" s="8">
        <v>71.94</v>
      </c>
      <c r="J3363" t="s">
        <v>81</v>
      </c>
      <c r="K3363" t="s">
        <v>47</v>
      </c>
      <c r="M3363">
        <v>0</v>
      </c>
      <c r="O3363">
        <v>0</v>
      </c>
      <c r="P3363">
        <v>0</v>
      </c>
      <c r="Q3363">
        <v>0</v>
      </c>
      <c r="R3363">
        <v>0</v>
      </c>
      <c r="W3363" t="s">
        <v>1464</v>
      </c>
      <c r="AA3363">
        <v>2007</v>
      </c>
      <c r="AB3363">
        <v>9999</v>
      </c>
      <c r="AC3363" t="s">
        <v>35</v>
      </c>
    </row>
    <row r="3364" spans="1:29" ht="30" x14ac:dyDescent="0.25">
      <c r="A3364" s="31" t="s">
        <v>1305</v>
      </c>
      <c r="B3364" s="23" t="s">
        <v>1306</v>
      </c>
      <c r="C3364" t="s">
        <v>1307</v>
      </c>
      <c r="D3364">
        <v>1</v>
      </c>
      <c r="E3364" t="s">
        <v>45</v>
      </c>
      <c r="F3364">
        <v>4</v>
      </c>
      <c r="G3364">
        <v>2014</v>
      </c>
      <c r="I3364" s="8">
        <v>56.02</v>
      </c>
      <c r="J3364" t="s">
        <v>89</v>
      </c>
      <c r="K3364" t="s">
        <v>47</v>
      </c>
      <c r="M3364">
        <v>0</v>
      </c>
      <c r="O3364">
        <v>0</v>
      </c>
      <c r="P3364">
        <v>0</v>
      </c>
      <c r="Q3364">
        <v>0</v>
      </c>
      <c r="R3364">
        <v>0</v>
      </c>
      <c r="W3364" t="s">
        <v>1308</v>
      </c>
      <c r="AA3364">
        <v>2010</v>
      </c>
      <c r="AB3364">
        <v>9999</v>
      </c>
      <c r="AC3364" t="s">
        <v>1292</v>
      </c>
    </row>
    <row r="3365" spans="1:29" x14ac:dyDescent="0.25">
      <c r="A3365" s="31" t="s">
        <v>1366</v>
      </c>
      <c r="B3365" s="23" t="s">
        <v>1367</v>
      </c>
      <c r="C3365" t="s">
        <v>1368</v>
      </c>
      <c r="D3365">
        <v>1</v>
      </c>
      <c r="E3365" t="s">
        <v>468</v>
      </c>
      <c r="F3365">
        <v>7</v>
      </c>
      <c r="G3365">
        <v>2014</v>
      </c>
      <c r="I3365" s="8">
        <v>26.37</v>
      </c>
      <c r="J3365" t="s">
        <v>40</v>
      </c>
      <c r="K3365" t="s">
        <v>32</v>
      </c>
      <c r="M3365">
        <v>0</v>
      </c>
      <c r="O3365">
        <v>0</v>
      </c>
      <c r="P3365">
        <v>0</v>
      </c>
      <c r="Q3365">
        <v>0</v>
      </c>
      <c r="R3365">
        <v>0</v>
      </c>
      <c r="W3365" t="s">
        <v>1369</v>
      </c>
      <c r="AA3365">
        <v>2011</v>
      </c>
      <c r="AB3365">
        <v>9999</v>
      </c>
      <c r="AC3365" t="s">
        <v>1365</v>
      </c>
    </row>
    <row r="3366" spans="1:29" x14ac:dyDescent="0.25">
      <c r="A3366" s="31" t="s">
        <v>1309</v>
      </c>
      <c r="B3366" s="23" t="s">
        <v>1310</v>
      </c>
      <c r="C3366" t="s">
        <v>1311</v>
      </c>
      <c r="D3366">
        <v>1</v>
      </c>
      <c r="E3366" t="s">
        <v>1312</v>
      </c>
      <c r="F3366">
        <v>9</v>
      </c>
      <c r="G3366">
        <v>2014</v>
      </c>
      <c r="I3366" s="8">
        <v>85.07</v>
      </c>
      <c r="J3366" t="s">
        <v>104</v>
      </c>
      <c r="K3366" t="s">
        <v>47</v>
      </c>
      <c r="M3366">
        <v>1</v>
      </c>
      <c r="O3366">
        <v>0</v>
      </c>
      <c r="P3366">
        <v>0</v>
      </c>
      <c r="Q3366">
        <v>0</v>
      </c>
      <c r="R3366">
        <v>0</v>
      </c>
      <c r="W3366" t="s">
        <v>1404</v>
      </c>
      <c r="AA3366">
        <v>2010</v>
      </c>
      <c r="AB3366">
        <v>9999</v>
      </c>
      <c r="AC3366" t="s">
        <v>1292</v>
      </c>
    </row>
    <row r="3367" spans="1:29" x14ac:dyDescent="0.25">
      <c r="A3367" s="31" t="s">
        <v>559</v>
      </c>
      <c r="B3367" s="23" t="s">
        <v>560</v>
      </c>
      <c r="C3367" t="s">
        <v>561</v>
      </c>
      <c r="D3367">
        <v>1</v>
      </c>
      <c r="E3367" t="s">
        <v>103</v>
      </c>
      <c r="F3367">
        <v>9</v>
      </c>
      <c r="G3367">
        <v>2014</v>
      </c>
      <c r="I3367" s="8">
        <v>822.08</v>
      </c>
      <c r="J3367" t="s">
        <v>104</v>
      </c>
      <c r="K3367" t="s">
        <v>53</v>
      </c>
      <c r="L3367" t="s">
        <v>105</v>
      </c>
      <c r="M3367">
        <v>0</v>
      </c>
      <c r="O3367">
        <v>0</v>
      </c>
      <c r="P3367">
        <v>1</v>
      </c>
      <c r="Q3367">
        <v>0</v>
      </c>
      <c r="R3367">
        <v>0</v>
      </c>
      <c r="W3367" t="s">
        <v>106</v>
      </c>
      <c r="AA3367">
        <v>2007</v>
      </c>
      <c r="AB3367">
        <v>9999</v>
      </c>
      <c r="AC3367" t="s">
        <v>35</v>
      </c>
    </row>
    <row r="3368" spans="1:29" ht="30" x14ac:dyDescent="0.25">
      <c r="A3368" s="31" t="s">
        <v>562</v>
      </c>
      <c r="B3368" s="23" t="s">
        <v>563</v>
      </c>
      <c r="D3368">
        <v>1</v>
      </c>
      <c r="E3368" t="s">
        <v>80</v>
      </c>
      <c r="F3368">
        <v>8</v>
      </c>
      <c r="G3368">
        <v>2014</v>
      </c>
      <c r="I3368" s="8">
        <v>161.08000000000001</v>
      </c>
      <c r="J3368" t="s">
        <v>81</v>
      </c>
      <c r="K3368" t="s">
        <v>47</v>
      </c>
      <c r="M3368">
        <v>1</v>
      </c>
      <c r="O3368">
        <v>0</v>
      </c>
      <c r="P3368">
        <v>0</v>
      </c>
      <c r="Q3368">
        <v>0</v>
      </c>
      <c r="R3368">
        <v>0</v>
      </c>
      <c r="W3368" t="s">
        <v>1128</v>
      </c>
      <c r="AA3368">
        <v>2007</v>
      </c>
      <c r="AB3368">
        <v>9999</v>
      </c>
      <c r="AC3368" t="s">
        <v>35</v>
      </c>
    </row>
    <row r="3369" spans="1:29" x14ac:dyDescent="0.25">
      <c r="A3369" s="31" t="s">
        <v>568</v>
      </c>
      <c r="B3369" s="23" t="s">
        <v>569</v>
      </c>
      <c r="D3369">
        <v>1</v>
      </c>
      <c r="E3369" t="s">
        <v>80</v>
      </c>
      <c r="F3369">
        <v>8</v>
      </c>
      <c r="G3369">
        <v>2014</v>
      </c>
      <c r="I3369" s="8">
        <v>238.85</v>
      </c>
      <c r="J3369" t="s">
        <v>81</v>
      </c>
      <c r="K3369" t="s">
        <v>47</v>
      </c>
      <c r="M3369">
        <v>0</v>
      </c>
      <c r="O3369">
        <v>0</v>
      </c>
      <c r="P3369">
        <v>0</v>
      </c>
      <c r="Q3369">
        <v>0</v>
      </c>
      <c r="R3369">
        <v>0</v>
      </c>
      <c r="W3369" t="s">
        <v>1129</v>
      </c>
      <c r="AA3369">
        <v>2007</v>
      </c>
      <c r="AB3369">
        <v>9999</v>
      </c>
      <c r="AC3369" t="s">
        <v>35</v>
      </c>
    </row>
    <row r="3370" spans="1:29" x14ac:dyDescent="0.25">
      <c r="A3370" s="31" t="s">
        <v>571</v>
      </c>
      <c r="B3370" s="23" t="s">
        <v>572</v>
      </c>
      <c r="D3370">
        <v>1</v>
      </c>
      <c r="E3370" t="s">
        <v>370</v>
      </c>
      <c r="F3370">
        <v>5</v>
      </c>
      <c r="G3370">
        <v>2014</v>
      </c>
      <c r="I3370" s="8">
        <v>421.4</v>
      </c>
      <c r="J3370" t="s">
        <v>31</v>
      </c>
      <c r="K3370" t="s">
        <v>47</v>
      </c>
      <c r="M3370">
        <v>1</v>
      </c>
      <c r="O3370">
        <v>0</v>
      </c>
      <c r="P3370">
        <v>0</v>
      </c>
      <c r="Q3370">
        <v>0</v>
      </c>
      <c r="R3370">
        <v>0</v>
      </c>
      <c r="W3370" t="s">
        <v>1430</v>
      </c>
      <c r="AA3370">
        <v>2007</v>
      </c>
      <c r="AB3370">
        <v>9999</v>
      </c>
      <c r="AC3370" t="s">
        <v>35</v>
      </c>
    </row>
    <row r="3371" spans="1:29" x14ac:dyDescent="0.25">
      <c r="A3371" s="31" t="s">
        <v>574</v>
      </c>
      <c r="B3371" s="23" t="s">
        <v>575</v>
      </c>
      <c r="D3371">
        <v>1</v>
      </c>
      <c r="E3371" t="s">
        <v>222</v>
      </c>
      <c r="F3371">
        <v>1</v>
      </c>
      <c r="G3371">
        <v>2014</v>
      </c>
      <c r="I3371" s="8">
        <v>44.38</v>
      </c>
      <c r="J3371" t="s">
        <v>176</v>
      </c>
      <c r="K3371" t="s">
        <v>47</v>
      </c>
      <c r="M3371">
        <v>1</v>
      </c>
      <c r="O3371">
        <v>0</v>
      </c>
      <c r="P3371">
        <v>0</v>
      </c>
      <c r="Q3371">
        <v>0</v>
      </c>
      <c r="R3371">
        <v>0</v>
      </c>
      <c r="W3371" t="s">
        <v>1131</v>
      </c>
      <c r="AA3371">
        <v>2007</v>
      </c>
      <c r="AB3371">
        <v>9999</v>
      </c>
      <c r="AC3371" t="s">
        <v>35</v>
      </c>
    </row>
    <row r="3372" spans="1:29" x14ac:dyDescent="0.25">
      <c r="A3372" s="31" t="s">
        <v>577</v>
      </c>
      <c r="B3372" s="25" t="s">
        <v>578</v>
      </c>
      <c r="D3372">
        <v>1</v>
      </c>
      <c r="E3372" t="s">
        <v>396</v>
      </c>
      <c r="F3372">
        <v>3</v>
      </c>
      <c r="G3372">
        <v>2014</v>
      </c>
      <c r="H3372" t="s">
        <v>579</v>
      </c>
      <c r="J3372" t="s">
        <v>121</v>
      </c>
      <c r="K3372" t="s">
        <v>41</v>
      </c>
      <c r="M3372">
        <v>0</v>
      </c>
      <c r="O3372">
        <v>0</v>
      </c>
      <c r="P3372">
        <v>0</v>
      </c>
      <c r="Q3372">
        <v>0</v>
      </c>
      <c r="R3372">
        <v>0</v>
      </c>
      <c r="W3372" t="s">
        <v>1132</v>
      </c>
      <c r="AA3372">
        <v>2007</v>
      </c>
      <c r="AB3372">
        <v>9999</v>
      </c>
      <c r="AC3372" t="s">
        <v>35</v>
      </c>
    </row>
    <row r="3373" spans="1:29" x14ac:dyDescent="0.25">
      <c r="A3373" s="31" t="s">
        <v>581</v>
      </c>
      <c r="B3373" s="23" t="s">
        <v>582</v>
      </c>
      <c r="D3373">
        <v>1</v>
      </c>
      <c r="E3373" t="s">
        <v>80</v>
      </c>
      <c r="F3373">
        <v>8</v>
      </c>
      <c r="G3373">
        <v>2014</v>
      </c>
      <c r="H3373" t="s">
        <v>1315</v>
      </c>
      <c r="J3373" t="s">
        <v>81</v>
      </c>
      <c r="K3373" t="s">
        <v>41</v>
      </c>
      <c r="M3373">
        <v>0</v>
      </c>
      <c r="O3373">
        <v>0</v>
      </c>
      <c r="P3373">
        <v>0</v>
      </c>
      <c r="Q3373">
        <v>0</v>
      </c>
      <c r="R3373">
        <v>0</v>
      </c>
      <c r="W3373" t="s">
        <v>1133</v>
      </c>
      <c r="AA3373">
        <v>2007</v>
      </c>
      <c r="AB3373">
        <v>9999</v>
      </c>
      <c r="AC3373" t="s">
        <v>35</v>
      </c>
    </row>
    <row r="3374" spans="1:29" x14ac:dyDescent="0.25">
      <c r="A3374" s="31" t="s">
        <v>590</v>
      </c>
      <c r="B3374" s="23" t="s">
        <v>591</v>
      </c>
      <c r="D3374">
        <v>1</v>
      </c>
      <c r="E3374" t="s">
        <v>592</v>
      </c>
      <c r="F3374">
        <v>8</v>
      </c>
      <c r="G3374">
        <v>2014</v>
      </c>
      <c r="I3374">
        <v>7.3</v>
      </c>
      <c r="J3374" t="s">
        <v>40</v>
      </c>
      <c r="K3374" t="s">
        <v>41</v>
      </c>
      <c r="M3374">
        <v>0</v>
      </c>
      <c r="O3374">
        <v>0</v>
      </c>
      <c r="P3374">
        <v>0</v>
      </c>
      <c r="Q3374">
        <v>0</v>
      </c>
      <c r="R3374">
        <v>0</v>
      </c>
      <c r="W3374" t="s">
        <v>1134</v>
      </c>
      <c r="AA3374">
        <v>2007</v>
      </c>
      <c r="AB3374">
        <v>9999</v>
      </c>
      <c r="AC3374" t="s">
        <v>35</v>
      </c>
    </row>
    <row r="3375" spans="1:29" x14ac:dyDescent="0.25">
      <c r="A3375" s="31" t="s">
        <v>594</v>
      </c>
      <c r="B3375" s="25" t="s">
        <v>595</v>
      </c>
      <c r="D3375">
        <v>1</v>
      </c>
      <c r="E3375" t="s">
        <v>38</v>
      </c>
      <c r="F3375">
        <v>4</v>
      </c>
      <c r="G3375">
        <v>2014</v>
      </c>
      <c r="H3375" t="s">
        <v>906</v>
      </c>
      <c r="J3375" t="s">
        <v>59</v>
      </c>
      <c r="K3375" t="s">
        <v>41</v>
      </c>
      <c r="M3375">
        <v>0</v>
      </c>
      <c r="O3375">
        <v>0</v>
      </c>
      <c r="P3375">
        <v>0</v>
      </c>
      <c r="Q3375">
        <v>0</v>
      </c>
      <c r="R3375">
        <v>0</v>
      </c>
      <c r="W3375" t="s">
        <v>1135</v>
      </c>
      <c r="AA3375">
        <v>2007</v>
      </c>
      <c r="AB3375">
        <v>9999</v>
      </c>
      <c r="AC3375" t="s">
        <v>35</v>
      </c>
    </row>
    <row r="3376" spans="1:29" x14ac:dyDescent="0.25">
      <c r="A3376" s="31" t="s">
        <v>1253</v>
      </c>
      <c r="B3376" s="25" t="s">
        <v>598</v>
      </c>
      <c r="D3376">
        <v>1</v>
      </c>
      <c r="E3376" t="s">
        <v>38</v>
      </c>
      <c r="F3376">
        <v>4</v>
      </c>
      <c r="G3376">
        <v>2014</v>
      </c>
      <c r="J3376" t="s">
        <v>59</v>
      </c>
      <c r="K3376" t="s">
        <v>41</v>
      </c>
      <c r="M3376">
        <v>0</v>
      </c>
      <c r="O3376">
        <v>0</v>
      </c>
      <c r="P3376">
        <v>0</v>
      </c>
      <c r="Q3376">
        <v>0</v>
      </c>
      <c r="R3376">
        <v>0</v>
      </c>
      <c r="W3376" t="s">
        <v>1254</v>
      </c>
      <c r="AA3376">
        <v>2009</v>
      </c>
      <c r="AB3376">
        <v>9999</v>
      </c>
      <c r="AC3376" t="s">
        <v>1239</v>
      </c>
    </row>
    <row r="3377" spans="1:29" x14ac:dyDescent="0.25">
      <c r="A3377" s="31" t="s">
        <v>601</v>
      </c>
      <c r="B3377" s="25" t="s">
        <v>602</v>
      </c>
      <c r="D3377">
        <v>1</v>
      </c>
      <c r="E3377" t="s">
        <v>145</v>
      </c>
      <c r="F3377">
        <v>2</v>
      </c>
      <c r="G3377">
        <v>2014</v>
      </c>
      <c r="H3377" t="s">
        <v>596</v>
      </c>
      <c r="J3377" s="2" t="s">
        <v>89</v>
      </c>
      <c r="K3377" t="s">
        <v>41</v>
      </c>
      <c r="M3377">
        <v>0</v>
      </c>
      <c r="O3377">
        <v>0</v>
      </c>
      <c r="P3377">
        <v>0</v>
      </c>
      <c r="Q3377">
        <v>0</v>
      </c>
      <c r="R3377">
        <v>0</v>
      </c>
      <c r="W3377" t="s">
        <v>1137</v>
      </c>
      <c r="AA3377">
        <v>2007</v>
      </c>
      <c r="AB3377">
        <v>9999</v>
      </c>
      <c r="AC3377" t="s">
        <v>35</v>
      </c>
    </row>
    <row r="3378" spans="1:29" x14ac:dyDescent="0.25">
      <c r="A3378" s="31" t="s">
        <v>613</v>
      </c>
      <c r="B3378" s="23" t="s">
        <v>254</v>
      </c>
      <c r="C3378" t="s">
        <v>614</v>
      </c>
      <c r="D3378">
        <v>1</v>
      </c>
      <c r="E3378" t="s">
        <v>45</v>
      </c>
      <c r="F3378">
        <v>4</v>
      </c>
      <c r="G3378">
        <v>2014</v>
      </c>
      <c r="I3378" s="8">
        <v>324.55</v>
      </c>
      <c r="J3378" t="s">
        <v>89</v>
      </c>
      <c r="K3378" t="s">
        <v>47</v>
      </c>
      <c r="M3378">
        <v>1</v>
      </c>
      <c r="O3378">
        <v>0</v>
      </c>
      <c r="P3378">
        <v>0</v>
      </c>
      <c r="Q3378">
        <v>0</v>
      </c>
      <c r="R3378">
        <v>0</v>
      </c>
      <c r="W3378" t="s">
        <v>1140</v>
      </c>
      <c r="AA3378">
        <v>2007</v>
      </c>
      <c r="AB3378">
        <v>9999</v>
      </c>
      <c r="AC3378" t="s">
        <v>35</v>
      </c>
    </row>
    <row r="3379" spans="1:29" x14ac:dyDescent="0.25">
      <c r="A3379" s="31" t="s">
        <v>616</v>
      </c>
      <c r="B3379" s="23" t="s">
        <v>617</v>
      </c>
      <c r="D3379">
        <v>1</v>
      </c>
      <c r="E3379" t="s">
        <v>45</v>
      </c>
      <c r="F3379">
        <v>4</v>
      </c>
      <c r="G3379">
        <v>2014</v>
      </c>
      <c r="I3379" s="8">
        <v>15.23</v>
      </c>
      <c r="J3379" t="s">
        <v>89</v>
      </c>
      <c r="K3379" t="s">
        <v>53</v>
      </c>
      <c r="L3379" t="s">
        <v>60</v>
      </c>
      <c r="M3379">
        <v>0</v>
      </c>
      <c r="O3379">
        <v>1</v>
      </c>
      <c r="P3379">
        <v>0</v>
      </c>
      <c r="Q3379">
        <v>0</v>
      </c>
      <c r="R3379">
        <v>0</v>
      </c>
      <c r="W3379" t="s">
        <v>618</v>
      </c>
      <c r="AA3379">
        <v>2007</v>
      </c>
      <c r="AB3379">
        <v>2016</v>
      </c>
      <c r="AC3379" t="s">
        <v>528</v>
      </c>
    </row>
    <row r="3380" spans="1:29" x14ac:dyDescent="0.25">
      <c r="A3380" s="31" t="s">
        <v>1370</v>
      </c>
      <c r="B3380" s="25" t="s">
        <v>1371</v>
      </c>
      <c r="D3380">
        <v>1</v>
      </c>
      <c r="E3380" s="4">
        <v>411</v>
      </c>
      <c r="F3380">
        <v>4</v>
      </c>
      <c r="G3380">
        <v>2014</v>
      </c>
      <c r="H3380" t="s">
        <v>111</v>
      </c>
      <c r="J3380" t="s">
        <v>89</v>
      </c>
      <c r="K3380" t="s">
        <v>41</v>
      </c>
      <c r="M3380">
        <v>0</v>
      </c>
      <c r="O3380">
        <v>0</v>
      </c>
      <c r="P3380">
        <v>0</v>
      </c>
      <c r="Q3380">
        <v>0</v>
      </c>
      <c r="R3380">
        <v>0</v>
      </c>
      <c r="W3380" t="s">
        <v>1372</v>
      </c>
      <c r="AA3380">
        <v>2011</v>
      </c>
      <c r="AB3380">
        <v>9999</v>
      </c>
      <c r="AC3380" t="s">
        <v>1365</v>
      </c>
    </row>
    <row r="3381" spans="1:29" x14ac:dyDescent="0.25">
      <c r="A3381" s="31" t="s">
        <v>1317</v>
      </c>
      <c r="B3381" s="23" t="s">
        <v>1318</v>
      </c>
      <c r="D3381">
        <v>1</v>
      </c>
      <c r="E3381" t="s">
        <v>1319</v>
      </c>
      <c r="F3381">
        <v>10</v>
      </c>
      <c r="G3381">
        <v>2014</v>
      </c>
      <c r="I3381" s="8">
        <v>937.77</v>
      </c>
      <c r="J3381" t="s">
        <v>40</v>
      </c>
      <c r="K3381" t="s">
        <v>32</v>
      </c>
      <c r="M3381">
        <v>0</v>
      </c>
      <c r="O3381">
        <v>0</v>
      </c>
      <c r="P3381">
        <v>0</v>
      </c>
      <c r="Q3381">
        <v>0</v>
      </c>
      <c r="R3381">
        <v>0</v>
      </c>
      <c r="W3381" t="s">
        <v>1320</v>
      </c>
      <c r="AA3381">
        <v>2010</v>
      </c>
      <c r="AB3381">
        <v>9999</v>
      </c>
      <c r="AC3381" t="s">
        <v>1292</v>
      </c>
    </row>
    <row r="3382" spans="1:29" x14ac:dyDescent="0.25">
      <c r="A3382" s="31" t="s">
        <v>616</v>
      </c>
      <c r="B3382" s="23" t="s">
        <v>619</v>
      </c>
      <c r="D3382">
        <v>1</v>
      </c>
      <c r="E3382" t="s">
        <v>620</v>
      </c>
      <c r="F3382">
        <v>5</v>
      </c>
      <c r="G3382">
        <v>2014</v>
      </c>
      <c r="I3382" s="8">
        <v>32.369999999999997</v>
      </c>
      <c r="J3382" t="s">
        <v>104</v>
      </c>
      <c r="K3382" t="s">
        <v>47</v>
      </c>
      <c r="M3382">
        <v>1</v>
      </c>
      <c r="O3382">
        <v>0</v>
      </c>
      <c r="P3382">
        <v>0</v>
      </c>
      <c r="Q3382">
        <v>0</v>
      </c>
      <c r="R3382">
        <v>0</v>
      </c>
      <c r="W3382" t="s">
        <v>1141</v>
      </c>
      <c r="AA3382">
        <v>2007</v>
      </c>
      <c r="AB3382">
        <v>2016</v>
      </c>
      <c r="AC3382" t="s">
        <v>528</v>
      </c>
    </row>
    <row r="3383" spans="1:29" x14ac:dyDescent="0.25">
      <c r="A3383" s="31" t="s">
        <v>622</v>
      </c>
      <c r="B3383" s="23" t="s">
        <v>623</v>
      </c>
      <c r="C3383" t="s">
        <v>624</v>
      </c>
      <c r="D3383">
        <v>1</v>
      </c>
      <c r="E3383" t="s">
        <v>625</v>
      </c>
      <c r="F3383">
        <v>4</v>
      </c>
      <c r="G3383">
        <v>2014</v>
      </c>
      <c r="I3383" s="8">
        <v>241.07</v>
      </c>
      <c r="J3383" t="s">
        <v>89</v>
      </c>
      <c r="K3383" t="s">
        <v>32</v>
      </c>
      <c r="M3383">
        <v>0</v>
      </c>
      <c r="O3383">
        <v>0</v>
      </c>
      <c r="P3383">
        <v>0</v>
      </c>
      <c r="Q3383">
        <v>0</v>
      </c>
      <c r="R3383">
        <v>0</v>
      </c>
      <c r="W3383" t="s">
        <v>1142</v>
      </c>
      <c r="AA3383">
        <v>2007</v>
      </c>
      <c r="AB3383">
        <v>9999</v>
      </c>
      <c r="AC3383" t="s">
        <v>35</v>
      </c>
    </row>
    <row r="3384" spans="1:29" x14ac:dyDescent="0.25">
      <c r="A3384" s="31" t="s">
        <v>629</v>
      </c>
      <c r="B3384" s="23" t="s">
        <v>630</v>
      </c>
      <c r="D3384">
        <v>1</v>
      </c>
      <c r="E3384" t="s">
        <v>631</v>
      </c>
      <c r="F3384">
        <v>8</v>
      </c>
      <c r="G3384">
        <v>2014</v>
      </c>
      <c r="I3384" s="8">
        <v>4.8</v>
      </c>
      <c r="J3384" t="s">
        <v>81</v>
      </c>
      <c r="K3384" t="s">
        <v>41</v>
      </c>
      <c r="M3384">
        <v>0</v>
      </c>
      <c r="O3384">
        <v>0</v>
      </c>
      <c r="P3384">
        <v>0</v>
      </c>
      <c r="Q3384">
        <v>0</v>
      </c>
      <c r="R3384">
        <v>0</v>
      </c>
      <c r="W3384" t="s">
        <v>1144</v>
      </c>
      <c r="AA3384">
        <v>2007</v>
      </c>
      <c r="AB3384">
        <v>2014</v>
      </c>
      <c r="AC3384" t="s">
        <v>633</v>
      </c>
    </row>
    <row r="3385" spans="1:29" x14ac:dyDescent="0.25">
      <c r="A3385" s="31" t="s">
        <v>199</v>
      </c>
      <c r="B3385" s="23" t="s">
        <v>1255</v>
      </c>
      <c r="D3385">
        <v>1</v>
      </c>
      <c r="E3385" t="s">
        <v>38</v>
      </c>
      <c r="F3385">
        <v>4</v>
      </c>
      <c r="G3385">
        <v>2014</v>
      </c>
      <c r="H3385" t="s">
        <v>39</v>
      </c>
      <c r="J3385" t="s">
        <v>52</v>
      </c>
      <c r="K3385" t="s">
        <v>41</v>
      </c>
      <c r="M3385">
        <v>0</v>
      </c>
      <c r="O3385">
        <v>0</v>
      </c>
      <c r="P3385">
        <v>0</v>
      </c>
      <c r="Q3385">
        <v>0</v>
      </c>
      <c r="R3385">
        <v>0</v>
      </c>
      <c r="W3385" t="s">
        <v>1256</v>
      </c>
      <c r="AA3385">
        <v>2007</v>
      </c>
      <c r="AB3385">
        <v>9999</v>
      </c>
      <c r="AC3385" t="s">
        <v>35</v>
      </c>
    </row>
    <row r="3386" spans="1:29" x14ac:dyDescent="0.25">
      <c r="A3386" s="31" t="s">
        <v>641</v>
      </c>
      <c r="B3386" s="23" t="s">
        <v>642</v>
      </c>
      <c r="D3386">
        <v>1</v>
      </c>
      <c r="E3386" t="s">
        <v>348</v>
      </c>
      <c r="F3386">
        <v>1</v>
      </c>
      <c r="G3386">
        <v>2014</v>
      </c>
      <c r="I3386" s="8">
        <v>4083.34</v>
      </c>
      <c r="J3386" t="s">
        <v>268</v>
      </c>
      <c r="K3386" t="s">
        <v>53</v>
      </c>
      <c r="L3386" t="s">
        <v>642</v>
      </c>
      <c r="M3386">
        <v>0</v>
      </c>
      <c r="O3386">
        <v>0</v>
      </c>
      <c r="P3386">
        <v>0</v>
      </c>
      <c r="Q3386">
        <v>0</v>
      </c>
      <c r="R3386">
        <v>0</v>
      </c>
      <c r="W3386" t="s">
        <v>643</v>
      </c>
      <c r="AA3386">
        <v>2007</v>
      </c>
      <c r="AB3386">
        <v>9999</v>
      </c>
      <c r="AC3386" t="s">
        <v>35</v>
      </c>
    </row>
    <row r="3387" spans="1:29" x14ac:dyDescent="0.25">
      <c r="A3387" s="31" t="s">
        <v>646</v>
      </c>
      <c r="B3387" s="25" t="s">
        <v>647</v>
      </c>
      <c r="D3387">
        <v>1</v>
      </c>
      <c r="E3387" t="s">
        <v>128</v>
      </c>
      <c r="F3387">
        <v>9</v>
      </c>
      <c r="G3387">
        <v>2014</v>
      </c>
      <c r="H3387" t="s">
        <v>260</v>
      </c>
      <c r="J3387" t="s">
        <v>104</v>
      </c>
      <c r="K3387" t="s">
        <v>41</v>
      </c>
      <c r="M3387">
        <v>0</v>
      </c>
      <c r="O3387">
        <v>0</v>
      </c>
      <c r="P3387">
        <v>0</v>
      </c>
      <c r="Q3387">
        <v>0</v>
      </c>
      <c r="R3387">
        <v>0</v>
      </c>
      <c r="W3387" t="s">
        <v>1147</v>
      </c>
      <c r="AA3387">
        <v>2007</v>
      </c>
      <c r="AB3387">
        <v>2018</v>
      </c>
      <c r="AC3387" t="s">
        <v>649</v>
      </c>
    </row>
    <row r="3388" spans="1:29" x14ac:dyDescent="0.25">
      <c r="A3388" s="31" t="s">
        <v>650</v>
      </c>
      <c r="B3388" s="25" t="s">
        <v>651</v>
      </c>
      <c r="D3388">
        <v>1</v>
      </c>
      <c r="E3388" t="s">
        <v>128</v>
      </c>
      <c r="F3388">
        <v>9</v>
      </c>
      <c r="G3388">
        <v>2014</v>
      </c>
      <c r="H3388" t="s">
        <v>431</v>
      </c>
      <c r="J3388" t="s">
        <v>104</v>
      </c>
      <c r="K3388" t="s">
        <v>41</v>
      </c>
      <c r="M3388">
        <v>0</v>
      </c>
      <c r="O3388">
        <v>0</v>
      </c>
      <c r="P3388">
        <v>0</v>
      </c>
      <c r="Q3388">
        <v>0</v>
      </c>
      <c r="R3388">
        <v>0</v>
      </c>
      <c r="W3388" t="s">
        <v>1147</v>
      </c>
      <c r="AA3388">
        <v>2007</v>
      </c>
      <c r="AB3388">
        <v>2018</v>
      </c>
      <c r="AC3388" t="s">
        <v>649</v>
      </c>
    </row>
    <row r="3389" spans="1:29" x14ac:dyDescent="0.25">
      <c r="A3389" s="31" t="s">
        <v>652</v>
      </c>
      <c r="B3389" s="25" t="s">
        <v>653</v>
      </c>
      <c r="D3389">
        <v>1</v>
      </c>
      <c r="E3389" t="s">
        <v>128</v>
      </c>
      <c r="F3389">
        <v>9</v>
      </c>
      <c r="G3389">
        <v>2014</v>
      </c>
      <c r="H3389" t="s">
        <v>461</v>
      </c>
      <c r="J3389" t="s">
        <v>104</v>
      </c>
      <c r="K3389" t="s">
        <v>41</v>
      </c>
      <c r="M3389">
        <v>0</v>
      </c>
      <c r="O3389">
        <v>0</v>
      </c>
      <c r="P3389">
        <v>0</v>
      </c>
      <c r="Q3389">
        <v>0</v>
      </c>
      <c r="R3389">
        <v>0</v>
      </c>
      <c r="W3389" t="s">
        <v>1147</v>
      </c>
      <c r="AA3389">
        <v>2007</v>
      </c>
      <c r="AB3389">
        <v>2018</v>
      </c>
      <c r="AC3389" t="s">
        <v>649</v>
      </c>
    </row>
    <row r="3390" spans="1:29" x14ac:dyDescent="0.25">
      <c r="A3390" s="31" t="s">
        <v>654</v>
      </c>
      <c r="B3390" s="25" t="s">
        <v>655</v>
      </c>
      <c r="D3390">
        <v>1</v>
      </c>
      <c r="E3390" t="s">
        <v>128</v>
      </c>
      <c r="F3390">
        <v>9</v>
      </c>
      <c r="G3390">
        <v>2014</v>
      </c>
      <c r="H3390" t="s">
        <v>365</v>
      </c>
      <c r="J3390" t="s">
        <v>104</v>
      </c>
      <c r="K3390" t="s">
        <v>41</v>
      </c>
      <c r="M3390">
        <v>0</v>
      </c>
      <c r="O3390">
        <v>0</v>
      </c>
      <c r="P3390">
        <v>0</v>
      </c>
      <c r="Q3390">
        <v>0</v>
      </c>
      <c r="R3390">
        <v>0</v>
      </c>
      <c r="W3390" t="s">
        <v>1147</v>
      </c>
      <c r="AA3390">
        <v>2007</v>
      </c>
      <c r="AB3390">
        <v>2018</v>
      </c>
      <c r="AC3390" t="s">
        <v>649</v>
      </c>
    </row>
    <row r="3391" spans="1:29" x14ac:dyDescent="0.25">
      <c r="A3391" s="31" t="s">
        <v>656</v>
      </c>
      <c r="B3391" s="25" t="s">
        <v>657</v>
      </c>
      <c r="D3391">
        <v>1</v>
      </c>
      <c r="E3391" t="s">
        <v>128</v>
      </c>
      <c r="F3391">
        <v>9</v>
      </c>
      <c r="G3391">
        <v>2014</v>
      </c>
      <c r="H3391" t="s">
        <v>658</v>
      </c>
      <c r="J3391" t="s">
        <v>104</v>
      </c>
      <c r="K3391" t="s">
        <v>41</v>
      </c>
      <c r="M3391">
        <v>0</v>
      </c>
      <c r="O3391">
        <v>0</v>
      </c>
      <c r="P3391">
        <v>0</v>
      </c>
      <c r="Q3391">
        <v>0</v>
      </c>
      <c r="R3391">
        <v>0</v>
      </c>
      <c r="W3391" t="s">
        <v>1147</v>
      </c>
      <c r="AA3391">
        <v>2007</v>
      </c>
      <c r="AB3391">
        <v>2018</v>
      </c>
      <c r="AC3391" t="s">
        <v>649</v>
      </c>
    </row>
    <row r="3392" spans="1:29" x14ac:dyDescent="0.25">
      <c r="A3392" s="31" t="s">
        <v>659</v>
      </c>
      <c r="B3392" s="25" t="s">
        <v>660</v>
      </c>
      <c r="D3392">
        <v>1</v>
      </c>
      <c r="E3392" t="s">
        <v>128</v>
      </c>
      <c r="F3392">
        <v>9</v>
      </c>
      <c r="G3392">
        <v>2014</v>
      </c>
      <c r="H3392" t="s">
        <v>661</v>
      </c>
      <c r="J3392" t="s">
        <v>104</v>
      </c>
      <c r="K3392" t="s">
        <v>41</v>
      </c>
      <c r="M3392">
        <v>0</v>
      </c>
      <c r="O3392">
        <v>0</v>
      </c>
      <c r="P3392">
        <v>0</v>
      </c>
      <c r="Q3392">
        <v>0</v>
      </c>
      <c r="R3392">
        <v>0</v>
      </c>
      <c r="W3392" t="s">
        <v>1147</v>
      </c>
      <c r="AA3392">
        <v>2007</v>
      </c>
      <c r="AB3392">
        <v>2018</v>
      </c>
      <c r="AC3392" t="s">
        <v>649</v>
      </c>
    </row>
    <row r="3393" spans="1:29" x14ac:dyDescent="0.25">
      <c r="A3393" s="31" t="s">
        <v>199</v>
      </c>
      <c r="B3393" s="25" t="s">
        <v>665</v>
      </c>
      <c r="D3393">
        <v>1</v>
      </c>
      <c r="E3393" t="s">
        <v>45</v>
      </c>
      <c r="F3393">
        <v>4</v>
      </c>
      <c r="G3393">
        <v>2014</v>
      </c>
      <c r="H3393" t="s">
        <v>39</v>
      </c>
      <c r="J3393" t="s">
        <v>52</v>
      </c>
      <c r="K3393" t="s">
        <v>41</v>
      </c>
      <c r="M3393">
        <v>0</v>
      </c>
      <c r="O3393">
        <v>0</v>
      </c>
      <c r="P3393">
        <v>0</v>
      </c>
      <c r="Q3393">
        <v>0</v>
      </c>
      <c r="R3393">
        <v>0</v>
      </c>
      <c r="W3393" t="s">
        <v>1148</v>
      </c>
      <c r="AA3393">
        <v>2007</v>
      </c>
      <c r="AB3393">
        <v>9999</v>
      </c>
      <c r="AC3393" t="s">
        <v>35</v>
      </c>
    </row>
    <row r="3394" spans="1:29" x14ac:dyDescent="0.25">
      <c r="A3394" s="31" t="s">
        <v>667</v>
      </c>
      <c r="B3394" s="23" t="s">
        <v>668</v>
      </c>
      <c r="D3394">
        <v>1</v>
      </c>
      <c r="E3394" t="s">
        <v>45</v>
      </c>
      <c r="F3394">
        <v>4</v>
      </c>
      <c r="G3394">
        <v>2014</v>
      </c>
      <c r="I3394" s="8">
        <v>26.78</v>
      </c>
      <c r="J3394" t="s">
        <v>121</v>
      </c>
      <c r="K3394" t="s">
        <v>47</v>
      </c>
      <c r="M3394">
        <v>0</v>
      </c>
      <c r="O3394">
        <v>0</v>
      </c>
      <c r="P3394">
        <v>0</v>
      </c>
      <c r="Q3394">
        <v>0</v>
      </c>
      <c r="R3394">
        <v>0</v>
      </c>
      <c r="W3394" t="s">
        <v>1149</v>
      </c>
      <c r="AA3394">
        <v>2007</v>
      </c>
      <c r="AB3394">
        <v>9999</v>
      </c>
      <c r="AC3394" t="s">
        <v>35</v>
      </c>
    </row>
    <row r="3395" spans="1:29" x14ac:dyDescent="0.25">
      <c r="A3395" s="31" t="s">
        <v>670</v>
      </c>
      <c r="B3395" s="23" t="s">
        <v>671</v>
      </c>
      <c r="D3395">
        <v>1</v>
      </c>
      <c r="E3395" t="s">
        <v>80</v>
      </c>
      <c r="F3395">
        <v>8</v>
      </c>
      <c r="G3395">
        <v>2014</v>
      </c>
      <c r="I3395" s="8">
        <v>339.77</v>
      </c>
      <c r="J3395" t="s">
        <v>81</v>
      </c>
      <c r="K3395" t="s">
        <v>47</v>
      </c>
      <c r="M3395">
        <v>1</v>
      </c>
      <c r="O3395">
        <v>0</v>
      </c>
      <c r="P3395">
        <v>0</v>
      </c>
      <c r="Q3395">
        <v>0</v>
      </c>
      <c r="R3395">
        <v>0</v>
      </c>
      <c r="W3395" t="s">
        <v>1150</v>
      </c>
      <c r="AA3395">
        <v>2007</v>
      </c>
      <c r="AB3395">
        <v>9999</v>
      </c>
      <c r="AC3395" t="s">
        <v>35</v>
      </c>
    </row>
    <row r="3396" spans="1:29" x14ac:dyDescent="0.25">
      <c r="A3396" s="31" t="s">
        <v>673</v>
      </c>
      <c r="B3396" s="23" t="s">
        <v>1321</v>
      </c>
      <c r="D3396">
        <v>1</v>
      </c>
      <c r="E3396" t="s">
        <v>358</v>
      </c>
      <c r="F3396">
        <v>1</v>
      </c>
      <c r="G3396">
        <v>2014</v>
      </c>
      <c r="I3396" s="8">
        <v>467.59</v>
      </c>
      <c r="J3396" t="s">
        <v>81</v>
      </c>
      <c r="K3396" t="s">
        <v>47</v>
      </c>
      <c r="M3396">
        <v>1</v>
      </c>
      <c r="O3396">
        <v>0</v>
      </c>
      <c r="P3396">
        <v>0</v>
      </c>
      <c r="Q3396">
        <v>0</v>
      </c>
      <c r="R3396">
        <v>0</v>
      </c>
      <c r="W3396" t="s">
        <v>1322</v>
      </c>
      <c r="AA3396">
        <v>2007</v>
      </c>
      <c r="AB3396">
        <v>9999</v>
      </c>
      <c r="AC3396" t="s">
        <v>35</v>
      </c>
    </row>
    <row r="3397" spans="1:29" x14ac:dyDescent="0.25">
      <c r="A3397" s="31" t="s">
        <v>676</v>
      </c>
      <c r="B3397" s="23" t="s">
        <v>677</v>
      </c>
      <c r="C3397" t="s">
        <v>678</v>
      </c>
      <c r="D3397">
        <v>1</v>
      </c>
      <c r="E3397" t="s">
        <v>168</v>
      </c>
      <c r="F3397">
        <v>1</v>
      </c>
      <c r="G3397">
        <v>2014</v>
      </c>
      <c r="I3397" s="8">
        <v>159.15</v>
      </c>
      <c r="J3397" t="s">
        <v>52</v>
      </c>
      <c r="K3397" t="s">
        <v>32</v>
      </c>
      <c r="M3397">
        <v>0</v>
      </c>
      <c r="O3397">
        <v>0</v>
      </c>
      <c r="P3397">
        <v>0</v>
      </c>
      <c r="Q3397">
        <v>0</v>
      </c>
      <c r="R3397">
        <v>0</v>
      </c>
      <c r="W3397" t="s">
        <v>1152</v>
      </c>
      <c r="AA3397">
        <v>2007</v>
      </c>
      <c r="AB3397">
        <v>9999</v>
      </c>
      <c r="AC3397" t="s">
        <v>35</v>
      </c>
    </row>
    <row r="3398" spans="1:29" x14ac:dyDescent="0.25">
      <c r="A3398" s="31" t="s">
        <v>472</v>
      </c>
      <c r="B3398" s="23" t="s">
        <v>680</v>
      </c>
      <c r="D3398">
        <v>1</v>
      </c>
      <c r="E3398" t="s">
        <v>681</v>
      </c>
      <c r="F3398">
        <v>3</v>
      </c>
      <c r="G3398">
        <v>2014</v>
      </c>
      <c r="I3398" s="8">
        <v>26648.17</v>
      </c>
      <c r="J3398" t="s">
        <v>121</v>
      </c>
      <c r="K3398" t="s">
        <v>76</v>
      </c>
      <c r="M3398">
        <v>0</v>
      </c>
      <c r="O3398">
        <v>0</v>
      </c>
      <c r="P3398">
        <v>0</v>
      </c>
      <c r="Q3398">
        <v>0</v>
      </c>
      <c r="R3398">
        <v>0</v>
      </c>
      <c r="W3398" t="s">
        <v>475</v>
      </c>
      <c r="AA3398">
        <v>2007</v>
      </c>
      <c r="AB3398">
        <v>9999</v>
      </c>
      <c r="AC3398" t="s">
        <v>35</v>
      </c>
    </row>
    <row r="3399" spans="1:29" x14ac:dyDescent="0.25">
      <c r="A3399" s="31" t="s">
        <v>685</v>
      </c>
      <c r="B3399" s="23" t="s">
        <v>686</v>
      </c>
      <c r="D3399">
        <v>1</v>
      </c>
      <c r="E3399" t="s">
        <v>80</v>
      </c>
      <c r="F3399">
        <v>8</v>
      </c>
      <c r="G3399">
        <v>2014</v>
      </c>
      <c r="I3399" s="8">
        <v>22.54</v>
      </c>
      <c r="J3399" t="s">
        <v>81</v>
      </c>
      <c r="K3399" t="s">
        <v>47</v>
      </c>
      <c r="M3399">
        <v>0</v>
      </c>
      <c r="O3399">
        <v>0</v>
      </c>
      <c r="P3399">
        <v>0</v>
      </c>
      <c r="Q3399">
        <v>0</v>
      </c>
      <c r="R3399">
        <v>0</v>
      </c>
      <c r="W3399" t="s">
        <v>1153</v>
      </c>
      <c r="AA3399">
        <v>2007</v>
      </c>
      <c r="AB3399">
        <v>2017</v>
      </c>
      <c r="AC3399" t="s">
        <v>435</v>
      </c>
    </row>
    <row r="3400" spans="1:29" x14ac:dyDescent="0.25">
      <c r="A3400" s="31" t="s">
        <v>688</v>
      </c>
      <c r="B3400" s="25" t="s">
        <v>689</v>
      </c>
      <c r="D3400">
        <v>1</v>
      </c>
      <c r="E3400" t="s">
        <v>145</v>
      </c>
      <c r="F3400">
        <v>2</v>
      </c>
      <c r="G3400">
        <v>2014</v>
      </c>
      <c r="H3400" t="s">
        <v>146</v>
      </c>
      <c r="J3400" s="2" t="s">
        <v>147</v>
      </c>
      <c r="K3400" t="s">
        <v>41</v>
      </c>
      <c r="M3400">
        <v>0</v>
      </c>
      <c r="O3400">
        <v>0</v>
      </c>
      <c r="P3400">
        <v>0</v>
      </c>
      <c r="Q3400">
        <v>0</v>
      </c>
      <c r="R3400">
        <v>0</v>
      </c>
      <c r="W3400" t="s">
        <v>1154</v>
      </c>
      <c r="AA3400">
        <v>2007</v>
      </c>
      <c r="AB3400">
        <v>9999</v>
      </c>
      <c r="AC3400" t="s">
        <v>35</v>
      </c>
    </row>
    <row r="3401" spans="1:29" x14ac:dyDescent="0.25">
      <c r="A3401" s="31" t="s">
        <v>691</v>
      </c>
      <c r="B3401" s="23" t="s">
        <v>692</v>
      </c>
      <c r="D3401">
        <v>1</v>
      </c>
      <c r="E3401" t="s">
        <v>625</v>
      </c>
      <c r="F3401">
        <v>4</v>
      </c>
      <c r="G3401">
        <v>2014</v>
      </c>
      <c r="I3401" s="8">
        <v>17.600000000000001</v>
      </c>
      <c r="J3401" t="s">
        <v>104</v>
      </c>
      <c r="K3401" t="s">
        <v>32</v>
      </c>
      <c r="M3401">
        <v>0</v>
      </c>
      <c r="O3401">
        <v>0</v>
      </c>
      <c r="P3401">
        <v>0</v>
      </c>
      <c r="Q3401">
        <v>0</v>
      </c>
      <c r="R3401">
        <v>0</v>
      </c>
      <c r="W3401" t="s">
        <v>1155</v>
      </c>
      <c r="AA3401">
        <v>2007</v>
      </c>
      <c r="AB3401">
        <v>9999</v>
      </c>
      <c r="AC3401" t="s">
        <v>35</v>
      </c>
    </row>
    <row r="3402" spans="1:29" x14ac:dyDescent="0.25">
      <c r="A3402" s="31" t="s">
        <v>694</v>
      </c>
      <c r="B3402" s="25" t="s">
        <v>695</v>
      </c>
      <c r="C3402" t="s">
        <v>696</v>
      </c>
      <c r="D3402">
        <v>1</v>
      </c>
      <c r="E3402" t="s">
        <v>58</v>
      </c>
      <c r="F3402">
        <v>4</v>
      </c>
      <c r="G3402">
        <v>2014</v>
      </c>
      <c r="I3402" s="8">
        <v>119.5</v>
      </c>
      <c r="J3402" t="s">
        <v>59</v>
      </c>
      <c r="K3402" t="s">
        <v>47</v>
      </c>
      <c r="M3402">
        <v>0</v>
      </c>
      <c r="O3402">
        <v>0</v>
      </c>
      <c r="P3402">
        <v>0</v>
      </c>
      <c r="Q3402">
        <v>0</v>
      </c>
      <c r="R3402">
        <v>0</v>
      </c>
      <c r="W3402" t="s">
        <v>1156</v>
      </c>
      <c r="AA3402">
        <v>2007</v>
      </c>
      <c r="AB3402">
        <v>9999</v>
      </c>
      <c r="AC3402" t="s">
        <v>35</v>
      </c>
    </row>
    <row r="3403" spans="1:29" x14ac:dyDescent="0.25">
      <c r="A3403" s="31" t="s">
        <v>698</v>
      </c>
      <c r="B3403" s="25" t="s">
        <v>699</v>
      </c>
      <c r="D3403">
        <v>1</v>
      </c>
      <c r="E3403" t="s">
        <v>155</v>
      </c>
      <c r="F3403">
        <v>3</v>
      </c>
      <c r="G3403">
        <v>2014</v>
      </c>
      <c r="H3403" t="s">
        <v>700</v>
      </c>
      <c r="I3403">
        <v>6.7971887550199996</v>
      </c>
      <c r="J3403" t="s">
        <v>121</v>
      </c>
      <c r="K3403" t="s">
        <v>47</v>
      </c>
      <c r="M3403">
        <v>0</v>
      </c>
      <c r="O3403">
        <v>0</v>
      </c>
      <c r="P3403">
        <v>0</v>
      </c>
      <c r="Q3403">
        <v>0</v>
      </c>
      <c r="R3403">
        <v>0</v>
      </c>
      <c r="V3403">
        <v>1</v>
      </c>
      <c r="W3403" t="s">
        <v>1157</v>
      </c>
      <c r="AA3403">
        <v>2007</v>
      </c>
      <c r="AB3403">
        <v>9999</v>
      </c>
      <c r="AC3403" t="s">
        <v>35</v>
      </c>
    </row>
    <row r="3404" spans="1:29" x14ac:dyDescent="0.25">
      <c r="A3404" s="31" t="s">
        <v>702</v>
      </c>
      <c r="B3404" s="25" t="s">
        <v>703</v>
      </c>
      <c r="D3404">
        <v>1</v>
      </c>
      <c r="E3404" t="s">
        <v>155</v>
      </c>
      <c r="F3404">
        <v>3</v>
      </c>
      <c r="G3404">
        <v>2014</v>
      </c>
      <c r="H3404" t="s">
        <v>704</v>
      </c>
      <c r="I3404">
        <v>0.9</v>
      </c>
      <c r="J3404" t="s">
        <v>121</v>
      </c>
      <c r="K3404" t="s">
        <v>41</v>
      </c>
      <c r="M3404">
        <v>0</v>
      </c>
      <c r="O3404">
        <v>0</v>
      </c>
      <c r="P3404">
        <v>0</v>
      </c>
      <c r="Q3404">
        <v>0</v>
      </c>
      <c r="R3404">
        <v>0</v>
      </c>
      <c r="V3404">
        <v>1</v>
      </c>
      <c r="W3404" t="s">
        <v>1158</v>
      </c>
      <c r="AA3404">
        <v>2007</v>
      </c>
      <c r="AB3404">
        <v>9999</v>
      </c>
      <c r="AC3404" t="s">
        <v>35</v>
      </c>
    </row>
    <row r="3405" spans="1:29" x14ac:dyDescent="0.25">
      <c r="A3405" s="31" t="s">
        <v>706</v>
      </c>
      <c r="B3405" s="23" t="s">
        <v>707</v>
      </c>
      <c r="C3405" t="s">
        <v>708</v>
      </c>
      <c r="D3405">
        <v>1</v>
      </c>
      <c r="E3405" t="s">
        <v>155</v>
      </c>
      <c r="F3405">
        <v>3</v>
      </c>
      <c r="G3405">
        <v>2014</v>
      </c>
      <c r="I3405" s="8">
        <v>394.23</v>
      </c>
      <c r="J3405" t="s">
        <v>121</v>
      </c>
      <c r="K3405" t="s">
        <v>47</v>
      </c>
      <c r="M3405">
        <v>1</v>
      </c>
      <c r="O3405">
        <v>0</v>
      </c>
      <c r="P3405">
        <v>0</v>
      </c>
      <c r="Q3405">
        <v>0</v>
      </c>
      <c r="R3405">
        <v>0</v>
      </c>
      <c r="W3405" t="s">
        <v>1159</v>
      </c>
      <c r="AA3405">
        <v>2007</v>
      </c>
      <c r="AB3405">
        <v>9999</v>
      </c>
      <c r="AC3405" t="s">
        <v>35</v>
      </c>
    </row>
    <row r="3406" spans="1:29" x14ac:dyDescent="0.25">
      <c r="A3406" s="31" t="s">
        <v>710</v>
      </c>
      <c r="B3406" s="23" t="s">
        <v>711</v>
      </c>
      <c r="D3406">
        <v>1</v>
      </c>
      <c r="E3406" t="s">
        <v>712</v>
      </c>
      <c r="F3406">
        <v>9</v>
      </c>
      <c r="G3406">
        <v>2014</v>
      </c>
      <c r="I3406" s="8">
        <v>77.540000000000006</v>
      </c>
      <c r="J3406" t="s">
        <v>104</v>
      </c>
      <c r="K3406" t="s">
        <v>41</v>
      </c>
      <c r="M3406">
        <v>0</v>
      </c>
      <c r="O3406">
        <v>0</v>
      </c>
      <c r="P3406">
        <v>0</v>
      </c>
      <c r="Q3406">
        <v>0</v>
      </c>
      <c r="R3406">
        <v>0</v>
      </c>
      <c r="W3406" t="s">
        <v>1406</v>
      </c>
      <c r="AA3406">
        <v>2007</v>
      </c>
      <c r="AB3406">
        <v>9999</v>
      </c>
      <c r="AC3406" t="s">
        <v>35</v>
      </c>
    </row>
    <row r="3407" spans="1:29" x14ac:dyDescent="0.25">
      <c r="A3407" s="31" t="s">
        <v>714</v>
      </c>
      <c r="B3407" s="23" t="s">
        <v>715</v>
      </c>
      <c r="D3407">
        <v>1</v>
      </c>
      <c r="E3407" t="s">
        <v>80</v>
      </c>
      <c r="F3407">
        <v>8</v>
      </c>
      <c r="G3407">
        <v>2014</v>
      </c>
      <c r="I3407" s="8">
        <v>52.15</v>
      </c>
      <c r="J3407" t="s">
        <v>1343</v>
      </c>
      <c r="K3407" t="s">
        <v>76</v>
      </c>
      <c r="M3407">
        <v>0</v>
      </c>
      <c r="O3407">
        <v>0</v>
      </c>
      <c r="P3407">
        <v>0</v>
      </c>
      <c r="Q3407">
        <v>0</v>
      </c>
      <c r="R3407">
        <v>0</v>
      </c>
      <c r="W3407" t="s">
        <v>1323</v>
      </c>
      <c r="AA3407">
        <v>2007</v>
      </c>
      <c r="AB3407">
        <v>9999</v>
      </c>
      <c r="AC3407" t="s">
        <v>35</v>
      </c>
    </row>
    <row r="3408" spans="1:29" x14ac:dyDescent="0.25">
      <c r="A3408" s="31" t="s">
        <v>717</v>
      </c>
      <c r="B3408" s="25" t="s">
        <v>718</v>
      </c>
      <c r="D3408">
        <v>1</v>
      </c>
      <c r="E3408" t="s">
        <v>51</v>
      </c>
      <c r="F3408">
        <v>1</v>
      </c>
      <c r="G3408">
        <v>2014</v>
      </c>
      <c r="J3408" t="s">
        <v>52</v>
      </c>
      <c r="K3408" t="s">
        <v>53</v>
      </c>
      <c r="L3408" t="s">
        <v>54</v>
      </c>
      <c r="M3408">
        <v>0</v>
      </c>
      <c r="O3408">
        <v>0</v>
      </c>
      <c r="P3408">
        <v>0</v>
      </c>
      <c r="Q3408">
        <v>1</v>
      </c>
      <c r="R3408">
        <v>0</v>
      </c>
      <c r="W3408" t="s">
        <v>55</v>
      </c>
      <c r="AA3408">
        <v>2007</v>
      </c>
      <c r="AB3408">
        <v>9999</v>
      </c>
      <c r="AC3408" t="s">
        <v>35</v>
      </c>
    </row>
    <row r="3409" spans="1:29" x14ac:dyDescent="0.25">
      <c r="A3409" s="31" t="s">
        <v>719</v>
      </c>
      <c r="B3409" s="25" t="s">
        <v>720</v>
      </c>
      <c r="D3409">
        <v>1</v>
      </c>
      <c r="E3409" t="s">
        <v>51</v>
      </c>
      <c r="F3409">
        <v>1</v>
      </c>
      <c r="G3409">
        <v>2014</v>
      </c>
      <c r="J3409" t="s">
        <v>52</v>
      </c>
      <c r="K3409" t="s">
        <v>53</v>
      </c>
      <c r="L3409" t="s">
        <v>54</v>
      </c>
      <c r="M3409">
        <v>0</v>
      </c>
      <c r="O3409">
        <v>0</v>
      </c>
      <c r="P3409">
        <v>0</v>
      </c>
      <c r="Q3409">
        <v>1</v>
      </c>
      <c r="R3409">
        <v>0</v>
      </c>
      <c r="W3409" t="s">
        <v>721</v>
      </c>
      <c r="AA3409">
        <v>2007</v>
      </c>
      <c r="AB3409">
        <v>9999</v>
      </c>
      <c r="AC3409" t="s">
        <v>35</v>
      </c>
    </row>
    <row r="3410" spans="1:29" x14ac:dyDescent="0.25">
      <c r="A3410" s="31" t="s">
        <v>722</v>
      </c>
      <c r="B3410" s="23" t="s">
        <v>723</v>
      </c>
      <c r="D3410">
        <v>1</v>
      </c>
      <c r="E3410" t="s">
        <v>724</v>
      </c>
      <c r="F3410">
        <v>4</v>
      </c>
      <c r="G3410">
        <v>2014</v>
      </c>
      <c r="I3410" s="8">
        <v>1166.81</v>
      </c>
      <c r="J3410" t="s">
        <v>89</v>
      </c>
      <c r="K3410" t="s">
        <v>32</v>
      </c>
      <c r="L3410" t="s">
        <v>33</v>
      </c>
      <c r="M3410">
        <v>0</v>
      </c>
      <c r="O3410">
        <v>0</v>
      </c>
      <c r="P3410">
        <v>0</v>
      </c>
      <c r="Q3410">
        <v>0</v>
      </c>
      <c r="R3410">
        <v>1</v>
      </c>
      <c r="W3410" t="s">
        <v>1161</v>
      </c>
      <c r="AA3410">
        <v>2007</v>
      </c>
      <c r="AB3410">
        <v>9999</v>
      </c>
      <c r="AC3410" t="s">
        <v>35</v>
      </c>
    </row>
    <row r="3411" spans="1:29" x14ac:dyDescent="0.25">
      <c r="A3411" s="31" t="s">
        <v>726</v>
      </c>
      <c r="B3411" s="25" t="s">
        <v>727</v>
      </c>
      <c r="D3411">
        <v>1</v>
      </c>
      <c r="E3411" t="s">
        <v>85</v>
      </c>
      <c r="F3411">
        <v>1</v>
      </c>
      <c r="G3411">
        <v>2014</v>
      </c>
      <c r="H3411" t="s">
        <v>205</v>
      </c>
      <c r="J3411" t="s">
        <v>52</v>
      </c>
      <c r="K3411" t="s">
        <v>41</v>
      </c>
      <c r="M3411">
        <v>0</v>
      </c>
      <c r="O3411">
        <v>0</v>
      </c>
      <c r="P3411">
        <v>0</v>
      </c>
      <c r="Q3411">
        <v>0</v>
      </c>
      <c r="R3411">
        <v>0</v>
      </c>
      <c r="W3411" t="s">
        <v>1162</v>
      </c>
      <c r="AA3411">
        <v>2007</v>
      </c>
      <c r="AB3411">
        <v>9999</v>
      </c>
      <c r="AC3411" t="s">
        <v>35</v>
      </c>
    </row>
    <row r="3412" spans="1:29" x14ac:dyDescent="0.25">
      <c r="A3412" s="31" t="s">
        <v>729</v>
      </c>
      <c r="B3412" s="23" t="s">
        <v>205</v>
      </c>
      <c r="D3412">
        <v>1</v>
      </c>
      <c r="E3412" t="s">
        <v>168</v>
      </c>
      <c r="F3412">
        <v>1</v>
      </c>
      <c r="G3412">
        <v>2014</v>
      </c>
      <c r="I3412" s="8">
        <v>9604.1200000000008</v>
      </c>
      <c r="J3412" t="s">
        <v>52</v>
      </c>
      <c r="K3412" t="s">
        <v>47</v>
      </c>
      <c r="M3412">
        <v>1</v>
      </c>
      <c r="O3412">
        <v>0</v>
      </c>
      <c r="P3412">
        <v>0</v>
      </c>
      <c r="Q3412">
        <v>0</v>
      </c>
      <c r="R3412">
        <v>0</v>
      </c>
      <c r="W3412" t="s">
        <v>1163</v>
      </c>
      <c r="AA3412">
        <v>2007</v>
      </c>
      <c r="AB3412">
        <v>9999</v>
      </c>
      <c r="AC3412" t="s">
        <v>35</v>
      </c>
    </row>
    <row r="3413" spans="1:29" x14ac:dyDescent="0.25">
      <c r="A3413" s="31" t="s">
        <v>731</v>
      </c>
      <c r="B3413" s="25" t="s">
        <v>732</v>
      </c>
      <c r="D3413">
        <v>1</v>
      </c>
      <c r="E3413" t="s">
        <v>51</v>
      </c>
      <c r="F3413">
        <v>10</v>
      </c>
      <c r="G3413">
        <v>2014</v>
      </c>
      <c r="H3413" t="s">
        <v>39</v>
      </c>
      <c r="J3413" t="s">
        <v>52</v>
      </c>
      <c r="K3413" t="s">
        <v>41</v>
      </c>
      <c r="M3413">
        <v>0</v>
      </c>
      <c r="O3413">
        <v>0</v>
      </c>
      <c r="P3413">
        <v>0</v>
      </c>
      <c r="Q3413">
        <v>0</v>
      </c>
      <c r="R3413">
        <v>0</v>
      </c>
      <c r="W3413" t="s">
        <v>1164</v>
      </c>
      <c r="AA3413">
        <v>2007</v>
      </c>
      <c r="AB3413">
        <v>9999</v>
      </c>
      <c r="AC3413" t="s">
        <v>35</v>
      </c>
    </row>
    <row r="3414" spans="1:29" x14ac:dyDescent="0.25">
      <c r="A3414" s="31" t="s">
        <v>734</v>
      </c>
      <c r="B3414" s="23" t="s">
        <v>735</v>
      </c>
      <c r="D3414">
        <v>1</v>
      </c>
      <c r="E3414" t="s">
        <v>736</v>
      </c>
      <c r="F3414">
        <v>4</v>
      </c>
      <c r="G3414">
        <v>2014</v>
      </c>
      <c r="I3414" s="8">
        <v>830.89</v>
      </c>
      <c r="J3414" t="s">
        <v>1343</v>
      </c>
      <c r="K3414" t="s">
        <v>32</v>
      </c>
      <c r="M3414">
        <v>0</v>
      </c>
      <c r="O3414">
        <v>0</v>
      </c>
      <c r="P3414">
        <v>0</v>
      </c>
      <c r="Q3414">
        <v>0</v>
      </c>
      <c r="R3414">
        <v>0</v>
      </c>
      <c r="W3414" t="s">
        <v>1324</v>
      </c>
      <c r="AA3414">
        <v>2007</v>
      </c>
      <c r="AB3414">
        <v>9999</v>
      </c>
      <c r="AC3414" t="s">
        <v>35</v>
      </c>
    </row>
    <row r="3415" spans="1:29" x14ac:dyDescent="0.25">
      <c r="A3415" s="31" t="s">
        <v>738</v>
      </c>
      <c r="B3415" s="25" t="s">
        <v>739</v>
      </c>
      <c r="D3415">
        <v>1</v>
      </c>
      <c r="E3415" t="s">
        <v>128</v>
      </c>
      <c r="F3415">
        <v>9</v>
      </c>
      <c r="G3415">
        <v>2014</v>
      </c>
      <c r="H3415" t="s">
        <v>1262</v>
      </c>
      <c r="J3415" t="s">
        <v>104</v>
      </c>
      <c r="K3415" t="s">
        <v>41</v>
      </c>
      <c r="M3415">
        <v>0</v>
      </c>
      <c r="O3415">
        <v>0</v>
      </c>
      <c r="P3415">
        <v>0</v>
      </c>
      <c r="Q3415">
        <v>0</v>
      </c>
      <c r="R3415">
        <v>0</v>
      </c>
      <c r="W3415" t="s">
        <v>1166</v>
      </c>
      <c r="AA3415">
        <v>2007</v>
      </c>
      <c r="AB3415">
        <v>9999</v>
      </c>
      <c r="AC3415" t="s">
        <v>35</v>
      </c>
    </row>
    <row r="3416" spans="1:29" x14ac:dyDescent="0.25">
      <c r="A3416" s="31" t="s">
        <v>745</v>
      </c>
      <c r="B3416" s="23" t="s">
        <v>746</v>
      </c>
      <c r="D3416">
        <v>1</v>
      </c>
      <c r="E3416" t="s">
        <v>468</v>
      </c>
      <c r="F3416">
        <v>7</v>
      </c>
      <c r="G3416">
        <v>2014</v>
      </c>
      <c r="I3416" s="8">
        <v>603.25</v>
      </c>
      <c r="J3416" t="s">
        <v>40</v>
      </c>
      <c r="K3416" t="s">
        <v>47</v>
      </c>
      <c r="M3416">
        <v>0</v>
      </c>
      <c r="O3416">
        <v>0</v>
      </c>
      <c r="P3416">
        <v>0</v>
      </c>
      <c r="Q3416">
        <v>0</v>
      </c>
      <c r="R3416">
        <v>0</v>
      </c>
      <c r="W3416" t="s">
        <v>1325</v>
      </c>
      <c r="AA3416">
        <v>2007</v>
      </c>
      <c r="AB3416">
        <v>9999</v>
      </c>
      <c r="AC3416" t="s">
        <v>35</v>
      </c>
    </row>
    <row r="3417" spans="1:29" x14ac:dyDescent="0.25">
      <c r="A3417" s="31" t="s">
        <v>1263</v>
      </c>
      <c r="B3417" s="23" t="s">
        <v>1264</v>
      </c>
      <c r="C3417" t="s">
        <v>1265</v>
      </c>
      <c r="D3417">
        <v>1</v>
      </c>
      <c r="E3417" t="s">
        <v>712</v>
      </c>
      <c r="F3417">
        <v>9</v>
      </c>
      <c r="G3417">
        <v>2014</v>
      </c>
      <c r="I3417" s="8">
        <v>932.75</v>
      </c>
      <c r="J3417" t="s">
        <v>104</v>
      </c>
      <c r="K3417" t="s">
        <v>47</v>
      </c>
      <c r="M3417">
        <v>1</v>
      </c>
      <c r="O3417">
        <v>0</v>
      </c>
      <c r="P3417">
        <v>0</v>
      </c>
      <c r="Q3417">
        <v>0</v>
      </c>
      <c r="R3417">
        <v>0</v>
      </c>
      <c r="W3417" t="s">
        <v>1407</v>
      </c>
      <c r="AA3417">
        <v>2009</v>
      </c>
      <c r="AB3417">
        <v>9999</v>
      </c>
      <c r="AC3417" t="s">
        <v>1239</v>
      </c>
    </row>
    <row r="3418" spans="1:29" x14ac:dyDescent="0.25">
      <c r="A3418" s="31" t="s">
        <v>754</v>
      </c>
      <c r="B3418" s="25" t="s">
        <v>755</v>
      </c>
      <c r="D3418">
        <v>1</v>
      </c>
      <c r="E3418" t="s">
        <v>85</v>
      </c>
      <c r="F3418">
        <v>1</v>
      </c>
      <c r="G3418">
        <v>2014</v>
      </c>
      <c r="H3418" t="s">
        <v>756</v>
      </c>
      <c r="J3418" t="s">
        <v>52</v>
      </c>
      <c r="K3418" t="s">
        <v>41</v>
      </c>
      <c r="M3418">
        <v>0</v>
      </c>
      <c r="O3418">
        <v>0</v>
      </c>
      <c r="P3418">
        <v>0</v>
      </c>
      <c r="Q3418">
        <v>0</v>
      </c>
      <c r="R3418">
        <v>0</v>
      </c>
      <c r="W3418" t="s">
        <v>1169</v>
      </c>
      <c r="AA3418">
        <v>2007</v>
      </c>
      <c r="AB3418">
        <v>9999</v>
      </c>
      <c r="AC3418" t="s">
        <v>35</v>
      </c>
    </row>
    <row r="3419" spans="1:29" x14ac:dyDescent="0.25">
      <c r="A3419" s="31" t="s">
        <v>758</v>
      </c>
      <c r="B3419" s="23" t="s">
        <v>759</v>
      </c>
      <c r="D3419">
        <v>1</v>
      </c>
      <c r="E3419" t="s">
        <v>760</v>
      </c>
      <c r="F3419">
        <v>7</v>
      </c>
      <c r="G3419">
        <v>2014</v>
      </c>
      <c r="I3419" s="8">
        <v>50.02</v>
      </c>
      <c r="J3419" t="s">
        <v>40</v>
      </c>
      <c r="K3419" t="s">
        <v>47</v>
      </c>
      <c r="M3419">
        <v>0</v>
      </c>
      <c r="O3419">
        <v>0</v>
      </c>
      <c r="P3419">
        <v>0</v>
      </c>
      <c r="Q3419">
        <v>0</v>
      </c>
      <c r="R3419">
        <v>0</v>
      </c>
      <c r="W3419" t="s">
        <v>1170</v>
      </c>
      <c r="AA3419">
        <v>2007</v>
      </c>
      <c r="AB3419">
        <v>9999</v>
      </c>
      <c r="AC3419" t="s">
        <v>35</v>
      </c>
    </row>
    <row r="3420" spans="1:29" x14ac:dyDescent="0.25">
      <c r="A3420" s="31" t="s">
        <v>78</v>
      </c>
      <c r="B3420" s="23" t="s">
        <v>1465</v>
      </c>
      <c r="C3420" t="s">
        <v>1466</v>
      </c>
      <c r="D3420">
        <v>1</v>
      </c>
      <c r="E3420" t="s">
        <v>80</v>
      </c>
      <c r="F3420">
        <v>8</v>
      </c>
      <c r="G3420">
        <v>2014</v>
      </c>
      <c r="I3420" s="8">
        <v>38.229999999999997</v>
      </c>
      <c r="J3420" t="s">
        <v>81</v>
      </c>
      <c r="K3420" t="s">
        <v>47</v>
      </c>
      <c r="M3420">
        <v>1</v>
      </c>
      <c r="O3420">
        <v>0</v>
      </c>
      <c r="P3420">
        <v>0</v>
      </c>
      <c r="Q3420">
        <v>0</v>
      </c>
      <c r="R3420">
        <v>0</v>
      </c>
      <c r="W3420" t="s">
        <v>1467</v>
      </c>
      <c r="AA3420">
        <v>2007</v>
      </c>
      <c r="AB3420">
        <v>9999</v>
      </c>
      <c r="AC3420" t="s">
        <v>35</v>
      </c>
    </row>
    <row r="3421" spans="1:29" x14ac:dyDescent="0.25">
      <c r="A3421" s="31" t="s">
        <v>768</v>
      </c>
      <c r="B3421" s="23" t="s">
        <v>769</v>
      </c>
      <c r="C3421" t="s">
        <v>770</v>
      </c>
      <c r="D3421">
        <v>1</v>
      </c>
      <c r="E3421" t="s">
        <v>30</v>
      </c>
      <c r="F3421">
        <v>4</v>
      </c>
      <c r="G3421">
        <v>2014</v>
      </c>
      <c r="I3421" s="8">
        <v>371.31</v>
      </c>
      <c r="J3421" t="s">
        <v>89</v>
      </c>
      <c r="K3421" t="s">
        <v>47</v>
      </c>
      <c r="M3421">
        <v>1</v>
      </c>
      <c r="O3421">
        <v>0</v>
      </c>
      <c r="P3421">
        <v>0</v>
      </c>
      <c r="Q3421">
        <v>0</v>
      </c>
      <c r="R3421">
        <v>0</v>
      </c>
      <c r="W3421" t="s">
        <v>1173</v>
      </c>
      <c r="AA3421">
        <v>2007</v>
      </c>
      <c r="AB3421">
        <v>9999</v>
      </c>
      <c r="AC3421" t="s">
        <v>35</v>
      </c>
    </row>
    <row r="3422" spans="1:29" x14ac:dyDescent="0.25">
      <c r="A3422" s="31" t="s">
        <v>772</v>
      </c>
      <c r="B3422" s="23" t="s">
        <v>773</v>
      </c>
      <c r="C3422" t="s">
        <v>774</v>
      </c>
      <c r="D3422">
        <v>1</v>
      </c>
      <c r="E3422" t="s">
        <v>358</v>
      </c>
      <c r="F3422">
        <v>1</v>
      </c>
      <c r="G3422">
        <v>2014</v>
      </c>
      <c r="I3422" s="8">
        <v>388.02</v>
      </c>
      <c r="J3422" t="s">
        <v>40</v>
      </c>
      <c r="K3422" t="s">
        <v>32</v>
      </c>
      <c r="M3422">
        <v>0</v>
      </c>
      <c r="O3422">
        <v>0</v>
      </c>
      <c r="P3422">
        <v>0</v>
      </c>
      <c r="Q3422">
        <v>0</v>
      </c>
      <c r="R3422">
        <v>0</v>
      </c>
      <c r="W3422" t="s">
        <v>1174</v>
      </c>
      <c r="AA3422">
        <v>2007</v>
      </c>
      <c r="AB3422">
        <v>9999</v>
      </c>
      <c r="AC3422" t="s">
        <v>35</v>
      </c>
    </row>
    <row r="3423" spans="1:29" x14ac:dyDescent="0.25">
      <c r="A3423" s="31" t="s">
        <v>779</v>
      </c>
      <c r="B3423" s="23" t="s">
        <v>780</v>
      </c>
      <c r="D3423">
        <v>1</v>
      </c>
      <c r="E3423" t="s">
        <v>80</v>
      </c>
      <c r="F3423">
        <v>8</v>
      </c>
      <c r="G3423">
        <v>2014</v>
      </c>
      <c r="I3423" s="8">
        <v>71.180000000000007</v>
      </c>
      <c r="J3423" t="s">
        <v>81</v>
      </c>
      <c r="K3423" t="s">
        <v>47</v>
      </c>
      <c r="M3423">
        <v>0</v>
      </c>
      <c r="O3423">
        <v>0</v>
      </c>
      <c r="P3423">
        <v>0</v>
      </c>
      <c r="Q3423">
        <v>0</v>
      </c>
      <c r="R3423">
        <v>0</v>
      </c>
      <c r="W3423" t="s">
        <v>1176</v>
      </c>
      <c r="AA3423">
        <v>2007</v>
      </c>
      <c r="AB3423">
        <v>9999</v>
      </c>
      <c r="AC3423" t="s">
        <v>35</v>
      </c>
    </row>
    <row r="3424" spans="1:29" x14ac:dyDescent="0.25">
      <c r="A3424" s="31" t="s">
        <v>782</v>
      </c>
      <c r="B3424" s="23" t="s">
        <v>783</v>
      </c>
      <c r="D3424">
        <v>1</v>
      </c>
      <c r="E3424" t="s">
        <v>784</v>
      </c>
      <c r="F3424">
        <v>6</v>
      </c>
      <c r="G3424">
        <v>2014</v>
      </c>
      <c r="I3424" s="8">
        <v>77.34</v>
      </c>
      <c r="J3424" t="s">
        <v>40</v>
      </c>
      <c r="K3424" t="s">
        <v>47</v>
      </c>
      <c r="M3424">
        <v>1</v>
      </c>
      <c r="O3424">
        <v>0</v>
      </c>
      <c r="P3424">
        <v>0</v>
      </c>
      <c r="Q3424">
        <v>0</v>
      </c>
      <c r="R3424">
        <v>0</v>
      </c>
      <c r="W3424" t="s">
        <v>1326</v>
      </c>
      <c r="AA3424">
        <v>2007</v>
      </c>
      <c r="AB3424">
        <v>9999</v>
      </c>
      <c r="AC3424" t="s">
        <v>35</v>
      </c>
    </row>
    <row r="3425" spans="1:29" x14ac:dyDescent="0.25">
      <c r="A3425" s="31" t="s">
        <v>786</v>
      </c>
      <c r="B3425" s="23" t="s">
        <v>787</v>
      </c>
      <c r="C3425" t="s">
        <v>788</v>
      </c>
      <c r="D3425">
        <v>1</v>
      </c>
      <c r="E3425" t="s">
        <v>120</v>
      </c>
      <c r="F3425">
        <v>3</v>
      </c>
      <c r="G3425">
        <v>2014</v>
      </c>
      <c r="I3425" s="8">
        <v>27.84</v>
      </c>
      <c r="J3425" t="s">
        <v>147</v>
      </c>
      <c r="K3425" t="s">
        <v>47</v>
      </c>
      <c r="M3425">
        <v>0</v>
      </c>
      <c r="O3425">
        <v>0</v>
      </c>
      <c r="P3425">
        <v>0</v>
      </c>
      <c r="Q3425">
        <v>0</v>
      </c>
      <c r="R3425">
        <v>0</v>
      </c>
      <c r="W3425" t="s">
        <v>1178</v>
      </c>
      <c r="AA3425">
        <v>2007</v>
      </c>
      <c r="AB3425">
        <v>9999</v>
      </c>
      <c r="AC3425" t="s">
        <v>35</v>
      </c>
    </row>
    <row r="3426" spans="1:29" x14ac:dyDescent="0.25">
      <c r="A3426" s="31" t="s">
        <v>790</v>
      </c>
      <c r="B3426" s="23" t="s">
        <v>791</v>
      </c>
      <c r="D3426">
        <v>1</v>
      </c>
      <c r="E3426" t="s">
        <v>80</v>
      </c>
      <c r="F3426">
        <v>8</v>
      </c>
      <c r="G3426">
        <v>2014</v>
      </c>
      <c r="I3426" s="8">
        <v>82.22</v>
      </c>
      <c r="J3426" t="s">
        <v>81</v>
      </c>
      <c r="K3426" t="s">
        <v>47</v>
      </c>
      <c r="M3426">
        <v>0</v>
      </c>
      <c r="O3426">
        <v>0</v>
      </c>
      <c r="P3426">
        <v>0</v>
      </c>
      <c r="Q3426">
        <v>0</v>
      </c>
      <c r="R3426">
        <v>0</v>
      </c>
      <c r="W3426" t="s">
        <v>1179</v>
      </c>
      <c r="AA3426">
        <v>2007</v>
      </c>
      <c r="AB3426">
        <v>9999</v>
      </c>
      <c r="AC3426" t="s">
        <v>35</v>
      </c>
    </row>
    <row r="3427" spans="1:29" ht="26.25" x14ac:dyDescent="0.25">
      <c r="A3427" s="31" t="s">
        <v>1327</v>
      </c>
      <c r="B3427" s="26" t="s">
        <v>1328</v>
      </c>
      <c r="C3427" t="s">
        <v>1329</v>
      </c>
      <c r="D3427">
        <v>1</v>
      </c>
      <c r="E3427" t="s">
        <v>218</v>
      </c>
      <c r="F3427">
        <v>2</v>
      </c>
      <c r="G3427">
        <v>2014</v>
      </c>
      <c r="I3427" s="8">
        <v>5.33</v>
      </c>
      <c r="J3427" t="s">
        <v>147</v>
      </c>
      <c r="K3427" t="s">
        <v>41</v>
      </c>
      <c r="M3427">
        <v>0</v>
      </c>
      <c r="O3427">
        <v>0</v>
      </c>
      <c r="P3427">
        <v>0</v>
      </c>
      <c r="Q3427">
        <v>0</v>
      </c>
      <c r="R3427">
        <v>0</v>
      </c>
      <c r="W3427" t="s">
        <v>1330</v>
      </c>
      <c r="AA3427">
        <v>2010</v>
      </c>
      <c r="AB3427">
        <v>9999</v>
      </c>
      <c r="AC3427" t="s">
        <v>1292</v>
      </c>
    </row>
    <row r="3428" spans="1:29" x14ac:dyDescent="0.25">
      <c r="A3428" s="31" t="s">
        <v>796</v>
      </c>
      <c r="B3428" s="23" t="s">
        <v>797</v>
      </c>
      <c r="C3428" t="s">
        <v>798</v>
      </c>
      <c r="D3428">
        <v>1</v>
      </c>
      <c r="E3428" t="s">
        <v>534</v>
      </c>
      <c r="F3428">
        <v>10</v>
      </c>
      <c r="G3428">
        <v>2014</v>
      </c>
      <c r="I3428" s="8">
        <v>2966.35</v>
      </c>
      <c r="J3428" t="s">
        <v>40</v>
      </c>
      <c r="K3428" t="s">
        <v>47</v>
      </c>
      <c r="M3428">
        <v>1</v>
      </c>
      <c r="O3428">
        <v>0</v>
      </c>
      <c r="P3428">
        <v>0</v>
      </c>
      <c r="Q3428">
        <v>0</v>
      </c>
      <c r="R3428">
        <v>0</v>
      </c>
      <c r="W3428" t="s">
        <v>1181</v>
      </c>
      <c r="AA3428">
        <v>2007</v>
      </c>
      <c r="AB3428">
        <v>9999</v>
      </c>
      <c r="AC3428" t="s">
        <v>35</v>
      </c>
    </row>
    <row r="3429" spans="1:29" x14ac:dyDescent="0.25">
      <c r="A3429" s="31" t="s">
        <v>800</v>
      </c>
      <c r="B3429" s="23" t="s">
        <v>801</v>
      </c>
      <c r="C3429" t="s">
        <v>802</v>
      </c>
      <c r="D3429">
        <v>1</v>
      </c>
      <c r="E3429" t="s">
        <v>442</v>
      </c>
      <c r="F3429">
        <v>4</v>
      </c>
      <c r="G3429">
        <v>2014</v>
      </c>
      <c r="I3429" s="8">
        <v>1593.17</v>
      </c>
      <c r="J3429" t="s">
        <v>1343</v>
      </c>
      <c r="K3429" t="s">
        <v>47</v>
      </c>
      <c r="M3429">
        <v>1</v>
      </c>
      <c r="O3429">
        <v>0</v>
      </c>
      <c r="P3429">
        <v>0</v>
      </c>
      <c r="Q3429">
        <v>0</v>
      </c>
      <c r="R3429">
        <v>0</v>
      </c>
      <c r="W3429" t="s">
        <v>1331</v>
      </c>
      <c r="AA3429">
        <v>2007</v>
      </c>
      <c r="AB3429">
        <v>9999</v>
      </c>
      <c r="AC3429" t="s">
        <v>35</v>
      </c>
    </row>
    <row r="3430" spans="1:29" x14ac:dyDescent="0.25">
      <c r="A3430" s="31" t="s">
        <v>808</v>
      </c>
      <c r="B3430" s="23" t="s">
        <v>809</v>
      </c>
      <c r="D3430">
        <v>1</v>
      </c>
      <c r="E3430" t="s">
        <v>80</v>
      </c>
      <c r="F3430">
        <v>8</v>
      </c>
      <c r="G3430">
        <v>2014</v>
      </c>
      <c r="I3430" s="8">
        <v>17.29</v>
      </c>
      <c r="J3430" t="s">
        <v>81</v>
      </c>
      <c r="K3430" t="s">
        <v>47</v>
      </c>
      <c r="M3430">
        <v>1</v>
      </c>
      <c r="O3430">
        <v>0</v>
      </c>
      <c r="P3430">
        <v>0</v>
      </c>
      <c r="Q3430">
        <v>0</v>
      </c>
      <c r="R3430">
        <v>0</v>
      </c>
      <c r="W3430" t="s">
        <v>1184</v>
      </c>
      <c r="AA3430">
        <v>2007</v>
      </c>
      <c r="AB3430">
        <v>9999</v>
      </c>
      <c r="AC3430" t="s">
        <v>35</v>
      </c>
    </row>
    <row r="3431" spans="1:29" x14ac:dyDescent="0.25">
      <c r="A3431" s="31" t="s">
        <v>472</v>
      </c>
      <c r="B3431" s="23" t="s">
        <v>811</v>
      </c>
      <c r="D3431">
        <v>1</v>
      </c>
      <c r="E3431" t="s">
        <v>681</v>
      </c>
      <c r="F3431">
        <v>3</v>
      </c>
      <c r="G3431">
        <v>2014</v>
      </c>
      <c r="I3431" t="s">
        <v>474</v>
      </c>
      <c r="J3431" t="s">
        <v>121</v>
      </c>
      <c r="K3431" t="s">
        <v>53</v>
      </c>
      <c r="L3431" t="s">
        <v>53</v>
      </c>
      <c r="M3431">
        <v>0</v>
      </c>
      <c r="O3431">
        <v>0</v>
      </c>
      <c r="P3431">
        <v>0</v>
      </c>
      <c r="Q3431">
        <v>0</v>
      </c>
      <c r="R3431">
        <v>0</v>
      </c>
      <c r="W3431" t="s">
        <v>813</v>
      </c>
      <c r="AA3431">
        <v>2007</v>
      </c>
      <c r="AB3431">
        <v>9999</v>
      </c>
      <c r="AC3431" t="s">
        <v>35</v>
      </c>
    </row>
    <row r="3432" spans="1:29" x14ac:dyDescent="0.25">
      <c r="A3432" s="31" t="s">
        <v>814</v>
      </c>
      <c r="B3432" s="23" t="s">
        <v>815</v>
      </c>
      <c r="D3432">
        <v>1</v>
      </c>
      <c r="E3432" t="s">
        <v>80</v>
      </c>
      <c r="F3432">
        <v>8</v>
      </c>
      <c r="G3432">
        <v>2014</v>
      </c>
      <c r="I3432" s="8">
        <v>72.87</v>
      </c>
      <c r="J3432" t="s">
        <v>81</v>
      </c>
      <c r="K3432" t="s">
        <v>32</v>
      </c>
      <c r="M3432">
        <v>0</v>
      </c>
      <c r="O3432">
        <v>0</v>
      </c>
      <c r="P3432">
        <v>0</v>
      </c>
      <c r="Q3432">
        <v>0</v>
      </c>
      <c r="R3432">
        <v>0</v>
      </c>
      <c r="W3432" t="s">
        <v>1432</v>
      </c>
      <c r="AA3432">
        <v>2007</v>
      </c>
      <c r="AB3432">
        <v>9999</v>
      </c>
      <c r="AC3432" t="s">
        <v>35</v>
      </c>
    </row>
    <row r="3433" spans="1:29" x14ac:dyDescent="0.25">
      <c r="A3433" s="31" t="s">
        <v>822</v>
      </c>
      <c r="B3433" s="23" t="s">
        <v>823</v>
      </c>
      <c r="D3433">
        <v>1</v>
      </c>
      <c r="E3433" t="s">
        <v>80</v>
      </c>
      <c r="F3433">
        <v>8</v>
      </c>
      <c r="G3433">
        <v>2014</v>
      </c>
      <c r="I3433" s="8">
        <v>183.51</v>
      </c>
      <c r="J3433" t="s">
        <v>81</v>
      </c>
      <c r="K3433" t="s">
        <v>47</v>
      </c>
      <c r="M3433">
        <v>0</v>
      </c>
      <c r="O3433">
        <v>0</v>
      </c>
      <c r="P3433">
        <v>0</v>
      </c>
      <c r="Q3433">
        <v>0</v>
      </c>
      <c r="R3433">
        <v>0</v>
      </c>
      <c r="W3433" t="s">
        <v>1187</v>
      </c>
      <c r="AA3433">
        <v>2007</v>
      </c>
      <c r="AB3433">
        <v>9999</v>
      </c>
      <c r="AC3433" t="s">
        <v>35</v>
      </c>
    </row>
    <row r="3434" spans="1:29" x14ac:dyDescent="0.25">
      <c r="A3434" s="31" t="s">
        <v>1374</v>
      </c>
      <c r="B3434" s="23" t="s">
        <v>1375</v>
      </c>
      <c r="D3434">
        <v>1</v>
      </c>
      <c r="E3434" t="s">
        <v>80</v>
      </c>
      <c r="F3434">
        <v>8</v>
      </c>
      <c r="G3434">
        <v>2014</v>
      </c>
      <c r="I3434" s="8">
        <v>19.100000000000001</v>
      </c>
      <c r="J3434" t="s">
        <v>81</v>
      </c>
      <c r="K3434" t="s">
        <v>47</v>
      </c>
      <c r="M3434">
        <v>1</v>
      </c>
      <c r="O3434">
        <v>0</v>
      </c>
      <c r="P3434">
        <v>0</v>
      </c>
      <c r="Q3434">
        <v>0</v>
      </c>
      <c r="R3434">
        <v>0</v>
      </c>
      <c r="W3434" t="s">
        <v>1376</v>
      </c>
      <c r="AA3434">
        <v>2011</v>
      </c>
      <c r="AB3434">
        <v>2023</v>
      </c>
      <c r="AC3434" t="s">
        <v>1377</v>
      </c>
    </row>
    <row r="3435" spans="1:29" x14ac:dyDescent="0.25">
      <c r="A3435" s="31" t="s">
        <v>825</v>
      </c>
      <c r="B3435" s="23" t="s">
        <v>826</v>
      </c>
      <c r="D3435">
        <v>1</v>
      </c>
      <c r="E3435" t="s">
        <v>80</v>
      </c>
      <c r="F3435">
        <v>8</v>
      </c>
      <c r="G3435">
        <v>2014</v>
      </c>
      <c r="I3435" s="8">
        <v>138.31</v>
      </c>
      <c r="J3435" t="s">
        <v>81</v>
      </c>
      <c r="K3435" t="s">
        <v>47</v>
      </c>
      <c r="M3435">
        <v>0</v>
      </c>
      <c r="O3435">
        <v>0</v>
      </c>
      <c r="P3435">
        <v>0</v>
      </c>
      <c r="Q3435">
        <v>0</v>
      </c>
      <c r="R3435">
        <v>0</v>
      </c>
      <c r="W3435" t="s">
        <v>1188</v>
      </c>
      <c r="AA3435">
        <v>2007</v>
      </c>
      <c r="AB3435">
        <v>9999</v>
      </c>
      <c r="AC3435" t="s">
        <v>35</v>
      </c>
    </row>
    <row r="3436" spans="1:29" x14ac:dyDescent="0.25">
      <c r="A3436" s="31" t="s">
        <v>828</v>
      </c>
      <c r="B3436" s="25" t="s">
        <v>1408</v>
      </c>
      <c r="C3436" t="s">
        <v>1409</v>
      </c>
      <c r="D3436">
        <v>1</v>
      </c>
      <c r="E3436" t="s">
        <v>80</v>
      </c>
      <c r="F3436">
        <v>8</v>
      </c>
      <c r="G3436">
        <v>2014</v>
      </c>
      <c r="I3436" s="8">
        <v>72.08</v>
      </c>
      <c r="J3436" t="s">
        <v>81</v>
      </c>
      <c r="K3436" t="s">
        <v>47</v>
      </c>
      <c r="M3436">
        <v>1</v>
      </c>
      <c r="O3436">
        <v>0</v>
      </c>
      <c r="P3436">
        <v>0</v>
      </c>
      <c r="Q3436">
        <v>0</v>
      </c>
      <c r="R3436">
        <v>0</v>
      </c>
      <c r="W3436" t="s">
        <v>1410</v>
      </c>
      <c r="AA3436">
        <v>2007</v>
      </c>
      <c r="AB3436">
        <v>9999</v>
      </c>
      <c r="AC3436" t="s">
        <v>35</v>
      </c>
    </row>
    <row r="3437" spans="1:29" x14ac:dyDescent="0.25">
      <c r="A3437" s="31" t="s">
        <v>831</v>
      </c>
      <c r="B3437" s="25" t="s">
        <v>832</v>
      </c>
      <c r="C3437" t="s">
        <v>833</v>
      </c>
      <c r="D3437">
        <v>1</v>
      </c>
      <c r="E3437" t="s">
        <v>38</v>
      </c>
      <c r="F3437">
        <v>4</v>
      </c>
      <c r="G3437">
        <v>2014</v>
      </c>
      <c r="H3437" t="s">
        <v>906</v>
      </c>
      <c r="J3437" t="s">
        <v>59</v>
      </c>
      <c r="K3437" t="s">
        <v>41</v>
      </c>
      <c r="M3437">
        <v>0</v>
      </c>
      <c r="O3437">
        <v>0</v>
      </c>
      <c r="P3437">
        <v>0</v>
      </c>
      <c r="Q3437">
        <v>0</v>
      </c>
      <c r="R3437">
        <v>0</v>
      </c>
      <c r="W3437" t="s">
        <v>1190</v>
      </c>
      <c r="AA3437">
        <v>2007</v>
      </c>
      <c r="AB3437">
        <v>9999</v>
      </c>
      <c r="AC3437" t="s">
        <v>35</v>
      </c>
    </row>
    <row r="3438" spans="1:29" x14ac:dyDescent="0.25">
      <c r="A3438" s="31" t="s">
        <v>1433</v>
      </c>
      <c r="B3438" s="23" t="s">
        <v>1434</v>
      </c>
      <c r="D3438">
        <v>1</v>
      </c>
      <c r="E3438" s="4">
        <v>133</v>
      </c>
      <c r="F3438">
        <v>1</v>
      </c>
      <c r="G3438">
        <v>2014</v>
      </c>
      <c r="I3438" s="8">
        <v>242.47</v>
      </c>
      <c r="J3438" t="s">
        <v>40</v>
      </c>
      <c r="K3438" t="s">
        <v>32</v>
      </c>
      <c r="M3438">
        <v>0</v>
      </c>
      <c r="O3438">
        <v>0</v>
      </c>
      <c r="P3438">
        <v>0</v>
      </c>
      <c r="Q3438">
        <v>0</v>
      </c>
      <c r="R3438">
        <v>0</v>
      </c>
      <c r="W3438" t="s">
        <v>1435</v>
      </c>
      <c r="AA3438">
        <v>2013</v>
      </c>
      <c r="AB3438">
        <v>9999</v>
      </c>
      <c r="AC3438" t="s">
        <v>1419</v>
      </c>
    </row>
    <row r="3439" spans="1:29" x14ac:dyDescent="0.25">
      <c r="A3439" s="31" t="s">
        <v>1194</v>
      </c>
      <c r="B3439" s="25" t="s">
        <v>1195</v>
      </c>
      <c r="D3439">
        <v>1</v>
      </c>
      <c r="E3439" t="s">
        <v>85</v>
      </c>
      <c r="F3439">
        <v>1</v>
      </c>
      <c r="G3439">
        <v>2014</v>
      </c>
      <c r="H3439" t="s">
        <v>39</v>
      </c>
      <c r="J3439" t="s">
        <v>52</v>
      </c>
      <c r="K3439" t="s">
        <v>41</v>
      </c>
      <c r="M3439">
        <v>0</v>
      </c>
      <c r="O3439">
        <v>0</v>
      </c>
      <c r="P3439">
        <v>0</v>
      </c>
      <c r="Q3439">
        <v>0</v>
      </c>
      <c r="R3439">
        <v>0</v>
      </c>
      <c r="W3439" t="s">
        <v>1267</v>
      </c>
      <c r="AA3439">
        <v>2008</v>
      </c>
      <c r="AB3439">
        <v>9999</v>
      </c>
      <c r="AC3439" t="s">
        <v>1054</v>
      </c>
    </row>
    <row r="3440" spans="1:29" x14ac:dyDescent="0.25">
      <c r="A3440" s="31" t="s">
        <v>1268</v>
      </c>
      <c r="B3440" s="23" t="s">
        <v>1262</v>
      </c>
      <c r="D3440">
        <v>1</v>
      </c>
      <c r="E3440" t="s">
        <v>300</v>
      </c>
      <c r="F3440">
        <v>9</v>
      </c>
      <c r="G3440">
        <v>2014</v>
      </c>
      <c r="I3440" s="8">
        <v>359.06</v>
      </c>
      <c r="J3440" t="s">
        <v>104</v>
      </c>
      <c r="K3440" t="s">
        <v>47</v>
      </c>
      <c r="M3440">
        <v>1</v>
      </c>
      <c r="O3440">
        <v>0</v>
      </c>
      <c r="P3440">
        <v>0</v>
      </c>
      <c r="Q3440">
        <v>0</v>
      </c>
      <c r="R3440">
        <v>0</v>
      </c>
      <c r="W3440" t="s">
        <v>1411</v>
      </c>
      <c r="AA3440">
        <v>2009</v>
      </c>
      <c r="AB3440">
        <v>9999</v>
      </c>
      <c r="AC3440" t="s">
        <v>1239</v>
      </c>
    </row>
    <row r="3441" spans="1:29" x14ac:dyDescent="0.25">
      <c r="A3441" s="31" t="s">
        <v>845</v>
      </c>
      <c r="B3441" s="23" t="s">
        <v>846</v>
      </c>
      <c r="C3441" t="s">
        <v>847</v>
      </c>
      <c r="D3441">
        <v>1</v>
      </c>
      <c r="E3441" t="s">
        <v>300</v>
      </c>
      <c r="F3441">
        <v>9</v>
      </c>
      <c r="G3441">
        <v>2014</v>
      </c>
      <c r="I3441" s="8">
        <v>471.92</v>
      </c>
      <c r="J3441" t="s">
        <v>104</v>
      </c>
      <c r="K3441" t="s">
        <v>47</v>
      </c>
      <c r="M3441">
        <v>1</v>
      </c>
      <c r="O3441">
        <v>0</v>
      </c>
      <c r="P3441">
        <v>0</v>
      </c>
      <c r="Q3441">
        <v>0</v>
      </c>
      <c r="R3441">
        <v>0</v>
      </c>
      <c r="W3441" t="s">
        <v>1412</v>
      </c>
      <c r="AA3441">
        <v>2007</v>
      </c>
      <c r="AB3441">
        <v>9999</v>
      </c>
      <c r="AC3441" t="s">
        <v>35</v>
      </c>
    </row>
    <row r="3442" spans="1:29" x14ac:dyDescent="0.25">
      <c r="A3442" s="31" t="s">
        <v>852</v>
      </c>
      <c r="B3442" s="25" t="s">
        <v>853</v>
      </c>
      <c r="D3442">
        <v>1</v>
      </c>
      <c r="E3442" t="s">
        <v>85</v>
      </c>
      <c r="F3442">
        <v>1</v>
      </c>
      <c r="G3442">
        <v>2014</v>
      </c>
      <c r="H3442" t="s">
        <v>837</v>
      </c>
      <c r="J3442" t="s">
        <v>40</v>
      </c>
      <c r="K3442" t="s">
        <v>41</v>
      </c>
      <c r="M3442">
        <v>0</v>
      </c>
      <c r="O3442">
        <v>0</v>
      </c>
      <c r="P3442">
        <v>0</v>
      </c>
      <c r="Q3442">
        <v>0</v>
      </c>
      <c r="R3442">
        <v>0</v>
      </c>
      <c r="W3442" t="s">
        <v>1191</v>
      </c>
      <c r="AA3442">
        <v>2007</v>
      </c>
      <c r="AB3442">
        <v>9999</v>
      </c>
      <c r="AC3442" t="s">
        <v>35</v>
      </c>
    </row>
    <row r="3443" spans="1:29" x14ac:dyDescent="0.25">
      <c r="A3443" s="31" t="s">
        <v>836</v>
      </c>
      <c r="B3443" s="23" t="s">
        <v>1413</v>
      </c>
      <c r="D3443">
        <v>1</v>
      </c>
      <c r="E3443" t="s">
        <v>64</v>
      </c>
      <c r="F3443">
        <v>1</v>
      </c>
      <c r="G3443">
        <v>2014</v>
      </c>
      <c r="I3443" s="8">
        <v>271.60000000000002</v>
      </c>
      <c r="J3443" s="2" t="s">
        <v>40</v>
      </c>
      <c r="K3443" t="s">
        <v>32</v>
      </c>
      <c r="M3443">
        <v>0</v>
      </c>
      <c r="O3443">
        <v>0</v>
      </c>
      <c r="P3443">
        <v>0</v>
      </c>
      <c r="Q3443">
        <v>0</v>
      </c>
      <c r="R3443">
        <v>0</v>
      </c>
      <c r="W3443" t="s">
        <v>1191</v>
      </c>
      <c r="AA3443">
        <v>2007</v>
      </c>
      <c r="AB3443">
        <v>9999</v>
      </c>
      <c r="AC3443" t="s">
        <v>35</v>
      </c>
    </row>
    <row r="3444" spans="1:29" x14ac:dyDescent="0.25">
      <c r="A3444" s="31" t="s">
        <v>857</v>
      </c>
      <c r="B3444" s="25" t="s">
        <v>858</v>
      </c>
      <c r="D3444">
        <v>1</v>
      </c>
      <c r="E3444" t="s">
        <v>859</v>
      </c>
      <c r="F3444">
        <v>5</v>
      </c>
      <c r="G3444">
        <v>2014</v>
      </c>
      <c r="I3444" s="8">
        <v>8</v>
      </c>
      <c r="J3444" t="s">
        <v>40</v>
      </c>
      <c r="K3444" t="s">
        <v>47</v>
      </c>
      <c r="M3444">
        <v>0</v>
      </c>
      <c r="O3444">
        <v>0</v>
      </c>
      <c r="P3444">
        <v>0</v>
      </c>
      <c r="Q3444">
        <v>0</v>
      </c>
      <c r="R3444">
        <v>0</v>
      </c>
      <c r="W3444" t="s">
        <v>1197</v>
      </c>
      <c r="AA3444">
        <v>2007</v>
      </c>
      <c r="AB3444">
        <v>2015</v>
      </c>
      <c r="AC3444" t="s">
        <v>861</v>
      </c>
    </row>
    <row r="3445" spans="1:29" x14ac:dyDescent="0.25">
      <c r="A3445" s="31" t="s">
        <v>862</v>
      </c>
      <c r="B3445" s="23" t="s">
        <v>863</v>
      </c>
      <c r="C3445" t="s">
        <v>864</v>
      </c>
      <c r="D3445">
        <v>1</v>
      </c>
      <c r="E3445" t="s">
        <v>442</v>
      </c>
      <c r="F3445">
        <v>4</v>
      </c>
      <c r="G3445">
        <v>2014</v>
      </c>
      <c r="I3445" s="8">
        <v>353.88</v>
      </c>
      <c r="J3445" t="s">
        <v>1343</v>
      </c>
      <c r="K3445" t="s">
        <v>47</v>
      </c>
      <c r="M3445">
        <v>1</v>
      </c>
      <c r="O3445">
        <v>0</v>
      </c>
      <c r="P3445">
        <v>0</v>
      </c>
      <c r="Q3445">
        <v>0</v>
      </c>
      <c r="R3445">
        <v>0</v>
      </c>
      <c r="W3445" t="s">
        <v>1334</v>
      </c>
      <c r="AA3445">
        <v>2007</v>
      </c>
      <c r="AB3445">
        <v>9999</v>
      </c>
      <c r="AC3445" t="s">
        <v>35</v>
      </c>
    </row>
    <row r="3446" spans="1:29" x14ac:dyDescent="0.25">
      <c r="A3446" s="31" t="s">
        <v>866</v>
      </c>
      <c r="B3446" s="23" t="s">
        <v>867</v>
      </c>
      <c r="C3446" t="s">
        <v>868</v>
      </c>
      <c r="D3446">
        <v>1</v>
      </c>
      <c r="E3446" t="s">
        <v>869</v>
      </c>
      <c r="F3446">
        <v>4</v>
      </c>
      <c r="G3446">
        <v>2014</v>
      </c>
      <c r="I3446" s="8">
        <v>188.95</v>
      </c>
      <c r="J3446" t="s">
        <v>89</v>
      </c>
      <c r="K3446" t="s">
        <v>32</v>
      </c>
      <c r="M3446">
        <v>0</v>
      </c>
      <c r="O3446">
        <v>0</v>
      </c>
      <c r="P3446">
        <v>0</v>
      </c>
      <c r="Q3446">
        <v>0</v>
      </c>
      <c r="R3446">
        <v>0</v>
      </c>
      <c r="W3446" t="s">
        <v>1199</v>
      </c>
      <c r="AA3446">
        <v>2007</v>
      </c>
      <c r="AB3446">
        <v>9999</v>
      </c>
      <c r="AC3446" t="s">
        <v>35</v>
      </c>
    </row>
    <row r="3447" spans="1:29" x14ac:dyDescent="0.25">
      <c r="A3447" s="31" t="s">
        <v>1023</v>
      </c>
      <c r="B3447" s="25" t="s">
        <v>1200</v>
      </c>
      <c r="D3447">
        <v>1</v>
      </c>
      <c r="E3447" t="s">
        <v>85</v>
      </c>
      <c r="F3447">
        <v>1</v>
      </c>
      <c r="G3447">
        <v>2014</v>
      </c>
      <c r="H3447" t="s">
        <v>39</v>
      </c>
      <c r="J3447" t="s">
        <v>40</v>
      </c>
      <c r="K3447" t="s">
        <v>41</v>
      </c>
      <c r="M3447">
        <v>0</v>
      </c>
      <c r="O3447">
        <v>0</v>
      </c>
      <c r="P3447">
        <v>0</v>
      </c>
      <c r="Q3447">
        <v>0</v>
      </c>
      <c r="R3447">
        <v>0</v>
      </c>
      <c r="W3447" t="s">
        <v>1271</v>
      </c>
      <c r="AA3447">
        <v>2007</v>
      </c>
      <c r="AB3447">
        <v>9999</v>
      </c>
      <c r="AC3447" t="s">
        <v>35</v>
      </c>
    </row>
    <row r="3448" spans="1:29" x14ac:dyDescent="0.25">
      <c r="A3448" s="31" t="s">
        <v>871</v>
      </c>
      <c r="B3448" s="23" t="s">
        <v>872</v>
      </c>
      <c r="C3448" t="s">
        <v>873</v>
      </c>
      <c r="D3448">
        <v>1</v>
      </c>
      <c r="E3448" t="s">
        <v>874</v>
      </c>
      <c r="F3448">
        <v>1</v>
      </c>
      <c r="G3448">
        <v>2014</v>
      </c>
      <c r="I3448" s="8">
        <v>1220.08</v>
      </c>
      <c r="J3448" t="s">
        <v>52</v>
      </c>
      <c r="K3448" t="s">
        <v>47</v>
      </c>
      <c r="M3448">
        <v>1</v>
      </c>
      <c r="O3448">
        <v>0</v>
      </c>
      <c r="P3448">
        <v>0</v>
      </c>
      <c r="Q3448">
        <v>0</v>
      </c>
      <c r="R3448">
        <v>0</v>
      </c>
      <c r="W3448" t="s">
        <v>1201</v>
      </c>
      <c r="AA3448">
        <v>2007</v>
      </c>
      <c r="AB3448">
        <v>9999</v>
      </c>
      <c r="AC3448" t="s">
        <v>35</v>
      </c>
    </row>
    <row r="3449" spans="1:29" x14ac:dyDescent="0.25">
      <c r="A3449" s="31" t="s">
        <v>876</v>
      </c>
      <c r="B3449" s="23" t="s">
        <v>877</v>
      </c>
      <c r="C3449" t="s">
        <v>878</v>
      </c>
      <c r="D3449">
        <v>1</v>
      </c>
      <c r="E3449" t="s">
        <v>168</v>
      </c>
      <c r="F3449">
        <v>1</v>
      </c>
      <c r="G3449">
        <v>2014</v>
      </c>
      <c r="I3449" s="8">
        <v>72.3</v>
      </c>
      <c r="J3449" t="s">
        <v>40</v>
      </c>
      <c r="K3449" t="s">
        <v>47</v>
      </c>
      <c r="M3449">
        <v>0</v>
      </c>
      <c r="O3449">
        <v>0</v>
      </c>
      <c r="P3449">
        <v>0</v>
      </c>
      <c r="Q3449">
        <v>0</v>
      </c>
      <c r="R3449">
        <v>0</v>
      </c>
      <c r="W3449" t="s">
        <v>1202</v>
      </c>
      <c r="AA3449">
        <v>2007</v>
      </c>
      <c r="AB3449">
        <v>9999</v>
      </c>
      <c r="AC3449" t="s">
        <v>35</v>
      </c>
    </row>
    <row r="3450" spans="1:29" x14ac:dyDescent="0.25">
      <c r="A3450" s="31" t="s">
        <v>1468</v>
      </c>
      <c r="B3450" s="24" t="s">
        <v>1469</v>
      </c>
      <c r="C3450" s="2"/>
      <c r="D3450" s="2">
        <v>1</v>
      </c>
      <c r="E3450" s="4">
        <v>941</v>
      </c>
      <c r="F3450">
        <v>9</v>
      </c>
      <c r="G3450" s="2">
        <v>2014</v>
      </c>
      <c r="H3450" s="2"/>
      <c r="I3450" s="10">
        <v>194.19</v>
      </c>
      <c r="J3450" t="s">
        <v>104</v>
      </c>
      <c r="K3450" t="s">
        <v>53</v>
      </c>
      <c r="L3450" t="s">
        <v>105</v>
      </c>
      <c r="M3450">
        <v>0</v>
      </c>
      <c r="O3450">
        <v>0</v>
      </c>
      <c r="P3450">
        <v>1</v>
      </c>
      <c r="Q3450">
        <v>0</v>
      </c>
      <c r="R3450">
        <v>0</v>
      </c>
      <c r="W3450" t="s">
        <v>106</v>
      </c>
      <c r="AA3450">
        <v>2014</v>
      </c>
      <c r="AB3450">
        <v>9999</v>
      </c>
      <c r="AC3450" t="s">
        <v>1449</v>
      </c>
    </row>
    <row r="3451" spans="1:29" x14ac:dyDescent="0.25">
      <c r="A3451" s="31" t="s">
        <v>880</v>
      </c>
      <c r="B3451" s="23" t="s">
        <v>881</v>
      </c>
      <c r="C3451" t="s">
        <v>882</v>
      </c>
      <c r="D3451">
        <v>1</v>
      </c>
      <c r="E3451" t="s">
        <v>103</v>
      </c>
      <c r="F3451">
        <v>9</v>
      </c>
      <c r="G3451">
        <v>2014</v>
      </c>
      <c r="I3451" s="8">
        <v>4671.54</v>
      </c>
      <c r="J3451" t="s">
        <v>104</v>
      </c>
      <c r="K3451" t="s">
        <v>53</v>
      </c>
      <c r="L3451" t="s">
        <v>105</v>
      </c>
      <c r="M3451">
        <v>0</v>
      </c>
      <c r="O3451">
        <v>0</v>
      </c>
      <c r="P3451">
        <v>1</v>
      </c>
      <c r="Q3451">
        <v>0</v>
      </c>
      <c r="R3451">
        <v>0</v>
      </c>
      <c r="W3451" t="s">
        <v>106</v>
      </c>
      <c r="AA3451">
        <v>2007</v>
      </c>
      <c r="AB3451">
        <v>9999</v>
      </c>
      <c r="AC3451" t="s">
        <v>35</v>
      </c>
    </row>
    <row r="3452" spans="1:29" x14ac:dyDescent="0.25">
      <c r="A3452" s="31" t="s">
        <v>1272</v>
      </c>
      <c r="B3452" s="23" t="s">
        <v>1273</v>
      </c>
      <c r="D3452">
        <v>1</v>
      </c>
      <c r="E3452" t="s">
        <v>1274</v>
      </c>
      <c r="F3452">
        <v>4</v>
      </c>
      <c r="G3452">
        <v>2014</v>
      </c>
      <c r="I3452" s="8">
        <v>296.51</v>
      </c>
      <c r="J3452" t="s">
        <v>31</v>
      </c>
      <c r="K3452" t="s">
        <v>47</v>
      </c>
      <c r="M3452">
        <v>1</v>
      </c>
      <c r="O3452">
        <v>0</v>
      </c>
      <c r="P3452">
        <v>0</v>
      </c>
      <c r="Q3452">
        <v>0</v>
      </c>
      <c r="R3452">
        <v>0</v>
      </c>
      <c r="W3452" t="s">
        <v>1275</v>
      </c>
      <c r="AA3452">
        <v>2009</v>
      </c>
      <c r="AB3452">
        <v>9999</v>
      </c>
      <c r="AC3452" t="s">
        <v>1239</v>
      </c>
    </row>
    <row r="3453" spans="1:29" x14ac:dyDescent="0.25">
      <c r="A3453" s="31" t="s">
        <v>883</v>
      </c>
      <c r="B3453" s="23" t="s">
        <v>884</v>
      </c>
      <c r="C3453" t="s">
        <v>885</v>
      </c>
      <c r="D3453">
        <v>1</v>
      </c>
      <c r="E3453" t="s">
        <v>45</v>
      </c>
      <c r="F3453">
        <v>4</v>
      </c>
      <c r="G3453">
        <v>2014</v>
      </c>
      <c r="I3453" s="8">
        <v>112.65</v>
      </c>
      <c r="J3453" t="s">
        <v>176</v>
      </c>
      <c r="K3453" t="s">
        <v>47</v>
      </c>
      <c r="M3453">
        <v>1</v>
      </c>
      <c r="O3453">
        <v>0</v>
      </c>
      <c r="P3453">
        <v>0</v>
      </c>
      <c r="Q3453">
        <v>0</v>
      </c>
      <c r="R3453">
        <v>0</v>
      </c>
      <c r="W3453" t="s">
        <v>1335</v>
      </c>
      <c r="AA3453">
        <v>2007</v>
      </c>
      <c r="AB3453">
        <v>9999</v>
      </c>
      <c r="AC3453" t="s">
        <v>35</v>
      </c>
    </row>
    <row r="3454" spans="1:29" x14ac:dyDescent="0.25">
      <c r="A3454" s="31" t="s">
        <v>887</v>
      </c>
      <c r="B3454" s="23" t="s">
        <v>888</v>
      </c>
      <c r="C3454" t="s">
        <v>889</v>
      </c>
      <c r="D3454">
        <v>1</v>
      </c>
      <c r="E3454" t="s">
        <v>335</v>
      </c>
      <c r="F3454">
        <v>1</v>
      </c>
      <c r="G3454">
        <v>2014</v>
      </c>
      <c r="I3454" s="8">
        <v>456.97</v>
      </c>
      <c r="J3454" t="s">
        <v>176</v>
      </c>
      <c r="K3454" t="s">
        <v>32</v>
      </c>
      <c r="M3454">
        <v>0</v>
      </c>
      <c r="O3454">
        <v>0</v>
      </c>
      <c r="P3454">
        <v>0</v>
      </c>
      <c r="Q3454">
        <v>0</v>
      </c>
      <c r="R3454">
        <v>0</v>
      </c>
      <c r="W3454" t="s">
        <v>1381</v>
      </c>
      <c r="AA3454">
        <v>2007</v>
      </c>
      <c r="AB3454">
        <v>9999</v>
      </c>
      <c r="AC3454" t="s">
        <v>35</v>
      </c>
    </row>
    <row r="3455" spans="1:29" x14ac:dyDescent="0.25">
      <c r="A3455" s="31" t="s">
        <v>894</v>
      </c>
      <c r="B3455" s="25" t="s">
        <v>895</v>
      </c>
      <c r="D3455">
        <v>1</v>
      </c>
      <c r="E3455" t="s">
        <v>38</v>
      </c>
      <c r="F3455">
        <v>4</v>
      </c>
      <c r="G3455">
        <v>2014</v>
      </c>
      <c r="H3455" t="s">
        <v>715</v>
      </c>
      <c r="J3455" s="2" t="s">
        <v>1343</v>
      </c>
      <c r="K3455" t="s">
        <v>53</v>
      </c>
      <c r="L3455" t="s">
        <v>53</v>
      </c>
      <c r="M3455">
        <v>0</v>
      </c>
      <c r="O3455">
        <v>0</v>
      </c>
      <c r="P3455">
        <v>0</v>
      </c>
      <c r="Q3455">
        <v>0</v>
      </c>
      <c r="R3455">
        <v>0</v>
      </c>
      <c r="W3455" t="s">
        <v>897</v>
      </c>
      <c r="AA3455">
        <v>2007</v>
      </c>
      <c r="AB3455">
        <v>9999</v>
      </c>
      <c r="AC3455" t="s">
        <v>35</v>
      </c>
    </row>
    <row r="3456" spans="1:29" x14ac:dyDescent="0.25">
      <c r="A3456" s="31" t="s">
        <v>900</v>
      </c>
      <c r="B3456" s="25" t="s">
        <v>901</v>
      </c>
      <c r="D3456">
        <v>1</v>
      </c>
      <c r="E3456" t="s">
        <v>38</v>
      </c>
      <c r="F3456">
        <v>4</v>
      </c>
      <c r="G3456">
        <v>2014</v>
      </c>
      <c r="H3456" t="s">
        <v>1382</v>
      </c>
      <c r="J3456" s="2" t="s">
        <v>1343</v>
      </c>
      <c r="K3456" t="s">
        <v>53</v>
      </c>
      <c r="L3456" t="s">
        <v>902</v>
      </c>
      <c r="M3456">
        <v>0</v>
      </c>
      <c r="O3456">
        <v>0</v>
      </c>
      <c r="P3456">
        <v>0</v>
      </c>
      <c r="Q3456">
        <v>0</v>
      </c>
      <c r="R3456">
        <v>0</v>
      </c>
      <c r="W3456" t="s">
        <v>903</v>
      </c>
      <c r="AA3456">
        <v>2007</v>
      </c>
      <c r="AB3456">
        <v>9999</v>
      </c>
      <c r="AC3456" t="s">
        <v>35</v>
      </c>
    </row>
    <row r="3457" spans="1:29" x14ac:dyDescent="0.25">
      <c r="A3457" s="31" t="s">
        <v>904</v>
      </c>
      <c r="B3457" s="25" t="s">
        <v>1436</v>
      </c>
      <c r="D3457">
        <v>1</v>
      </c>
      <c r="E3457" t="s">
        <v>38</v>
      </c>
      <c r="F3457">
        <v>4</v>
      </c>
      <c r="G3457">
        <v>2014</v>
      </c>
      <c r="H3457" t="s">
        <v>906</v>
      </c>
      <c r="J3457" t="s">
        <v>59</v>
      </c>
      <c r="K3457" t="s">
        <v>53</v>
      </c>
      <c r="L3457" t="s">
        <v>902</v>
      </c>
      <c r="M3457">
        <v>0</v>
      </c>
      <c r="O3457">
        <v>0</v>
      </c>
      <c r="P3457">
        <v>0</v>
      </c>
      <c r="Q3457">
        <v>0</v>
      </c>
      <c r="R3457">
        <v>0</v>
      </c>
      <c r="W3457" t="s">
        <v>907</v>
      </c>
      <c r="AA3457">
        <v>2007</v>
      </c>
      <c r="AB3457">
        <v>9999</v>
      </c>
      <c r="AC3457" t="s">
        <v>35</v>
      </c>
    </row>
    <row r="3458" spans="1:29" x14ac:dyDescent="0.25">
      <c r="A3458" s="31" t="s">
        <v>908</v>
      </c>
      <c r="B3458" s="23" t="s">
        <v>909</v>
      </c>
      <c r="C3458" t="s">
        <v>910</v>
      </c>
      <c r="D3458">
        <v>1</v>
      </c>
      <c r="E3458" t="s">
        <v>911</v>
      </c>
      <c r="F3458">
        <v>1</v>
      </c>
      <c r="G3458">
        <v>2014</v>
      </c>
      <c r="I3458" s="8">
        <v>121.09</v>
      </c>
      <c r="J3458" t="s">
        <v>176</v>
      </c>
      <c r="K3458" t="s">
        <v>47</v>
      </c>
      <c r="M3458">
        <v>1</v>
      </c>
      <c r="O3458">
        <v>0</v>
      </c>
      <c r="P3458">
        <v>0</v>
      </c>
      <c r="Q3458">
        <v>0</v>
      </c>
      <c r="R3458">
        <v>0</v>
      </c>
      <c r="W3458" t="s">
        <v>1206</v>
      </c>
      <c r="AA3458">
        <v>2007</v>
      </c>
      <c r="AB3458">
        <v>9999</v>
      </c>
      <c r="AC3458" t="s">
        <v>35</v>
      </c>
    </row>
    <row r="3459" spans="1:29" x14ac:dyDescent="0.25">
      <c r="A3459" s="31" t="s">
        <v>913</v>
      </c>
      <c r="B3459" s="23" t="s">
        <v>914</v>
      </c>
      <c r="C3459" t="s">
        <v>915</v>
      </c>
      <c r="D3459">
        <v>1</v>
      </c>
      <c r="E3459" t="s">
        <v>911</v>
      </c>
      <c r="F3459">
        <v>1</v>
      </c>
      <c r="G3459">
        <v>2014</v>
      </c>
      <c r="I3459" s="8">
        <v>11.32</v>
      </c>
      <c r="J3459" t="s">
        <v>268</v>
      </c>
      <c r="K3459" t="s">
        <v>47</v>
      </c>
      <c r="M3459">
        <v>1</v>
      </c>
      <c r="O3459">
        <v>0</v>
      </c>
      <c r="P3459">
        <v>0</v>
      </c>
      <c r="Q3459">
        <v>0</v>
      </c>
      <c r="R3459">
        <v>0</v>
      </c>
      <c r="W3459" t="s">
        <v>1276</v>
      </c>
      <c r="AA3459">
        <v>2007</v>
      </c>
      <c r="AB3459">
        <v>9999</v>
      </c>
      <c r="AC3459" t="s">
        <v>35</v>
      </c>
    </row>
    <row r="3460" spans="1:29" x14ac:dyDescent="0.25">
      <c r="A3460" s="31" t="s">
        <v>97</v>
      </c>
      <c r="B3460" s="23" t="s">
        <v>99</v>
      </c>
      <c r="C3460" t="s">
        <v>923</v>
      </c>
      <c r="D3460">
        <v>1</v>
      </c>
      <c r="E3460" t="s">
        <v>45</v>
      </c>
      <c r="F3460">
        <v>4</v>
      </c>
      <c r="G3460">
        <v>2014</v>
      </c>
      <c r="I3460" s="8">
        <v>233.3</v>
      </c>
      <c r="J3460" t="s">
        <v>89</v>
      </c>
      <c r="K3460" t="s">
        <v>47</v>
      </c>
      <c r="M3460">
        <v>1</v>
      </c>
      <c r="O3460">
        <v>0</v>
      </c>
      <c r="P3460">
        <v>0</v>
      </c>
      <c r="Q3460">
        <v>0</v>
      </c>
      <c r="R3460">
        <v>0</v>
      </c>
      <c r="W3460" t="s">
        <v>1277</v>
      </c>
      <c r="AA3460">
        <v>2007</v>
      </c>
      <c r="AB3460">
        <v>9999</v>
      </c>
      <c r="AC3460" t="s">
        <v>35</v>
      </c>
    </row>
    <row r="3461" spans="1:29" x14ac:dyDescent="0.25">
      <c r="A3461" s="31" t="s">
        <v>925</v>
      </c>
      <c r="B3461" s="23" t="s">
        <v>926</v>
      </c>
      <c r="C3461" t="s">
        <v>927</v>
      </c>
      <c r="D3461">
        <v>1</v>
      </c>
      <c r="E3461" t="s">
        <v>103</v>
      </c>
      <c r="F3461">
        <v>9</v>
      </c>
      <c r="G3461">
        <v>2014</v>
      </c>
      <c r="I3461" s="8">
        <v>2928.71</v>
      </c>
      <c r="J3461" t="s">
        <v>1343</v>
      </c>
      <c r="K3461" t="s">
        <v>53</v>
      </c>
      <c r="L3461" t="s">
        <v>105</v>
      </c>
      <c r="M3461">
        <v>0</v>
      </c>
      <c r="O3461">
        <v>0</v>
      </c>
      <c r="P3461">
        <v>0</v>
      </c>
      <c r="Q3461">
        <v>0</v>
      </c>
      <c r="R3461">
        <v>0</v>
      </c>
      <c r="W3461" t="s">
        <v>928</v>
      </c>
      <c r="AA3461">
        <v>2007</v>
      </c>
      <c r="AB3461">
        <v>9999</v>
      </c>
      <c r="AC3461" t="s">
        <v>35</v>
      </c>
    </row>
    <row r="3462" spans="1:29" x14ac:dyDescent="0.25">
      <c r="A3462" s="31" t="s">
        <v>929</v>
      </c>
      <c r="B3462" s="23" t="s">
        <v>930</v>
      </c>
      <c r="C3462" t="s">
        <v>931</v>
      </c>
      <c r="D3462">
        <v>1</v>
      </c>
      <c r="E3462" t="s">
        <v>45</v>
      </c>
      <c r="F3462">
        <v>4</v>
      </c>
      <c r="G3462">
        <v>2014</v>
      </c>
      <c r="I3462" s="8">
        <v>575.42999999999995</v>
      </c>
      <c r="J3462" s="2" t="s">
        <v>31</v>
      </c>
      <c r="K3462" t="s">
        <v>47</v>
      </c>
      <c r="M3462">
        <v>1</v>
      </c>
      <c r="O3462">
        <v>0</v>
      </c>
      <c r="P3462">
        <v>0</v>
      </c>
      <c r="Q3462">
        <v>0</v>
      </c>
      <c r="R3462">
        <v>0</v>
      </c>
      <c r="W3462" t="s">
        <v>1336</v>
      </c>
      <c r="AA3462">
        <v>2007</v>
      </c>
      <c r="AB3462">
        <v>9999</v>
      </c>
      <c r="AC3462" t="s">
        <v>35</v>
      </c>
    </row>
    <row r="3463" spans="1:29" x14ac:dyDescent="0.25">
      <c r="A3463" s="31" t="s">
        <v>1212</v>
      </c>
      <c r="B3463" s="23" t="s">
        <v>1213</v>
      </c>
      <c r="D3463">
        <v>1</v>
      </c>
      <c r="E3463" t="s">
        <v>681</v>
      </c>
      <c r="F3463">
        <v>3</v>
      </c>
      <c r="G3463">
        <v>2014</v>
      </c>
      <c r="I3463" s="8">
        <v>13.07</v>
      </c>
      <c r="J3463" t="s">
        <v>121</v>
      </c>
      <c r="K3463" t="s">
        <v>41</v>
      </c>
      <c r="M3463">
        <v>0</v>
      </c>
      <c r="O3463">
        <v>0</v>
      </c>
      <c r="P3463">
        <v>0</v>
      </c>
      <c r="Q3463">
        <v>0</v>
      </c>
      <c r="R3463">
        <v>0</v>
      </c>
      <c r="W3463" t="s">
        <v>1278</v>
      </c>
      <c r="AA3463">
        <v>2008</v>
      </c>
      <c r="AB3463">
        <v>9999</v>
      </c>
      <c r="AC3463" t="s">
        <v>1054</v>
      </c>
    </row>
    <row r="3464" spans="1:29" x14ac:dyDescent="0.25">
      <c r="A3464" s="31" t="s">
        <v>933</v>
      </c>
      <c r="B3464" s="25" t="s">
        <v>934</v>
      </c>
      <c r="C3464" t="s">
        <v>935</v>
      </c>
      <c r="D3464">
        <v>1</v>
      </c>
      <c r="E3464" t="s">
        <v>681</v>
      </c>
      <c r="F3464">
        <v>3</v>
      </c>
      <c r="G3464">
        <v>2014</v>
      </c>
      <c r="J3464" t="s">
        <v>121</v>
      </c>
      <c r="K3464" t="s">
        <v>47</v>
      </c>
      <c r="M3464">
        <v>0</v>
      </c>
      <c r="O3464">
        <v>0</v>
      </c>
      <c r="P3464">
        <v>0</v>
      </c>
      <c r="Q3464">
        <v>0</v>
      </c>
      <c r="R3464">
        <v>0</v>
      </c>
      <c r="W3464" t="s">
        <v>936</v>
      </c>
      <c r="AA3464">
        <v>2007</v>
      </c>
      <c r="AB3464">
        <v>9999</v>
      </c>
      <c r="AC3464" t="s">
        <v>35</v>
      </c>
    </row>
    <row r="3465" spans="1:29" x14ac:dyDescent="0.25">
      <c r="A3465" s="31" t="s">
        <v>937</v>
      </c>
      <c r="B3465" s="23" t="s">
        <v>938</v>
      </c>
      <c r="D3465">
        <v>1</v>
      </c>
      <c r="E3465" t="s">
        <v>103</v>
      </c>
      <c r="F3465">
        <v>9</v>
      </c>
      <c r="G3465">
        <v>2014</v>
      </c>
      <c r="I3465" s="8">
        <v>693.48</v>
      </c>
      <c r="J3465" t="s">
        <v>104</v>
      </c>
      <c r="K3465" t="s">
        <v>53</v>
      </c>
      <c r="L3465" t="s">
        <v>105</v>
      </c>
      <c r="M3465">
        <v>0</v>
      </c>
      <c r="O3465">
        <v>0</v>
      </c>
      <c r="P3465">
        <v>1</v>
      </c>
      <c r="Q3465">
        <v>0</v>
      </c>
      <c r="R3465">
        <v>0</v>
      </c>
      <c r="W3465" t="s">
        <v>106</v>
      </c>
      <c r="AA3465">
        <v>2007</v>
      </c>
      <c r="AB3465">
        <v>9999</v>
      </c>
      <c r="AC3465" t="s">
        <v>35</v>
      </c>
    </row>
    <row r="3466" spans="1:29" x14ac:dyDescent="0.25">
      <c r="A3466" s="31" t="s">
        <v>462</v>
      </c>
      <c r="B3466" s="23" t="s">
        <v>1414</v>
      </c>
      <c r="C3466" t="s">
        <v>1280</v>
      </c>
      <c r="D3466">
        <v>1</v>
      </c>
      <c r="E3466" t="s">
        <v>468</v>
      </c>
      <c r="F3466">
        <v>7</v>
      </c>
      <c r="G3466">
        <v>2014</v>
      </c>
      <c r="I3466" s="8">
        <v>99.86</v>
      </c>
      <c r="J3466" t="s">
        <v>40</v>
      </c>
      <c r="K3466" t="s">
        <v>47</v>
      </c>
      <c r="M3466">
        <v>1</v>
      </c>
      <c r="O3466">
        <v>0</v>
      </c>
      <c r="P3466">
        <v>0</v>
      </c>
      <c r="Q3466">
        <v>0</v>
      </c>
      <c r="R3466">
        <v>0</v>
      </c>
      <c r="W3466" t="s">
        <v>1118</v>
      </c>
      <c r="AA3466">
        <v>2007</v>
      </c>
      <c r="AB3466">
        <v>9999</v>
      </c>
      <c r="AC3466" t="s">
        <v>35</v>
      </c>
    </row>
    <row r="3467" spans="1:29" x14ac:dyDescent="0.25">
      <c r="A3467" s="31" t="s">
        <v>1337</v>
      </c>
      <c r="B3467" s="23" t="s">
        <v>1315</v>
      </c>
      <c r="D3467">
        <v>1</v>
      </c>
      <c r="E3467" t="s">
        <v>45</v>
      </c>
      <c r="F3467">
        <v>4</v>
      </c>
      <c r="G3467">
        <v>2014</v>
      </c>
      <c r="I3467" s="8">
        <v>337.35</v>
      </c>
      <c r="J3467" t="s">
        <v>89</v>
      </c>
      <c r="K3467" t="s">
        <v>32</v>
      </c>
      <c r="M3467">
        <v>0</v>
      </c>
      <c r="O3467">
        <v>0</v>
      </c>
      <c r="P3467">
        <v>0</v>
      </c>
      <c r="Q3467">
        <v>0</v>
      </c>
      <c r="R3467">
        <v>0</v>
      </c>
      <c r="W3467" t="s">
        <v>1338</v>
      </c>
      <c r="AA3467">
        <v>2010</v>
      </c>
      <c r="AB3467">
        <v>9999</v>
      </c>
      <c r="AC3467" t="s">
        <v>1292</v>
      </c>
    </row>
    <row r="3468" spans="1:29" x14ac:dyDescent="0.25">
      <c r="A3468" s="31" t="s">
        <v>153</v>
      </c>
      <c r="B3468" s="23" t="s">
        <v>946</v>
      </c>
      <c r="D3468">
        <v>48</v>
      </c>
      <c r="E3468" t="s">
        <v>155</v>
      </c>
      <c r="F3468">
        <v>3</v>
      </c>
      <c r="G3468">
        <v>2014</v>
      </c>
      <c r="I3468">
        <v>2830.6639287148428</v>
      </c>
      <c r="J3468" t="s">
        <v>121</v>
      </c>
      <c r="K3468" t="s">
        <v>53</v>
      </c>
      <c r="L3468" t="s">
        <v>60</v>
      </c>
      <c r="M3468">
        <v>0</v>
      </c>
      <c r="O3468">
        <v>1</v>
      </c>
      <c r="P3468">
        <v>0</v>
      </c>
      <c r="Q3468">
        <v>0</v>
      </c>
      <c r="R3468">
        <v>0</v>
      </c>
      <c r="V3468">
        <v>1</v>
      </c>
      <c r="W3468" t="s">
        <v>947</v>
      </c>
      <c r="AA3468">
        <v>2007</v>
      </c>
      <c r="AB3468">
        <v>9999</v>
      </c>
      <c r="AC3468" t="s">
        <v>35</v>
      </c>
    </row>
    <row r="3469" spans="1:29" x14ac:dyDescent="0.25">
      <c r="A3469" s="31" t="s">
        <v>950</v>
      </c>
      <c r="B3469" s="23" t="s">
        <v>951</v>
      </c>
      <c r="C3469" t="s">
        <v>952</v>
      </c>
      <c r="D3469">
        <v>1</v>
      </c>
      <c r="E3469" t="s">
        <v>218</v>
      </c>
      <c r="F3469">
        <v>2</v>
      </c>
      <c r="G3469">
        <v>2014</v>
      </c>
      <c r="I3469" s="8">
        <v>922.3</v>
      </c>
      <c r="J3469" t="s">
        <v>147</v>
      </c>
      <c r="K3469" t="s">
        <v>32</v>
      </c>
      <c r="M3469">
        <v>0</v>
      </c>
      <c r="O3469">
        <v>0</v>
      </c>
      <c r="P3469">
        <v>0</v>
      </c>
      <c r="Q3469">
        <v>0</v>
      </c>
      <c r="R3469">
        <v>0</v>
      </c>
      <c r="W3469" t="s">
        <v>1216</v>
      </c>
      <c r="AA3469">
        <v>2007</v>
      </c>
      <c r="AB3469">
        <v>9999</v>
      </c>
      <c r="AC3469" t="s">
        <v>35</v>
      </c>
    </row>
    <row r="3470" spans="1:29" x14ac:dyDescent="0.25">
      <c r="A3470" s="31" t="s">
        <v>954</v>
      </c>
      <c r="B3470" s="23" t="s">
        <v>1383</v>
      </c>
      <c r="C3470" t="s">
        <v>956</v>
      </c>
      <c r="D3470">
        <v>1</v>
      </c>
      <c r="E3470" t="s">
        <v>218</v>
      </c>
      <c r="F3470">
        <v>2</v>
      </c>
      <c r="G3470">
        <v>2014</v>
      </c>
      <c r="I3470" s="8">
        <v>109.46</v>
      </c>
      <c r="J3470" t="s">
        <v>147</v>
      </c>
      <c r="K3470" t="s">
        <v>47</v>
      </c>
      <c r="M3470">
        <v>1</v>
      </c>
      <c r="O3470">
        <v>0</v>
      </c>
      <c r="P3470">
        <v>0</v>
      </c>
      <c r="Q3470">
        <v>0</v>
      </c>
      <c r="R3470">
        <v>0</v>
      </c>
      <c r="W3470" t="s">
        <v>1384</v>
      </c>
      <c r="AA3470">
        <v>2007</v>
      </c>
      <c r="AB3470">
        <v>9999</v>
      </c>
      <c r="AC3470" t="s">
        <v>35</v>
      </c>
    </row>
    <row r="3471" spans="1:29" x14ac:dyDescent="0.25">
      <c r="A3471" s="31" t="s">
        <v>1385</v>
      </c>
      <c r="B3471" s="23" t="s">
        <v>1386</v>
      </c>
      <c r="D3471">
        <v>1</v>
      </c>
      <c r="E3471" t="s">
        <v>874</v>
      </c>
      <c r="F3471">
        <v>1</v>
      </c>
      <c r="G3471">
        <v>2014</v>
      </c>
      <c r="I3471" s="8">
        <v>31.55</v>
      </c>
      <c r="J3471" t="s">
        <v>89</v>
      </c>
      <c r="K3471" t="s">
        <v>47</v>
      </c>
      <c r="M3471">
        <v>0</v>
      </c>
      <c r="O3471">
        <v>0</v>
      </c>
      <c r="P3471">
        <v>0</v>
      </c>
      <c r="Q3471">
        <v>0</v>
      </c>
      <c r="R3471">
        <v>0</v>
      </c>
      <c r="W3471" t="s">
        <v>1387</v>
      </c>
      <c r="AA3471">
        <v>2011</v>
      </c>
      <c r="AB3471">
        <v>9999</v>
      </c>
      <c r="AC3471" t="s">
        <v>1365</v>
      </c>
    </row>
    <row r="3472" spans="1:29" x14ac:dyDescent="0.25">
      <c r="A3472" s="31" t="s">
        <v>1388</v>
      </c>
      <c r="B3472" s="23" t="s">
        <v>1389</v>
      </c>
      <c r="D3472">
        <v>1</v>
      </c>
      <c r="E3472" t="s">
        <v>1390</v>
      </c>
      <c r="F3472">
        <v>4</v>
      </c>
      <c r="G3472">
        <v>2014</v>
      </c>
      <c r="I3472" s="8">
        <v>6252.72</v>
      </c>
      <c r="J3472" t="s">
        <v>89</v>
      </c>
      <c r="K3472" t="s">
        <v>32</v>
      </c>
      <c r="M3472">
        <v>0</v>
      </c>
      <c r="O3472">
        <v>0</v>
      </c>
      <c r="P3472">
        <v>0</v>
      </c>
      <c r="Q3472">
        <v>0</v>
      </c>
      <c r="R3472">
        <v>0</v>
      </c>
      <c r="W3472" t="s">
        <v>1391</v>
      </c>
      <c r="AA3472">
        <v>2011</v>
      </c>
      <c r="AB3472">
        <v>9999</v>
      </c>
      <c r="AC3472" t="s">
        <v>1365</v>
      </c>
    </row>
    <row r="3473" spans="1:29" x14ac:dyDescent="0.25">
      <c r="A3473" s="31" t="s">
        <v>1281</v>
      </c>
      <c r="B3473" s="23" t="s">
        <v>1282</v>
      </c>
      <c r="D3473">
        <v>1</v>
      </c>
      <c r="E3473" t="s">
        <v>625</v>
      </c>
      <c r="F3473">
        <v>4</v>
      </c>
      <c r="G3473">
        <v>2014</v>
      </c>
      <c r="I3473" s="8">
        <v>1700.14</v>
      </c>
      <c r="J3473" t="s">
        <v>89</v>
      </c>
      <c r="K3473" t="s">
        <v>32</v>
      </c>
      <c r="M3473">
        <v>0</v>
      </c>
      <c r="O3473">
        <v>0</v>
      </c>
      <c r="P3473">
        <v>0</v>
      </c>
      <c r="Q3473">
        <v>0</v>
      </c>
      <c r="R3473">
        <v>0</v>
      </c>
      <c r="W3473" t="s">
        <v>1283</v>
      </c>
      <c r="AA3473">
        <v>2009</v>
      </c>
      <c r="AB3473">
        <v>9999</v>
      </c>
      <c r="AC3473" t="s">
        <v>1239</v>
      </c>
    </row>
    <row r="3474" spans="1:29" x14ac:dyDescent="0.25">
      <c r="A3474" s="31" t="s">
        <v>958</v>
      </c>
      <c r="B3474" s="25" t="s">
        <v>959</v>
      </c>
      <c r="D3474">
        <v>1</v>
      </c>
      <c r="E3474" t="s">
        <v>51</v>
      </c>
      <c r="F3474">
        <v>1</v>
      </c>
      <c r="G3474">
        <v>2014</v>
      </c>
      <c r="J3474" t="s">
        <v>52</v>
      </c>
      <c r="K3474" t="s">
        <v>53</v>
      </c>
      <c r="L3474" t="s">
        <v>54</v>
      </c>
      <c r="M3474">
        <v>0</v>
      </c>
      <c r="O3474">
        <v>0</v>
      </c>
      <c r="P3474">
        <v>0</v>
      </c>
      <c r="Q3474">
        <v>1</v>
      </c>
      <c r="R3474">
        <v>0</v>
      </c>
      <c r="W3474" t="s">
        <v>55</v>
      </c>
      <c r="AA3474">
        <v>2007</v>
      </c>
      <c r="AB3474">
        <v>9999</v>
      </c>
      <c r="AC3474" t="s">
        <v>35</v>
      </c>
    </row>
    <row r="3475" spans="1:29" x14ac:dyDescent="0.25">
      <c r="A3475" s="31" t="s">
        <v>960</v>
      </c>
      <c r="B3475" s="23" t="s">
        <v>961</v>
      </c>
      <c r="D3475">
        <v>1</v>
      </c>
      <c r="E3475" t="s">
        <v>168</v>
      </c>
      <c r="F3475">
        <v>1</v>
      </c>
      <c r="G3475">
        <v>2014</v>
      </c>
      <c r="I3475" s="8">
        <v>1932.8</v>
      </c>
      <c r="J3475" t="s">
        <v>52</v>
      </c>
      <c r="K3475" t="s">
        <v>47</v>
      </c>
      <c r="M3475">
        <v>1</v>
      </c>
      <c r="O3475">
        <v>0</v>
      </c>
      <c r="P3475">
        <v>0</v>
      </c>
      <c r="Q3475">
        <v>0</v>
      </c>
      <c r="R3475">
        <v>0</v>
      </c>
      <c r="W3475" t="s">
        <v>1218</v>
      </c>
      <c r="AA3475">
        <v>2007</v>
      </c>
      <c r="AB3475">
        <v>9999</v>
      </c>
      <c r="AC3475" t="s">
        <v>35</v>
      </c>
    </row>
    <row r="3476" spans="1:29" x14ac:dyDescent="0.25">
      <c r="A3476" s="31" t="s">
        <v>963</v>
      </c>
      <c r="B3476" s="23" t="s">
        <v>658</v>
      </c>
      <c r="D3476">
        <v>1</v>
      </c>
      <c r="E3476" t="s">
        <v>103</v>
      </c>
      <c r="F3476">
        <v>9</v>
      </c>
      <c r="G3476">
        <v>2014</v>
      </c>
      <c r="I3476" s="8">
        <v>3874.13</v>
      </c>
      <c r="J3476" t="s">
        <v>104</v>
      </c>
      <c r="K3476" t="s">
        <v>53</v>
      </c>
      <c r="L3476" t="s">
        <v>105</v>
      </c>
      <c r="M3476">
        <v>0</v>
      </c>
      <c r="O3476">
        <v>0</v>
      </c>
      <c r="P3476">
        <v>1</v>
      </c>
      <c r="Q3476">
        <v>0</v>
      </c>
      <c r="R3476">
        <v>0</v>
      </c>
      <c r="W3476" t="s">
        <v>106</v>
      </c>
      <c r="AA3476">
        <v>2007</v>
      </c>
      <c r="AB3476">
        <v>9999</v>
      </c>
      <c r="AC3476" t="s">
        <v>35</v>
      </c>
    </row>
    <row r="3477" spans="1:29" x14ac:dyDescent="0.25">
      <c r="A3477" s="31" t="s">
        <v>964</v>
      </c>
      <c r="B3477" s="23" t="s">
        <v>965</v>
      </c>
      <c r="D3477">
        <v>1</v>
      </c>
      <c r="E3477" t="s">
        <v>80</v>
      </c>
      <c r="F3477">
        <v>8</v>
      </c>
      <c r="G3477">
        <v>2014</v>
      </c>
      <c r="I3477" s="8">
        <v>66.88</v>
      </c>
      <c r="J3477" t="s">
        <v>104</v>
      </c>
      <c r="K3477" t="s">
        <v>47</v>
      </c>
      <c r="M3477">
        <v>1</v>
      </c>
      <c r="O3477">
        <v>0</v>
      </c>
      <c r="P3477">
        <v>0</v>
      </c>
      <c r="Q3477">
        <v>0</v>
      </c>
      <c r="R3477">
        <v>0</v>
      </c>
      <c r="W3477" t="s">
        <v>1219</v>
      </c>
      <c r="AA3477">
        <v>2007</v>
      </c>
      <c r="AB3477">
        <v>9999</v>
      </c>
      <c r="AC3477" t="s">
        <v>35</v>
      </c>
    </row>
    <row r="3478" spans="1:29" x14ac:dyDescent="0.25">
      <c r="A3478" s="31" t="s">
        <v>1437</v>
      </c>
      <c r="B3478" s="23" t="s">
        <v>1438</v>
      </c>
      <c r="C3478" t="s">
        <v>1439</v>
      </c>
      <c r="D3478">
        <v>1</v>
      </c>
      <c r="E3478" t="s">
        <v>103</v>
      </c>
      <c r="F3478">
        <v>9</v>
      </c>
      <c r="G3478">
        <v>2014</v>
      </c>
      <c r="I3478" s="8">
        <v>216.48</v>
      </c>
      <c r="J3478" t="s">
        <v>104</v>
      </c>
      <c r="K3478" t="s">
        <v>32</v>
      </c>
      <c r="M3478">
        <v>0</v>
      </c>
      <c r="O3478">
        <v>0</v>
      </c>
      <c r="P3478">
        <v>0</v>
      </c>
      <c r="Q3478">
        <v>0</v>
      </c>
      <c r="R3478">
        <v>0</v>
      </c>
      <c r="W3478" t="s">
        <v>1440</v>
      </c>
      <c r="AA3478">
        <v>2013</v>
      </c>
      <c r="AB3478">
        <v>9999</v>
      </c>
      <c r="AC3478" t="s">
        <v>1419</v>
      </c>
    </row>
    <row r="3479" spans="1:29" x14ac:dyDescent="0.25">
      <c r="A3479" s="31" t="s">
        <v>1441</v>
      </c>
      <c r="B3479" s="23" t="s">
        <v>1442</v>
      </c>
      <c r="C3479" t="s">
        <v>1443</v>
      </c>
      <c r="D3479">
        <v>1</v>
      </c>
      <c r="E3479" t="s">
        <v>103</v>
      </c>
      <c r="F3479">
        <v>9</v>
      </c>
      <c r="G3479">
        <v>2014</v>
      </c>
      <c r="I3479" s="8">
        <v>101.93</v>
      </c>
      <c r="J3479" t="s">
        <v>104</v>
      </c>
      <c r="K3479" t="s">
        <v>47</v>
      </c>
      <c r="M3479">
        <v>1</v>
      </c>
      <c r="O3479">
        <v>0</v>
      </c>
      <c r="P3479">
        <v>0</v>
      </c>
      <c r="Q3479">
        <v>0</v>
      </c>
      <c r="R3479">
        <v>0</v>
      </c>
      <c r="W3479" t="s">
        <v>1444</v>
      </c>
      <c r="AA3479">
        <v>2013</v>
      </c>
      <c r="AB3479">
        <v>9999</v>
      </c>
      <c r="AC3479" t="s">
        <v>1419</v>
      </c>
    </row>
    <row r="3480" spans="1:29" x14ac:dyDescent="0.25">
      <c r="A3480" s="31" t="s">
        <v>967</v>
      </c>
      <c r="B3480" s="23" t="s">
        <v>661</v>
      </c>
      <c r="D3480">
        <v>1</v>
      </c>
      <c r="E3480" t="s">
        <v>103</v>
      </c>
      <c r="F3480">
        <v>9</v>
      </c>
      <c r="G3480">
        <v>2014</v>
      </c>
      <c r="I3480" s="8">
        <v>6059.99</v>
      </c>
      <c r="J3480" t="s">
        <v>104</v>
      </c>
      <c r="K3480" t="s">
        <v>53</v>
      </c>
      <c r="L3480" t="s">
        <v>105</v>
      </c>
      <c r="M3480">
        <v>0</v>
      </c>
      <c r="O3480">
        <v>0</v>
      </c>
      <c r="P3480">
        <v>1</v>
      </c>
      <c r="Q3480">
        <v>0</v>
      </c>
      <c r="R3480">
        <v>0</v>
      </c>
      <c r="W3480" t="s">
        <v>106</v>
      </c>
      <c r="AA3480">
        <v>2007</v>
      </c>
      <c r="AB3480">
        <v>9999</v>
      </c>
      <c r="AC3480" t="s">
        <v>35</v>
      </c>
    </row>
    <row r="3481" spans="1:29" x14ac:dyDescent="0.25">
      <c r="A3481" s="31" t="s">
        <v>968</v>
      </c>
      <c r="B3481" s="25" t="s">
        <v>969</v>
      </c>
      <c r="D3481">
        <v>1</v>
      </c>
      <c r="E3481" t="s">
        <v>85</v>
      </c>
      <c r="F3481">
        <v>1</v>
      </c>
      <c r="G3481">
        <v>2014</v>
      </c>
      <c r="H3481" t="s">
        <v>970</v>
      </c>
      <c r="J3481" t="s">
        <v>176</v>
      </c>
      <c r="K3481" t="s">
        <v>41</v>
      </c>
      <c r="M3481">
        <v>0</v>
      </c>
      <c r="O3481">
        <v>0</v>
      </c>
      <c r="P3481">
        <v>0</v>
      </c>
      <c r="Q3481">
        <v>0</v>
      </c>
      <c r="R3481">
        <v>0</v>
      </c>
      <c r="W3481" t="s">
        <v>971</v>
      </c>
      <c r="AA3481">
        <v>2007</v>
      </c>
      <c r="AB3481">
        <v>9999</v>
      </c>
      <c r="AC3481" t="s">
        <v>35</v>
      </c>
    </row>
    <row r="3482" spans="1:29" x14ac:dyDescent="0.25">
      <c r="A3482" s="31" t="s">
        <v>975</v>
      </c>
      <c r="B3482" s="23" t="s">
        <v>976</v>
      </c>
      <c r="D3482">
        <v>1</v>
      </c>
      <c r="E3482" t="s">
        <v>977</v>
      </c>
      <c r="F3482">
        <v>1</v>
      </c>
      <c r="G3482">
        <v>2014</v>
      </c>
      <c r="I3482" s="8">
        <v>18.600000000000001</v>
      </c>
      <c r="J3482" t="s">
        <v>121</v>
      </c>
      <c r="K3482" t="s">
        <v>41</v>
      </c>
      <c r="M3482">
        <v>0</v>
      </c>
      <c r="O3482">
        <v>0</v>
      </c>
      <c r="P3482">
        <v>0</v>
      </c>
      <c r="Q3482">
        <v>0</v>
      </c>
      <c r="R3482">
        <v>0</v>
      </c>
      <c r="W3482" t="s">
        <v>1220</v>
      </c>
      <c r="AA3482">
        <v>2007</v>
      </c>
      <c r="AB3482">
        <v>9999</v>
      </c>
      <c r="AC3482" t="s">
        <v>35</v>
      </c>
    </row>
    <row r="3483" spans="1:29" x14ac:dyDescent="0.25">
      <c r="A3483" s="31" t="s">
        <v>985</v>
      </c>
      <c r="B3483" s="23" t="s">
        <v>986</v>
      </c>
      <c r="C3483" t="s">
        <v>987</v>
      </c>
      <c r="D3483">
        <v>1</v>
      </c>
      <c r="E3483" t="s">
        <v>988</v>
      </c>
      <c r="F3483">
        <v>4</v>
      </c>
      <c r="G3483">
        <v>2014</v>
      </c>
      <c r="I3483" s="8">
        <v>188.22</v>
      </c>
      <c r="J3483" t="s">
        <v>89</v>
      </c>
      <c r="K3483" t="s">
        <v>32</v>
      </c>
      <c r="M3483">
        <v>0</v>
      </c>
      <c r="O3483">
        <v>0</v>
      </c>
      <c r="P3483">
        <v>0</v>
      </c>
      <c r="Q3483">
        <v>0</v>
      </c>
      <c r="R3483">
        <v>0</v>
      </c>
      <c r="W3483" t="s">
        <v>1339</v>
      </c>
      <c r="AA3483">
        <v>2007</v>
      </c>
      <c r="AB3483">
        <v>9999</v>
      </c>
      <c r="AC3483" t="s">
        <v>35</v>
      </c>
    </row>
    <row r="3484" spans="1:29" x14ac:dyDescent="0.25">
      <c r="A3484" s="31" t="s">
        <v>993</v>
      </c>
      <c r="B3484" s="23" t="s">
        <v>129</v>
      </c>
      <c r="D3484">
        <v>1</v>
      </c>
      <c r="E3484" t="s">
        <v>103</v>
      </c>
      <c r="F3484">
        <v>1</v>
      </c>
      <c r="G3484">
        <v>2014</v>
      </c>
      <c r="I3484" s="8">
        <v>154.31</v>
      </c>
      <c r="J3484" t="s">
        <v>104</v>
      </c>
      <c r="K3484" t="s">
        <v>32</v>
      </c>
      <c r="M3484">
        <v>0</v>
      </c>
      <c r="O3484">
        <v>0</v>
      </c>
      <c r="P3484">
        <v>0</v>
      </c>
      <c r="Q3484">
        <v>0</v>
      </c>
      <c r="R3484">
        <v>0</v>
      </c>
      <c r="W3484" t="s">
        <v>1340</v>
      </c>
      <c r="AA3484">
        <v>2007</v>
      </c>
      <c r="AB3484">
        <v>9999</v>
      </c>
      <c r="AC3484" t="s">
        <v>35</v>
      </c>
    </row>
    <row r="3485" spans="1:29" x14ac:dyDescent="0.25">
      <c r="A3485" s="31" t="s">
        <v>1005</v>
      </c>
      <c r="B3485" s="23" t="s">
        <v>1006</v>
      </c>
      <c r="D3485">
        <v>1</v>
      </c>
      <c r="E3485" t="s">
        <v>80</v>
      </c>
      <c r="F3485">
        <v>8</v>
      </c>
      <c r="G3485">
        <v>2014</v>
      </c>
      <c r="J3485" s="2" t="s">
        <v>81</v>
      </c>
      <c r="K3485" t="s">
        <v>53</v>
      </c>
      <c r="L3485" t="s">
        <v>53</v>
      </c>
      <c r="M3485">
        <v>0</v>
      </c>
      <c r="O3485">
        <v>0</v>
      </c>
      <c r="P3485">
        <v>0</v>
      </c>
      <c r="Q3485">
        <v>0</v>
      </c>
      <c r="R3485">
        <v>0</v>
      </c>
      <c r="W3485" t="s">
        <v>1007</v>
      </c>
      <c r="AA3485">
        <v>2007</v>
      </c>
      <c r="AB3485">
        <v>2016</v>
      </c>
      <c r="AC3485" t="s">
        <v>528</v>
      </c>
    </row>
    <row r="3486" spans="1:29" x14ac:dyDescent="0.25">
      <c r="A3486" s="31" t="s">
        <v>1008</v>
      </c>
      <c r="B3486" s="23" t="s">
        <v>1009</v>
      </c>
      <c r="D3486">
        <v>1</v>
      </c>
      <c r="E3486" t="s">
        <v>155</v>
      </c>
      <c r="F3486">
        <v>3</v>
      </c>
      <c r="G3486">
        <v>2014</v>
      </c>
      <c r="I3486" s="8">
        <v>1190.73</v>
      </c>
      <c r="J3486" t="s">
        <v>121</v>
      </c>
      <c r="K3486" t="s">
        <v>47</v>
      </c>
      <c r="M3486">
        <v>0</v>
      </c>
      <c r="O3486">
        <v>0</v>
      </c>
      <c r="P3486">
        <v>0</v>
      </c>
      <c r="Q3486">
        <v>0</v>
      </c>
      <c r="R3486">
        <v>0</v>
      </c>
      <c r="W3486" t="s">
        <v>1228</v>
      </c>
      <c r="AA3486">
        <v>2007</v>
      </c>
      <c r="AB3486">
        <v>9999</v>
      </c>
      <c r="AC3486" t="s">
        <v>35</v>
      </c>
    </row>
    <row r="3487" spans="1:29" x14ac:dyDescent="0.25">
      <c r="A3487" s="31" t="s">
        <v>1011</v>
      </c>
      <c r="B3487" s="23" t="s">
        <v>1012</v>
      </c>
      <c r="D3487">
        <v>1</v>
      </c>
      <c r="E3487" t="s">
        <v>103</v>
      </c>
      <c r="F3487">
        <v>9</v>
      </c>
      <c r="G3487">
        <v>2014</v>
      </c>
      <c r="I3487" s="8">
        <v>1071.97</v>
      </c>
      <c r="J3487" t="s">
        <v>104</v>
      </c>
      <c r="K3487" t="s">
        <v>53</v>
      </c>
      <c r="L3487" t="s">
        <v>105</v>
      </c>
      <c r="M3487">
        <v>0</v>
      </c>
      <c r="O3487">
        <v>0</v>
      </c>
      <c r="P3487">
        <v>1</v>
      </c>
      <c r="Q3487">
        <v>0</v>
      </c>
      <c r="R3487">
        <v>0</v>
      </c>
      <c r="W3487" t="s">
        <v>106</v>
      </c>
      <c r="AA3487">
        <v>2007</v>
      </c>
      <c r="AB3487">
        <v>9999</v>
      </c>
      <c r="AC3487" t="s">
        <v>35</v>
      </c>
    </row>
    <row r="3488" spans="1:29" x14ac:dyDescent="0.25">
      <c r="A3488" s="31" t="s">
        <v>1013</v>
      </c>
      <c r="B3488" s="25" t="s">
        <v>1014</v>
      </c>
      <c r="D3488">
        <v>1</v>
      </c>
      <c r="E3488" t="s">
        <v>128</v>
      </c>
      <c r="F3488">
        <v>9</v>
      </c>
      <c r="G3488">
        <v>2014</v>
      </c>
      <c r="J3488" t="s">
        <v>104</v>
      </c>
      <c r="K3488" t="s">
        <v>41</v>
      </c>
      <c r="M3488">
        <v>0</v>
      </c>
      <c r="O3488">
        <v>0</v>
      </c>
      <c r="P3488">
        <v>0</v>
      </c>
      <c r="Q3488">
        <v>0</v>
      </c>
      <c r="R3488">
        <v>0</v>
      </c>
      <c r="W3488" t="s">
        <v>1229</v>
      </c>
      <c r="AA3488">
        <v>2007</v>
      </c>
      <c r="AB3488">
        <v>9999</v>
      </c>
      <c r="AC3488" t="s">
        <v>35</v>
      </c>
    </row>
    <row r="3489" spans="1:29" x14ac:dyDescent="0.25">
      <c r="A3489" s="31" t="s">
        <v>1016</v>
      </c>
      <c r="B3489" s="25" t="s">
        <v>1017</v>
      </c>
      <c r="D3489">
        <v>1</v>
      </c>
      <c r="E3489" t="s">
        <v>396</v>
      </c>
      <c r="F3489">
        <v>3</v>
      </c>
      <c r="G3489">
        <v>2014</v>
      </c>
      <c r="H3489" t="s">
        <v>1018</v>
      </c>
      <c r="J3489" t="s">
        <v>121</v>
      </c>
      <c r="K3489" t="s">
        <v>41</v>
      </c>
      <c r="M3489">
        <v>0</v>
      </c>
      <c r="O3489">
        <v>0</v>
      </c>
      <c r="P3489">
        <v>0</v>
      </c>
      <c r="Q3489">
        <v>0</v>
      </c>
      <c r="R3489">
        <v>0</v>
      </c>
      <c r="W3489" t="s">
        <v>1230</v>
      </c>
      <c r="AA3489">
        <v>2007</v>
      </c>
      <c r="AB3489">
        <v>9999</v>
      </c>
      <c r="AC3489" t="s">
        <v>35</v>
      </c>
    </row>
    <row r="3490" spans="1:29" x14ac:dyDescent="0.25">
      <c r="A3490" s="31" t="s">
        <v>1020</v>
      </c>
      <c r="B3490" s="23" t="s">
        <v>1021</v>
      </c>
      <c r="D3490">
        <v>1</v>
      </c>
      <c r="E3490" t="s">
        <v>103</v>
      </c>
      <c r="F3490">
        <v>9</v>
      </c>
      <c r="G3490">
        <v>2014</v>
      </c>
      <c r="I3490" s="8">
        <v>16.5</v>
      </c>
      <c r="J3490" t="s">
        <v>104</v>
      </c>
      <c r="K3490" t="s">
        <v>47</v>
      </c>
      <c r="M3490">
        <v>0</v>
      </c>
      <c r="O3490">
        <v>0</v>
      </c>
      <c r="P3490">
        <v>0</v>
      </c>
      <c r="Q3490">
        <v>0</v>
      </c>
      <c r="R3490">
        <v>0</v>
      </c>
      <c r="W3490" t="s">
        <v>1231</v>
      </c>
      <c r="AA3490">
        <v>2007</v>
      </c>
      <c r="AB3490">
        <v>9999</v>
      </c>
      <c r="AC3490" t="s">
        <v>35</v>
      </c>
    </row>
    <row r="3491" spans="1:29" x14ac:dyDescent="0.25">
      <c r="B3491" s="23" t="s">
        <v>1026</v>
      </c>
      <c r="D3491">
        <v>24</v>
      </c>
      <c r="F3491">
        <v>3</v>
      </c>
      <c r="G3491">
        <v>2014</v>
      </c>
      <c r="H3491" t="s">
        <v>392</v>
      </c>
      <c r="I3491" t="s">
        <v>1027</v>
      </c>
      <c r="J3491" t="s">
        <v>121</v>
      </c>
      <c r="K3491" t="s">
        <v>41</v>
      </c>
      <c r="M3491">
        <v>0</v>
      </c>
      <c r="O3491">
        <v>0</v>
      </c>
      <c r="P3491">
        <v>0</v>
      </c>
      <c r="Q3491">
        <v>0</v>
      </c>
      <c r="R3491">
        <v>0</v>
      </c>
      <c r="W3491" t="s">
        <v>1232</v>
      </c>
      <c r="AA3491">
        <v>2007</v>
      </c>
      <c r="AB3491">
        <v>9999</v>
      </c>
      <c r="AC3491" t="s">
        <v>35</v>
      </c>
    </row>
    <row r="3492" spans="1:29" x14ac:dyDescent="0.25">
      <c r="A3492" s="31" t="s">
        <v>472</v>
      </c>
      <c r="B3492" s="23" t="s">
        <v>1405</v>
      </c>
      <c r="D3492">
        <v>21</v>
      </c>
      <c r="E3492" t="s">
        <v>681</v>
      </c>
      <c r="F3492">
        <v>3</v>
      </c>
      <c r="G3492">
        <v>2014</v>
      </c>
      <c r="I3492" t="s">
        <v>474</v>
      </c>
      <c r="J3492" t="s">
        <v>121</v>
      </c>
      <c r="K3492" t="s">
        <v>76</v>
      </c>
      <c r="M3492">
        <v>0</v>
      </c>
      <c r="O3492">
        <v>0</v>
      </c>
      <c r="P3492">
        <v>0</v>
      </c>
      <c r="Q3492">
        <v>0</v>
      </c>
      <c r="R3492">
        <v>0</v>
      </c>
      <c r="W3492" t="s">
        <v>475</v>
      </c>
      <c r="AA3492">
        <v>2007</v>
      </c>
      <c r="AB3492">
        <v>9999</v>
      </c>
      <c r="AC3492" t="s">
        <v>35</v>
      </c>
    </row>
    <row r="3493" spans="1:29" x14ac:dyDescent="0.25">
      <c r="A3493" s="31" t="s">
        <v>28</v>
      </c>
      <c r="B3493" s="23" t="s">
        <v>29</v>
      </c>
      <c r="D3493">
        <v>1</v>
      </c>
      <c r="E3493" t="s">
        <v>30</v>
      </c>
      <c r="F3493">
        <v>4</v>
      </c>
      <c r="G3493">
        <v>2013</v>
      </c>
      <c r="I3493" s="8">
        <v>468.75</v>
      </c>
      <c r="J3493" s="2" t="s">
        <v>89</v>
      </c>
      <c r="K3493" t="s">
        <v>32</v>
      </c>
      <c r="L3493" t="s">
        <v>33</v>
      </c>
      <c r="O3493">
        <v>0</v>
      </c>
      <c r="P3493">
        <v>0</v>
      </c>
      <c r="Q3493">
        <v>0</v>
      </c>
      <c r="R3493">
        <v>1</v>
      </c>
      <c r="W3493" t="s">
        <v>1029</v>
      </c>
      <c r="AA3493">
        <v>2007</v>
      </c>
      <c r="AB3493">
        <v>9999</v>
      </c>
      <c r="AC3493" t="s">
        <v>35</v>
      </c>
    </row>
    <row r="3494" spans="1:29" x14ac:dyDescent="0.25">
      <c r="A3494" s="31" t="s">
        <v>36</v>
      </c>
      <c r="B3494" s="23" t="s">
        <v>37</v>
      </c>
      <c r="D3494">
        <v>1</v>
      </c>
      <c r="E3494" t="s">
        <v>38</v>
      </c>
      <c r="F3494">
        <v>4</v>
      </c>
      <c r="G3494">
        <v>2013</v>
      </c>
      <c r="H3494" t="s">
        <v>39</v>
      </c>
      <c r="J3494" s="2" t="s">
        <v>40</v>
      </c>
      <c r="K3494" t="s">
        <v>41</v>
      </c>
      <c r="O3494">
        <v>0</v>
      </c>
      <c r="P3494">
        <v>0</v>
      </c>
      <c r="Q3494">
        <v>0</v>
      </c>
      <c r="R3494">
        <v>0</v>
      </c>
      <c r="W3494" t="s">
        <v>1030</v>
      </c>
      <c r="AA3494">
        <v>2007</v>
      </c>
      <c r="AB3494">
        <v>9999</v>
      </c>
      <c r="AC3494" t="s">
        <v>35</v>
      </c>
    </row>
    <row r="3495" spans="1:29" x14ac:dyDescent="0.25">
      <c r="A3495" s="31" t="s">
        <v>43</v>
      </c>
      <c r="B3495" s="23" t="s">
        <v>44</v>
      </c>
      <c r="D3495">
        <v>1</v>
      </c>
      <c r="E3495" t="s">
        <v>45</v>
      </c>
      <c r="F3495">
        <v>4</v>
      </c>
      <c r="G3495">
        <v>2013</v>
      </c>
      <c r="I3495" s="8">
        <v>33.31</v>
      </c>
      <c r="J3495" t="s">
        <v>121</v>
      </c>
      <c r="K3495" t="s">
        <v>47</v>
      </c>
      <c r="O3495">
        <v>0</v>
      </c>
      <c r="P3495">
        <v>0</v>
      </c>
      <c r="Q3495">
        <v>0</v>
      </c>
      <c r="R3495">
        <v>0</v>
      </c>
      <c r="W3495" t="s">
        <v>1031</v>
      </c>
      <c r="AA3495">
        <v>2007</v>
      </c>
      <c r="AB3495">
        <v>9999</v>
      </c>
      <c r="AC3495" t="s">
        <v>35</v>
      </c>
    </row>
    <row r="3496" spans="1:29" x14ac:dyDescent="0.25">
      <c r="A3496" s="31" t="s">
        <v>49</v>
      </c>
      <c r="B3496" s="25" t="s">
        <v>50</v>
      </c>
      <c r="D3496">
        <v>1</v>
      </c>
      <c r="E3496" t="s">
        <v>51</v>
      </c>
      <c r="F3496">
        <v>1</v>
      </c>
      <c r="G3496">
        <v>2013</v>
      </c>
      <c r="J3496" t="s">
        <v>52</v>
      </c>
      <c r="K3496" t="s">
        <v>53</v>
      </c>
      <c r="L3496" t="s">
        <v>54</v>
      </c>
      <c r="O3496">
        <v>0</v>
      </c>
      <c r="P3496">
        <v>0</v>
      </c>
      <c r="Q3496">
        <v>1</v>
      </c>
      <c r="R3496">
        <v>0</v>
      </c>
      <c r="W3496" t="s">
        <v>55</v>
      </c>
      <c r="AA3496">
        <v>2007</v>
      </c>
      <c r="AB3496">
        <v>9999</v>
      </c>
      <c r="AC3496" t="s">
        <v>35</v>
      </c>
    </row>
    <row r="3497" spans="1:29" x14ac:dyDescent="0.25">
      <c r="A3497" s="31" t="s">
        <v>996</v>
      </c>
      <c r="B3497" s="25" t="s">
        <v>1342</v>
      </c>
      <c r="D3497">
        <v>1</v>
      </c>
      <c r="E3497" t="s">
        <v>38</v>
      </c>
      <c r="F3497">
        <v>4</v>
      </c>
      <c r="G3497">
        <v>2013</v>
      </c>
      <c r="H3497" t="s">
        <v>998</v>
      </c>
      <c r="J3497" t="s">
        <v>1343</v>
      </c>
      <c r="K3497" t="s">
        <v>41</v>
      </c>
      <c r="O3497">
        <v>0</v>
      </c>
      <c r="P3497">
        <v>0</v>
      </c>
      <c r="Q3497">
        <v>0</v>
      </c>
      <c r="R3497">
        <v>0</v>
      </c>
      <c r="W3497" t="s">
        <v>1344</v>
      </c>
      <c r="AA3497">
        <v>2007</v>
      </c>
      <c r="AB3497">
        <v>9999</v>
      </c>
      <c r="AC3497" t="s">
        <v>35</v>
      </c>
    </row>
    <row r="3498" spans="1:29" x14ac:dyDescent="0.25">
      <c r="A3498" s="31" t="s">
        <v>56</v>
      </c>
      <c r="B3498" s="23" t="s">
        <v>57</v>
      </c>
      <c r="D3498">
        <v>1</v>
      </c>
      <c r="E3498" t="s">
        <v>58</v>
      </c>
      <c r="F3498">
        <v>4</v>
      </c>
      <c r="G3498">
        <v>2013</v>
      </c>
      <c r="I3498" s="8">
        <v>20</v>
      </c>
      <c r="J3498" t="s">
        <v>59</v>
      </c>
      <c r="K3498" t="s">
        <v>53</v>
      </c>
      <c r="L3498" t="s">
        <v>60</v>
      </c>
      <c r="O3498">
        <v>1</v>
      </c>
      <c r="P3498">
        <v>0</v>
      </c>
      <c r="Q3498">
        <v>0</v>
      </c>
      <c r="R3498">
        <v>0</v>
      </c>
      <c r="W3498" t="s">
        <v>61</v>
      </c>
      <c r="AA3498">
        <v>2007</v>
      </c>
      <c r="AB3498">
        <v>9999</v>
      </c>
      <c r="AC3498" t="s">
        <v>35</v>
      </c>
    </row>
    <row r="3499" spans="1:29" x14ac:dyDescent="0.25">
      <c r="A3499" s="31" t="s">
        <v>71</v>
      </c>
      <c r="B3499" s="23" t="s">
        <v>1032</v>
      </c>
      <c r="D3499">
        <v>1</v>
      </c>
      <c r="E3499" t="s">
        <v>309</v>
      </c>
      <c r="F3499">
        <v>10</v>
      </c>
      <c r="G3499">
        <v>2013</v>
      </c>
      <c r="I3499" s="8">
        <v>11890.54</v>
      </c>
      <c r="J3499" t="s">
        <v>59</v>
      </c>
      <c r="K3499" t="s">
        <v>32</v>
      </c>
      <c r="O3499">
        <v>0</v>
      </c>
      <c r="P3499">
        <v>0</v>
      </c>
      <c r="Q3499">
        <v>0</v>
      </c>
      <c r="R3499">
        <v>0</v>
      </c>
      <c r="W3499" t="s">
        <v>1033</v>
      </c>
      <c r="AA3499">
        <v>2007</v>
      </c>
      <c r="AB3499">
        <v>9999</v>
      </c>
      <c r="AC3499" t="s">
        <v>35</v>
      </c>
    </row>
    <row r="3500" spans="1:29" x14ac:dyDescent="0.25">
      <c r="A3500" s="31" t="s">
        <v>62</v>
      </c>
      <c r="B3500" s="23" t="s">
        <v>63</v>
      </c>
      <c r="D3500">
        <v>1</v>
      </c>
      <c r="E3500" t="s">
        <v>64</v>
      </c>
      <c r="F3500">
        <v>1</v>
      </c>
      <c r="G3500">
        <v>2013</v>
      </c>
      <c r="I3500" s="8">
        <v>60.09</v>
      </c>
      <c r="J3500" t="s">
        <v>40</v>
      </c>
      <c r="K3500" t="s">
        <v>53</v>
      </c>
      <c r="L3500" t="s">
        <v>65</v>
      </c>
      <c r="O3500">
        <v>0</v>
      </c>
      <c r="P3500">
        <v>0</v>
      </c>
      <c r="Q3500">
        <v>0</v>
      </c>
      <c r="R3500">
        <v>0</v>
      </c>
      <c r="W3500" t="s">
        <v>1034</v>
      </c>
      <c r="AA3500">
        <v>2007</v>
      </c>
      <c r="AB3500">
        <v>9999</v>
      </c>
      <c r="AC3500" t="s">
        <v>35</v>
      </c>
    </row>
    <row r="3501" spans="1:29" x14ac:dyDescent="0.25">
      <c r="A3501" s="31" t="s">
        <v>74</v>
      </c>
      <c r="B3501" s="23" t="s">
        <v>75</v>
      </c>
      <c r="D3501">
        <v>1</v>
      </c>
      <c r="E3501" t="s">
        <v>58</v>
      </c>
      <c r="F3501">
        <v>4</v>
      </c>
      <c r="G3501">
        <v>2013</v>
      </c>
      <c r="I3501" s="8">
        <v>527.39</v>
      </c>
      <c r="J3501" t="s">
        <v>59</v>
      </c>
      <c r="K3501" t="s">
        <v>47</v>
      </c>
      <c r="O3501">
        <v>0</v>
      </c>
      <c r="P3501">
        <v>0</v>
      </c>
      <c r="Q3501">
        <v>0</v>
      </c>
      <c r="R3501">
        <v>0</v>
      </c>
      <c r="W3501" t="s">
        <v>1035</v>
      </c>
      <c r="AA3501">
        <v>2007</v>
      </c>
      <c r="AB3501">
        <v>9999</v>
      </c>
      <c r="AC3501" t="s">
        <v>35</v>
      </c>
    </row>
    <row r="3502" spans="1:29" x14ac:dyDescent="0.25">
      <c r="A3502" s="31" t="s">
        <v>78</v>
      </c>
      <c r="B3502" s="23" t="s">
        <v>79</v>
      </c>
      <c r="D3502">
        <v>1</v>
      </c>
      <c r="E3502" t="s">
        <v>80</v>
      </c>
      <c r="F3502">
        <v>8</v>
      </c>
      <c r="G3502">
        <v>2013</v>
      </c>
      <c r="I3502" s="8">
        <v>36.65</v>
      </c>
      <c r="J3502" t="s">
        <v>81</v>
      </c>
      <c r="K3502" t="s">
        <v>47</v>
      </c>
      <c r="O3502">
        <v>0</v>
      </c>
      <c r="P3502">
        <v>0</v>
      </c>
      <c r="Q3502">
        <v>0</v>
      </c>
      <c r="R3502">
        <v>0</v>
      </c>
      <c r="W3502" t="s">
        <v>1036</v>
      </c>
      <c r="AA3502">
        <v>2007</v>
      </c>
      <c r="AB3502">
        <v>9999</v>
      </c>
      <c r="AC3502" t="s">
        <v>35</v>
      </c>
    </row>
    <row r="3503" spans="1:29" x14ac:dyDescent="0.25">
      <c r="A3503" s="31" t="s">
        <v>83</v>
      </c>
      <c r="B3503" s="25" t="s">
        <v>84</v>
      </c>
      <c r="D3503">
        <v>1</v>
      </c>
      <c r="E3503" t="s">
        <v>85</v>
      </c>
      <c r="F3503">
        <v>1</v>
      </c>
      <c r="G3503">
        <v>2013</v>
      </c>
      <c r="H3503" t="s">
        <v>39</v>
      </c>
      <c r="J3503" s="2" t="s">
        <v>40</v>
      </c>
      <c r="K3503" t="s">
        <v>41</v>
      </c>
      <c r="O3503">
        <v>0</v>
      </c>
      <c r="P3503">
        <v>0</v>
      </c>
      <c r="Q3503">
        <v>0</v>
      </c>
      <c r="R3503">
        <v>0</v>
      </c>
      <c r="W3503" t="s">
        <v>86</v>
      </c>
      <c r="AA3503">
        <v>2007</v>
      </c>
      <c r="AB3503">
        <v>9999</v>
      </c>
      <c r="AC3503" t="s">
        <v>35</v>
      </c>
    </row>
    <row r="3504" spans="1:29" x14ac:dyDescent="0.25">
      <c r="A3504" s="31" t="s">
        <v>92</v>
      </c>
      <c r="B3504" s="23" t="s">
        <v>93</v>
      </c>
      <c r="C3504" t="s">
        <v>94</v>
      </c>
      <c r="D3504">
        <v>1</v>
      </c>
      <c r="E3504" t="s">
        <v>95</v>
      </c>
      <c r="F3504">
        <v>10</v>
      </c>
      <c r="G3504">
        <v>2013</v>
      </c>
      <c r="I3504" s="8">
        <v>26.99</v>
      </c>
      <c r="J3504" t="s">
        <v>40</v>
      </c>
      <c r="K3504" t="s">
        <v>47</v>
      </c>
      <c r="O3504">
        <v>0</v>
      </c>
      <c r="P3504">
        <v>0</v>
      </c>
      <c r="Q3504">
        <v>0</v>
      </c>
      <c r="R3504">
        <v>0</v>
      </c>
      <c r="W3504" t="s">
        <v>1346</v>
      </c>
      <c r="AA3504">
        <v>2007</v>
      </c>
      <c r="AB3504">
        <v>9999</v>
      </c>
      <c r="AC3504" t="s">
        <v>35</v>
      </c>
    </row>
    <row r="3505" spans="1:29" x14ac:dyDescent="0.25">
      <c r="A3505" s="31" t="s">
        <v>101</v>
      </c>
      <c r="B3505" s="23" t="s">
        <v>102</v>
      </c>
      <c r="D3505">
        <v>1</v>
      </c>
      <c r="E3505" t="s">
        <v>103</v>
      </c>
      <c r="F3505">
        <v>9</v>
      </c>
      <c r="G3505">
        <v>2013</v>
      </c>
      <c r="I3505" s="8">
        <v>442.3</v>
      </c>
      <c r="J3505" t="s">
        <v>104</v>
      </c>
      <c r="K3505" t="s">
        <v>53</v>
      </c>
      <c r="L3505" t="s">
        <v>105</v>
      </c>
      <c r="O3505">
        <v>0</v>
      </c>
      <c r="P3505">
        <v>1</v>
      </c>
      <c r="Q3505">
        <v>0</v>
      </c>
      <c r="R3505">
        <v>0</v>
      </c>
      <c r="W3505" t="s">
        <v>106</v>
      </c>
      <c r="AA3505">
        <v>2007</v>
      </c>
      <c r="AB3505">
        <v>9999</v>
      </c>
      <c r="AC3505" t="s">
        <v>35</v>
      </c>
    </row>
    <row r="3506" spans="1:29" x14ac:dyDescent="0.25">
      <c r="A3506" s="31" t="s">
        <v>107</v>
      </c>
      <c r="B3506" s="23" t="s">
        <v>108</v>
      </c>
      <c r="D3506">
        <v>1</v>
      </c>
      <c r="E3506" t="s">
        <v>45</v>
      </c>
      <c r="F3506">
        <v>4</v>
      </c>
      <c r="G3506">
        <v>2013</v>
      </c>
      <c r="I3506" s="8">
        <v>7</v>
      </c>
      <c r="J3506" t="s">
        <v>52</v>
      </c>
      <c r="K3506" t="s">
        <v>41</v>
      </c>
      <c r="O3506">
        <v>0</v>
      </c>
      <c r="P3506">
        <v>0</v>
      </c>
      <c r="Q3506">
        <v>0</v>
      </c>
      <c r="R3506">
        <v>0</v>
      </c>
      <c r="W3506" t="s">
        <v>109</v>
      </c>
      <c r="AA3506">
        <v>2007</v>
      </c>
      <c r="AB3506">
        <v>9999</v>
      </c>
      <c r="AC3506" t="s">
        <v>35</v>
      </c>
    </row>
    <row r="3507" spans="1:29" x14ac:dyDescent="0.25">
      <c r="A3507" s="31" t="s">
        <v>110</v>
      </c>
      <c r="B3507" s="23" t="s">
        <v>111</v>
      </c>
      <c r="D3507">
        <v>1</v>
      </c>
      <c r="E3507" t="s">
        <v>45</v>
      </c>
      <c r="F3507">
        <v>4</v>
      </c>
      <c r="G3507">
        <v>2013</v>
      </c>
      <c r="I3507" s="8">
        <v>474.48</v>
      </c>
      <c r="J3507" t="s">
        <v>89</v>
      </c>
      <c r="K3507" t="s">
        <v>47</v>
      </c>
      <c r="O3507">
        <v>0</v>
      </c>
      <c r="P3507">
        <v>0</v>
      </c>
      <c r="Q3507">
        <v>0</v>
      </c>
      <c r="R3507">
        <v>0</v>
      </c>
      <c r="W3507" t="s">
        <v>1039</v>
      </c>
      <c r="AA3507">
        <v>2007</v>
      </c>
      <c r="AB3507">
        <v>9999</v>
      </c>
      <c r="AC3507" t="s">
        <v>35</v>
      </c>
    </row>
    <row r="3508" spans="1:29" x14ac:dyDescent="0.25">
      <c r="A3508" s="31" t="s">
        <v>113</v>
      </c>
      <c r="B3508" s="23" t="s">
        <v>114</v>
      </c>
      <c r="D3508">
        <v>1</v>
      </c>
      <c r="E3508" t="s">
        <v>115</v>
      </c>
      <c r="F3508">
        <v>6</v>
      </c>
      <c r="G3508">
        <v>2013</v>
      </c>
      <c r="I3508" s="8">
        <v>197.51</v>
      </c>
      <c r="J3508" t="s">
        <v>40</v>
      </c>
      <c r="K3508" t="s">
        <v>47</v>
      </c>
      <c r="O3508">
        <v>0</v>
      </c>
      <c r="P3508">
        <v>0</v>
      </c>
      <c r="Q3508">
        <v>0</v>
      </c>
      <c r="R3508">
        <v>0</v>
      </c>
      <c r="W3508" t="s">
        <v>1415</v>
      </c>
      <c r="AA3508">
        <v>2007</v>
      </c>
      <c r="AB3508">
        <v>9999</v>
      </c>
      <c r="AC3508" t="s">
        <v>35</v>
      </c>
    </row>
    <row r="3509" spans="1:29" x14ac:dyDescent="0.25">
      <c r="A3509" s="31" t="s">
        <v>117</v>
      </c>
      <c r="B3509" s="23" t="s">
        <v>118</v>
      </c>
      <c r="C3509" t="s">
        <v>119</v>
      </c>
      <c r="D3509">
        <v>1</v>
      </c>
      <c r="E3509" t="s">
        <v>120</v>
      </c>
      <c r="F3509">
        <v>3</v>
      </c>
      <c r="G3509">
        <v>2013</v>
      </c>
      <c r="I3509" s="8">
        <v>89.71</v>
      </c>
      <c r="J3509" t="s">
        <v>121</v>
      </c>
      <c r="K3509" t="s">
        <v>47</v>
      </c>
      <c r="O3509">
        <v>0</v>
      </c>
      <c r="P3509">
        <v>0</v>
      </c>
      <c r="Q3509">
        <v>0</v>
      </c>
      <c r="R3509">
        <v>0</v>
      </c>
      <c r="W3509" t="s">
        <v>1041</v>
      </c>
      <c r="AA3509">
        <v>2007</v>
      </c>
      <c r="AB3509">
        <v>9999</v>
      </c>
      <c r="AC3509" t="s">
        <v>35</v>
      </c>
    </row>
    <row r="3510" spans="1:29" x14ac:dyDescent="0.25">
      <c r="A3510" s="31" t="s">
        <v>123</v>
      </c>
      <c r="B3510" s="23" t="s">
        <v>124</v>
      </c>
      <c r="D3510">
        <v>1</v>
      </c>
      <c r="E3510" t="s">
        <v>120</v>
      </c>
      <c r="F3510">
        <v>3</v>
      </c>
      <c r="G3510">
        <v>2013</v>
      </c>
      <c r="I3510" s="8">
        <v>51.81</v>
      </c>
      <c r="J3510" t="s">
        <v>121</v>
      </c>
      <c r="K3510" t="s">
        <v>47</v>
      </c>
      <c r="O3510">
        <v>0</v>
      </c>
      <c r="P3510">
        <v>0</v>
      </c>
      <c r="Q3510">
        <v>0</v>
      </c>
      <c r="R3510">
        <v>0</v>
      </c>
      <c r="W3510" t="s">
        <v>1042</v>
      </c>
      <c r="AA3510">
        <v>2007</v>
      </c>
      <c r="AB3510">
        <v>9999</v>
      </c>
      <c r="AC3510" t="s">
        <v>35</v>
      </c>
    </row>
    <row r="3511" spans="1:29" x14ac:dyDescent="0.25">
      <c r="A3511" s="31" t="s">
        <v>1416</v>
      </c>
      <c r="B3511" s="23" t="s">
        <v>1417</v>
      </c>
      <c r="D3511">
        <v>1</v>
      </c>
      <c r="E3511" s="5" t="s">
        <v>38</v>
      </c>
      <c r="F3511">
        <v>4</v>
      </c>
      <c r="G3511">
        <v>2013</v>
      </c>
      <c r="H3511" t="s">
        <v>998</v>
      </c>
      <c r="J3511" t="s">
        <v>1343</v>
      </c>
      <c r="K3511" t="s">
        <v>41</v>
      </c>
      <c r="O3511">
        <v>0</v>
      </c>
      <c r="P3511">
        <v>0</v>
      </c>
      <c r="Q3511">
        <v>0</v>
      </c>
      <c r="R3511">
        <v>0</v>
      </c>
      <c r="W3511" t="s">
        <v>1418</v>
      </c>
      <c r="AA3511">
        <v>2013</v>
      </c>
      <c r="AB3511">
        <v>9999</v>
      </c>
      <c r="AC3511" t="s">
        <v>1419</v>
      </c>
    </row>
    <row r="3512" spans="1:29" x14ac:dyDescent="0.25">
      <c r="A3512" s="31" t="s">
        <v>126</v>
      </c>
      <c r="B3512" s="25" t="s">
        <v>127</v>
      </c>
      <c r="D3512">
        <v>1</v>
      </c>
      <c r="E3512" t="s">
        <v>128</v>
      </c>
      <c r="F3512">
        <v>9</v>
      </c>
      <c r="G3512">
        <v>2013</v>
      </c>
      <c r="H3512" t="s">
        <v>129</v>
      </c>
      <c r="J3512" t="s">
        <v>104</v>
      </c>
      <c r="K3512" t="s">
        <v>41</v>
      </c>
      <c r="O3512">
        <v>0</v>
      </c>
      <c r="P3512">
        <v>0</v>
      </c>
      <c r="Q3512">
        <v>0</v>
      </c>
      <c r="R3512">
        <v>0</v>
      </c>
      <c r="W3512" t="s">
        <v>1043</v>
      </c>
      <c r="AA3512">
        <v>2007</v>
      </c>
      <c r="AB3512">
        <v>9999</v>
      </c>
      <c r="AC3512" t="s">
        <v>35</v>
      </c>
    </row>
    <row r="3513" spans="1:29" x14ac:dyDescent="0.25">
      <c r="A3513" s="31" t="s">
        <v>131</v>
      </c>
      <c r="B3513" s="23" t="s">
        <v>132</v>
      </c>
      <c r="C3513" t="s">
        <v>133</v>
      </c>
      <c r="D3513">
        <v>1</v>
      </c>
      <c r="E3513" t="s">
        <v>134</v>
      </c>
      <c r="F3513">
        <v>9</v>
      </c>
      <c r="G3513">
        <v>2013</v>
      </c>
      <c r="I3513" s="8">
        <v>837.54</v>
      </c>
      <c r="J3513" t="s">
        <v>104</v>
      </c>
      <c r="K3513" t="s">
        <v>47</v>
      </c>
      <c r="O3513">
        <v>0</v>
      </c>
      <c r="P3513">
        <v>0</v>
      </c>
      <c r="Q3513">
        <v>0</v>
      </c>
      <c r="R3513">
        <v>0</v>
      </c>
      <c r="W3513" t="s">
        <v>1044</v>
      </c>
      <c r="AA3513">
        <v>2007</v>
      </c>
      <c r="AB3513">
        <v>9999</v>
      </c>
      <c r="AC3513" t="s">
        <v>35</v>
      </c>
    </row>
    <row r="3514" spans="1:29" x14ac:dyDescent="0.25">
      <c r="A3514" s="31" t="s">
        <v>136</v>
      </c>
      <c r="B3514" s="25" t="s">
        <v>1286</v>
      </c>
      <c r="D3514">
        <v>1</v>
      </c>
      <c r="E3514" t="s">
        <v>103</v>
      </c>
      <c r="F3514">
        <v>9</v>
      </c>
      <c r="G3514">
        <v>2013</v>
      </c>
      <c r="I3514" s="8">
        <v>55.67</v>
      </c>
      <c r="J3514" t="s">
        <v>104</v>
      </c>
      <c r="K3514" t="s">
        <v>53</v>
      </c>
      <c r="L3514" t="s">
        <v>105</v>
      </c>
      <c r="O3514">
        <v>0</v>
      </c>
      <c r="P3514">
        <v>1</v>
      </c>
      <c r="Q3514">
        <v>0</v>
      </c>
      <c r="R3514">
        <v>0</v>
      </c>
      <c r="W3514" t="s">
        <v>106</v>
      </c>
      <c r="AA3514">
        <v>2007</v>
      </c>
      <c r="AB3514">
        <v>2013</v>
      </c>
      <c r="AC3514" t="s">
        <v>139</v>
      </c>
    </row>
    <row r="3515" spans="1:29" x14ac:dyDescent="0.25">
      <c r="A3515" s="31" t="s">
        <v>140</v>
      </c>
      <c r="B3515" s="23" t="s">
        <v>141</v>
      </c>
      <c r="D3515">
        <v>1</v>
      </c>
      <c r="E3515" t="s">
        <v>45</v>
      </c>
      <c r="F3515">
        <v>4</v>
      </c>
      <c r="G3515">
        <v>2013</v>
      </c>
      <c r="I3515" s="8">
        <v>42.18</v>
      </c>
      <c r="J3515" t="s">
        <v>121</v>
      </c>
      <c r="K3515" t="s">
        <v>47</v>
      </c>
      <c r="O3515">
        <v>0</v>
      </c>
      <c r="P3515">
        <v>0</v>
      </c>
      <c r="Q3515">
        <v>0</v>
      </c>
      <c r="R3515">
        <v>0</v>
      </c>
      <c r="W3515" t="s">
        <v>1045</v>
      </c>
      <c r="AA3515">
        <v>2007</v>
      </c>
      <c r="AB3515">
        <v>9999</v>
      </c>
      <c r="AC3515" t="s">
        <v>35</v>
      </c>
    </row>
    <row r="3516" spans="1:29" ht="30" x14ac:dyDescent="0.25">
      <c r="A3516" s="31" t="s">
        <v>143</v>
      </c>
      <c r="B3516" s="25" t="s">
        <v>144</v>
      </c>
      <c r="D3516">
        <v>1</v>
      </c>
      <c r="E3516" t="s">
        <v>145</v>
      </c>
      <c r="F3516">
        <v>2</v>
      </c>
      <c r="G3516">
        <v>2013</v>
      </c>
      <c r="H3516" t="s">
        <v>146</v>
      </c>
      <c r="J3516" s="2" t="s">
        <v>147</v>
      </c>
      <c r="K3516" t="s">
        <v>41</v>
      </c>
      <c r="O3516">
        <v>0</v>
      </c>
      <c r="P3516">
        <v>0</v>
      </c>
      <c r="Q3516">
        <v>0</v>
      </c>
      <c r="R3516">
        <v>0</v>
      </c>
      <c r="W3516" t="s">
        <v>1046</v>
      </c>
      <c r="AA3516">
        <v>2007</v>
      </c>
      <c r="AB3516">
        <v>9999</v>
      </c>
      <c r="AC3516" t="s">
        <v>35</v>
      </c>
    </row>
    <row r="3517" spans="1:29" x14ac:dyDescent="0.25">
      <c r="A3517" s="31" t="s">
        <v>353</v>
      </c>
      <c r="B3517" s="23" t="s">
        <v>1233</v>
      </c>
      <c r="C3517" t="s">
        <v>1234</v>
      </c>
      <c r="D3517">
        <v>1</v>
      </c>
      <c r="E3517" t="s">
        <v>58</v>
      </c>
      <c r="F3517">
        <v>4</v>
      </c>
      <c r="G3517">
        <v>2013</v>
      </c>
      <c r="I3517" s="8">
        <v>81.25</v>
      </c>
      <c r="J3517" t="s">
        <v>59</v>
      </c>
      <c r="K3517" t="s">
        <v>47</v>
      </c>
      <c r="O3517">
        <v>0</v>
      </c>
      <c r="P3517">
        <v>0</v>
      </c>
      <c r="Q3517">
        <v>0</v>
      </c>
      <c r="R3517">
        <v>0</v>
      </c>
      <c r="W3517" t="s">
        <v>1235</v>
      </c>
      <c r="AA3517">
        <v>2007</v>
      </c>
      <c r="AB3517">
        <v>9999</v>
      </c>
      <c r="AC3517" t="s">
        <v>35</v>
      </c>
    </row>
    <row r="3518" spans="1:29" x14ac:dyDescent="0.25">
      <c r="A3518" s="31" t="s">
        <v>1236</v>
      </c>
      <c r="B3518" s="23" t="s">
        <v>1237</v>
      </c>
      <c r="D3518">
        <v>1</v>
      </c>
      <c r="E3518" t="s">
        <v>155</v>
      </c>
      <c r="F3518">
        <v>3</v>
      </c>
      <c r="G3518">
        <v>2013</v>
      </c>
      <c r="H3518" t="s">
        <v>154</v>
      </c>
      <c r="I3518" s="8">
        <v>4.7</v>
      </c>
      <c r="J3518" t="s">
        <v>121</v>
      </c>
      <c r="K3518" t="s">
        <v>41</v>
      </c>
      <c r="O3518">
        <v>0</v>
      </c>
      <c r="P3518">
        <v>0</v>
      </c>
      <c r="Q3518">
        <v>0</v>
      </c>
      <c r="R3518">
        <v>0</v>
      </c>
      <c r="W3518" t="s">
        <v>1347</v>
      </c>
      <c r="AA3518">
        <v>2009</v>
      </c>
      <c r="AB3518">
        <v>9999</v>
      </c>
      <c r="AC3518" t="s">
        <v>1239</v>
      </c>
    </row>
    <row r="3519" spans="1:29" x14ac:dyDescent="0.25">
      <c r="A3519" s="31" t="s">
        <v>153</v>
      </c>
      <c r="B3519" s="23" t="s">
        <v>154</v>
      </c>
      <c r="D3519">
        <v>1</v>
      </c>
      <c r="E3519" t="s">
        <v>155</v>
      </c>
      <c r="F3519">
        <v>3</v>
      </c>
      <c r="G3519">
        <v>2013</v>
      </c>
      <c r="I3519" s="8">
        <v>311.11669999999998</v>
      </c>
      <c r="J3519" t="s">
        <v>121</v>
      </c>
      <c r="K3519" t="s">
        <v>47</v>
      </c>
      <c r="O3519">
        <v>0</v>
      </c>
      <c r="P3519">
        <v>0</v>
      </c>
      <c r="Q3519">
        <v>0</v>
      </c>
      <c r="R3519">
        <v>0</v>
      </c>
      <c r="V3519">
        <v>1</v>
      </c>
      <c r="W3519" t="s">
        <v>1047</v>
      </c>
      <c r="AA3519">
        <v>2007</v>
      </c>
      <c r="AB3519">
        <v>9999</v>
      </c>
      <c r="AC3519" t="s">
        <v>35</v>
      </c>
    </row>
    <row r="3520" spans="1:29" x14ac:dyDescent="0.25">
      <c r="A3520" s="31" t="s">
        <v>159</v>
      </c>
      <c r="B3520" s="23" t="s">
        <v>160</v>
      </c>
      <c r="D3520">
        <v>1</v>
      </c>
      <c r="E3520" t="s">
        <v>155</v>
      </c>
      <c r="F3520">
        <v>3</v>
      </c>
      <c r="G3520">
        <v>2013</v>
      </c>
      <c r="I3520" s="8">
        <v>420.45</v>
      </c>
      <c r="J3520" t="s">
        <v>121</v>
      </c>
      <c r="K3520" t="s">
        <v>47</v>
      </c>
      <c r="O3520">
        <v>0</v>
      </c>
      <c r="P3520">
        <v>0</v>
      </c>
      <c r="Q3520">
        <v>0</v>
      </c>
      <c r="R3520">
        <v>0</v>
      </c>
      <c r="W3520" t="s">
        <v>1048</v>
      </c>
      <c r="AA3520">
        <v>2007</v>
      </c>
      <c r="AB3520">
        <v>9999</v>
      </c>
      <c r="AC3520" t="s">
        <v>35</v>
      </c>
    </row>
    <row r="3521" spans="1:29" x14ac:dyDescent="0.25">
      <c r="A3521" s="31" t="s">
        <v>165</v>
      </c>
      <c r="B3521" s="23" t="s">
        <v>166</v>
      </c>
      <c r="C3521" t="s">
        <v>167</v>
      </c>
      <c r="D3521">
        <v>1</v>
      </c>
      <c r="E3521" t="s">
        <v>168</v>
      </c>
      <c r="F3521">
        <v>1</v>
      </c>
      <c r="G3521">
        <v>2013</v>
      </c>
      <c r="I3521" s="8">
        <v>159.19999999999999</v>
      </c>
      <c r="J3521" t="s">
        <v>52</v>
      </c>
      <c r="K3521" t="s">
        <v>47</v>
      </c>
      <c r="O3521">
        <v>0</v>
      </c>
      <c r="P3521">
        <v>0</v>
      </c>
      <c r="Q3521">
        <v>0</v>
      </c>
      <c r="R3521">
        <v>0</v>
      </c>
      <c r="W3521" t="s">
        <v>1348</v>
      </c>
      <c r="AA3521">
        <v>2007</v>
      </c>
      <c r="AB3521">
        <v>9999</v>
      </c>
      <c r="AC3521" t="s">
        <v>35</v>
      </c>
    </row>
    <row r="3522" spans="1:29" x14ac:dyDescent="0.25">
      <c r="A3522" s="31" t="s">
        <v>165</v>
      </c>
      <c r="B3522" s="25" t="s">
        <v>1349</v>
      </c>
      <c r="D3522">
        <v>1</v>
      </c>
      <c r="E3522" t="s">
        <v>38</v>
      </c>
      <c r="F3522">
        <v>4</v>
      </c>
      <c r="G3522">
        <v>2013</v>
      </c>
      <c r="H3522" t="s">
        <v>205</v>
      </c>
      <c r="J3522" t="s">
        <v>89</v>
      </c>
      <c r="K3522" t="s">
        <v>41</v>
      </c>
      <c r="O3522">
        <v>0</v>
      </c>
      <c r="P3522">
        <v>0</v>
      </c>
      <c r="Q3522">
        <v>0</v>
      </c>
      <c r="R3522">
        <v>0</v>
      </c>
      <c r="W3522" t="s">
        <v>1350</v>
      </c>
      <c r="AA3522">
        <v>2007</v>
      </c>
      <c r="AB3522">
        <v>9999</v>
      </c>
      <c r="AC3522" t="s">
        <v>35</v>
      </c>
    </row>
    <row r="3523" spans="1:29" x14ac:dyDescent="0.25">
      <c r="A3523" s="31" t="s">
        <v>170</v>
      </c>
      <c r="B3523" s="23" t="s">
        <v>171</v>
      </c>
      <c r="D3523">
        <v>1</v>
      </c>
      <c r="E3523" t="s">
        <v>30</v>
      </c>
      <c r="F3523">
        <v>4</v>
      </c>
      <c r="G3523">
        <v>2013</v>
      </c>
      <c r="I3523" s="8">
        <v>41.8</v>
      </c>
      <c r="J3523" t="s">
        <v>89</v>
      </c>
      <c r="K3523" t="s">
        <v>47</v>
      </c>
      <c r="O3523">
        <v>0</v>
      </c>
      <c r="P3523">
        <v>0</v>
      </c>
      <c r="Q3523">
        <v>0</v>
      </c>
      <c r="R3523">
        <v>0</v>
      </c>
      <c r="W3523" t="s">
        <v>1050</v>
      </c>
      <c r="AA3523">
        <v>2007</v>
      </c>
      <c r="AB3523">
        <v>9999</v>
      </c>
      <c r="AC3523" t="s">
        <v>35</v>
      </c>
    </row>
    <row r="3524" spans="1:29" x14ac:dyDescent="0.25">
      <c r="A3524" s="31" t="s">
        <v>1051</v>
      </c>
      <c r="B3524" s="23" t="s">
        <v>1052</v>
      </c>
      <c r="D3524">
        <v>1</v>
      </c>
      <c r="E3524" t="s">
        <v>30</v>
      </c>
      <c r="F3524">
        <v>4</v>
      </c>
      <c r="G3524">
        <v>2013</v>
      </c>
      <c r="I3524" s="8">
        <v>82.35</v>
      </c>
      <c r="J3524" t="s">
        <v>89</v>
      </c>
      <c r="K3524" t="s">
        <v>47</v>
      </c>
      <c r="O3524">
        <v>0</v>
      </c>
      <c r="P3524">
        <v>0</v>
      </c>
      <c r="Q3524">
        <v>0</v>
      </c>
      <c r="R3524">
        <v>0</v>
      </c>
      <c r="W3524" t="s">
        <v>1053</v>
      </c>
      <c r="AA3524">
        <v>2008</v>
      </c>
      <c r="AB3524">
        <v>9999</v>
      </c>
      <c r="AC3524" t="s">
        <v>1054</v>
      </c>
    </row>
    <row r="3525" spans="1:29" x14ac:dyDescent="0.25">
      <c r="A3525" s="31" t="s">
        <v>1420</v>
      </c>
      <c r="B3525" s="23" t="s">
        <v>1421</v>
      </c>
      <c r="D3525">
        <v>1</v>
      </c>
      <c r="E3525" s="5">
        <v>10</v>
      </c>
      <c r="F3525">
        <v>10</v>
      </c>
      <c r="G3525">
        <v>2013</v>
      </c>
      <c r="I3525" s="8">
        <v>18</v>
      </c>
      <c r="J3525" t="s">
        <v>40</v>
      </c>
      <c r="K3525" t="s">
        <v>41</v>
      </c>
      <c r="O3525">
        <v>0</v>
      </c>
      <c r="P3525">
        <v>0</v>
      </c>
      <c r="Q3525">
        <v>0</v>
      </c>
      <c r="R3525">
        <v>0</v>
      </c>
      <c r="W3525" t="s">
        <v>1422</v>
      </c>
      <c r="AA3525">
        <v>2013</v>
      </c>
      <c r="AB3525">
        <v>2016</v>
      </c>
      <c r="AC3525" t="s">
        <v>1423</v>
      </c>
    </row>
    <row r="3526" spans="1:29" x14ac:dyDescent="0.25">
      <c r="A3526" s="31" t="s">
        <v>173</v>
      </c>
      <c r="B3526" s="23" t="s">
        <v>174</v>
      </c>
      <c r="C3526" t="s">
        <v>175</v>
      </c>
      <c r="D3526">
        <v>1</v>
      </c>
      <c r="E3526" t="s">
        <v>45</v>
      </c>
      <c r="F3526">
        <v>4</v>
      </c>
      <c r="G3526">
        <v>2013</v>
      </c>
      <c r="I3526" s="8">
        <v>134.94999999999999</v>
      </c>
      <c r="J3526" t="s">
        <v>176</v>
      </c>
      <c r="K3526" t="s">
        <v>32</v>
      </c>
      <c r="O3526">
        <v>0</v>
      </c>
      <c r="P3526">
        <v>0</v>
      </c>
      <c r="Q3526">
        <v>0</v>
      </c>
      <c r="R3526">
        <v>0</v>
      </c>
      <c r="W3526" t="s">
        <v>1055</v>
      </c>
      <c r="AA3526">
        <v>2007</v>
      </c>
      <c r="AB3526">
        <v>9999</v>
      </c>
      <c r="AC3526" t="s">
        <v>35</v>
      </c>
    </row>
    <row r="3527" spans="1:29" x14ac:dyDescent="0.25">
      <c r="A3527" s="31" t="s">
        <v>178</v>
      </c>
      <c r="B3527" s="23" t="s">
        <v>1424</v>
      </c>
      <c r="C3527" t="s">
        <v>1425</v>
      </c>
      <c r="D3527">
        <v>1</v>
      </c>
      <c r="E3527" t="s">
        <v>45</v>
      </c>
      <c r="F3527">
        <v>4</v>
      </c>
      <c r="G3527">
        <v>2013</v>
      </c>
      <c r="I3527" s="8">
        <v>16.55</v>
      </c>
      <c r="J3527" t="s">
        <v>121</v>
      </c>
      <c r="K3527" t="s">
        <v>47</v>
      </c>
      <c r="O3527">
        <v>0</v>
      </c>
      <c r="P3527">
        <v>0</v>
      </c>
      <c r="Q3527">
        <v>0</v>
      </c>
      <c r="R3527">
        <v>0</v>
      </c>
      <c r="W3527" t="s">
        <v>1240</v>
      </c>
      <c r="AA3527">
        <v>2007</v>
      </c>
      <c r="AB3527">
        <v>9999</v>
      </c>
      <c r="AC3527" t="s">
        <v>35</v>
      </c>
    </row>
    <row r="3528" spans="1:29" x14ac:dyDescent="0.25">
      <c r="A3528" s="31" t="s">
        <v>181</v>
      </c>
      <c r="B3528" s="25" t="s">
        <v>182</v>
      </c>
      <c r="D3528">
        <v>1</v>
      </c>
      <c r="E3528" t="s">
        <v>38</v>
      </c>
      <c r="F3528">
        <v>4</v>
      </c>
      <c r="G3528">
        <v>2013</v>
      </c>
      <c r="H3528" t="s">
        <v>39</v>
      </c>
      <c r="J3528" t="s">
        <v>121</v>
      </c>
      <c r="K3528" t="s">
        <v>41</v>
      </c>
      <c r="O3528">
        <v>0</v>
      </c>
      <c r="P3528">
        <v>0</v>
      </c>
      <c r="Q3528">
        <v>0</v>
      </c>
      <c r="R3528">
        <v>0</v>
      </c>
      <c r="W3528" t="s">
        <v>1057</v>
      </c>
      <c r="AA3528">
        <v>2007</v>
      </c>
      <c r="AB3528">
        <v>9999</v>
      </c>
      <c r="AC3528" t="s">
        <v>35</v>
      </c>
    </row>
    <row r="3529" spans="1:29" x14ac:dyDescent="0.25">
      <c r="A3529" s="31" t="s">
        <v>184</v>
      </c>
      <c r="B3529" s="23" t="s">
        <v>185</v>
      </c>
      <c r="C3529" t="s">
        <v>186</v>
      </c>
      <c r="D3529">
        <v>1</v>
      </c>
      <c r="E3529" t="s">
        <v>45</v>
      </c>
      <c r="F3529">
        <v>4</v>
      </c>
      <c r="G3529">
        <v>2013</v>
      </c>
      <c r="I3529" s="8">
        <v>289.64999999999998</v>
      </c>
      <c r="J3529" t="s">
        <v>52</v>
      </c>
      <c r="K3529" t="s">
        <v>32</v>
      </c>
      <c r="O3529">
        <v>0</v>
      </c>
      <c r="P3529">
        <v>0</v>
      </c>
      <c r="Q3529">
        <v>0</v>
      </c>
      <c r="R3529">
        <v>0</v>
      </c>
      <c r="W3529" t="s">
        <v>1287</v>
      </c>
      <c r="AA3529">
        <v>2007</v>
      </c>
      <c r="AB3529">
        <v>9999</v>
      </c>
      <c r="AC3529" t="s">
        <v>35</v>
      </c>
    </row>
    <row r="3530" spans="1:29" x14ac:dyDescent="0.25">
      <c r="A3530" s="31" t="s">
        <v>1059</v>
      </c>
      <c r="B3530" s="23" t="s">
        <v>1060</v>
      </c>
      <c r="D3530">
        <v>1</v>
      </c>
      <c r="E3530" t="s">
        <v>874</v>
      </c>
      <c r="F3530">
        <v>1</v>
      </c>
      <c r="G3530">
        <v>2013</v>
      </c>
      <c r="I3530" s="8">
        <v>5</v>
      </c>
      <c r="J3530" t="s">
        <v>52</v>
      </c>
      <c r="K3530" t="s">
        <v>47</v>
      </c>
      <c r="O3530">
        <v>0</v>
      </c>
      <c r="P3530">
        <v>0</v>
      </c>
      <c r="Q3530">
        <v>0</v>
      </c>
      <c r="R3530">
        <v>0</v>
      </c>
      <c r="W3530" t="s">
        <v>1392</v>
      </c>
      <c r="AA3530">
        <v>2008</v>
      </c>
      <c r="AB3530">
        <v>9999</v>
      </c>
      <c r="AC3530" t="s">
        <v>1054</v>
      </c>
    </row>
    <row r="3531" spans="1:29" x14ac:dyDescent="0.25">
      <c r="A3531" s="31" t="s">
        <v>192</v>
      </c>
      <c r="B3531" s="25" t="s">
        <v>193</v>
      </c>
      <c r="D3531">
        <v>1</v>
      </c>
      <c r="E3531" t="s">
        <v>51</v>
      </c>
      <c r="F3531">
        <v>1</v>
      </c>
      <c r="G3531">
        <v>2013</v>
      </c>
      <c r="J3531" t="s">
        <v>52</v>
      </c>
      <c r="K3531" t="s">
        <v>53</v>
      </c>
      <c r="L3531" t="s">
        <v>54</v>
      </c>
      <c r="O3531">
        <v>0</v>
      </c>
      <c r="P3531">
        <v>0</v>
      </c>
      <c r="Q3531">
        <v>1</v>
      </c>
      <c r="R3531">
        <v>0</v>
      </c>
      <c r="W3531" t="s">
        <v>55</v>
      </c>
      <c r="AA3531">
        <v>2007</v>
      </c>
      <c r="AB3531">
        <v>9999</v>
      </c>
      <c r="AC3531" t="s">
        <v>35</v>
      </c>
    </row>
    <row r="3532" spans="1:29" x14ac:dyDescent="0.25">
      <c r="A3532" s="31" t="s">
        <v>194</v>
      </c>
      <c r="B3532" s="23" t="s">
        <v>195</v>
      </c>
      <c r="C3532" t="s">
        <v>196</v>
      </c>
      <c r="D3532">
        <v>1</v>
      </c>
      <c r="E3532" t="s">
        <v>197</v>
      </c>
      <c r="F3532">
        <v>2</v>
      </c>
      <c r="G3532">
        <v>2013</v>
      </c>
      <c r="I3532" s="8">
        <v>155.97999999999999</v>
      </c>
      <c r="J3532" t="s">
        <v>176</v>
      </c>
      <c r="K3532" t="s">
        <v>47</v>
      </c>
      <c r="O3532">
        <v>0</v>
      </c>
      <c r="P3532">
        <v>0</v>
      </c>
      <c r="Q3532">
        <v>0</v>
      </c>
      <c r="R3532">
        <v>0</v>
      </c>
      <c r="W3532" t="s">
        <v>1063</v>
      </c>
      <c r="AA3532">
        <v>2007</v>
      </c>
      <c r="AB3532">
        <v>9999</v>
      </c>
      <c r="AC3532" t="s">
        <v>35</v>
      </c>
    </row>
    <row r="3533" spans="1:29" x14ac:dyDescent="0.25">
      <c r="A3533" s="31" t="s">
        <v>203</v>
      </c>
      <c r="B3533" s="25" t="s">
        <v>204</v>
      </c>
      <c r="D3533">
        <v>1</v>
      </c>
      <c r="E3533" t="s">
        <v>201</v>
      </c>
      <c r="F3533">
        <v>1</v>
      </c>
      <c r="G3533">
        <v>2013</v>
      </c>
      <c r="H3533" t="s">
        <v>205</v>
      </c>
      <c r="J3533" t="s">
        <v>52</v>
      </c>
      <c r="K3533" t="s">
        <v>41</v>
      </c>
      <c r="O3533">
        <v>0</v>
      </c>
      <c r="P3533">
        <v>0</v>
      </c>
      <c r="Q3533">
        <v>0</v>
      </c>
      <c r="R3533">
        <v>0</v>
      </c>
      <c r="W3533" t="s">
        <v>1064</v>
      </c>
      <c r="AA3533">
        <v>2007</v>
      </c>
      <c r="AB3533">
        <v>9999</v>
      </c>
      <c r="AC3533" t="s">
        <v>35</v>
      </c>
    </row>
    <row r="3534" spans="1:29" x14ac:dyDescent="0.25">
      <c r="A3534" s="31" t="s">
        <v>207</v>
      </c>
      <c r="B3534" s="23" t="s">
        <v>208</v>
      </c>
      <c r="C3534" t="s">
        <v>1426</v>
      </c>
      <c r="D3534">
        <v>1</v>
      </c>
      <c r="E3534" t="s">
        <v>210</v>
      </c>
      <c r="F3534">
        <v>10</v>
      </c>
      <c r="G3534">
        <v>2013</v>
      </c>
      <c r="I3534" s="8">
        <v>21.4</v>
      </c>
      <c r="J3534" t="s">
        <v>40</v>
      </c>
      <c r="K3534" t="s">
        <v>32</v>
      </c>
      <c r="O3534">
        <v>0</v>
      </c>
      <c r="P3534">
        <v>0</v>
      </c>
      <c r="Q3534">
        <v>0</v>
      </c>
      <c r="R3534">
        <v>0</v>
      </c>
      <c r="W3534" t="s">
        <v>1065</v>
      </c>
      <c r="AA3534">
        <v>2007</v>
      </c>
      <c r="AB3534">
        <v>9999</v>
      </c>
      <c r="AC3534" t="s">
        <v>35</v>
      </c>
    </row>
    <row r="3535" spans="1:29" ht="30" x14ac:dyDescent="0.25">
      <c r="A3535" s="31" t="s">
        <v>212</v>
      </c>
      <c r="B3535" s="23" t="s">
        <v>213</v>
      </c>
      <c r="C3535" t="s">
        <v>214</v>
      </c>
      <c r="D3535">
        <v>1</v>
      </c>
      <c r="E3535" s="4">
        <v>550</v>
      </c>
      <c r="F3535">
        <v>5</v>
      </c>
      <c r="G3535">
        <v>2013</v>
      </c>
      <c r="I3535" s="8">
        <v>43.5</v>
      </c>
      <c r="J3535" s="2" t="s">
        <v>31</v>
      </c>
      <c r="K3535" t="s">
        <v>47</v>
      </c>
      <c r="O3535">
        <v>0</v>
      </c>
      <c r="P3535">
        <v>0</v>
      </c>
      <c r="Q3535">
        <v>0</v>
      </c>
      <c r="R3535">
        <v>0</v>
      </c>
      <c r="W3535" t="s">
        <v>1288</v>
      </c>
      <c r="AA3535">
        <v>2007</v>
      </c>
      <c r="AB3535">
        <v>9999</v>
      </c>
      <c r="AC3535" t="s">
        <v>35</v>
      </c>
    </row>
    <row r="3536" spans="1:29" x14ac:dyDescent="0.25">
      <c r="A3536" s="31" t="s">
        <v>216</v>
      </c>
      <c r="B3536" s="23" t="s">
        <v>217</v>
      </c>
      <c r="D3536">
        <v>1</v>
      </c>
      <c r="E3536" t="s">
        <v>218</v>
      </c>
      <c r="F3536">
        <v>2</v>
      </c>
      <c r="G3536">
        <v>2013</v>
      </c>
      <c r="I3536" s="8">
        <v>611.48</v>
      </c>
      <c r="J3536" t="s">
        <v>40</v>
      </c>
      <c r="K3536" t="s">
        <v>32</v>
      </c>
      <c r="O3536">
        <v>0</v>
      </c>
      <c r="P3536">
        <v>0</v>
      </c>
      <c r="Q3536">
        <v>0</v>
      </c>
      <c r="R3536">
        <v>0</v>
      </c>
      <c r="W3536" t="s">
        <v>1067</v>
      </c>
      <c r="AA3536">
        <v>2007</v>
      </c>
      <c r="AB3536">
        <v>9999</v>
      </c>
      <c r="AC3536" t="s">
        <v>35</v>
      </c>
    </row>
    <row r="3537" spans="1:29" x14ac:dyDescent="0.25">
      <c r="A3537" s="31" t="s">
        <v>220</v>
      </c>
      <c r="B3537" s="23" t="s">
        <v>221</v>
      </c>
      <c r="D3537">
        <v>1</v>
      </c>
      <c r="E3537" t="s">
        <v>222</v>
      </c>
      <c r="F3537">
        <v>8</v>
      </c>
      <c r="G3537">
        <v>2013</v>
      </c>
      <c r="I3537" s="8">
        <v>31.14</v>
      </c>
      <c r="J3537" t="s">
        <v>81</v>
      </c>
      <c r="K3537" t="s">
        <v>47</v>
      </c>
      <c r="O3537">
        <v>0</v>
      </c>
      <c r="P3537">
        <v>0</v>
      </c>
      <c r="Q3537">
        <v>0</v>
      </c>
      <c r="R3537">
        <v>0</v>
      </c>
      <c r="W3537" t="s">
        <v>1068</v>
      </c>
      <c r="AA3537">
        <v>2007</v>
      </c>
      <c r="AB3537">
        <v>9999</v>
      </c>
      <c r="AC3537" t="s">
        <v>35</v>
      </c>
    </row>
    <row r="3538" spans="1:29" x14ac:dyDescent="0.25">
      <c r="A3538" s="31" t="s">
        <v>224</v>
      </c>
      <c r="B3538" s="25" t="s">
        <v>225</v>
      </c>
      <c r="D3538">
        <v>1</v>
      </c>
      <c r="E3538" t="s">
        <v>51</v>
      </c>
      <c r="F3538">
        <v>1</v>
      </c>
      <c r="G3538">
        <v>2013</v>
      </c>
      <c r="J3538" t="s">
        <v>52</v>
      </c>
      <c r="K3538" t="s">
        <v>53</v>
      </c>
      <c r="L3538" t="s">
        <v>54</v>
      </c>
      <c r="O3538">
        <v>0</v>
      </c>
      <c r="P3538">
        <v>0</v>
      </c>
      <c r="Q3538">
        <v>1</v>
      </c>
      <c r="R3538">
        <v>0</v>
      </c>
      <c r="W3538" t="s">
        <v>55</v>
      </c>
      <c r="AA3538">
        <v>2007</v>
      </c>
      <c r="AB3538">
        <v>9999</v>
      </c>
      <c r="AC3538" t="s">
        <v>35</v>
      </c>
    </row>
    <row r="3539" spans="1:29" x14ac:dyDescent="0.25">
      <c r="A3539" s="31" t="s">
        <v>226</v>
      </c>
      <c r="B3539" s="23" t="s">
        <v>227</v>
      </c>
      <c r="C3539" t="s">
        <v>228</v>
      </c>
      <c r="D3539">
        <v>1</v>
      </c>
      <c r="E3539" t="s">
        <v>218</v>
      </c>
      <c r="F3539">
        <v>2</v>
      </c>
      <c r="G3539">
        <v>2013</v>
      </c>
      <c r="I3539" s="8">
        <v>2783.9</v>
      </c>
      <c r="J3539" t="s">
        <v>147</v>
      </c>
      <c r="K3539" t="s">
        <v>32</v>
      </c>
      <c r="O3539">
        <v>0</v>
      </c>
      <c r="P3539">
        <v>0</v>
      </c>
      <c r="Q3539">
        <v>0</v>
      </c>
      <c r="R3539">
        <v>0</v>
      </c>
      <c r="W3539" t="s">
        <v>1069</v>
      </c>
      <c r="AA3539">
        <v>2007</v>
      </c>
      <c r="AB3539">
        <v>9999</v>
      </c>
      <c r="AC3539" t="s">
        <v>35</v>
      </c>
    </row>
    <row r="3540" spans="1:29" x14ac:dyDescent="0.25">
      <c r="A3540" s="31" t="s">
        <v>230</v>
      </c>
      <c r="B3540" s="25" t="s">
        <v>231</v>
      </c>
      <c r="C3540" t="s">
        <v>232</v>
      </c>
      <c r="D3540">
        <v>1</v>
      </c>
      <c r="E3540" t="s">
        <v>145</v>
      </c>
      <c r="F3540">
        <v>2</v>
      </c>
      <c r="G3540">
        <v>2013</v>
      </c>
      <c r="J3540" t="s">
        <v>147</v>
      </c>
      <c r="K3540" t="s">
        <v>47</v>
      </c>
      <c r="O3540">
        <v>0</v>
      </c>
      <c r="P3540">
        <v>0</v>
      </c>
      <c r="Q3540">
        <v>0</v>
      </c>
      <c r="R3540">
        <v>0</v>
      </c>
      <c r="W3540" t="s">
        <v>1070</v>
      </c>
      <c r="AA3540">
        <v>2007</v>
      </c>
      <c r="AB3540">
        <v>9999</v>
      </c>
      <c r="AC3540" t="s">
        <v>35</v>
      </c>
    </row>
    <row r="3541" spans="1:29" x14ac:dyDescent="0.25">
      <c r="A3541" s="31" t="s">
        <v>1352</v>
      </c>
      <c r="B3541" s="23" t="s">
        <v>1353</v>
      </c>
      <c r="D3541">
        <v>1</v>
      </c>
      <c r="E3541" t="s">
        <v>218</v>
      </c>
      <c r="F3541">
        <v>2</v>
      </c>
      <c r="G3541">
        <v>2013</v>
      </c>
      <c r="I3541" s="8">
        <v>42.35</v>
      </c>
      <c r="J3541" t="s">
        <v>147</v>
      </c>
      <c r="K3541" t="s">
        <v>47</v>
      </c>
      <c r="O3541">
        <v>0</v>
      </c>
      <c r="P3541">
        <v>0</v>
      </c>
      <c r="Q3541">
        <v>0</v>
      </c>
      <c r="R3541">
        <v>0</v>
      </c>
      <c r="W3541" t="s">
        <v>1354</v>
      </c>
      <c r="AA3541">
        <v>2011</v>
      </c>
      <c r="AB3541">
        <v>2015</v>
      </c>
      <c r="AC3541" t="s">
        <v>1355</v>
      </c>
    </row>
    <row r="3542" spans="1:29" x14ac:dyDescent="0.25">
      <c r="A3542" s="31" t="s">
        <v>237</v>
      </c>
      <c r="B3542" s="23" t="s">
        <v>238</v>
      </c>
      <c r="D3542">
        <v>1</v>
      </c>
      <c r="E3542" t="s">
        <v>218</v>
      </c>
      <c r="F3542">
        <v>2</v>
      </c>
      <c r="G3542">
        <v>2013</v>
      </c>
      <c r="I3542" s="8">
        <v>323.58</v>
      </c>
      <c r="J3542" t="s">
        <v>104</v>
      </c>
      <c r="K3542" t="s">
        <v>53</v>
      </c>
      <c r="L3542" t="s">
        <v>105</v>
      </c>
      <c r="O3542">
        <v>0</v>
      </c>
      <c r="P3542">
        <v>0</v>
      </c>
      <c r="Q3542">
        <v>0</v>
      </c>
      <c r="R3542">
        <v>0</v>
      </c>
      <c r="W3542" t="s">
        <v>1072</v>
      </c>
      <c r="AA3542">
        <v>2007</v>
      </c>
      <c r="AB3542">
        <v>9999</v>
      </c>
      <c r="AC3542" t="s">
        <v>35</v>
      </c>
    </row>
    <row r="3543" spans="1:29" x14ac:dyDescent="0.25">
      <c r="A3543" s="31" t="s">
        <v>240</v>
      </c>
      <c r="B3543" s="23" t="s">
        <v>241</v>
      </c>
      <c r="D3543">
        <v>1</v>
      </c>
      <c r="E3543" t="s">
        <v>218</v>
      </c>
      <c r="F3543">
        <v>2</v>
      </c>
      <c r="G3543">
        <v>2013</v>
      </c>
      <c r="I3543" s="8">
        <v>16962.2</v>
      </c>
      <c r="J3543" t="s">
        <v>147</v>
      </c>
      <c r="K3543" t="s">
        <v>47</v>
      </c>
      <c r="O3543">
        <v>0</v>
      </c>
      <c r="P3543">
        <v>0</v>
      </c>
      <c r="Q3543">
        <v>0</v>
      </c>
      <c r="R3543">
        <v>0</v>
      </c>
      <c r="W3543" t="s">
        <v>1073</v>
      </c>
      <c r="AA3543">
        <v>2007</v>
      </c>
      <c r="AB3543">
        <v>9999</v>
      </c>
      <c r="AC3543" t="s">
        <v>35</v>
      </c>
    </row>
    <row r="3544" spans="1:29" x14ac:dyDescent="0.25">
      <c r="A3544" s="31" t="s">
        <v>1289</v>
      </c>
      <c r="B3544" s="23" t="s">
        <v>1290</v>
      </c>
      <c r="D3544">
        <v>1</v>
      </c>
      <c r="E3544" t="s">
        <v>218</v>
      </c>
      <c r="F3544">
        <v>2</v>
      </c>
      <c r="G3544">
        <v>2013</v>
      </c>
      <c r="I3544" s="8">
        <v>4.26</v>
      </c>
      <c r="J3544" t="s">
        <v>147</v>
      </c>
      <c r="K3544" t="s">
        <v>53</v>
      </c>
      <c r="L3544" t="s">
        <v>60</v>
      </c>
      <c r="O3544">
        <v>1</v>
      </c>
      <c r="P3544">
        <v>0</v>
      </c>
      <c r="Q3544">
        <v>0</v>
      </c>
      <c r="R3544">
        <v>0</v>
      </c>
      <c r="W3544" t="s">
        <v>1291</v>
      </c>
      <c r="AA3544">
        <v>2010</v>
      </c>
      <c r="AB3544">
        <v>9999</v>
      </c>
      <c r="AC3544" t="s">
        <v>1292</v>
      </c>
    </row>
    <row r="3545" spans="1:29" x14ac:dyDescent="0.25">
      <c r="A3545" s="31" t="s">
        <v>243</v>
      </c>
      <c r="B3545" s="23" t="s">
        <v>244</v>
      </c>
      <c r="D3545">
        <v>1</v>
      </c>
      <c r="E3545" t="s">
        <v>210</v>
      </c>
      <c r="F3545">
        <v>10</v>
      </c>
      <c r="G3545">
        <v>2013</v>
      </c>
      <c r="I3545" s="8">
        <v>11968.23</v>
      </c>
      <c r="J3545" t="s">
        <v>40</v>
      </c>
      <c r="K3545" t="s">
        <v>32</v>
      </c>
      <c r="O3545">
        <v>0</v>
      </c>
      <c r="P3545">
        <v>0</v>
      </c>
      <c r="Q3545">
        <v>0</v>
      </c>
      <c r="R3545">
        <v>0</v>
      </c>
      <c r="W3545" t="s">
        <v>1293</v>
      </c>
      <c r="AA3545">
        <v>2007</v>
      </c>
      <c r="AB3545">
        <v>9999</v>
      </c>
      <c r="AC3545" t="s">
        <v>35</v>
      </c>
    </row>
    <row r="3546" spans="1:29" x14ac:dyDescent="0.25">
      <c r="A3546" s="31" t="s">
        <v>153</v>
      </c>
      <c r="B3546" s="25" t="s">
        <v>1356</v>
      </c>
      <c r="D3546">
        <v>12</v>
      </c>
      <c r="E3546" t="s">
        <v>155</v>
      </c>
      <c r="F3546">
        <v>3</v>
      </c>
      <c r="G3546">
        <v>2013</v>
      </c>
      <c r="I3546">
        <v>1285.5759800000001</v>
      </c>
      <c r="J3546" t="s">
        <v>121</v>
      </c>
      <c r="K3546" t="s">
        <v>53</v>
      </c>
      <c r="L3546" t="s">
        <v>60</v>
      </c>
      <c r="O3546">
        <v>1</v>
      </c>
      <c r="P3546">
        <v>0</v>
      </c>
      <c r="Q3546">
        <v>0</v>
      </c>
      <c r="R3546">
        <v>0</v>
      </c>
      <c r="V3546">
        <v>1</v>
      </c>
      <c r="W3546" t="s">
        <v>477</v>
      </c>
      <c r="AA3546">
        <v>2007</v>
      </c>
      <c r="AB3546">
        <v>9999</v>
      </c>
      <c r="AC3546" t="s">
        <v>35</v>
      </c>
    </row>
    <row r="3547" spans="1:29" x14ac:dyDescent="0.25">
      <c r="A3547" s="31" t="s">
        <v>246</v>
      </c>
      <c r="B3547" s="23" t="s">
        <v>247</v>
      </c>
      <c r="D3547">
        <v>1</v>
      </c>
      <c r="E3547" t="s">
        <v>120</v>
      </c>
      <c r="F3547">
        <v>3</v>
      </c>
      <c r="G3547">
        <v>2013</v>
      </c>
      <c r="H3547" t="s">
        <v>129</v>
      </c>
      <c r="I3547" s="8">
        <v>2.6</v>
      </c>
      <c r="J3547" t="s">
        <v>121</v>
      </c>
      <c r="K3547" t="s">
        <v>41</v>
      </c>
      <c r="O3547">
        <v>0</v>
      </c>
      <c r="P3547">
        <v>0</v>
      </c>
      <c r="Q3547">
        <v>0</v>
      </c>
      <c r="R3547">
        <v>0</v>
      </c>
      <c r="W3547" t="s">
        <v>1075</v>
      </c>
      <c r="AA3547">
        <v>2007</v>
      </c>
      <c r="AB3547">
        <v>9999</v>
      </c>
      <c r="AC3547" t="s">
        <v>35</v>
      </c>
    </row>
    <row r="3548" spans="1:29" x14ac:dyDescent="0.25">
      <c r="A3548" s="31" t="s">
        <v>252</v>
      </c>
      <c r="B3548" s="25" t="s">
        <v>253</v>
      </c>
      <c r="D3548">
        <v>1</v>
      </c>
      <c r="E3548" t="s">
        <v>145</v>
      </c>
      <c r="F3548">
        <v>2</v>
      </c>
      <c r="G3548">
        <v>2013</v>
      </c>
      <c r="H3548" t="s">
        <v>254</v>
      </c>
      <c r="J3548" s="2" t="s">
        <v>147</v>
      </c>
      <c r="K3548" t="s">
        <v>41</v>
      </c>
      <c r="O3548">
        <v>0</v>
      </c>
      <c r="P3548">
        <v>0</v>
      </c>
      <c r="Q3548">
        <v>0</v>
      </c>
      <c r="R3548">
        <v>0</v>
      </c>
      <c r="W3548" t="s">
        <v>1077</v>
      </c>
      <c r="AA3548">
        <v>2007</v>
      </c>
      <c r="AB3548">
        <v>9999</v>
      </c>
      <c r="AC3548" t="s">
        <v>35</v>
      </c>
    </row>
    <row r="3549" spans="1:29" x14ac:dyDescent="0.25">
      <c r="A3549" s="31" t="s">
        <v>259</v>
      </c>
      <c r="B3549" s="23" t="s">
        <v>260</v>
      </c>
      <c r="C3549" t="s">
        <v>261</v>
      </c>
      <c r="D3549">
        <v>1</v>
      </c>
      <c r="E3549" t="s">
        <v>103</v>
      </c>
      <c r="F3549">
        <v>9</v>
      </c>
      <c r="G3549">
        <v>2013</v>
      </c>
      <c r="I3549" s="8">
        <v>4950.58</v>
      </c>
      <c r="J3549" t="s">
        <v>104</v>
      </c>
      <c r="K3549" t="s">
        <v>53</v>
      </c>
      <c r="L3549" t="s">
        <v>105</v>
      </c>
      <c r="O3549">
        <v>0</v>
      </c>
      <c r="P3549">
        <v>1</v>
      </c>
      <c r="Q3549">
        <v>0</v>
      </c>
      <c r="R3549">
        <v>0</v>
      </c>
      <c r="W3549" t="s">
        <v>106</v>
      </c>
      <c r="AA3549">
        <v>2007</v>
      </c>
      <c r="AB3549">
        <v>9999</v>
      </c>
      <c r="AC3549" t="s">
        <v>35</v>
      </c>
    </row>
    <row r="3550" spans="1:29" x14ac:dyDescent="0.25">
      <c r="A3550" s="31" t="s">
        <v>266</v>
      </c>
      <c r="B3550" s="25" t="s">
        <v>267</v>
      </c>
      <c r="D3550">
        <v>1</v>
      </c>
      <c r="E3550" t="s">
        <v>85</v>
      </c>
      <c r="F3550">
        <v>4</v>
      </c>
      <c r="G3550">
        <v>2013</v>
      </c>
      <c r="J3550" t="s">
        <v>268</v>
      </c>
      <c r="K3550" t="s">
        <v>41</v>
      </c>
      <c r="O3550">
        <v>0</v>
      </c>
      <c r="P3550">
        <v>0</v>
      </c>
      <c r="Q3550">
        <v>0</v>
      </c>
      <c r="R3550">
        <v>0</v>
      </c>
      <c r="W3550" t="s">
        <v>1079</v>
      </c>
      <c r="AA3550">
        <v>2007</v>
      </c>
      <c r="AB3550">
        <v>9999</v>
      </c>
      <c r="AC3550" t="s">
        <v>35</v>
      </c>
    </row>
    <row r="3551" spans="1:29" x14ac:dyDescent="0.25">
      <c r="A3551" s="31" t="s">
        <v>1393</v>
      </c>
      <c r="B3551" s="25" t="s">
        <v>1394</v>
      </c>
      <c r="C3551" t="s">
        <v>1395</v>
      </c>
      <c r="D3551">
        <v>1</v>
      </c>
      <c r="E3551" s="5" t="s">
        <v>1396</v>
      </c>
      <c r="F3551">
        <v>5</v>
      </c>
      <c r="G3551">
        <v>2013</v>
      </c>
      <c r="I3551" s="8">
        <v>234.65</v>
      </c>
      <c r="J3551" t="s">
        <v>31</v>
      </c>
      <c r="K3551" t="s">
        <v>47</v>
      </c>
      <c r="O3551">
        <v>0</v>
      </c>
      <c r="P3551">
        <v>0</v>
      </c>
      <c r="Q3551">
        <v>0</v>
      </c>
      <c r="R3551">
        <v>0</v>
      </c>
      <c r="W3551" t="s">
        <v>1397</v>
      </c>
      <c r="AA3551">
        <v>2012</v>
      </c>
      <c r="AB3551">
        <v>9999</v>
      </c>
      <c r="AC3551" t="s">
        <v>1398</v>
      </c>
    </row>
    <row r="3552" spans="1:29" x14ac:dyDescent="0.25">
      <c r="A3552" s="31" t="s">
        <v>153</v>
      </c>
      <c r="B3552" s="23" t="s">
        <v>270</v>
      </c>
      <c r="D3552">
        <v>6</v>
      </c>
      <c r="E3552" t="s">
        <v>155</v>
      </c>
      <c r="F3552">
        <v>3</v>
      </c>
      <c r="G3552">
        <v>2013</v>
      </c>
      <c r="I3552">
        <v>646.39567089999991</v>
      </c>
      <c r="J3552" t="s">
        <v>121</v>
      </c>
      <c r="K3552" t="s">
        <v>53</v>
      </c>
      <c r="L3552" t="s">
        <v>60</v>
      </c>
      <c r="O3552">
        <v>1</v>
      </c>
      <c r="P3552">
        <v>0</v>
      </c>
      <c r="Q3552">
        <v>0</v>
      </c>
      <c r="R3552">
        <v>0</v>
      </c>
      <c r="V3552">
        <v>1</v>
      </c>
      <c r="W3552" t="s">
        <v>271</v>
      </c>
      <c r="AA3552">
        <v>2007</v>
      </c>
      <c r="AB3552">
        <v>9999</v>
      </c>
      <c r="AC3552" t="s">
        <v>35</v>
      </c>
    </row>
    <row r="3553" spans="1:29" x14ac:dyDescent="0.25">
      <c r="A3553" s="31" t="s">
        <v>153</v>
      </c>
      <c r="B3553" s="28" t="s">
        <v>272</v>
      </c>
      <c r="D3553">
        <v>8</v>
      </c>
      <c r="E3553" t="s">
        <v>155</v>
      </c>
      <c r="F3553">
        <v>3</v>
      </c>
      <c r="G3553">
        <v>2013</v>
      </c>
      <c r="I3553">
        <v>79.565599999999989</v>
      </c>
      <c r="J3553" s="2" t="s">
        <v>121</v>
      </c>
      <c r="K3553" t="s">
        <v>53</v>
      </c>
      <c r="L3553" t="s">
        <v>60</v>
      </c>
      <c r="O3553">
        <v>1</v>
      </c>
      <c r="P3553">
        <v>0</v>
      </c>
      <c r="Q3553">
        <v>0</v>
      </c>
      <c r="R3553">
        <v>0</v>
      </c>
      <c r="V3553">
        <v>1</v>
      </c>
      <c r="W3553" t="s">
        <v>273</v>
      </c>
      <c r="AA3553">
        <v>2007</v>
      </c>
      <c r="AB3553">
        <v>9999</v>
      </c>
      <c r="AC3553" t="s">
        <v>35</v>
      </c>
    </row>
    <row r="3554" spans="1:29" x14ac:dyDescent="0.25">
      <c r="A3554" s="31" t="s">
        <v>274</v>
      </c>
      <c r="B3554" s="25" t="s">
        <v>275</v>
      </c>
      <c r="C3554" t="s">
        <v>276</v>
      </c>
      <c r="D3554">
        <v>1</v>
      </c>
      <c r="E3554" t="s">
        <v>51</v>
      </c>
      <c r="F3554">
        <v>10</v>
      </c>
      <c r="G3554">
        <v>2013</v>
      </c>
      <c r="J3554" s="2" t="s">
        <v>40</v>
      </c>
      <c r="K3554" t="s">
        <v>41</v>
      </c>
      <c r="O3554">
        <v>0</v>
      </c>
      <c r="P3554">
        <v>0</v>
      </c>
      <c r="Q3554">
        <v>0</v>
      </c>
      <c r="R3554">
        <v>0</v>
      </c>
      <c r="W3554" t="s">
        <v>1399</v>
      </c>
      <c r="AA3554">
        <v>2007</v>
      </c>
      <c r="AB3554">
        <v>9999</v>
      </c>
      <c r="AC3554" t="s">
        <v>35</v>
      </c>
    </row>
    <row r="3555" spans="1:29" x14ac:dyDescent="0.25">
      <c r="A3555" s="31" t="s">
        <v>278</v>
      </c>
      <c r="B3555" s="23" t="s">
        <v>279</v>
      </c>
      <c r="D3555">
        <v>1</v>
      </c>
      <c r="E3555" t="s">
        <v>103</v>
      </c>
      <c r="F3555">
        <v>9</v>
      </c>
      <c r="G3555">
        <v>2013</v>
      </c>
      <c r="I3555" s="8">
        <v>672.85</v>
      </c>
      <c r="J3555" t="s">
        <v>104</v>
      </c>
      <c r="K3555" t="s">
        <v>53</v>
      </c>
      <c r="L3555" t="s">
        <v>105</v>
      </c>
      <c r="O3555">
        <v>0</v>
      </c>
      <c r="P3555">
        <v>1</v>
      </c>
      <c r="Q3555">
        <v>0</v>
      </c>
      <c r="R3555">
        <v>0</v>
      </c>
      <c r="W3555" t="s">
        <v>106</v>
      </c>
      <c r="AA3555">
        <v>2007</v>
      </c>
      <c r="AB3555">
        <v>9999</v>
      </c>
      <c r="AC3555" t="s">
        <v>35</v>
      </c>
    </row>
    <row r="3556" spans="1:29" x14ac:dyDescent="0.25">
      <c r="A3556" s="31" t="s">
        <v>280</v>
      </c>
      <c r="B3556" s="23" t="s">
        <v>281</v>
      </c>
      <c r="D3556">
        <v>1</v>
      </c>
      <c r="E3556" t="s">
        <v>103</v>
      </c>
      <c r="F3556">
        <v>9</v>
      </c>
      <c r="G3556">
        <v>2013</v>
      </c>
      <c r="I3556" s="8">
        <v>613.12</v>
      </c>
      <c r="J3556" t="s">
        <v>104</v>
      </c>
      <c r="K3556" t="s">
        <v>53</v>
      </c>
      <c r="L3556" t="s">
        <v>105</v>
      </c>
      <c r="O3556">
        <v>0</v>
      </c>
      <c r="P3556">
        <v>1</v>
      </c>
      <c r="Q3556">
        <v>0</v>
      </c>
      <c r="R3556">
        <v>0</v>
      </c>
      <c r="W3556" t="s">
        <v>106</v>
      </c>
      <c r="AA3556">
        <v>2007</v>
      </c>
      <c r="AB3556">
        <v>9999</v>
      </c>
      <c r="AC3556" t="s">
        <v>35</v>
      </c>
    </row>
    <row r="3557" spans="1:29" x14ac:dyDescent="0.25">
      <c r="A3557" s="31" t="s">
        <v>282</v>
      </c>
      <c r="B3557" s="23" t="s">
        <v>283</v>
      </c>
      <c r="D3557">
        <v>1</v>
      </c>
      <c r="E3557" t="s">
        <v>103</v>
      </c>
      <c r="F3557">
        <v>9</v>
      </c>
      <c r="G3557">
        <v>2013</v>
      </c>
      <c r="I3557" s="8">
        <v>569.52</v>
      </c>
      <c r="J3557" t="s">
        <v>104</v>
      </c>
      <c r="K3557" t="s">
        <v>53</v>
      </c>
      <c r="L3557" t="s">
        <v>105</v>
      </c>
      <c r="O3557">
        <v>0</v>
      </c>
      <c r="P3557">
        <v>1</v>
      </c>
      <c r="Q3557">
        <v>0</v>
      </c>
      <c r="R3557">
        <v>0</v>
      </c>
      <c r="W3557" t="s">
        <v>106</v>
      </c>
      <c r="AA3557">
        <v>2007</v>
      </c>
      <c r="AB3557">
        <v>9999</v>
      </c>
      <c r="AC3557" t="s">
        <v>35</v>
      </c>
    </row>
    <row r="3558" spans="1:29" x14ac:dyDescent="0.25">
      <c r="A3558" s="31" t="s">
        <v>284</v>
      </c>
      <c r="B3558" s="23" t="s">
        <v>285</v>
      </c>
      <c r="D3558">
        <v>1</v>
      </c>
      <c r="E3558" t="s">
        <v>103</v>
      </c>
      <c r="F3558">
        <v>9</v>
      </c>
      <c r="G3558">
        <v>2013</v>
      </c>
      <c r="I3558" s="8">
        <v>498.16</v>
      </c>
      <c r="J3558" t="s">
        <v>104</v>
      </c>
      <c r="K3558" t="s">
        <v>53</v>
      </c>
      <c r="L3558" t="s">
        <v>105</v>
      </c>
      <c r="O3558">
        <v>0</v>
      </c>
      <c r="P3558">
        <v>1</v>
      </c>
      <c r="Q3558">
        <v>0</v>
      </c>
      <c r="R3558">
        <v>0</v>
      </c>
      <c r="W3558" t="s">
        <v>106</v>
      </c>
      <c r="AA3558">
        <v>2007</v>
      </c>
      <c r="AB3558">
        <v>9999</v>
      </c>
      <c r="AC3558" t="s">
        <v>35</v>
      </c>
    </row>
    <row r="3559" spans="1:29" x14ac:dyDescent="0.25">
      <c r="A3559" s="31" t="s">
        <v>288</v>
      </c>
      <c r="B3559" s="23" t="s">
        <v>289</v>
      </c>
      <c r="D3559">
        <v>1</v>
      </c>
      <c r="E3559" t="s">
        <v>103</v>
      </c>
      <c r="F3559">
        <v>9</v>
      </c>
      <c r="G3559">
        <v>2013</v>
      </c>
      <c r="I3559" s="8">
        <v>408.76</v>
      </c>
      <c r="J3559" t="s">
        <v>104</v>
      </c>
      <c r="K3559" t="s">
        <v>53</v>
      </c>
      <c r="L3559" t="s">
        <v>105</v>
      </c>
      <c r="O3559">
        <v>0</v>
      </c>
      <c r="P3559">
        <v>1</v>
      </c>
      <c r="Q3559">
        <v>0</v>
      </c>
      <c r="R3559">
        <v>0</v>
      </c>
      <c r="W3559" t="s">
        <v>106</v>
      </c>
      <c r="AA3559">
        <v>2007</v>
      </c>
      <c r="AB3559">
        <v>9999</v>
      </c>
      <c r="AC3559" t="s">
        <v>35</v>
      </c>
    </row>
    <row r="3560" spans="1:29" x14ac:dyDescent="0.25">
      <c r="A3560" s="31" t="s">
        <v>288</v>
      </c>
      <c r="B3560" s="23" t="s">
        <v>290</v>
      </c>
      <c r="D3560">
        <v>1</v>
      </c>
      <c r="E3560" t="s">
        <v>103</v>
      </c>
      <c r="F3560">
        <v>9</v>
      </c>
      <c r="G3560">
        <v>2013</v>
      </c>
      <c r="I3560" s="8">
        <v>474.21</v>
      </c>
      <c r="J3560" t="s">
        <v>104</v>
      </c>
      <c r="K3560" t="s">
        <v>53</v>
      </c>
      <c r="L3560" t="s">
        <v>105</v>
      </c>
      <c r="O3560">
        <v>0</v>
      </c>
      <c r="P3560">
        <v>1</v>
      </c>
      <c r="Q3560">
        <v>0</v>
      </c>
      <c r="R3560">
        <v>0</v>
      </c>
      <c r="W3560" t="s">
        <v>106</v>
      </c>
      <c r="AA3560">
        <v>2007</v>
      </c>
      <c r="AB3560">
        <v>9999</v>
      </c>
      <c r="AC3560" t="s">
        <v>35</v>
      </c>
    </row>
    <row r="3561" spans="1:29" x14ac:dyDescent="0.25">
      <c r="A3561" s="31" t="s">
        <v>291</v>
      </c>
      <c r="B3561" s="23" t="s">
        <v>292</v>
      </c>
      <c r="D3561">
        <v>1</v>
      </c>
      <c r="E3561" t="s">
        <v>103</v>
      </c>
      <c r="F3561">
        <v>9</v>
      </c>
      <c r="G3561">
        <v>2013</v>
      </c>
      <c r="I3561" s="8">
        <v>162.82</v>
      </c>
      <c r="J3561" t="s">
        <v>104</v>
      </c>
      <c r="K3561" t="s">
        <v>53</v>
      </c>
      <c r="L3561" t="s">
        <v>105</v>
      </c>
      <c r="O3561">
        <v>0</v>
      </c>
      <c r="P3561">
        <v>1</v>
      </c>
      <c r="Q3561">
        <v>0</v>
      </c>
      <c r="R3561">
        <v>0</v>
      </c>
      <c r="W3561" t="s">
        <v>106</v>
      </c>
      <c r="X3561" t="s">
        <v>1427</v>
      </c>
      <c r="AA3561">
        <v>2007</v>
      </c>
      <c r="AB3561">
        <v>2013</v>
      </c>
      <c r="AC3561" t="s">
        <v>139</v>
      </c>
    </row>
    <row r="3562" spans="1:29" x14ac:dyDescent="0.25">
      <c r="A3562" s="31" t="s">
        <v>293</v>
      </c>
      <c r="B3562" s="23" t="s">
        <v>294</v>
      </c>
      <c r="D3562">
        <v>1</v>
      </c>
      <c r="E3562" t="s">
        <v>103</v>
      </c>
      <c r="F3562">
        <v>9</v>
      </c>
      <c r="G3562">
        <v>2013</v>
      </c>
      <c r="I3562" s="8">
        <v>485.38</v>
      </c>
      <c r="J3562" t="s">
        <v>104</v>
      </c>
      <c r="K3562" t="s">
        <v>53</v>
      </c>
      <c r="L3562" t="s">
        <v>105</v>
      </c>
      <c r="O3562">
        <v>0</v>
      </c>
      <c r="P3562">
        <v>1</v>
      </c>
      <c r="Q3562">
        <v>0</v>
      </c>
      <c r="R3562">
        <v>0</v>
      </c>
      <c r="W3562" t="s">
        <v>106</v>
      </c>
      <c r="AA3562">
        <v>2007</v>
      </c>
      <c r="AB3562">
        <v>9999</v>
      </c>
      <c r="AC3562" t="s">
        <v>35</v>
      </c>
    </row>
    <row r="3563" spans="1:29" x14ac:dyDescent="0.25">
      <c r="A3563" s="31" t="s">
        <v>295</v>
      </c>
      <c r="B3563" s="25" t="s">
        <v>296</v>
      </c>
      <c r="D3563">
        <v>1</v>
      </c>
      <c r="E3563" t="s">
        <v>128</v>
      </c>
      <c r="F3563">
        <v>9</v>
      </c>
      <c r="G3563">
        <v>2013</v>
      </c>
      <c r="H3563" t="s">
        <v>1428</v>
      </c>
      <c r="J3563" t="s">
        <v>104</v>
      </c>
      <c r="K3563" t="s">
        <v>41</v>
      </c>
      <c r="O3563">
        <v>0</v>
      </c>
      <c r="P3563">
        <v>0</v>
      </c>
      <c r="Q3563">
        <v>0</v>
      </c>
      <c r="R3563">
        <v>0</v>
      </c>
      <c r="W3563" t="s">
        <v>1081</v>
      </c>
      <c r="AA3563">
        <v>2007</v>
      </c>
      <c r="AB3563">
        <v>9999</v>
      </c>
      <c r="AC3563" t="s">
        <v>35</v>
      </c>
    </row>
    <row r="3564" spans="1:29" x14ac:dyDescent="0.25">
      <c r="A3564" s="31" t="s">
        <v>153</v>
      </c>
      <c r="B3564" s="25" t="s">
        <v>303</v>
      </c>
      <c r="D3564">
        <v>1</v>
      </c>
      <c r="E3564" t="s">
        <v>155</v>
      </c>
      <c r="F3564">
        <v>3</v>
      </c>
      <c r="G3564">
        <v>2013</v>
      </c>
      <c r="I3564">
        <v>84.126400000000004</v>
      </c>
      <c r="J3564" t="s">
        <v>121</v>
      </c>
      <c r="K3564" t="s">
        <v>53</v>
      </c>
      <c r="L3564" t="s">
        <v>60</v>
      </c>
      <c r="O3564">
        <v>1</v>
      </c>
      <c r="P3564">
        <v>0</v>
      </c>
      <c r="Q3564">
        <v>0</v>
      </c>
      <c r="R3564">
        <v>0</v>
      </c>
      <c r="V3564">
        <v>1</v>
      </c>
      <c r="W3564" t="s">
        <v>304</v>
      </c>
      <c r="AA3564">
        <v>2007</v>
      </c>
      <c r="AB3564">
        <v>9999</v>
      </c>
      <c r="AC3564" t="s">
        <v>35</v>
      </c>
    </row>
    <row r="3565" spans="1:29" x14ac:dyDescent="0.25">
      <c r="A3565" s="31" t="s">
        <v>153</v>
      </c>
      <c r="B3565" s="25" t="s">
        <v>1357</v>
      </c>
      <c r="D3565">
        <v>1</v>
      </c>
      <c r="E3565" t="s">
        <v>155</v>
      </c>
      <c r="F3565">
        <v>3</v>
      </c>
      <c r="G3565">
        <v>2013</v>
      </c>
      <c r="I3565">
        <v>78.524699999999996</v>
      </c>
      <c r="J3565" t="s">
        <v>121</v>
      </c>
      <c r="K3565" t="s">
        <v>53</v>
      </c>
      <c r="L3565" t="s">
        <v>60</v>
      </c>
      <c r="O3565">
        <v>1</v>
      </c>
      <c r="P3565">
        <v>0</v>
      </c>
      <c r="Q3565">
        <v>0</v>
      </c>
      <c r="R3565">
        <v>0</v>
      </c>
      <c r="V3565">
        <v>1</v>
      </c>
      <c r="W3565" t="s">
        <v>645</v>
      </c>
      <c r="AA3565">
        <v>2007</v>
      </c>
      <c r="AB3565">
        <v>9999</v>
      </c>
      <c r="AC3565" t="s">
        <v>35</v>
      </c>
    </row>
    <row r="3566" spans="1:29" x14ac:dyDescent="0.25">
      <c r="A3566" s="31" t="s">
        <v>305</v>
      </c>
      <c r="B3566" s="23" t="s">
        <v>306</v>
      </c>
      <c r="D3566">
        <v>1</v>
      </c>
      <c r="E3566" t="s">
        <v>103</v>
      </c>
      <c r="F3566">
        <v>9</v>
      </c>
      <c r="G3566">
        <v>2013</v>
      </c>
      <c r="I3566" s="8">
        <v>120.68</v>
      </c>
      <c r="J3566" s="2" t="s">
        <v>104</v>
      </c>
      <c r="K3566" t="s">
        <v>53</v>
      </c>
      <c r="L3566" t="s">
        <v>105</v>
      </c>
      <c r="O3566">
        <v>0</v>
      </c>
      <c r="P3566">
        <v>1</v>
      </c>
      <c r="Q3566">
        <v>0</v>
      </c>
      <c r="R3566">
        <v>0</v>
      </c>
      <c r="W3566" t="s">
        <v>106</v>
      </c>
      <c r="AA3566">
        <v>2007</v>
      </c>
      <c r="AB3566">
        <v>9999</v>
      </c>
      <c r="AC3566" t="s">
        <v>35</v>
      </c>
    </row>
    <row r="3567" spans="1:29" x14ac:dyDescent="0.25">
      <c r="A3567" s="31" t="s">
        <v>307</v>
      </c>
      <c r="B3567" s="23" t="s">
        <v>308</v>
      </c>
      <c r="D3567">
        <v>1</v>
      </c>
      <c r="E3567" t="s">
        <v>309</v>
      </c>
      <c r="F3567">
        <v>10</v>
      </c>
      <c r="G3567">
        <v>2013</v>
      </c>
      <c r="I3567" s="8">
        <v>61.42</v>
      </c>
      <c r="J3567" t="s">
        <v>59</v>
      </c>
      <c r="K3567" t="s">
        <v>47</v>
      </c>
      <c r="O3567">
        <v>0</v>
      </c>
      <c r="P3567">
        <v>0</v>
      </c>
      <c r="Q3567">
        <v>0</v>
      </c>
      <c r="R3567">
        <v>0</v>
      </c>
      <c r="W3567" t="s">
        <v>1083</v>
      </c>
      <c r="AA3567">
        <v>2007</v>
      </c>
      <c r="AB3567">
        <v>9999</v>
      </c>
      <c r="AC3567" t="s">
        <v>35</v>
      </c>
    </row>
    <row r="3568" spans="1:29" x14ac:dyDescent="0.25">
      <c r="A3568" s="31" t="s">
        <v>1294</v>
      </c>
      <c r="B3568" s="23" t="s">
        <v>1295</v>
      </c>
      <c r="C3568" t="s">
        <v>1296</v>
      </c>
      <c r="D3568">
        <v>1</v>
      </c>
      <c r="E3568" t="s">
        <v>95</v>
      </c>
      <c r="F3568">
        <v>10</v>
      </c>
      <c r="G3568">
        <v>2013</v>
      </c>
      <c r="I3568" s="8">
        <v>50.58</v>
      </c>
      <c r="J3568" t="s">
        <v>40</v>
      </c>
      <c r="K3568" t="s">
        <v>47</v>
      </c>
      <c r="O3568">
        <v>0</v>
      </c>
      <c r="P3568">
        <v>0</v>
      </c>
      <c r="Q3568">
        <v>0</v>
      </c>
      <c r="R3568">
        <v>0</v>
      </c>
      <c r="W3568" t="s">
        <v>1297</v>
      </c>
      <c r="AA3568">
        <v>2010</v>
      </c>
      <c r="AB3568">
        <v>9999</v>
      </c>
      <c r="AC3568" t="s">
        <v>1292</v>
      </c>
    </row>
    <row r="3569" spans="1:29" x14ac:dyDescent="0.25">
      <c r="A3569" s="31" t="s">
        <v>311</v>
      </c>
      <c r="B3569" s="23" t="s">
        <v>312</v>
      </c>
      <c r="C3569" t="s">
        <v>313</v>
      </c>
      <c r="D3569">
        <v>1</v>
      </c>
      <c r="E3569" t="s">
        <v>314</v>
      </c>
      <c r="F3569">
        <v>2</v>
      </c>
      <c r="G3569">
        <v>2013</v>
      </c>
      <c r="I3569" s="8">
        <v>22.85</v>
      </c>
      <c r="J3569" t="s">
        <v>176</v>
      </c>
      <c r="K3569" t="s">
        <v>47</v>
      </c>
      <c r="O3569">
        <v>0</v>
      </c>
      <c r="P3569">
        <v>0</v>
      </c>
      <c r="Q3569">
        <v>0</v>
      </c>
      <c r="R3569">
        <v>0</v>
      </c>
      <c r="W3569" t="s">
        <v>1358</v>
      </c>
      <c r="AA3569">
        <v>2007</v>
      </c>
      <c r="AB3569">
        <v>9999</v>
      </c>
      <c r="AC3569" t="s">
        <v>35</v>
      </c>
    </row>
    <row r="3570" spans="1:29" x14ac:dyDescent="0.25">
      <c r="A3570" s="31" t="s">
        <v>316</v>
      </c>
      <c r="B3570" s="23" t="s">
        <v>317</v>
      </c>
      <c r="D3570">
        <v>1</v>
      </c>
      <c r="E3570" t="s">
        <v>318</v>
      </c>
      <c r="F3570">
        <v>4</v>
      </c>
      <c r="G3570">
        <v>2013</v>
      </c>
      <c r="I3570" s="8">
        <v>35.11</v>
      </c>
      <c r="J3570" t="s">
        <v>59</v>
      </c>
      <c r="K3570" t="s">
        <v>47</v>
      </c>
      <c r="O3570">
        <v>0</v>
      </c>
      <c r="P3570">
        <v>0</v>
      </c>
      <c r="Q3570">
        <v>0</v>
      </c>
      <c r="R3570">
        <v>0</v>
      </c>
      <c r="W3570" t="s">
        <v>1085</v>
      </c>
      <c r="AA3570">
        <v>2007</v>
      </c>
      <c r="AB3570">
        <v>9999</v>
      </c>
      <c r="AC3570" t="s">
        <v>35</v>
      </c>
    </row>
    <row r="3571" spans="1:29" x14ac:dyDescent="0.25">
      <c r="A3571" s="31" t="s">
        <v>324</v>
      </c>
      <c r="B3571" s="23" t="s">
        <v>325</v>
      </c>
      <c r="D3571">
        <v>1</v>
      </c>
      <c r="E3571" t="s">
        <v>103</v>
      </c>
      <c r="F3571">
        <v>9</v>
      </c>
      <c r="G3571">
        <v>2013</v>
      </c>
      <c r="I3571" s="8">
        <v>87.76</v>
      </c>
      <c r="J3571" t="s">
        <v>104</v>
      </c>
      <c r="K3571" t="s">
        <v>47</v>
      </c>
      <c r="O3571">
        <v>0</v>
      </c>
      <c r="P3571">
        <v>0</v>
      </c>
      <c r="Q3571">
        <v>0</v>
      </c>
      <c r="R3571">
        <v>0</v>
      </c>
      <c r="W3571" t="s">
        <v>1086</v>
      </c>
      <c r="AA3571">
        <v>2007</v>
      </c>
      <c r="AB3571">
        <v>9999</v>
      </c>
      <c r="AC3571" t="s">
        <v>35</v>
      </c>
    </row>
    <row r="3572" spans="1:29" x14ac:dyDescent="0.25">
      <c r="A3572" s="31" t="s">
        <v>327</v>
      </c>
      <c r="B3572" s="23" t="s">
        <v>328</v>
      </c>
      <c r="D3572">
        <v>1</v>
      </c>
      <c r="E3572" t="s">
        <v>80</v>
      </c>
      <c r="F3572">
        <v>8</v>
      </c>
      <c r="G3572">
        <v>2013</v>
      </c>
      <c r="I3572" s="8">
        <v>82.39</v>
      </c>
      <c r="J3572" t="s">
        <v>81</v>
      </c>
      <c r="K3572" t="s">
        <v>47</v>
      </c>
      <c r="O3572">
        <v>0</v>
      </c>
      <c r="P3572">
        <v>0</v>
      </c>
      <c r="Q3572">
        <v>0</v>
      </c>
      <c r="R3572">
        <v>0</v>
      </c>
      <c r="W3572" t="s">
        <v>1087</v>
      </c>
      <c r="AA3572">
        <v>2007</v>
      </c>
      <c r="AB3572">
        <v>9999</v>
      </c>
      <c r="AC3572" t="s">
        <v>35</v>
      </c>
    </row>
    <row r="3573" spans="1:29" x14ac:dyDescent="0.25">
      <c r="A3573" s="31" t="s">
        <v>346</v>
      </c>
      <c r="B3573" s="23" t="s">
        <v>347</v>
      </c>
      <c r="D3573">
        <v>1</v>
      </c>
      <c r="E3573" t="s">
        <v>348</v>
      </c>
      <c r="F3573">
        <v>1</v>
      </c>
      <c r="G3573">
        <v>2013</v>
      </c>
      <c r="I3573" s="8">
        <v>31.93</v>
      </c>
      <c r="J3573" t="s">
        <v>121</v>
      </c>
      <c r="K3573" t="s">
        <v>47</v>
      </c>
      <c r="O3573">
        <v>0</v>
      </c>
      <c r="P3573">
        <v>0</v>
      </c>
      <c r="Q3573">
        <v>0</v>
      </c>
      <c r="R3573">
        <v>0</v>
      </c>
      <c r="W3573" t="s">
        <v>349</v>
      </c>
      <c r="AA3573">
        <v>2007</v>
      </c>
      <c r="AB3573">
        <v>9999</v>
      </c>
      <c r="AC3573" t="s">
        <v>35</v>
      </c>
    </row>
    <row r="3574" spans="1:29" x14ac:dyDescent="0.25">
      <c r="A3574" s="31" t="s">
        <v>199</v>
      </c>
      <c r="B3574" s="23" t="s">
        <v>39</v>
      </c>
      <c r="D3574">
        <v>1</v>
      </c>
      <c r="E3574" t="s">
        <v>358</v>
      </c>
      <c r="F3574">
        <v>1</v>
      </c>
      <c r="G3574">
        <v>2013</v>
      </c>
      <c r="I3574" s="8">
        <v>253.7</v>
      </c>
      <c r="J3574" t="s">
        <v>52</v>
      </c>
      <c r="K3574" t="s">
        <v>47</v>
      </c>
      <c r="O3574">
        <v>0</v>
      </c>
      <c r="P3574">
        <v>0</v>
      </c>
      <c r="Q3574">
        <v>0</v>
      </c>
      <c r="R3574">
        <v>0</v>
      </c>
      <c r="W3574" t="s">
        <v>1094</v>
      </c>
      <c r="AA3574">
        <v>2007</v>
      </c>
      <c r="AB3574">
        <v>9999</v>
      </c>
      <c r="AC3574" t="s">
        <v>35</v>
      </c>
    </row>
    <row r="3575" spans="1:29" x14ac:dyDescent="0.25">
      <c r="A3575" s="31" t="s">
        <v>153</v>
      </c>
      <c r="B3575" s="23" t="s">
        <v>360</v>
      </c>
      <c r="D3575">
        <v>4</v>
      </c>
      <c r="E3575" t="s">
        <v>155</v>
      </c>
      <c r="F3575">
        <v>3</v>
      </c>
      <c r="G3575">
        <v>2013</v>
      </c>
      <c r="I3575">
        <v>419.04698769999999</v>
      </c>
      <c r="J3575" t="s">
        <v>121</v>
      </c>
      <c r="K3575" t="s">
        <v>53</v>
      </c>
      <c r="L3575" t="s">
        <v>60</v>
      </c>
      <c r="O3575">
        <v>1</v>
      </c>
      <c r="P3575">
        <v>0</v>
      </c>
      <c r="Q3575">
        <v>0</v>
      </c>
      <c r="R3575">
        <v>0</v>
      </c>
      <c r="V3575">
        <v>1</v>
      </c>
      <c r="W3575" t="s">
        <v>361</v>
      </c>
      <c r="AA3575">
        <v>2007</v>
      </c>
      <c r="AB3575">
        <v>9999</v>
      </c>
      <c r="AC3575" t="s">
        <v>35</v>
      </c>
    </row>
    <row r="3576" spans="1:29" x14ac:dyDescent="0.25">
      <c r="A3576" s="31" t="s">
        <v>362</v>
      </c>
      <c r="B3576" s="23" t="s">
        <v>363</v>
      </c>
      <c r="D3576">
        <v>1</v>
      </c>
      <c r="E3576" t="s">
        <v>103</v>
      </c>
      <c r="F3576">
        <v>9</v>
      </c>
      <c r="G3576">
        <v>2013</v>
      </c>
      <c r="I3576" s="8">
        <v>1040.46</v>
      </c>
      <c r="J3576" t="s">
        <v>104</v>
      </c>
      <c r="K3576" t="s">
        <v>53</v>
      </c>
      <c r="L3576" t="s">
        <v>105</v>
      </c>
      <c r="O3576">
        <v>0</v>
      </c>
      <c r="P3576">
        <v>1</v>
      </c>
      <c r="Q3576">
        <v>0</v>
      </c>
      <c r="R3576">
        <v>0</v>
      </c>
      <c r="W3576" t="s">
        <v>106</v>
      </c>
      <c r="AA3576">
        <v>2007</v>
      </c>
      <c r="AB3576">
        <v>9999</v>
      </c>
      <c r="AC3576" t="s">
        <v>35</v>
      </c>
    </row>
    <row r="3577" spans="1:29" x14ac:dyDescent="0.25">
      <c r="A3577" s="31" t="s">
        <v>364</v>
      </c>
      <c r="B3577" s="23" t="s">
        <v>365</v>
      </c>
      <c r="C3577" t="s">
        <v>366</v>
      </c>
      <c r="D3577">
        <v>1</v>
      </c>
      <c r="E3577" t="s">
        <v>103</v>
      </c>
      <c r="F3577">
        <v>9</v>
      </c>
      <c r="G3577">
        <v>2013</v>
      </c>
      <c r="I3577" s="8">
        <v>4489.6000000000004</v>
      </c>
      <c r="J3577" t="s">
        <v>104</v>
      </c>
      <c r="K3577" t="s">
        <v>53</v>
      </c>
      <c r="L3577" t="s">
        <v>105</v>
      </c>
      <c r="O3577">
        <v>0</v>
      </c>
      <c r="P3577">
        <v>1</v>
      </c>
      <c r="Q3577">
        <v>0</v>
      </c>
      <c r="R3577">
        <v>0</v>
      </c>
      <c r="W3577" t="s">
        <v>106</v>
      </c>
      <c r="AA3577">
        <v>2007</v>
      </c>
      <c r="AB3577">
        <v>9999</v>
      </c>
      <c r="AC3577" t="s">
        <v>35</v>
      </c>
    </row>
    <row r="3578" spans="1:29" x14ac:dyDescent="0.25">
      <c r="A3578" s="31" t="s">
        <v>367</v>
      </c>
      <c r="B3578" s="23" t="s">
        <v>368</v>
      </c>
      <c r="C3578" t="s">
        <v>369</v>
      </c>
      <c r="D3578">
        <v>1</v>
      </c>
      <c r="E3578" t="s">
        <v>370</v>
      </c>
      <c r="F3578">
        <v>5</v>
      </c>
      <c r="G3578">
        <v>2013</v>
      </c>
      <c r="I3578" s="8">
        <v>210.09</v>
      </c>
      <c r="J3578" t="s">
        <v>31</v>
      </c>
      <c r="K3578" t="s">
        <v>47</v>
      </c>
      <c r="O3578">
        <v>0</v>
      </c>
      <c r="P3578">
        <v>0</v>
      </c>
      <c r="Q3578">
        <v>0</v>
      </c>
      <c r="R3578">
        <v>0</v>
      </c>
      <c r="W3578" t="s">
        <v>1298</v>
      </c>
      <c r="AA3578">
        <v>2007</v>
      </c>
      <c r="AB3578">
        <v>9999</v>
      </c>
      <c r="AC3578" t="s">
        <v>35</v>
      </c>
    </row>
    <row r="3579" spans="1:29" x14ac:dyDescent="0.25">
      <c r="A3579" s="31" t="s">
        <v>372</v>
      </c>
      <c r="B3579" s="23" t="s">
        <v>373</v>
      </c>
      <c r="D3579">
        <v>1</v>
      </c>
      <c r="E3579" t="s">
        <v>45</v>
      </c>
      <c r="F3579">
        <v>4</v>
      </c>
      <c r="G3579">
        <v>2013</v>
      </c>
      <c r="I3579" s="8">
        <v>89.33</v>
      </c>
      <c r="J3579" t="s">
        <v>176</v>
      </c>
      <c r="K3579" t="s">
        <v>47</v>
      </c>
      <c r="O3579">
        <v>0</v>
      </c>
      <c r="P3579">
        <v>0</v>
      </c>
      <c r="Q3579">
        <v>0</v>
      </c>
      <c r="R3579">
        <v>0</v>
      </c>
      <c r="W3579" t="s">
        <v>1429</v>
      </c>
      <c r="AA3579">
        <v>2007</v>
      </c>
      <c r="AB3579">
        <v>9999</v>
      </c>
      <c r="AC3579" t="s">
        <v>35</v>
      </c>
    </row>
    <row r="3580" spans="1:29" x14ac:dyDescent="0.25">
      <c r="A3580" s="31" t="s">
        <v>375</v>
      </c>
      <c r="B3580" s="23" t="s">
        <v>163</v>
      </c>
      <c r="D3580">
        <v>1</v>
      </c>
      <c r="E3580" t="s">
        <v>168</v>
      </c>
      <c r="F3580">
        <v>1</v>
      </c>
      <c r="G3580">
        <v>2013</v>
      </c>
      <c r="I3580" s="8">
        <v>54.15</v>
      </c>
      <c r="J3580" t="s">
        <v>52</v>
      </c>
      <c r="K3580" t="s">
        <v>47</v>
      </c>
      <c r="O3580">
        <v>0</v>
      </c>
      <c r="P3580">
        <v>0</v>
      </c>
      <c r="Q3580">
        <v>0</v>
      </c>
      <c r="R3580">
        <v>0</v>
      </c>
      <c r="W3580" t="s">
        <v>1097</v>
      </c>
      <c r="AA3580">
        <v>2007</v>
      </c>
      <c r="AB3580">
        <v>9999</v>
      </c>
      <c r="AC3580" t="s">
        <v>35</v>
      </c>
    </row>
    <row r="3581" spans="1:29" x14ac:dyDescent="0.25">
      <c r="A3581" s="31" t="s">
        <v>377</v>
      </c>
      <c r="B3581" s="23" t="s">
        <v>378</v>
      </c>
      <c r="D3581">
        <v>1</v>
      </c>
      <c r="E3581" t="s">
        <v>45</v>
      </c>
      <c r="F3581">
        <v>4</v>
      </c>
      <c r="G3581">
        <v>2013</v>
      </c>
      <c r="I3581" s="8">
        <v>123.79</v>
      </c>
      <c r="J3581" t="s">
        <v>89</v>
      </c>
      <c r="K3581" t="s">
        <v>47</v>
      </c>
      <c r="O3581">
        <v>0</v>
      </c>
      <c r="P3581">
        <v>0</v>
      </c>
      <c r="Q3581">
        <v>0</v>
      </c>
      <c r="R3581">
        <v>0</v>
      </c>
      <c r="W3581" t="s">
        <v>1098</v>
      </c>
      <c r="AA3581">
        <v>2007</v>
      </c>
      <c r="AB3581">
        <v>9999</v>
      </c>
      <c r="AC3581" t="s">
        <v>35</v>
      </c>
    </row>
    <row r="3582" spans="1:29" x14ac:dyDescent="0.25">
      <c r="A3582" s="31" t="s">
        <v>380</v>
      </c>
      <c r="B3582" s="23" t="s">
        <v>381</v>
      </c>
      <c r="D3582">
        <v>1</v>
      </c>
      <c r="E3582" t="s">
        <v>103</v>
      </c>
      <c r="F3582">
        <v>9</v>
      </c>
      <c r="G3582">
        <v>2013</v>
      </c>
      <c r="I3582" s="8">
        <v>142.41</v>
      </c>
      <c r="J3582" t="s">
        <v>104</v>
      </c>
      <c r="K3582" t="s">
        <v>53</v>
      </c>
      <c r="L3582" t="s">
        <v>105</v>
      </c>
      <c r="O3582">
        <v>0</v>
      </c>
      <c r="P3582">
        <v>1</v>
      </c>
      <c r="Q3582">
        <v>0</v>
      </c>
      <c r="R3582">
        <v>0</v>
      </c>
      <c r="W3582" t="s">
        <v>106</v>
      </c>
      <c r="AA3582">
        <v>2007</v>
      </c>
      <c r="AB3582">
        <v>9999</v>
      </c>
      <c r="AC3582" t="s">
        <v>35</v>
      </c>
    </row>
    <row r="3583" spans="1:29" x14ac:dyDescent="0.25">
      <c r="A3583" s="31" t="s">
        <v>382</v>
      </c>
      <c r="B3583" s="23" t="s">
        <v>383</v>
      </c>
      <c r="D3583">
        <v>1</v>
      </c>
      <c r="E3583" t="s">
        <v>80</v>
      </c>
      <c r="F3583">
        <v>8</v>
      </c>
      <c r="G3583">
        <v>2013</v>
      </c>
      <c r="I3583" s="8">
        <v>21.2</v>
      </c>
      <c r="J3583" t="s">
        <v>81</v>
      </c>
      <c r="K3583" t="s">
        <v>32</v>
      </c>
      <c r="O3583">
        <v>0</v>
      </c>
      <c r="P3583">
        <v>0</v>
      </c>
      <c r="Q3583">
        <v>0</v>
      </c>
      <c r="R3583">
        <v>0</v>
      </c>
      <c r="W3583" t="s">
        <v>1099</v>
      </c>
      <c r="AA3583">
        <v>2007</v>
      </c>
      <c r="AB3583">
        <v>9999</v>
      </c>
      <c r="AC3583" t="s">
        <v>35</v>
      </c>
    </row>
    <row r="3584" spans="1:29" x14ac:dyDescent="0.25">
      <c r="A3584" s="31" t="s">
        <v>385</v>
      </c>
      <c r="B3584" s="23" t="s">
        <v>386</v>
      </c>
      <c r="D3584">
        <v>1</v>
      </c>
      <c r="E3584" t="s">
        <v>45</v>
      </c>
      <c r="F3584">
        <v>4</v>
      </c>
      <c r="G3584">
        <v>2013</v>
      </c>
      <c r="I3584" s="8">
        <v>116.93</v>
      </c>
      <c r="J3584" t="s">
        <v>121</v>
      </c>
      <c r="K3584" t="s">
        <v>47</v>
      </c>
      <c r="O3584">
        <v>0</v>
      </c>
      <c r="P3584">
        <v>0</v>
      </c>
      <c r="Q3584">
        <v>0</v>
      </c>
      <c r="R3584">
        <v>0</v>
      </c>
      <c r="W3584" t="s">
        <v>1300</v>
      </c>
      <c r="AA3584">
        <v>2007</v>
      </c>
      <c r="AB3584">
        <v>9999</v>
      </c>
      <c r="AC3584" t="s">
        <v>35</v>
      </c>
    </row>
    <row r="3585" spans="1:29" x14ac:dyDescent="0.25">
      <c r="A3585" s="31" t="s">
        <v>388</v>
      </c>
      <c r="B3585" s="25" t="s">
        <v>389</v>
      </c>
      <c r="D3585">
        <v>1</v>
      </c>
      <c r="E3585" t="s">
        <v>145</v>
      </c>
      <c r="F3585">
        <v>2</v>
      </c>
      <c r="G3585">
        <v>2013</v>
      </c>
      <c r="H3585" t="s">
        <v>185</v>
      </c>
      <c r="J3585" t="s">
        <v>52</v>
      </c>
      <c r="K3585" t="s">
        <v>41</v>
      </c>
      <c r="O3585">
        <v>0</v>
      </c>
      <c r="P3585">
        <v>0</v>
      </c>
      <c r="Q3585">
        <v>0</v>
      </c>
      <c r="R3585">
        <v>0</v>
      </c>
      <c r="W3585" t="s">
        <v>1101</v>
      </c>
      <c r="AA3585">
        <v>2007</v>
      </c>
      <c r="AB3585">
        <v>9999</v>
      </c>
      <c r="AC3585" t="s">
        <v>35</v>
      </c>
    </row>
    <row r="3586" spans="1:29" x14ac:dyDescent="0.25">
      <c r="A3586" s="31" t="s">
        <v>391</v>
      </c>
      <c r="B3586" s="23" t="s">
        <v>392</v>
      </c>
      <c r="D3586">
        <v>1</v>
      </c>
      <c r="E3586" t="s">
        <v>393</v>
      </c>
      <c r="F3586">
        <v>3</v>
      </c>
      <c r="G3586">
        <v>2013</v>
      </c>
      <c r="I3586" s="8">
        <v>8913.08</v>
      </c>
      <c r="J3586" t="s">
        <v>121</v>
      </c>
      <c r="K3586" t="s">
        <v>47</v>
      </c>
      <c r="O3586">
        <v>0</v>
      </c>
      <c r="P3586">
        <v>0</v>
      </c>
      <c r="Q3586">
        <v>0</v>
      </c>
      <c r="R3586">
        <v>0</v>
      </c>
      <c r="W3586" t="s">
        <v>1102</v>
      </c>
      <c r="AA3586">
        <v>2007</v>
      </c>
      <c r="AB3586">
        <v>9999</v>
      </c>
      <c r="AC3586" t="s">
        <v>35</v>
      </c>
    </row>
    <row r="3587" spans="1:29" x14ac:dyDescent="0.25">
      <c r="A3587" s="31" t="s">
        <v>401</v>
      </c>
      <c r="B3587" s="23" t="s">
        <v>402</v>
      </c>
      <c r="D3587">
        <v>1</v>
      </c>
      <c r="E3587" t="s">
        <v>155</v>
      </c>
      <c r="F3587">
        <v>3</v>
      </c>
      <c r="G3587">
        <v>2013</v>
      </c>
      <c r="I3587" s="8">
        <v>2070.37</v>
      </c>
      <c r="J3587" t="s">
        <v>52</v>
      </c>
      <c r="K3587" t="s">
        <v>47</v>
      </c>
      <c r="O3587">
        <v>0</v>
      </c>
      <c r="P3587">
        <v>0</v>
      </c>
      <c r="Q3587">
        <v>0</v>
      </c>
      <c r="R3587">
        <v>0</v>
      </c>
      <c r="W3587" t="s">
        <v>1105</v>
      </c>
      <c r="AA3587">
        <v>2007</v>
      </c>
      <c r="AB3587">
        <v>9999</v>
      </c>
      <c r="AC3587" t="s">
        <v>35</v>
      </c>
    </row>
    <row r="3588" spans="1:29" x14ac:dyDescent="0.25">
      <c r="A3588" s="31" t="s">
        <v>404</v>
      </c>
      <c r="B3588" s="23" t="s">
        <v>405</v>
      </c>
      <c r="C3588" t="s">
        <v>406</v>
      </c>
      <c r="D3588">
        <v>1</v>
      </c>
      <c r="E3588" t="s">
        <v>358</v>
      </c>
      <c r="F3588">
        <v>1</v>
      </c>
      <c r="G3588">
        <v>2013</v>
      </c>
      <c r="I3588" s="8">
        <v>315.39999999999998</v>
      </c>
      <c r="J3588" t="s">
        <v>104</v>
      </c>
      <c r="K3588" t="s">
        <v>47</v>
      </c>
      <c r="O3588">
        <v>0</v>
      </c>
      <c r="P3588">
        <v>0</v>
      </c>
      <c r="Q3588">
        <v>0</v>
      </c>
      <c r="R3588">
        <v>0</v>
      </c>
      <c r="W3588" t="s">
        <v>1245</v>
      </c>
      <c r="AA3588">
        <v>2007</v>
      </c>
      <c r="AB3588">
        <v>9999</v>
      </c>
      <c r="AC3588" t="s">
        <v>35</v>
      </c>
    </row>
    <row r="3589" spans="1:29" x14ac:dyDescent="0.25">
      <c r="A3589" s="31" t="s">
        <v>408</v>
      </c>
      <c r="B3589" s="23" t="s">
        <v>409</v>
      </c>
      <c r="D3589">
        <v>1</v>
      </c>
      <c r="E3589" t="s">
        <v>103</v>
      </c>
      <c r="F3589">
        <v>9</v>
      </c>
      <c r="G3589">
        <v>2013</v>
      </c>
      <c r="I3589" s="8">
        <v>53</v>
      </c>
      <c r="J3589" t="s">
        <v>104</v>
      </c>
      <c r="K3589" t="s">
        <v>53</v>
      </c>
      <c r="L3589" t="s">
        <v>105</v>
      </c>
      <c r="O3589">
        <v>0</v>
      </c>
      <c r="P3589">
        <v>1</v>
      </c>
      <c r="Q3589">
        <v>0</v>
      </c>
      <c r="R3589">
        <v>0</v>
      </c>
      <c r="W3589" t="s">
        <v>106</v>
      </c>
      <c r="AA3589">
        <v>2007</v>
      </c>
      <c r="AB3589">
        <v>9999</v>
      </c>
      <c r="AC3589" t="s">
        <v>35</v>
      </c>
    </row>
    <row r="3590" spans="1:29" x14ac:dyDescent="0.25">
      <c r="A3590" s="31" t="s">
        <v>410</v>
      </c>
      <c r="B3590" s="23" t="s">
        <v>411</v>
      </c>
      <c r="C3590" t="s">
        <v>412</v>
      </c>
      <c r="D3590">
        <v>1</v>
      </c>
      <c r="E3590" t="s">
        <v>103</v>
      </c>
      <c r="F3590">
        <v>9</v>
      </c>
      <c r="G3590">
        <v>2013</v>
      </c>
      <c r="I3590" s="8">
        <v>166.86</v>
      </c>
      <c r="J3590" t="s">
        <v>104</v>
      </c>
      <c r="K3590" t="s">
        <v>53</v>
      </c>
      <c r="L3590" t="s">
        <v>105</v>
      </c>
      <c r="O3590">
        <v>0</v>
      </c>
      <c r="P3590">
        <v>1</v>
      </c>
      <c r="Q3590">
        <v>0</v>
      </c>
      <c r="R3590">
        <v>0</v>
      </c>
      <c r="W3590" t="s">
        <v>106</v>
      </c>
      <c r="AA3590">
        <v>2007</v>
      </c>
      <c r="AB3590">
        <v>9999</v>
      </c>
      <c r="AC3590" t="s">
        <v>35</v>
      </c>
    </row>
    <row r="3591" spans="1:29" x14ac:dyDescent="0.25">
      <c r="A3591" s="31" t="s">
        <v>413</v>
      </c>
      <c r="B3591" s="23" t="s">
        <v>414</v>
      </c>
      <c r="C3591" t="s">
        <v>415</v>
      </c>
      <c r="D3591">
        <v>1</v>
      </c>
      <c r="E3591" t="s">
        <v>103</v>
      </c>
      <c r="F3591">
        <v>9</v>
      </c>
      <c r="G3591">
        <v>2013</v>
      </c>
      <c r="I3591" s="8">
        <v>3636.78</v>
      </c>
      <c r="J3591" t="s">
        <v>104</v>
      </c>
      <c r="K3591" t="s">
        <v>53</v>
      </c>
      <c r="L3591" t="s">
        <v>105</v>
      </c>
      <c r="O3591">
        <v>0</v>
      </c>
      <c r="P3591">
        <v>1</v>
      </c>
      <c r="Q3591">
        <v>0</v>
      </c>
      <c r="R3591">
        <v>0</v>
      </c>
      <c r="W3591" t="s">
        <v>106</v>
      </c>
      <c r="AA3591">
        <v>2007</v>
      </c>
      <c r="AB3591">
        <v>9999</v>
      </c>
      <c r="AC3591" t="s">
        <v>35</v>
      </c>
    </row>
    <row r="3592" spans="1:29" x14ac:dyDescent="0.25">
      <c r="A3592" s="31" t="s">
        <v>416</v>
      </c>
      <c r="B3592" s="23" t="s">
        <v>417</v>
      </c>
      <c r="C3592" t="s">
        <v>418</v>
      </c>
      <c r="D3592">
        <v>1</v>
      </c>
      <c r="E3592" t="s">
        <v>218</v>
      </c>
      <c r="F3592">
        <v>2</v>
      </c>
      <c r="G3592">
        <v>2013</v>
      </c>
      <c r="I3592" s="8">
        <v>731.87</v>
      </c>
      <c r="J3592" t="s">
        <v>147</v>
      </c>
      <c r="K3592" t="s">
        <v>47</v>
      </c>
      <c r="O3592">
        <v>0</v>
      </c>
      <c r="P3592">
        <v>0</v>
      </c>
      <c r="Q3592">
        <v>0</v>
      </c>
      <c r="R3592">
        <v>0</v>
      </c>
      <c r="W3592" t="s">
        <v>1107</v>
      </c>
      <c r="AA3592">
        <v>2007</v>
      </c>
      <c r="AB3592">
        <v>9999</v>
      </c>
      <c r="AC3592" t="s">
        <v>35</v>
      </c>
    </row>
    <row r="3593" spans="1:29" x14ac:dyDescent="0.25">
      <c r="A3593" s="31" t="s">
        <v>420</v>
      </c>
      <c r="B3593" s="25" t="s">
        <v>421</v>
      </c>
      <c r="D3593">
        <v>1</v>
      </c>
      <c r="E3593" t="s">
        <v>38</v>
      </c>
      <c r="F3593">
        <v>4</v>
      </c>
      <c r="G3593">
        <v>2013</v>
      </c>
      <c r="H3593" t="s">
        <v>39</v>
      </c>
      <c r="J3593" s="2" t="s">
        <v>31</v>
      </c>
      <c r="K3593" t="s">
        <v>32</v>
      </c>
      <c r="O3593">
        <v>0</v>
      </c>
      <c r="P3593">
        <v>0</v>
      </c>
      <c r="Q3593">
        <v>0</v>
      </c>
      <c r="R3593">
        <v>0</v>
      </c>
      <c r="W3593" t="s">
        <v>1108</v>
      </c>
      <c r="AA3593">
        <v>2007</v>
      </c>
      <c r="AB3593">
        <v>9999</v>
      </c>
      <c r="AC3593" t="s">
        <v>35</v>
      </c>
    </row>
    <row r="3594" spans="1:29" x14ac:dyDescent="0.25">
      <c r="A3594" s="31" t="s">
        <v>423</v>
      </c>
      <c r="B3594" s="25" t="s">
        <v>424</v>
      </c>
      <c r="D3594">
        <v>1</v>
      </c>
      <c r="E3594" t="s">
        <v>85</v>
      </c>
      <c r="F3594">
        <v>1</v>
      </c>
      <c r="G3594">
        <v>2013</v>
      </c>
      <c r="H3594" t="s">
        <v>303</v>
      </c>
      <c r="J3594" t="s">
        <v>121</v>
      </c>
      <c r="K3594" t="s">
        <v>53</v>
      </c>
      <c r="L3594" t="s">
        <v>425</v>
      </c>
      <c r="O3594">
        <v>0</v>
      </c>
      <c r="P3594">
        <v>0</v>
      </c>
      <c r="Q3594">
        <v>0</v>
      </c>
      <c r="R3594">
        <v>0</v>
      </c>
      <c r="W3594" t="s">
        <v>426</v>
      </c>
      <c r="AA3594">
        <v>2007</v>
      </c>
      <c r="AB3594">
        <v>9999</v>
      </c>
      <c r="AC3594" t="s">
        <v>35</v>
      </c>
    </row>
    <row r="3595" spans="1:29" x14ac:dyDescent="0.25">
      <c r="A3595" s="31" t="s">
        <v>427</v>
      </c>
      <c r="B3595" s="23" t="s">
        <v>1246</v>
      </c>
      <c r="D3595">
        <v>1</v>
      </c>
      <c r="E3595" t="s">
        <v>45</v>
      </c>
      <c r="F3595">
        <v>4</v>
      </c>
      <c r="G3595">
        <v>2013</v>
      </c>
      <c r="I3595" s="8">
        <v>1874.6</v>
      </c>
      <c r="J3595" t="s">
        <v>40</v>
      </c>
      <c r="K3595" t="s">
        <v>32</v>
      </c>
      <c r="O3595">
        <v>0</v>
      </c>
      <c r="P3595">
        <v>0</v>
      </c>
      <c r="Q3595">
        <v>0</v>
      </c>
      <c r="R3595">
        <v>0</v>
      </c>
      <c r="W3595" t="s">
        <v>1301</v>
      </c>
      <c r="AA3595">
        <v>2007</v>
      </c>
      <c r="AB3595">
        <v>9999</v>
      </c>
      <c r="AC3595" t="s">
        <v>35</v>
      </c>
    </row>
    <row r="3596" spans="1:29" x14ac:dyDescent="0.25">
      <c r="A3596" s="31" t="s">
        <v>430</v>
      </c>
      <c r="B3596" s="23" t="s">
        <v>431</v>
      </c>
      <c r="D3596">
        <v>1</v>
      </c>
      <c r="E3596" t="s">
        <v>103</v>
      </c>
      <c r="F3596">
        <v>9</v>
      </c>
      <c r="G3596">
        <v>2013</v>
      </c>
      <c r="I3596" s="8">
        <v>3357.53</v>
      </c>
      <c r="J3596" t="s">
        <v>104</v>
      </c>
      <c r="K3596" t="s">
        <v>53</v>
      </c>
      <c r="L3596" t="s">
        <v>105</v>
      </c>
      <c r="O3596">
        <v>0</v>
      </c>
      <c r="P3596">
        <v>1</v>
      </c>
      <c r="Q3596">
        <v>0</v>
      </c>
      <c r="R3596">
        <v>0</v>
      </c>
      <c r="W3596" t="s">
        <v>106</v>
      </c>
      <c r="AA3596">
        <v>2007</v>
      </c>
      <c r="AB3596">
        <v>9999</v>
      </c>
      <c r="AC3596" t="s">
        <v>35</v>
      </c>
    </row>
    <row r="3597" spans="1:29" x14ac:dyDescent="0.25">
      <c r="A3597" s="31" t="s">
        <v>1302</v>
      </c>
      <c r="B3597" s="23" t="s">
        <v>1303</v>
      </c>
      <c r="D3597">
        <v>1</v>
      </c>
      <c r="E3597" t="s">
        <v>103</v>
      </c>
      <c r="F3597">
        <v>9</v>
      </c>
      <c r="G3597">
        <v>2013</v>
      </c>
      <c r="I3597" s="8">
        <v>1678.89</v>
      </c>
      <c r="J3597" t="s">
        <v>104</v>
      </c>
      <c r="K3597" t="s">
        <v>53</v>
      </c>
      <c r="L3597" t="s">
        <v>105</v>
      </c>
      <c r="O3597">
        <v>0</v>
      </c>
      <c r="P3597">
        <v>1</v>
      </c>
      <c r="Q3597">
        <v>0</v>
      </c>
      <c r="R3597">
        <v>0</v>
      </c>
      <c r="W3597" t="s">
        <v>106</v>
      </c>
      <c r="AA3597">
        <v>2010</v>
      </c>
      <c r="AB3597">
        <v>9999</v>
      </c>
      <c r="AC3597" t="s">
        <v>1292</v>
      </c>
    </row>
    <row r="3598" spans="1:29" ht="30" x14ac:dyDescent="0.25">
      <c r="A3598" s="31" t="s">
        <v>432</v>
      </c>
      <c r="B3598" s="23" t="s">
        <v>433</v>
      </c>
      <c r="D3598">
        <v>1</v>
      </c>
      <c r="E3598" t="s">
        <v>80</v>
      </c>
      <c r="F3598">
        <v>8</v>
      </c>
      <c r="G3598">
        <v>2013</v>
      </c>
      <c r="I3598" s="8">
        <v>53.67</v>
      </c>
      <c r="J3598" t="s">
        <v>81</v>
      </c>
      <c r="K3598" t="s">
        <v>47</v>
      </c>
      <c r="O3598">
        <v>0</v>
      </c>
      <c r="P3598">
        <v>0</v>
      </c>
      <c r="Q3598">
        <v>0</v>
      </c>
      <c r="R3598">
        <v>0</v>
      </c>
      <c r="W3598" t="s">
        <v>1111</v>
      </c>
      <c r="AA3598">
        <v>2007</v>
      </c>
      <c r="AB3598">
        <v>2017</v>
      </c>
      <c r="AC3598" t="s">
        <v>435</v>
      </c>
    </row>
    <row r="3599" spans="1:29" x14ac:dyDescent="0.25">
      <c r="A3599" s="31" t="s">
        <v>439</v>
      </c>
      <c r="B3599" s="23" t="s">
        <v>440</v>
      </c>
      <c r="C3599" t="s">
        <v>441</v>
      </c>
      <c r="D3599">
        <v>1</v>
      </c>
      <c r="E3599" t="s">
        <v>442</v>
      </c>
      <c r="F3599">
        <v>4</v>
      </c>
      <c r="G3599">
        <v>2013</v>
      </c>
      <c r="I3599" s="8">
        <v>498.95</v>
      </c>
      <c r="J3599" t="s">
        <v>1343</v>
      </c>
      <c r="K3599" t="s">
        <v>47</v>
      </c>
      <c r="O3599">
        <v>0</v>
      </c>
      <c r="P3599">
        <v>0</v>
      </c>
      <c r="Q3599">
        <v>0</v>
      </c>
      <c r="R3599">
        <v>0</v>
      </c>
      <c r="W3599" t="s">
        <v>1304</v>
      </c>
      <c r="AA3599">
        <v>2007</v>
      </c>
      <c r="AB3599">
        <v>9999</v>
      </c>
      <c r="AC3599" t="s">
        <v>35</v>
      </c>
    </row>
    <row r="3600" spans="1:29" ht="30" x14ac:dyDescent="0.25">
      <c r="B3600" s="25" t="s">
        <v>444</v>
      </c>
      <c r="C3600" t="s">
        <v>445</v>
      </c>
      <c r="D3600">
        <v>5</v>
      </c>
      <c r="E3600" t="s">
        <v>38</v>
      </c>
      <c r="F3600">
        <v>4</v>
      </c>
      <c r="G3600">
        <v>2013</v>
      </c>
      <c r="J3600" s="2" t="s">
        <v>31</v>
      </c>
      <c r="K3600" t="s">
        <v>41</v>
      </c>
      <c r="O3600">
        <v>0</v>
      </c>
      <c r="P3600">
        <v>0</v>
      </c>
      <c r="Q3600">
        <v>0</v>
      </c>
      <c r="R3600">
        <v>0</v>
      </c>
      <c r="W3600" t="s">
        <v>1114</v>
      </c>
      <c r="AA3600">
        <v>2007</v>
      </c>
      <c r="AB3600">
        <v>9999</v>
      </c>
      <c r="AC3600" t="s">
        <v>35</v>
      </c>
    </row>
    <row r="3601" spans="1:29" x14ac:dyDescent="0.25">
      <c r="A3601" s="31" t="s">
        <v>447</v>
      </c>
      <c r="B3601" s="23" t="s">
        <v>448</v>
      </c>
      <c r="D3601">
        <v>1</v>
      </c>
      <c r="E3601" t="s">
        <v>45</v>
      </c>
      <c r="F3601">
        <v>4</v>
      </c>
      <c r="G3601">
        <v>2013</v>
      </c>
      <c r="I3601" s="8">
        <v>35.4</v>
      </c>
      <c r="J3601" t="s">
        <v>52</v>
      </c>
      <c r="K3601" t="s">
        <v>32</v>
      </c>
      <c r="O3601">
        <v>0</v>
      </c>
      <c r="P3601">
        <v>0</v>
      </c>
      <c r="Q3601">
        <v>0</v>
      </c>
      <c r="R3601">
        <v>0</v>
      </c>
      <c r="W3601" t="s">
        <v>1115</v>
      </c>
      <c r="AA3601">
        <v>2007</v>
      </c>
      <c r="AB3601">
        <v>9999</v>
      </c>
      <c r="AC3601" t="s">
        <v>35</v>
      </c>
    </row>
    <row r="3602" spans="1:29" x14ac:dyDescent="0.25">
      <c r="A3602" s="31" t="s">
        <v>453</v>
      </c>
      <c r="B3602" s="23" t="s">
        <v>454</v>
      </c>
      <c r="C3602" t="s">
        <v>455</v>
      </c>
      <c r="D3602">
        <v>1</v>
      </c>
      <c r="E3602" t="s">
        <v>456</v>
      </c>
      <c r="F3602">
        <v>4</v>
      </c>
      <c r="G3602">
        <v>2013</v>
      </c>
      <c r="I3602" s="8">
        <v>1270.1300000000001</v>
      </c>
      <c r="J3602" t="s">
        <v>89</v>
      </c>
      <c r="K3602" t="s">
        <v>32</v>
      </c>
      <c r="L3602" t="s">
        <v>33</v>
      </c>
      <c r="O3602">
        <v>0</v>
      </c>
      <c r="P3602">
        <v>0</v>
      </c>
      <c r="Q3602">
        <v>0</v>
      </c>
      <c r="R3602">
        <v>1</v>
      </c>
      <c r="W3602" t="s">
        <v>1360</v>
      </c>
      <c r="AA3602">
        <v>2007</v>
      </c>
      <c r="AB3602">
        <v>9999</v>
      </c>
      <c r="AC3602" t="s">
        <v>35</v>
      </c>
    </row>
    <row r="3603" spans="1:29" x14ac:dyDescent="0.25">
      <c r="A3603" s="31" t="s">
        <v>458</v>
      </c>
      <c r="B3603" s="23" t="s">
        <v>459</v>
      </c>
      <c r="D3603">
        <v>1</v>
      </c>
      <c r="E3603" t="s">
        <v>103</v>
      </c>
      <c r="F3603">
        <v>9</v>
      </c>
      <c r="G3603">
        <v>2013</v>
      </c>
      <c r="I3603" s="8">
        <v>1444.26</v>
      </c>
      <c r="J3603" t="s">
        <v>104</v>
      </c>
      <c r="K3603" t="s">
        <v>53</v>
      </c>
      <c r="L3603" t="s">
        <v>105</v>
      </c>
      <c r="O3603">
        <v>0</v>
      </c>
      <c r="P3603">
        <v>1</v>
      </c>
      <c r="Q3603">
        <v>0</v>
      </c>
      <c r="R3603">
        <v>0</v>
      </c>
      <c r="W3603" t="s">
        <v>106</v>
      </c>
      <c r="AA3603">
        <v>2007</v>
      </c>
      <c r="AB3603">
        <v>9999</v>
      </c>
      <c r="AC3603" t="s">
        <v>35</v>
      </c>
    </row>
    <row r="3604" spans="1:29" x14ac:dyDescent="0.25">
      <c r="A3604" s="31" t="s">
        <v>460</v>
      </c>
      <c r="B3604" s="23" t="s">
        <v>461</v>
      </c>
      <c r="D3604">
        <v>1</v>
      </c>
      <c r="E3604" t="s">
        <v>103</v>
      </c>
      <c r="F3604">
        <v>9</v>
      </c>
      <c r="G3604">
        <v>2013</v>
      </c>
      <c r="I3604" s="8">
        <v>6977.56</v>
      </c>
      <c r="J3604" t="s">
        <v>104</v>
      </c>
      <c r="K3604" t="s">
        <v>53</v>
      </c>
      <c r="L3604" t="s">
        <v>105</v>
      </c>
      <c r="O3604">
        <v>0</v>
      </c>
      <c r="P3604">
        <v>1</v>
      </c>
      <c r="Q3604">
        <v>0</v>
      </c>
      <c r="R3604">
        <v>0</v>
      </c>
      <c r="W3604" t="s">
        <v>106</v>
      </c>
      <c r="AA3604">
        <v>2007</v>
      </c>
      <c r="AB3604">
        <v>9999</v>
      </c>
      <c r="AC3604" t="s">
        <v>35</v>
      </c>
    </row>
    <row r="3605" spans="1:29" x14ac:dyDescent="0.25">
      <c r="A3605" s="31" t="s">
        <v>465</v>
      </c>
      <c r="B3605" s="23" t="s">
        <v>466</v>
      </c>
      <c r="C3605" t="s">
        <v>467</v>
      </c>
      <c r="D3605">
        <v>1</v>
      </c>
      <c r="E3605" t="s">
        <v>468</v>
      </c>
      <c r="F3605">
        <v>7</v>
      </c>
      <c r="G3605">
        <v>2013</v>
      </c>
      <c r="I3605" s="8">
        <v>691.38</v>
      </c>
      <c r="J3605" t="s">
        <v>40</v>
      </c>
      <c r="K3605" t="s">
        <v>32</v>
      </c>
      <c r="O3605">
        <v>0</v>
      </c>
      <c r="P3605">
        <v>0</v>
      </c>
      <c r="Q3605">
        <v>0</v>
      </c>
      <c r="R3605">
        <v>0</v>
      </c>
      <c r="W3605" t="s">
        <v>1119</v>
      </c>
      <c r="AA3605">
        <v>2007</v>
      </c>
      <c r="AB3605">
        <v>9999</v>
      </c>
      <c r="AC3605" t="s">
        <v>35</v>
      </c>
    </row>
    <row r="3606" spans="1:29" x14ac:dyDescent="0.25">
      <c r="A3606" s="31" t="s">
        <v>478</v>
      </c>
      <c r="B3606" s="23" t="s">
        <v>479</v>
      </c>
      <c r="D3606">
        <v>1</v>
      </c>
      <c r="E3606" t="s">
        <v>348</v>
      </c>
      <c r="F3606">
        <v>1</v>
      </c>
      <c r="G3606">
        <v>2013</v>
      </c>
      <c r="I3606" s="8">
        <v>93.87</v>
      </c>
      <c r="J3606" t="s">
        <v>40</v>
      </c>
      <c r="K3606" t="s">
        <v>47</v>
      </c>
      <c r="O3606">
        <v>0</v>
      </c>
      <c r="P3606">
        <v>0</v>
      </c>
      <c r="Q3606">
        <v>0</v>
      </c>
      <c r="R3606">
        <v>0</v>
      </c>
      <c r="W3606" t="s">
        <v>1120</v>
      </c>
      <c r="AA3606">
        <v>2007</v>
      </c>
      <c r="AB3606">
        <v>9999</v>
      </c>
      <c r="AC3606" t="s">
        <v>35</v>
      </c>
    </row>
    <row r="3607" spans="1:29" x14ac:dyDescent="0.25">
      <c r="A3607" s="31" t="s">
        <v>481</v>
      </c>
      <c r="B3607" s="23" t="s">
        <v>482</v>
      </c>
      <c r="D3607">
        <v>1</v>
      </c>
      <c r="E3607" t="s">
        <v>348</v>
      </c>
      <c r="F3607">
        <v>1</v>
      </c>
      <c r="G3607">
        <v>2013</v>
      </c>
      <c r="I3607" s="8">
        <v>214.61</v>
      </c>
      <c r="J3607" t="s">
        <v>40</v>
      </c>
      <c r="K3607" t="s">
        <v>47</v>
      </c>
      <c r="O3607">
        <v>0</v>
      </c>
      <c r="P3607">
        <v>0</v>
      </c>
      <c r="Q3607">
        <v>0</v>
      </c>
      <c r="R3607">
        <v>0</v>
      </c>
      <c r="W3607" t="s">
        <v>1120</v>
      </c>
      <c r="AA3607">
        <v>2007</v>
      </c>
      <c r="AB3607">
        <v>9999</v>
      </c>
      <c r="AC3607" t="s">
        <v>35</v>
      </c>
    </row>
    <row r="3608" spans="1:29" x14ac:dyDescent="0.25">
      <c r="A3608" s="31" t="s">
        <v>483</v>
      </c>
      <c r="B3608" s="23" t="s">
        <v>484</v>
      </c>
      <c r="D3608">
        <v>1</v>
      </c>
      <c r="E3608" t="s">
        <v>348</v>
      </c>
      <c r="F3608">
        <v>1</v>
      </c>
      <c r="G3608">
        <v>2013</v>
      </c>
      <c r="I3608" s="8">
        <v>93.25</v>
      </c>
      <c r="J3608" t="s">
        <v>40</v>
      </c>
      <c r="K3608" t="s">
        <v>47</v>
      </c>
      <c r="O3608">
        <v>0</v>
      </c>
      <c r="P3608">
        <v>0</v>
      </c>
      <c r="Q3608">
        <v>0</v>
      </c>
      <c r="R3608">
        <v>0</v>
      </c>
      <c r="W3608" t="s">
        <v>1120</v>
      </c>
      <c r="AA3608">
        <v>2007</v>
      </c>
      <c r="AB3608">
        <v>9999</v>
      </c>
      <c r="AC3608" t="s">
        <v>35</v>
      </c>
    </row>
    <row r="3609" spans="1:29" x14ac:dyDescent="0.25">
      <c r="A3609" s="31" t="s">
        <v>485</v>
      </c>
      <c r="B3609" s="23" t="s">
        <v>486</v>
      </c>
      <c r="D3609">
        <v>1</v>
      </c>
      <c r="E3609" t="s">
        <v>348</v>
      </c>
      <c r="F3609">
        <v>1</v>
      </c>
      <c r="G3609">
        <v>2013</v>
      </c>
      <c r="I3609" s="8">
        <v>186.78</v>
      </c>
      <c r="J3609" t="s">
        <v>40</v>
      </c>
      <c r="K3609" t="s">
        <v>47</v>
      </c>
      <c r="O3609">
        <v>0</v>
      </c>
      <c r="P3609">
        <v>0</v>
      </c>
      <c r="Q3609">
        <v>0</v>
      </c>
      <c r="R3609">
        <v>0</v>
      </c>
      <c r="W3609" t="s">
        <v>1120</v>
      </c>
      <c r="AA3609">
        <v>2007</v>
      </c>
      <c r="AB3609">
        <v>9999</v>
      </c>
      <c r="AC3609" t="s">
        <v>35</v>
      </c>
    </row>
    <row r="3610" spans="1:29" x14ac:dyDescent="0.25">
      <c r="A3610" s="31" t="s">
        <v>487</v>
      </c>
      <c r="B3610" s="23" t="s">
        <v>488</v>
      </c>
      <c r="D3610">
        <v>1</v>
      </c>
      <c r="E3610" t="s">
        <v>348</v>
      </c>
      <c r="F3610">
        <v>1</v>
      </c>
      <c r="G3610">
        <v>2013</v>
      </c>
      <c r="I3610" s="8">
        <v>162.22999999999999</v>
      </c>
      <c r="J3610" t="s">
        <v>40</v>
      </c>
      <c r="K3610" t="s">
        <v>47</v>
      </c>
      <c r="O3610">
        <v>0</v>
      </c>
      <c r="P3610">
        <v>0</v>
      </c>
      <c r="Q3610">
        <v>0</v>
      </c>
      <c r="R3610">
        <v>0</v>
      </c>
      <c r="W3610" t="s">
        <v>1120</v>
      </c>
      <c r="AA3610">
        <v>2007</v>
      </c>
      <c r="AB3610">
        <v>9999</v>
      </c>
      <c r="AC3610" t="s">
        <v>35</v>
      </c>
    </row>
    <row r="3611" spans="1:29" x14ac:dyDescent="0.25">
      <c r="A3611" s="31" t="s">
        <v>489</v>
      </c>
      <c r="B3611" s="23" t="s">
        <v>490</v>
      </c>
      <c r="D3611">
        <v>1</v>
      </c>
      <c r="E3611" t="s">
        <v>348</v>
      </c>
      <c r="F3611">
        <v>1</v>
      </c>
      <c r="G3611">
        <v>2013</v>
      </c>
      <c r="I3611" s="8">
        <v>202.93</v>
      </c>
      <c r="J3611" t="s">
        <v>40</v>
      </c>
      <c r="K3611" t="s">
        <v>47</v>
      </c>
      <c r="O3611">
        <v>0</v>
      </c>
      <c r="P3611">
        <v>0</v>
      </c>
      <c r="Q3611">
        <v>0</v>
      </c>
      <c r="R3611">
        <v>0</v>
      </c>
      <c r="W3611" t="s">
        <v>1120</v>
      </c>
      <c r="AA3611">
        <v>2007</v>
      </c>
      <c r="AB3611">
        <v>9999</v>
      </c>
      <c r="AC3611" t="s">
        <v>35</v>
      </c>
    </row>
    <row r="3612" spans="1:29" x14ac:dyDescent="0.25">
      <c r="A3612" s="31" t="s">
        <v>491</v>
      </c>
      <c r="B3612" s="23" t="s">
        <v>492</v>
      </c>
      <c r="D3612">
        <v>1</v>
      </c>
      <c r="E3612" t="s">
        <v>348</v>
      </c>
      <c r="F3612">
        <v>1</v>
      </c>
      <c r="G3612">
        <v>2013</v>
      </c>
      <c r="I3612" s="8">
        <v>205.55</v>
      </c>
      <c r="J3612" t="s">
        <v>40</v>
      </c>
      <c r="K3612" t="s">
        <v>47</v>
      </c>
      <c r="O3612">
        <v>0</v>
      </c>
      <c r="P3612">
        <v>0</v>
      </c>
      <c r="Q3612">
        <v>0</v>
      </c>
      <c r="R3612">
        <v>0</v>
      </c>
      <c r="W3612" t="s">
        <v>1120</v>
      </c>
      <c r="AA3612">
        <v>2007</v>
      </c>
      <c r="AB3612">
        <v>9999</v>
      </c>
      <c r="AC3612" t="s">
        <v>35</v>
      </c>
    </row>
    <row r="3613" spans="1:29" x14ac:dyDescent="0.25">
      <c r="A3613" s="31" t="s">
        <v>493</v>
      </c>
      <c r="B3613" s="23" t="s">
        <v>494</v>
      </c>
      <c r="D3613">
        <v>1</v>
      </c>
      <c r="E3613" t="s">
        <v>348</v>
      </c>
      <c r="F3613">
        <v>1</v>
      </c>
      <c r="G3613">
        <v>2013</v>
      </c>
      <c r="I3613" s="8">
        <v>195.23</v>
      </c>
      <c r="J3613" t="s">
        <v>40</v>
      </c>
      <c r="K3613" t="s">
        <v>47</v>
      </c>
      <c r="O3613">
        <v>0</v>
      </c>
      <c r="P3613">
        <v>0</v>
      </c>
      <c r="Q3613">
        <v>0</v>
      </c>
      <c r="R3613">
        <v>0</v>
      </c>
      <c r="W3613" t="s">
        <v>1120</v>
      </c>
      <c r="AA3613">
        <v>2007</v>
      </c>
      <c r="AB3613">
        <v>9999</v>
      </c>
      <c r="AC3613" t="s">
        <v>35</v>
      </c>
    </row>
    <row r="3614" spans="1:29" x14ac:dyDescent="0.25">
      <c r="A3614" s="31" t="s">
        <v>495</v>
      </c>
      <c r="B3614" s="23" t="s">
        <v>496</v>
      </c>
      <c r="D3614">
        <v>1</v>
      </c>
      <c r="E3614" t="s">
        <v>348</v>
      </c>
      <c r="F3614">
        <v>1</v>
      </c>
      <c r="G3614">
        <v>2013</v>
      </c>
      <c r="I3614" s="8">
        <v>148.79</v>
      </c>
      <c r="J3614" t="s">
        <v>40</v>
      </c>
      <c r="K3614" t="s">
        <v>47</v>
      </c>
      <c r="O3614">
        <v>0</v>
      </c>
      <c r="P3614">
        <v>0</v>
      </c>
      <c r="Q3614">
        <v>0</v>
      </c>
      <c r="R3614">
        <v>0</v>
      </c>
      <c r="W3614" t="s">
        <v>1120</v>
      </c>
      <c r="AA3614">
        <v>2007</v>
      </c>
      <c r="AB3614">
        <v>9999</v>
      </c>
      <c r="AC3614" t="s">
        <v>35</v>
      </c>
    </row>
    <row r="3615" spans="1:29" x14ac:dyDescent="0.25">
      <c r="A3615" s="31" t="s">
        <v>497</v>
      </c>
      <c r="B3615" s="23" t="s">
        <v>498</v>
      </c>
      <c r="D3615">
        <v>1</v>
      </c>
      <c r="E3615" t="s">
        <v>348</v>
      </c>
      <c r="F3615">
        <v>1</v>
      </c>
      <c r="G3615">
        <v>2013</v>
      </c>
      <c r="I3615" s="8">
        <v>240.07</v>
      </c>
      <c r="J3615" t="s">
        <v>40</v>
      </c>
      <c r="K3615" t="s">
        <v>47</v>
      </c>
      <c r="O3615">
        <v>0</v>
      </c>
      <c r="P3615">
        <v>0</v>
      </c>
      <c r="Q3615">
        <v>0</v>
      </c>
      <c r="R3615">
        <v>0</v>
      </c>
      <c r="W3615" t="s">
        <v>1120</v>
      </c>
      <c r="AA3615">
        <v>2007</v>
      </c>
      <c r="AB3615">
        <v>9999</v>
      </c>
      <c r="AC3615" t="s">
        <v>35</v>
      </c>
    </row>
    <row r="3616" spans="1:29" x14ac:dyDescent="0.25">
      <c r="A3616" s="31" t="s">
        <v>499</v>
      </c>
      <c r="B3616" s="23" t="s">
        <v>500</v>
      </c>
      <c r="D3616">
        <v>1</v>
      </c>
      <c r="E3616" t="s">
        <v>348</v>
      </c>
      <c r="F3616">
        <v>1</v>
      </c>
      <c r="G3616">
        <v>2013</v>
      </c>
      <c r="I3616" s="8">
        <v>417.54</v>
      </c>
      <c r="J3616" t="s">
        <v>40</v>
      </c>
      <c r="K3616" t="s">
        <v>47</v>
      </c>
      <c r="O3616">
        <v>0</v>
      </c>
      <c r="P3616">
        <v>0</v>
      </c>
      <c r="Q3616">
        <v>0</v>
      </c>
      <c r="R3616">
        <v>0</v>
      </c>
      <c r="W3616" t="s">
        <v>1120</v>
      </c>
      <c r="AA3616">
        <v>2007</v>
      </c>
      <c r="AB3616">
        <v>9999</v>
      </c>
      <c r="AC3616" t="s">
        <v>35</v>
      </c>
    </row>
    <row r="3617" spans="1:29" x14ac:dyDescent="0.25">
      <c r="A3617" s="31" t="s">
        <v>501</v>
      </c>
      <c r="B3617" s="23" t="s">
        <v>502</v>
      </c>
      <c r="D3617">
        <v>1</v>
      </c>
      <c r="E3617" t="s">
        <v>348</v>
      </c>
      <c r="F3617">
        <v>1</v>
      </c>
      <c r="G3617">
        <v>2013</v>
      </c>
      <c r="I3617" s="8">
        <v>391.15</v>
      </c>
      <c r="J3617" t="s">
        <v>40</v>
      </c>
      <c r="K3617" t="s">
        <v>47</v>
      </c>
      <c r="O3617">
        <v>0</v>
      </c>
      <c r="P3617">
        <v>0</v>
      </c>
      <c r="Q3617">
        <v>0</v>
      </c>
      <c r="R3617">
        <v>0</v>
      </c>
      <c r="W3617" t="s">
        <v>1120</v>
      </c>
      <c r="AA3617">
        <v>2007</v>
      </c>
      <c r="AB3617">
        <v>9999</v>
      </c>
      <c r="AC3617" t="s">
        <v>35</v>
      </c>
    </row>
    <row r="3618" spans="1:29" x14ac:dyDescent="0.25">
      <c r="A3618" s="31" t="s">
        <v>503</v>
      </c>
      <c r="B3618" s="23" t="s">
        <v>504</v>
      </c>
      <c r="D3618">
        <v>1</v>
      </c>
      <c r="E3618" t="s">
        <v>348</v>
      </c>
      <c r="F3618">
        <v>1</v>
      </c>
      <c r="G3618">
        <v>2013</v>
      </c>
      <c r="I3618" s="8">
        <v>147.16999999999999</v>
      </c>
      <c r="J3618" t="s">
        <v>40</v>
      </c>
      <c r="K3618" t="s">
        <v>47</v>
      </c>
      <c r="O3618">
        <v>0</v>
      </c>
      <c r="P3618">
        <v>0</v>
      </c>
      <c r="Q3618">
        <v>0</v>
      </c>
      <c r="R3618">
        <v>0</v>
      </c>
      <c r="W3618" t="s">
        <v>1120</v>
      </c>
      <c r="AA3618">
        <v>2007</v>
      </c>
      <c r="AB3618">
        <v>9999</v>
      </c>
      <c r="AC3618" t="s">
        <v>35</v>
      </c>
    </row>
    <row r="3619" spans="1:29" x14ac:dyDescent="0.25">
      <c r="A3619" s="31" t="s">
        <v>505</v>
      </c>
      <c r="B3619" s="23" t="s">
        <v>506</v>
      </c>
      <c r="D3619">
        <v>1</v>
      </c>
      <c r="E3619" t="s">
        <v>348</v>
      </c>
      <c r="F3619">
        <v>1</v>
      </c>
      <c r="G3619">
        <v>2013</v>
      </c>
      <c r="I3619" s="8">
        <v>160.41999999999999</v>
      </c>
      <c r="J3619" t="s">
        <v>40</v>
      </c>
      <c r="K3619" t="s">
        <v>47</v>
      </c>
      <c r="O3619">
        <v>0</v>
      </c>
      <c r="P3619">
        <v>0</v>
      </c>
      <c r="Q3619">
        <v>0</v>
      </c>
      <c r="R3619">
        <v>0</v>
      </c>
      <c r="W3619" t="s">
        <v>1120</v>
      </c>
      <c r="AA3619">
        <v>2007</v>
      </c>
      <c r="AB3619">
        <v>9999</v>
      </c>
      <c r="AC3619" t="s">
        <v>35</v>
      </c>
    </row>
    <row r="3620" spans="1:29" x14ac:dyDescent="0.25">
      <c r="A3620" s="31" t="s">
        <v>507</v>
      </c>
      <c r="B3620" s="23" t="s">
        <v>508</v>
      </c>
      <c r="D3620">
        <v>1</v>
      </c>
      <c r="E3620" t="s">
        <v>348</v>
      </c>
      <c r="F3620">
        <v>1</v>
      </c>
      <c r="G3620">
        <v>2013</v>
      </c>
      <c r="I3620" s="8">
        <v>181.31</v>
      </c>
      <c r="J3620" t="s">
        <v>40</v>
      </c>
      <c r="K3620" t="s">
        <v>47</v>
      </c>
      <c r="O3620">
        <v>0</v>
      </c>
      <c r="P3620">
        <v>0</v>
      </c>
      <c r="Q3620">
        <v>0</v>
      </c>
      <c r="R3620">
        <v>0</v>
      </c>
      <c r="W3620" t="s">
        <v>1120</v>
      </c>
      <c r="AA3620">
        <v>2007</v>
      </c>
      <c r="AB3620">
        <v>9999</v>
      </c>
      <c r="AC3620" t="s">
        <v>35</v>
      </c>
    </row>
    <row r="3621" spans="1:29" x14ac:dyDescent="0.25">
      <c r="A3621" s="31" t="s">
        <v>509</v>
      </c>
      <c r="B3621" s="23" t="s">
        <v>510</v>
      </c>
      <c r="D3621">
        <v>1</v>
      </c>
      <c r="E3621" t="s">
        <v>348</v>
      </c>
      <c r="F3621">
        <v>1</v>
      </c>
      <c r="G3621">
        <v>2013</v>
      </c>
      <c r="I3621" s="8">
        <v>215.51</v>
      </c>
      <c r="J3621" t="s">
        <v>40</v>
      </c>
      <c r="K3621" t="s">
        <v>47</v>
      </c>
      <c r="O3621">
        <v>0</v>
      </c>
      <c r="P3621">
        <v>0</v>
      </c>
      <c r="Q3621">
        <v>0</v>
      </c>
      <c r="R3621">
        <v>0</v>
      </c>
      <c r="W3621" t="s">
        <v>1120</v>
      </c>
      <c r="AA3621">
        <v>2007</v>
      </c>
      <c r="AB3621">
        <v>9999</v>
      </c>
      <c r="AC3621" t="s">
        <v>35</v>
      </c>
    </row>
    <row r="3622" spans="1:29" x14ac:dyDescent="0.25">
      <c r="A3622" s="31" t="s">
        <v>511</v>
      </c>
      <c r="B3622" s="23" t="s">
        <v>512</v>
      </c>
      <c r="D3622">
        <v>1</v>
      </c>
      <c r="E3622" t="s">
        <v>348</v>
      </c>
      <c r="F3622">
        <v>1</v>
      </c>
      <c r="G3622">
        <v>2013</v>
      </c>
      <c r="I3622" s="8">
        <v>219.89</v>
      </c>
      <c r="J3622" t="s">
        <v>40</v>
      </c>
      <c r="K3622" t="s">
        <v>47</v>
      </c>
      <c r="O3622">
        <v>0</v>
      </c>
      <c r="P3622">
        <v>0</v>
      </c>
      <c r="Q3622">
        <v>0</v>
      </c>
      <c r="R3622">
        <v>0</v>
      </c>
      <c r="W3622" t="s">
        <v>1120</v>
      </c>
      <c r="AA3622">
        <v>2007</v>
      </c>
      <c r="AB3622">
        <v>9999</v>
      </c>
      <c r="AC3622" t="s">
        <v>35</v>
      </c>
    </row>
    <row r="3623" spans="1:29" x14ac:dyDescent="0.25">
      <c r="A3623" s="31" t="s">
        <v>513</v>
      </c>
      <c r="B3623" s="23" t="s">
        <v>514</v>
      </c>
      <c r="D3623">
        <v>1</v>
      </c>
      <c r="E3623" t="s">
        <v>348</v>
      </c>
      <c r="F3623">
        <v>1</v>
      </c>
      <c r="G3623">
        <v>2013</v>
      </c>
      <c r="I3623" s="8">
        <v>150.38</v>
      </c>
      <c r="J3623" t="s">
        <v>40</v>
      </c>
      <c r="K3623" t="s">
        <v>47</v>
      </c>
      <c r="O3623">
        <v>0</v>
      </c>
      <c r="P3623">
        <v>0</v>
      </c>
      <c r="Q3623">
        <v>0</v>
      </c>
      <c r="R3623">
        <v>0</v>
      </c>
      <c r="W3623" t="s">
        <v>1120</v>
      </c>
      <c r="AA3623">
        <v>2007</v>
      </c>
      <c r="AB3623">
        <v>9999</v>
      </c>
      <c r="AC3623" t="s">
        <v>35</v>
      </c>
    </row>
    <row r="3624" spans="1:29" x14ac:dyDescent="0.25">
      <c r="A3624" s="31" t="s">
        <v>515</v>
      </c>
      <c r="B3624" s="23" t="s">
        <v>516</v>
      </c>
      <c r="D3624">
        <v>1</v>
      </c>
      <c r="E3624" t="s">
        <v>348</v>
      </c>
      <c r="F3624">
        <v>1</v>
      </c>
      <c r="G3624">
        <v>2013</v>
      </c>
      <c r="I3624" s="8">
        <v>724.09</v>
      </c>
      <c r="J3624" t="s">
        <v>40</v>
      </c>
      <c r="K3624" t="s">
        <v>47</v>
      </c>
      <c r="O3624">
        <v>0</v>
      </c>
      <c r="P3624">
        <v>0</v>
      </c>
      <c r="Q3624">
        <v>0</v>
      </c>
      <c r="R3624">
        <v>0</v>
      </c>
      <c r="W3624" t="s">
        <v>1120</v>
      </c>
      <c r="AA3624">
        <v>2007</v>
      </c>
      <c r="AB3624">
        <v>9999</v>
      </c>
      <c r="AC3624" t="s">
        <v>35</v>
      </c>
    </row>
    <row r="3625" spans="1:29" x14ac:dyDescent="0.25">
      <c r="A3625" s="31" t="s">
        <v>517</v>
      </c>
      <c r="B3625" s="23" t="s">
        <v>518</v>
      </c>
      <c r="D3625">
        <v>1</v>
      </c>
      <c r="E3625" t="s">
        <v>348</v>
      </c>
      <c r="F3625">
        <v>1</v>
      </c>
      <c r="G3625">
        <v>2013</v>
      </c>
      <c r="I3625" s="8">
        <v>172.02</v>
      </c>
      <c r="J3625" t="s">
        <v>40</v>
      </c>
      <c r="K3625" t="s">
        <v>47</v>
      </c>
      <c r="O3625">
        <v>0</v>
      </c>
      <c r="P3625">
        <v>0</v>
      </c>
      <c r="Q3625">
        <v>0</v>
      </c>
      <c r="R3625">
        <v>0</v>
      </c>
      <c r="W3625" t="s">
        <v>1120</v>
      </c>
      <c r="AA3625">
        <v>2007</v>
      </c>
      <c r="AB3625">
        <v>9999</v>
      </c>
      <c r="AC3625" t="s">
        <v>35</v>
      </c>
    </row>
    <row r="3626" spans="1:29" x14ac:dyDescent="0.25">
      <c r="A3626" s="31" t="s">
        <v>519</v>
      </c>
      <c r="B3626" s="23" t="s">
        <v>520</v>
      </c>
      <c r="D3626">
        <v>1</v>
      </c>
      <c r="E3626" t="s">
        <v>348</v>
      </c>
      <c r="F3626">
        <v>1</v>
      </c>
      <c r="G3626">
        <v>2013</v>
      </c>
      <c r="I3626" s="8">
        <v>210.22</v>
      </c>
      <c r="J3626" t="s">
        <v>40</v>
      </c>
      <c r="K3626" t="s">
        <v>47</v>
      </c>
      <c r="O3626">
        <v>0</v>
      </c>
      <c r="P3626">
        <v>0</v>
      </c>
      <c r="Q3626">
        <v>0</v>
      </c>
      <c r="R3626">
        <v>0</v>
      </c>
      <c r="W3626" t="s">
        <v>1120</v>
      </c>
      <c r="AA3626">
        <v>2007</v>
      </c>
      <c r="AB3626">
        <v>9999</v>
      </c>
      <c r="AC3626" t="s">
        <v>35</v>
      </c>
    </row>
    <row r="3627" spans="1:29" x14ac:dyDescent="0.25">
      <c r="A3627" s="31" t="s">
        <v>523</v>
      </c>
      <c r="B3627" s="23" t="s">
        <v>524</v>
      </c>
      <c r="D3627">
        <v>1</v>
      </c>
      <c r="E3627" t="s">
        <v>103</v>
      </c>
      <c r="F3627">
        <v>9</v>
      </c>
      <c r="G3627">
        <v>2013</v>
      </c>
      <c r="I3627" s="8">
        <v>1330.8</v>
      </c>
      <c r="J3627" t="s">
        <v>104</v>
      </c>
      <c r="K3627" t="s">
        <v>53</v>
      </c>
      <c r="L3627" t="s">
        <v>105</v>
      </c>
      <c r="O3627">
        <v>0</v>
      </c>
      <c r="P3627">
        <v>1</v>
      </c>
      <c r="Q3627">
        <v>0</v>
      </c>
      <c r="R3627">
        <v>0</v>
      </c>
      <c r="W3627" t="s">
        <v>106</v>
      </c>
      <c r="AA3627">
        <v>2007</v>
      </c>
      <c r="AB3627">
        <v>9999</v>
      </c>
      <c r="AC3627" t="s">
        <v>35</v>
      </c>
    </row>
    <row r="3628" spans="1:29" x14ac:dyDescent="0.25">
      <c r="A3628" s="31" t="s">
        <v>525</v>
      </c>
      <c r="B3628" s="23" t="s">
        <v>526</v>
      </c>
      <c r="D3628">
        <v>1</v>
      </c>
      <c r="E3628" t="s">
        <v>45</v>
      </c>
      <c r="F3628">
        <v>4</v>
      </c>
      <c r="G3628">
        <v>2013</v>
      </c>
      <c r="I3628" s="8">
        <v>8</v>
      </c>
      <c r="J3628" t="s">
        <v>121</v>
      </c>
      <c r="K3628" t="s">
        <v>53</v>
      </c>
      <c r="L3628" t="s">
        <v>60</v>
      </c>
      <c r="O3628">
        <v>1</v>
      </c>
      <c r="P3628">
        <v>0</v>
      </c>
      <c r="Q3628">
        <v>0</v>
      </c>
      <c r="R3628">
        <v>0</v>
      </c>
      <c r="W3628" t="s">
        <v>527</v>
      </c>
      <c r="AA3628">
        <v>2007</v>
      </c>
      <c r="AB3628">
        <v>2016</v>
      </c>
      <c r="AC3628" t="s">
        <v>528</v>
      </c>
    </row>
    <row r="3629" spans="1:29" x14ac:dyDescent="0.25">
      <c r="A3629" s="31" t="s">
        <v>529</v>
      </c>
      <c r="B3629" s="23" t="s">
        <v>530</v>
      </c>
      <c r="D3629">
        <v>1</v>
      </c>
      <c r="E3629" t="s">
        <v>58</v>
      </c>
      <c r="F3629">
        <v>4</v>
      </c>
      <c r="G3629">
        <v>2013</v>
      </c>
      <c r="I3629" s="8">
        <v>11.66</v>
      </c>
      <c r="J3629" t="s">
        <v>59</v>
      </c>
      <c r="K3629" t="s">
        <v>47</v>
      </c>
      <c r="O3629">
        <v>0</v>
      </c>
      <c r="P3629">
        <v>0</v>
      </c>
      <c r="Q3629">
        <v>0</v>
      </c>
      <c r="R3629">
        <v>0</v>
      </c>
      <c r="W3629" t="s">
        <v>1121</v>
      </c>
      <c r="AA3629">
        <v>2007</v>
      </c>
      <c r="AB3629">
        <v>9999</v>
      </c>
      <c r="AC3629" t="s">
        <v>35</v>
      </c>
    </row>
    <row r="3630" spans="1:29" x14ac:dyDescent="0.25">
      <c r="A3630" s="31" t="s">
        <v>532</v>
      </c>
      <c r="B3630" s="23" t="s">
        <v>533</v>
      </c>
      <c r="D3630">
        <v>1</v>
      </c>
      <c r="E3630" t="s">
        <v>534</v>
      </c>
      <c r="F3630">
        <v>10</v>
      </c>
      <c r="G3630">
        <v>2013</v>
      </c>
      <c r="I3630" s="8">
        <v>3551.2</v>
      </c>
      <c r="J3630" t="s">
        <v>121</v>
      </c>
      <c r="K3630" t="s">
        <v>47</v>
      </c>
      <c r="O3630">
        <v>0</v>
      </c>
      <c r="P3630">
        <v>0</v>
      </c>
      <c r="Q3630">
        <v>0</v>
      </c>
      <c r="R3630">
        <v>0</v>
      </c>
      <c r="W3630" t="s">
        <v>1122</v>
      </c>
      <c r="AA3630">
        <v>2007</v>
      </c>
      <c r="AB3630">
        <v>9999</v>
      </c>
      <c r="AC3630" t="s">
        <v>35</v>
      </c>
    </row>
    <row r="3631" spans="1:29" x14ac:dyDescent="0.25">
      <c r="A3631" s="31" t="s">
        <v>536</v>
      </c>
      <c r="B3631" s="23" t="s">
        <v>537</v>
      </c>
      <c r="D3631">
        <v>1</v>
      </c>
      <c r="E3631" t="s">
        <v>103</v>
      </c>
      <c r="F3631">
        <v>9</v>
      </c>
      <c r="G3631">
        <v>2013</v>
      </c>
      <c r="I3631" s="8">
        <v>910.3</v>
      </c>
      <c r="J3631" t="s">
        <v>104</v>
      </c>
      <c r="K3631" t="s">
        <v>53</v>
      </c>
      <c r="L3631" t="s">
        <v>105</v>
      </c>
      <c r="O3631">
        <v>0</v>
      </c>
      <c r="P3631">
        <v>1</v>
      </c>
      <c r="Q3631">
        <v>0</v>
      </c>
      <c r="R3631">
        <v>0</v>
      </c>
      <c r="W3631" t="s">
        <v>106</v>
      </c>
      <c r="AA3631">
        <v>2007</v>
      </c>
      <c r="AB3631">
        <v>9999</v>
      </c>
      <c r="AC3631" t="s">
        <v>35</v>
      </c>
    </row>
    <row r="3632" spans="1:29" x14ac:dyDescent="0.25">
      <c r="A3632" s="31" t="s">
        <v>538</v>
      </c>
      <c r="B3632" s="23" t="s">
        <v>539</v>
      </c>
      <c r="D3632">
        <v>1</v>
      </c>
      <c r="E3632" t="s">
        <v>80</v>
      </c>
      <c r="F3632">
        <v>8</v>
      </c>
      <c r="G3632">
        <v>2013</v>
      </c>
      <c r="I3632" s="8">
        <v>117.47</v>
      </c>
      <c r="J3632" t="s">
        <v>81</v>
      </c>
      <c r="K3632" t="s">
        <v>47</v>
      </c>
      <c r="O3632">
        <v>0</v>
      </c>
      <c r="P3632">
        <v>0</v>
      </c>
      <c r="Q3632">
        <v>0</v>
      </c>
      <c r="R3632">
        <v>0</v>
      </c>
      <c r="W3632" t="s">
        <v>1123</v>
      </c>
      <c r="AA3632">
        <v>2007</v>
      </c>
      <c r="AB3632">
        <v>9999</v>
      </c>
      <c r="AC3632" t="s">
        <v>35</v>
      </c>
    </row>
    <row r="3633" spans="1:29" x14ac:dyDescent="0.25">
      <c r="A3633" s="31" t="s">
        <v>541</v>
      </c>
      <c r="B3633" s="23" t="s">
        <v>542</v>
      </c>
      <c r="D3633">
        <v>1</v>
      </c>
      <c r="E3633" t="s">
        <v>543</v>
      </c>
      <c r="F3633">
        <v>10</v>
      </c>
      <c r="G3633">
        <v>2013</v>
      </c>
      <c r="I3633">
        <v>26.57</v>
      </c>
      <c r="J3633" t="s">
        <v>40</v>
      </c>
      <c r="K3633" t="s">
        <v>47</v>
      </c>
      <c r="O3633">
        <v>0</v>
      </c>
      <c r="P3633">
        <v>0</v>
      </c>
      <c r="Q3633">
        <v>0</v>
      </c>
      <c r="R3633">
        <v>0</v>
      </c>
      <c r="W3633" t="s">
        <v>1124</v>
      </c>
      <c r="AA3633">
        <v>2007</v>
      </c>
      <c r="AB3633">
        <v>9999</v>
      </c>
      <c r="AC3633" t="s">
        <v>35</v>
      </c>
    </row>
    <row r="3634" spans="1:29" x14ac:dyDescent="0.25">
      <c r="A3634" s="31" t="s">
        <v>545</v>
      </c>
      <c r="B3634" s="23" t="s">
        <v>546</v>
      </c>
      <c r="D3634">
        <v>1</v>
      </c>
      <c r="E3634" t="s">
        <v>1361</v>
      </c>
      <c r="F3634">
        <v>10</v>
      </c>
      <c r="G3634">
        <v>2013</v>
      </c>
      <c r="I3634">
        <v>10.75</v>
      </c>
      <c r="J3634" t="s">
        <v>40</v>
      </c>
      <c r="K3634" t="s">
        <v>47</v>
      </c>
      <c r="O3634">
        <v>0</v>
      </c>
      <c r="P3634">
        <v>0</v>
      </c>
      <c r="Q3634">
        <v>0</v>
      </c>
      <c r="R3634">
        <v>0</v>
      </c>
      <c r="W3634" t="s">
        <v>1125</v>
      </c>
      <c r="AA3634">
        <v>2007</v>
      </c>
      <c r="AB3634">
        <v>9999</v>
      </c>
      <c r="AC3634" t="s">
        <v>35</v>
      </c>
    </row>
    <row r="3635" spans="1:29" x14ac:dyDescent="0.25">
      <c r="A3635" s="31" t="s">
        <v>1400</v>
      </c>
      <c r="B3635" s="25" t="s">
        <v>1401</v>
      </c>
      <c r="D3635">
        <v>1</v>
      </c>
      <c r="E3635" s="5" t="s">
        <v>80</v>
      </c>
      <c r="F3635">
        <v>8</v>
      </c>
      <c r="G3635">
        <v>2013</v>
      </c>
      <c r="I3635">
        <v>6.5</v>
      </c>
      <c r="J3635" t="s">
        <v>81</v>
      </c>
      <c r="K3635" t="s">
        <v>47</v>
      </c>
      <c r="O3635">
        <v>0</v>
      </c>
      <c r="P3635">
        <v>0</v>
      </c>
      <c r="Q3635">
        <v>0</v>
      </c>
      <c r="R3635">
        <v>0</v>
      </c>
      <c r="W3635" t="s">
        <v>1402</v>
      </c>
      <c r="AA3635">
        <v>2012</v>
      </c>
      <c r="AB3635">
        <v>9999</v>
      </c>
      <c r="AC3635" t="s">
        <v>1398</v>
      </c>
    </row>
    <row r="3636" spans="1:29" x14ac:dyDescent="0.25">
      <c r="A3636" s="31" t="s">
        <v>1362</v>
      </c>
      <c r="B3636" s="23" t="s">
        <v>1403</v>
      </c>
      <c r="D3636">
        <v>1</v>
      </c>
      <c r="E3636" t="s">
        <v>631</v>
      </c>
      <c r="F3636">
        <v>8</v>
      </c>
      <c r="G3636">
        <v>2013</v>
      </c>
      <c r="I3636">
        <v>23</v>
      </c>
      <c r="J3636" t="s">
        <v>81</v>
      </c>
      <c r="K3636" t="s">
        <v>47</v>
      </c>
      <c r="O3636">
        <v>0</v>
      </c>
      <c r="P3636">
        <v>0</v>
      </c>
      <c r="Q3636">
        <v>0</v>
      </c>
      <c r="R3636">
        <v>0</v>
      </c>
      <c r="W3636" t="s">
        <v>1364</v>
      </c>
      <c r="AA3636">
        <v>2011</v>
      </c>
      <c r="AB3636">
        <v>9999</v>
      </c>
      <c r="AC3636" t="s">
        <v>1365</v>
      </c>
    </row>
    <row r="3637" spans="1:29" x14ac:dyDescent="0.25">
      <c r="A3637" s="31" t="s">
        <v>1248</v>
      </c>
      <c r="B3637" s="23" t="s">
        <v>1249</v>
      </c>
      <c r="C3637" t="s">
        <v>1250</v>
      </c>
      <c r="D3637">
        <v>1</v>
      </c>
      <c r="E3637" t="s">
        <v>1251</v>
      </c>
      <c r="F3637">
        <v>2</v>
      </c>
      <c r="G3637">
        <v>2013</v>
      </c>
      <c r="I3637">
        <v>912</v>
      </c>
      <c r="J3637" t="s">
        <v>147</v>
      </c>
      <c r="K3637" t="s">
        <v>47</v>
      </c>
      <c r="O3637">
        <v>0</v>
      </c>
      <c r="P3637">
        <v>0</v>
      </c>
      <c r="Q3637">
        <v>0</v>
      </c>
      <c r="R3637">
        <v>0</v>
      </c>
      <c r="W3637" t="s">
        <v>1252</v>
      </c>
      <c r="AA3637">
        <v>2009</v>
      </c>
      <c r="AB3637">
        <v>9999</v>
      </c>
      <c r="AC3637" t="s">
        <v>1239</v>
      </c>
    </row>
    <row r="3638" spans="1:29" ht="30" x14ac:dyDescent="0.25">
      <c r="A3638" s="31" t="s">
        <v>1305</v>
      </c>
      <c r="B3638" s="23" t="s">
        <v>1306</v>
      </c>
      <c r="C3638" t="s">
        <v>1307</v>
      </c>
      <c r="D3638">
        <v>1</v>
      </c>
      <c r="E3638" t="s">
        <v>45</v>
      </c>
      <c r="F3638">
        <v>4</v>
      </c>
      <c r="G3638">
        <v>2013</v>
      </c>
      <c r="I3638" s="8">
        <v>54</v>
      </c>
      <c r="J3638" t="s">
        <v>89</v>
      </c>
      <c r="K3638" t="s">
        <v>47</v>
      </c>
      <c r="O3638">
        <v>0</v>
      </c>
      <c r="P3638">
        <v>0</v>
      </c>
      <c r="Q3638">
        <v>0</v>
      </c>
      <c r="R3638">
        <v>0</v>
      </c>
      <c r="W3638" t="s">
        <v>1308</v>
      </c>
      <c r="AA3638">
        <v>2010</v>
      </c>
      <c r="AB3638">
        <v>9999</v>
      </c>
      <c r="AC3638" t="s">
        <v>1292</v>
      </c>
    </row>
    <row r="3639" spans="1:29" x14ac:dyDescent="0.25">
      <c r="A3639" s="31" t="s">
        <v>1366</v>
      </c>
      <c r="B3639" s="23" t="s">
        <v>1367</v>
      </c>
      <c r="C3639" t="s">
        <v>1368</v>
      </c>
      <c r="D3639">
        <v>1</v>
      </c>
      <c r="E3639" t="s">
        <v>468</v>
      </c>
      <c r="F3639">
        <v>7</v>
      </c>
      <c r="G3639">
        <v>2013</v>
      </c>
      <c r="I3639" s="8">
        <v>16.55</v>
      </c>
      <c r="J3639" t="s">
        <v>40</v>
      </c>
      <c r="K3639" t="s">
        <v>32</v>
      </c>
      <c r="O3639">
        <v>0</v>
      </c>
      <c r="P3639">
        <v>0</v>
      </c>
      <c r="Q3639">
        <v>0</v>
      </c>
      <c r="R3639">
        <v>0</v>
      </c>
      <c r="W3639" t="s">
        <v>1369</v>
      </c>
      <c r="AA3639">
        <v>2011</v>
      </c>
      <c r="AB3639">
        <v>9999</v>
      </c>
      <c r="AC3639" t="s">
        <v>1365</v>
      </c>
    </row>
    <row r="3640" spans="1:29" x14ac:dyDescent="0.25">
      <c r="A3640" s="31" t="s">
        <v>1309</v>
      </c>
      <c r="B3640" s="23" t="s">
        <v>1310</v>
      </c>
      <c r="C3640" t="s">
        <v>1311</v>
      </c>
      <c r="D3640">
        <v>1</v>
      </c>
      <c r="E3640" t="s">
        <v>1312</v>
      </c>
      <c r="F3640">
        <v>9</v>
      </c>
      <c r="G3640">
        <v>2013</v>
      </c>
      <c r="I3640" s="8">
        <v>83.83</v>
      </c>
      <c r="J3640" t="s">
        <v>104</v>
      </c>
      <c r="K3640" t="s">
        <v>47</v>
      </c>
      <c r="O3640">
        <v>0</v>
      </c>
      <c r="P3640">
        <v>0</v>
      </c>
      <c r="Q3640">
        <v>0</v>
      </c>
      <c r="R3640">
        <v>0</v>
      </c>
      <c r="W3640" t="s">
        <v>1404</v>
      </c>
      <c r="AA3640">
        <v>2010</v>
      </c>
      <c r="AB3640">
        <v>9999</v>
      </c>
      <c r="AC3640" t="s">
        <v>1292</v>
      </c>
    </row>
    <row r="3641" spans="1:29" x14ac:dyDescent="0.25">
      <c r="A3641" s="31" t="s">
        <v>559</v>
      </c>
      <c r="B3641" s="23" t="s">
        <v>560</v>
      </c>
      <c r="C3641" t="s">
        <v>561</v>
      </c>
      <c r="D3641">
        <v>1</v>
      </c>
      <c r="E3641" t="s">
        <v>103</v>
      </c>
      <c r="F3641">
        <v>9</v>
      </c>
      <c r="G3641">
        <v>2013</v>
      </c>
      <c r="I3641" s="8">
        <v>802.21</v>
      </c>
      <c r="J3641" t="s">
        <v>104</v>
      </c>
      <c r="K3641" t="s">
        <v>53</v>
      </c>
      <c r="L3641" t="s">
        <v>105</v>
      </c>
      <c r="O3641">
        <v>0</v>
      </c>
      <c r="P3641">
        <v>1</v>
      </c>
      <c r="Q3641">
        <v>0</v>
      </c>
      <c r="R3641">
        <v>0</v>
      </c>
      <c r="W3641" t="s">
        <v>106</v>
      </c>
      <c r="AA3641">
        <v>2007</v>
      </c>
      <c r="AB3641">
        <v>9999</v>
      </c>
      <c r="AC3641" t="s">
        <v>35</v>
      </c>
    </row>
    <row r="3642" spans="1:29" ht="30" x14ac:dyDescent="0.25">
      <c r="A3642" s="31" t="s">
        <v>562</v>
      </c>
      <c r="B3642" s="23" t="s">
        <v>563</v>
      </c>
      <c r="D3642">
        <v>1</v>
      </c>
      <c r="E3642" t="s">
        <v>80</v>
      </c>
      <c r="F3642">
        <v>8</v>
      </c>
      <c r="G3642">
        <v>2013</v>
      </c>
      <c r="I3642" s="8">
        <v>162.68</v>
      </c>
      <c r="J3642" t="s">
        <v>81</v>
      </c>
      <c r="K3642" t="s">
        <v>47</v>
      </c>
      <c r="O3642">
        <v>0</v>
      </c>
      <c r="P3642">
        <v>0</v>
      </c>
      <c r="Q3642">
        <v>0</v>
      </c>
      <c r="R3642">
        <v>0</v>
      </c>
      <c r="W3642" t="s">
        <v>1128</v>
      </c>
      <c r="AA3642">
        <v>2007</v>
      </c>
      <c r="AB3642">
        <v>9999</v>
      </c>
      <c r="AC3642" t="s">
        <v>35</v>
      </c>
    </row>
    <row r="3643" spans="1:29" x14ac:dyDescent="0.25">
      <c r="A3643" s="31" t="s">
        <v>568</v>
      </c>
      <c r="B3643" s="23" t="s">
        <v>569</v>
      </c>
      <c r="D3643">
        <v>1</v>
      </c>
      <c r="E3643" t="s">
        <v>80</v>
      </c>
      <c r="F3643">
        <v>8</v>
      </c>
      <c r="G3643">
        <v>2013</v>
      </c>
      <c r="I3643" s="8">
        <v>236.37</v>
      </c>
      <c r="J3643" t="s">
        <v>81</v>
      </c>
      <c r="K3643" t="s">
        <v>47</v>
      </c>
      <c r="O3643">
        <v>0</v>
      </c>
      <c r="P3643">
        <v>0</v>
      </c>
      <c r="Q3643">
        <v>0</v>
      </c>
      <c r="R3643">
        <v>0</v>
      </c>
      <c r="W3643" t="s">
        <v>1129</v>
      </c>
      <c r="AA3643">
        <v>2007</v>
      </c>
      <c r="AB3643">
        <v>9999</v>
      </c>
      <c r="AC3643" t="s">
        <v>35</v>
      </c>
    </row>
    <row r="3644" spans="1:29" x14ac:dyDescent="0.25">
      <c r="A3644" s="31" t="s">
        <v>571</v>
      </c>
      <c r="B3644" s="23" t="s">
        <v>572</v>
      </c>
      <c r="D3644">
        <v>1</v>
      </c>
      <c r="E3644" t="s">
        <v>370</v>
      </c>
      <c r="F3644">
        <v>5</v>
      </c>
      <c r="G3644">
        <v>2013</v>
      </c>
      <c r="I3644" s="8">
        <v>467.45</v>
      </c>
      <c r="J3644" t="s">
        <v>31</v>
      </c>
      <c r="K3644" t="s">
        <v>47</v>
      </c>
      <c r="O3644">
        <v>0</v>
      </c>
      <c r="P3644">
        <v>0</v>
      </c>
      <c r="Q3644">
        <v>0</v>
      </c>
      <c r="R3644">
        <v>0</v>
      </c>
      <c r="W3644" t="s">
        <v>1430</v>
      </c>
      <c r="AA3644">
        <v>2007</v>
      </c>
      <c r="AB3644">
        <v>9999</v>
      </c>
      <c r="AC3644" t="s">
        <v>35</v>
      </c>
    </row>
    <row r="3645" spans="1:29" x14ac:dyDescent="0.25">
      <c r="A3645" s="31" t="s">
        <v>574</v>
      </c>
      <c r="B3645" s="23" t="s">
        <v>575</v>
      </c>
      <c r="D3645">
        <v>1</v>
      </c>
      <c r="E3645" t="s">
        <v>222</v>
      </c>
      <c r="F3645">
        <v>1</v>
      </c>
      <c r="G3645">
        <v>2013</v>
      </c>
      <c r="I3645" s="8">
        <v>39.36</v>
      </c>
      <c r="J3645" t="s">
        <v>176</v>
      </c>
      <c r="K3645" t="s">
        <v>47</v>
      </c>
      <c r="O3645">
        <v>0</v>
      </c>
      <c r="P3645">
        <v>0</v>
      </c>
      <c r="Q3645">
        <v>0</v>
      </c>
      <c r="R3645">
        <v>0</v>
      </c>
      <c r="W3645" t="s">
        <v>1131</v>
      </c>
      <c r="AA3645">
        <v>2007</v>
      </c>
      <c r="AB3645">
        <v>9999</v>
      </c>
      <c r="AC3645" t="s">
        <v>35</v>
      </c>
    </row>
    <row r="3646" spans="1:29" x14ac:dyDescent="0.25">
      <c r="A3646" s="31" t="s">
        <v>577</v>
      </c>
      <c r="B3646" s="25" t="s">
        <v>578</v>
      </c>
      <c r="D3646">
        <v>1</v>
      </c>
      <c r="E3646" t="s">
        <v>396</v>
      </c>
      <c r="F3646">
        <v>3</v>
      </c>
      <c r="G3646">
        <v>2013</v>
      </c>
      <c r="H3646" t="s">
        <v>579</v>
      </c>
      <c r="J3646" t="s">
        <v>121</v>
      </c>
      <c r="K3646" t="s">
        <v>41</v>
      </c>
      <c r="O3646">
        <v>0</v>
      </c>
      <c r="P3646">
        <v>0</v>
      </c>
      <c r="Q3646">
        <v>0</v>
      </c>
      <c r="R3646">
        <v>0</v>
      </c>
      <c r="W3646" t="s">
        <v>1132</v>
      </c>
      <c r="AA3646">
        <v>2007</v>
      </c>
      <c r="AB3646">
        <v>9999</v>
      </c>
      <c r="AC3646" t="s">
        <v>35</v>
      </c>
    </row>
    <row r="3647" spans="1:29" x14ac:dyDescent="0.25">
      <c r="A3647" s="31" t="s">
        <v>581</v>
      </c>
      <c r="B3647" s="23" t="s">
        <v>582</v>
      </c>
      <c r="D3647">
        <v>1</v>
      </c>
      <c r="E3647" t="s">
        <v>80</v>
      </c>
      <c r="F3647">
        <v>8</v>
      </c>
      <c r="G3647">
        <v>2013</v>
      </c>
      <c r="H3647" t="s">
        <v>1315</v>
      </c>
      <c r="J3647" t="s">
        <v>81</v>
      </c>
      <c r="K3647" t="s">
        <v>41</v>
      </c>
      <c r="O3647">
        <v>0</v>
      </c>
      <c r="P3647">
        <v>0</v>
      </c>
      <c r="Q3647">
        <v>0</v>
      </c>
      <c r="R3647">
        <v>0</v>
      </c>
      <c r="W3647" t="s">
        <v>1133</v>
      </c>
      <c r="AA3647">
        <v>2007</v>
      </c>
      <c r="AB3647">
        <v>9999</v>
      </c>
      <c r="AC3647" t="s">
        <v>35</v>
      </c>
    </row>
    <row r="3648" spans="1:29" x14ac:dyDescent="0.25">
      <c r="A3648" s="31" t="s">
        <v>590</v>
      </c>
      <c r="B3648" s="23" t="s">
        <v>591</v>
      </c>
      <c r="D3648">
        <v>1</v>
      </c>
      <c r="E3648" t="s">
        <v>592</v>
      </c>
      <c r="F3648">
        <v>8</v>
      </c>
      <c r="G3648">
        <v>2013</v>
      </c>
      <c r="I3648" s="8">
        <v>5.8</v>
      </c>
      <c r="J3648" t="s">
        <v>40</v>
      </c>
      <c r="K3648" t="s">
        <v>41</v>
      </c>
      <c r="O3648">
        <v>0</v>
      </c>
      <c r="P3648">
        <v>0</v>
      </c>
      <c r="Q3648">
        <v>0</v>
      </c>
      <c r="R3648">
        <v>0</v>
      </c>
      <c r="W3648" t="s">
        <v>1134</v>
      </c>
      <c r="AA3648">
        <v>2007</v>
      </c>
      <c r="AB3648">
        <v>9999</v>
      </c>
      <c r="AC3648" t="s">
        <v>35</v>
      </c>
    </row>
    <row r="3649" spans="1:29" x14ac:dyDescent="0.25">
      <c r="A3649" s="31" t="s">
        <v>594</v>
      </c>
      <c r="B3649" s="25" t="s">
        <v>595</v>
      </c>
      <c r="D3649">
        <v>1</v>
      </c>
      <c r="E3649" t="s">
        <v>38</v>
      </c>
      <c r="F3649">
        <v>4</v>
      </c>
      <c r="G3649">
        <v>2013</v>
      </c>
      <c r="H3649" t="s">
        <v>906</v>
      </c>
      <c r="J3649" t="s">
        <v>59</v>
      </c>
      <c r="K3649" t="s">
        <v>41</v>
      </c>
      <c r="O3649">
        <v>0</v>
      </c>
      <c r="P3649">
        <v>0</v>
      </c>
      <c r="Q3649">
        <v>0</v>
      </c>
      <c r="R3649">
        <v>0</v>
      </c>
      <c r="W3649" t="s">
        <v>1135</v>
      </c>
      <c r="AA3649">
        <v>2007</v>
      </c>
      <c r="AB3649">
        <v>9999</v>
      </c>
      <c r="AC3649" t="s">
        <v>35</v>
      </c>
    </row>
    <row r="3650" spans="1:29" x14ac:dyDescent="0.25">
      <c r="A3650" s="31" t="s">
        <v>1253</v>
      </c>
      <c r="B3650" s="25" t="s">
        <v>598</v>
      </c>
      <c r="D3650">
        <v>1</v>
      </c>
      <c r="E3650" t="s">
        <v>38</v>
      </c>
      <c r="F3650">
        <v>4</v>
      </c>
      <c r="G3650">
        <v>2013</v>
      </c>
      <c r="J3650" t="s">
        <v>59</v>
      </c>
      <c r="K3650" t="s">
        <v>41</v>
      </c>
      <c r="O3650">
        <v>0</v>
      </c>
      <c r="P3650">
        <v>0</v>
      </c>
      <c r="Q3650">
        <v>0</v>
      </c>
      <c r="R3650">
        <v>0</v>
      </c>
      <c r="W3650" t="s">
        <v>1254</v>
      </c>
      <c r="AA3650">
        <v>2009</v>
      </c>
      <c r="AB3650">
        <v>9999</v>
      </c>
      <c r="AC3650" t="s">
        <v>1239</v>
      </c>
    </row>
    <row r="3651" spans="1:29" x14ac:dyDescent="0.25">
      <c r="A3651" s="31" t="s">
        <v>601</v>
      </c>
      <c r="B3651" s="25" t="s">
        <v>602</v>
      </c>
      <c r="D3651">
        <v>1</v>
      </c>
      <c r="E3651" t="s">
        <v>145</v>
      </c>
      <c r="F3651">
        <v>2</v>
      </c>
      <c r="G3651">
        <v>2013</v>
      </c>
      <c r="H3651" t="s">
        <v>596</v>
      </c>
      <c r="J3651" s="2" t="s">
        <v>89</v>
      </c>
      <c r="K3651" t="s">
        <v>41</v>
      </c>
      <c r="O3651">
        <v>0</v>
      </c>
      <c r="P3651">
        <v>0</v>
      </c>
      <c r="Q3651">
        <v>0</v>
      </c>
      <c r="R3651">
        <v>0</v>
      </c>
      <c r="W3651" t="s">
        <v>1137</v>
      </c>
      <c r="AA3651">
        <v>2007</v>
      </c>
      <c r="AB3651">
        <v>9999</v>
      </c>
      <c r="AC3651" t="s">
        <v>35</v>
      </c>
    </row>
    <row r="3652" spans="1:29" x14ac:dyDescent="0.25">
      <c r="A3652" s="31" t="s">
        <v>611</v>
      </c>
      <c r="B3652" s="23" t="s">
        <v>612</v>
      </c>
      <c r="D3652">
        <v>1</v>
      </c>
      <c r="E3652" t="s">
        <v>103</v>
      </c>
      <c r="F3652">
        <v>9</v>
      </c>
      <c r="G3652">
        <v>2013</v>
      </c>
      <c r="I3652" s="8">
        <v>22.56</v>
      </c>
      <c r="J3652" t="s">
        <v>104</v>
      </c>
      <c r="K3652" t="s">
        <v>53</v>
      </c>
      <c r="L3652" t="s">
        <v>105</v>
      </c>
      <c r="O3652">
        <v>0</v>
      </c>
      <c r="P3652">
        <v>1</v>
      </c>
      <c r="Q3652">
        <v>0</v>
      </c>
      <c r="R3652">
        <v>0</v>
      </c>
      <c r="W3652" t="s">
        <v>106</v>
      </c>
      <c r="AA3652">
        <v>2007</v>
      </c>
      <c r="AB3652">
        <v>2013</v>
      </c>
      <c r="AC3652" t="s">
        <v>139</v>
      </c>
    </row>
    <row r="3653" spans="1:29" x14ac:dyDescent="0.25">
      <c r="A3653" s="31" t="s">
        <v>613</v>
      </c>
      <c r="B3653" s="23" t="s">
        <v>254</v>
      </c>
      <c r="C3653" t="s">
        <v>614</v>
      </c>
      <c r="D3653">
        <v>1</v>
      </c>
      <c r="E3653" t="s">
        <v>45</v>
      </c>
      <c r="F3653">
        <v>4</v>
      </c>
      <c r="G3653">
        <v>2013</v>
      </c>
      <c r="I3653" s="8">
        <v>316.89999999999998</v>
      </c>
      <c r="J3653" t="s">
        <v>89</v>
      </c>
      <c r="K3653" t="s">
        <v>47</v>
      </c>
      <c r="O3653">
        <v>0</v>
      </c>
      <c r="P3653">
        <v>0</v>
      </c>
      <c r="Q3653">
        <v>0</v>
      </c>
      <c r="R3653">
        <v>0</v>
      </c>
      <c r="W3653" t="s">
        <v>1140</v>
      </c>
      <c r="AA3653">
        <v>2007</v>
      </c>
      <c r="AB3653">
        <v>9999</v>
      </c>
      <c r="AC3653" t="s">
        <v>35</v>
      </c>
    </row>
    <row r="3654" spans="1:29" x14ac:dyDescent="0.25">
      <c r="A3654" s="31" t="s">
        <v>616</v>
      </c>
      <c r="B3654" s="23" t="s">
        <v>617</v>
      </c>
      <c r="D3654">
        <v>1</v>
      </c>
      <c r="E3654" t="s">
        <v>45</v>
      </c>
      <c r="F3654">
        <v>4</v>
      </c>
      <c r="G3654">
        <v>2013</v>
      </c>
      <c r="I3654" s="8">
        <v>14.64</v>
      </c>
      <c r="J3654" t="s">
        <v>89</v>
      </c>
      <c r="K3654" t="s">
        <v>53</v>
      </c>
      <c r="L3654" t="s">
        <v>60</v>
      </c>
      <c r="O3654">
        <v>1</v>
      </c>
      <c r="P3654">
        <v>0</v>
      </c>
      <c r="Q3654">
        <v>0</v>
      </c>
      <c r="R3654">
        <v>0</v>
      </c>
      <c r="W3654" t="s">
        <v>618</v>
      </c>
      <c r="AA3654">
        <v>2007</v>
      </c>
      <c r="AB3654">
        <v>2016</v>
      </c>
      <c r="AC3654" t="s">
        <v>528</v>
      </c>
    </row>
    <row r="3655" spans="1:29" x14ac:dyDescent="0.25">
      <c r="A3655" s="31" t="s">
        <v>1370</v>
      </c>
      <c r="B3655" s="25" t="s">
        <v>1371</v>
      </c>
      <c r="D3655">
        <v>1</v>
      </c>
      <c r="E3655" s="4">
        <v>411</v>
      </c>
      <c r="F3655">
        <v>4</v>
      </c>
      <c r="G3655">
        <v>2013</v>
      </c>
      <c r="H3655" t="s">
        <v>111</v>
      </c>
      <c r="J3655" t="s">
        <v>89</v>
      </c>
      <c r="K3655" t="s">
        <v>41</v>
      </c>
      <c r="O3655">
        <v>0</v>
      </c>
      <c r="P3655">
        <v>0</v>
      </c>
      <c r="Q3655">
        <v>0</v>
      </c>
      <c r="R3655">
        <v>0</v>
      </c>
      <c r="W3655" t="s">
        <v>1372</v>
      </c>
      <c r="AA3655">
        <v>2011</v>
      </c>
      <c r="AB3655">
        <v>9999</v>
      </c>
      <c r="AC3655" t="s">
        <v>1365</v>
      </c>
    </row>
    <row r="3656" spans="1:29" x14ac:dyDescent="0.25">
      <c r="A3656" s="31" t="s">
        <v>1317</v>
      </c>
      <c r="B3656" s="23" t="s">
        <v>1318</v>
      </c>
      <c r="D3656">
        <v>1</v>
      </c>
      <c r="E3656" t="s">
        <v>1319</v>
      </c>
      <c r="F3656">
        <v>10</v>
      </c>
      <c r="G3656">
        <v>2013</v>
      </c>
      <c r="I3656" s="8">
        <v>928.09</v>
      </c>
      <c r="J3656" t="s">
        <v>40</v>
      </c>
      <c r="K3656" t="s">
        <v>32</v>
      </c>
      <c r="O3656">
        <v>0</v>
      </c>
      <c r="P3656">
        <v>0</v>
      </c>
      <c r="Q3656">
        <v>0</v>
      </c>
      <c r="R3656">
        <v>0</v>
      </c>
      <c r="W3656" t="s">
        <v>1320</v>
      </c>
      <c r="AA3656">
        <v>2010</v>
      </c>
      <c r="AB3656">
        <v>9999</v>
      </c>
      <c r="AC3656" t="s">
        <v>1292</v>
      </c>
    </row>
    <row r="3657" spans="1:29" x14ac:dyDescent="0.25">
      <c r="A3657" s="31" t="s">
        <v>616</v>
      </c>
      <c r="B3657" s="23" t="s">
        <v>619</v>
      </c>
      <c r="D3657">
        <v>1</v>
      </c>
      <c r="E3657" t="s">
        <v>620</v>
      </c>
      <c r="F3657">
        <v>5</v>
      </c>
      <c r="G3657">
        <v>2013</v>
      </c>
      <c r="I3657" s="8">
        <v>30.15</v>
      </c>
      <c r="J3657" t="s">
        <v>104</v>
      </c>
      <c r="K3657" t="s">
        <v>47</v>
      </c>
      <c r="O3657">
        <v>0</v>
      </c>
      <c r="P3657">
        <v>0</v>
      </c>
      <c r="Q3657">
        <v>0</v>
      </c>
      <c r="R3657">
        <v>0</v>
      </c>
      <c r="W3657" t="s">
        <v>1141</v>
      </c>
      <c r="AA3657">
        <v>2007</v>
      </c>
      <c r="AB3657">
        <v>2016</v>
      </c>
      <c r="AC3657" t="s">
        <v>528</v>
      </c>
    </row>
    <row r="3658" spans="1:29" x14ac:dyDescent="0.25">
      <c r="A3658" s="31" t="s">
        <v>472</v>
      </c>
      <c r="B3658" s="23" t="s">
        <v>1405</v>
      </c>
      <c r="D3658">
        <v>21</v>
      </c>
      <c r="E3658" t="s">
        <v>681</v>
      </c>
      <c r="F3658">
        <v>3</v>
      </c>
      <c r="G3658">
        <v>2013</v>
      </c>
      <c r="I3658" t="s">
        <v>474</v>
      </c>
      <c r="J3658" t="s">
        <v>121</v>
      </c>
      <c r="K3658" t="s">
        <v>76</v>
      </c>
      <c r="O3658">
        <v>0</v>
      </c>
      <c r="P3658">
        <v>0</v>
      </c>
      <c r="Q3658">
        <v>0</v>
      </c>
      <c r="R3658">
        <v>0</v>
      </c>
      <c r="W3658" t="s">
        <v>475</v>
      </c>
      <c r="AA3658">
        <v>2007</v>
      </c>
      <c r="AB3658">
        <v>9999</v>
      </c>
      <c r="AC3658" t="s">
        <v>35</v>
      </c>
    </row>
    <row r="3659" spans="1:29" x14ac:dyDescent="0.25">
      <c r="A3659" s="31" t="s">
        <v>622</v>
      </c>
      <c r="B3659" s="23" t="s">
        <v>623</v>
      </c>
      <c r="C3659" t="s">
        <v>624</v>
      </c>
      <c r="D3659">
        <v>1</v>
      </c>
      <c r="E3659" t="s">
        <v>625</v>
      </c>
      <c r="F3659">
        <v>4</v>
      </c>
      <c r="G3659">
        <v>2013</v>
      </c>
      <c r="I3659" s="8">
        <v>252.9</v>
      </c>
      <c r="J3659" t="s">
        <v>89</v>
      </c>
      <c r="K3659" t="s">
        <v>32</v>
      </c>
      <c r="O3659">
        <v>0</v>
      </c>
      <c r="P3659">
        <v>0</v>
      </c>
      <c r="Q3659">
        <v>0</v>
      </c>
      <c r="R3659">
        <v>0</v>
      </c>
      <c r="W3659" t="s">
        <v>1142</v>
      </c>
      <c r="AA3659">
        <v>2007</v>
      </c>
      <c r="AB3659">
        <v>9999</v>
      </c>
      <c r="AC3659" t="s">
        <v>35</v>
      </c>
    </row>
    <row r="3660" spans="1:29" x14ac:dyDescent="0.25">
      <c r="A3660" s="31" t="s">
        <v>629</v>
      </c>
      <c r="B3660" s="23" t="s">
        <v>630</v>
      </c>
      <c r="D3660">
        <v>1</v>
      </c>
      <c r="E3660" t="s">
        <v>631</v>
      </c>
      <c r="F3660">
        <v>8</v>
      </c>
      <c r="G3660">
        <v>2013</v>
      </c>
      <c r="I3660" s="8">
        <v>5</v>
      </c>
      <c r="J3660" t="s">
        <v>81</v>
      </c>
      <c r="K3660" t="s">
        <v>41</v>
      </c>
      <c r="O3660">
        <v>0</v>
      </c>
      <c r="P3660">
        <v>0</v>
      </c>
      <c r="Q3660">
        <v>0</v>
      </c>
      <c r="R3660">
        <v>0</v>
      </c>
      <c r="W3660" t="s">
        <v>1144</v>
      </c>
      <c r="AA3660">
        <v>2007</v>
      </c>
      <c r="AB3660">
        <v>2014</v>
      </c>
      <c r="AC3660" t="s">
        <v>633</v>
      </c>
    </row>
    <row r="3661" spans="1:29" x14ac:dyDescent="0.25">
      <c r="A3661" s="31" t="s">
        <v>199</v>
      </c>
      <c r="B3661" s="23" t="s">
        <v>1255</v>
      </c>
      <c r="D3661">
        <v>1</v>
      </c>
      <c r="E3661" t="s">
        <v>38</v>
      </c>
      <c r="F3661">
        <v>4</v>
      </c>
      <c r="G3661">
        <v>2013</v>
      </c>
      <c r="H3661" t="s">
        <v>39</v>
      </c>
      <c r="J3661" t="s">
        <v>52</v>
      </c>
      <c r="K3661" t="s">
        <v>41</v>
      </c>
      <c r="O3661">
        <v>0</v>
      </c>
      <c r="P3661">
        <v>0</v>
      </c>
      <c r="Q3661">
        <v>0</v>
      </c>
      <c r="R3661">
        <v>0</v>
      </c>
      <c r="W3661" t="s">
        <v>1256</v>
      </c>
      <c r="AA3661">
        <v>2007</v>
      </c>
      <c r="AB3661">
        <v>9999</v>
      </c>
      <c r="AC3661" t="s">
        <v>35</v>
      </c>
    </row>
    <row r="3662" spans="1:29" x14ac:dyDescent="0.25">
      <c r="A3662" s="31" t="s">
        <v>641</v>
      </c>
      <c r="B3662" s="23" t="s">
        <v>642</v>
      </c>
      <c r="D3662">
        <v>1</v>
      </c>
      <c r="E3662" t="s">
        <v>348</v>
      </c>
      <c r="F3662">
        <v>1</v>
      </c>
      <c r="G3662">
        <v>2013</v>
      </c>
      <c r="I3662" s="8">
        <v>4066.51</v>
      </c>
      <c r="J3662" t="s">
        <v>268</v>
      </c>
      <c r="K3662" t="s">
        <v>53</v>
      </c>
      <c r="L3662" t="s">
        <v>642</v>
      </c>
      <c r="O3662">
        <v>0</v>
      </c>
      <c r="P3662">
        <v>0</v>
      </c>
      <c r="Q3662">
        <v>0</v>
      </c>
      <c r="R3662">
        <v>0</v>
      </c>
      <c r="W3662" t="s">
        <v>643</v>
      </c>
      <c r="AA3662">
        <v>2007</v>
      </c>
      <c r="AB3662">
        <v>9999</v>
      </c>
      <c r="AC3662" t="s">
        <v>35</v>
      </c>
    </row>
    <row r="3663" spans="1:29" x14ac:dyDescent="0.25">
      <c r="A3663" s="31" t="s">
        <v>646</v>
      </c>
      <c r="B3663" s="25" t="s">
        <v>647</v>
      </c>
      <c r="D3663">
        <v>1</v>
      </c>
      <c r="E3663" t="s">
        <v>128</v>
      </c>
      <c r="F3663">
        <v>9</v>
      </c>
      <c r="G3663">
        <v>2013</v>
      </c>
      <c r="H3663" t="s">
        <v>260</v>
      </c>
      <c r="J3663" t="s">
        <v>104</v>
      </c>
      <c r="K3663" t="s">
        <v>41</v>
      </c>
      <c r="O3663">
        <v>0</v>
      </c>
      <c r="P3663">
        <v>0</v>
      </c>
      <c r="Q3663">
        <v>0</v>
      </c>
      <c r="R3663">
        <v>0</v>
      </c>
      <c r="W3663" t="s">
        <v>1147</v>
      </c>
      <c r="AA3663">
        <v>2007</v>
      </c>
      <c r="AB3663">
        <v>2018</v>
      </c>
      <c r="AC3663" t="s">
        <v>649</v>
      </c>
    </row>
    <row r="3664" spans="1:29" x14ac:dyDescent="0.25">
      <c r="A3664" s="31" t="s">
        <v>650</v>
      </c>
      <c r="B3664" s="25" t="s">
        <v>651</v>
      </c>
      <c r="D3664">
        <v>1</v>
      </c>
      <c r="E3664" t="s">
        <v>128</v>
      </c>
      <c r="F3664">
        <v>9</v>
      </c>
      <c r="G3664">
        <v>2013</v>
      </c>
      <c r="H3664" t="s">
        <v>431</v>
      </c>
      <c r="J3664" t="s">
        <v>104</v>
      </c>
      <c r="K3664" t="s">
        <v>41</v>
      </c>
      <c r="O3664">
        <v>0</v>
      </c>
      <c r="P3664">
        <v>0</v>
      </c>
      <c r="Q3664">
        <v>0</v>
      </c>
      <c r="R3664">
        <v>0</v>
      </c>
      <c r="W3664" t="s">
        <v>1147</v>
      </c>
      <c r="AA3664">
        <v>2007</v>
      </c>
      <c r="AB3664">
        <v>2018</v>
      </c>
      <c r="AC3664" t="s">
        <v>649</v>
      </c>
    </row>
    <row r="3665" spans="1:29" x14ac:dyDescent="0.25">
      <c r="A3665" s="31" t="s">
        <v>652</v>
      </c>
      <c r="B3665" s="25" t="s">
        <v>653</v>
      </c>
      <c r="D3665">
        <v>1</v>
      </c>
      <c r="E3665" t="s">
        <v>128</v>
      </c>
      <c r="F3665">
        <v>9</v>
      </c>
      <c r="G3665">
        <v>2013</v>
      </c>
      <c r="H3665" t="s">
        <v>461</v>
      </c>
      <c r="J3665" t="s">
        <v>104</v>
      </c>
      <c r="K3665" t="s">
        <v>41</v>
      </c>
      <c r="O3665">
        <v>0</v>
      </c>
      <c r="P3665">
        <v>0</v>
      </c>
      <c r="Q3665">
        <v>0</v>
      </c>
      <c r="R3665">
        <v>0</v>
      </c>
      <c r="W3665" t="s">
        <v>1147</v>
      </c>
      <c r="AA3665">
        <v>2007</v>
      </c>
      <c r="AB3665">
        <v>2018</v>
      </c>
      <c r="AC3665" t="s">
        <v>649</v>
      </c>
    </row>
    <row r="3666" spans="1:29" x14ac:dyDescent="0.25">
      <c r="A3666" s="31" t="s">
        <v>654</v>
      </c>
      <c r="B3666" s="25" t="s">
        <v>655</v>
      </c>
      <c r="D3666">
        <v>1</v>
      </c>
      <c r="E3666" t="s">
        <v>128</v>
      </c>
      <c r="F3666">
        <v>9</v>
      </c>
      <c r="G3666">
        <v>2013</v>
      </c>
      <c r="H3666" t="s">
        <v>365</v>
      </c>
      <c r="J3666" t="s">
        <v>104</v>
      </c>
      <c r="K3666" t="s">
        <v>41</v>
      </c>
      <c r="O3666">
        <v>0</v>
      </c>
      <c r="P3666">
        <v>0</v>
      </c>
      <c r="Q3666">
        <v>0</v>
      </c>
      <c r="R3666">
        <v>0</v>
      </c>
      <c r="W3666" t="s">
        <v>1147</v>
      </c>
      <c r="AA3666">
        <v>2007</v>
      </c>
      <c r="AB3666">
        <v>2018</v>
      </c>
      <c r="AC3666" t="s">
        <v>649</v>
      </c>
    </row>
    <row r="3667" spans="1:29" x14ac:dyDescent="0.25">
      <c r="A3667" s="31" t="s">
        <v>656</v>
      </c>
      <c r="B3667" s="25" t="s">
        <v>657</v>
      </c>
      <c r="D3667">
        <v>1</v>
      </c>
      <c r="E3667" t="s">
        <v>128</v>
      </c>
      <c r="F3667">
        <v>9</v>
      </c>
      <c r="G3667">
        <v>2013</v>
      </c>
      <c r="H3667" t="s">
        <v>658</v>
      </c>
      <c r="J3667" t="s">
        <v>104</v>
      </c>
      <c r="K3667" t="s">
        <v>41</v>
      </c>
      <c r="O3667">
        <v>0</v>
      </c>
      <c r="P3667">
        <v>0</v>
      </c>
      <c r="Q3667">
        <v>0</v>
      </c>
      <c r="R3667">
        <v>0</v>
      </c>
      <c r="W3667" t="s">
        <v>1147</v>
      </c>
      <c r="AA3667">
        <v>2007</v>
      </c>
      <c r="AB3667">
        <v>2018</v>
      </c>
      <c r="AC3667" t="s">
        <v>649</v>
      </c>
    </row>
    <row r="3668" spans="1:29" x14ac:dyDescent="0.25">
      <c r="A3668" s="31" t="s">
        <v>659</v>
      </c>
      <c r="B3668" s="25" t="s">
        <v>660</v>
      </c>
      <c r="D3668">
        <v>1</v>
      </c>
      <c r="E3668" t="s">
        <v>128</v>
      </c>
      <c r="F3668">
        <v>9</v>
      </c>
      <c r="G3668">
        <v>2013</v>
      </c>
      <c r="H3668" t="s">
        <v>661</v>
      </c>
      <c r="J3668" t="s">
        <v>104</v>
      </c>
      <c r="K3668" t="s">
        <v>41</v>
      </c>
      <c r="O3668">
        <v>0</v>
      </c>
      <c r="P3668">
        <v>0</v>
      </c>
      <c r="Q3668">
        <v>0</v>
      </c>
      <c r="R3668">
        <v>0</v>
      </c>
      <c r="W3668" t="s">
        <v>1147</v>
      </c>
      <c r="AA3668">
        <v>2007</v>
      </c>
      <c r="AB3668">
        <v>2018</v>
      </c>
      <c r="AC3668" t="s">
        <v>649</v>
      </c>
    </row>
    <row r="3669" spans="1:29" x14ac:dyDescent="0.25">
      <c r="A3669" s="31" t="s">
        <v>199</v>
      </c>
      <c r="B3669" s="25" t="s">
        <v>665</v>
      </c>
      <c r="D3669">
        <v>1</v>
      </c>
      <c r="E3669" t="s">
        <v>45</v>
      </c>
      <c r="F3669">
        <v>4</v>
      </c>
      <c r="G3669">
        <v>2013</v>
      </c>
      <c r="H3669" t="s">
        <v>39</v>
      </c>
      <c r="J3669" t="s">
        <v>52</v>
      </c>
      <c r="K3669" t="s">
        <v>41</v>
      </c>
      <c r="O3669">
        <v>0</v>
      </c>
      <c r="P3669">
        <v>0</v>
      </c>
      <c r="Q3669">
        <v>0</v>
      </c>
      <c r="R3669">
        <v>0</v>
      </c>
      <c r="W3669" t="s">
        <v>1148</v>
      </c>
      <c r="AA3669">
        <v>2007</v>
      </c>
      <c r="AB3669">
        <v>9999</v>
      </c>
      <c r="AC3669" t="s">
        <v>35</v>
      </c>
    </row>
    <row r="3670" spans="1:29" x14ac:dyDescent="0.25">
      <c r="A3670" s="31" t="s">
        <v>667</v>
      </c>
      <c r="B3670" s="23" t="s">
        <v>668</v>
      </c>
      <c r="D3670">
        <v>1</v>
      </c>
      <c r="E3670" t="s">
        <v>45</v>
      </c>
      <c r="F3670">
        <v>4</v>
      </c>
      <c r="G3670">
        <v>2013</v>
      </c>
      <c r="I3670" s="8">
        <v>23.37</v>
      </c>
      <c r="J3670" t="s">
        <v>121</v>
      </c>
      <c r="K3670" t="s">
        <v>47</v>
      </c>
      <c r="O3670">
        <v>0</v>
      </c>
      <c r="P3670">
        <v>0</v>
      </c>
      <c r="Q3670">
        <v>0</v>
      </c>
      <c r="R3670">
        <v>0</v>
      </c>
      <c r="W3670" t="s">
        <v>1149</v>
      </c>
      <c r="AA3670">
        <v>2007</v>
      </c>
      <c r="AB3670">
        <v>9999</v>
      </c>
      <c r="AC3670" t="s">
        <v>35</v>
      </c>
    </row>
    <row r="3671" spans="1:29" x14ac:dyDescent="0.25">
      <c r="A3671" s="31" t="s">
        <v>670</v>
      </c>
      <c r="B3671" s="23" t="s">
        <v>671</v>
      </c>
      <c r="D3671">
        <v>1</v>
      </c>
      <c r="E3671" t="s">
        <v>80</v>
      </c>
      <c r="F3671">
        <v>8</v>
      </c>
      <c r="G3671">
        <v>2013</v>
      </c>
      <c r="I3671" s="8">
        <v>354.87</v>
      </c>
      <c r="J3671" t="s">
        <v>81</v>
      </c>
      <c r="K3671" t="s">
        <v>47</v>
      </c>
      <c r="O3671">
        <v>0</v>
      </c>
      <c r="P3671">
        <v>0</v>
      </c>
      <c r="Q3671">
        <v>0</v>
      </c>
      <c r="R3671">
        <v>0</v>
      </c>
      <c r="W3671" t="s">
        <v>1150</v>
      </c>
      <c r="AA3671">
        <v>2007</v>
      </c>
      <c r="AB3671">
        <v>9999</v>
      </c>
      <c r="AC3671" t="s">
        <v>35</v>
      </c>
    </row>
    <row r="3672" spans="1:29" x14ac:dyDescent="0.25">
      <c r="A3672" s="31" t="s">
        <v>673</v>
      </c>
      <c r="B3672" s="23" t="s">
        <v>1321</v>
      </c>
      <c r="D3672">
        <v>1</v>
      </c>
      <c r="E3672" t="s">
        <v>358</v>
      </c>
      <c r="F3672">
        <v>1</v>
      </c>
      <c r="G3672">
        <v>2013</v>
      </c>
      <c r="I3672" s="8">
        <v>499.15</v>
      </c>
      <c r="J3672" t="s">
        <v>81</v>
      </c>
      <c r="K3672" t="s">
        <v>47</v>
      </c>
      <c r="O3672">
        <v>0</v>
      </c>
      <c r="P3672">
        <v>0</v>
      </c>
      <c r="Q3672">
        <v>0</v>
      </c>
      <c r="R3672">
        <v>0</v>
      </c>
      <c r="W3672" t="s">
        <v>1322</v>
      </c>
      <c r="AA3672">
        <v>2007</v>
      </c>
      <c r="AB3672">
        <v>9999</v>
      </c>
      <c r="AC3672" t="s">
        <v>35</v>
      </c>
    </row>
    <row r="3673" spans="1:29" x14ac:dyDescent="0.25">
      <c r="A3673" s="31" t="s">
        <v>676</v>
      </c>
      <c r="B3673" s="23" t="s">
        <v>677</v>
      </c>
      <c r="C3673" t="s">
        <v>678</v>
      </c>
      <c r="D3673">
        <v>1</v>
      </c>
      <c r="E3673" t="s">
        <v>168</v>
      </c>
      <c r="F3673">
        <v>1</v>
      </c>
      <c r="G3673">
        <v>2013</v>
      </c>
      <c r="I3673" s="8">
        <v>168.63</v>
      </c>
      <c r="J3673" t="s">
        <v>52</v>
      </c>
      <c r="K3673" t="s">
        <v>32</v>
      </c>
      <c r="O3673">
        <v>0</v>
      </c>
      <c r="P3673">
        <v>0</v>
      </c>
      <c r="Q3673">
        <v>0</v>
      </c>
      <c r="R3673">
        <v>0</v>
      </c>
      <c r="W3673" t="s">
        <v>1152</v>
      </c>
      <c r="AA3673">
        <v>2007</v>
      </c>
      <c r="AB3673">
        <v>9999</v>
      </c>
      <c r="AC3673" t="s">
        <v>35</v>
      </c>
    </row>
    <row r="3674" spans="1:29" x14ac:dyDescent="0.25">
      <c r="A3674" s="31" t="s">
        <v>472</v>
      </c>
      <c r="B3674" s="23" t="s">
        <v>680</v>
      </c>
      <c r="D3674">
        <v>1</v>
      </c>
      <c r="E3674" t="s">
        <v>681</v>
      </c>
      <c r="F3674">
        <v>3</v>
      </c>
      <c r="G3674">
        <v>2013</v>
      </c>
      <c r="I3674" s="8">
        <v>26379.05</v>
      </c>
      <c r="J3674" t="s">
        <v>121</v>
      </c>
      <c r="K3674" t="s">
        <v>76</v>
      </c>
      <c r="O3674">
        <v>0</v>
      </c>
      <c r="P3674">
        <v>0</v>
      </c>
      <c r="Q3674">
        <v>0</v>
      </c>
      <c r="R3674">
        <v>0</v>
      </c>
      <c r="W3674" t="s">
        <v>475</v>
      </c>
      <c r="AA3674">
        <v>2007</v>
      </c>
      <c r="AB3674">
        <v>9999</v>
      </c>
      <c r="AC3674" t="s">
        <v>35</v>
      </c>
    </row>
    <row r="3675" spans="1:29" x14ac:dyDescent="0.25">
      <c r="A3675" s="31" t="s">
        <v>685</v>
      </c>
      <c r="B3675" s="23" t="s">
        <v>686</v>
      </c>
      <c r="D3675">
        <v>1</v>
      </c>
      <c r="E3675" t="s">
        <v>80</v>
      </c>
      <c r="F3675">
        <v>8</v>
      </c>
      <c r="G3675">
        <v>2013</v>
      </c>
      <c r="I3675" s="8">
        <v>25.14</v>
      </c>
      <c r="J3675" t="s">
        <v>81</v>
      </c>
      <c r="K3675" t="s">
        <v>47</v>
      </c>
      <c r="O3675">
        <v>0</v>
      </c>
      <c r="P3675">
        <v>0</v>
      </c>
      <c r="Q3675">
        <v>0</v>
      </c>
      <c r="R3675">
        <v>0</v>
      </c>
      <c r="W3675" t="s">
        <v>1153</v>
      </c>
      <c r="AA3675">
        <v>2007</v>
      </c>
      <c r="AB3675">
        <v>2017</v>
      </c>
      <c r="AC3675" t="s">
        <v>435</v>
      </c>
    </row>
    <row r="3676" spans="1:29" x14ac:dyDescent="0.25">
      <c r="A3676" s="31" t="s">
        <v>688</v>
      </c>
      <c r="B3676" s="25" t="s">
        <v>689</v>
      </c>
      <c r="D3676">
        <v>1</v>
      </c>
      <c r="E3676" t="s">
        <v>145</v>
      </c>
      <c r="F3676">
        <v>2</v>
      </c>
      <c r="G3676">
        <v>2013</v>
      </c>
      <c r="H3676" t="s">
        <v>146</v>
      </c>
      <c r="J3676" s="2" t="s">
        <v>147</v>
      </c>
      <c r="K3676" t="s">
        <v>41</v>
      </c>
      <c r="O3676">
        <v>0</v>
      </c>
      <c r="P3676">
        <v>0</v>
      </c>
      <c r="Q3676">
        <v>0</v>
      </c>
      <c r="R3676">
        <v>0</v>
      </c>
      <c r="W3676" t="s">
        <v>1154</v>
      </c>
      <c r="AA3676">
        <v>2007</v>
      </c>
      <c r="AB3676">
        <v>9999</v>
      </c>
      <c r="AC3676" t="s">
        <v>35</v>
      </c>
    </row>
    <row r="3677" spans="1:29" x14ac:dyDescent="0.25">
      <c r="A3677" s="31" t="s">
        <v>691</v>
      </c>
      <c r="B3677" s="23" t="s">
        <v>692</v>
      </c>
      <c r="D3677">
        <v>1</v>
      </c>
      <c r="E3677" t="s">
        <v>625</v>
      </c>
      <c r="F3677">
        <v>4</v>
      </c>
      <c r="G3677">
        <v>2013</v>
      </c>
      <c r="I3677" s="8">
        <v>15.7</v>
      </c>
      <c r="J3677" t="s">
        <v>104</v>
      </c>
      <c r="K3677" t="s">
        <v>32</v>
      </c>
      <c r="O3677">
        <v>0</v>
      </c>
      <c r="P3677">
        <v>0</v>
      </c>
      <c r="Q3677">
        <v>0</v>
      </c>
      <c r="R3677">
        <v>0</v>
      </c>
      <c r="W3677" t="s">
        <v>1155</v>
      </c>
      <c r="AA3677">
        <v>2007</v>
      </c>
      <c r="AB3677">
        <v>9999</v>
      </c>
      <c r="AC3677" t="s">
        <v>35</v>
      </c>
    </row>
    <row r="3678" spans="1:29" x14ac:dyDescent="0.25">
      <c r="A3678" s="31" t="s">
        <v>694</v>
      </c>
      <c r="B3678" s="25" t="s">
        <v>695</v>
      </c>
      <c r="C3678" t="s">
        <v>696</v>
      </c>
      <c r="D3678">
        <v>1</v>
      </c>
      <c r="E3678" t="s">
        <v>58</v>
      </c>
      <c r="F3678">
        <v>4</v>
      </c>
      <c r="G3678">
        <v>2013</v>
      </c>
      <c r="I3678" s="8">
        <v>117.45</v>
      </c>
      <c r="J3678" t="s">
        <v>59</v>
      </c>
      <c r="K3678" t="s">
        <v>47</v>
      </c>
      <c r="O3678">
        <v>0</v>
      </c>
      <c r="P3678">
        <v>0</v>
      </c>
      <c r="Q3678">
        <v>0</v>
      </c>
      <c r="R3678">
        <v>0</v>
      </c>
      <c r="W3678" t="s">
        <v>1156</v>
      </c>
      <c r="AA3678">
        <v>2007</v>
      </c>
      <c r="AB3678">
        <v>9999</v>
      </c>
      <c r="AC3678" t="s">
        <v>35</v>
      </c>
    </row>
    <row r="3679" spans="1:29" x14ac:dyDescent="0.25">
      <c r="A3679" s="31" t="s">
        <v>698</v>
      </c>
      <c r="B3679" s="25" t="s">
        <v>699</v>
      </c>
      <c r="D3679">
        <v>1</v>
      </c>
      <c r="E3679" t="s">
        <v>155</v>
      </c>
      <c r="F3679">
        <v>3</v>
      </c>
      <c r="G3679">
        <v>2013</v>
      </c>
      <c r="H3679" t="s">
        <v>700</v>
      </c>
      <c r="I3679">
        <v>6.9139999999999997</v>
      </c>
      <c r="J3679" t="s">
        <v>121</v>
      </c>
      <c r="K3679" t="s">
        <v>47</v>
      </c>
      <c r="O3679">
        <v>0</v>
      </c>
      <c r="P3679">
        <v>0</v>
      </c>
      <c r="Q3679">
        <v>0</v>
      </c>
      <c r="R3679">
        <v>0</v>
      </c>
      <c r="V3679">
        <v>1</v>
      </c>
      <c r="W3679" t="s">
        <v>1157</v>
      </c>
      <c r="AA3679">
        <v>2007</v>
      </c>
      <c r="AB3679">
        <v>9999</v>
      </c>
      <c r="AC3679" t="s">
        <v>35</v>
      </c>
    </row>
    <row r="3680" spans="1:29" x14ac:dyDescent="0.25">
      <c r="A3680" s="31" t="s">
        <v>702</v>
      </c>
      <c r="B3680" s="25" t="s">
        <v>703</v>
      </c>
      <c r="D3680">
        <v>1</v>
      </c>
      <c r="E3680" t="s">
        <v>155</v>
      </c>
      <c r="F3680">
        <v>3</v>
      </c>
      <c r="G3680">
        <v>2013</v>
      </c>
      <c r="H3680" t="s">
        <v>704</v>
      </c>
      <c r="I3680">
        <v>0.9</v>
      </c>
      <c r="J3680" t="s">
        <v>121</v>
      </c>
      <c r="K3680" t="s">
        <v>41</v>
      </c>
      <c r="O3680">
        <v>0</v>
      </c>
      <c r="P3680">
        <v>0</v>
      </c>
      <c r="Q3680">
        <v>0</v>
      </c>
      <c r="R3680">
        <v>0</v>
      </c>
      <c r="V3680">
        <v>1</v>
      </c>
      <c r="W3680" t="s">
        <v>1158</v>
      </c>
      <c r="AA3680">
        <v>2007</v>
      </c>
      <c r="AB3680">
        <v>9999</v>
      </c>
      <c r="AC3680" t="s">
        <v>35</v>
      </c>
    </row>
    <row r="3681" spans="1:29" x14ac:dyDescent="0.25">
      <c r="A3681" s="31" t="s">
        <v>706</v>
      </c>
      <c r="B3681" s="23" t="s">
        <v>707</v>
      </c>
      <c r="C3681" t="s">
        <v>708</v>
      </c>
      <c r="D3681">
        <v>1</v>
      </c>
      <c r="E3681" t="s">
        <v>155</v>
      </c>
      <c r="F3681">
        <v>3</v>
      </c>
      <c r="G3681">
        <v>2013</v>
      </c>
      <c r="I3681" s="8">
        <v>411.16</v>
      </c>
      <c r="J3681" t="s">
        <v>121</v>
      </c>
      <c r="K3681" t="s">
        <v>47</v>
      </c>
      <c r="O3681">
        <v>0</v>
      </c>
      <c r="P3681">
        <v>0</v>
      </c>
      <c r="Q3681">
        <v>0</v>
      </c>
      <c r="R3681">
        <v>0</v>
      </c>
      <c r="W3681" t="s">
        <v>1159</v>
      </c>
      <c r="AA3681">
        <v>2007</v>
      </c>
      <c r="AB3681">
        <v>9999</v>
      </c>
      <c r="AC3681" t="s">
        <v>35</v>
      </c>
    </row>
    <row r="3682" spans="1:29" x14ac:dyDescent="0.25">
      <c r="A3682" s="31" t="s">
        <v>710</v>
      </c>
      <c r="B3682" s="23" t="s">
        <v>711</v>
      </c>
      <c r="D3682">
        <v>1</v>
      </c>
      <c r="E3682" t="s">
        <v>712</v>
      </c>
      <c r="F3682">
        <v>9</v>
      </c>
      <c r="G3682">
        <v>2013</v>
      </c>
      <c r="I3682" s="8">
        <v>72.010000000000005</v>
      </c>
      <c r="J3682" t="s">
        <v>104</v>
      </c>
      <c r="K3682" t="s">
        <v>41</v>
      </c>
      <c r="O3682">
        <v>0</v>
      </c>
      <c r="P3682">
        <v>0</v>
      </c>
      <c r="Q3682">
        <v>0</v>
      </c>
      <c r="R3682">
        <v>0</v>
      </c>
      <c r="W3682" t="s">
        <v>1406</v>
      </c>
      <c r="AA3682">
        <v>2007</v>
      </c>
      <c r="AB3682">
        <v>9999</v>
      </c>
      <c r="AC3682" t="s">
        <v>35</v>
      </c>
    </row>
    <row r="3683" spans="1:29" x14ac:dyDescent="0.25">
      <c r="A3683" s="31" t="s">
        <v>714</v>
      </c>
      <c r="B3683" s="23" t="s">
        <v>715</v>
      </c>
      <c r="D3683">
        <v>1</v>
      </c>
      <c r="E3683" t="s">
        <v>80</v>
      </c>
      <c r="F3683">
        <v>8</v>
      </c>
      <c r="G3683">
        <v>2013</v>
      </c>
      <c r="I3683" s="8">
        <v>49.82</v>
      </c>
      <c r="J3683" t="s">
        <v>1343</v>
      </c>
      <c r="K3683" t="s">
        <v>76</v>
      </c>
      <c r="O3683">
        <v>0</v>
      </c>
      <c r="P3683">
        <v>0</v>
      </c>
      <c r="Q3683">
        <v>0</v>
      </c>
      <c r="R3683">
        <v>0</v>
      </c>
      <c r="W3683" t="s">
        <v>1323</v>
      </c>
      <c r="AA3683">
        <v>2007</v>
      </c>
      <c r="AB3683">
        <v>9999</v>
      </c>
      <c r="AC3683" t="s">
        <v>35</v>
      </c>
    </row>
    <row r="3684" spans="1:29" x14ac:dyDescent="0.25">
      <c r="A3684" s="31" t="s">
        <v>717</v>
      </c>
      <c r="B3684" s="25" t="s">
        <v>718</v>
      </c>
      <c r="D3684">
        <v>1</v>
      </c>
      <c r="E3684" t="s">
        <v>51</v>
      </c>
      <c r="F3684">
        <v>1</v>
      </c>
      <c r="G3684">
        <v>2013</v>
      </c>
      <c r="J3684" t="s">
        <v>52</v>
      </c>
      <c r="K3684" t="s">
        <v>53</v>
      </c>
      <c r="L3684" t="s">
        <v>54</v>
      </c>
      <c r="O3684">
        <v>0</v>
      </c>
      <c r="P3684">
        <v>0</v>
      </c>
      <c r="Q3684">
        <v>1</v>
      </c>
      <c r="R3684">
        <v>0</v>
      </c>
      <c r="W3684" t="s">
        <v>55</v>
      </c>
      <c r="AA3684">
        <v>2007</v>
      </c>
      <c r="AB3684">
        <v>9999</v>
      </c>
      <c r="AC3684" t="s">
        <v>35</v>
      </c>
    </row>
    <row r="3685" spans="1:29" x14ac:dyDescent="0.25">
      <c r="A3685" s="31" t="s">
        <v>719</v>
      </c>
      <c r="B3685" s="25" t="s">
        <v>720</v>
      </c>
      <c r="D3685">
        <v>1</v>
      </c>
      <c r="E3685" t="s">
        <v>51</v>
      </c>
      <c r="F3685">
        <v>1</v>
      </c>
      <c r="G3685">
        <v>2013</v>
      </c>
      <c r="J3685" t="s">
        <v>52</v>
      </c>
      <c r="K3685" t="s">
        <v>53</v>
      </c>
      <c r="L3685" t="s">
        <v>54</v>
      </c>
      <c r="O3685">
        <v>0</v>
      </c>
      <c r="P3685">
        <v>0</v>
      </c>
      <c r="Q3685">
        <v>1</v>
      </c>
      <c r="R3685">
        <v>0</v>
      </c>
      <c r="W3685" t="s">
        <v>721</v>
      </c>
      <c r="AA3685">
        <v>2007</v>
      </c>
      <c r="AB3685">
        <v>9999</v>
      </c>
      <c r="AC3685" t="s">
        <v>35</v>
      </c>
    </row>
    <row r="3686" spans="1:29" x14ac:dyDescent="0.25">
      <c r="A3686" s="31" t="s">
        <v>722</v>
      </c>
      <c r="B3686" s="23" t="s">
        <v>723</v>
      </c>
      <c r="D3686">
        <v>1</v>
      </c>
      <c r="E3686" t="s">
        <v>724</v>
      </c>
      <c r="F3686">
        <v>4</v>
      </c>
      <c r="G3686">
        <v>2013</v>
      </c>
      <c r="I3686" s="8">
        <v>1173.72</v>
      </c>
      <c r="J3686" t="s">
        <v>89</v>
      </c>
      <c r="K3686" t="s">
        <v>32</v>
      </c>
      <c r="L3686" t="s">
        <v>33</v>
      </c>
      <c r="O3686">
        <v>0</v>
      </c>
      <c r="P3686">
        <v>0</v>
      </c>
      <c r="Q3686">
        <v>0</v>
      </c>
      <c r="R3686">
        <v>1</v>
      </c>
      <c r="W3686" t="s">
        <v>1161</v>
      </c>
      <c r="AA3686">
        <v>2007</v>
      </c>
      <c r="AB3686">
        <v>9999</v>
      </c>
      <c r="AC3686" t="s">
        <v>35</v>
      </c>
    </row>
    <row r="3687" spans="1:29" x14ac:dyDescent="0.25">
      <c r="A3687" s="31" t="s">
        <v>726</v>
      </c>
      <c r="B3687" s="25" t="s">
        <v>727</v>
      </c>
      <c r="D3687">
        <v>1</v>
      </c>
      <c r="E3687" t="s">
        <v>85</v>
      </c>
      <c r="F3687">
        <v>1</v>
      </c>
      <c r="G3687">
        <v>2013</v>
      </c>
      <c r="H3687" t="s">
        <v>205</v>
      </c>
      <c r="J3687" t="s">
        <v>52</v>
      </c>
      <c r="K3687" t="s">
        <v>41</v>
      </c>
      <c r="O3687">
        <v>0</v>
      </c>
      <c r="P3687">
        <v>0</v>
      </c>
      <c r="Q3687">
        <v>0</v>
      </c>
      <c r="R3687">
        <v>0</v>
      </c>
      <c r="W3687" t="s">
        <v>1162</v>
      </c>
      <c r="AA3687">
        <v>2007</v>
      </c>
      <c r="AB3687">
        <v>9999</v>
      </c>
      <c r="AC3687" t="s">
        <v>35</v>
      </c>
    </row>
    <row r="3688" spans="1:29" x14ac:dyDescent="0.25">
      <c r="A3688" s="31" t="s">
        <v>729</v>
      </c>
      <c r="B3688" s="23" t="s">
        <v>205</v>
      </c>
      <c r="D3688">
        <v>1</v>
      </c>
      <c r="E3688" t="s">
        <v>168</v>
      </c>
      <c r="F3688">
        <v>1</v>
      </c>
      <c r="G3688">
        <v>2013</v>
      </c>
      <c r="I3688" s="8">
        <v>9880.35</v>
      </c>
      <c r="J3688" t="s">
        <v>52</v>
      </c>
      <c r="K3688" t="s">
        <v>47</v>
      </c>
      <c r="O3688">
        <v>0</v>
      </c>
      <c r="P3688">
        <v>0</v>
      </c>
      <c r="Q3688">
        <v>0</v>
      </c>
      <c r="R3688">
        <v>0</v>
      </c>
      <c r="W3688" t="s">
        <v>1163</v>
      </c>
      <c r="AA3688">
        <v>2007</v>
      </c>
      <c r="AB3688">
        <v>9999</v>
      </c>
      <c r="AC3688" t="s">
        <v>35</v>
      </c>
    </row>
    <row r="3689" spans="1:29" x14ac:dyDescent="0.25">
      <c r="A3689" s="31" t="s">
        <v>731</v>
      </c>
      <c r="B3689" s="25" t="s">
        <v>732</v>
      </c>
      <c r="D3689">
        <v>1</v>
      </c>
      <c r="E3689" t="s">
        <v>51</v>
      </c>
      <c r="F3689">
        <v>10</v>
      </c>
      <c r="G3689">
        <v>2013</v>
      </c>
      <c r="H3689" t="s">
        <v>39</v>
      </c>
      <c r="J3689" t="s">
        <v>52</v>
      </c>
      <c r="K3689" t="s">
        <v>41</v>
      </c>
      <c r="O3689">
        <v>0</v>
      </c>
      <c r="P3689">
        <v>0</v>
      </c>
      <c r="Q3689">
        <v>0</v>
      </c>
      <c r="R3689">
        <v>0</v>
      </c>
      <c r="W3689" t="s">
        <v>1164</v>
      </c>
      <c r="AA3689">
        <v>2007</v>
      </c>
      <c r="AB3689">
        <v>9999</v>
      </c>
      <c r="AC3689" t="s">
        <v>35</v>
      </c>
    </row>
    <row r="3690" spans="1:29" x14ac:dyDescent="0.25">
      <c r="A3690" s="31" t="s">
        <v>734</v>
      </c>
      <c r="B3690" s="23" t="s">
        <v>735</v>
      </c>
      <c r="D3690">
        <v>1</v>
      </c>
      <c r="E3690" t="s">
        <v>736</v>
      </c>
      <c r="F3690">
        <v>4</v>
      </c>
      <c r="G3690">
        <v>2013</v>
      </c>
      <c r="I3690" s="8">
        <v>850.34</v>
      </c>
      <c r="J3690" t="s">
        <v>1343</v>
      </c>
      <c r="K3690" t="s">
        <v>32</v>
      </c>
      <c r="O3690">
        <v>0</v>
      </c>
      <c r="P3690">
        <v>0</v>
      </c>
      <c r="Q3690">
        <v>0</v>
      </c>
      <c r="R3690">
        <v>0</v>
      </c>
      <c r="W3690" t="s">
        <v>1324</v>
      </c>
      <c r="AA3690">
        <v>2007</v>
      </c>
      <c r="AB3690">
        <v>9999</v>
      </c>
      <c r="AC3690" t="s">
        <v>35</v>
      </c>
    </row>
    <row r="3691" spans="1:29" x14ac:dyDescent="0.25">
      <c r="A3691" s="31" t="s">
        <v>738</v>
      </c>
      <c r="B3691" s="25" t="s">
        <v>739</v>
      </c>
      <c r="D3691">
        <v>1</v>
      </c>
      <c r="E3691" t="s">
        <v>128</v>
      </c>
      <c r="F3691">
        <v>9</v>
      </c>
      <c r="G3691">
        <v>2013</v>
      </c>
      <c r="H3691" t="s">
        <v>1262</v>
      </c>
      <c r="J3691" t="s">
        <v>104</v>
      </c>
      <c r="K3691" t="s">
        <v>41</v>
      </c>
      <c r="O3691">
        <v>0</v>
      </c>
      <c r="P3691">
        <v>0</v>
      </c>
      <c r="Q3691">
        <v>0</v>
      </c>
      <c r="R3691">
        <v>0</v>
      </c>
      <c r="W3691" t="s">
        <v>1166</v>
      </c>
      <c r="AA3691">
        <v>2007</v>
      </c>
      <c r="AB3691">
        <v>9999</v>
      </c>
      <c r="AC3691" t="s">
        <v>35</v>
      </c>
    </row>
    <row r="3692" spans="1:29" x14ac:dyDescent="0.25">
      <c r="A3692" s="31" t="s">
        <v>742</v>
      </c>
      <c r="B3692" s="23" t="s">
        <v>743</v>
      </c>
      <c r="D3692">
        <v>1</v>
      </c>
      <c r="E3692" t="s">
        <v>468</v>
      </c>
      <c r="F3692">
        <v>7</v>
      </c>
      <c r="G3692">
        <v>2013</v>
      </c>
      <c r="I3692" s="8">
        <v>261.60000000000002</v>
      </c>
      <c r="J3692" t="s">
        <v>40</v>
      </c>
      <c r="K3692" t="s">
        <v>47</v>
      </c>
      <c r="O3692">
        <v>0</v>
      </c>
      <c r="P3692">
        <v>0</v>
      </c>
      <c r="Q3692">
        <v>0</v>
      </c>
      <c r="R3692">
        <v>0</v>
      </c>
      <c r="W3692" t="s">
        <v>1373</v>
      </c>
      <c r="AA3692">
        <v>2007</v>
      </c>
      <c r="AB3692">
        <v>2013</v>
      </c>
      <c r="AC3692" t="s">
        <v>139</v>
      </c>
    </row>
    <row r="3693" spans="1:29" x14ac:dyDescent="0.25">
      <c r="A3693" s="31" t="s">
        <v>745</v>
      </c>
      <c r="B3693" s="23" t="s">
        <v>746</v>
      </c>
      <c r="D3693">
        <v>1</v>
      </c>
      <c r="E3693" t="s">
        <v>468</v>
      </c>
      <c r="F3693">
        <v>7</v>
      </c>
      <c r="G3693">
        <v>2013</v>
      </c>
      <c r="I3693" s="8">
        <v>1091.8599999999999</v>
      </c>
      <c r="J3693" t="s">
        <v>40</v>
      </c>
      <c r="K3693" t="s">
        <v>47</v>
      </c>
      <c r="O3693">
        <v>0</v>
      </c>
      <c r="P3693">
        <v>0</v>
      </c>
      <c r="Q3693">
        <v>0</v>
      </c>
      <c r="R3693">
        <v>0</v>
      </c>
      <c r="W3693" t="s">
        <v>1325</v>
      </c>
      <c r="AA3693">
        <v>2007</v>
      </c>
      <c r="AB3693">
        <v>9999</v>
      </c>
      <c r="AC3693" t="s">
        <v>35</v>
      </c>
    </row>
    <row r="3694" spans="1:29" x14ac:dyDescent="0.25">
      <c r="A3694" s="31" t="s">
        <v>1263</v>
      </c>
      <c r="B3694" s="23" t="s">
        <v>1264</v>
      </c>
      <c r="C3694" t="s">
        <v>1265</v>
      </c>
      <c r="D3694">
        <v>1</v>
      </c>
      <c r="E3694" t="s">
        <v>712</v>
      </c>
      <c r="F3694">
        <v>9</v>
      </c>
      <c r="G3694">
        <v>2013</v>
      </c>
      <c r="I3694" s="8">
        <v>995.5</v>
      </c>
      <c r="J3694" t="s">
        <v>104</v>
      </c>
      <c r="K3694" t="s">
        <v>47</v>
      </c>
      <c r="O3694">
        <v>0</v>
      </c>
      <c r="P3694">
        <v>0</v>
      </c>
      <c r="Q3694">
        <v>0</v>
      </c>
      <c r="R3694">
        <v>0</v>
      </c>
      <c r="W3694" t="s">
        <v>1407</v>
      </c>
      <c r="AA3694">
        <v>2009</v>
      </c>
      <c r="AB3694">
        <v>9999</v>
      </c>
      <c r="AC3694" t="s">
        <v>1239</v>
      </c>
    </row>
    <row r="3695" spans="1:29" x14ac:dyDescent="0.25">
      <c r="A3695" s="31" t="s">
        <v>754</v>
      </c>
      <c r="B3695" s="25" t="s">
        <v>755</v>
      </c>
      <c r="D3695">
        <v>1</v>
      </c>
      <c r="E3695" t="s">
        <v>85</v>
      </c>
      <c r="F3695">
        <v>1</v>
      </c>
      <c r="G3695">
        <v>2013</v>
      </c>
      <c r="H3695" t="s">
        <v>756</v>
      </c>
      <c r="J3695" t="s">
        <v>52</v>
      </c>
      <c r="K3695" t="s">
        <v>41</v>
      </c>
      <c r="O3695">
        <v>0</v>
      </c>
      <c r="P3695">
        <v>0</v>
      </c>
      <c r="Q3695">
        <v>0</v>
      </c>
      <c r="R3695">
        <v>0</v>
      </c>
      <c r="W3695" t="s">
        <v>1169</v>
      </c>
      <c r="AA3695">
        <v>2007</v>
      </c>
      <c r="AB3695">
        <v>9999</v>
      </c>
      <c r="AC3695" t="s">
        <v>35</v>
      </c>
    </row>
    <row r="3696" spans="1:29" x14ac:dyDescent="0.25">
      <c r="A3696" s="31" t="s">
        <v>758</v>
      </c>
      <c r="B3696" s="23" t="s">
        <v>759</v>
      </c>
      <c r="D3696">
        <v>1</v>
      </c>
      <c r="E3696" t="s">
        <v>760</v>
      </c>
      <c r="F3696">
        <v>7</v>
      </c>
      <c r="G3696">
        <v>2013</v>
      </c>
      <c r="I3696" s="8">
        <v>52.95</v>
      </c>
      <c r="J3696" t="s">
        <v>40</v>
      </c>
      <c r="K3696" t="s">
        <v>47</v>
      </c>
      <c r="O3696">
        <v>0</v>
      </c>
      <c r="P3696">
        <v>0</v>
      </c>
      <c r="Q3696">
        <v>0</v>
      </c>
      <c r="R3696">
        <v>0</v>
      </c>
      <c r="W3696" t="s">
        <v>1170</v>
      </c>
      <c r="AA3696">
        <v>2007</v>
      </c>
      <c r="AB3696">
        <v>9999</v>
      </c>
      <c r="AC3696" t="s">
        <v>35</v>
      </c>
    </row>
    <row r="3697" spans="1:29" x14ac:dyDescent="0.25">
      <c r="A3697" s="31" t="s">
        <v>768</v>
      </c>
      <c r="B3697" s="23" t="s">
        <v>769</v>
      </c>
      <c r="C3697" t="s">
        <v>770</v>
      </c>
      <c r="D3697">
        <v>1</v>
      </c>
      <c r="E3697" t="s">
        <v>30</v>
      </c>
      <c r="F3697">
        <v>4</v>
      </c>
      <c r="G3697">
        <v>2013</v>
      </c>
      <c r="I3697" s="8">
        <v>350.5</v>
      </c>
      <c r="J3697" t="s">
        <v>89</v>
      </c>
      <c r="K3697" t="s">
        <v>47</v>
      </c>
      <c r="O3697">
        <v>0</v>
      </c>
      <c r="P3697">
        <v>0</v>
      </c>
      <c r="Q3697">
        <v>0</v>
      </c>
      <c r="R3697">
        <v>0</v>
      </c>
      <c r="W3697" t="s">
        <v>1173</v>
      </c>
      <c r="AA3697">
        <v>2007</v>
      </c>
      <c r="AB3697">
        <v>9999</v>
      </c>
      <c r="AC3697" t="s">
        <v>35</v>
      </c>
    </row>
    <row r="3698" spans="1:29" x14ac:dyDescent="0.25">
      <c r="A3698" s="31" t="s">
        <v>772</v>
      </c>
      <c r="B3698" s="23" t="s">
        <v>773</v>
      </c>
      <c r="C3698" t="s">
        <v>774</v>
      </c>
      <c r="D3698">
        <v>1</v>
      </c>
      <c r="E3698" t="s">
        <v>358</v>
      </c>
      <c r="F3698">
        <v>1</v>
      </c>
      <c r="G3698">
        <v>2013</v>
      </c>
      <c r="I3698" s="8">
        <v>372.73</v>
      </c>
      <c r="J3698" t="s">
        <v>40</v>
      </c>
      <c r="K3698" t="s">
        <v>32</v>
      </c>
      <c r="O3698">
        <v>0</v>
      </c>
      <c r="P3698">
        <v>0</v>
      </c>
      <c r="Q3698">
        <v>0</v>
      </c>
      <c r="R3698">
        <v>0</v>
      </c>
      <c r="W3698" t="s">
        <v>1174</v>
      </c>
      <c r="AA3698">
        <v>2007</v>
      </c>
      <c r="AB3698">
        <v>9999</v>
      </c>
      <c r="AC3698" t="s">
        <v>35</v>
      </c>
    </row>
    <row r="3699" spans="1:29" x14ac:dyDescent="0.25">
      <c r="A3699" s="31" t="s">
        <v>776</v>
      </c>
      <c r="B3699" s="23" t="s">
        <v>777</v>
      </c>
      <c r="D3699">
        <v>1</v>
      </c>
      <c r="E3699" t="s">
        <v>468</v>
      </c>
      <c r="F3699">
        <v>7</v>
      </c>
      <c r="G3699">
        <v>2013</v>
      </c>
      <c r="I3699" s="8">
        <v>134.36000000000001</v>
      </c>
      <c r="J3699" t="s">
        <v>40</v>
      </c>
      <c r="K3699" t="s">
        <v>47</v>
      </c>
      <c r="O3699">
        <v>0</v>
      </c>
      <c r="P3699">
        <v>0</v>
      </c>
      <c r="Q3699">
        <v>0</v>
      </c>
      <c r="R3699">
        <v>0</v>
      </c>
      <c r="W3699" t="s">
        <v>1431</v>
      </c>
      <c r="AA3699">
        <v>2007</v>
      </c>
      <c r="AB3699">
        <v>2013</v>
      </c>
      <c r="AC3699" t="s">
        <v>139</v>
      </c>
    </row>
    <row r="3700" spans="1:29" x14ac:dyDescent="0.25">
      <c r="A3700" s="31" t="s">
        <v>779</v>
      </c>
      <c r="B3700" s="23" t="s">
        <v>780</v>
      </c>
      <c r="D3700">
        <v>1</v>
      </c>
      <c r="E3700" t="s">
        <v>80</v>
      </c>
      <c r="F3700">
        <v>8</v>
      </c>
      <c r="G3700">
        <v>2013</v>
      </c>
      <c r="I3700" s="8">
        <v>71.239999999999995</v>
      </c>
      <c r="J3700" t="s">
        <v>81</v>
      </c>
      <c r="K3700" t="s">
        <v>47</v>
      </c>
      <c r="O3700">
        <v>0</v>
      </c>
      <c r="P3700">
        <v>0</v>
      </c>
      <c r="Q3700">
        <v>0</v>
      </c>
      <c r="R3700">
        <v>0</v>
      </c>
      <c r="W3700" t="s">
        <v>1176</v>
      </c>
      <c r="AA3700">
        <v>2007</v>
      </c>
      <c r="AB3700">
        <v>9999</v>
      </c>
      <c r="AC3700" t="s">
        <v>35</v>
      </c>
    </row>
    <row r="3701" spans="1:29" x14ac:dyDescent="0.25">
      <c r="A3701" s="31" t="s">
        <v>782</v>
      </c>
      <c r="B3701" s="23" t="s">
        <v>783</v>
      </c>
      <c r="D3701">
        <v>1</v>
      </c>
      <c r="E3701" t="s">
        <v>784</v>
      </c>
      <c r="F3701">
        <v>6</v>
      </c>
      <c r="G3701">
        <v>2013</v>
      </c>
      <c r="I3701" s="8">
        <v>74.790000000000006</v>
      </c>
      <c r="J3701" t="s">
        <v>40</v>
      </c>
      <c r="K3701" t="s">
        <v>47</v>
      </c>
      <c r="O3701">
        <v>0</v>
      </c>
      <c r="P3701">
        <v>0</v>
      </c>
      <c r="Q3701">
        <v>0</v>
      </c>
      <c r="R3701">
        <v>0</v>
      </c>
      <c r="W3701" t="s">
        <v>1326</v>
      </c>
      <c r="AA3701">
        <v>2007</v>
      </c>
      <c r="AB3701">
        <v>9999</v>
      </c>
      <c r="AC3701" t="s">
        <v>35</v>
      </c>
    </row>
    <row r="3702" spans="1:29" x14ac:dyDescent="0.25">
      <c r="A3702" s="31" t="s">
        <v>786</v>
      </c>
      <c r="B3702" s="23" t="s">
        <v>787</v>
      </c>
      <c r="C3702" t="s">
        <v>788</v>
      </c>
      <c r="D3702">
        <v>1</v>
      </c>
      <c r="E3702" t="s">
        <v>120</v>
      </c>
      <c r="F3702">
        <v>3</v>
      </c>
      <c r="G3702">
        <v>2013</v>
      </c>
      <c r="I3702" s="8">
        <v>27.5</v>
      </c>
      <c r="J3702" t="s">
        <v>147</v>
      </c>
      <c r="K3702" t="s">
        <v>47</v>
      </c>
      <c r="O3702">
        <v>0</v>
      </c>
      <c r="P3702">
        <v>0</v>
      </c>
      <c r="Q3702">
        <v>0</v>
      </c>
      <c r="R3702">
        <v>0</v>
      </c>
      <c r="W3702" t="s">
        <v>1178</v>
      </c>
      <c r="AA3702">
        <v>2007</v>
      </c>
      <c r="AB3702">
        <v>9999</v>
      </c>
      <c r="AC3702" t="s">
        <v>35</v>
      </c>
    </row>
    <row r="3703" spans="1:29" x14ac:dyDescent="0.25">
      <c r="A3703" s="31" t="s">
        <v>790</v>
      </c>
      <c r="B3703" s="23" t="s">
        <v>791</v>
      </c>
      <c r="D3703">
        <v>1</v>
      </c>
      <c r="E3703" t="s">
        <v>80</v>
      </c>
      <c r="F3703">
        <v>8</v>
      </c>
      <c r="G3703">
        <v>2013</v>
      </c>
      <c r="I3703" s="8">
        <v>78.66</v>
      </c>
      <c r="J3703" t="s">
        <v>81</v>
      </c>
      <c r="K3703" t="s">
        <v>47</v>
      </c>
      <c r="O3703">
        <v>0</v>
      </c>
      <c r="P3703">
        <v>0</v>
      </c>
      <c r="Q3703">
        <v>0</v>
      </c>
      <c r="R3703">
        <v>0</v>
      </c>
      <c r="W3703" t="s">
        <v>1179</v>
      </c>
      <c r="AA3703">
        <v>2007</v>
      </c>
      <c r="AB3703">
        <v>9999</v>
      </c>
      <c r="AC3703" t="s">
        <v>35</v>
      </c>
    </row>
    <row r="3704" spans="1:29" ht="26.25" x14ac:dyDescent="0.25">
      <c r="A3704" s="31" t="s">
        <v>1327</v>
      </c>
      <c r="B3704" s="26" t="s">
        <v>1328</v>
      </c>
      <c r="C3704" t="s">
        <v>1329</v>
      </c>
      <c r="D3704">
        <v>1</v>
      </c>
      <c r="E3704" t="s">
        <v>218</v>
      </c>
      <c r="F3704">
        <v>2</v>
      </c>
      <c r="G3704">
        <v>2013</v>
      </c>
      <c r="I3704" s="8">
        <v>5</v>
      </c>
      <c r="J3704" t="s">
        <v>147</v>
      </c>
      <c r="K3704" t="s">
        <v>41</v>
      </c>
      <c r="O3704">
        <v>0</v>
      </c>
      <c r="P3704">
        <v>0</v>
      </c>
      <c r="Q3704">
        <v>0</v>
      </c>
      <c r="R3704">
        <v>0</v>
      </c>
      <c r="W3704" t="s">
        <v>1330</v>
      </c>
      <c r="AA3704">
        <v>2010</v>
      </c>
      <c r="AB3704">
        <v>9999</v>
      </c>
      <c r="AC3704" t="s">
        <v>1292</v>
      </c>
    </row>
    <row r="3705" spans="1:29" x14ac:dyDescent="0.25">
      <c r="A3705" s="31" t="s">
        <v>796</v>
      </c>
      <c r="B3705" s="23" t="s">
        <v>797</v>
      </c>
      <c r="C3705" t="s">
        <v>798</v>
      </c>
      <c r="D3705">
        <v>1</v>
      </c>
      <c r="E3705" t="s">
        <v>534</v>
      </c>
      <c r="F3705">
        <v>10</v>
      </c>
      <c r="G3705">
        <v>2013</v>
      </c>
      <c r="I3705" s="8">
        <v>2874.93</v>
      </c>
      <c r="J3705" t="s">
        <v>40</v>
      </c>
      <c r="K3705" t="s">
        <v>47</v>
      </c>
      <c r="O3705">
        <v>0</v>
      </c>
      <c r="P3705">
        <v>0</v>
      </c>
      <c r="Q3705">
        <v>0</v>
      </c>
      <c r="R3705">
        <v>0</v>
      </c>
      <c r="W3705" t="s">
        <v>1181</v>
      </c>
      <c r="AA3705">
        <v>2007</v>
      </c>
      <c r="AB3705">
        <v>9999</v>
      </c>
      <c r="AC3705" t="s">
        <v>35</v>
      </c>
    </row>
    <row r="3706" spans="1:29" x14ac:dyDescent="0.25">
      <c r="A3706" s="31" t="s">
        <v>800</v>
      </c>
      <c r="B3706" s="23" t="s">
        <v>801</v>
      </c>
      <c r="C3706" t="s">
        <v>802</v>
      </c>
      <c r="D3706">
        <v>1</v>
      </c>
      <c r="E3706" t="s">
        <v>442</v>
      </c>
      <c r="F3706">
        <v>4</v>
      </c>
      <c r="G3706">
        <v>2013</v>
      </c>
      <c r="I3706" s="8">
        <v>1597.81</v>
      </c>
      <c r="J3706" t="s">
        <v>1343</v>
      </c>
      <c r="K3706" t="s">
        <v>47</v>
      </c>
      <c r="O3706">
        <v>0</v>
      </c>
      <c r="P3706">
        <v>0</v>
      </c>
      <c r="Q3706">
        <v>0</v>
      </c>
      <c r="R3706">
        <v>0</v>
      </c>
      <c r="W3706" t="s">
        <v>1331</v>
      </c>
      <c r="AA3706">
        <v>2007</v>
      </c>
      <c r="AB3706">
        <v>9999</v>
      </c>
      <c r="AC3706" t="s">
        <v>35</v>
      </c>
    </row>
    <row r="3707" spans="1:29" x14ac:dyDescent="0.25">
      <c r="A3707" s="31" t="s">
        <v>808</v>
      </c>
      <c r="B3707" s="23" t="s">
        <v>809</v>
      </c>
      <c r="D3707">
        <v>1</v>
      </c>
      <c r="E3707" t="s">
        <v>80</v>
      </c>
      <c r="F3707">
        <v>8</v>
      </c>
      <c r="G3707">
        <v>2013</v>
      </c>
      <c r="I3707" s="8">
        <v>13.39</v>
      </c>
      <c r="J3707" t="s">
        <v>81</v>
      </c>
      <c r="K3707" t="s">
        <v>47</v>
      </c>
      <c r="O3707">
        <v>0</v>
      </c>
      <c r="P3707">
        <v>0</v>
      </c>
      <c r="Q3707">
        <v>0</v>
      </c>
      <c r="R3707">
        <v>0</v>
      </c>
      <c r="W3707" t="s">
        <v>1184</v>
      </c>
      <c r="AA3707">
        <v>2007</v>
      </c>
      <c r="AB3707">
        <v>9999</v>
      </c>
      <c r="AC3707" t="s">
        <v>35</v>
      </c>
    </row>
    <row r="3708" spans="1:29" x14ac:dyDescent="0.25">
      <c r="A3708" s="31" t="s">
        <v>472</v>
      </c>
      <c r="B3708" s="23" t="s">
        <v>811</v>
      </c>
      <c r="D3708">
        <v>1</v>
      </c>
      <c r="E3708" t="s">
        <v>681</v>
      </c>
      <c r="F3708">
        <v>3</v>
      </c>
      <c r="G3708">
        <v>2013</v>
      </c>
      <c r="I3708" t="s">
        <v>474</v>
      </c>
      <c r="J3708" t="s">
        <v>121</v>
      </c>
      <c r="K3708" t="s">
        <v>53</v>
      </c>
      <c r="L3708" t="s">
        <v>53</v>
      </c>
      <c r="O3708">
        <v>0</v>
      </c>
      <c r="P3708">
        <v>0</v>
      </c>
      <c r="Q3708">
        <v>0</v>
      </c>
      <c r="R3708">
        <v>0</v>
      </c>
      <c r="W3708" t="s">
        <v>813</v>
      </c>
      <c r="AA3708">
        <v>2007</v>
      </c>
      <c r="AB3708">
        <v>9999</v>
      </c>
      <c r="AC3708" t="s">
        <v>35</v>
      </c>
    </row>
    <row r="3709" spans="1:29" x14ac:dyDescent="0.25">
      <c r="A3709" s="31" t="s">
        <v>814</v>
      </c>
      <c r="B3709" s="23" t="s">
        <v>815</v>
      </c>
      <c r="D3709">
        <v>1</v>
      </c>
      <c r="E3709" t="s">
        <v>80</v>
      </c>
      <c r="F3709">
        <v>8</v>
      </c>
      <c r="G3709">
        <v>2013</v>
      </c>
      <c r="I3709" s="8">
        <v>76.5</v>
      </c>
      <c r="J3709" t="s">
        <v>81</v>
      </c>
      <c r="K3709" t="s">
        <v>32</v>
      </c>
      <c r="O3709">
        <v>0</v>
      </c>
      <c r="P3709">
        <v>0</v>
      </c>
      <c r="Q3709">
        <v>0</v>
      </c>
      <c r="R3709">
        <v>0</v>
      </c>
      <c r="W3709" t="s">
        <v>1432</v>
      </c>
      <c r="AA3709">
        <v>2007</v>
      </c>
      <c r="AB3709">
        <v>9999</v>
      </c>
      <c r="AC3709" t="s">
        <v>35</v>
      </c>
    </row>
    <row r="3710" spans="1:29" x14ac:dyDescent="0.25">
      <c r="A3710" s="31" t="s">
        <v>822</v>
      </c>
      <c r="B3710" s="23" t="s">
        <v>823</v>
      </c>
      <c r="D3710">
        <v>1</v>
      </c>
      <c r="E3710" t="s">
        <v>80</v>
      </c>
      <c r="F3710">
        <v>8</v>
      </c>
      <c r="G3710">
        <v>2013</v>
      </c>
      <c r="I3710" s="8">
        <v>177.41</v>
      </c>
      <c r="J3710" t="s">
        <v>81</v>
      </c>
      <c r="K3710" t="s">
        <v>47</v>
      </c>
      <c r="O3710">
        <v>0</v>
      </c>
      <c r="P3710">
        <v>0</v>
      </c>
      <c r="Q3710">
        <v>0</v>
      </c>
      <c r="R3710">
        <v>0</v>
      </c>
      <c r="W3710" t="s">
        <v>1187</v>
      </c>
      <c r="AA3710">
        <v>2007</v>
      </c>
      <c r="AB3710">
        <v>9999</v>
      </c>
      <c r="AC3710" t="s">
        <v>35</v>
      </c>
    </row>
    <row r="3711" spans="1:29" x14ac:dyDescent="0.25">
      <c r="A3711" s="31" t="s">
        <v>1374</v>
      </c>
      <c r="B3711" s="23" t="s">
        <v>1375</v>
      </c>
      <c r="D3711">
        <v>1</v>
      </c>
      <c r="E3711" t="s">
        <v>80</v>
      </c>
      <c r="F3711">
        <v>8</v>
      </c>
      <c r="G3711">
        <v>2013</v>
      </c>
      <c r="I3711" s="8">
        <v>14.65</v>
      </c>
      <c r="J3711" t="s">
        <v>81</v>
      </c>
      <c r="K3711" t="s">
        <v>47</v>
      </c>
      <c r="O3711">
        <v>0</v>
      </c>
      <c r="P3711">
        <v>0</v>
      </c>
      <c r="Q3711">
        <v>0</v>
      </c>
      <c r="R3711">
        <v>0</v>
      </c>
      <c r="W3711" t="s">
        <v>1376</v>
      </c>
      <c r="AA3711">
        <v>2011</v>
      </c>
      <c r="AB3711">
        <v>2023</v>
      </c>
      <c r="AC3711" t="s">
        <v>1377</v>
      </c>
    </row>
    <row r="3712" spans="1:29" x14ac:dyDescent="0.25">
      <c r="A3712" s="31" t="s">
        <v>825</v>
      </c>
      <c r="B3712" s="23" t="s">
        <v>826</v>
      </c>
      <c r="D3712">
        <v>1</v>
      </c>
      <c r="E3712" t="s">
        <v>80</v>
      </c>
      <c r="F3712">
        <v>8</v>
      </c>
      <c r="G3712">
        <v>2013</v>
      </c>
      <c r="I3712" s="8">
        <v>120.05</v>
      </c>
      <c r="J3712" t="s">
        <v>81</v>
      </c>
      <c r="K3712" t="s">
        <v>47</v>
      </c>
      <c r="O3712">
        <v>0</v>
      </c>
      <c r="P3712">
        <v>0</v>
      </c>
      <c r="Q3712">
        <v>0</v>
      </c>
      <c r="R3712">
        <v>0</v>
      </c>
      <c r="W3712" t="s">
        <v>1188</v>
      </c>
      <c r="AA3712">
        <v>2007</v>
      </c>
      <c r="AB3712">
        <v>9999</v>
      </c>
      <c r="AC3712" t="s">
        <v>35</v>
      </c>
    </row>
    <row r="3713" spans="1:29" x14ac:dyDescent="0.25">
      <c r="A3713" s="31" t="s">
        <v>828</v>
      </c>
      <c r="B3713" s="25" t="s">
        <v>1408</v>
      </c>
      <c r="C3713" t="s">
        <v>1409</v>
      </c>
      <c r="D3713">
        <v>1</v>
      </c>
      <c r="E3713" s="5" t="s">
        <v>80</v>
      </c>
      <c r="F3713">
        <v>8</v>
      </c>
      <c r="G3713">
        <v>2013</v>
      </c>
      <c r="I3713" s="8">
        <v>76.33</v>
      </c>
      <c r="J3713" t="s">
        <v>81</v>
      </c>
      <c r="K3713" t="s">
        <v>47</v>
      </c>
      <c r="O3713">
        <v>0</v>
      </c>
      <c r="P3713">
        <v>0</v>
      </c>
      <c r="Q3713">
        <v>0</v>
      </c>
      <c r="R3713">
        <v>0</v>
      </c>
      <c r="W3713" t="s">
        <v>1410</v>
      </c>
      <c r="AA3713">
        <v>2007</v>
      </c>
      <c r="AB3713">
        <v>9999</v>
      </c>
      <c r="AC3713" t="s">
        <v>35</v>
      </c>
    </row>
    <row r="3714" spans="1:29" x14ac:dyDescent="0.25">
      <c r="A3714" s="31" t="s">
        <v>831</v>
      </c>
      <c r="B3714" s="25" t="s">
        <v>832</v>
      </c>
      <c r="C3714" t="s">
        <v>833</v>
      </c>
      <c r="D3714">
        <v>1</v>
      </c>
      <c r="E3714" t="s">
        <v>38</v>
      </c>
      <c r="F3714">
        <v>4</v>
      </c>
      <c r="G3714">
        <v>2013</v>
      </c>
      <c r="H3714" t="s">
        <v>906</v>
      </c>
      <c r="J3714" t="s">
        <v>59</v>
      </c>
      <c r="K3714" t="s">
        <v>41</v>
      </c>
      <c r="O3714">
        <v>0</v>
      </c>
      <c r="P3714">
        <v>0</v>
      </c>
      <c r="Q3714">
        <v>0</v>
      </c>
      <c r="R3714">
        <v>0</v>
      </c>
      <c r="W3714" t="s">
        <v>1190</v>
      </c>
      <c r="AA3714">
        <v>2007</v>
      </c>
      <c r="AB3714">
        <v>9999</v>
      </c>
      <c r="AC3714" t="s">
        <v>35</v>
      </c>
    </row>
    <row r="3715" spans="1:29" x14ac:dyDescent="0.25">
      <c r="A3715" s="31" t="s">
        <v>1433</v>
      </c>
      <c r="B3715" s="23" t="s">
        <v>1434</v>
      </c>
      <c r="D3715">
        <v>1</v>
      </c>
      <c r="E3715" s="4">
        <v>133</v>
      </c>
      <c r="F3715">
        <v>1</v>
      </c>
      <c r="G3715">
        <v>2013</v>
      </c>
      <c r="I3715" s="8">
        <v>225.68</v>
      </c>
      <c r="J3715" t="s">
        <v>40</v>
      </c>
      <c r="K3715" t="s">
        <v>32</v>
      </c>
      <c r="O3715">
        <v>0</v>
      </c>
      <c r="P3715">
        <v>0</v>
      </c>
      <c r="Q3715">
        <v>0</v>
      </c>
      <c r="R3715">
        <v>0</v>
      </c>
      <c r="W3715" t="s">
        <v>1435</v>
      </c>
      <c r="AA3715">
        <v>2013</v>
      </c>
      <c r="AB3715">
        <v>9999</v>
      </c>
      <c r="AC3715" t="s">
        <v>1419</v>
      </c>
    </row>
    <row r="3716" spans="1:29" x14ac:dyDescent="0.25">
      <c r="A3716" s="31" t="s">
        <v>1194</v>
      </c>
      <c r="B3716" s="25" t="s">
        <v>1195</v>
      </c>
      <c r="D3716">
        <v>1</v>
      </c>
      <c r="E3716" t="s">
        <v>85</v>
      </c>
      <c r="F3716">
        <v>1</v>
      </c>
      <c r="G3716">
        <v>2013</v>
      </c>
      <c r="H3716" t="s">
        <v>39</v>
      </c>
      <c r="J3716" t="s">
        <v>52</v>
      </c>
      <c r="K3716" t="s">
        <v>41</v>
      </c>
      <c r="O3716">
        <v>0</v>
      </c>
      <c r="P3716">
        <v>0</v>
      </c>
      <c r="Q3716">
        <v>0</v>
      </c>
      <c r="R3716">
        <v>0</v>
      </c>
      <c r="W3716" t="s">
        <v>1267</v>
      </c>
      <c r="AA3716">
        <v>2008</v>
      </c>
      <c r="AB3716">
        <v>9999</v>
      </c>
      <c r="AC3716" t="s">
        <v>1054</v>
      </c>
    </row>
    <row r="3717" spans="1:29" x14ac:dyDescent="0.25">
      <c r="A3717" s="31" t="s">
        <v>1268</v>
      </c>
      <c r="B3717" s="23" t="s">
        <v>1262</v>
      </c>
      <c r="D3717">
        <v>1</v>
      </c>
      <c r="E3717" t="s">
        <v>300</v>
      </c>
      <c r="F3717">
        <v>9</v>
      </c>
      <c r="G3717">
        <v>2013</v>
      </c>
      <c r="I3717" s="8">
        <v>329.33</v>
      </c>
      <c r="J3717" t="s">
        <v>104</v>
      </c>
      <c r="K3717" t="s">
        <v>47</v>
      </c>
      <c r="O3717">
        <v>0</v>
      </c>
      <c r="P3717">
        <v>0</v>
      </c>
      <c r="Q3717">
        <v>0</v>
      </c>
      <c r="R3717">
        <v>0</v>
      </c>
      <c r="W3717" t="s">
        <v>1411</v>
      </c>
      <c r="AA3717">
        <v>2009</v>
      </c>
      <c r="AB3717">
        <v>9999</v>
      </c>
      <c r="AC3717" t="s">
        <v>1239</v>
      </c>
    </row>
    <row r="3718" spans="1:29" x14ac:dyDescent="0.25">
      <c r="A3718" s="31" t="s">
        <v>845</v>
      </c>
      <c r="B3718" s="23" t="s">
        <v>846</v>
      </c>
      <c r="C3718" t="s">
        <v>847</v>
      </c>
      <c r="D3718">
        <v>1</v>
      </c>
      <c r="E3718" t="s">
        <v>300</v>
      </c>
      <c r="F3718">
        <v>9</v>
      </c>
      <c r="G3718">
        <v>2013</v>
      </c>
      <c r="I3718" s="8">
        <v>381.31</v>
      </c>
      <c r="J3718" t="s">
        <v>104</v>
      </c>
      <c r="K3718" t="s">
        <v>47</v>
      </c>
      <c r="O3718">
        <v>0</v>
      </c>
      <c r="P3718">
        <v>0</v>
      </c>
      <c r="Q3718">
        <v>0</v>
      </c>
      <c r="R3718">
        <v>0</v>
      </c>
      <c r="W3718" t="s">
        <v>1412</v>
      </c>
      <c r="AA3718">
        <v>2007</v>
      </c>
      <c r="AB3718">
        <v>9999</v>
      </c>
      <c r="AC3718" t="s">
        <v>35</v>
      </c>
    </row>
    <row r="3719" spans="1:29" x14ac:dyDescent="0.25">
      <c r="A3719" s="31" t="s">
        <v>852</v>
      </c>
      <c r="B3719" s="25" t="s">
        <v>853</v>
      </c>
      <c r="D3719">
        <v>1</v>
      </c>
      <c r="E3719" t="s">
        <v>85</v>
      </c>
      <c r="F3719">
        <v>1</v>
      </c>
      <c r="G3719">
        <v>2013</v>
      </c>
      <c r="H3719" t="s">
        <v>837</v>
      </c>
      <c r="J3719" t="s">
        <v>40</v>
      </c>
      <c r="K3719" t="s">
        <v>41</v>
      </c>
      <c r="O3719">
        <v>0</v>
      </c>
      <c r="P3719">
        <v>0</v>
      </c>
      <c r="Q3719">
        <v>0</v>
      </c>
      <c r="R3719">
        <v>0</v>
      </c>
      <c r="W3719" t="s">
        <v>1191</v>
      </c>
      <c r="AA3719">
        <v>2007</v>
      </c>
      <c r="AB3719">
        <v>9999</v>
      </c>
      <c r="AC3719" t="s">
        <v>35</v>
      </c>
    </row>
    <row r="3720" spans="1:29" x14ac:dyDescent="0.25">
      <c r="A3720" s="31" t="s">
        <v>836</v>
      </c>
      <c r="B3720" s="23" t="s">
        <v>1413</v>
      </c>
      <c r="D3720">
        <v>1</v>
      </c>
      <c r="E3720" t="s">
        <v>64</v>
      </c>
      <c r="F3720">
        <v>1</v>
      </c>
      <c r="G3720">
        <v>2013</v>
      </c>
      <c r="I3720" s="8">
        <v>284.98</v>
      </c>
      <c r="J3720" s="2" t="s">
        <v>40</v>
      </c>
      <c r="K3720" t="s">
        <v>32</v>
      </c>
      <c r="O3720">
        <v>0</v>
      </c>
      <c r="P3720">
        <v>0</v>
      </c>
      <c r="Q3720">
        <v>0</v>
      </c>
      <c r="R3720">
        <v>0</v>
      </c>
      <c r="W3720" t="s">
        <v>1191</v>
      </c>
      <c r="AA3720">
        <v>2007</v>
      </c>
      <c r="AB3720">
        <v>9999</v>
      </c>
      <c r="AC3720" t="s">
        <v>35</v>
      </c>
    </row>
    <row r="3721" spans="1:29" x14ac:dyDescent="0.25">
      <c r="A3721" s="31" t="s">
        <v>857</v>
      </c>
      <c r="B3721" s="25" t="s">
        <v>858</v>
      </c>
      <c r="D3721">
        <v>1</v>
      </c>
      <c r="E3721" t="s">
        <v>859</v>
      </c>
      <c r="F3721">
        <v>5</v>
      </c>
      <c r="G3721">
        <v>2013</v>
      </c>
      <c r="I3721" s="8">
        <v>6.5</v>
      </c>
      <c r="J3721" t="s">
        <v>40</v>
      </c>
      <c r="K3721" t="s">
        <v>47</v>
      </c>
      <c r="O3721">
        <v>0</v>
      </c>
      <c r="P3721">
        <v>0</v>
      </c>
      <c r="Q3721">
        <v>0</v>
      </c>
      <c r="R3721">
        <v>0</v>
      </c>
      <c r="W3721" t="s">
        <v>1197</v>
      </c>
      <c r="AA3721">
        <v>2007</v>
      </c>
      <c r="AB3721">
        <v>2015</v>
      </c>
      <c r="AC3721" t="s">
        <v>861</v>
      </c>
    </row>
    <row r="3722" spans="1:29" x14ac:dyDescent="0.25">
      <c r="A3722" s="31" t="s">
        <v>862</v>
      </c>
      <c r="B3722" s="23" t="s">
        <v>863</v>
      </c>
      <c r="C3722" t="s">
        <v>864</v>
      </c>
      <c r="D3722">
        <v>1</v>
      </c>
      <c r="E3722" t="s">
        <v>442</v>
      </c>
      <c r="F3722">
        <v>4</v>
      </c>
      <c r="G3722">
        <v>2013</v>
      </c>
      <c r="I3722" s="8">
        <v>368.67</v>
      </c>
      <c r="J3722" t="s">
        <v>1343</v>
      </c>
      <c r="K3722" t="s">
        <v>47</v>
      </c>
      <c r="O3722">
        <v>0</v>
      </c>
      <c r="P3722">
        <v>0</v>
      </c>
      <c r="Q3722">
        <v>0</v>
      </c>
      <c r="R3722">
        <v>0</v>
      </c>
      <c r="W3722" t="s">
        <v>1334</v>
      </c>
      <c r="AA3722">
        <v>2007</v>
      </c>
      <c r="AB3722">
        <v>9999</v>
      </c>
      <c r="AC3722" t="s">
        <v>35</v>
      </c>
    </row>
    <row r="3723" spans="1:29" x14ac:dyDescent="0.25">
      <c r="A3723" s="31" t="s">
        <v>866</v>
      </c>
      <c r="B3723" s="23" t="s">
        <v>867</v>
      </c>
      <c r="C3723" t="s">
        <v>868</v>
      </c>
      <c r="D3723">
        <v>1</v>
      </c>
      <c r="E3723" t="s">
        <v>869</v>
      </c>
      <c r="F3723">
        <v>4</v>
      </c>
      <c r="G3723">
        <v>2013</v>
      </c>
      <c r="I3723" s="8">
        <v>171.11</v>
      </c>
      <c r="J3723" t="s">
        <v>89</v>
      </c>
      <c r="K3723" t="s">
        <v>32</v>
      </c>
      <c r="O3723">
        <v>0</v>
      </c>
      <c r="P3723">
        <v>0</v>
      </c>
      <c r="Q3723">
        <v>0</v>
      </c>
      <c r="R3723">
        <v>0</v>
      </c>
      <c r="W3723" t="s">
        <v>1199</v>
      </c>
      <c r="AA3723">
        <v>2007</v>
      </c>
      <c r="AB3723">
        <v>9999</v>
      </c>
      <c r="AC3723" t="s">
        <v>35</v>
      </c>
    </row>
    <row r="3724" spans="1:29" x14ac:dyDescent="0.25">
      <c r="A3724" s="31" t="s">
        <v>1023</v>
      </c>
      <c r="B3724" s="25" t="s">
        <v>1200</v>
      </c>
      <c r="D3724">
        <v>1</v>
      </c>
      <c r="E3724" t="s">
        <v>85</v>
      </c>
      <c r="F3724">
        <v>1</v>
      </c>
      <c r="G3724">
        <v>2013</v>
      </c>
      <c r="H3724" t="s">
        <v>39</v>
      </c>
      <c r="J3724" t="s">
        <v>40</v>
      </c>
      <c r="K3724" t="s">
        <v>41</v>
      </c>
      <c r="O3724">
        <v>0</v>
      </c>
      <c r="P3724">
        <v>0</v>
      </c>
      <c r="Q3724">
        <v>0</v>
      </c>
      <c r="R3724">
        <v>0</v>
      </c>
      <c r="W3724" t="s">
        <v>1271</v>
      </c>
      <c r="AA3724">
        <v>2007</v>
      </c>
      <c r="AB3724">
        <v>9999</v>
      </c>
      <c r="AC3724" t="s">
        <v>35</v>
      </c>
    </row>
    <row r="3725" spans="1:29" x14ac:dyDescent="0.25">
      <c r="A3725" s="31" t="s">
        <v>871</v>
      </c>
      <c r="B3725" s="23" t="s">
        <v>872</v>
      </c>
      <c r="C3725" t="s">
        <v>873</v>
      </c>
      <c r="D3725">
        <v>1</v>
      </c>
      <c r="E3725" t="s">
        <v>874</v>
      </c>
      <c r="F3725">
        <v>1</v>
      </c>
      <c r="G3725">
        <v>2013</v>
      </c>
      <c r="I3725" s="8">
        <v>1200.97</v>
      </c>
      <c r="J3725" t="s">
        <v>52</v>
      </c>
      <c r="K3725" t="s">
        <v>47</v>
      </c>
      <c r="O3725">
        <v>0</v>
      </c>
      <c r="P3725">
        <v>0</v>
      </c>
      <c r="Q3725">
        <v>0</v>
      </c>
      <c r="R3725">
        <v>0</v>
      </c>
      <c r="W3725" t="s">
        <v>1201</v>
      </c>
      <c r="AA3725">
        <v>2007</v>
      </c>
      <c r="AB3725">
        <v>9999</v>
      </c>
      <c r="AC3725" t="s">
        <v>35</v>
      </c>
    </row>
    <row r="3726" spans="1:29" x14ac:dyDescent="0.25">
      <c r="A3726" s="31" t="s">
        <v>876</v>
      </c>
      <c r="B3726" s="23" t="s">
        <v>877</v>
      </c>
      <c r="C3726" t="s">
        <v>878</v>
      </c>
      <c r="D3726">
        <v>1</v>
      </c>
      <c r="E3726" t="s">
        <v>168</v>
      </c>
      <c r="F3726">
        <v>1</v>
      </c>
      <c r="G3726">
        <v>2013</v>
      </c>
      <c r="I3726" s="8">
        <v>69.400000000000006</v>
      </c>
      <c r="J3726" t="s">
        <v>40</v>
      </c>
      <c r="K3726" t="s">
        <v>47</v>
      </c>
      <c r="O3726">
        <v>0</v>
      </c>
      <c r="P3726">
        <v>0</v>
      </c>
      <c r="Q3726">
        <v>0</v>
      </c>
      <c r="R3726">
        <v>0</v>
      </c>
      <c r="W3726" t="s">
        <v>1202</v>
      </c>
      <c r="AA3726">
        <v>2007</v>
      </c>
      <c r="AB3726">
        <v>9999</v>
      </c>
      <c r="AC3726" t="s">
        <v>35</v>
      </c>
    </row>
    <row r="3727" spans="1:29" x14ac:dyDescent="0.25">
      <c r="A3727" s="31" t="s">
        <v>1378</v>
      </c>
      <c r="B3727" s="23" t="s">
        <v>1379</v>
      </c>
      <c r="D3727">
        <v>1</v>
      </c>
      <c r="E3727" t="s">
        <v>103</v>
      </c>
      <c r="F3727">
        <v>9</v>
      </c>
      <c r="G3727">
        <v>2013</v>
      </c>
      <c r="I3727" s="8">
        <v>96.09</v>
      </c>
      <c r="J3727" t="s">
        <v>104</v>
      </c>
      <c r="K3727" t="s">
        <v>53</v>
      </c>
      <c r="L3727" t="s">
        <v>105</v>
      </c>
      <c r="O3727">
        <v>0</v>
      </c>
      <c r="P3727">
        <v>1</v>
      </c>
      <c r="Q3727">
        <v>0</v>
      </c>
      <c r="R3727">
        <v>0</v>
      </c>
      <c r="W3727" t="s">
        <v>106</v>
      </c>
      <c r="AA3727">
        <v>2011</v>
      </c>
      <c r="AB3727">
        <v>2013</v>
      </c>
      <c r="AC3727" t="s">
        <v>1380</v>
      </c>
    </row>
    <row r="3728" spans="1:29" x14ac:dyDescent="0.25">
      <c r="A3728" s="31" t="s">
        <v>880</v>
      </c>
      <c r="B3728" s="23" t="s">
        <v>881</v>
      </c>
      <c r="C3728" t="s">
        <v>882</v>
      </c>
      <c r="D3728">
        <v>1</v>
      </c>
      <c r="E3728" t="s">
        <v>103</v>
      </c>
      <c r="F3728">
        <v>9</v>
      </c>
      <c r="G3728">
        <v>2013</v>
      </c>
      <c r="I3728" s="8">
        <v>4368.03</v>
      </c>
      <c r="J3728" t="s">
        <v>104</v>
      </c>
      <c r="K3728" t="s">
        <v>53</v>
      </c>
      <c r="L3728" t="s">
        <v>105</v>
      </c>
      <c r="O3728">
        <v>0</v>
      </c>
      <c r="P3728">
        <v>1</v>
      </c>
      <c r="Q3728">
        <v>0</v>
      </c>
      <c r="R3728">
        <v>0</v>
      </c>
      <c r="W3728" t="s">
        <v>106</v>
      </c>
      <c r="AA3728">
        <v>2007</v>
      </c>
      <c r="AB3728">
        <v>9999</v>
      </c>
      <c r="AC3728" t="s">
        <v>35</v>
      </c>
    </row>
    <row r="3729" spans="1:29" x14ac:dyDescent="0.25">
      <c r="A3729" s="31" t="s">
        <v>1272</v>
      </c>
      <c r="B3729" s="23" t="s">
        <v>1273</v>
      </c>
      <c r="D3729">
        <v>1</v>
      </c>
      <c r="E3729" t="s">
        <v>1274</v>
      </c>
      <c r="F3729">
        <v>4</v>
      </c>
      <c r="G3729">
        <v>2013</v>
      </c>
      <c r="I3729" s="8">
        <v>275.74</v>
      </c>
      <c r="J3729" t="s">
        <v>31</v>
      </c>
      <c r="K3729" t="s">
        <v>47</v>
      </c>
      <c r="O3729">
        <v>0</v>
      </c>
      <c r="P3729">
        <v>0</v>
      </c>
      <c r="Q3729">
        <v>0</v>
      </c>
      <c r="R3729">
        <v>0</v>
      </c>
      <c r="W3729" t="s">
        <v>1275</v>
      </c>
      <c r="AA3729">
        <v>2009</v>
      </c>
      <c r="AB3729">
        <v>9999</v>
      </c>
      <c r="AC3729" t="s">
        <v>1239</v>
      </c>
    </row>
    <row r="3730" spans="1:29" x14ac:dyDescent="0.25">
      <c r="A3730" s="31" t="s">
        <v>883</v>
      </c>
      <c r="B3730" s="23" t="s">
        <v>884</v>
      </c>
      <c r="C3730" t="s">
        <v>885</v>
      </c>
      <c r="D3730">
        <v>1</v>
      </c>
      <c r="E3730" t="s">
        <v>45</v>
      </c>
      <c r="F3730">
        <v>4</v>
      </c>
      <c r="G3730">
        <v>2013</v>
      </c>
      <c r="I3730" s="8">
        <v>118.64</v>
      </c>
      <c r="J3730" t="s">
        <v>176</v>
      </c>
      <c r="K3730" t="s">
        <v>47</v>
      </c>
      <c r="O3730">
        <v>0</v>
      </c>
      <c r="P3730">
        <v>0</v>
      </c>
      <c r="Q3730">
        <v>0</v>
      </c>
      <c r="R3730">
        <v>0</v>
      </c>
      <c r="W3730" t="s">
        <v>1335</v>
      </c>
      <c r="AA3730">
        <v>2007</v>
      </c>
      <c r="AB3730">
        <v>9999</v>
      </c>
      <c r="AC3730" t="s">
        <v>35</v>
      </c>
    </row>
    <row r="3731" spans="1:29" x14ac:dyDescent="0.25">
      <c r="A3731" s="31" t="s">
        <v>887</v>
      </c>
      <c r="B3731" s="23" t="s">
        <v>888</v>
      </c>
      <c r="C3731" t="s">
        <v>889</v>
      </c>
      <c r="D3731">
        <v>1</v>
      </c>
      <c r="E3731" t="s">
        <v>335</v>
      </c>
      <c r="F3731">
        <v>1</v>
      </c>
      <c r="G3731">
        <v>2013</v>
      </c>
      <c r="I3731" s="8">
        <v>466.25</v>
      </c>
      <c r="J3731" t="s">
        <v>176</v>
      </c>
      <c r="K3731" t="s">
        <v>32</v>
      </c>
      <c r="O3731">
        <v>0</v>
      </c>
      <c r="P3731">
        <v>0</v>
      </c>
      <c r="Q3731">
        <v>0</v>
      </c>
      <c r="R3731">
        <v>0</v>
      </c>
      <c r="W3731" t="s">
        <v>1381</v>
      </c>
      <c r="AA3731">
        <v>2007</v>
      </c>
      <c r="AB3731">
        <v>9999</v>
      </c>
      <c r="AC3731" t="s">
        <v>35</v>
      </c>
    </row>
    <row r="3732" spans="1:29" x14ac:dyDescent="0.25">
      <c r="A3732" s="31" t="s">
        <v>894</v>
      </c>
      <c r="B3732" s="25" t="s">
        <v>895</v>
      </c>
      <c r="D3732">
        <v>1</v>
      </c>
      <c r="E3732" t="s">
        <v>38</v>
      </c>
      <c r="F3732">
        <v>4</v>
      </c>
      <c r="G3732">
        <v>2013</v>
      </c>
      <c r="H3732" t="s">
        <v>715</v>
      </c>
      <c r="J3732" s="2" t="s">
        <v>1343</v>
      </c>
      <c r="K3732" t="s">
        <v>53</v>
      </c>
      <c r="L3732" t="s">
        <v>53</v>
      </c>
      <c r="O3732">
        <v>0</v>
      </c>
      <c r="P3732">
        <v>0</v>
      </c>
      <c r="Q3732">
        <v>0</v>
      </c>
      <c r="R3732">
        <v>0</v>
      </c>
      <c r="W3732" t="s">
        <v>897</v>
      </c>
      <c r="AA3732">
        <v>2007</v>
      </c>
      <c r="AB3732">
        <v>9999</v>
      </c>
      <c r="AC3732" t="s">
        <v>35</v>
      </c>
    </row>
    <row r="3733" spans="1:29" x14ac:dyDescent="0.25">
      <c r="A3733" s="31" t="s">
        <v>900</v>
      </c>
      <c r="B3733" s="25" t="s">
        <v>901</v>
      </c>
      <c r="D3733">
        <v>1</v>
      </c>
      <c r="E3733" t="s">
        <v>38</v>
      </c>
      <c r="F3733">
        <v>4</v>
      </c>
      <c r="G3733">
        <v>2013</v>
      </c>
      <c r="H3733" t="s">
        <v>1382</v>
      </c>
      <c r="J3733" s="2" t="s">
        <v>1343</v>
      </c>
      <c r="K3733" t="s">
        <v>53</v>
      </c>
      <c r="L3733" t="s">
        <v>902</v>
      </c>
      <c r="O3733">
        <v>0</v>
      </c>
      <c r="P3733">
        <v>0</v>
      </c>
      <c r="Q3733">
        <v>0</v>
      </c>
      <c r="R3733">
        <v>0</v>
      </c>
      <c r="W3733" t="s">
        <v>903</v>
      </c>
      <c r="AA3733">
        <v>2007</v>
      </c>
      <c r="AB3733">
        <v>9999</v>
      </c>
      <c r="AC3733" t="s">
        <v>35</v>
      </c>
    </row>
    <row r="3734" spans="1:29" x14ac:dyDescent="0.25">
      <c r="A3734" s="31" t="s">
        <v>904</v>
      </c>
      <c r="B3734" s="25" t="s">
        <v>1436</v>
      </c>
      <c r="D3734">
        <v>1</v>
      </c>
      <c r="E3734" t="s">
        <v>38</v>
      </c>
      <c r="F3734">
        <v>4</v>
      </c>
      <c r="G3734">
        <v>2013</v>
      </c>
      <c r="H3734" t="s">
        <v>906</v>
      </c>
      <c r="J3734" t="s">
        <v>59</v>
      </c>
      <c r="K3734" t="s">
        <v>53</v>
      </c>
      <c r="L3734" t="s">
        <v>902</v>
      </c>
      <c r="O3734">
        <v>0</v>
      </c>
      <c r="P3734">
        <v>0</v>
      </c>
      <c r="Q3734">
        <v>0</v>
      </c>
      <c r="R3734">
        <v>0</v>
      </c>
      <c r="W3734" t="s">
        <v>907</v>
      </c>
      <c r="AA3734">
        <v>2007</v>
      </c>
      <c r="AB3734">
        <v>9999</v>
      </c>
      <c r="AC3734" t="s">
        <v>35</v>
      </c>
    </row>
    <row r="3735" spans="1:29" x14ac:dyDescent="0.25">
      <c r="A3735" s="31" t="s">
        <v>908</v>
      </c>
      <c r="B3735" s="23" t="s">
        <v>909</v>
      </c>
      <c r="C3735" t="s">
        <v>910</v>
      </c>
      <c r="D3735">
        <v>1</v>
      </c>
      <c r="E3735" t="s">
        <v>911</v>
      </c>
      <c r="F3735">
        <v>1</v>
      </c>
      <c r="G3735">
        <v>2013</v>
      </c>
      <c r="I3735" s="8">
        <v>117.03</v>
      </c>
      <c r="J3735" t="s">
        <v>176</v>
      </c>
      <c r="K3735" t="s">
        <v>47</v>
      </c>
      <c r="O3735">
        <v>0</v>
      </c>
      <c r="P3735">
        <v>0</v>
      </c>
      <c r="Q3735">
        <v>0</v>
      </c>
      <c r="R3735">
        <v>0</v>
      </c>
      <c r="W3735" t="s">
        <v>1206</v>
      </c>
      <c r="AA3735">
        <v>2007</v>
      </c>
      <c r="AB3735">
        <v>9999</v>
      </c>
      <c r="AC3735" t="s">
        <v>35</v>
      </c>
    </row>
    <row r="3736" spans="1:29" x14ac:dyDescent="0.25">
      <c r="A3736" s="31" t="s">
        <v>913</v>
      </c>
      <c r="B3736" s="23" t="s">
        <v>914</v>
      </c>
      <c r="C3736" t="s">
        <v>915</v>
      </c>
      <c r="D3736">
        <v>1</v>
      </c>
      <c r="E3736" t="s">
        <v>911</v>
      </c>
      <c r="F3736">
        <v>1</v>
      </c>
      <c r="G3736">
        <v>2013</v>
      </c>
      <c r="I3736" s="8">
        <v>11.39</v>
      </c>
      <c r="J3736" t="s">
        <v>268</v>
      </c>
      <c r="K3736" t="s">
        <v>47</v>
      </c>
      <c r="O3736">
        <v>0</v>
      </c>
      <c r="P3736">
        <v>0</v>
      </c>
      <c r="Q3736">
        <v>0</v>
      </c>
      <c r="R3736">
        <v>0</v>
      </c>
      <c r="W3736" t="s">
        <v>1276</v>
      </c>
      <c r="AA3736">
        <v>2007</v>
      </c>
      <c r="AB3736">
        <v>9999</v>
      </c>
      <c r="AC3736" t="s">
        <v>35</v>
      </c>
    </row>
    <row r="3737" spans="1:29" x14ac:dyDescent="0.25">
      <c r="A3737" s="31" t="s">
        <v>97</v>
      </c>
      <c r="B3737" s="23" t="s">
        <v>99</v>
      </c>
      <c r="C3737" t="s">
        <v>923</v>
      </c>
      <c r="D3737">
        <v>1</v>
      </c>
      <c r="E3737" t="s">
        <v>45</v>
      </c>
      <c r="F3737">
        <v>4</v>
      </c>
      <c r="G3737">
        <v>2013</v>
      </c>
      <c r="I3737" s="8">
        <v>241.51</v>
      </c>
      <c r="J3737" t="s">
        <v>89</v>
      </c>
      <c r="K3737" t="s">
        <v>47</v>
      </c>
      <c r="O3737">
        <v>0</v>
      </c>
      <c r="P3737">
        <v>0</v>
      </c>
      <c r="Q3737">
        <v>0</v>
      </c>
      <c r="R3737">
        <v>0</v>
      </c>
      <c r="W3737" t="s">
        <v>1277</v>
      </c>
      <c r="AA3737">
        <v>2007</v>
      </c>
      <c r="AB3737">
        <v>9999</v>
      </c>
      <c r="AC3737" t="s">
        <v>35</v>
      </c>
    </row>
    <row r="3738" spans="1:29" x14ac:dyDescent="0.25">
      <c r="A3738" s="31" t="s">
        <v>925</v>
      </c>
      <c r="B3738" s="23" t="s">
        <v>926</v>
      </c>
      <c r="C3738" t="s">
        <v>927</v>
      </c>
      <c r="D3738">
        <v>1</v>
      </c>
      <c r="E3738" t="s">
        <v>103</v>
      </c>
      <c r="F3738">
        <v>9</v>
      </c>
      <c r="G3738">
        <v>2013</v>
      </c>
      <c r="I3738" s="8">
        <v>2979.81</v>
      </c>
      <c r="J3738" t="s">
        <v>1343</v>
      </c>
      <c r="K3738" t="s">
        <v>53</v>
      </c>
      <c r="L3738" t="s">
        <v>105</v>
      </c>
      <c r="O3738">
        <v>0</v>
      </c>
      <c r="P3738">
        <v>0</v>
      </c>
      <c r="Q3738">
        <v>0</v>
      </c>
      <c r="R3738">
        <v>0</v>
      </c>
      <c r="W3738" t="s">
        <v>928</v>
      </c>
      <c r="AA3738">
        <v>2007</v>
      </c>
      <c r="AB3738">
        <v>9999</v>
      </c>
      <c r="AC3738" t="s">
        <v>35</v>
      </c>
    </row>
    <row r="3739" spans="1:29" x14ac:dyDescent="0.25">
      <c r="A3739" s="31" t="s">
        <v>929</v>
      </c>
      <c r="B3739" s="23" t="s">
        <v>930</v>
      </c>
      <c r="C3739" t="s">
        <v>931</v>
      </c>
      <c r="D3739">
        <v>1</v>
      </c>
      <c r="E3739" t="s">
        <v>45</v>
      </c>
      <c r="F3739">
        <v>4</v>
      </c>
      <c r="G3739">
        <v>2013</v>
      </c>
      <c r="I3739" s="8">
        <v>592.78</v>
      </c>
      <c r="J3739" s="2" t="s">
        <v>31</v>
      </c>
      <c r="K3739" t="s">
        <v>47</v>
      </c>
      <c r="O3739">
        <v>0</v>
      </c>
      <c r="P3739">
        <v>0</v>
      </c>
      <c r="Q3739">
        <v>0</v>
      </c>
      <c r="R3739">
        <v>0</v>
      </c>
      <c r="W3739" t="s">
        <v>1336</v>
      </c>
      <c r="AA3739">
        <v>2007</v>
      </c>
      <c r="AB3739">
        <v>9999</v>
      </c>
      <c r="AC3739" t="s">
        <v>35</v>
      </c>
    </row>
    <row r="3740" spans="1:29" x14ac:dyDescent="0.25">
      <c r="A3740" s="31" t="s">
        <v>1212</v>
      </c>
      <c r="B3740" s="23" t="s">
        <v>1213</v>
      </c>
      <c r="D3740">
        <v>1</v>
      </c>
      <c r="E3740" t="s">
        <v>681</v>
      </c>
      <c r="F3740">
        <v>3</v>
      </c>
      <c r="G3740">
        <v>2013</v>
      </c>
      <c r="I3740" s="8">
        <v>12</v>
      </c>
      <c r="J3740" t="s">
        <v>121</v>
      </c>
      <c r="K3740" t="s">
        <v>41</v>
      </c>
      <c r="O3740">
        <v>0</v>
      </c>
      <c r="P3740">
        <v>0</v>
      </c>
      <c r="Q3740">
        <v>0</v>
      </c>
      <c r="R3740">
        <v>0</v>
      </c>
      <c r="W3740" t="s">
        <v>1278</v>
      </c>
      <c r="AA3740">
        <v>2008</v>
      </c>
      <c r="AB3740">
        <v>9999</v>
      </c>
      <c r="AC3740" t="s">
        <v>1054</v>
      </c>
    </row>
    <row r="3741" spans="1:29" x14ac:dyDescent="0.25">
      <c r="A3741" s="31" t="s">
        <v>933</v>
      </c>
      <c r="B3741" s="25" t="s">
        <v>934</v>
      </c>
      <c r="C3741" t="s">
        <v>935</v>
      </c>
      <c r="D3741">
        <v>1</v>
      </c>
      <c r="E3741" t="s">
        <v>681</v>
      </c>
      <c r="F3741">
        <v>3</v>
      </c>
      <c r="G3741">
        <v>2013</v>
      </c>
      <c r="J3741" t="s">
        <v>121</v>
      </c>
      <c r="K3741" t="s">
        <v>47</v>
      </c>
      <c r="O3741">
        <v>0</v>
      </c>
      <c r="P3741">
        <v>0</v>
      </c>
      <c r="Q3741">
        <v>0</v>
      </c>
      <c r="R3741">
        <v>0</v>
      </c>
      <c r="W3741" t="s">
        <v>936</v>
      </c>
      <c r="AA3741">
        <v>2007</v>
      </c>
      <c r="AB3741">
        <v>9999</v>
      </c>
      <c r="AC3741" t="s">
        <v>35</v>
      </c>
    </row>
    <row r="3742" spans="1:29" x14ac:dyDescent="0.25">
      <c r="A3742" s="31" t="s">
        <v>937</v>
      </c>
      <c r="B3742" s="23" t="s">
        <v>938</v>
      </c>
      <c r="D3742">
        <v>1</v>
      </c>
      <c r="E3742" t="s">
        <v>103</v>
      </c>
      <c r="F3742">
        <v>9</v>
      </c>
      <c r="G3742">
        <v>2013</v>
      </c>
      <c r="I3742" s="8">
        <v>698.49</v>
      </c>
      <c r="J3742" t="s">
        <v>104</v>
      </c>
      <c r="K3742" t="s">
        <v>53</v>
      </c>
      <c r="L3742" t="s">
        <v>105</v>
      </c>
      <c r="O3742">
        <v>0</v>
      </c>
      <c r="P3742">
        <v>1</v>
      </c>
      <c r="Q3742">
        <v>0</v>
      </c>
      <c r="R3742">
        <v>0</v>
      </c>
      <c r="W3742" t="s">
        <v>106</v>
      </c>
      <c r="AA3742">
        <v>2007</v>
      </c>
      <c r="AB3742">
        <v>9999</v>
      </c>
      <c r="AC3742" t="s">
        <v>35</v>
      </c>
    </row>
    <row r="3743" spans="1:29" x14ac:dyDescent="0.25">
      <c r="A3743" s="31" t="s">
        <v>939</v>
      </c>
      <c r="B3743" s="23" t="s">
        <v>940</v>
      </c>
      <c r="D3743">
        <v>1</v>
      </c>
      <c r="E3743" t="s">
        <v>80</v>
      </c>
      <c r="F3743">
        <v>8</v>
      </c>
      <c r="G3743">
        <v>2013</v>
      </c>
      <c r="I3743" s="8">
        <v>81.06</v>
      </c>
      <c r="J3743" s="2" t="s">
        <v>81</v>
      </c>
      <c r="K3743" t="s">
        <v>47</v>
      </c>
      <c r="O3743">
        <v>0</v>
      </c>
      <c r="P3743">
        <v>0</v>
      </c>
      <c r="Q3743">
        <v>0</v>
      </c>
      <c r="R3743">
        <v>0</v>
      </c>
      <c r="W3743" t="s">
        <v>1214</v>
      </c>
      <c r="AA3743">
        <v>2007</v>
      </c>
      <c r="AB3743">
        <v>9999</v>
      </c>
      <c r="AC3743" t="s">
        <v>35</v>
      </c>
    </row>
    <row r="3744" spans="1:29" x14ac:dyDescent="0.25">
      <c r="A3744" s="31" t="s">
        <v>462</v>
      </c>
      <c r="B3744" s="23" t="s">
        <v>1414</v>
      </c>
      <c r="C3744" t="s">
        <v>1280</v>
      </c>
      <c r="D3744">
        <v>1</v>
      </c>
      <c r="E3744" t="s">
        <v>468</v>
      </c>
      <c r="F3744">
        <v>7</v>
      </c>
      <c r="G3744">
        <v>2013</v>
      </c>
      <c r="I3744" s="8">
        <v>81.569999999999993</v>
      </c>
      <c r="J3744" t="s">
        <v>40</v>
      </c>
      <c r="K3744" t="s">
        <v>47</v>
      </c>
      <c r="O3744">
        <v>0</v>
      </c>
      <c r="P3744">
        <v>0</v>
      </c>
      <c r="Q3744">
        <v>0</v>
      </c>
      <c r="R3744">
        <v>0</v>
      </c>
      <c r="W3744" t="s">
        <v>1118</v>
      </c>
      <c r="AA3744">
        <v>2007</v>
      </c>
      <c r="AB3744">
        <v>9999</v>
      </c>
      <c r="AC3744" t="s">
        <v>35</v>
      </c>
    </row>
    <row r="3745" spans="1:29" x14ac:dyDescent="0.25">
      <c r="A3745" s="31" t="s">
        <v>1337</v>
      </c>
      <c r="B3745" s="23" t="s">
        <v>1315</v>
      </c>
      <c r="D3745">
        <v>1</v>
      </c>
      <c r="E3745" t="s">
        <v>45</v>
      </c>
      <c r="F3745">
        <v>4</v>
      </c>
      <c r="G3745">
        <v>2013</v>
      </c>
      <c r="I3745" s="8">
        <v>320.39999999999998</v>
      </c>
      <c r="J3745" t="s">
        <v>89</v>
      </c>
      <c r="K3745" t="s">
        <v>32</v>
      </c>
      <c r="O3745">
        <v>0</v>
      </c>
      <c r="P3745">
        <v>0</v>
      </c>
      <c r="Q3745">
        <v>0</v>
      </c>
      <c r="R3745">
        <v>0</v>
      </c>
      <c r="W3745" t="s">
        <v>1338</v>
      </c>
      <c r="AA3745">
        <v>2010</v>
      </c>
      <c r="AB3745">
        <v>9999</v>
      </c>
      <c r="AC3745" t="s">
        <v>1292</v>
      </c>
    </row>
    <row r="3746" spans="1:29" x14ac:dyDescent="0.25">
      <c r="A3746" s="31" t="s">
        <v>153</v>
      </c>
      <c r="B3746" s="23" t="s">
        <v>946</v>
      </c>
      <c r="D3746">
        <v>48</v>
      </c>
      <c r="E3746" t="s">
        <v>155</v>
      </c>
      <c r="F3746">
        <v>3</v>
      </c>
      <c r="G3746">
        <v>2013</v>
      </c>
      <c r="I3746">
        <v>2754.2530373500003</v>
      </c>
      <c r="J3746" t="s">
        <v>121</v>
      </c>
      <c r="K3746" t="s">
        <v>53</v>
      </c>
      <c r="L3746" t="s">
        <v>60</v>
      </c>
      <c r="O3746">
        <v>1</v>
      </c>
      <c r="P3746">
        <v>0</v>
      </c>
      <c r="Q3746">
        <v>0</v>
      </c>
      <c r="R3746">
        <v>0</v>
      </c>
      <c r="V3746">
        <v>1</v>
      </c>
      <c r="W3746" t="s">
        <v>947</v>
      </c>
      <c r="AA3746">
        <v>2007</v>
      </c>
      <c r="AB3746">
        <v>9999</v>
      </c>
      <c r="AC3746" t="s">
        <v>35</v>
      </c>
    </row>
    <row r="3747" spans="1:29" x14ac:dyDescent="0.25">
      <c r="A3747" s="31" t="s">
        <v>950</v>
      </c>
      <c r="B3747" s="23" t="s">
        <v>951</v>
      </c>
      <c r="C3747" t="s">
        <v>952</v>
      </c>
      <c r="D3747">
        <v>1</v>
      </c>
      <c r="E3747" t="s">
        <v>218</v>
      </c>
      <c r="F3747">
        <v>2</v>
      </c>
      <c r="G3747">
        <v>2013</v>
      </c>
      <c r="I3747" s="8">
        <v>922.3</v>
      </c>
      <c r="J3747" t="s">
        <v>147</v>
      </c>
      <c r="K3747" t="s">
        <v>32</v>
      </c>
      <c r="O3747">
        <v>0</v>
      </c>
      <c r="P3747">
        <v>0</v>
      </c>
      <c r="Q3747">
        <v>0</v>
      </c>
      <c r="R3747">
        <v>0</v>
      </c>
      <c r="W3747" t="s">
        <v>1216</v>
      </c>
      <c r="AA3747">
        <v>2007</v>
      </c>
      <c r="AB3747">
        <v>9999</v>
      </c>
      <c r="AC3747" t="s">
        <v>35</v>
      </c>
    </row>
    <row r="3748" spans="1:29" x14ac:dyDescent="0.25">
      <c r="A3748" s="31" t="s">
        <v>954</v>
      </c>
      <c r="B3748" s="23" t="s">
        <v>1383</v>
      </c>
      <c r="C3748" t="s">
        <v>956</v>
      </c>
      <c r="D3748">
        <v>1</v>
      </c>
      <c r="E3748" t="s">
        <v>218</v>
      </c>
      <c r="F3748">
        <v>2</v>
      </c>
      <c r="G3748">
        <v>2013</v>
      </c>
      <c r="I3748" s="8">
        <v>112.42</v>
      </c>
      <c r="J3748" t="s">
        <v>147</v>
      </c>
      <c r="K3748" t="s">
        <v>47</v>
      </c>
      <c r="O3748">
        <v>0</v>
      </c>
      <c r="P3748">
        <v>0</v>
      </c>
      <c r="Q3748">
        <v>0</v>
      </c>
      <c r="R3748">
        <v>0</v>
      </c>
      <c r="W3748" t="s">
        <v>1384</v>
      </c>
      <c r="AA3748">
        <v>2007</v>
      </c>
      <c r="AB3748">
        <v>9999</v>
      </c>
      <c r="AC3748" t="s">
        <v>35</v>
      </c>
    </row>
    <row r="3749" spans="1:29" x14ac:dyDescent="0.25">
      <c r="A3749" s="31" t="s">
        <v>1385</v>
      </c>
      <c r="B3749" s="23" t="s">
        <v>1386</v>
      </c>
      <c r="D3749">
        <v>1</v>
      </c>
      <c r="E3749" t="s">
        <v>874</v>
      </c>
      <c r="F3749">
        <v>1</v>
      </c>
      <c r="G3749">
        <v>2013</v>
      </c>
      <c r="I3749" s="8">
        <v>31</v>
      </c>
      <c r="J3749" t="s">
        <v>89</v>
      </c>
      <c r="K3749" t="s">
        <v>47</v>
      </c>
      <c r="O3749">
        <v>0</v>
      </c>
      <c r="P3749">
        <v>0</v>
      </c>
      <c r="Q3749">
        <v>0</v>
      </c>
      <c r="R3749">
        <v>0</v>
      </c>
      <c r="W3749" t="s">
        <v>1387</v>
      </c>
      <c r="AA3749">
        <v>2011</v>
      </c>
      <c r="AB3749">
        <v>9999</v>
      </c>
      <c r="AC3749" t="s">
        <v>1365</v>
      </c>
    </row>
    <row r="3750" spans="1:29" x14ac:dyDescent="0.25">
      <c r="A3750" s="31" t="s">
        <v>1388</v>
      </c>
      <c r="B3750" s="23" t="s">
        <v>1389</v>
      </c>
      <c r="D3750">
        <v>1</v>
      </c>
      <c r="E3750" t="s">
        <v>1390</v>
      </c>
      <c r="F3750">
        <v>4</v>
      </c>
      <c r="G3750">
        <v>2013</v>
      </c>
      <c r="I3750" s="8">
        <v>6162.73</v>
      </c>
      <c r="J3750" t="s">
        <v>89</v>
      </c>
      <c r="K3750" t="s">
        <v>32</v>
      </c>
      <c r="O3750">
        <v>0</v>
      </c>
      <c r="P3750">
        <v>0</v>
      </c>
      <c r="Q3750">
        <v>0</v>
      </c>
      <c r="R3750">
        <v>0</v>
      </c>
      <c r="W3750" t="s">
        <v>1391</v>
      </c>
      <c r="AA3750">
        <v>2011</v>
      </c>
      <c r="AB3750">
        <v>9999</v>
      </c>
      <c r="AC3750" t="s">
        <v>1365</v>
      </c>
    </row>
    <row r="3751" spans="1:29" x14ac:dyDescent="0.25">
      <c r="A3751" s="31" t="s">
        <v>1281</v>
      </c>
      <c r="B3751" s="23" t="s">
        <v>1282</v>
      </c>
      <c r="D3751">
        <v>1</v>
      </c>
      <c r="E3751" t="s">
        <v>625</v>
      </c>
      <c r="F3751">
        <v>4</v>
      </c>
      <c r="G3751">
        <v>2013</v>
      </c>
      <c r="I3751" s="8">
        <v>1669.59</v>
      </c>
      <c r="J3751" t="s">
        <v>89</v>
      </c>
      <c r="K3751" t="s">
        <v>32</v>
      </c>
      <c r="O3751">
        <v>0</v>
      </c>
      <c r="P3751">
        <v>0</v>
      </c>
      <c r="Q3751">
        <v>0</v>
      </c>
      <c r="R3751">
        <v>0</v>
      </c>
      <c r="W3751" t="s">
        <v>1283</v>
      </c>
      <c r="AA3751">
        <v>2009</v>
      </c>
      <c r="AB3751">
        <v>9999</v>
      </c>
      <c r="AC3751" t="s">
        <v>1239</v>
      </c>
    </row>
    <row r="3752" spans="1:29" x14ac:dyDescent="0.25">
      <c r="A3752" s="31" t="s">
        <v>958</v>
      </c>
      <c r="B3752" s="25" t="s">
        <v>959</v>
      </c>
      <c r="D3752">
        <v>1</v>
      </c>
      <c r="E3752" t="s">
        <v>51</v>
      </c>
      <c r="F3752">
        <v>1</v>
      </c>
      <c r="G3752">
        <v>2013</v>
      </c>
      <c r="J3752" t="s">
        <v>52</v>
      </c>
      <c r="K3752" t="s">
        <v>53</v>
      </c>
      <c r="L3752" t="s">
        <v>54</v>
      </c>
      <c r="O3752">
        <v>0</v>
      </c>
      <c r="P3752">
        <v>0</v>
      </c>
      <c r="Q3752">
        <v>1</v>
      </c>
      <c r="R3752">
        <v>0</v>
      </c>
      <c r="W3752" t="s">
        <v>55</v>
      </c>
      <c r="AA3752">
        <v>2007</v>
      </c>
      <c r="AB3752">
        <v>9999</v>
      </c>
      <c r="AC3752" t="s">
        <v>35</v>
      </c>
    </row>
    <row r="3753" spans="1:29" x14ac:dyDescent="0.25">
      <c r="A3753" s="31" t="s">
        <v>960</v>
      </c>
      <c r="B3753" s="23" t="s">
        <v>961</v>
      </c>
      <c r="D3753">
        <v>1</v>
      </c>
      <c r="E3753" t="s">
        <v>168</v>
      </c>
      <c r="F3753">
        <v>1</v>
      </c>
      <c r="G3753">
        <v>2013</v>
      </c>
      <c r="I3753" s="8">
        <v>1948.33</v>
      </c>
      <c r="J3753" t="s">
        <v>52</v>
      </c>
      <c r="K3753" t="s">
        <v>47</v>
      </c>
      <c r="O3753">
        <v>0</v>
      </c>
      <c r="P3753">
        <v>0</v>
      </c>
      <c r="Q3753">
        <v>0</v>
      </c>
      <c r="R3753">
        <v>0</v>
      </c>
      <c r="W3753" t="s">
        <v>1218</v>
      </c>
      <c r="AA3753">
        <v>2007</v>
      </c>
      <c r="AB3753">
        <v>9999</v>
      </c>
      <c r="AC3753" t="s">
        <v>35</v>
      </c>
    </row>
    <row r="3754" spans="1:29" x14ac:dyDescent="0.25">
      <c r="A3754" s="31" t="s">
        <v>963</v>
      </c>
      <c r="B3754" s="23" t="s">
        <v>658</v>
      </c>
      <c r="D3754">
        <v>1</v>
      </c>
      <c r="E3754" t="s">
        <v>103</v>
      </c>
      <c r="F3754">
        <v>9</v>
      </c>
      <c r="G3754">
        <v>2013</v>
      </c>
      <c r="I3754" s="8">
        <v>3839.38</v>
      </c>
      <c r="J3754" t="s">
        <v>104</v>
      </c>
      <c r="K3754" t="s">
        <v>53</v>
      </c>
      <c r="L3754" t="s">
        <v>105</v>
      </c>
      <c r="O3754">
        <v>0</v>
      </c>
      <c r="P3754">
        <v>1</v>
      </c>
      <c r="Q3754">
        <v>0</v>
      </c>
      <c r="R3754">
        <v>0</v>
      </c>
      <c r="W3754" t="s">
        <v>106</v>
      </c>
      <c r="AA3754">
        <v>2007</v>
      </c>
      <c r="AB3754">
        <v>9999</v>
      </c>
      <c r="AC3754" t="s">
        <v>35</v>
      </c>
    </row>
    <row r="3755" spans="1:29" x14ac:dyDescent="0.25">
      <c r="A3755" s="31" t="s">
        <v>964</v>
      </c>
      <c r="B3755" s="23" t="s">
        <v>965</v>
      </c>
      <c r="D3755">
        <v>1</v>
      </c>
      <c r="E3755" t="s">
        <v>80</v>
      </c>
      <c r="F3755">
        <v>8</v>
      </c>
      <c r="G3755">
        <v>2013</v>
      </c>
      <c r="I3755" s="8">
        <v>68.510000000000005</v>
      </c>
      <c r="J3755" t="s">
        <v>104</v>
      </c>
      <c r="K3755" t="s">
        <v>47</v>
      </c>
      <c r="O3755">
        <v>0</v>
      </c>
      <c r="P3755">
        <v>0</v>
      </c>
      <c r="Q3755">
        <v>0</v>
      </c>
      <c r="R3755">
        <v>0</v>
      </c>
      <c r="W3755" t="s">
        <v>1219</v>
      </c>
      <c r="AA3755">
        <v>2007</v>
      </c>
      <c r="AB3755">
        <v>9999</v>
      </c>
      <c r="AC3755" t="s">
        <v>35</v>
      </c>
    </row>
    <row r="3756" spans="1:29" x14ac:dyDescent="0.25">
      <c r="A3756" s="31" t="s">
        <v>1437</v>
      </c>
      <c r="B3756" s="23" t="s">
        <v>1438</v>
      </c>
      <c r="C3756" t="s">
        <v>1439</v>
      </c>
      <c r="D3756">
        <v>1</v>
      </c>
      <c r="E3756" t="s">
        <v>103</v>
      </c>
      <c r="F3756">
        <v>9</v>
      </c>
      <c r="G3756">
        <v>2013</v>
      </c>
      <c r="I3756" s="8">
        <v>206.88</v>
      </c>
      <c r="J3756" t="s">
        <v>104</v>
      </c>
      <c r="K3756" t="s">
        <v>32</v>
      </c>
      <c r="O3756">
        <v>0</v>
      </c>
      <c r="P3756">
        <v>0</v>
      </c>
      <c r="Q3756">
        <v>0</v>
      </c>
      <c r="R3756">
        <v>0</v>
      </c>
      <c r="W3756" t="s">
        <v>1440</v>
      </c>
      <c r="AA3756">
        <v>2013</v>
      </c>
      <c r="AB3756">
        <v>9999</v>
      </c>
      <c r="AC3756" t="s">
        <v>1419</v>
      </c>
    </row>
    <row r="3757" spans="1:29" x14ac:dyDescent="0.25">
      <c r="A3757" s="31" t="s">
        <v>1441</v>
      </c>
      <c r="B3757" s="23" t="s">
        <v>1442</v>
      </c>
      <c r="C3757" t="s">
        <v>1443</v>
      </c>
      <c r="D3757">
        <v>1</v>
      </c>
      <c r="E3757" t="s">
        <v>103</v>
      </c>
      <c r="F3757">
        <v>9</v>
      </c>
      <c r="G3757">
        <v>2013</v>
      </c>
      <c r="I3757" s="8">
        <v>84.99</v>
      </c>
      <c r="J3757" t="s">
        <v>104</v>
      </c>
      <c r="K3757" t="s">
        <v>47</v>
      </c>
      <c r="O3757">
        <v>0</v>
      </c>
      <c r="P3757">
        <v>0</v>
      </c>
      <c r="Q3757">
        <v>0</v>
      </c>
      <c r="R3757">
        <v>0</v>
      </c>
      <c r="W3757" t="s">
        <v>1444</v>
      </c>
      <c r="AA3757">
        <v>2013</v>
      </c>
      <c r="AB3757">
        <v>9999</v>
      </c>
      <c r="AC3757" t="s">
        <v>1419</v>
      </c>
    </row>
    <row r="3758" spans="1:29" x14ac:dyDescent="0.25">
      <c r="A3758" s="31" t="s">
        <v>967</v>
      </c>
      <c r="B3758" s="23" t="s">
        <v>661</v>
      </c>
      <c r="D3758">
        <v>1</v>
      </c>
      <c r="E3758" t="s">
        <v>103</v>
      </c>
      <c r="F3758">
        <v>9</v>
      </c>
      <c r="G3758">
        <v>2013</v>
      </c>
      <c r="I3758" s="8">
        <v>5650.85</v>
      </c>
      <c r="J3758" t="s">
        <v>104</v>
      </c>
      <c r="K3758" t="s">
        <v>53</v>
      </c>
      <c r="L3758" t="s">
        <v>105</v>
      </c>
      <c r="O3758">
        <v>0</v>
      </c>
      <c r="P3758">
        <v>1</v>
      </c>
      <c r="Q3758">
        <v>0</v>
      </c>
      <c r="R3758">
        <v>0</v>
      </c>
      <c r="W3758" t="s">
        <v>106</v>
      </c>
      <c r="AA3758">
        <v>2007</v>
      </c>
      <c r="AB3758">
        <v>9999</v>
      </c>
      <c r="AC3758" t="s">
        <v>35</v>
      </c>
    </row>
    <row r="3759" spans="1:29" x14ac:dyDescent="0.25">
      <c r="A3759" s="31" t="s">
        <v>968</v>
      </c>
      <c r="B3759" s="25" t="s">
        <v>969</v>
      </c>
      <c r="D3759">
        <v>1</v>
      </c>
      <c r="E3759" t="s">
        <v>85</v>
      </c>
      <c r="F3759">
        <v>1</v>
      </c>
      <c r="G3759">
        <v>2013</v>
      </c>
      <c r="H3759" t="s">
        <v>970</v>
      </c>
      <c r="J3759" t="s">
        <v>176</v>
      </c>
      <c r="K3759" t="s">
        <v>41</v>
      </c>
      <c r="O3759">
        <v>0</v>
      </c>
      <c r="P3759">
        <v>0</v>
      </c>
      <c r="Q3759">
        <v>0</v>
      </c>
      <c r="R3759">
        <v>0</v>
      </c>
      <c r="W3759" t="s">
        <v>971</v>
      </c>
      <c r="AA3759">
        <v>2007</v>
      </c>
      <c r="AB3759">
        <v>9999</v>
      </c>
      <c r="AC3759" t="s">
        <v>35</v>
      </c>
    </row>
    <row r="3760" spans="1:29" x14ac:dyDescent="0.25">
      <c r="A3760" s="31" t="s">
        <v>975</v>
      </c>
      <c r="B3760" s="23" t="s">
        <v>976</v>
      </c>
      <c r="D3760">
        <v>1</v>
      </c>
      <c r="E3760" t="s">
        <v>977</v>
      </c>
      <c r="F3760">
        <v>1</v>
      </c>
      <c r="G3760">
        <v>2013</v>
      </c>
      <c r="I3760" s="8">
        <v>15.03</v>
      </c>
      <c r="J3760" t="s">
        <v>121</v>
      </c>
      <c r="K3760" t="s">
        <v>41</v>
      </c>
      <c r="O3760">
        <v>0</v>
      </c>
      <c r="P3760">
        <v>0</v>
      </c>
      <c r="Q3760">
        <v>0</v>
      </c>
      <c r="R3760">
        <v>0</v>
      </c>
      <c r="W3760" t="s">
        <v>1220</v>
      </c>
      <c r="AA3760">
        <v>2007</v>
      </c>
      <c r="AB3760">
        <v>9999</v>
      </c>
      <c r="AC3760" t="s">
        <v>35</v>
      </c>
    </row>
    <row r="3761" spans="1:29" x14ac:dyDescent="0.25">
      <c r="A3761" s="31" t="s">
        <v>985</v>
      </c>
      <c r="B3761" s="23" t="s">
        <v>986</v>
      </c>
      <c r="C3761" t="s">
        <v>987</v>
      </c>
      <c r="D3761">
        <v>1</v>
      </c>
      <c r="E3761" t="s">
        <v>988</v>
      </c>
      <c r="F3761">
        <v>4</v>
      </c>
      <c r="G3761">
        <v>2013</v>
      </c>
      <c r="I3761" s="8">
        <v>194.51</v>
      </c>
      <c r="J3761" t="s">
        <v>89</v>
      </c>
      <c r="K3761" t="s">
        <v>32</v>
      </c>
      <c r="O3761">
        <v>0</v>
      </c>
      <c r="P3761">
        <v>0</v>
      </c>
      <c r="Q3761">
        <v>0</v>
      </c>
      <c r="R3761">
        <v>0</v>
      </c>
      <c r="W3761" t="s">
        <v>1339</v>
      </c>
      <c r="AA3761">
        <v>2007</v>
      </c>
      <c r="AB3761">
        <v>9999</v>
      </c>
      <c r="AC3761" t="s">
        <v>35</v>
      </c>
    </row>
    <row r="3762" spans="1:29" x14ac:dyDescent="0.25">
      <c r="A3762" s="31" t="s">
        <v>993</v>
      </c>
      <c r="B3762" s="23" t="s">
        <v>129</v>
      </c>
      <c r="D3762">
        <v>1</v>
      </c>
      <c r="E3762" t="s">
        <v>103</v>
      </c>
      <c r="F3762">
        <v>1</v>
      </c>
      <c r="G3762">
        <v>2013</v>
      </c>
      <c r="I3762" s="8">
        <v>144.41</v>
      </c>
      <c r="J3762" t="s">
        <v>104</v>
      </c>
      <c r="K3762" t="s">
        <v>32</v>
      </c>
      <c r="O3762">
        <v>0</v>
      </c>
      <c r="P3762">
        <v>0</v>
      </c>
      <c r="Q3762">
        <v>0</v>
      </c>
      <c r="R3762">
        <v>0</v>
      </c>
      <c r="W3762" t="s">
        <v>1340</v>
      </c>
      <c r="AA3762">
        <v>2007</v>
      </c>
      <c r="AB3762">
        <v>9999</v>
      </c>
      <c r="AC3762" t="s">
        <v>35</v>
      </c>
    </row>
    <row r="3763" spans="1:29" x14ac:dyDescent="0.25">
      <c r="A3763" s="31" t="s">
        <v>1005</v>
      </c>
      <c r="B3763" s="23" t="s">
        <v>1006</v>
      </c>
      <c r="D3763">
        <v>1</v>
      </c>
      <c r="E3763" t="s">
        <v>80</v>
      </c>
      <c r="F3763">
        <v>8</v>
      </c>
      <c r="G3763">
        <v>2013</v>
      </c>
      <c r="J3763" s="2" t="s">
        <v>81</v>
      </c>
      <c r="K3763" t="s">
        <v>53</v>
      </c>
      <c r="L3763" t="s">
        <v>53</v>
      </c>
      <c r="O3763">
        <v>0</v>
      </c>
      <c r="P3763">
        <v>0</v>
      </c>
      <c r="Q3763">
        <v>0</v>
      </c>
      <c r="R3763">
        <v>0</v>
      </c>
      <c r="W3763" t="s">
        <v>1007</v>
      </c>
      <c r="AA3763">
        <v>2007</v>
      </c>
      <c r="AB3763">
        <v>2016</v>
      </c>
      <c r="AC3763" t="s">
        <v>528</v>
      </c>
    </row>
    <row r="3764" spans="1:29" x14ac:dyDescent="0.25">
      <c r="A3764" s="31" t="s">
        <v>1008</v>
      </c>
      <c r="B3764" s="23" t="s">
        <v>1009</v>
      </c>
      <c r="D3764">
        <v>1</v>
      </c>
      <c r="E3764" t="s">
        <v>155</v>
      </c>
      <c r="F3764">
        <v>3</v>
      </c>
      <c r="G3764">
        <v>2013</v>
      </c>
      <c r="I3764" s="8">
        <v>1196.1199999999999</v>
      </c>
      <c r="J3764" t="s">
        <v>121</v>
      </c>
      <c r="K3764" t="s">
        <v>47</v>
      </c>
      <c r="O3764">
        <v>0</v>
      </c>
      <c r="P3764">
        <v>0</v>
      </c>
      <c r="Q3764">
        <v>0</v>
      </c>
      <c r="R3764">
        <v>0</v>
      </c>
      <c r="W3764" t="s">
        <v>1228</v>
      </c>
      <c r="AA3764">
        <v>2007</v>
      </c>
      <c r="AB3764">
        <v>9999</v>
      </c>
      <c r="AC3764" t="s">
        <v>35</v>
      </c>
    </row>
    <row r="3765" spans="1:29" x14ac:dyDescent="0.25">
      <c r="A3765" s="31" t="s">
        <v>1011</v>
      </c>
      <c r="B3765" s="23" t="s">
        <v>1012</v>
      </c>
      <c r="D3765">
        <v>1</v>
      </c>
      <c r="E3765" t="s">
        <v>103</v>
      </c>
      <c r="F3765">
        <v>9</v>
      </c>
      <c r="G3765">
        <v>2013</v>
      </c>
      <c r="I3765" s="8">
        <v>1010.96</v>
      </c>
      <c r="J3765" t="s">
        <v>104</v>
      </c>
      <c r="K3765" t="s">
        <v>53</v>
      </c>
      <c r="L3765" t="s">
        <v>105</v>
      </c>
      <c r="O3765">
        <v>0</v>
      </c>
      <c r="P3765">
        <v>1</v>
      </c>
      <c r="Q3765">
        <v>0</v>
      </c>
      <c r="R3765">
        <v>0</v>
      </c>
      <c r="W3765" t="s">
        <v>106</v>
      </c>
      <c r="AA3765">
        <v>2007</v>
      </c>
      <c r="AB3765">
        <v>9999</v>
      </c>
      <c r="AC3765" t="s">
        <v>35</v>
      </c>
    </row>
    <row r="3766" spans="1:29" x14ac:dyDescent="0.25">
      <c r="A3766" s="31" t="s">
        <v>1013</v>
      </c>
      <c r="B3766" s="25" t="s">
        <v>1014</v>
      </c>
      <c r="D3766">
        <v>1</v>
      </c>
      <c r="E3766" t="s">
        <v>128</v>
      </c>
      <c r="F3766">
        <v>9</v>
      </c>
      <c r="G3766">
        <v>2013</v>
      </c>
      <c r="J3766" t="s">
        <v>104</v>
      </c>
      <c r="K3766" t="s">
        <v>41</v>
      </c>
      <c r="O3766">
        <v>0</v>
      </c>
      <c r="P3766">
        <v>0</v>
      </c>
      <c r="Q3766">
        <v>0</v>
      </c>
      <c r="R3766">
        <v>0</v>
      </c>
      <c r="W3766" t="s">
        <v>1229</v>
      </c>
      <c r="AA3766">
        <v>2007</v>
      </c>
      <c r="AB3766">
        <v>9999</v>
      </c>
      <c r="AC3766" t="s">
        <v>35</v>
      </c>
    </row>
    <row r="3767" spans="1:29" x14ac:dyDescent="0.25">
      <c r="A3767" s="31" t="s">
        <v>1016</v>
      </c>
      <c r="B3767" s="25" t="s">
        <v>1017</v>
      </c>
      <c r="D3767">
        <v>1</v>
      </c>
      <c r="E3767" t="s">
        <v>396</v>
      </c>
      <c r="F3767">
        <v>3</v>
      </c>
      <c r="G3767">
        <v>2013</v>
      </c>
      <c r="H3767" t="s">
        <v>1018</v>
      </c>
      <c r="J3767" t="s">
        <v>121</v>
      </c>
      <c r="K3767" t="s">
        <v>41</v>
      </c>
      <c r="O3767">
        <v>0</v>
      </c>
      <c r="P3767">
        <v>0</v>
      </c>
      <c r="Q3767">
        <v>0</v>
      </c>
      <c r="R3767">
        <v>0</v>
      </c>
      <c r="W3767" t="s">
        <v>1230</v>
      </c>
      <c r="AA3767">
        <v>2007</v>
      </c>
      <c r="AB3767">
        <v>9999</v>
      </c>
      <c r="AC3767" t="s">
        <v>35</v>
      </c>
    </row>
    <row r="3768" spans="1:29" x14ac:dyDescent="0.25">
      <c r="A3768" s="31" t="s">
        <v>1020</v>
      </c>
      <c r="B3768" s="23" t="s">
        <v>1021</v>
      </c>
      <c r="D3768">
        <v>1</v>
      </c>
      <c r="E3768" t="s">
        <v>103</v>
      </c>
      <c r="F3768">
        <v>9</v>
      </c>
      <c r="G3768">
        <v>2013</v>
      </c>
      <c r="I3768" s="8">
        <v>18.899999999999999</v>
      </c>
      <c r="J3768" t="s">
        <v>104</v>
      </c>
      <c r="K3768" t="s">
        <v>47</v>
      </c>
      <c r="O3768">
        <v>0</v>
      </c>
      <c r="P3768">
        <v>0</v>
      </c>
      <c r="Q3768">
        <v>0</v>
      </c>
      <c r="R3768">
        <v>0</v>
      </c>
      <c r="W3768" t="s">
        <v>1231</v>
      </c>
      <c r="AA3768">
        <v>2007</v>
      </c>
      <c r="AB3768">
        <v>9999</v>
      </c>
      <c r="AC3768" t="s">
        <v>35</v>
      </c>
    </row>
    <row r="3769" spans="1:29" x14ac:dyDescent="0.25">
      <c r="B3769" s="23" t="s">
        <v>1026</v>
      </c>
      <c r="D3769">
        <v>24</v>
      </c>
      <c r="F3769">
        <v>3</v>
      </c>
      <c r="G3769">
        <v>2013</v>
      </c>
      <c r="H3769" t="s">
        <v>392</v>
      </c>
      <c r="I3769" t="s">
        <v>1027</v>
      </c>
      <c r="J3769" t="s">
        <v>121</v>
      </c>
      <c r="K3769" t="s">
        <v>41</v>
      </c>
      <c r="O3769">
        <v>0</v>
      </c>
      <c r="P3769">
        <v>0</v>
      </c>
      <c r="Q3769">
        <v>0</v>
      </c>
      <c r="R3769">
        <v>0</v>
      </c>
      <c r="W3769" t="s">
        <v>1232</v>
      </c>
      <c r="AA3769">
        <v>2007</v>
      </c>
      <c r="AB3769">
        <v>9999</v>
      </c>
      <c r="AC3769" t="s">
        <v>35</v>
      </c>
    </row>
    <row r="3770" spans="1:29" x14ac:dyDescent="0.25">
      <c r="A3770" s="31" t="s">
        <v>28</v>
      </c>
      <c r="B3770" s="23" t="s">
        <v>29</v>
      </c>
      <c r="D3770">
        <v>1</v>
      </c>
      <c r="E3770" t="s">
        <v>30</v>
      </c>
      <c r="F3770">
        <v>4</v>
      </c>
      <c r="G3770">
        <v>2012</v>
      </c>
      <c r="I3770" s="8">
        <v>380.75</v>
      </c>
      <c r="J3770" s="2" t="s">
        <v>89</v>
      </c>
      <c r="K3770" t="s">
        <v>32</v>
      </c>
      <c r="L3770" t="s">
        <v>33</v>
      </c>
      <c r="O3770">
        <v>0</v>
      </c>
      <c r="P3770">
        <v>0</v>
      </c>
      <c r="Q3770">
        <v>0</v>
      </c>
      <c r="R3770">
        <v>1</v>
      </c>
      <c r="W3770" t="s">
        <v>1029</v>
      </c>
      <c r="AA3770">
        <v>2007</v>
      </c>
      <c r="AB3770">
        <v>9999</v>
      </c>
      <c r="AC3770" t="s">
        <v>35</v>
      </c>
    </row>
    <row r="3771" spans="1:29" x14ac:dyDescent="0.25">
      <c r="A3771" s="31" t="s">
        <v>36</v>
      </c>
      <c r="B3771" s="23" t="s">
        <v>37</v>
      </c>
      <c r="D3771">
        <v>1</v>
      </c>
      <c r="E3771" t="s">
        <v>38</v>
      </c>
      <c r="F3771">
        <v>4</v>
      </c>
      <c r="G3771">
        <v>2012</v>
      </c>
      <c r="H3771" t="s">
        <v>39</v>
      </c>
      <c r="J3771" s="2" t="s">
        <v>40</v>
      </c>
      <c r="K3771" t="s">
        <v>41</v>
      </c>
      <c r="O3771">
        <v>0</v>
      </c>
      <c r="P3771">
        <v>0</v>
      </c>
      <c r="Q3771">
        <v>0</v>
      </c>
      <c r="R3771">
        <v>0</v>
      </c>
      <c r="W3771" t="s">
        <v>1030</v>
      </c>
      <c r="AA3771">
        <v>2007</v>
      </c>
      <c r="AB3771">
        <v>9999</v>
      </c>
      <c r="AC3771" t="s">
        <v>35</v>
      </c>
    </row>
    <row r="3772" spans="1:29" x14ac:dyDescent="0.25">
      <c r="A3772" s="31" t="s">
        <v>43</v>
      </c>
      <c r="B3772" s="23" t="s">
        <v>44</v>
      </c>
      <c r="D3772">
        <v>1</v>
      </c>
      <c r="E3772" t="s">
        <v>45</v>
      </c>
      <c r="F3772">
        <v>4</v>
      </c>
      <c r="G3772">
        <v>2012</v>
      </c>
      <c r="I3772" s="8">
        <v>31.88</v>
      </c>
      <c r="J3772" t="s">
        <v>121</v>
      </c>
      <c r="K3772" t="s">
        <v>47</v>
      </c>
      <c r="O3772">
        <v>0</v>
      </c>
      <c r="P3772">
        <v>0</v>
      </c>
      <c r="Q3772">
        <v>0</v>
      </c>
      <c r="R3772">
        <v>0</v>
      </c>
      <c r="W3772" t="s">
        <v>1031</v>
      </c>
      <c r="AA3772">
        <v>2007</v>
      </c>
      <c r="AB3772">
        <v>9999</v>
      </c>
      <c r="AC3772" t="s">
        <v>35</v>
      </c>
    </row>
    <row r="3773" spans="1:29" x14ac:dyDescent="0.25">
      <c r="A3773" s="31" t="s">
        <v>49</v>
      </c>
      <c r="B3773" s="25" t="s">
        <v>50</v>
      </c>
      <c r="D3773">
        <v>1</v>
      </c>
      <c r="E3773" t="s">
        <v>51</v>
      </c>
      <c r="F3773">
        <v>1</v>
      </c>
      <c r="G3773">
        <v>2012</v>
      </c>
      <c r="J3773" t="s">
        <v>52</v>
      </c>
      <c r="K3773" t="s">
        <v>53</v>
      </c>
      <c r="L3773" t="s">
        <v>54</v>
      </c>
      <c r="O3773">
        <v>0</v>
      </c>
      <c r="P3773">
        <v>0</v>
      </c>
      <c r="Q3773">
        <v>1</v>
      </c>
      <c r="R3773">
        <v>0</v>
      </c>
      <c r="W3773" t="s">
        <v>55</v>
      </c>
      <c r="AA3773">
        <v>2007</v>
      </c>
      <c r="AB3773">
        <v>9999</v>
      </c>
      <c r="AC3773" t="s">
        <v>35</v>
      </c>
    </row>
    <row r="3774" spans="1:29" x14ac:dyDescent="0.25">
      <c r="A3774" s="31" t="s">
        <v>996</v>
      </c>
      <c r="B3774" s="25" t="s">
        <v>1342</v>
      </c>
      <c r="D3774">
        <v>1</v>
      </c>
      <c r="E3774" t="s">
        <v>38</v>
      </c>
      <c r="F3774">
        <v>4</v>
      </c>
      <c r="G3774">
        <v>2012</v>
      </c>
      <c r="H3774" t="s">
        <v>998</v>
      </c>
      <c r="J3774" t="s">
        <v>1343</v>
      </c>
      <c r="K3774" t="s">
        <v>41</v>
      </c>
      <c r="O3774">
        <v>0</v>
      </c>
      <c r="P3774">
        <v>0</v>
      </c>
      <c r="Q3774">
        <v>0</v>
      </c>
      <c r="R3774">
        <v>0</v>
      </c>
      <c r="W3774" t="s">
        <v>1344</v>
      </c>
      <c r="AA3774">
        <v>2007</v>
      </c>
      <c r="AB3774">
        <v>9999</v>
      </c>
      <c r="AC3774" t="s">
        <v>35</v>
      </c>
    </row>
    <row r="3775" spans="1:29" x14ac:dyDescent="0.25">
      <c r="A3775" s="31" t="s">
        <v>56</v>
      </c>
      <c r="B3775" s="23" t="s">
        <v>57</v>
      </c>
      <c r="D3775">
        <v>1</v>
      </c>
      <c r="E3775" t="s">
        <v>58</v>
      </c>
      <c r="F3775">
        <v>4</v>
      </c>
      <c r="G3775">
        <v>2012</v>
      </c>
      <c r="I3775" s="8">
        <v>20</v>
      </c>
      <c r="J3775" t="s">
        <v>59</v>
      </c>
      <c r="K3775" t="s">
        <v>53</v>
      </c>
      <c r="L3775" t="s">
        <v>60</v>
      </c>
      <c r="O3775">
        <v>1</v>
      </c>
      <c r="P3775">
        <v>0</v>
      </c>
      <c r="Q3775">
        <v>0</v>
      </c>
      <c r="R3775">
        <v>0</v>
      </c>
      <c r="W3775" t="s">
        <v>61</v>
      </c>
      <c r="AA3775">
        <v>2007</v>
      </c>
      <c r="AB3775">
        <v>9999</v>
      </c>
      <c r="AC3775" t="s">
        <v>35</v>
      </c>
    </row>
    <row r="3776" spans="1:29" x14ac:dyDescent="0.25">
      <c r="A3776" s="31" t="s">
        <v>71</v>
      </c>
      <c r="B3776" s="23" t="s">
        <v>1032</v>
      </c>
      <c r="D3776">
        <v>1</v>
      </c>
      <c r="E3776" t="s">
        <v>309</v>
      </c>
      <c r="F3776">
        <v>10</v>
      </c>
      <c r="G3776">
        <v>2012</v>
      </c>
      <c r="I3776" s="8">
        <v>10396.049999999999</v>
      </c>
      <c r="J3776" t="s">
        <v>59</v>
      </c>
      <c r="K3776" t="s">
        <v>32</v>
      </c>
      <c r="O3776">
        <v>0</v>
      </c>
      <c r="P3776">
        <v>0</v>
      </c>
      <c r="Q3776">
        <v>0</v>
      </c>
      <c r="R3776">
        <v>0</v>
      </c>
      <c r="W3776" t="s">
        <v>1033</v>
      </c>
      <c r="AA3776">
        <v>2007</v>
      </c>
      <c r="AB3776">
        <v>9999</v>
      </c>
      <c r="AC3776" t="s">
        <v>35</v>
      </c>
    </row>
    <row r="3777" spans="1:29" x14ac:dyDescent="0.25">
      <c r="A3777" s="31" t="s">
        <v>62</v>
      </c>
      <c r="B3777" s="23" t="s">
        <v>63</v>
      </c>
      <c r="D3777">
        <v>1</v>
      </c>
      <c r="E3777" t="s">
        <v>64</v>
      </c>
      <c r="F3777">
        <v>1</v>
      </c>
      <c r="G3777">
        <v>2012</v>
      </c>
      <c r="I3777" s="8">
        <v>60.17</v>
      </c>
      <c r="J3777" t="s">
        <v>40</v>
      </c>
      <c r="K3777" t="s">
        <v>53</v>
      </c>
      <c r="L3777" t="s">
        <v>65</v>
      </c>
      <c r="O3777">
        <v>0</v>
      </c>
      <c r="P3777">
        <v>0</v>
      </c>
      <c r="Q3777">
        <v>0</v>
      </c>
      <c r="R3777">
        <v>0</v>
      </c>
      <c r="W3777" t="s">
        <v>1034</v>
      </c>
      <c r="AA3777">
        <v>2007</v>
      </c>
      <c r="AB3777">
        <v>9999</v>
      </c>
      <c r="AC3777" t="s">
        <v>35</v>
      </c>
    </row>
    <row r="3778" spans="1:29" x14ac:dyDescent="0.25">
      <c r="A3778" s="31" t="s">
        <v>74</v>
      </c>
      <c r="B3778" s="23" t="s">
        <v>75</v>
      </c>
      <c r="D3778">
        <v>1</v>
      </c>
      <c r="E3778" t="s">
        <v>58</v>
      </c>
      <c r="F3778">
        <v>4</v>
      </c>
      <c r="G3778">
        <v>2012</v>
      </c>
      <c r="I3778" s="8">
        <v>539.85</v>
      </c>
      <c r="J3778" t="s">
        <v>59</v>
      </c>
      <c r="K3778" t="s">
        <v>47</v>
      </c>
      <c r="O3778">
        <v>0</v>
      </c>
      <c r="P3778">
        <v>0</v>
      </c>
      <c r="Q3778">
        <v>0</v>
      </c>
      <c r="R3778">
        <v>0</v>
      </c>
      <c r="W3778" t="s">
        <v>1035</v>
      </c>
      <c r="AA3778">
        <v>2007</v>
      </c>
      <c r="AB3778">
        <v>9999</v>
      </c>
      <c r="AC3778" t="s">
        <v>35</v>
      </c>
    </row>
    <row r="3779" spans="1:29" x14ac:dyDescent="0.25">
      <c r="A3779" s="31" t="s">
        <v>78</v>
      </c>
      <c r="B3779" s="23" t="s">
        <v>79</v>
      </c>
      <c r="D3779">
        <v>1</v>
      </c>
      <c r="E3779" t="s">
        <v>80</v>
      </c>
      <c r="F3779">
        <v>8</v>
      </c>
      <c r="G3779">
        <v>2012</v>
      </c>
      <c r="I3779" s="8">
        <v>33.229999999999997</v>
      </c>
      <c r="J3779" t="s">
        <v>81</v>
      </c>
      <c r="K3779" t="s">
        <v>47</v>
      </c>
      <c r="O3779">
        <v>0</v>
      </c>
      <c r="P3779">
        <v>0</v>
      </c>
      <c r="Q3779">
        <v>0</v>
      </c>
      <c r="R3779">
        <v>0</v>
      </c>
      <c r="W3779" t="s">
        <v>1036</v>
      </c>
      <c r="AA3779">
        <v>2007</v>
      </c>
      <c r="AB3779">
        <v>9999</v>
      </c>
      <c r="AC3779" t="s">
        <v>35</v>
      </c>
    </row>
    <row r="3780" spans="1:29" x14ac:dyDescent="0.25">
      <c r="A3780" s="31" t="s">
        <v>83</v>
      </c>
      <c r="B3780" s="25" t="s">
        <v>84</v>
      </c>
      <c r="D3780">
        <v>1</v>
      </c>
      <c r="E3780" t="s">
        <v>85</v>
      </c>
      <c r="F3780">
        <v>1</v>
      </c>
      <c r="G3780">
        <v>2012</v>
      </c>
      <c r="H3780" t="s">
        <v>39</v>
      </c>
      <c r="J3780" s="2" t="s">
        <v>40</v>
      </c>
      <c r="K3780" t="s">
        <v>41</v>
      </c>
      <c r="O3780">
        <v>0</v>
      </c>
      <c r="P3780">
        <v>0</v>
      </c>
      <c r="Q3780">
        <v>0</v>
      </c>
      <c r="R3780">
        <v>0</v>
      </c>
      <c r="W3780" t="s">
        <v>86</v>
      </c>
      <c r="AA3780">
        <v>2007</v>
      </c>
      <c r="AB3780">
        <v>9999</v>
      </c>
      <c r="AC3780" t="s">
        <v>35</v>
      </c>
    </row>
    <row r="3781" spans="1:29" x14ac:dyDescent="0.25">
      <c r="A3781" s="31" t="s">
        <v>92</v>
      </c>
      <c r="B3781" s="23" t="s">
        <v>93</v>
      </c>
      <c r="C3781" t="s">
        <v>94</v>
      </c>
      <c r="D3781">
        <v>1</v>
      </c>
      <c r="E3781" t="s">
        <v>95</v>
      </c>
      <c r="F3781">
        <v>10</v>
      </c>
      <c r="G3781">
        <v>2012</v>
      </c>
      <c r="I3781" s="8">
        <v>20.82</v>
      </c>
      <c r="J3781" t="s">
        <v>40</v>
      </c>
      <c r="K3781" t="s">
        <v>47</v>
      </c>
      <c r="O3781">
        <v>0</v>
      </c>
      <c r="P3781">
        <v>0</v>
      </c>
      <c r="Q3781">
        <v>0</v>
      </c>
      <c r="R3781">
        <v>0</v>
      </c>
      <c r="W3781" t="s">
        <v>1346</v>
      </c>
      <c r="AA3781">
        <v>2007</v>
      </c>
      <c r="AB3781">
        <v>9999</v>
      </c>
      <c r="AC3781" t="s">
        <v>35</v>
      </c>
    </row>
    <row r="3782" spans="1:29" x14ac:dyDescent="0.25">
      <c r="A3782" s="31" t="s">
        <v>101</v>
      </c>
      <c r="B3782" s="23" t="s">
        <v>102</v>
      </c>
      <c r="D3782">
        <v>1</v>
      </c>
      <c r="E3782" t="s">
        <v>103</v>
      </c>
      <c r="F3782">
        <v>9</v>
      </c>
      <c r="G3782">
        <v>2012</v>
      </c>
      <c r="I3782" s="8">
        <v>488.6</v>
      </c>
      <c r="J3782" t="s">
        <v>104</v>
      </c>
      <c r="K3782" t="s">
        <v>53</v>
      </c>
      <c r="L3782" t="s">
        <v>105</v>
      </c>
      <c r="O3782">
        <v>0</v>
      </c>
      <c r="P3782">
        <v>1</v>
      </c>
      <c r="Q3782">
        <v>0</v>
      </c>
      <c r="R3782">
        <v>0</v>
      </c>
      <c r="W3782" t="s">
        <v>106</v>
      </c>
      <c r="AA3782">
        <v>2007</v>
      </c>
      <c r="AB3782">
        <v>9999</v>
      </c>
      <c r="AC3782" t="s">
        <v>35</v>
      </c>
    </row>
    <row r="3783" spans="1:29" x14ac:dyDescent="0.25">
      <c r="A3783" s="31" t="s">
        <v>107</v>
      </c>
      <c r="B3783" s="23" t="s">
        <v>108</v>
      </c>
      <c r="D3783">
        <v>1</v>
      </c>
      <c r="E3783" t="s">
        <v>45</v>
      </c>
      <c r="F3783">
        <v>4</v>
      </c>
      <c r="G3783">
        <v>2012</v>
      </c>
      <c r="I3783" s="8">
        <v>9.1999999999999993</v>
      </c>
      <c r="J3783" t="s">
        <v>52</v>
      </c>
      <c r="K3783" t="s">
        <v>41</v>
      </c>
      <c r="O3783">
        <v>0</v>
      </c>
      <c r="P3783">
        <v>0</v>
      </c>
      <c r="Q3783">
        <v>0</v>
      </c>
      <c r="R3783">
        <v>0</v>
      </c>
      <c r="W3783" t="s">
        <v>109</v>
      </c>
      <c r="AA3783">
        <v>2007</v>
      </c>
      <c r="AB3783">
        <v>9999</v>
      </c>
      <c r="AC3783" t="s">
        <v>35</v>
      </c>
    </row>
    <row r="3784" spans="1:29" x14ac:dyDescent="0.25">
      <c r="A3784" s="31" t="s">
        <v>110</v>
      </c>
      <c r="B3784" s="23" t="s">
        <v>111</v>
      </c>
      <c r="D3784">
        <v>1</v>
      </c>
      <c r="E3784" t="s">
        <v>45</v>
      </c>
      <c r="F3784">
        <v>4</v>
      </c>
      <c r="G3784">
        <v>2012</v>
      </c>
      <c r="I3784" s="8">
        <v>450.3</v>
      </c>
      <c r="J3784" t="s">
        <v>89</v>
      </c>
      <c r="K3784" t="s">
        <v>47</v>
      </c>
      <c r="O3784">
        <v>0</v>
      </c>
      <c r="P3784">
        <v>0</v>
      </c>
      <c r="Q3784">
        <v>0</v>
      </c>
      <c r="R3784">
        <v>0</v>
      </c>
      <c r="W3784" t="s">
        <v>1039</v>
      </c>
      <c r="AA3784">
        <v>2007</v>
      </c>
      <c r="AB3784">
        <v>9999</v>
      </c>
      <c r="AC3784" t="s">
        <v>35</v>
      </c>
    </row>
    <row r="3785" spans="1:29" x14ac:dyDescent="0.25">
      <c r="A3785" s="31" t="s">
        <v>113</v>
      </c>
      <c r="B3785" s="23" t="s">
        <v>114</v>
      </c>
      <c r="D3785">
        <v>1</v>
      </c>
      <c r="E3785" t="s">
        <v>115</v>
      </c>
      <c r="F3785">
        <v>6</v>
      </c>
      <c r="G3785">
        <v>2012</v>
      </c>
      <c r="I3785" s="8">
        <v>170.16</v>
      </c>
      <c r="J3785" t="s">
        <v>40</v>
      </c>
      <c r="K3785" t="s">
        <v>47</v>
      </c>
      <c r="O3785">
        <v>0</v>
      </c>
      <c r="P3785">
        <v>0</v>
      </c>
      <c r="Q3785">
        <v>0</v>
      </c>
      <c r="R3785">
        <v>0</v>
      </c>
      <c r="W3785" t="s">
        <v>1285</v>
      </c>
      <c r="AA3785">
        <v>2007</v>
      </c>
      <c r="AB3785">
        <v>9999</v>
      </c>
      <c r="AC3785" t="s">
        <v>35</v>
      </c>
    </row>
    <row r="3786" spans="1:29" x14ac:dyDescent="0.25">
      <c r="A3786" s="31" t="s">
        <v>117</v>
      </c>
      <c r="B3786" s="23" t="s">
        <v>118</v>
      </c>
      <c r="C3786" t="s">
        <v>119</v>
      </c>
      <c r="D3786">
        <v>1</v>
      </c>
      <c r="E3786" t="s">
        <v>120</v>
      </c>
      <c r="F3786">
        <v>3</v>
      </c>
      <c r="G3786">
        <v>2012</v>
      </c>
      <c r="I3786" s="8">
        <v>80.84</v>
      </c>
      <c r="J3786" t="s">
        <v>121</v>
      </c>
      <c r="K3786" t="s">
        <v>47</v>
      </c>
      <c r="O3786">
        <v>0</v>
      </c>
      <c r="P3786">
        <v>0</v>
      </c>
      <c r="Q3786">
        <v>0</v>
      </c>
      <c r="R3786">
        <v>0</v>
      </c>
      <c r="W3786" t="s">
        <v>1041</v>
      </c>
      <c r="AA3786">
        <v>2007</v>
      </c>
      <c r="AB3786">
        <v>9999</v>
      </c>
      <c r="AC3786" t="s">
        <v>35</v>
      </c>
    </row>
    <row r="3787" spans="1:29" x14ac:dyDescent="0.25">
      <c r="A3787" s="31" t="s">
        <v>123</v>
      </c>
      <c r="B3787" s="23" t="s">
        <v>124</v>
      </c>
      <c r="D3787">
        <v>1</v>
      </c>
      <c r="E3787" t="s">
        <v>120</v>
      </c>
      <c r="F3787">
        <v>3</v>
      </c>
      <c r="G3787">
        <v>2012</v>
      </c>
      <c r="I3787" s="8">
        <v>49.6</v>
      </c>
      <c r="J3787" t="s">
        <v>121</v>
      </c>
      <c r="K3787" t="s">
        <v>47</v>
      </c>
      <c r="O3787">
        <v>0</v>
      </c>
      <c r="P3787">
        <v>0</v>
      </c>
      <c r="Q3787">
        <v>0</v>
      </c>
      <c r="R3787">
        <v>0</v>
      </c>
      <c r="W3787" t="s">
        <v>1042</v>
      </c>
      <c r="AA3787">
        <v>2007</v>
      </c>
      <c r="AB3787">
        <v>9999</v>
      </c>
      <c r="AC3787" t="s">
        <v>35</v>
      </c>
    </row>
    <row r="3788" spans="1:29" x14ac:dyDescent="0.25">
      <c r="A3788" s="31" t="s">
        <v>126</v>
      </c>
      <c r="B3788" s="25" t="s">
        <v>127</v>
      </c>
      <c r="D3788">
        <v>1</v>
      </c>
      <c r="E3788" t="s">
        <v>128</v>
      </c>
      <c r="F3788">
        <v>9</v>
      </c>
      <c r="G3788">
        <v>2012</v>
      </c>
      <c r="H3788" s="1" t="s">
        <v>129</v>
      </c>
      <c r="J3788" t="s">
        <v>104</v>
      </c>
      <c r="K3788" t="s">
        <v>41</v>
      </c>
      <c r="O3788">
        <v>0</v>
      </c>
      <c r="P3788">
        <v>0</v>
      </c>
      <c r="Q3788">
        <v>0</v>
      </c>
      <c r="R3788">
        <v>0</v>
      </c>
      <c r="W3788" t="s">
        <v>1043</v>
      </c>
      <c r="AA3788">
        <v>2007</v>
      </c>
      <c r="AB3788">
        <v>9999</v>
      </c>
      <c r="AC3788" t="s">
        <v>35</v>
      </c>
    </row>
    <row r="3789" spans="1:29" x14ac:dyDescent="0.25">
      <c r="A3789" s="31" t="s">
        <v>131</v>
      </c>
      <c r="B3789" s="23" t="s">
        <v>132</v>
      </c>
      <c r="C3789" t="s">
        <v>133</v>
      </c>
      <c r="D3789">
        <v>1</v>
      </c>
      <c r="E3789" t="s">
        <v>134</v>
      </c>
      <c r="F3789">
        <v>9</v>
      </c>
      <c r="G3789">
        <v>2012</v>
      </c>
      <c r="I3789" s="8">
        <v>920.36</v>
      </c>
      <c r="J3789" t="s">
        <v>104</v>
      </c>
      <c r="K3789" t="s">
        <v>47</v>
      </c>
      <c r="O3789">
        <v>0</v>
      </c>
      <c r="P3789">
        <v>0</v>
      </c>
      <c r="Q3789">
        <v>0</v>
      </c>
      <c r="R3789">
        <v>0</v>
      </c>
      <c r="W3789" t="s">
        <v>1044</v>
      </c>
      <c r="AA3789">
        <v>2007</v>
      </c>
      <c r="AB3789">
        <v>9999</v>
      </c>
      <c r="AC3789" t="s">
        <v>35</v>
      </c>
    </row>
    <row r="3790" spans="1:29" x14ac:dyDescent="0.25">
      <c r="A3790" s="31" t="s">
        <v>136</v>
      </c>
      <c r="B3790" s="25" t="s">
        <v>1286</v>
      </c>
      <c r="D3790">
        <v>1</v>
      </c>
      <c r="E3790" t="s">
        <v>103</v>
      </c>
      <c r="F3790">
        <v>9</v>
      </c>
      <c r="G3790">
        <v>2012</v>
      </c>
      <c r="I3790" s="8">
        <v>57.68</v>
      </c>
      <c r="J3790" t="s">
        <v>104</v>
      </c>
      <c r="K3790" t="s">
        <v>53</v>
      </c>
      <c r="L3790" t="s">
        <v>105</v>
      </c>
      <c r="O3790">
        <v>0</v>
      </c>
      <c r="P3790">
        <v>1</v>
      </c>
      <c r="Q3790">
        <v>0</v>
      </c>
      <c r="R3790">
        <v>0</v>
      </c>
      <c r="W3790" t="s">
        <v>106</v>
      </c>
      <c r="AA3790">
        <v>2007</v>
      </c>
      <c r="AB3790">
        <v>2013</v>
      </c>
      <c r="AC3790" t="s">
        <v>139</v>
      </c>
    </row>
    <row r="3791" spans="1:29" x14ac:dyDescent="0.25">
      <c r="A3791" s="31" t="s">
        <v>140</v>
      </c>
      <c r="B3791" s="23" t="s">
        <v>141</v>
      </c>
      <c r="D3791">
        <v>1</v>
      </c>
      <c r="E3791" t="s">
        <v>45</v>
      </c>
      <c r="F3791">
        <v>4</v>
      </c>
      <c r="G3791">
        <v>2012</v>
      </c>
      <c r="I3791" s="8">
        <v>41.18</v>
      </c>
      <c r="J3791" t="s">
        <v>121</v>
      </c>
      <c r="K3791" t="s">
        <v>47</v>
      </c>
      <c r="O3791">
        <v>0</v>
      </c>
      <c r="P3791">
        <v>0</v>
      </c>
      <c r="Q3791">
        <v>0</v>
      </c>
      <c r="R3791">
        <v>0</v>
      </c>
      <c r="W3791" t="s">
        <v>1045</v>
      </c>
      <c r="AA3791">
        <v>2007</v>
      </c>
      <c r="AB3791">
        <v>9999</v>
      </c>
      <c r="AC3791" t="s">
        <v>35</v>
      </c>
    </row>
    <row r="3792" spans="1:29" ht="30" x14ac:dyDescent="0.25">
      <c r="A3792" s="31" t="s">
        <v>143</v>
      </c>
      <c r="B3792" s="25" t="s">
        <v>144</v>
      </c>
      <c r="D3792">
        <v>1</v>
      </c>
      <c r="E3792" t="s">
        <v>145</v>
      </c>
      <c r="F3792">
        <v>2</v>
      </c>
      <c r="G3792">
        <v>2012</v>
      </c>
      <c r="H3792" t="s">
        <v>146</v>
      </c>
      <c r="J3792" s="2" t="s">
        <v>147</v>
      </c>
      <c r="K3792" t="s">
        <v>41</v>
      </c>
      <c r="O3792">
        <v>0</v>
      </c>
      <c r="P3792">
        <v>0</v>
      </c>
      <c r="Q3792">
        <v>0</v>
      </c>
      <c r="R3792">
        <v>0</v>
      </c>
      <c r="W3792" t="s">
        <v>1046</v>
      </c>
      <c r="AA3792">
        <v>2007</v>
      </c>
      <c r="AB3792">
        <v>9999</v>
      </c>
      <c r="AC3792" t="s">
        <v>35</v>
      </c>
    </row>
    <row r="3793" spans="1:29" x14ac:dyDescent="0.25">
      <c r="A3793" s="31" t="s">
        <v>353</v>
      </c>
      <c r="B3793" s="23" t="s">
        <v>1233</v>
      </c>
      <c r="C3793" t="s">
        <v>1234</v>
      </c>
      <c r="D3793">
        <v>1</v>
      </c>
      <c r="E3793" t="s">
        <v>58</v>
      </c>
      <c r="F3793">
        <v>4</v>
      </c>
      <c r="G3793">
        <v>2012</v>
      </c>
      <c r="I3793" s="8">
        <v>82.64</v>
      </c>
      <c r="J3793" t="s">
        <v>59</v>
      </c>
      <c r="K3793" t="s">
        <v>47</v>
      </c>
      <c r="O3793">
        <v>0</v>
      </c>
      <c r="P3793">
        <v>0</v>
      </c>
      <c r="Q3793">
        <v>0</v>
      </c>
      <c r="R3793">
        <v>0</v>
      </c>
      <c r="W3793" t="s">
        <v>1235</v>
      </c>
      <c r="AA3793">
        <v>2007</v>
      </c>
      <c r="AB3793">
        <v>9999</v>
      </c>
      <c r="AC3793" t="s">
        <v>35</v>
      </c>
    </row>
    <row r="3794" spans="1:29" x14ac:dyDescent="0.25">
      <c r="A3794" s="31" t="s">
        <v>1236</v>
      </c>
      <c r="B3794" s="23" t="s">
        <v>1237</v>
      </c>
      <c r="D3794">
        <v>1</v>
      </c>
      <c r="E3794" t="s">
        <v>155</v>
      </c>
      <c r="F3794">
        <v>3</v>
      </c>
      <c r="G3794">
        <v>2012</v>
      </c>
      <c r="H3794" t="s">
        <v>154</v>
      </c>
      <c r="I3794" s="8">
        <v>5.9</v>
      </c>
      <c r="J3794" t="s">
        <v>121</v>
      </c>
      <c r="K3794" t="s">
        <v>41</v>
      </c>
      <c r="O3794">
        <v>0</v>
      </c>
      <c r="P3794">
        <v>0</v>
      </c>
      <c r="Q3794">
        <v>0</v>
      </c>
      <c r="R3794">
        <v>0</v>
      </c>
      <c r="W3794" t="s">
        <v>1347</v>
      </c>
      <c r="AA3794">
        <v>2009</v>
      </c>
      <c r="AB3794">
        <v>9999</v>
      </c>
      <c r="AC3794" t="s">
        <v>1239</v>
      </c>
    </row>
    <row r="3795" spans="1:29" x14ac:dyDescent="0.25">
      <c r="A3795" s="31" t="s">
        <v>153</v>
      </c>
      <c r="B3795" s="23" t="s">
        <v>154</v>
      </c>
      <c r="D3795">
        <v>1</v>
      </c>
      <c r="E3795" t="s">
        <v>155</v>
      </c>
      <c r="F3795">
        <v>3</v>
      </c>
      <c r="G3795">
        <v>2012</v>
      </c>
      <c r="I3795" s="8">
        <v>285.92076824999998</v>
      </c>
      <c r="J3795" t="s">
        <v>121</v>
      </c>
      <c r="K3795" t="s">
        <v>47</v>
      </c>
      <c r="O3795">
        <v>0</v>
      </c>
      <c r="P3795">
        <v>0</v>
      </c>
      <c r="Q3795">
        <v>0</v>
      </c>
      <c r="R3795">
        <v>0</v>
      </c>
      <c r="V3795">
        <v>1</v>
      </c>
      <c r="W3795" t="s">
        <v>1047</v>
      </c>
      <c r="AA3795">
        <v>2007</v>
      </c>
      <c r="AB3795">
        <v>9999</v>
      </c>
      <c r="AC3795" t="s">
        <v>35</v>
      </c>
    </row>
    <row r="3796" spans="1:29" x14ac:dyDescent="0.25">
      <c r="A3796" s="31" t="s">
        <v>159</v>
      </c>
      <c r="B3796" s="23" t="s">
        <v>160</v>
      </c>
      <c r="D3796">
        <v>1</v>
      </c>
      <c r="E3796" t="s">
        <v>155</v>
      </c>
      <c r="F3796">
        <v>3</v>
      </c>
      <c r="G3796">
        <v>2012</v>
      </c>
      <c r="I3796" s="8">
        <v>396.9</v>
      </c>
      <c r="J3796" t="s">
        <v>121</v>
      </c>
      <c r="K3796" t="s">
        <v>47</v>
      </c>
      <c r="O3796">
        <v>0</v>
      </c>
      <c r="P3796">
        <v>0</v>
      </c>
      <c r="Q3796">
        <v>0</v>
      </c>
      <c r="R3796">
        <v>0</v>
      </c>
      <c r="W3796" t="s">
        <v>1048</v>
      </c>
      <c r="AA3796">
        <v>2007</v>
      </c>
      <c r="AB3796">
        <v>9999</v>
      </c>
      <c r="AC3796" t="s">
        <v>35</v>
      </c>
    </row>
    <row r="3797" spans="1:29" x14ac:dyDescent="0.25">
      <c r="A3797" s="31" t="s">
        <v>165</v>
      </c>
      <c r="B3797" s="23" t="s">
        <v>166</v>
      </c>
      <c r="C3797" t="s">
        <v>167</v>
      </c>
      <c r="D3797">
        <v>1</v>
      </c>
      <c r="E3797" t="s">
        <v>168</v>
      </c>
      <c r="F3797">
        <v>1</v>
      </c>
      <c r="G3797">
        <v>2012</v>
      </c>
      <c r="I3797" s="8">
        <v>152.59</v>
      </c>
      <c r="J3797" t="s">
        <v>52</v>
      </c>
      <c r="K3797" t="s">
        <v>47</v>
      </c>
      <c r="O3797">
        <v>0</v>
      </c>
      <c r="P3797">
        <v>0</v>
      </c>
      <c r="Q3797">
        <v>0</v>
      </c>
      <c r="R3797">
        <v>0</v>
      </c>
      <c r="W3797" t="s">
        <v>1348</v>
      </c>
      <c r="AA3797">
        <v>2007</v>
      </c>
      <c r="AB3797">
        <v>9999</v>
      </c>
      <c r="AC3797" t="s">
        <v>35</v>
      </c>
    </row>
    <row r="3798" spans="1:29" x14ac:dyDescent="0.25">
      <c r="A3798" s="31" t="s">
        <v>165</v>
      </c>
      <c r="B3798" s="25" t="s">
        <v>1349</v>
      </c>
      <c r="D3798">
        <v>1</v>
      </c>
      <c r="E3798" t="s">
        <v>38</v>
      </c>
      <c r="F3798">
        <v>4</v>
      </c>
      <c r="G3798">
        <v>2012</v>
      </c>
      <c r="H3798" t="s">
        <v>205</v>
      </c>
      <c r="J3798" t="s">
        <v>89</v>
      </c>
      <c r="K3798" t="s">
        <v>41</v>
      </c>
      <c r="O3798">
        <v>0</v>
      </c>
      <c r="P3798">
        <v>0</v>
      </c>
      <c r="Q3798">
        <v>0</v>
      </c>
      <c r="R3798">
        <v>0</v>
      </c>
      <c r="W3798" t="s">
        <v>1350</v>
      </c>
      <c r="AA3798">
        <v>2007</v>
      </c>
      <c r="AB3798">
        <v>9999</v>
      </c>
      <c r="AC3798" t="s">
        <v>35</v>
      </c>
    </row>
    <row r="3799" spans="1:29" x14ac:dyDescent="0.25">
      <c r="A3799" s="31" t="s">
        <v>170</v>
      </c>
      <c r="B3799" s="23" t="s">
        <v>171</v>
      </c>
      <c r="D3799">
        <v>1</v>
      </c>
      <c r="E3799" t="s">
        <v>30</v>
      </c>
      <c r="F3799">
        <v>4</v>
      </c>
      <c r="G3799">
        <v>2012</v>
      </c>
      <c r="I3799" s="8">
        <v>37.85</v>
      </c>
      <c r="J3799" t="s">
        <v>89</v>
      </c>
      <c r="K3799" t="s">
        <v>47</v>
      </c>
      <c r="O3799">
        <v>0</v>
      </c>
      <c r="P3799">
        <v>0</v>
      </c>
      <c r="Q3799">
        <v>0</v>
      </c>
      <c r="R3799">
        <v>0</v>
      </c>
      <c r="W3799" t="s">
        <v>1050</v>
      </c>
      <c r="AA3799">
        <v>2007</v>
      </c>
      <c r="AB3799">
        <v>9999</v>
      </c>
      <c r="AC3799" t="s">
        <v>35</v>
      </c>
    </row>
    <row r="3800" spans="1:29" x14ac:dyDescent="0.25">
      <c r="A3800" s="31" t="s">
        <v>1051</v>
      </c>
      <c r="B3800" s="23" t="s">
        <v>1052</v>
      </c>
      <c r="D3800">
        <v>1</v>
      </c>
      <c r="E3800" t="s">
        <v>30</v>
      </c>
      <c r="F3800">
        <v>4</v>
      </c>
      <c r="G3800">
        <v>2012</v>
      </c>
      <c r="I3800" s="8">
        <v>86.4</v>
      </c>
      <c r="J3800" t="s">
        <v>89</v>
      </c>
      <c r="K3800" t="s">
        <v>47</v>
      </c>
      <c r="O3800">
        <v>0</v>
      </c>
      <c r="P3800">
        <v>0</v>
      </c>
      <c r="Q3800">
        <v>0</v>
      </c>
      <c r="R3800">
        <v>0</v>
      </c>
      <c r="W3800" t="s">
        <v>1053</v>
      </c>
      <c r="AA3800">
        <v>2008</v>
      </c>
      <c r="AB3800">
        <v>9999</v>
      </c>
      <c r="AC3800" t="s">
        <v>1054</v>
      </c>
    </row>
    <row r="3801" spans="1:29" x14ac:dyDescent="0.25">
      <c r="A3801" s="31" t="s">
        <v>173</v>
      </c>
      <c r="B3801" s="23" t="s">
        <v>174</v>
      </c>
      <c r="C3801" t="s">
        <v>175</v>
      </c>
      <c r="D3801">
        <v>1</v>
      </c>
      <c r="E3801" t="s">
        <v>45</v>
      </c>
      <c r="F3801">
        <v>4</v>
      </c>
      <c r="G3801">
        <v>2012</v>
      </c>
      <c r="I3801" s="8">
        <v>129.84</v>
      </c>
      <c r="J3801" t="s">
        <v>176</v>
      </c>
      <c r="K3801" t="s">
        <v>32</v>
      </c>
      <c r="O3801">
        <v>0</v>
      </c>
      <c r="P3801">
        <v>0</v>
      </c>
      <c r="Q3801">
        <v>0</v>
      </c>
      <c r="R3801">
        <v>0</v>
      </c>
      <c r="W3801" t="s">
        <v>1055</v>
      </c>
      <c r="AA3801">
        <v>2007</v>
      </c>
      <c r="AB3801">
        <v>9999</v>
      </c>
      <c r="AC3801" t="s">
        <v>35</v>
      </c>
    </row>
    <row r="3802" spans="1:29" x14ac:dyDescent="0.25">
      <c r="A3802" s="31" t="s">
        <v>178</v>
      </c>
      <c r="B3802" s="23" t="s">
        <v>179</v>
      </c>
      <c r="D3802">
        <v>1</v>
      </c>
      <c r="E3802" t="s">
        <v>45</v>
      </c>
      <c r="F3802">
        <v>4</v>
      </c>
      <c r="G3802">
        <v>2012</v>
      </c>
      <c r="I3802" s="8">
        <v>16</v>
      </c>
      <c r="J3802" t="s">
        <v>121</v>
      </c>
      <c r="K3802" t="s">
        <v>47</v>
      </c>
      <c r="O3802">
        <v>0</v>
      </c>
      <c r="P3802">
        <v>0</v>
      </c>
      <c r="Q3802">
        <v>0</v>
      </c>
      <c r="R3802">
        <v>0</v>
      </c>
      <c r="W3802" t="s">
        <v>1240</v>
      </c>
      <c r="AA3802">
        <v>2007</v>
      </c>
      <c r="AB3802">
        <v>9999</v>
      </c>
      <c r="AC3802" t="s">
        <v>35</v>
      </c>
    </row>
    <row r="3803" spans="1:29" x14ac:dyDescent="0.25">
      <c r="A3803" s="31" t="s">
        <v>181</v>
      </c>
      <c r="B3803" s="25" t="s">
        <v>182</v>
      </c>
      <c r="D3803">
        <v>1</v>
      </c>
      <c r="E3803" t="s">
        <v>38</v>
      </c>
      <c r="F3803">
        <v>4</v>
      </c>
      <c r="G3803">
        <v>2012</v>
      </c>
      <c r="H3803" t="s">
        <v>39</v>
      </c>
      <c r="J3803" t="s">
        <v>121</v>
      </c>
      <c r="K3803" t="s">
        <v>41</v>
      </c>
      <c r="O3803">
        <v>0</v>
      </c>
      <c r="P3803">
        <v>0</v>
      </c>
      <c r="Q3803">
        <v>0</v>
      </c>
      <c r="R3803">
        <v>0</v>
      </c>
      <c r="W3803" t="s">
        <v>1057</v>
      </c>
      <c r="AA3803">
        <v>2007</v>
      </c>
      <c r="AB3803">
        <v>9999</v>
      </c>
      <c r="AC3803" t="s">
        <v>35</v>
      </c>
    </row>
    <row r="3804" spans="1:29" x14ac:dyDescent="0.25">
      <c r="A3804" s="31" t="s">
        <v>184</v>
      </c>
      <c r="B3804" s="23" t="s">
        <v>185</v>
      </c>
      <c r="C3804" t="s">
        <v>186</v>
      </c>
      <c r="D3804">
        <v>1</v>
      </c>
      <c r="E3804" t="s">
        <v>45</v>
      </c>
      <c r="F3804">
        <v>4</v>
      </c>
      <c r="G3804">
        <v>2012</v>
      </c>
      <c r="I3804" s="8">
        <v>298.8</v>
      </c>
      <c r="J3804" t="s">
        <v>52</v>
      </c>
      <c r="K3804" t="s">
        <v>32</v>
      </c>
      <c r="O3804">
        <v>0</v>
      </c>
      <c r="P3804">
        <v>0</v>
      </c>
      <c r="Q3804">
        <v>0</v>
      </c>
      <c r="R3804">
        <v>0</v>
      </c>
      <c r="W3804" t="s">
        <v>1287</v>
      </c>
      <c r="AA3804">
        <v>2007</v>
      </c>
      <c r="AB3804">
        <v>9999</v>
      </c>
      <c r="AC3804" t="s">
        <v>35</v>
      </c>
    </row>
    <row r="3805" spans="1:29" x14ac:dyDescent="0.25">
      <c r="A3805" s="31" t="s">
        <v>1059</v>
      </c>
      <c r="B3805" s="23" t="s">
        <v>1060</v>
      </c>
      <c r="D3805">
        <v>1</v>
      </c>
      <c r="E3805" t="s">
        <v>874</v>
      </c>
      <c r="F3805">
        <v>1</v>
      </c>
      <c r="G3805">
        <v>2012</v>
      </c>
      <c r="I3805" s="8">
        <v>5.62</v>
      </c>
      <c r="J3805" t="s">
        <v>52</v>
      </c>
      <c r="K3805" t="s">
        <v>47</v>
      </c>
      <c r="O3805">
        <v>0</v>
      </c>
      <c r="P3805">
        <v>0</v>
      </c>
      <c r="Q3805">
        <v>0</v>
      </c>
      <c r="R3805">
        <v>0</v>
      </c>
      <c r="W3805" t="s">
        <v>1392</v>
      </c>
      <c r="AA3805">
        <v>2008</v>
      </c>
      <c r="AB3805">
        <v>9999</v>
      </c>
      <c r="AC3805" t="s">
        <v>1054</v>
      </c>
    </row>
    <row r="3806" spans="1:29" x14ac:dyDescent="0.25">
      <c r="A3806" s="31" t="s">
        <v>192</v>
      </c>
      <c r="B3806" s="25" t="s">
        <v>193</v>
      </c>
      <c r="D3806">
        <v>1</v>
      </c>
      <c r="E3806" t="s">
        <v>51</v>
      </c>
      <c r="F3806">
        <v>1</v>
      </c>
      <c r="G3806">
        <v>2012</v>
      </c>
      <c r="J3806" t="s">
        <v>52</v>
      </c>
      <c r="K3806" t="s">
        <v>53</v>
      </c>
      <c r="L3806" t="s">
        <v>54</v>
      </c>
      <c r="O3806">
        <v>0</v>
      </c>
      <c r="P3806">
        <v>0</v>
      </c>
      <c r="Q3806">
        <v>1</v>
      </c>
      <c r="R3806">
        <v>0</v>
      </c>
      <c r="W3806" t="s">
        <v>55</v>
      </c>
      <c r="AA3806">
        <v>2007</v>
      </c>
      <c r="AB3806">
        <v>9999</v>
      </c>
      <c r="AC3806" t="s">
        <v>35</v>
      </c>
    </row>
    <row r="3807" spans="1:29" x14ac:dyDescent="0.25">
      <c r="A3807" s="31" t="s">
        <v>194</v>
      </c>
      <c r="B3807" s="23" t="s">
        <v>195</v>
      </c>
      <c r="C3807" t="s">
        <v>196</v>
      </c>
      <c r="D3807">
        <v>1</v>
      </c>
      <c r="E3807" t="s">
        <v>197</v>
      </c>
      <c r="F3807">
        <v>2</v>
      </c>
      <c r="G3807">
        <v>2012</v>
      </c>
      <c r="I3807" s="8">
        <v>159.11000000000001</v>
      </c>
      <c r="J3807" t="s">
        <v>176</v>
      </c>
      <c r="K3807" t="s">
        <v>47</v>
      </c>
      <c r="O3807">
        <v>0</v>
      </c>
      <c r="P3807">
        <v>0</v>
      </c>
      <c r="Q3807">
        <v>0</v>
      </c>
      <c r="R3807">
        <v>0</v>
      </c>
      <c r="W3807" t="s">
        <v>1063</v>
      </c>
      <c r="AA3807">
        <v>2007</v>
      </c>
      <c r="AB3807">
        <v>9999</v>
      </c>
      <c r="AC3807" t="s">
        <v>35</v>
      </c>
    </row>
    <row r="3808" spans="1:29" x14ac:dyDescent="0.25">
      <c r="A3808" s="31" t="s">
        <v>203</v>
      </c>
      <c r="B3808" s="25" t="s">
        <v>204</v>
      </c>
      <c r="D3808">
        <v>1</v>
      </c>
      <c r="E3808" t="s">
        <v>201</v>
      </c>
      <c r="F3808">
        <v>1</v>
      </c>
      <c r="G3808">
        <v>2012</v>
      </c>
      <c r="H3808" t="s">
        <v>205</v>
      </c>
      <c r="J3808" t="s">
        <v>52</v>
      </c>
      <c r="K3808" t="s">
        <v>41</v>
      </c>
      <c r="O3808">
        <v>0</v>
      </c>
      <c r="P3808">
        <v>0</v>
      </c>
      <c r="Q3808">
        <v>0</v>
      </c>
      <c r="R3808">
        <v>0</v>
      </c>
      <c r="W3808" t="s">
        <v>1064</v>
      </c>
      <c r="AA3808">
        <v>2007</v>
      </c>
      <c r="AB3808">
        <v>9999</v>
      </c>
      <c r="AC3808" t="s">
        <v>35</v>
      </c>
    </row>
    <row r="3809" spans="1:29" x14ac:dyDescent="0.25">
      <c r="A3809" s="31" t="s">
        <v>207</v>
      </c>
      <c r="B3809" s="23" t="s">
        <v>208</v>
      </c>
      <c r="C3809" t="s">
        <v>209</v>
      </c>
      <c r="D3809">
        <v>1</v>
      </c>
      <c r="E3809" t="s">
        <v>210</v>
      </c>
      <c r="F3809">
        <v>10</v>
      </c>
      <c r="G3809">
        <v>2012</v>
      </c>
      <c r="I3809" s="8">
        <v>22.15</v>
      </c>
      <c r="J3809" t="s">
        <v>40</v>
      </c>
      <c r="K3809" t="s">
        <v>32</v>
      </c>
      <c r="O3809">
        <v>0</v>
      </c>
      <c r="P3809">
        <v>0</v>
      </c>
      <c r="Q3809">
        <v>0</v>
      </c>
      <c r="R3809">
        <v>0</v>
      </c>
      <c r="W3809" t="s">
        <v>1065</v>
      </c>
      <c r="AA3809">
        <v>2007</v>
      </c>
      <c r="AB3809">
        <v>9999</v>
      </c>
      <c r="AC3809" t="s">
        <v>35</v>
      </c>
    </row>
    <row r="3810" spans="1:29" ht="30" x14ac:dyDescent="0.25">
      <c r="A3810" s="31" t="s">
        <v>212</v>
      </c>
      <c r="B3810" s="23" t="s">
        <v>213</v>
      </c>
      <c r="C3810" t="s">
        <v>214</v>
      </c>
      <c r="D3810">
        <v>1</v>
      </c>
      <c r="E3810" s="4">
        <v>550</v>
      </c>
      <c r="F3810">
        <v>5</v>
      </c>
      <c r="G3810">
        <v>2012</v>
      </c>
      <c r="I3810" s="8">
        <v>39</v>
      </c>
      <c r="J3810" s="2" t="s">
        <v>31</v>
      </c>
      <c r="K3810" t="s">
        <v>47</v>
      </c>
      <c r="O3810">
        <v>0</v>
      </c>
      <c r="P3810">
        <v>0</v>
      </c>
      <c r="Q3810">
        <v>0</v>
      </c>
      <c r="R3810">
        <v>0</v>
      </c>
      <c r="W3810" t="s">
        <v>1288</v>
      </c>
      <c r="AA3810">
        <v>2007</v>
      </c>
      <c r="AB3810">
        <v>9999</v>
      </c>
      <c r="AC3810" t="s">
        <v>35</v>
      </c>
    </row>
    <row r="3811" spans="1:29" x14ac:dyDescent="0.25">
      <c r="A3811" s="31" t="s">
        <v>216</v>
      </c>
      <c r="B3811" s="23" t="s">
        <v>217</v>
      </c>
      <c r="D3811">
        <v>1</v>
      </c>
      <c r="E3811" t="s">
        <v>218</v>
      </c>
      <c r="F3811">
        <v>2</v>
      </c>
      <c r="G3811">
        <v>2012</v>
      </c>
      <c r="I3811" s="8">
        <v>638.52</v>
      </c>
      <c r="J3811" t="s">
        <v>40</v>
      </c>
      <c r="K3811" t="s">
        <v>32</v>
      </c>
      <c r="O3811">
        <v>0</v>
      </c>
      <c r="P3811">
        <v>0</v>
      </c>
      <c r="Q3811">
        <v>0</v>
      </c>
      <c r="R3811">
        <v>0</v>
      </c>
      <c r="W3811" t="s">
        <v>1067</v>
      </c>
      <c r="AA3811">
        <v>2007</v>
      </c>
      <c r="AB3811">
        <v>9999</v>
      </c>
      <c r="AC3811" t="s">
        <v>35</v>
      </c>
    </row>
    <row r="3812" spans="1:29" x14ac:dyDescent="0.25">
      <c r="A3812" s="31" t="s">
        <v>220</v>
      </c>
      <c r="B3812" s="23" t="s">
        <v>221</v>
      </c>
      <c r="D3812">
        <v>1</v>
      </c>
      <c r="E3812" t="s">
        <v>222</v>
      </c>
      <c r="F3812">
        <v>8</v>
      </c>
      <c r="G3812">
        <v>2012</v>
      </c>
      <c r="I3812" s="8">
        <v>29.53</v>
      </c>
      <c r="J3812" t="s">
        <v>81</v>
      </c>
      <c r="K3812" t="s">
        <v>47</v>
      </c>
      <c r="O3812">
        <v>0</v>
      </c>
      <c r="P3812">
        <v>0</v>
      </c>
      <c r="Q3812">
        <v>0</v>
      </c>
      <c r="R3812">
        <v>0</v>
      </c>
      <c r="W3812" t="s">
        <v>1068</v>
      </c>
      <c r="AA3812">
        <v>2007</v>
      </c>
      <c r="AB3812">
        <v>9999</v>
      </c>
      <c r="AC3812" t="s">
        <v>35</v>
      </c>
    </row>
    <row r="3813" spans="1:29" x14ac:dyDescent="0.25">
      <c r="A3813" s="31" t="s">
        <v>224</v>
      </c>
      <c r="B3813" s="25" t="s">
        <v>225</v>
      </c>
      <c r="D3813">
        <v>1</v>
      </c>
      <c r="E3813" t="s">
        <v>51</v>
      </c>
      <c r="F3813">
        <v>1</v>
      </c>
      <c r="G3813">
        <v>2012</v>
      </c>
      <c r="J3813" t="s">
        <v>52</v>
      </c>
      <c r="K3813" t="s">
        <v>53</v>
      </c>
      <c r="L3813" t="s">
        <v>54</v>
      </c>
      <c r="O3813">
        <v>0</v>
      </c>
      <c r="P3813">
        <v>0</v>
      </c>
      <c r="Q3813">
        <v>1</v>
      </c>
      <c r="R3813">
        <v>0</v>
      </c>
      <c r="W3813" t="s">
        <v>55</v>
      </c>
      <c r="AA3813">
        <v>2007</v>
      </c>
      <c r="AB3813">
        <v>9999</v>
      </c>
      <c r="AC3813" t="s">
        <v>35</v>
      </c>
    </row>
    <row r="3814" spans="1:29" x14ac:dyDescent="0.25">
      <c r="A3814" s="31" t="s">
        <v>226</v>
      </c>
      <c r="B3814" s="23" t="s">
        <v>227</v>
      </c>
      <c r="C3814" t="s">
        <v>228</v>
      </c>
      <c r="D3814">
        <v>1</v>
      </c>
      <c r="E3814" t="s">
        <v>218</v>
      </c>
      <c r="F3814">
        <v>2</v>
      </c>
      <c r="G3814">
        <v>2012</v>
      </c>
      <c r="I3814" s="8">
        <v>1494.6</v>
      </c>
      <c r="J3814" t="s">
        <v>147</v>
      </c>
      <c r="K3814" t="s">
        <v>32</v>
      </c>
      <c r="O3814">
        <v>0</v>
      </c>
      <c r="P3814">
        <v>0</v>
      </c>
      <c r="Q3814">
        <v>0</v>
      </c>
      <c r="R3814">
        <v>0</v>
      </c>
      <c r="W3814" t="s">
        <v>1069</v>
      </c>
      <c r="AA3814">
        <v>2007</v>
      </c>
      <c r="AB3814">
        <v>9999</v>
      </c>
      <c r="AC3814" t="s">
        <v>35</v>
      </c>
    </row>
    <row r="3815" spans="1:29" x14ac:dyDescent="0.25">
      <c r="A3815" s="31" t="s">
        <v>230</v>
      </c>
      <c r="B3815" s="25" t="s">
        <v>231</v>
      </c>
      <c r="C3815" t="s">
        <v>232</v>
      </c>
      <c r="D3815">
        <v>1</v>
      </c>
      <c r="E3815" t="s">
        <v>145</v>
      </c>
      <c r="F3815">
        <v>2</v>
      </c>
      <c r="G3815">
        <v>2012</v>
      </c>
      <c r="J3815" t="s">
        <v>147</v>
      </c>
      <c r="K3815" t="s">
        <v>47</v>
      </c>
      <c r="O3815">
        <v>0</v>
      </c>
      <c r="P3815">
        <v>0</v>
      </c>
      <c r="Q3815">
        <v>0</v>
      </c>
      <c r="R3815">
        <v>0</v>
      </c>
      <c r="W3815" t="s">
        <v>1070</v>
      </c>
      <c r="AA3815">
        <v>2007</v>
      </c>
      <c r="AB3815">
        <v>9999</v>
      </c>
      <c r="AC3815" t="s">
        <v>35</v>
      </c>
    </row>
    <row r="3816" spans="1:29" x14ac:dyDescent="0.25">
      <c r="A3816" s="31" t="s">
        <v>1352</v>
      </c>
      <c r="B3816" s="23" t="s">
        <v>1353</v>
      </c>
      <c r="D3816">
        <v>1</v>
      </c>
      <c r="E3816" t="s">
        <v>218</v>
      </c>
      <c r="F3816">
        <v>2</v>
      </c>
      <c r="G3816">
        <v>2012</v>
      </c>
      <c r="I3816" s="8">
        <v>39.450000000000003</v>
      </c>
      <c r="J3816" t="s">
        <v>147</v>
      </c>
      <c r="K3816" t="s">
        <v>47</v>
      </c>
      <c r="O3816">
        <v>0</v>
      </c>
      <c r="P3816">
        <v>0</v>
      </c>
      <c r="Q3816">
        <v>0</v>
      </c>
      <c r="R3816">
        <v>0</v>
      </c>
      <c r="W3816" t="s">
        <v>1354</v>
      </c>
      <c r="AA3816">
        <v>2011</v>
      </c>
      <c r="AB3816">
        <v>2015</v>
      </c>
      <c r="AC3816" t="s">
        <v>1355</v>
      </c>
    </row>
    <row r="3817" spans="1:29" x14ac:dyDescent="0.25">
      <c r="A3817" s="31" t="s">
        <v>237</v>
      </c>
      <c r="B3817" s="23" t="s">
        <v>238</v>
      </c>
      <c r="D3817">
        <v>1</v>
      </c>
      <c r="E3817" t="s">
        <v>218</v>
      </c>
      <c r="F3817">
        <v>2</v>
      </c>
      <c r="G3817">
        <v>2012</v>
      </c>
      <c r="I3817" s="8">
        <v>321.14999999999998</v>
      </c>
      <c r="J3817" t="s">
        <v>104</v>
      </c>
      <c r="K3817" t="s">
        <v>53</v>
      </c>
      <c r="L3817" t="s">
        <v>105</v>
      </c>
      <c r="O3817">
        <v>0</v>
      </c>
      <c r="P3817">
        <v>0</v>
      </c>
      <c r="Q3817">
        <v>0</v>
      </c>
      <c r="R3817">
        <v>0</v>
      </c>
      <c r="W3817" t="s">
        <v>1072</v>
      </c>
      <c r="AA3817">
        <v>2007</v>
      </c>
      <c r="AB3817">
        <v>9999</v>
      </c>
      <c r="AC3817" t="s">
        <v>35</v>
      </c>
    </row>
    <row r="3818" spans="1:29" x14ac:dyDescent="0.25">
      <c r="A3818" s="31" t="s">
        <v>240</v>
      </c>
      <c r="B3818" s="23" t="s">
        <v>241</v>
      </c>
      <c r="D3818">
        <v>1</v>
      </c>
      <c r="E3818" t="s">
        <v>218</v>
      </c>
      <c r="F3818">
        <v>2</v>
      </c>
      <c r="G3818">
        <v>2012</v>
      </c>
      <c r="I3818" s="8">
        <v>18046.509999999998</v>
      </c>
      <c r="J3818" t="s">
        <v>147</v>
      </c>
      <c r="K3818" t="s">
        <v>47</v>
      </c>
      <c r="O3818">
        <v>0</v>
      </c>
      <c r="P3818">
        <v>0</v>
      </c>
      <c r="Q3818">
        <v>0</v>
      </c>
      <c r="R3818">
        <v>0</v>
      </c>
      <c r="W3818" t="s">
        <v>1073</v>
      </c>
      <c r="AA3818">
        <v>2007</v>
      </c>
      <c r="AB3818">
        <v>9999</v>
      </c>
      <c r="AC3818" t="s">
        <v>35</v>
      </c>
    </row>
    <row r="3819" spans="1:29" x14ac:dyDescent="0.25">
      <c r="A3819" s="31" t="s">
        <v>1289</v>
      </c>
      <c r="B3819" s="23" t="s">
        <v>1290</v>
      </c>
      <c r="D3819">
        <v>1</v>
      </c>
      <c r="E3819" t="s">
        <v>218</v>
      </c>
      <c r="F3819">
        <v>2</v>
      </c>
      <c r="G3819">
        <v>2012</v>
      </c>
      <c r="I3819" s="8">
        <v>4.1100000000000003</v>
      </c>
      <c r="J3819" t="s">
        <v>147</v>
      </c>
      <c r="K3819" t="s">
        <v>53</v>
      </c>
      <c r="L3819" t="s">
        <v>60</v>
      </c>
      <c r="O3819">
        <v>1</v>
      </c>
      <c r="P3819">
        <v>0</v>
      </c>
      <c r="Q3819">
        <v>0</v>
      </c>
      <c r="R3819">
        <v>0</v>
      </c>
      <c r="W3819" t="s">
        <v>1291</v>
      </c>
      <c r="AA3819">
        <v>2010</v>
      </c>
      <c r="AB3819">
        <v>9999</v>
      </c>
      <c r="AC3819" t="s">
        <v>1292</v>
      </c>
    </row>
    <row r="3820" spans="1:29" x14ac:dyDescent="0.25">
      <c r="A3820" s="31" t="s">
        <v>243</v>
      </c>
      <c r="B3820" s="23" t="s">
        <v>244</v>
      </c>
      <c r="D3820">
        <v>1</v>
      </c>
      <c r="E3820" t="s">
        <v>210</v>
      </c>
      <c r="F3820">
        <v>10</v>
      </c>
      <c r="G3820">
        <v>2012</v>
      </c>
      <c r="I3820" s="8">
        <v>11657.84</v>
      </c>
      <c r="J3820" t="s">
        <v>40</v>
      </c>
      <c r="K3820" t="s">
        <v>32</v>
      </c>
      <c r="O3820">
        <v>0</v>
      </c>
      <c r="P3820">
        <v>0</v>
      </c>
      <c r="Q3820">
        <v>0</v>
      </c>
      <c r="R3820">
        <v>0</v>
      </c>
      <c r="W3820" t="s">
        <v>1293</v>
      </c>
      <c r="AA3820">
        <v>2007</v>
      </c>
      <c r="AB3820">
        <v>9999</v>
      </c>
      <c r="AC3820" t="s">
        <v>35</v>
      </c>
    </row>
    <row r="3821" spans="1:29" x14ac:dyDescent="0.25">
      <c r="A3821" s="31" t="s">
        <v>153</v>
      </c>
      <c r="B3821" s="25" t="s">
        <v>1356</v>
      </c>
      <c r="D3821">
        <v>12</v>
      </c>
      <c r="E3821" t="s">
        <v>155</v>
      </c>
      <c r="F3821">
        <v>3</v>
      </c>
      <c r="G3821">
        <v>2012</v>
      </c>
      <c r="I3821">
        <v>1308.5345806</v>
      </c>
      <c r="J3821" t="s">
        <v>121</v>
      </c>
      <c r="K3821" t="s">
        <v>53</v>
      </c>
      <c r="L3821" t="s">
        <v>60</v>
      </c>
      <c r="O3821">
        <v>1</v>
      </c>
      <c r="P3821">
        <v>0</v>
      </c>
      <c r="Q3821">
        <v>0</v>
      </c>
      <c r="R3821">
        <v>0</v>
      </c>
      <c r="V3821">
        <v>1</v>
      </c>
      <c r="W3821" t="s">
        <v>477</v>
      </c>
      <c r="AA3821">
        <v>2007</v>
      </c>
      <c r="AB3821">
        <v>9999</v>
      </c>
      <c r="AC3821" t="s">
        <v>35</v>
      </c>
    </row>
    <row r="3822" spans="1:29" x14ac:dyDescent="0.25">
      <c r="A3822" s="31" t="s">
        <v>246</v>
      </c>
      <c r="B3822" s="23" t="s">
        <v>247</v>
      </c>
      <c r="D3822">
        <v>1</v>
      </c>
      <c r="E3822" t="s">
        <v>120</v>
      </c>
      <c r="F3822">
        <v>3</v>
      </c>
      <c r="G3822">
        <v>2012</v>
      </c>
      <c r="H3822" t="s">
        <v>129</v>
      </c>
      <c r="I3822" s="8">
        <v>2.4</v>
      </c>
      <c r="J3822" t="s">
        <v>121</v>
      </c>
      <c r="K3822" t="s">
        <v>41</v>
      </c>
      <c r="O3822">
        <v>0</v>
      </c>
      <c r="P3822">
        <v>0</v>
      </c>
      <c r="Q3822">
        <v>0</v>
      </c>
      <c r="R3822">
        <v>0</v>
      </c>
      <c r="W3822" t="s">
        <v>1075</v>
      </c>
      <c r="AA3822">
        <v>2007</v>
      </c>
      <c r="AB3822">
        <v>9999</v>
      </c>
      <c r="AC3822" t="s">
        <v>35</v>
      </c>
    </row>
    <row r="3823" spans="1:29" x14ac:dyDescent="0.25">
      <c r="A3823" s="31" t="s">
        <v>252</v>
      </c>
      <c r="B3823" s="25" t="s">
        <v>253</v>
      </c>
      <c r="D3823">
        <v>1</v>
      </c>
      <c r="E3823" t="s">
        <v>145</v>
      </c>
      <c r="F3823">
        <v>2</v>
      </c>
      <c r="G3823">
        <v>2012</v>
      </c>
      <c r="H3823" t="s">
        <v>254</v>
      </c>
      <c r="J3823" s="2" t="s">
        <v>147</v>
      </c>
      <c r="K3823" t="s">
        <v>41</v>
      </c>
      <c r="O3823">
        <v>0</v>
      </c>
      <c r="P3823">
        <v>0</v>
      </c>
      <c r="Q3823">
        <v>0</v>
      </c>
      <c r="R3823">
        <v>0</v>
      </c>
      <c r="W3823" t="s">
        <v>1077</v>
      </c>
      <c r="AA3823">
        <v>2007</v>
      </c>
      <c r="AB3823">
        <v>9999</v>
      </c>
      <c r="AC3823" t="s">
        <v>35</v>
      </c>
    </row>
    <row r="3824" spans="1:29" x14ac:dyDescent="0.25">
      <c r="A3824" s="31" t="s">
        <v>259</v>
      </c>
      <c r="B3824" s="23" t="s">
        <v>260</v>
      </c>
      <c r="C3824" t="s">
        <v>261</v>
      </c>
      <c r="D3824">
        <v>1</v>
      </c>
      <c r="E3824" t="s">
        <v>103</v>
      </c>
      <c r="F3824">
        <v>9</v>
      </c>
      <c r="G3824">
        <v>2012</v>
      </c>
      <c r="I3824" s="8">
        <v>4922.93</v>
      </c>
      <c r="J3824" t="s">
        <v>104</v>
      </c>
      <c r="K3824" t="s">
        <v>53</v>
      </c>
      <c r="L3824" t="s">
        <v>105</v>
      </c>
      <c r="O3824">
        <v>0</v>
      </c>
      <c r="P3824">
        <v>1</v>
      </c>
      <c r="Q3824">
        <v>0</v>
      </c>
      <c r="R3824">
        <v>0</v>
      </c>
      <c r="W3824" t="s">
        <v>106</v>
      </c>
      <c r="AA3824">
        <v>2007</v>
      </c>
      <c r="AB3824">
        <v>9999</v>
      </c>
      <c r="AC3824" t="s">
        <v>35</v>
      </c>
    </row>
    <row r="3825" spans="1:29" x14ac:dyDescent="0.25">
      <c r="A3825" s="31" t="s">
        <v>266</v>
      </c>
      <c r="B3825" s="25" t="s">
        <v>267</v>
      </c>
      <c r="D3825">
        <v>1</v>
      </c>
      <c r="E3825" t="s">
        <v>85</v>
      </c>
      <c r="F3825">
        <v>4</v>
      </c>
      <c r="G3825">
        <v>2012</v>
      </c>
      <c r="J3825" t="s">
        <v>268</v>
      </c>
      <c r="K3825" t="s">
        <v>41</v>
      </c>
      <c r="O3825">
        <v>0</v>
      </c>
      <c r="P3825">
        <v>0</v>
      </c>
      <c r="Q3825">
        <v>0</v>
      </c>
      <c r="R3825">
        <v>0</v>
      </c>
      <c r="W3825" t="s">
        <v>1079</v>
      </c>
      <c r="AA3825">
        <v>2007</v>
      </c>
      <c r="AB3825">
        <v>9999</v>
      </c>
      <c r="AC3825" t="s">
        <v>35</v>
      </c>
    </row>
    <row r="3826" spans="1:29" x14ac:dyDescent="0.25">
      <c r="A3826" s="31" t="s">
        <v>1393</v>
      </c>
      <c r="B3826" s="25" t="s">
        <v>1394</v>
      </c>
      <c r="C3826" t="s">
        <v>1395</v>
      </c>
      <c r="D3826">
        <v>1</v>
      </c>
      <c r="E3826" s="5" t="s">
        <v>1396</v>
      </c>
      <c r="F3826">
        <v>5</v>
      </c>
      <c r="G3826">
        <v>2012</v>
      </c>
      <c r="I3826" s="8">
        <v>224.3</v>
      </c>
      <c r="J3826" t="s">
        <v>31</v>
      </c>
      <c r="K3826" t="s">
        <v>47</v>
      </c>
      <c r="O3826">
        <v>0</v>
      </c>
      <c r="P3826">
        <v>0</v>
      </c>
      <c r="Q3826">
        <v>0</v>
      </c>
      <c r="R3826">
        <v>0</v>
      </c>
      <c r="W3826" t="s">
        <v>1397</v>
      </c>
      <c r="AA3826">
        <v>2012</v>
      </c>
      <c r="AB3826">
        <v>9999</v>
      </c>
      <c r="AC3826" t="s">
        <v>1398</v>
      </c>
    </row>
    <row r="3827" spans="1:29" x14ac:dyDescent="0.25">
      <c r="A3827" s="31" t="s">
        <v>153</v>
      </c>
      <c r="B3827" s="23" t="s">
        <v>270</v>
      </c>
      <c r="D3827">
        <v>6</v>
      </c>
      <c r="E3827" t="s">
        <v>155</v>
      </c>
      <c r="F3827">
        <v>3</v>
      </c>
      <c r="G3827">
        <v>2012</v>
      </c>
      <c r="I3827">
        <v>635.14343789999998</v>
      </c>
      <c r="J3827" t="s">
        <v>121</v>
      </c>
      <c r="K3827" t="s">
        <v>53</v>
      </c>
      <c r="L3827" t="s">
        <v>60</v>
      </c>
      <c r="O3827">
        <v>1</v>
      </c>
      <c r="P3827">
        <v>0</v>
      </c>
      <c r="Q3827">
        <v>0</v>
      </c>
      <c r="R3827">
        <v>0</v>
      </c>
      <c r="V3827">
        <v>1</v>
      </c>
      <c r="W3827" t="s">
        <v>271</v>
      </c>
      <c r="AA3827">
        <v>2007</v>
      </c>
      <c r="AB3827">
        <v>9999</v>
      </c>
      <c r="AC3827" t="s">
        <v>35</v>
      </c>
    </row>
    <row r="3828" spans="1:29" x14ac:dyDescent="0.25">
      <c r="A3828" s="31" t="s">
        <v>153</v>
      </c>
      <c r="B3828" s="27" t="s">
        <v>272</v>
      </c>
      <c r="D3828">
        <v>8</v>
      </c>
      <c r="E3828" t="s">
        <v>155</v>
      </c>
      <c r="F3828">
        <v>3</v>
      </c>
      <c r="G3828">
        <v>2012</v>
      </c>
      <c r="I3828">
        <v>77.952200000000005</v>
      </c>
      <c r="J3828" s="2" t="s">
        <v>121</v>
      </c>
      <c r="K3828" t="s">
        <v>53</v>
      </c>
      <c r="L3828" t="s">
        <v>60</v>
      </c>
      <c r="O3828">
        <v>1</v>
      </c>
      <c r="P3828">
        <v>0</v>
      </c>
      <c r="Q3828">
        <v>0</v>
      </c>
      <c r="R3828">
        <v>0</v>
      </c>
      <c r="V3828">
        <v>1</v>
      </c>
      <c r="W3828" t="s">
        <v>273</v>
      </c>
      <c r="AA3828">
        <v>2007</v>
      </c>
      <c r="AB3828">
        <v>9999</v>
      </c>
      <c r="AC3828" t="s">
        <v>35</v>
      </c>
    </row>
    <row r="3829" spans="1:29" x14ac:dyDescent="0.25">
      <c r="A3829" s="31" t="s">
        <v>274</v>
      </c>
      <c r="B3829" s="25" t="s">
        <v>275</v>
      </c>
      <c r="C3829" t="s">
        <v>276</v>
      </c>
      <c r="D3829">
        <v>1</v>
      </c>
      <c r="E3829" t="s">
        <v>51</v>
      </c>
      <c r="F3829">
        <v>10</v>
      </c>
      <c r="G3829">
        <v>2012</v>
      </c>
      <c r="J3829" s="2" t="s">
        <v>40</v>
      </c>
      <c r="K3829" t="s">
        <v>41</v>
      </c>
      <c r="O3829">
        <v>0</v>
      </c>
      <c r="P3829">
        <v>0</v>
      </c>
      <c r="Q3829">
        <v>0</v>
      </c>
      <c r="R3829">
        <v>0</v>
      </c>
      <c r="W3829" t="s">
        <v>1399</v>
      </c>
      <c r="AA3829">
        <v>2007</v>
      </c>
      <c r="AB3829">
        <v>9999</v>
      </c>
      <c r="AC3829" t="s">
        <v>35</v>
      </c>
    </row>
    <row r="3830" spans="1:29" x14ac:dyDescent="0.25">
      <c r="A3830" s="31" t="s">
        <v>278</v>
      </c>
      <c r="B3830" s="23" t="s">
        <v>279</v>
      </c>
      <c r="D3830">
        <v>1</v>
      </c>
      <c r="E3830" t="s">
        <v>103</v>
      </c>
      <c r="F3830">
        <v>9</v>
      </c>
      <c r="G3830">
        <v>2012</v>
      </c>
      <c r="I3830" s="8">
        <v>645.85</v>
      </c>
      <c r="J3830" t="s">
        <v>104</v>
      </c>
      <c r="K3830" t="s">
        <v>53</v>
      </c>
      <c r="L3830" t="s">
        <v>105</v>
      </c>
      <c r="O3830">
        <v>0</v>
      </c>
      <c r="P3830">
        <v>1</v>
      </c>
      <c r="Q3830">
        <v>0</v>
      </c>
      <c r="R3830">
        <v>0</v>
      </c>
      <c r="W3830" t="s">
        <v>106</v>
      </c>
      <c r="AA3830">
        <v>2007</v>
      </c>
      <c r="AB3830">
        <v>9999</v>
      </c>
      <c r="AC3830" t="s">
        <v>35</v>
      </c>
    </row>
    <row r="3831" spans="1:29" x14ac:dyDescent="0.25">
      <c r="A3831" s="31" t="s">
        <v>280</v>
      </c>
      <c r="B3831" s="23" t="s">
        <v>281</v>
      </c>
      <c r="D3831">
        <v>1</v>
      </c>
      <c r="E3831" t="s">
        <v>103</v>
      </c>
      <c r="F3831">
        <v>9</v>
      </c>
      <c r="G3831">
        <v>2012</v>
      </c>
      <c r="I3831" s="8">
        <v>655.11</v>
      </c>
      <c r="J3831" t="s">
        <v>104</v>
      </c>
      <c r="K3831" t="s">
        <v>53</v>
      </c>
      <c r="L3831" t="s">
        <v>105</v>
      </c>
      <c r="O3831">
        <v>0</v>
      </c>
      <c r="P3831">
        <v>1</v>
      </c>
      <c r="Q3831">
        <v>0</v>
      </c>
      <c r="R3831">
        <v>0</v>
      </c>
      <c r="W3831" t="s">
        <v>106</v>
      </c>
      <c r="AA3831">
        <v>2007</v>
      </c>
      <c r="AB3831">
        <v>9999</v>
      </c>
      <c r="AC3831" t="s">
        <v>35</v>
      </c>
    </row>
    <row r="3832" spans="1:29" x14ac:dyDescent="0.25">
      <c r="A3832" s="31" t="s">
        <v>282</v>
      </c>
      <c r="B3832" s="23" t="s">
        <v>283</v>
      </c>
      <c r="D3832">
        <v>1</v>
      </c>
      <c r="E3832" t="s">
        <v>103</v>
      </c>
      <c r="F3832">
        <v>9</v>
      </c>
      <c r="G3832">
        <v>2012</v>
      </c>
      <c r="I3832" s="8">
        <v>571.80999999999995</v>
      </c>
      <c r="J3832" t="s">
        <v>104</v>
      </c>
      <c r="K3832" t="s">
        <v>53</v>
      </c>
      <c r="L3832" t="s">
        <v>105</v>
      </c>
      <c r="O3832">
        <v>0</v>
      </c>
      <c r="P3832">
        <v>1</v>
      </c>
      <c r="Q3832">
        <v>0</v>
      </c>
      <c r="R3832">
        <v>0</v>
      </c>
      <c r="W3832" t="s">
        <v>106</v>
      </c>
      <c r="AA3832">
        <v>2007</v>
      </c>
      <c r="AB3832">
        <v>9999</v>
      </c>
      <c r="AC3832" t="s">
        <v>35</v>
      </c>
    </row>
    <row r="3833" spans="1:29" x14ac:dyDescent="0.25">
      <c r="A3833" s="31" t="s">
        <v>284</v>
      </c>
      <c r="B3833" s="23" t="s">
        <v>285</v>
      </c>
      <c r="D3833">
        <v>1</v>
      </c>
      <c r="E3833" t="s">
        <v>103</v>
      </c>
      <c r="F3833">
        <v>9</v>
      </c>
      <c r="G3833">
        <v>2012</v>
      </c>
      <c r="I3833" s="8">
        <v>498.26</v>
      </c>
      <c r="J3833" t="s">
        <v>104</v>
      </c>
      <c r="K3833" t="s">
        <v>53</v>
      </c>
      <c r="L3833" t="s">
        <v>105</v>
      </c>
      <c r="O3833">
        <v>0</v>
      </c>
      <c r="P3833">
        <v>1</v>
      </c>
      <c r="Q3833">
        <v>0</v>
      </c>
      <c r="R3833">
        <v>0</v>
      </c>
      <c r="W3833" t="s">
        <v>106</v>
      </c>
      <c r="AA3833">
        <v>2007</v>
      </c>
      <c r="AB3833">
        <v>9999</v>
      </c>
      <c r="AC3833" t="s">
        <v>35</v>
      </c>
    </row>
    <row r="3834" spans="1:29" x14ac:dyDescent="0.25">
      <c r="A3834" s="31" t="s">
        <v>288</v>
      </c>
      <c r="B3834" s="23" t="s">
        <v>289</v>
      </c>
      <c r="D3834">
        <v>1</v>
      </c>
      <c r="E3834" t="s">
        <v>103</v>
      </c>
      <c r="F3834">
        <v>9</v>
      </c>
      <c r="G3834">
        <v>2012</v>
      </c>
      <c r="I3834" s="8">
        <v>416.63</v>
      </c>
      <c r="J3834" t="s">
        <v>104</v>
      </c>
      <c r="K3834" t="s">
        <v>53</v>
      </c>
      <c r="L3834" t="s">
        <v>105</v>
      </c>
      <c r="O3834">
        <v>0</v>
      </c>
      <c r="P3834">
        <v>1</v>
      </c>
      <c r="Q3834">
        <v>0</v>
      </c>
      <c r="R3834">
        <v>0</v>
      </c>
      <c r="W3834" t="s">
        <v>106</v>
      </c>
      <c r="AA3834">
        <v>2007</v>
      </c>
      <c r="AB3834">
        <v>9999</v>
      </c>
      <c r="AC3834" t="s">
        <v>35</v>
      </c>
    </row>
    <row r="3835" spans="1:29" x14ac:dyDescent="0.25">
      <c r="A3835" s="31" t="s">
        <v>288</v>
      </c>
      <c r="B3835" s="23" t="s">
        <v>290</v>
      </c>
      <c r="D3835">
        <v>1</v>
      </c>
      <c r="E3835" t="s">
        <v>103</v>
      </c>
      <c r="F3835">
        <v>9</v>
      </c>
      <c r="G3835">
        <v>2012</v>
      </c>
      <c r="I3835" s="8">
        <v>461.58</v>
      </c>
      <c r="J3835" t="s">
        <v>104</v>
      </c>
      <c r="K3835" t="s">
        <v>53</v>
      </c>
      <c r="L3835" t="s">
        <v>105</v>
      </c>
      <c r="O3835">
        <v>0</v>
      </c>
      <c r="P3835">
        <v>1</v>
      </c>
      <c r="Q3835">
        <v>0</v>
      </c>
      <c r="R3835">
        <v>0</v>
      </c>
      <c r="W3835" t="s">
        <v>106</v>
      </c>
      <c r="AA3835">
        <v>2007</v>
      </c>
      <c r="AB3835">
        <v>9999</v>
      </c>
      <c r="AC3835" t="s">
        <v>35</v>
      </c>
    </row>
    <row r="3836" spans="1:29" x14ac:dyDescent="0.25">
      <c r="A3836" s="31" t="s">
        <v>291</v>
      </c>
      <c r="B3836" s="23" t="s">
        <v>292</v>
      </c>
      <c r="D3836">
        <v>1</v>
      </c>
      <c r="E3836" t="s">
        <v>103</v>
      </c>
      <c r="F3836">
        <v>9</v>
      </c>
      <c r="G3836">
        <v>2012</v>
      </c>
      <c r="I3836" s="8">
        <v>177.43</v>
      </c>
      <c r="J3836" t="s">
        <v>104</v>
      </c>
      <c r="K3836" t="s">
        <v>53</v>
      </c>
      <c r="L3836" t="s">
        <v>105</v>
      </c>
      <c r="O3836">
        <v>0</v>
      </c>
      <c r="P3836">
        <v>1</v>
      </c>
      <c r="Q3836">
        <v>0</v>
      </c>
      <c r="R3836">
        <v>0</v>
      </c>
      <c r="W3836" t="s">
        <v>106</v>
      </c>
      <c r="AA3836">
        <v>2007</v>
      </c>
      <c r="AB3836">
        <v>2013</v>
      </c>
      <c r="AC3836" t="s">
        <v>139</v>
      </c>
    </row>
    <row r="3837" spans="1:29" x14ac:dyDescent="0.25">
      <c r="A3837" s="31" t="s">
        <v>293</v>
      </c>
      <c r="B3837" s="23" t="s">
        <v>294</v>
      </c>
      <c r="D3837">
        <v>1</v>
      </c>
      <c r="E3837" t="s">
        <v>103</v>
      </c>
      <c r="F3837">
        <v>9</v>
      </c>
      <c r="G3837">
        <v>2012</v>
      </c>
      <c r="I3837" s="8">
        <v>491.2</v>
      </c>
      <c r="J3837" t="s">
        <v>104</v>
      </c>
      <c r="K3837" t="s">
        <v>53</v>
      </c>
      <c r="L3837" t="s">
        <v>105</v>
      </c>
      <c r="O3837">
        <v>0</v>
      </c>
      <c r="P3837">
        <v>1</v>
      </c>
      <c r="Q3837">
        <v>0</v>
      </c>
      <c r="R3837">
        <v>0</v>
      </c>
      <c r="W3837" t="s">
        <v>106</v>
      </c>
      <c r="AA3837">
        <v>2007</v>
      </c>
      <c r="AB3837">
        <v>9999</v>
      </c>
      <c r="AC3837" t="s">
        <v>35</v>
      </c>
    </row>
    <row r="3838" spans="1:29" x14ac:dyDescent="0.25">
      <c r="A3838" s="31" t="s">
        <v>295</v>
      </c>
      <c r="B3838" s="25" t="s">
        <v>296</v>
      </c>
      <c r="D3838">
        <v>1</v>
      </c>
      <c r="E3838" t="s">
        <v>128</v>
      </c>
      <c r="F3838">
        <v>9</v>
      </c>
      <c r="G3838">
        <v>2012</v>
      </c>
      <c r="H3838" t="s">
        <v>297</v>
      </c>
      <c r="J3838" t="s">
        <v>104</v>
      </c>
      <c r="K3838" t="s">
        <v>41</v>
      </c>
      <c r="O3838">
        <v>0</v>
      </c>
      <c r="P3838">
        <v>0</v>
      </c>
      <c r="Q3838">
        <v>0</v>
      </c>
      <c r="R3838">
        <v>0</v>
      </c>
      <c r="W3838" t="s">
        <v>1081</v>
      </c>
      <c r="AA3838">
        <v>2007</v>
      </c>
      <c r="AB3838">
        <v>9999</v>
      </c>
      <c r="AC3838" t="s">
        <v>35</v>
      </c>
    </row>
    <row r="3839" spans="1:29" x14ac:dyDescent="0.25">
      <c r="A3839" s="31" t="s">
        <v>299</v>
      </c>
      <c r="B3839" s="23" t="s">
        <v>297</v>
      </c>
      <c r="D3839">
        <v>1</v>
      </c>
      <c r="E3839" t="s">
        <v>300</v>
      </c>
      <c r="F3839">
        <v>9</v>
      </c>
      <c r="G3839">
        <v>2012</v>
      </c>
      <c r="I3839" s="8">
        <v>138.47</v>
      </c>
      <c r="J3839" t="s">
        <v>104</v>
      </c>
      <c r="K3839" t="s">
        <v>32</v>
      </c>
      <c r="O3839">
        <v>0</v>
      </c>
      <c r="P3839">
        <v>0</v>
      </c>
      <c r="Q3839">
        <v>0</v>
      </c>
      <c r="R3839">
        <v>0</v>
      </c>
      <c r="W3839" t="s">
        <v>1082</v>
      </c>
      <c r="AA3839">
        <v>2007</v>
      </c>
      <c r="AB3839">
        <v>2012</v>
      </c>
      <c r="AC3839" t="s">
        <v>302</v>
      </c>
    </row>
    <row r="3840" spans="1:29" x14ac:dyDescent="0.25">
      <c r="A3840" s="31" t="s">
        <v>153</v>
      </c>
      <c r="B3840" s="25" t="s">
        <v>303</v>
      </c>
      <c r="D3840">
        <v>1</v>
      </c>
      <c r="E3840" t="s">
        <v>155</v>
      </c>
      <c r="F3840">
        <v>3</v>
      </c>
      <c r="G3840">
        <v>2012</v>
      </c>
      <c r="I3840">
        <v>86.845500000000001</v>
      </c>
      <c r="J3840" t="s">
        <v>121</v>
      </c>
      <c r="K3840" t="s">
        <v>53</v>
      </c>
      <c r="L3840" t="s">
        <v>60</v>
      </c>
      <c r="O3840">
        <v>1</v>
      </c>
      <c r="P3840">
        <v>0</v>
      </c>
      <c r="Q3840">
        <v>0</v>
      </c>
      <c r="R3840">
        <v>0</v>
      </c>
      <c r="V3840">
        <v>1</v>
      </c>
      <c r="W3840" t="s">
        <v>304</v>
      </c>
      <c r="AA3840">
        <v>2007</v>
      </c>
      <c r="AB3840">
        <v>9999</v>
      </c>
      <c r="AC3840" t="s">
        <v>35</v>
      </c>
    </row>
    <row r="3841" spans="1:29" x14ac:dyDescent="0.25">
      <c r="A3841" s="31" t="s">
        <v>153</v>
      </c>
      <c r="B3841" s="25" t="s">
        <v>1357</v>
      </c>
      <c r="D3841">
        <v>1</v>
      </c>
      <c r="E3841" t="s">
        <v>155</v>
      </c>
      <c r="F3841">
        <v>3</v>
      </c>
      <c r="G3841">
        <v>2012</v>
      </c>
      <c r="I3841">
        <v>77.322844450000005</v>
      </c>
      <c r="J3841" t="s">
        <v>121</v>
      </c>
      <c r="K3841" t="s">
        <v>53</v>
      </c>
      <c r="L3841" t="s">
        <v>60</v>
      </c>
      <c r="O3841">
        <v>1</v>
      </c>
      <c r="P3841">
        <v>0</v>
      </c>
      <c r="Q3841">
        <v>0</v>
      </c>
      <c r="R3841">
        <v>0</v>
      </c>
      <c r="V3841">
        <v>1</v>
      </c>
      <c r="W3841" t="s">
        <v>645</v>
      </c>
      <c r="AA3841">
        <v>2007</v>
      </c>
      <c r="AB3841">
        <v>9999</v>
      </c>
      <c r="AC3841" t="s">
        <v>35</v>
      </c>
    </row>
    <row r="3842" spans="1:29" x14ac:dyDescent="0.25">
      <c r="A3842" s="31" t="s">
        <v>305</v>
      </c>
      <c r="B3842" s="23" t="s">
        <v>306</v>
      </c>
      <c r="D3842">
        <v>1</v>
      </c>
      <c r="E3842" t="s">
        <v>103</v>
      </c>
      <c r="F3842">
        <v>9</v>
      </c>
      <c r="G3842">
        <v>2012</v>
      </c>
      <c r="I3842" s="8">
        <v>122.58</v>
      </c>
      <c r="J3842" s="2" t="s">
        <v>104</v>
      </c>
      <c r="K3842" t="s">
        <v>53</v>
      </c>
      <c r="L3842" t="s">
        <v>105</v>
      </c>
      <c r="O3842">
        <v>0</v>
      </c>
      <c r="P3842">
        <v>1</v>
      </c>
      <c r="Q3842">
        <v>0</v>
      </c>
      <c r="R3842">
        <v>0</v>
      </c>
      <c r="W3842" t="s">
        <v>106</v>
      </c>
      <c r="AA3842">
        <v>2007</v>
      </c>
      <c r="AB3842">
        <v>9999</v>
      </c>
      <c r="AC3842" t="s">
        <v>35</v>
      </c>
    </row>
    <row r="3843" spans="1:29" x14ac:dyDescent="0.25">
      <c r="A3843" s="31" t="s">
        <v>307</v>
      </c>
      <c r="B3843" s="23" t="s">
        <v>308</v>
      </c>
      <c r="D3843">
        <v>1</v>
      </c>
      <c r="E3843" t="s">
        <v>309</v>
      </c>
      <c r="F3843">
        <v>10</v>
      </c>
      <c r="G3843">
        <v>2012</v>
      </c>
      <c r="I3843" s="8">
        <v>56.29</v>
      </c>
      <c r="J3843" t="s">
        <v>59</v>
      </c>
      <c r="K3843" t="s">
        <v>47</v>
      </c>
      <c r="O3843">
        <v>0</v>
      </c>
      <c r="P3843">
        <v>0</v>
      </c>
      <c r="Q3843">
        <v>0</v>
      </c>
      <c r="R3843">
        <v>0</v>
      </c>
      <c r="W3843" t="s">
        <v>1083</v>
      </c>
      <c r="AA3843">
        <v>2007</v>
      </c>
      <c r="AB3843">
        <v>9999</v>
      </c>
      <c r="AC3843" t="s">
        <v>35</v>
      </c>
    </row>
    <row r="3844" spans="1:29" x14ac:dyDescent="0.25">
      <c r="A3844" s="31" t="s">
        <v>1294</v>
      </c>
      <c r="B3844" s="23" t="s">
        <v>1295</v>
      </c>
      <c r="C3844" t="s">
        <v>1296</v>
      </c>
      <c r="D3844">
        <v>1</v>
      </c>
      <c r="E3844" t="s">
        <v>95</v>
      </c>
      <c r="F3844">
        <v>10</v>
      </c>
      <c r="G3844">
        <v>2012</v>
      </c>
      <c r="I3844" s="8">
        <v>47.57</v>
      </c>
      <c r="J3844" t="s">
        <v>40</v>
      </c>
      <c r="K3844" t="s">
        <v>47</v>
      </c>
      <c r="O3844">
        <v>0</v>
      </c>
      <c r="P3844">
        <v>0</v>
      </c>
      <c r="Q3844">
        <v>0</v>
      </c>
      <c r="R3844">
        <v>0</v>
      </c>
      <c r="W3844" t="s">
        <v>1297</v>
      </c>
      <c r="AA3844">
        <v>2010</v>
      </c>
      <c r="AB3844">
        <v>9999</v>
      </c>
      <c r="AC3844" t="s">
        <v>1292</v>
      </c>
    </row>
    <row r="3845" spans="1:29" x14ac:dyDescent="0.25">
      <c r="A3845" s="31" t="s">
        <v>311</v>
      </c>
      <c r="B3845" s="23" t="s">
        <v>312</v>
      </c>
      <c r="C3845" t="s">
        <v>313</v>
      </c>
      <c r="D3845">
        <v>1</v>
      </c>
      <c r="E3845" t="s">
        <v>314</v>
      </c>
      <c r="F3845">
        <v>2</v>
      </c>
      <c r="G3845">
        <v>2012</v>
      </c>
      <c r="I3845" s="8">
        <v>24</v>
      </c>
      <c r="J3845" t="s">
        <v>176</v>
      </c>
      <c r="K3845" t="s">
        <v>47</v>
      </c>
      <c r="O3845">
        <v>0</v>
      </c>
      <c r="P3845">
        <v>0</v>
      </c>
      <c r="Q3845">
        <v>0</v>
      </c>
      <c r="R3845">
        <v>0</v>
      </c>
      <c r="W3845" t="s">
        <v>1358</v>
      </c>
      <c r="AA3845">
        <v>2007</v>
      </c>
      <c r="AB3845">
        <v>9999</v>
      </c>
      <c r="AC3845" t="s">
        <v>35</v>
      </c>
    </row>
    <row r="3846" spans="1:29" x14ac:dyDescent="0.25">
      <c r="A3846" s="31" t="s">
        <v>316</v>
      </c>
      <c r="B3846" s="23" t="s">
        <v>317</v>
      </c>
      <c r="D3846">
        <v>1</v>
      </c>
      <c r="E3846" t="s">
        <v>318</v>
      </c>
      <c r="F3846">
        <v>4</v>
      </c>
      <c r="G3846">
        <v>2012</v>
      </c>
      <c r="I3846" s="8">
        <v>30.23</v>
      </c>
      <c r="J3846" t="s">
        <v>59</v>
      </c>
      <c r="K3846" t="s">
        <v>47</v>
      </c>
      <c r="O3846">
        <v>0</v>
      </c>
      <c r="P3846">
        <v>0</v>
      </c>
      <c r="Q3846">
        <v>0</v>
      </c>
      <c r="R3846">
        <v>0</v>
      </c>
      <c r="W3846" t="s">
        <v>1085</v>
      </c>
      <c r="AA3846">
        <v>2007</v>
      </c>
      <c r="AB3846">
        <v>9999</v>
      </c>
      <c r="AC3846" t="s">
        <v>35</v>
      </c>
    </row>
    <row r="3847" spans="1:29" x14ac:dyDescent="0.25">
      <c r="A3847" s="31" t="s">
        <v>324</v>
      </c>
      <c r="B3847" s="23" t="s">
        <v>325</v>
      </c>
      <c r="D3847">
        <v>1</v>
      </c>
      <c r="E3847" t="s">
        <v>103</v>
      </c>
      <c r="F3847">
        <v>9</v>
      </c>
      <c r="G3847">
        <v>2012</v>
      </c>
      <c r="I3847" s="8">
        <v>87.28</v>
      </c>
      <c r="J3847" t="s">
        <v>104</v>
      </c>
      <c r="K3847" t="s">
        <v>47</v>
      </c>
      <c r="O3847">
        <v>0</v>
      </c>
      <c r="P3847">
        <v>0</v>
      </c>
      <c r="Q3847">
        <v>0</v>
      </c>
      <c r="R3847">
        <v>0</v>
      </c>
      <c r="W3847" t="s">
        <v>1086</v>
      </c>
      <c r="AA3847">
        <v>2007</v>
      </c>
      <c r="AB3847">
        <v>9999</v>
      </c>
      <c r="AC3847" t="s">
        <v>35</v>
      </c>
    </row>
    <row r="3848" spans="1:29" x14ac:dyDescent="0.25">
      <c r="A3848" s="31" t="s">
        <v>327</v>
      </c>
      <c r="B3848" s="23" t="s">
        <v>328</v>
      </c>
      <c r="D3848">
        <v>1</v>
      </c>
      <c r="E3848" t="s">
        <v>80</v>
      </c>
      <c r="F3848">
        <v>8</v>
      </c>
      <c r="G3848">
        <v>2012</v>
      </c>
      <c r="I3848" s="8">
        <v>81.31</v>
      </c>
      <c r="J3848" t="s">
        <v>81</v>
      </c>
      <c r="K3848" t="s">
        <v>47</v>
      </c>
      <c r="O3848">
        <v>0</v>
      </c>
      <c r="P3848">
        <v>0</v>
      </c>
      <c r="Q3848">
        <v>0</v>
      </c>
      <c r="R3848">
        <v>0</v>
      </c>
      <c r="W3848" t="s">
        <v>1087</v>
      </c>
      <c r="AA3848">
        <v>2007</v>
      </c>
      <c r="AB3848">
        <v>9999</v>
      </c>
      <c r="AC3848" t="s">
        <v>35</v>
      </c>
    </row>
    <row r="3849" spans="1:29" ht="30" x14ac:dyDescent="0.25">
      <c r="A3849" s="31" t="s">
        <v>333</v>
      </c>
      <c r="B3849" s="23" t="s">
        <v>334</v>
      </c>
      <c r="D3849">
        <v>1</v>
      </c>
      <c r="E3849" t="s">
        <v>335</v>
      </c>
      <c r="F3849">
        <v>1</v>
      </c>
      <c r="G3849">
        <v>2012</v>
      </c>
      <c r="I3849" s="8">
        <v>16.7</v>
      </c>
      <c r="J3849" t="s">
        <v>176</v>
      </c>
      <c r="K3849" t="s">
        <v>47</v>
      </c>
      <c r="O3849">
        <v>0</v>
      </c>
      <c r="P3849">
        <v>0</v>
      </c>
      <c r="Q3849">
        <v>0</v>
      </c>
      <c r="R3849">
        <v>0</v>
      </c>
      <c r="W3849" t="s">
        <v>1089</v>
      </c>
      <c r="AA3849">
        <v>2007</v>
      </c>
      <c r="AB3849">
        <v>2012</v>
      </c>
      <c r="AC3849" t="s">
        <v>302</v>
      </c>
    </row>
    <row r="3850" spans="1:29" ht="30" x14ac:dyDescent="0.25">
      <c r="A3850" s="31" t="s">
        <v>343</v>
      </c>
      <c r="B3850" s="23" t="s">
        <v>344</v>
      </c>
      <c r="D3850">
        <v>1</v>
      </c>
      <c r="E3850" t="s">
        <v>300</v>
      </c>
      <c r="F3850">
        <v>9</v>
      </c>
      <c r="G3850">
        <v>2012</v>
      </c>
      <c r="I3850" s="8">
        <v>71.87</v>
      </c>
      <c r="J3850" t="s">
        <v>104</v>
      </c>
      <c r="K3850" t="s">
        <v>47</v>
      </c>
      <c r="O3850">
        <v>0</v>
      </c>
      <c r="P3850">
        <v>0</v>
      </c>
      <c r="Q3850">
        <v>0</v>
      </c>
      <c r="R3850">
        <v>0</v>
      </c>
      <c r="W3850" t="s">
        <v>1359</v>
      </c>
      <c r="AA3850">
        <v>2007</v>
      </c>
      <c r="AB3850">
        <v>2012</v>
      </c>
      <c r="AC3850" t="s">
        <v>302</v>
      </c>
    </row>
    <row r="3851" spans="1:29" x14ac:dyDescent="0.25">
      <c r="A3851" s="31" t="s">
        <v>346</v>
      </c>
      <c r="B3851" s="23" t="s">
        <v>347</v>
      </c>
      <c r="D3851">
        <v>1</v>
      </c>
      <c r="E3851" t="s">
        <v>348</v>
      </c>
      <c r="F3851">
        <v>1</v>
      </c>
      <c r="G3851">
        <v>2012</v>
      </c>
      <c r="I3851" s="8">
        <v>28.83</v>
      </c>
      <c r="J3851" t="s">
        <v>121</v>
      </c>
      <c r="K3851" t="s">
        <v>47</v>
      </c>
      <c r="O3851">
        <v>0</v>
      </c>
      <c r="P3851">
        <v>0</v>
      </c>
      <c r="Q3851">
        <v>0</v>
      </c>
      <c r="R3851">
        <v>0</v>
      </c>
      <c r="W3851" t="s">
        <v>349</v>
      </c>
      <c r="AA3851">
        <v>2007</v>
      </c>
      <c r="AB3851">
        <v>9999</v>
      </c>
      <c r="AC3851" t="s">
        <v>35</v>
      </c>
    </row>
    <row r="3852" spans="1:29" x14ac:dyDescent="0.25">
      <c r="A3852" s="31" t="s">
        <v>199</v>
      </c>
      <c r="B3852" s="23" t="s">
        <v>39</v>
      </c>
      <c r="D3852">
        <v>1</v>
      </c>
      <c r="E3852" t="s">
        <v>358</v>
      </c>
      <c r="F3852">
        <v>1</v>
      </c>
      <c r="G3852">
        <v>2012</v>
      </c>
      <c r="I3852" s="8">
        <v>278.55</v>
      </c>
      <c r="J3852" t="s">
        <v>52</v>
      </c>
      <c r="K3852" t="s">
        <v>47</v>
      </c>
      <c r="O3852">
        <v>0</v>
      </c>
      <c r="P3852">
        <v>0</v>
      </c>
      <c r="Q3852">
        <v>0</v>
      </c>
      <c r="R3852">
        <v>0</v>
      </c>
      <c r="W3852" t="s">
        <v>1094</v>
      </c>
      <c r="AA3852">
        <v>2007</v>
      </c>
      <c r="AB3852">
        <v>9999</v>
      </c>
      <c r="AC3852" t="s">
        <v>35</v>
      </c>
    </row>
    <row r="3853" spans="1:29" x14ac:dyDescent="0.25">
      <c r="A3853" s="31" t="s">
        <v>153</v>
      </c>
      <c r="B3853" s="23" t="s">
        <v>360</v>
      </c>
      <c r="D3853">
        <v>4</v>
      </c>
      <c r="E3853" t="s">
        <v>155</v>
      </c>
      <c r="F3853">
        <v>3</v>
      </c>
      <c r="G3853">
        <v>2012</v>
      </c>
      <c r="I3853">
        <v>420.82371000000006</v>
      </c>
      <c r="J3853" t="s">
        <v>121</v>
      </c>
      <c r="K3853" t="s">
        <v>53</v>
      </c>
      <c r="L3853" t="s">
        <v>60</v>
      </c>
      <c r="O3853">
        <v>1</v>
      </c>
      <c r="P3853">
        <v>0</v>
      </c>
      <c r="Q3853">
        <v>0</v>
      </c>
      <c r="R3853">
        <v>0</v>
      </c>
      <c r="V3853">
        <v>1</v>
      </c>
      <c r="W3853" t="s">
        <v>361</v>
      </c>
      <c r="AA3853">
        <v>2007</v>
      </c>
      <c r="AB3853">
        <v>9999</v>
      </c>
      <c r="AC3853" t="s">
        <v>35</v>
      </c>
    </row>
    <row r="3854" spans="1:29" x14ac:dyDescent="0.25">
      <c r="A3854" s="31" t="s">
        <v>362</v>
      </c>
      <c r="B3854" s="23" t="s">
        <v>363</v>
      </c>
      <c r="D3854">
        <v>1</v>
      </c>
      <c r="E3854" t="s">
        <v>103</v>
      </c>
      <c r="F3854">
        <v>9</v>
      </c>
      <c r="G3854">
        <v>2012</v>
      </c>
      <c r="I3854" s="8">
        <v>1065.72</v>
      </c>
      <c r="J3854" t="s">
        <v>104</v>
      </c>
      <c r="K3854" t="s">
        <v>53</v>
      </c>
      <c r="L3854" t="s">
        <v>105</v>
      </c>
      <c r="O3854">
        <v>0</v>
      </c>
      <c r="P3854">
        <v>1</v>
      </c>
      <c r="Q3854">
        <v>0</v>
      </c>
      <c r="R3854">
        <v>0</v>
      </c>
      <c r="W3854" t="s">
        <v>106</v>
      </c>
      <c r="AA3854">
        <v>2007</v>
      </c>
      <c r="AB3854">
        <v>9999</v>
      </c>
      <c r="AC3854" t="s">
        <v>35</v>
      </c>
    </row>
    <row r="3855" spans="1:29" x14ac:dyDescent="0.25">
      <c r="A3855" s="31" t="s">
        <v>364</v>
      </c>
      <c r="B3855" s="23" t="s">
        <v>365</v>
      </c>
      <c r="C3855" t="s">
        <v>366</v>
      </c>
      <c r="D3855">
        <v>1</v>
      </c>
      <c r="E3855" t="s">
        <v>103</v>
      </c>
      <c r="F3855">
        <v>9</v>
      </c>
      <c r="G3855">
        <v>2012</v>
      </c>
      <c r="I3855" s="8">
        <v>4433.2299999999996</v>
      </c>
      <c r="J3855" t="s">
        <v>104</v>
      </c>
      <c r="K3855" t="s">
        <v>53</v>
      </c>
      <c r="L3855" t="s">
        <v>105</v>
      </c>
      <c r="O3855">
        <v>0</v>
      </c>
      <c r="P3855">
        <v>1</v>
      </c>
      <c r="Q3855">
        <v>0</v>
      </c>
      <c r="R3855">
        <v>0</v>
      </c>
      <c r="W3855" t="s">
        <v>106</v>
      </c>
      <c r="AA3855">
        <v>2007</v>
      </c>
      <c r="AB3855">
        <v>9999</v>
      </c>
      <c r="AC3855" t="s">
        <v>35</v>
      </c>
    </row>
    <row r="3856" spans="1:29" x14ac:dyDescent="0.25">
      <c r="A3856" s="31" t="s">
        <v>367</v>
      </c>
      <c r="B3856" s="23" t="s">
        <v>368</v>
      </c>
      <c r="C3856" t="s">
        <v>369</v>
      </c>
      <c r="D3856">
        <v>1</v>
      </c>
      <c r="E3856" t="s">
        <v>370</v>
      </c>
      <c r="F3856">
        <v>5</v>
      </c>
      <c r="G3856">
        <v>2012</v>
      </c>
      <c r="I3856" s="8">
        <v>214.52</v>
      </c>
      <c r="J3856" t="s">
        <v>31</v>
      </c>
      <c r="K3856" t="s">
        <v>47</v>
      </c>
      <c r="O3856">
        <v>0</v>
      </c>
      <c r="P3856">
        <v>0</v>
      </c>
      <c r="Q3856">
        <v>0</v>
      </c>
      <c r="R3856">
        <v>0</v>
      </c>
      <c r="W3856" t="s">
        <v>1298</v>
      </c>
      <c r="AA3856">
        <v>2007</v>
      </c>
      <c r="AB3856">
        <v>9999</v>
      </c>
      <c r="AC3856" t="s">
        <v>35</v>
      </c>
    </row>
    <row r="3857" spans="1:29" x14ac:dyDescent="0.25">
      <c r="A3857" s="31" t="s">
        <v>372</v>
      </c>
      <c r="B3857" s="23" t="s">
        <v>373</v>
      </c>
      <c r="D3857">
        <v>1</v>
      </c>
      <c r="E3857" t="s">
        <v>45</v>
      </c>
      <c r="F3857">
        <v>4</v>
      </c>
      <c r="G3857">
        <v>2012</v>
      </c>
      <c r="I3857" s="8">
        <v>92.52</v>
      </c>
      <c r="J3857" t="s">
        <v>176</v>
      </c>
      <c r="K3857" t="s">
        <v>47</v>
      </c>
      <c r="O3857">
        <v>0</v>
      </c>
      <c r="P3857">
        <v>0</v>
      </c>
      <c r="Q3857">
        <v>0</v>
      </c>
      <c r="R3857">
        <v>0</v>
      </c>
      <c r="W3857" t="s">
        <v>1299</v>
      </c>
      <c r="AA3857">
        <v>2007</v>
      </c>
      <c r="AB3857">
        <v>9999</v>
      </c>
      <c r="AC3857" t="s">
        <v>35</v>
      </c>
    </row>
    <row r="3858" spans="1:29" x14ac:dyDescent="0.25">
      <c r="A3858" s="31" t="s">
        <v>1241</v>
      </c>
      <c r="B3858" s="23" t="s">
        <v>1242</v>
      </c>
      <c r="D3858">
        <v>1</v>
      </c>
      <c r="E3858" t="s">
        <v>977</v>
      </c>
      <c r="F3858">
        <v>1</v>
      </c>
      <c r="G3858">
        <v>2012</v>
      </c>
      <c r="I3858" s="8">
        <v>12.31</v>
      </c>
      <c r="J3858" t="s">
        <v>52</v>
      </c>
      <c r="K3858" t="s">
        <v>47</v>
      </c>
      <c r="O3858">
        <v>0</v>
      </c>
      <c r="P3858">
        <v>0</v>
      </c>
      <c r="Q3858">
        <v>0</v>
      </c>
      <c r="R3858">
        <v>0</v>
      </c>
      <c r="W3858" t="s">
        <v>1243</v>
      </c>
      <c r="AA3858">
        <v>2009</v>
      </c>
      <c r="AB3858">
        <v>2012</v>
      </c>
      <c r="AC3858" t="s">
        <v>1244</v>
      </c>
    </row>
    <row r="3859" spans="1:29" x14ac:dyDescent="0.25">
      <c r="A3859" s="31" t="s">
        <v>375</v>
      </c>
      <c r="B3859" s="23" t="s">
        <v>163</v>
      </c>
      <c r="D3859">
        <v>1</v>
      </c>
      <c r="E3859" t="s">
        <v>168</v>
      </c>
      <c r="F3859">
        <v>1</v>
      </c>
      <c r="G3859">
        <v>2012</v>
      </c>
      <c r="I3859" s="8">
        <v>58.3</v>
      </c>
      <c r="J3859" t="s">
        <v>52</v>
      </c>
      <c r="K3859" t="s">
        <v>47</v>
      </c>
      <c r="O3859">
        <v>0</v>
      </c>
      <c r="P3859">
        <v>0</v>
      </c>
      <c r="Q3859">
        <v>0</v>
      </c>
      <c r="R3859">
        <v>0</v>
      </c>
      <c r="W3859" t="s">
        <v>1097</v>
      </c>
      <c r="AA3859">
        <v>2007</v>
      </c>
      <c r="AB3859">
        <v>9999</v>
      </c>
      <c r="AC3859" t="s">
        <v>35</v>
      </c>
    </row>
    <row r="3860" spans="1:29" x14ac:dyDescent="0.25">
      <c r="A3860" s="31" t="s">
        <v>377</v>
      </c>
      <c r="B3860" s="23" t="s">
        <v>378</v>
      </c>
      <c r="D3860">
        <v>1</v>
      </c>
      <c r="E3860" t="s">
        <v>45</v>
      </c>
      <c r="F3860">
        <v>4</v>
      </c>
      <c r="G3860">
        <v>2012</v>
      </c>
      <c r="I3860" s="8">
        <v>127.7</v>
      </c>
      <c r="J3860" t="s">
        <v>89</v>
      </c>
      <c r="K3860" t="s">
        <v>47</v>
      </c>
      <c r="O3860">
        <v>0</v>
      </c>
      <c r="P3860">
        <v>0</v>
      </c>
      <c r="Q3860">
        <v>0</v>
      </c>
      <c r="R3860">
        <v>0</v>
      </c>
      <c r="W3860" t="s">
        <v>1098</v>
      </c>
      <c r="AA3860">
        <v>2007</v>
      </c>
      <c r="AB3860">
        <v>9999</v>
      </c>
      <c r="AC3860" t="s">
        <v>35</v>
      </c>
    </row>
    <row r="3861" spans="1:29" x14ac:dyDescent="0.25">
      <c r="A3861" s="31" t="s">
        <v>380</v>
      </c>
      <c r="B3861" s="23" t="s">
        <v>381</v>
      </c>
      <c r="D3861">
        <v>1</v>
      </c>
      <c r="E3861" t="s">
        <v>103</v>
      </c>
      <c r="F3861">
        <v>9</v>
      </c>
      <c r="G3861">
        <v>2012</v>
      </c>
      <c r="I3861" s="8">
        <v>139.88999999999999</v>
      </c>
      <c r="J3861" t="s">
        <v>104</v>
      </c>
      <c r="K3861" t="s">
        <v>53</v>
      </c>
      <c r="L3861" t="s">
        <v>105</v>
      </c>
      <c r="O3861">
        <v>0</v>
      </c>
      <c r="P3861">
        <v>1</v>
      </c>
      <c r="Q3861">
        <v>0</v>
      </c>
      <c r="R3861">
        <v>0</v>
      </c>
      <c r="W3861" t="s">
        <v>106</v>
      </c>
      <c r="AA3861">
        <v>2007</v>
      </c>
      <c r="AB3861">
        <v>9999</v>
      </c>
      <c r="AC3861" t="s">
        <v>35</v>
      </c>
    </row>
    <row r="3862" spans="1:29" x14ac:dyDescent="0.25">
      <c r="A3862" s="31" t="s">
        <v>382</v>
      </c>
      <c r="B3862" s="23" t="s">
        <v>383</v>
      </c>
      <c r="D3862">
        <v>1</v>
      </c>
      <c r="E3862" t="s">
        <v>80</v>
      </c>
      <c r="F3862">
        <v>8</v>
      </c>
      <c r="G3862">
        <v>2012</v>
      </c>
      <c r="I3862" s="8">
        <v>21.15</v>
      </c>
      <c r="J3862" t="s">
        <v>81</v>
      </c>
      <c r="K3862" t="s">
        <v>32</v>
      </c>
      <c r="O3862">
        <v>0</v>
      </c>
      <c r="P3862">
        <v>0</v>
      </c>
      <c r="Q3862">
        <v>0</v>
      </c>
      <c r="R3862">
        <v>0</v>
      </c>
      <c r="W3862" t="s">
        <v>1099</v>
      </c>
      <c r="AA3862">
        <v>2007</v>
      </c>
      <c r="AB3862">
        <v>9999</v>
      </c>
      <c r="AC3862" t="s">
        <v>35</v>
      </c>
    </row>
    <row r="3863" spans="1:29" x14ac:dyDescent="0.25">
      <c r="A3863" s="31" t="s">
        <v>385</v>
      </c>
      <c r="B3863" s="23" t="s">
        <v>386</v>
      </c>
      <c r="D3863">
        <v>1</v>
      </c>
      <c r="E3863" t="s">
        <v>45</v>
      </c>
      <c r="F3863">
        <v>4</v>
      </c>
      <c r="G3863">
        <v>2012</v>
      </c>
      <c r="I3863" s="8">
        <v>111.17</v>
      </c>
      <c r="J3863" t="s">
        <v>121</v>
      </c>
      <c r="K3863" t="s">
        <v>47</v>
      </c>
      <c r="O3863">
        <v>0</v>
      </c>
      <c r="P3863">
        <v>0</v>
      </c>
      <c r="Q3863">
        <v>0</v>
      </c>
      <c r="R3863">
        <v>0</v>
      </c>
      <c r="W3863" t="s">
        <v>1300</v>
      </c>
      <c r="AA3863">
        <v>2007</v>
      </c>
      <c r="AB3863">
        <v>9999</v>
      </c>
      <c r="AC3863" t="s">
        <v>35</v>
      </c>
    </row>
    <row r="3864" spans="1:29" x14ac:dyDescent="0.25">
      <c r="A3864" s="31" t="s">
        <v>388</v>
      </c>
      <c r="B3864" s="25" t="s">
        <v>389</v>
      </c>
      <c r="D3864">
        <v>1</v>
      </c>
      <c r="E3864" t="s">
        <v>145</v>
      </c>
      <c r="F3864">
        <v>2</v>
      </c>
      <c r="G3864">
        <v>2012</v>
      </c>
      <c r="H3864" t="s">
        <v>185</v>
      </c>
      <c r="J3864" t="s">
        <v>52</v>
      </c>
      <c r="K3864" t="s">
        <v>41</v>
      </c>
      <c r="O3864">
        <v>0</v>
      </c>
      <c r="P3864">
        <v>0</v>
      </c>
      <c r="Q3864">
        <v>0</v>
      </c>
      <c r="R3864">
        <v>0</v>
      </c>
      <c r="W3864" t="s">
        <v>1101</v>
      </c>
      <c r="AA3864">
        <v>2007</v>
      </c>
      <c r="AB3864">
        <v>9999</v>
      </c>
      <c r="AC3864" t="s">
        <v>35</v>
      </c>
    </row>
    <row r="3865" spans="1:29" x14ac:dyDescent="0.25">
      <c r="A3865" s="31" t="s">
        <v>391</v>
      </c>
      <c r="B3865" s="23" t="s">
        <v>392</v>
      </c>
      <c r="D3865">
        <v>1</v>
      </c>
      <c r="E3865" t="s">
        <v>393</v>
      </c>
      <c r="F3865">
        <v>3</v>
      </c>
      <c r="G3865">
        <v>2012</v>
      </c>
      <c r="I3865" s="8">
        <v>8971.84</v>
      </c>
      <c r="J3865" t="s">
        <v>121</v>
      </c>
      <c r="K3865" t="s">
        <v>47</v>
      </c>
      <c r="O3865">
        <v>0</v>
      </c>
      <c r="P3865">
        <v>0</v>
      </c>
      <c r="Q3865">
        <v>0</v>
      </c>
      <c r="R3865">
        <v>0</v>
      </c>
      <c r="W3865" t="s">
        <v>1102</v>
      </c>
      <c r="AA3865">
        <v>2007</v>
      </c>
      <c r="AB3865">
        <v>9999</v>
      </c>
      <c r="AC3865" t="s">
        <v>35</v>
      </c>
    </row>
    <row r="3866" spans="1:29" x14ac:dyDescent="0.25">
      <c r="A3866" s="31" t="s">
        <v>401</v>
      </c>
      <c r="B3866" s="23" t="s">
        <v>402</v>
      </c>
      <c r="D3866">
        <v>1</v>
      </c>
      <c r="E3866" t="s">
        <v>155</v>
      </c>
      <c r="F3866">
        <v>3</v>
      </c>
      <c r="G3866">
        <v>2012</v>
      </c>
      <c r="I3866" s="8">
        <v>2004.12</v>
      </c>
      <c r="J3866" t="s">
        <v>52</v>
      </c>
      <c r="K3866" t="s">
        <v>47</v>
      </c>
      <c r="O3866">
        <v>0</v>
      </c>
      <c r="P3866">
        <v>0</v>
      </c>
      <c r="Q3866">
        <v>0</v>
      </c>
      <c r="R3866">
        <v>0</v>
      </c>
      <c r="W3866" t="s">
        <v>1105</v>
      </c>
      <c r="AA3866">
        <v>2007</v>
      </c>
      <c r="AB3866">
        <v>9999</v>
      </c>
      <c r="AC3866" t="s">
        <v>35</v>
      </c>
    </row>
    <row r="3867" spans="1:29" x14ac:dyDescent="0.25">
      <c r="A3867" s="31" t="s">
        <v>404</v>
      </c>
      <c r="B3867" s="23" t="s">
        <v>405</v>
      </c>
      <c r="C3867" t="s">
        <v>406</v>
      </c>
      <c r="D3867">
        <v>1</v>
      </c>
      <c r="E3867" t="s">
        <v>358</v>
      </c>
      <c r="F3867">
        <v>1</v>
      </c>
      <c r="G3867">
        <v>2012</v>
      </c>
      <c r="I3867" s="8">
        <v>324.8</v>
      </c>
      <c r="J3867" t="s">
        <v>104</v>
      </c>
      <c r="K3867" t="s">
        <v>47</v>
      </c>
      <c r="O3867">
        <v>0</v>
      </c>
      <c r="P3867">
        <v>0</v>
      </c>
      <c r="Q3867">
        <v>0</v>
      </c>
      <c r="R3867">
        <v>0</v>
      </c>
      <c r="W3867" t="s">
        <v>1245</v>
      </c>
      <c r="AA3867">
        <v>2007</v>
      </c>
      <c r="AB3867">
        <v>9999</v>
      </c>
      <c r="AC3867" t="s">
        <v>35</v>
      </c>
    </row>
    <row r="3868" spans="1:29" x14ac:dyDescent="0.25">
      <c r="A3868" s="31" t="s">
        <v>408</v>
      </c>
      <c r="B3868" s="23" t="s">
        <v>409</v>
      </c>
      <c r="D3868">
        <v>1</v>
      </c>
      <c r="E3868" t="s">
        <v>103</v>
      </c>
      <c r="F3868">
        <v>9</v>
      </c>
      <c r="G3868">
        <v>2012</v>
      </c>
      <c r="I3868" s="8">
        <v>51.31</v>
      </c>
      <c r="J3868" t="s">
        <v>104</v>
      </c>
      <c r="K3868" t="s">
        <v>53</v>
      </c>
      <c r="L3868" t="s">
        <v>105</v>
      </c>
      <c r="O3868">
        <v>0</v>
      </c>
      <c r="P3868">
        <v>1</v>
      </c>
      <c r="Q3868">
        <v>0</v>
      </c>
      <c r="R3868">
        <v>0</v>
      </c>
      <c r="W3868" t="s">
        <v>106</v>
      </c>
      <c r="AA3868">
        <v>2007</v>
      </c>
      <c r="AB3868">
        <v>9999</v>
      </c>
      <c r="AC3868" t="s">
        <v>35</v>
      </c>
    </row>
    <row r="3869" spans="1:29" x14ac:dyDescent="0.25">
      <c r="A3869" s="31" t="s">
        <v>410</v>
      </c>
      <c r="B3869" s="23" t="s">
        <v>411</v>
      </c>
      <c r="C3869" t="s">
        <v>412</v>
      </c>
      <c r="D3869">
        <v>1</v>
      </c>
      <c r="E3869" t="s">
        <v>103</v>
      </c>
      <c r="F3869">
        <v>9</v>
      </c>
      <c r="G3869">
        <v>2012</v>
      </c>
      <c r="I3869" s="8">
        <v>181.17</v>
      </c>
      <c r="J3869" t="s">
        <v>104</v>
      </c>
      <c r="K3869" t="s">
        <v>53</v>
      </c>
      <c r="L3869" t="s">
        <v>105</v>
      </c>
      <c r="O3869">
        <v>0</v>
      </c>
      <c r="P3869">
        <v>1</v>
      </c>
      <c r="Q3869">
        <v>0</v>
      </c>
      <c r="R3869">
        <v>0</v>
      </c>
      <c r="W3869" t="s">
        <v>106</v>
      </c>
      <c r="AA3869">
        <v>2007</v>
      </c>
      <c r="AB3869">
        <v>9999</v>
      </c>
      <c r="AC3869" t="s">
        <v>35</v>
      </c>
    </row>
    <row r="3870" spans="1:29" x14ac:dyDescent="0.25">
      <c r="A3870" s="31" t="s">
        <v>413</v>
      </c>
      <c r="B3870" s="23" t="s">
        <v>414</v>
      </c>
      <c r="C3870" t="s">
        <v>415</v>
      </c>
      <c r="D3870">
        <v>1</v>
      </c>
      <c r="E3870" t="s">
        <v>103</v>
      </c>
      <c r="F3870">
        <v>9</v>
      </c>
      <c r="G3870">
        <v>2012</v>
      </c>
      <c r="I3870" s="8">
        <v>3503.95</v>
      </c>
      <c r="J3870" t="s">
        <v>104</v>
      </c>
      <c r="K3870" t="s">
        <v>53</v>
      </c>
      <c r="L3870" t="s">
        <v>105</v>
      </c>
      <c r="O3870">
        <v>0</v>
      </c>
      <c r="P3870">
        <v>1</v>
      </c>
      <c r="Q3870">
        <v>0</v>
      </c>
      <c r="R3870">
        <v>0</v>
      </c>
      <c r="W3870" t="s">
        <v>106</v>
      </c>
      <c r="AA3870">
        <v>2007</v>
      </c>
      <c r="AB3870">
        <v>9999</v>
      </c>
      <c r="AC3870" t="s">
        <v>35</v>
      </c>
    </row>
    <row r="3871" spans="1:29" x14ac:dyDescent="0.25">
      <c r="A3871" s="31" t="s">
        <v>416</v>
      </c>
      <c r="B3871" s="23" t="s">
        <v>417</v>
      </c>
      <c r="C3871" t="s">
        <v>418</v>
      </c>
      <c r="D3871">
        <v>1</v>
      </c>
      <c r="E3871" t="s">
        <v>218</v>
      </c>
      <c r="F3871">
        <v>2</v>
      </c>
      <c r="G3871">
        <v>2012</v>
      </c>
      <c r="I3871" s="8">
        <v>714.92</v>
      </c>
      <c r="J3871" t="s">
        <v>147</v>
      </c>
      <c r="K3871" t="s">
        <v>47</v>
      </c>
      <c r="O3871">
        <v>0</v>
      </c>
      <c r="P3871">
        <v>0</v>
      </c>
      <c r="Q3871">
        <v>0</v>
      </c>
      <c r="R3871">
        <v>0</v>
      </c>
      <c r="W3871" t="s">
        <v>1107</v>
      </c>
      <c r="AA3871">
        <v>2007</v>
      </c>
      <c r="AB3871">
        <v>9999</v>
      </c>
      <c r="AC3871" t="s">
        <v>35</v>
      </c>
    </row>
    <row r="3872" spans="1:29" x14ac:dyDescent="0.25">
      <c r="A3872" s="31" t="s">
        <v>420</v>
      </c>
      <c r="B3872" s="25" t="s">
        <v>421</v>
      </c>
      <c r="D3872">
        <v>1</v>
      </c>
      <c r="E3872" t="s">
        <v>38</v>
      </c>
      <c r="F3872">
        <v>4</v>
      </c>
      <c r="G3872">
        <v>2012</v>
      </c>
      <c r="H3872" t="s">
        <v>39</v>
      </c>
      <c r="J3872" s="2" t="s">
        <v>31</v>
      </c>
      <c r="K3872" t="s">
        <v>32</v>
      </c>
      <c r="O3872">
        <v>0</v>
      </c>
      <c r="P3872">
        <v>0</v>
      </c>
      <c r="Q3872">
        <v>0</v>
      </c>
      <c r="R3872">
        <v>0</v>
      </c>
      <c r="W3872" t="s">
        <v>1108</v>
      </c>
      <c r="AA3872">
        <v>2007</v>
      </c>
      <c r="AB3872">
        <v>9999</v>
      </c>
      <c r="AC3872" t="s">
        <v>35</v>
      </c>
    </row>
    <row r="3873" spans="1:29" x14ac:dyDescent="0.25">
      <c r="A3873" s="31" t="s">
        <v>423</v>
      </c>
      <c r="B3873" s="25" t="s">
        <v>424</v>
      </c>
      <c r="D3873">
        <v>1</v>
      </c>
      <c r="E3873" t="s">
        <v>85</v>
      </c>
      <c r="F3873">
        <v>1</v>
      </c>
      <c r="G3873">
        <v>2012</v>
      </c>
      <c r="H3873" t="s">
        <v>303</v>
      </c>
      <c r="J3873" t="s">
        <v>121</v>
      </c>
      <c r="K3873" t="s">
        <v>53</v>
      </c>
      <c r="L3873" t="s">
        <v>425</v>
      </c>
      <c r="O3873">
        <v>0</v>
      </c>
      <c r="P3873">
        <v>0</v>
      </c>
      <c r="Q3873">
        <v>0</v>
      </c>
      <c r="R3873">
        <v>0</v>
      </c>
      <c r="W3873" t="s">
        <v>426</v>
      </c>
      <c r="AA3873">
        <v>2007</v>
      </c>
      <c r="AB3873">
        <v>9999</v>
      </c>
      <c r="AC3873" t="s">
        <v>35</v>
      </c>
    </row>
    <row r="3874" spans="1:29" x14ac:dyDescent="0.25">
      <c r="A3874" s="31" t="s">
        <v>427</v>
      </c>
      <c r="B3874" s="23" t="s">
        <v>1246</v>
      </c>
      <c r="D3874">
        <v>1</v>
      </c>
      <c r="E3874" t="s">
        <v>45</v>
      </c>
      <c r="F3874">
        <v>4</v>
      </c>
      <c r="G3874">
        <v>2012</v>
      </c>
      <c r="I3874" s="8">
        <v>1834.74</v>
      </c>
      <c r="J3874" t="s">
        <v>40</v>
      </c>
      <c r="K3874" t="s">
        <v>32</v>
      </c>
      <c r="O3874">
        <v>0</v>
      </c>
      <c r="P3874">
        <v>0</v>
      </c>
      <c r="Q3874">
        <v>0</v>
      </c>
      <c r="R3874">
        <v>0</v>
      </c>
      <c r="W3874" t="s">
        <v>1301</v>
      </c>
      <c r="AA3874">
        <v>2007</v>
      </c>
      <c r="AB3874">
        <v>9999</v>
      </c>
      <c r="AC3874" t="s">
        <v>35</v>
      </c>
    </row>
    <row r="3875" spans="1:29" x14ac:dyDescent="0.25">
      <c r="A3875" s="31" t="s">
        <v>430</v>
      </c>
      <c r="B3875" s="23" t="s">
        <v>431</v>
      </c>
      <c r="D3875">
        <v>1</v>
      </c>
      <c r="E3875" t="s">
        <v>103</v>
      </c>
      <c r="F3875">
        <v>9</v>
      </c>
      <c r="G3875">
        <v>2012</v>
      </c>
      <c r="I3875" s="8">
        <v>3271.24</v>
      </c>
      <c r="J3875" t="s">
        <v>104</v>
      </c>
      <c r="K3875" t="s">
        <v>53</v>
      </c>
      <c r="L3875" t="s">
        <v>105</v>
      </c>
      <c r="O3875">
        <v>0</v>
      </c>
      <c r="P3875">
        <v>1</v>
      </c>
      <c r="Q3875">
        <v>0</v>
      </c>
      <c r="R3875">
        <v>0</v>
      </c>
      <c r="W3875" t="s">
        <v>106</v>
      </c>
      <c r="AA3875">
        <v>2007</v>
      </c>
      <c r="AB3875">
        <v>9999</v>
      </c>
      <c r="AC3875" t="s">
        <v>35</v>
      </c>
    </row>
    <row r="3876" spans="1:29" x14ac:dyDescent="0.25">
      <c r="A3876" s="31" t="s">
        <v>1302</v>
      </c>
      <c r="B3876" s="23" t="s">
        <v>1303</v>
      </c>
      <c r="D3876">
        <v>1</v>
      </c>
      <c r="E3876" t="s">
        <v>103</v>
      </c>
      <c r="F3876">
        <v>9</v>
      </c>
      <c r="G3876">
        <v>2012</v>
      </c>
      <c r="I3876" s="8">
        <v>1667.43</v>
      </c>
      <c r="J3876" t="s">
        <v>104</v>
      </c>
      <c r="K3876" t="s">
        <v>53</v>
      </c>
      <c r="L3876" t="s">
        <v>105</v>
      </c>
      <c r="O3876">
        <v>0</v>
      </c>
      <c r="P3876">
        <v>1</v>
      </c>
      <c r="Q3876">
        <v>0</v>
      </c>
      <c r="R3876">
        <v>0</v>
      </c>
      <c r="W3876" t="s">
        <v>106</v>
      </c>
      <c r="AA3876">
        <v>2010</v>
      </c>
      <c r="AB3876">
        <v>9999</v>
      </c>
      <c r="AC3876" t="s">
        <v>1292</v>
      </c>
    </row>
    <row r="3877" spans="1:29" ht="30" x14ac:dyDescent="0.25">
      <c r="A3877" s="31" t="s">
        <v>432</v>
      </c>
      <c r="B3877" s="23" t="s">
        <v>433</v>
      </c>
      <c r="D3877">
        <v>1</v>
      </c>
      <c r="E3877" t="s">
        <v>80</v>
      </c>
      <c r="F3877">
        <v>8</v>
      </c>
      <c r="G3877">
        <v>2012</v>
      </c>
      <c r="I3877" s="8">
        <v>51.59</v>
      </c>
      <c r="J3877" t="s">
        <v>81</v>
      </c>
      <c r="K3877" t="s">
        <v>47</v>
      </c>
      <c r="O3877">
        <v>0</v>
      </c>
      <c r="P3877">
        <v>0</v>
      </c>
      <c r="Q3877">
        <v>0</v>
      </c>
      <c r="R3877">
        <v>0</v>
      </c>
      <c r="W3877" t="s">
        <v>1111</v>
      </c>
      <c r="AA3877">
        <v>2007</v>
      </c>
      <c r="AB3877">
        <v>2017</v>
      </c>
      <c r="AC3877" t="s">
        <v>435</v>
      </c>
    </row>
    <row r="3878" spans="1:29" x14ac:dyDescent="0.25">
      <c r="A3878" s="31" t="s">
        <v>439</v>
      </c>
      <c r="B3878" s="23" t="s">
        <v>440</v>
      </c>
      <c r="C3878" t="s">
        <v>441</v>
      </c>
      <c r="D3878">
        <v>1</v>
      </c>
      <c r="E3878" t="s">
        <v>442</v>
      </c>
      <c r="F3878">
        <v>4</v>
      </c>
      <c r="G3878">
        <v>2012</v>
      </c>
      <c r="I3878" s="8">
        <v>527.07000000000005</v>
      </c>
      <c r="J3878" t="s">
        <v>1343</v>
      </c>
      <c r="K3878" t="s">
        <v>47</v>
      </c>
      <c r="O3878">
        <v>0</v>
      </c>
      <c r="P3878">
        <v>0</v>
      </c>
      <c r="Q3878">
        <v>0</v>
      </c>
      <c r="R3878">
        <v>0</v>
      </c>
      <c r="W3878" t="s">
        <v>1304</v>
      </c>
      <c r="AA3878">
        <v>2007</v>
      </c>
      <c r="AB3878">
        <v>9999</v>
      </c>
      <c r="AC3878" t="s">
        <v>35</v>
      </c>
    </row>
    <row r="3879" spans="1:29" ht="30" x14ac:dyDescent="0.25">
      <c r="B3879" s="25" t="s">
        <v>444</v>
      </c>
      <c r="C3879" t="s">
        <v>445</v>
      </c>
      <c r="D3879">
        <v>5</v>
      </c>
      <c r="E3879" t="s">
        <v>38</v>
      </c>
      <c r="F3879">
        <v>4</v>
      </c>
      <c r="G3879">
        <v>2012</v>
      </c>
      <c r="J3879" t="s">
        <v>31</v>
      </c>
      <c r="K3879" t="s">
        <v>41</v>
      </c>
      <c r="O3879">
        <v>0</v>
      </c>
      <c r="P3879">
        <v>0</v>
      </c>
      <c r="Q3879">
        <v>0</v>
      </c>
      <c r="R3879">
        <v>0</v>
      </c>
      <c r="W3879" t="s">
        <v>1114</v>
      </c>
      <c r="AA3879">
        <v>2007</v>
      </c>
      <c r="AB3879">
        <v>9999</v>
      </c>
      <c r="AC3879" t="s">
        <v>35</v>
      </c>
    </row>
    <row r="3880" spans="1:29" x14ac:dyDescent="0.25">
      <c r="A3880" s="31" t="s">
        <v>447</v>
      </c>
      <c r="B3880" s="23" t="s">
        <v>448</v>
      </c>
      <c r="D3880">
        <v>1</v>
      </c>
      <c r="E3880" t="s">
        <v>45</v>
      </c>
      <c r="F3880">
        <v>4</v>
      </c>
      <c r="G3880">
        <v>2012</v>
      </c>
      <c r="I3880" s="8">
        <v>37.15</v>
      </c>
      <c r="J3880" t="s">
        <v>52</v>
      </c>
      <c r="K3880" t="s">
        <v>32</v>
      </c>
      <c r="O3880">
        <v>0</v>
      </c>
      <c r="P3880">
        <v>0</v>
      </c>
      <c r="Q3880">
        <v>0</v>
      </c>
      <c r="R3880">
        <v>0</v>
      </c>
      <c r="W3880" t="s">
        <v>1115</v>
      </c>
      <c r="AA3880">
        <v>2007</v>
      </c>
      <c r="AB3880">
        <v>9999</v>
      </c>
      <c r="AC3880" t="s">
        <v>35</v>
      </c>
    </row>
    <row r="3881" spans="1:29" x14ac:dyDescent="0.25">
      <c r="A3881" s="31" t="s">
        <v>453</v>
      </c>
      <c r="B3881" s="23" t="s">
        <v>454</v>
      </c>
      <c r="C3881" t="s">
        <v>455</v>
      </c>
      <c r="D3881">
        <v>1</v>
      </c>
      <c r="E3881" t="s">
        <v>456</v>
      </c>
      <c r="F3881">
        <v>4</v>
      </c>
      <c r="G3881">
        <v>2012</v>
      </c>
      <c r="I3881" s="8">
        <v>1302.9000000000001</v>
      </c>
      <c r="J3881" t="s">
        <v>89</v>
      </c>
      <c r="K3881" t="s">
        <v>32</v>
      </c>
      <c r="L3881" t="s">
        <v>33</v>
      </c>
      <c r="O3881">
        <v>0</v>
      </c>
      <c r="P3881">
        <v>0</v>
      </c>
      <c r="Q3881">
        <v>0</v>
      </c>
      <c r="R3881">
        <v>1</v>
      </c>
      <c r="W3881" t="s">
        <v>1360</v>
      </c>
      <c r="AA3881">
        <v>2007</v>
      </c>
      <c r="AB3881">
        <v>9999</v>
      </c>
      <c r="AC3881" t="s">
        <v>35</v>
      </c>
    </row>
    <row r="3882" spans="1:29" x14ac:dyDescent="0.25">
      <c r="A3882" s="31" t="s">
        <v>458</v>
      </c>
      <c r="B3882" s="23" t="s">
        <v>459</v>
      </c>
      <c r="D3882">
        <v>1</v>
      </c>
      <c r="E3882" t="s">
        <v>103</v>
      </c>
      <c r="F3882">
        <v>9</v>
      </c>
      <c r="G3882">
        <v>2012</v>
      </c>
      <c r="I3882" s="8">
        <v>1358.47</v>
      </c>
      <c r="J3882" t="s">
        <v>104</v>
      </c>
      <c r="K3882" t="s">
        <v>53</v>
      </c>
      <c r="L3882" t="s">
        <v>105</v>
      </c>
      <c r="O3882">
        <v>0</v>
      </c>
      <c r="P3882">
        <v>1</v>
      </c>
      <c r="Q3882">
        <v>0</v>
      </c>
      <c r="R3882">
        <v>0</v>
      </c>
      <c r="W3882" t="s">
        <v>106</v>
      </c>
      <c r="AA3882">
        <v>2007</v>
      </c>
      <c r="AB3882">
        <v>9999</v>
      </c>
      <c r="AC3882" t="s">
        <v>35</v>
      </c>
    </row>
    <row r="3883" spans="1:29" x14ac:dyDescent="0.25">
      <c r="A3883" s="31" t="s">
        <v>460</v>
      </c>
      <c r="B3883" s="23" t="s">
        <v>461</v>
      </c>
      <c r="D3883">
        <v>1</v>
      </c>
      <c r="E3883" t="s">
        <v>103</v>
      </c>
      <c r="F3883">
        <v>9</v>
      </c>
      <c r="G3883">
        <v>2012</v>
      </c>
      <c r="I3883" s="8">
        <v>6655.67</v>
      </c>
      <c r="J3883" t="s">
        <v>104</v>
      </c>
      <c r="K3883" t="s">
        <v>53</v>
      </c>
      <c r="L3883" t="s">
        <v>105</v>
      </c>
      <c r="O3883">
        <v>0</v>
      </c>
      <c r="P3883">
        <v>1</v>
      </c>
      <c r="Q3883">
        <v>0</v>
      </c>
      <c r="R3883">
        <v>0</v>
      </c>
      <c r="W3883" t="s">
        <v>106</v>
      </c>
      <c r="AA3883">
        <v>2007</v>
      </c>
      <c r="AB3883">
        <v>9999</v>
      </c>
      <c r="AC3883" t="s">
        <v>35</v>
      </c>
    </row>
    <row r="3884" spans="1:29" x14ac:dyDescent="0.25">
      <c r="A3884" s="31" t="s">
        <v>465</v>
      </c>
      <c r="B3884" s="23" t="s">
        <v>466</v>
      </c>
      <c r="C3884" t="s">
        <v>467</v>
      </c>
      <c r="D3884">
        <v>1</v>
      </c>
      <c r="E3884" t="s">
        <v>468</v>
      </c>
      <c r="F3884">
        <v>7</v>
      </c>
      <c r="G3884">
        <v>2012</v>
      </c>
      <c r="I3884" s="8">
        <v>628.79</v>
      </c>
      <c r="J3884" t="s">
        <v>40</v>
      </c>
      <c r="K3884" t="s">
        <v>32</v>
      </c>
      <c r="O3884">
        <v>0</v>
      </c>
      <c r="P3884">
        <v>0</v>
      </c>
      <c r="Q3884">
        <v>0</v>
      </c>
      <c r="R3884">
        <v>0</v>
      </c>
      <c r="W3884" t="s">
        <v>1119</v>
      </c>
      <c r="AA3884">
        <v>2007</v>
      </c>
      <c r="AB3884">
        <v>9999</v>
      </c>
      <c r="AC3884" t="s">
        <v>35</v>
      </c>
    </row>
    <row r="3885" spans="1:29" x14ac:dyDescent="0.25">
      <c r="A3885" s="31" t="s">
        <v>478</v>
      </c>
      <c r="B3885" s="23" t="s">
        <v>479</v>
      </c>
      <c r="D3885">
        <v>1</v>
      </c>
      <c r="E3885" t="s">
        <v>348</v>
      </c>
      <c r="F3885">
        <v>1</v>
      </c>
      <c r="G3885">
        <v>2012</v>
      </c>
      <c r="I3885" s="8">
        <v>106.6</v>
      </c>
      <c r="J3885" t="s">
        <v>40</v>
      </c>
      <c r="K3885" t="s">
        <v>47</v>
      </c>
      <c r="O3885">
        <v>0</v>
      </c>
      <c r="P3885">
        <v>0</v>
      </c>
      <c r="Q3885">
        <v>0</v>
      </c>
      <c r="R3885">
        <v>0</v>
      </c>
      <c r="W3885" t="s">
        <v>1120</v>
      </c>
      <c r="AA3885">
        <v>2007</v>
      </c>
      <c r="AB3885">
        <v>9999</v>
      </c>
      <c r="AC3885" t="s">
        <v>35</v>
      </c>
    </row>
    <row r="3886" spans="1:29" x14ac:dyDescent="0.25">
      <c r="A3886" s="31" t="s">
        <v>481</v>
      </c>
      <c r="B3886" s="23" t="s">
        <v>482</v>
      </c>
      <c r="D3886">
        <v>1</v>
      </c>
      <c r="E3886" t="s">
        <v>348</v>
      </c>
      <c r="F3886">
        <v>1</v>
      </c>
      <c r="G3886">
        <v>2012</v>
      </c>
      <c r="I3886" s="8">
        <v>211.42</v>
      </c>
      <c r="J3886" t="s">
        <v>40</v>
      </c>
      <c r="K3886" t="s">
        <v>47</v>
      </c>
      <c r="O3886">
        <v>0</v>
      </c>
      <c r="P3886">
        <v>0</v>
      </c>
      <c r="Q3886">
        <v>0</v>
      </c>
      <c r="R3886">
        <v>0</v>
      </c>
      <c r="W3886" t="s">
        <v>1120</v>
      </c>
      <c r="AA3886">
        <v>2007</v>
      </c>
      <c r="AB3886">
        <v>9999</v>
      </c>
      <c r="AC3886" t="s">
        <v>35</v>
      </c>
    </row>
    <row r="3887" spans="1:29" x14ac:dyDescent="0.25">
      <c r="A3887" s="31" t="s">
        <v>483</v>
      </c>
      <c r="B3887" s="23" t="s">
        <v>484</v>
      </c>
      <c r="D3887">
        <v>1</v>
      </c>
      <c r="E3887" t="s">
        <v>348</v>
      </c>
      <c r="F3887">
        <v>1</v>
      </c>
      <c r="G3887">
        <v>2012</v>
      </c>
      <c r="I3887" s="8">
        <v>92.24</v>
      </c>
      <c r="J3887" t="s">
        <v>40</v>
      </c>
      <c r="K3887" t="s">
        <v>47</v>
      </c>
      <c r="O3887">
        <v>0</v>
      </c>
      <c r="P3887">
        <v>0</v>
      </c>
      <c r="Q3887">
        <v>0</v>
      </c>
      <c r="R3887">
        <v>0</v>
      </c>
      <c r="W3887" t="s">
        <v>1120</v>
      </c>
      <c r="AA3887">
        <v>2007</v>
      </c>
      <c r="AB3887">
        <v>9999</v>
      </c>
      <c r="AC3887" t="s">
        <v>35</v>
      </c>
    </row>
    <row r="3888" spans="1:29" x14ac:dyDescent="0.25">
      <c r="A3888" s="31" t="s">
        <v>485</v>
      </c>
      <c r="B3888" s="23" t="s">
        <v>486</v>
      </c>
      <c r="D3888">
        <v>1</v>
      </c>
      <c r="E3888" t="s">
        <v>348</v>
      </c>
      <c r="F3888">
        <v>1</v>
      </c>
      <c r="G3888">
        <v>2012</v>
      </c>
      <c r="I3888" s="8">
        <v>181.57</v>
      </c>
      <c r="J3888" t="s">
        <v>40</v>
      </c>
      <c r="K3888" t="s">
        <v>47</v>
      </c>
      <c r="O3888">
        <v>0</v>
      </c>
      <c r="P3888">
        <v>0</v>
      </c>
      <c r="Q3888">
        <v>0</v>
      </c>
      <c r="R3888">
        <v>0</v>
      </c>
      <c r="W3888" t="s">
        <v>1120</v>
      </c>
      <c r="AA3888">
        <v>2007</v>
      </c>
      <c r="AB3888">
        <v>9999</v>
      </c>
      <c r="AC3888" t="s">
        <v>35</v>
      </c>
    </row>
    <row r="3889" spans="1:29" x14ac:dyDescent="0.25">
      <c r="A3889" s="31" t="s">
        <v>487</v>
      </c>
      <c r="B3889" s="23" t="s">
        <v>488</v>
      </c>
      <c r="D3889">
        <v>1</v>
      </c>
      <c r="E3889" t="s">
        <v>348</v>
      </c>
      <c r="F3889">
        <v>1</v>
      </c>
      <c r="G3889">
        <v>2012</v>
      </c>
      <c r="I3889" s="8">
        <v>153.93</v>
      </c>
      <c r="J3889" t="s">
        <v>40</v>
      </c>
      <c r="K3889" t="s">
        <v>47</v>
      </c>
      <c r="O3889">
        <v>0</v>
      </c>
      <c r="P3889">
        <v>0</v>
      </c>
      <c r="Q3889">
        <v>0</v>
      </c>
      <c r="R3889">
        <v>0</v>
      </c>
      <c r="W3889" t="s">
        <v>1120</v>
      </c>
      <c r="AA3889">
        <v>2007</v>
      </c>
      <c r="AB3889">
        <v>9999</v>
      </c>
      <c r="AC3889" t="s">
        <v>35</v>
      </c>
    </row>
    <row r="3890" spans="1:29" x14ac:dyDescent="0.25">
      <c r="A3890" s="31" t="s">
        <v>489</v>
      </c>
      <c r="B3890" s="23" t="s">
        <v>490</v>
      </c>
      <c r="D3890">
        <v>1</v>
      </c>
      <c r="E3890" t="s">
        <v>348</v>
      </c>
      <c r="F3890">
        <v>1</v>
      </c>
      <c r="G3890">
        <v>2012</v>
      </c>
      <c r="I3890" s="8">
        <v>195.13</v>
      </c>
      <c r="J3890" t="s">
        <v>40</v>
      </c>
      <c r="K3890" t="s">
        <v>47</v>
      </c>
      <c r="O3890">
        <v>0</v>
      </c>
      <c r="P3890">
        <v>0</v>
      </c>
      <c r="Q3890">
        <v>0</v>
      </c>
      <c r="R3890">
        <v>0</v>
      </c>
      <c r="W3890" t="s">
        <v>1120</v>
      </c>
      <c r="AA3890">
        <v>2007</v>
      </c>
      <c r="AB3890">
        <v>9999</v>
      </c>
      <c r="AC3890" t="s">
        <v>35</v>
      </c>
    </row>
    <row r="3891" spans="1:29" x14ac:dyDescent="0.25">
      <c r="A3891" s="31" t="s">
        <v>491</v>
      </c>
      <c r="B3891" s="23" t="s">
        <v>492</v>
      </c>
      <c r="D3891">
        <v>1</v>
      </c>
      <c r="E3891" t="s">
        <v>348</v>
      </c>
      <c r="F3891">
        <v>1</v>
      </c>
      <c r="G3891">
        <v>2012</v>
      </c>
      <c r="I3891" s="8">
        <v>205.79</v>
      </c>
      <c r="J3891" t="s">
        <v>40</v>
      </c>
      <c r="K3891" t="s">
        <v>47</v>
      </c>
      <c r="O3891">
        <v>0</v>
      </c>
      <c r="P3891">
        <v>0</v>
      </c>
      <c r="Q3891">
        <v>0</v>
      </c>
      <c r="R3891">
        <v>0</v>
      </c>
      <c r="W3891" t="s">
        <v>1120</v>
      </c>
      <c r="AA3891">
        <v>2007</v>
      </c>
      <c r="AB3891">
        <v>9999</v>
      </c>
      <c r="AC3891" t="s">
        <v>35</v>
      </c>
    </row>
    <row r="3892" spans="1:29" x14ac:dyDescent="0.25">
      <c r="A3892" s="31" t="s">
        <v>493</v>
      </c>
      <c r="B3892" s="23" t="s">
        <v>494</v>
      </c>
      <c r="D3892">
        <v>1</v>
      </c>
      <c r="E3892" t="s">
        <v>348</v>
      </c>
      <c r="F3892">
        <v>1</v>
      </c>
      <c r="G3892">
        <v>2012</v>
      </c>
      <c r="I3892" s="8">
        <v>186.45</v>
      </c>
      <c r="J3892" t="s">
        <v>40</v>
      </c>
      <c r="K3892" t="s">
        <v>47</v>
      </c>
      <c r="O3892">
        <v>0</v>
      </c>
      <c r="P3892">
        <v>0</v>
      </c>
      <c r="Q3892">
        <v>0</v>
      </c>
      <c r="R3892">
        <v>0</v>
      </c>
      <c r="W3892" t="s">
        <v>1120</v>
      </c>
      <c r="AA3892">
        <v>2007</v>
      </c>
      <c r="AB3892">
        <v>9999</v>
      </c>
      <c r="AC3892" t="s">
        <v>35</v>
      </c>
    </row>
    <row r="3893" spans="1:29" x14ac:dyDescent="0.25">
      <c r="A3893" s="31" t="s">
        <v>495</v>
      </c>
      <c r="B3893" s="23" t="s">
        <v>496</v>
      </c>
      <c r="D3893">
        <v>1</v>
      </c>
      <c r="E3893" t="s">
        <v>348</v>
      </c>
      <c r="F3893">
        <v>1</v>
      </c>
      <c r="G3893">
        <v>2012</v>
      </c>
      <c r="I3893" s="8">
        <v>138.09</v>
      </c>
      <c r="J3893" t="s">
        <v>40</v>
      </c>
      <c r="K3893" t="s">
        <v>47</v>
      </c>
      <c r="O3893">
        <v>0</v>
      </c>
      <c r="P3893">
        <v>0</v>
      </c>
      <c r="Q3893">
        <v>0</v>
      </c>
      <c r="R3893">
        <v>0</v>
      </c>
      <c r="W3893" t="s">
        <v>1120</v>
      </c>
      <c r="AA3893">
        <v>2007</v>
      </c>
      <c r="AB3893">
        <v>9999</v>
      </c>
      <c r="AC3893" t="s">
        <v>35</v>
      </c>
    </row>
    <row r="3894" spans="1:29" x14ac:dyDescent="0.25">
      <c r="A3894" s="31" t="s">
        <v>497</v>
      </c>
      <c r="B3894" s="23" t="s">
        <v>498</v>
      </c>
      <c r="D3894">
        <v>1</v>
      </c>
      <c r="E3894" t="s">
        <v>348</v>
      </c>
      <c r="F3894">
        <v>1</v>
      </c>
      <c r="G3894">
        <v>2012</v>
      </c>
      <c r="I3894" s="8">
        <v>248.28</v>
      </c>
      <c r="J3894" t="s">
        <v>40</v>
      </c>
      <c r="K3894" t="s">
        <v>47</v>
      </c>
      <c r="O3894">
        <v>0</v>
      </c>
      <c r="P3894">
        <v>0</v>
      </c>
      <c r="Q3894">
        <v>0</v>
      </c>
      <c r="R3894">
        <v>0</v>
      </c>
      <c r="W3894" t="s">
        <v>1120</v>
      </c>
      <c r="AA3894">
        <v>2007</v>
      </c>
      <c r="AB3894">
        <v>9999</v>
      </c>
      <c r="AC3894" t="s">
        <v>35</v>
      </c>
    </row>
    <row r="3895" spans="1:29" x14ac:dyDescent="0.25">
      <c r="A3895" s="31" t="s">
        <v>499</v>
      </c>
      <c r="B3895" s="23" t="s">
        <v>500</v>
      </c>
      <c r="D3895">
        <v>1</v>
      </c>
      <c r="E3895" t="s">
        <v>348</v>
      </c>
      <c r="F3895">
        <v>1</v>
      </c>
      <c r="G3895">
        <v>2012</v>
      </c>
      <c r="I3895" s="8">
        <v>411.02</v>
      </c>
      <c r="J3895" t="s">
        <v>40</v>
      </c>
      <c r="K3895" t="s">
        <v>47</v>
      </c>
      <c r="O3895">
        <v>0</v>
      </c>
      <c r="P3895">
        <v>0</v>
      </c>
      <c r="Q3895">
        <v>0</v>
      </c>
      <c r="R3895">
        <v>0</v>
      </c>
      <c r="W3895" t="s">
        <v>1120</v>
      </c>
      <c r="AA3895">
        <v>2007</v>
      </c>
      <c r="AB3895">
        <v>9999</v>
      </c>
      <c r="AC3895" t="s">
        <v>35</v>
      </c>
    </row>
    <row r="3896" spans="1:29" x14ac:dyDescent="0.25">
      <c r="A3896" s="31" t="s">
        <v>501</v>
      </c>
      <c r="B3896" s="23" t="s">
        <v>502</v>
      </c>
      <c r="D3896">
        <v>1</v>
      </c>
      <c r="E3896" t="s">
        <v>348</v>
      </c>
      <c r="F3896">
        <v>1</v>
      </c>
      <c r="G3896">
        <v>2012</v>
      </c>
      <c r="I3896" s="8">
        <v>379.25</v>
      </c>
      <c r="J3896" t="s">
        <v>40</v>
      </c>
      <c r="K3896" t="s">
        <v>47</v>
      </c>
      <c r="O3896">
        <v>0</v>
      </c>
      <c r="P3896">
        <v>0</v>
      </c>
      <c r="Q3896">
        <v>0</v>
      </c>
      <c r="R3896">
        <v>0</v>
      </c>
      <c r="W3896" t="s">
        <v>1120</v>
      </c>
      <c r="AA3896">
        <v>2007</v>
      </c>
      <c r="AB3896">
        <v>9999</v>
      </c>
      <c r="AC3896" t="s">
        <v>35</v>
      </c>
    </row>
    <row r="3897" spans="1:29" x14ac:dyDescent="0.25">
      <c r="A3897" s="31" t="s">
        <v>503</v>
      </c>
      <c r="B3897" s="23" t="s">
        <v>504</v>
      </c>
      <c r="D3897">
        <v>1</v>
      </c>
      <c r="E3897" t="s">
        <v>348</v>
      </c>
      <c r="F3897">
        <v>1</v>
      </c>
      <c r="G3897">
        <v>2012</v>
      </c>
      <c r="I3897" s="8">
        <v>144.56</v>
      </c>
      <c r="J3897" t="s">
        <v>40</v>
      </c>
      <c r="K3897" t="s">
        <v>47</v>
      </c>
      <c r="O3897">
        <v>0</v>
      </c>
      <c r="P3897">
        <v>0</v>
      </c>
      <c r="Q3897">
        <v>0</v>
      </c>
      <c r="R3897">
        <v>0</v>
      </c>
      <c r="W3897" t="s">
        <v>1120</v>
      </c>
      <c r="AA3897">
        <v>2007</v>
      </c>
      <c r="AB3897">
        <v>9999</v>
      </c>
      <c r="AC3897" t="s">
        <v>35</v>
      </c>
    </row>
    <row r="3898" spans="1:29" x14ac:dyDescent="0.25">
      <c r="A3898" s="31" t="s">
        <v>505</v>
      </c>
      <c r="B3898" s="23" t="s">
        <v>506</v>
      </c>
      <c r="D3898">
        <v>1</v>
      </c>
      <c r="E3898" t="s">
        <v>348</v>
      </c>
      <c r="F3898">
        <v>1</v>
      </c>
      <c r="G3898">
        <v>2012</v>
      </c>
      <c r="I3898" s="8">
        <v>151.88</v>
      </c>
      <c r="J3898" t="s">
        <v>40</v>
      </c>
      <c r="K3898" t="s">
        <v>47</v>
      </c>
      <c r="O3898">
        <v>0</v>
      </c>
      <c r="P3898">
        <v>0</v>
      </c>
      <c r="Q3898">
        <v>0</v>
      </c>
      <c r="R3898">
        <v>0</v>
      </c>
      <c r="W3898" t="s">
        <v>1120</v>
      </c>
      <c r="AA3898">
        <v>2007</v>
      </c>
      <c r="AB3898">
        <v>9999</v>
      </c>
      <c r="AC3898" t="s">
        <v>35</v>
      </c>
    </row>
    <row r="3899" spans="1:29" x14ac:dyDescent="0.25">
      <c r="A3899" s="31" t="s">
        <v>507</v>
      </c>
      <c r="B3899" s="23" t="s">
        <v>508</v>
      </c>
      <c r="D3899">
        <v>1</v>
      </c>
      <c r="E3899" t="s">
        <v>348</v>
      </c>
      <c r="F3899">
        <v>1</v>
      </c>
      <c r="G3899">
        <v>2012</v>
      </c>
      <c r="I3899" s="8">
        <v>174.56</v>
      </c>
      <c r="J3899" t="s">
        <v>40</v>
      </c>
      <c r="K3899" t="s">
        <v>47</v>
      </c>
      <c r="O3899">
        <v>0</v>
      </c>
      <c r="P3899">
        <v>0</v>
      </c>
      <c r="Q3899">
        <v>0</v>
      </c>
      <c r="R3899">
        <v>0</v>
      </c>
      <c r="W3899" t="s">
        <v>1120</v>
      </c>
      <c r="AA3899">
        <v>2007</v>
      </c>
      <c r="AB3899">
        <v>9999</v>
      </c>
      <c r="AC3899" t="s">
        <v>35</v>
      </c>
    </row>
    <row r="3900" spans="1:29" x14ac:dyDescent="0.25">
      <c r="A3900" s="31" t="s">
        <v>509</v>
      </c>
      <c r="B3900" s="23" t="s">
        <v>510</v>
      </c>
      <c r="D3900">
        <v>1</v>
      </c>
      <c r="E3900" t="s">
        <v>348</v>
      </c>
      <c r="F3900">
        <v>1</v>
      </c>
      <c r="G3900">
        <v>2012</v>
      </c>
      <c r="I3900" s="8">
        <v>205.76</v>
      </c>
      <c r="J3900" t="s">
        <v>40</v>
      </c>
      <c r="K3900" t="s">
        <v>47</v>
      </c>
      <c r="O3900">
        <v>0</v>
      </c>
      <c r="P3900">
        <v>0</v>
      </c>
      <c r="Q3900">
        <v>0</v>
      </c>
      <c r="R3900">
        <v>0</v>
      </c>
      <c r="W3900" t="s">
        <v>1120</v>
      </c>
      <c r="AA3900">
        <v>2007</v>
      </c>
      <c r="AB3900">
        <v>9999</v>
      </c>
      <c r="AC3900" t="s">
        <v>35</v>
      </c>
    </row>
    <row r="3901" spans="1:29" x14ac:dyDescent="0.25">
      <c r="A3901" s="31" t="s">
        <v>511</v>
      </c>
      <c r="B3901" s="23" t="s">
        <v>512</v>
      </c>
      <c r="D3901">
        <v>1</v>
      </c>
      <c r="E3901" t="s">
        <v>348</v>
      </c>
      <c r="F3901">
        <v>1</v>
      </c>
      <c r="G3901">
        <v>2012</v>
      </c>
      <c r="I3901" s="8">
        <v>203.65</v>
      </c>
      <c r="J3901" t="s">
        <v>40</v>
      </c>
      <c r="K3901" t="s">
        <v>47</v>
      </c>
      <c r="O3901">
        <v>0</v>
      </c>
      <c r="P3901">
        <v>0</v>
      </c>
      <c r="Q3901">
        <v>0</v>
      </c>
      <c r="R3901">
        <v>0</v>
      </c>
      <c r="W3901" t="s">
        <v>1120</v>
      </c>
      <c r="AA3901">
        <v>2007</v>
      </c>
      <c r="AB3901">
        <v>9999</v>
      </c>
      <c r="AC3901" t="s">
        <v>35</v>
      </c>
    </row>
    <row r="3902" spans="1:29" x14ac:dyDescent="0.25">
      <c r="A3902" s="31" t="s">
        <v>513</v>
      </c>
      <c r="B3902" s="23" t="s">
        <v>514</v>
      </c>
      <c r="D3902">
        <v>1</v>
      </c>
      <c r="E3902" t="s">
        <v>348</v>
      </c>
      <c r="F3902">
        <v>1</v>
      </c>
      <c r="G3902">
        <v>2012</v>
      </c>
      <c r="I3902" s="8">
        <v>146.06</v>
      </c>
      <c r="J3902" t="s">
        <v>40</v>
      </c>
      <c r="K3902" t="s">
        <v>47</v>
      </c>
      <c r="O3902">
        <v>0</v>
      </c>
      <c r="P3902">
        <v>0</v>
      </c>
      <c r="Q3902">
        <v>0</v>
      </c>
      <c r="R3902">
        <v>0</v>
      </c>
      <c r="W3902" t="s">
        <v>1120</v>
      </c>
      <c r="AA3902">
        <v>2007</v>
      </c>
      <c r="AB3902">
        <v>9999</v>
      </c>
      <c r="AC3902" t="s">
        <v>35</v>
      </c>
    </row>
    <row r="3903" spans="1:29" x14ac:dyDescent="0.25">
      <c r="A3903" s="31" t="s">
        <v>515</v>
      </c>
      <c r="B3903" s="23" t="s">
        <v>516</v>
      </c>
      <c r="D3903">
        <v>1</v>
      </c>
      <c r="E3903" t="s">
        <v>348</v>
      </c>
      <c r="F3903">
        <v>1</v>
      </c>
      <c r="G3903">
        <v>2012</v>
      </c>
      <c r="I3903" s="8">
        <v>696.1</v>
      </c>
      <c r="J3903" t="s">
        <v>40</v>
      </c>
      <c r="K3903" t="s">
        <v>47</v>
      </c>
      <c r="O3903">
        <v>0</v>
      </c>
      <c r="P3903">
        <v>0</v>
      </c>
      <c r="Q3903">
        <v>0</v>
      </c>
      <c r="R3903">
        <v>0</v>
      </c>
      <c r="W3903" t="s">
        <v>1120</v>
      </c>
      <c r="AA3903">
        <v>2007</v>
      </c>
      <c r="AB3903">
        <v>9999</v>
      </c>
      <c r="AC3903" t="s">
        <v>35</v>
      </c>
    </row>
    <row r="3904" spans="1:29" x14ac:dyDescent="0.25">
      <c r="A3904" s="31" t="s">
        <v>517</v>
      </c>
      <c r="B3904" s="23" t="s">
        <v>518</v>
      </c>
      <c r="D3904">
        <v>1</v>
      </c>
      <c r="E3904" t="s">
        <v>348</v>
      </c>
      <c r="F3904">
        <v>1</v>
      </c>
      <c r="G3904">
        <v>2012</v>
      </c>
      <c r="I3904" s="8">
        <v>163.82</v>
      </c>
      <c r="J3904" t="s">
        <v>40</v>
      </c>
      <c r="K3904" t="s">
        <v>47</v>
      </c>
      <c r="O3904">
        <v>0</v>
      </c>
      <c r="P3904">
        <v>0</v>
      </c>
      <c r="Q3904">
        <v>0</v>
      </c>
      <c r="R3904">
        <v>0</v>
      </c>
      <c r="W3904" t="s">
        <v>1120</v>
      </c>
      <c r="AA3904">
        <v>2007</v>
      </c>
      <c r="AB3904">
        <v>9999</v>
      </c>
      <c r="AC3904" t="s">
        <v>35</v>
      </c>
    </row>
    <row r="3905" spans="1:29" x14ac:dyDescent="0.25">
      <c r="A3905" s="31" t="s">
        <v>519</v>
      </c>
      <c r="B3905" s="23" t="s">
        <v>520</v>
      </c>
      <c r="D3905">
        <v>1</v>
      </c>
      <c r="E3905" t="s">
        <v>348</v>
      </c>
      <c r="F3905">
        <v>1</v>
      </c>
      <c r="G3905">
        <v>2012</v>
      </c>
      <c r="I3905" s="8">
        <v>206.83</v>
      </c>
      <c r="J3905" t="s">
        <v>40</v>
      </c>
      <c r="K3905" t="s">
        <v>47</v>
      </c>
      <c r="O3905">
        <v>0</v>
      </c>
      <c r="P3905">
        <v>0</v>
      </c>
      <c r="Q3905">
        <v>0</v>
      </c>
      <c r="R3905">
        <v>0</v>
      </c>
      <c r="W3905" t="s">
        <v>1120</v>
      </c>
      <c r="AA3905">
        <v>2007</v>
      </c>
      <c r="AB3905">
        <v>9999</v>
      </c>
      <c r="AC3905" t="s">
        <v>35</v>
      </c>
    </row>
    <row r="3906" spans="1:29" x14ac:dyDescent="0.25">
      <c r="A3906" s="31" t="s">
        <v>523</v>
      </c>
      <c r="B3906" s="23" t="s">
        <v>524</v>
      </c>
      <c r="D3906">
        <v>1</v>
      </c>
      <c r="E3906" t="s">
        <v>103</v>
      </c>
      <c r="F3906">
        <v>9</v>
      </c>
      <c r="G3906">
        <v>2012</v>
      </c>
      <c r="I3906" s="8">
        <v>1298.74</v>
      </c>
      <c r="J3906" t="s">
        <v>104</v>
      </c>
      <c r="K3906" t="s">
        <v>53</v>
      </c>
      <c r="L3906" t="s">
        <v>105</v>
      </c>
      <c r="O3906">
        <v>0</v>
      </c>
      <c r="P3906">
        <v>1</v>
      </c>
      <c r="Q3906">
        <v>0</v>
      </c>
      <c r="R3906">
        <v>0</v>
      </c>
      <c r="W3906" t="s">
        <v>106</v>
      </c>
      <c r="AA3906">
        <v>2007</v>
      </c>
      <c r="AB3906">
        <v>9999</v>
      </c>
      <c r="AC3906" t="s">
        <v>35</v>
      </c>
    </row>
    <row r="3907" spans="1:29" x14ac:dyDescent="0.25">
      <c r="A3907" s="31" t="s">
        <v>525</v>
      </c>
      <c r="B3907" s="23" t="s">
        <v>526</v>
      </c>
      <c r="D3907">
        <v>1</v>
      </c>
      <c r="E3907" t="s">
        <v>45</v>
      </c>
      <c r="F3907">
        <v>4</v>
      </c>
      <c r="G3907">
        <v>2012</v>
      </c>
      <c r="I3907" s="8">
        <v>8</v>
      </c>
      <c r="J3907" t="s">
        <v>121</v>
      </c>
      <c r="K3907" t="s">
        <v>53</v>
      </c>
      <c r="L3907" t="s">
        <v>60</v>
      </c>
      <c r="O3907">
        <v>1</v>
      </c>
      <c r="P3907">
        <v>0</v>
      </c>
      <c r="Q3907">
        <v>0</v>
      </c>
      <c r="R3907">
        <v>0</v>
      </c>
      <c r="W3907" t="s">
        <v>527</v>
      </c>
      <c r="AA3907">
        <v>2007</v>
      </c>
      <c r="AB3907">
        <v>2016</v>
      </c>
      <c r="AC3907" t="s">
        <v>528</v>
      </c>
    </row>
    <row r="3908" spans="1:29" x14ac:dyDescent="0.25">
      <c r="A3908" s="31" t="s">
        <v>529</v>
      </c>
      <c r="B3908" s="23" t="s">
        <v>530</v>
      </c>
      <c r="D3908">
        <v>1</v>
      </c>
      <c r="E3908" t="s">
        <v>58</v>
      </c>
      <c r="F3908">
        <v>4</v>
      </c>
      <c r="G3908">
        <v>2012</v>
      </c>
      <c r="I3908" s="8">
        <v>11.07</v>
      </c>
      <c r="J3908" t="s">
        <v>59</v>
      </c>
      <c r="K3908" t="s">
        <v>47</v>
      </c>
      <c r="O3908">
        <v>0</v>
      </c>
      <c r="P3908">
        <v>0</v>
      </c>
      <c r="Q3908">
        <v>0</v>
      </c>
      <c r="R3908">
        <v>0</v>
      </c>
      <c r="W3908" t="s">
        <v>1121</v>
      </c>
      <c r="AA3908">
        <v>2007</v>
      </c>
      <c r="AB3908">
        <v>9999</v>
      </c>
      <c r="AC3908" t="s">
        <v>35</v>
      </c>
    </row>
    <row r="3909" spans="1:29" x14ac:dyDescent="0.25">
      <c r="A3909" s="31" t="s">
        <v>532</v>
      </c>
      <c r="B3909" s="23" t="s">
        <v>533</v>
      </c>
      <c r="D3909">
        <v>1</v>
      </c>
      <c r="E3909" t="s">
        <v>534</v>
      </c>
      <c r="F3909">
        <v>10</v>
      </c>
      <c r="G3909">
        <v>2012</v>
      </c>
      <c r="I3909" s="8">
        <v>3037.36</v>
      </c>
      <c r="J3909" t="s">
        <v>121</v>
      </c>
      <c r="K3909" t="s">
        <v>47</v>
      </c>
      <c r="O3909">
        <v>0</v>
      </c>
      <c r="P3909">
        <v>0</v>
      </c>
      <c r="Q3909">
        <v>0</v>
      </c>
      <c r="R3909">
        <v>0</v>
      </c>
      <c r="W3909" t="s">
        <v>1122</v>
      </c>
      <c r="AA3909">
        <v>2007</v>
      </c>
      <c r="AB3909">
        <v>9999</v>
      </c>
      <c r="AC3909" t="s">
        <v>35</v>
      </c>
    </row>
    <row r="3910" spans="1:29" x14ac:dyDescent="0.25">
      <c r="A3910" s="31" t="s">
        <v>536</v>
      </c>
      <c r="B3910" s="23" t="s">
        <v>537</v>
      </c>
      <c r="D3910">
        <v>1</v>
      </c>
      <c r="E3910" t="s">
        <v>103</v>
      </c>
      <c r="F3910">
        <v>9</v>
      </c>
      <c r="G3910">
        <v>2012</v>
      </c>
      <c r="I3910" s="8">
        <v>955.59</v>
      </c>
      <c r="J3910" t="s">
        <v>104</v>
      </c>
      <c r="K3910" t="s">
        <v>53</v>
      </c>
      <c r="L3910" t="s">
        <v>105</v>
      </c>
      <c r="O3910">
        <v>0</v>
      </c>
      <c r="P3910">
        <v>1</v>
      </c>
      <c r="Q3910">
        <v>0</v>
      </c>
      <c r="R3910">
        <v>0</v>
      </c>
      <c r="W3910" t="s">
        <v>106</v>
      </c>
      <c r="AA3910">
        <v>2007</v>
      </c>
      <c r="AB3910">
        <v>9999</v>
      </c>
      <c r="AC3910" t="s">
        <v>35</v>
      </c>
    </row>
    <row r="3911" spans="1:29" x14ac:dyDescent="0.25">
      <c r="A3911" s="31" t="s">
        <v>538</v>
      </c>
      <c r="B3911" s="23" t="s">
        <v>539</v>
      </c>
      <c r="D3911">
        <v>1</v>
      </c>
      <c r="E3911" t="s">
        <v>80</v>
      </c>
      <c r="F3911">
        <v>8</v>
      </c>
      <c r="G3911">
        <v>2012</v>
      </c>
      <c r="I3911" s="8">
        <v>127.56</v>
      </c>
      <c r="J3911" t="s">
        <v>81</v>
      </c>
      <c r="K3911" t="s">
        <v>47</v>
      </c>
      <c r="O3911">
        <v>0</v>
      </c>
      <c r="P3911">
        <v>0</v>
      </c>
      <c r="Q3911">
        <v>0</v>
      </c>
      <c r="R3911">
        <v>0</v>
      </c>
      <c r="W3911" t="s">
        <v>1123</v>
      </c>
      <c r="AA3911">
        <v>2007</v>
      </c>
      <c r="AB3911">
        <v>9999</v>
      </c>
      <c r="AC3911" t="s">
        <v>35</v>
      </c>
    </row>
    <row r="3912" spans="1:29" x14ac:dyDescent="0.25">
      <c r="A3912" s="31" t="s">
        <v>541</v>
      </c>
      <c r="B3912" s="23" t="s">
        <v>542</v>
      </c>
      <c r="D3912">
        <v>1</v>
      </c>
      <c r="E3912" t="s">
        <v>543</v>
      </c>
      <c r="F3912">
        <v>10</v>
      </c>
      <c r="G3912">
        <v>2012</v>
      </c>
      <c r="I3912">
        <v>27.77</v>
      </c>
      <c r="J3912" t="s">
        <v>40</v>
      </c>
      <c r="K3912" t="s">
        <v>47</v>
      </c>
      <c r="O3912">
        <v>0</v>
      </c>
      <c r="P3912">
        <v>0</v>
      </c>
      <c r="Q3912">
        <v>0</v>
      </c>
      <c r="R3912">
        <v>0</v>
      </c>
      <c r="W3912" t="s">
        <v>1124</v>
      </c>
      <c r="AA3912">
        <v>2007</v>
      </c>
      <c r="AB3912">
        <v>9999</v>
      </c>
      <c r="AC3912" t="s">
        <v>35</v>
      </c>
    </row>
    <row r="3913" spans="1:29" x14ac:dyDescent="0.25">
      <c r="A3913" s="31" t="s">
        <v>545</v>
      </c>
      <c r="B3913" s="23" t="s">
        <v>546</v>
      </c>
      <c r="D3913">
        <v>1</v>
      </c>
      <c r="E3913" t="s">
        <v>1361</v>
      </c>
      <c r="F3913">
        <v>10</v>
      </c>
      <c r="G3913">
        <v>2012</v>
      </c>
      <c r="I3913">
        <v>10.75</v>
      </c>
      <c r="J3913" t="s">
        <v>40</v>
      </c>
      <c r="K3913" t="s">
        <v>47</v>
      </c>
      <c r="O3913">
        <v>0</v>
      </c>
      <c r="P3913">
        <v>0</v>
      </c>
      <c r="Q3913">
        <v>0</v>
      </c>
      <c r="R3913">
        <v>0</v>
      </c>
      <c r="W3913" t="s">
        <v>1125</v>
      </c>
      <c r="AA3913">
        <v>2007</v>
      </c>
      <c r="AB3913">
        <v>9999</v>
      </c>
      <c r="AC3913" t="s">
        <v>35</v>
      </c>
    </row>
    <row r="3914" spans="1:29" x14ac:dyDescent="0.25">
      <c r="A3914" s="31" t="s">
        <v>1400</v>
      </c>
      <c r="B3914" s="25" t="s">
        <v>1401</v>
      </c>
      <c r="D3914">
        <v>1</v>
      </c>
      <c r="E3914" s="5" t="s">
        <v>80</v>
      </c>
      <c r="F3914">
        <v>8</v>
      </c>
      <c r="G3914">
        <v>2012</v>
      </c>
      <c r="I3914">
        <v>5.5</v>
      </c>
      <c r="J3914" t="s">
        <v>81</v>
      </c>
      <c r="K3914" t="s">
        <v>47</v>
      </c>
      <c r="O3914">
        <v>0</v>
      </c>
      <c r="P3914">
        <v>0</v>
      </c>
      <c r="Q3914">
        <v>0</v>
      </c>
      <c r="R3914">
        <v>0</v>
      </c>
      <c r="W3914" t="s">
        <v>1402</v>
      </c>
      <c r="AA3914">
        <v>2012</v>
      </c>
      <c r="AB3914">
        <v>9999</v>
      </c>
      <c r="AC3914" t="s">
        <v>1398</v>
      </c>
    </row>
    <row r="3915" spans="1:29" x14ac:dyDescent="0.25">
      <c r="A3915" s="31" t="s">
        <v>1362</v>
      </c>
      <c r="B3915" s="23" t="s">
        <v>1403</v>
      </c>
      <c r="D3915">
        <v>1</v>
      </c>
      <c r="E3915" t="s">
        <v>631</v>
      </c>
      <c r="F3915">
        <v>8</v>
      </c>
      <c r="G3915">
        <v>2012</v>
      </c>
      <c r="I3915">
        <v>22.9</v>
      </c>
      <c r="J3915" t="s">
        <v>81</v>
      </c>
      <c r="K3915" t="s">
        <v>47</v>
      </c>
      <c r="O3915">
        <v>0</v>
      </c>
      <c r="P3915">
        <v>0</v>
      </c>
      <c r="Q3915">
        <v>0</v>
      </c>
      <c r="R3915">
        <v>0</v>
      </c>
      <c r="W3915" t="s">
        <v>1364</v>
      </c>
      <c r="AA3915">
        <v>2011</v>
      </c>
      <c r="AB3915">
        <v>9999</v>
      </c>
      <c r="AC3915" t="s">
        <v>1365</v>
      </c>
    </row>
    <row r="3916" spans="1:29" x14ac:dyDescent="0.25">
      <c r="A3916" s="31" t="s">
        <v>1248</v>
      </c>
      <c r="B3916" s="23" t="s">
        <v>1249</v>
      </c>
      <c r="C3916" t="s">
        <v>1250</v>
      </c>
      <c r="D3916">
        <v>1</v>
      </c>
      <c r="E3916" t="s">
        <v>1251</v>
      </c>
      <c r="F3916">
        <v>2</v>
      </c>
      <c r="G3916">
        <v>2012</v>
      </c>
      <c r="I3916">
        <v>921.18</v>
      </c>
      <c r="J3916" t="s">
        <v>147</v>
      </c>
      <c r="K3916" t="s">
        <v>47</v>
      </c>
      <c r="O3916">
        <v>0</v>
      </c>
      <c r="P3916">
        <v>0</v>
      </c>
      <c r="Q3916">
        <v>0</v>
      </c>
      <c r="R3916">
        <v>0</v>
      </c>
      <c r="W3916" t="s">
        <v>1252</v>
      </c>
      <c r="AA3916">
        <v>2009</v>
      </c>
      <c r="AB3916">
        <v>9999</v>
      </c>
      <c r="AC3916" t="s">
        <v>1239</v>
      </c>
    </row>
    <row r="3917" spans="1:29" ht="30" x14ac:dyDescent="0.25">
      <c r="A3917" s="31" t="s">
        <v>1305</v>
      </c>
      <c r="B3917" s="23" t="s">
        <v>1306</v>
      </c>
      <c r="C3917" t="s">
        <v>1307</v>
      </c>
      <c r="D3917">
        <v>1</v>
      </c>
      <c r="E3917" t="s">
        <v>45</v>
      </c>
      <c r="F3917">
        <v>4</v>
      </c>
      <c r="G3917">
        <v>2012</v>
      </c>
      <c r="I3917">
        <v>53.1</v>
      </c>
      <c r="J3917" t="s">
        <v>89</v>
      </c>
      <c r="K3917" t="s">
        <v>47</v>
      </c>
      <c r="O3917">
        <v>0</v>
      </c>
      <c r="P3917">
        <v>0</v>
      </c>
      <c r="Q3917">
        <v>0</v>
      </c>
      <c r="R3917">
        <v>0</v>
      </c>
      <c r="W3917" t="s">
        <v>1308</v>
      </c>
      <c r="AA3917">
        <v>2010</v>
      </c>
      <c r="AB3917">
        <v>9999</v>
      </c>
      <c r="AC3917" t="s">
        <v>1292</v>
      </c>
    </row>
    <row r="3918" spans="1:29" x14ac:dyDescent="0.25">
      <c r="A3918" s="31" t="s">
        <v>556</v>
      </c>
      <c r="B3918" s="23" t="s">
        <v>557</v>
      </c>
      <c r="D3918">
        <v>1</v>
      </c>
      <c r="E3918" t="s">
        <v>45</v>
      </c>
      <c r="F3918">
        <v>4</v>
      </c>
      <c r="G3918">
        <v>2012</v>
      </c>
      <c r="I3918">
        <v>34.99</v>
      </c>
      <c r="J3918" t="s">
        <v>176</v>
      </c>
      <c r="K3918" t="s">
        <v>47</v>
      </c>
      <c r="O3918">
        <v>0</v>
      </c>
      <c r="P3918">
        <v>0</v>
      </c>
      <c r="Q3918">
        <v>0</v>
      </c>
      <c r="R3918">
        <v>0</v>
      </c>
      <c r="W3918" t="s">
        <v>1127</v>
      </c>
      <c r="AA3918">
        <v>2007</v>
      </c>
      <c r="AB3918">
        <v>2012</v>
      </c>
      <c r="AC3918" t="s">
        <v>302</v>
      </c>
    </row>
    <row r="3919" spans="1:29" x14ac:dyDescent="0.25">
      <c r="A3919" s="31" t="s">
        <v>1366</v>
      </c>
      <c r="B3919" s="23" t="s">
        <v>1367</v>
      </c>
      <c r="C3919" t="s">
        <v>1368</v>
      </c>
      <c r="D3919">
        <v>1</v>
      </c>
      <c r="E3919" t="s">
        <v>468</v>
      </c>
      <c r="F3919">
        <v>7</v>
      </c>
      <c r="G3919">
        <v>2012</v>
      </c>
      <c r="I3919">
        <v>7.5</v>
      </c>
      <c r="J3919" t="s">
        <v>40</v>
      </c>
      <c r="K3919" t="s">
        <v>32</v>
      </c>
      <c r="O3919">
        <v>0</v>
      </c>
      <c r="P3919">
        <v>0</v>
      </c>
      <c r="Q3919">
        <v>0</v>
      </c>
      <c r="R3919">
        <v>0</v>
      </c>
      <c r="W3919" t="s">
        <v>1369</v>
      </c>
      <c r="AA3919">
        <v>2011</v>
      </c>
      <c r="AB3919">
        <v>9999</v>
      </c>
      <c r="AC3919" t="s">
        <v>1365</v>
      </c>
    </row>
    <row r="3920" spans="1:29" x14ac:dyDescent="0.25">
      <c r="A3920" s="31" t="s">
        <v>1309</v>
      </c>
      <c r="B3920" s="23" t="s">
        <v>1310</v>
      </c>
      <c r="C3920" t="s">
        <v>1311</v>
      </c>
      <c r="D3920">
        <v>1</v>
      </c>
      <c r="E3920" t="s">
        <v>1312</v>
      </c>
      <c r="F3920">
        <v>9</v>
      </c>
      <c r="G3920">
        <v>2012</v>
      </c>
      <c r="I3920">
        <v>91.22</v>
      </c>
      <c r="J3920" t="s">
        <v>104</v>
      </c>
      <c r="K3920" t="s">
        <v>47</v>
      </c>
      <c r="O3920">
        <v>0</v>
      </c>
      <c r="P3920">
        <v>0</v>
      </c>
      <c r="Q3920">
        <v>0</v>
      </c>
      <c r="R3920">
        <v>0</v>
      </c>
      <c r="W3920" t="s">
        <v>1404</v>
      </c>
      <c r="AA3920">
        <v>2010</v>
      </c>
      <c r="AB3920">
        <v>9999</v>
      </c>
      <c r="AC3920" t="s">
        <v>1292</v>
      </c>
    </row>
    <row r="3921" spans="1:29" x14ac:dyDescent="0.25">
      <c r="A3921" s="31" t="s">
        <v>559</v>
      </c>
      <c r="B3921" s="23" t="s">
        <v>560</v>
      </c>
      <c r="C3921" t="s">
        <v>561</v>
      </c>
      <c r="D3921">
        <v>1</v>
      </c>
      <c r="E3921" t="s">
        <v>103</v>
      </c>
      <c r="F3921">
        <v>9</v>
      </c>
      <c r="G3921">
        <v>2012</v>
      </c>
      <c r="I3921">
        <v>797.18</v>
      </c>
      <c r="J3921" t="s">
        <v>104</v>
      </c>
      <c r="K3921" t="s">
        <v>53</v>
      </c>
      <c r="L3921" t="s">
        <v>105</v>
      </c>
      <c r="O3921">
        <v>0</v>
      </c>
      <c r="P3921">
        <v>1</v>
      </c>
      <c r="Q3921">
        <v>0</v>
      </c>
      <c r="R3921">
        <v>0</v>
      </c>
      <c r="W3921" t="s">
        <v>106</v>
      </c>
      <c r="AA3921">
        <v>2007</v>
      </c>
      <c r="AB3921">
        <v>9999</v>
      </c>
      <c r="AC3921" t="s">
        <v>35</v>
      </c>
    </row>
    <row r="3922" spans="1:29" ht="30" x14ac:dyDescent="0.25">
      <c r="A3922" s="31" t="s">
        <v>562</v>
      </c>
      <c r="B3922" s="23" t="s">
        <v>563</v>
      </c>
      <c r="D3922">
        <v>1</v>
      </c>
      <c r="E3922" t="s">
        <v>80</v>
      </c>
      <c r="F3922">
        <v>8</v>
      </c>
      <c r="G3922">
        <v>2012</v>
      </c>
      <c r="I3922">
        <v>145.1</v>
      </c>
      <c r="J3922" t="s">
        <v>81</v>
      </c>
      <c r="K3922" t="s">
        <v>47</v>
      </c>
      <c r="O3922">
        <v>0</v>
      </c>
      <c r="P3922">
        <v>0</v>
      </c>
      <c r="Q3922">
        <v>0</v>
      </c>
      <c r="R3922">
        <v>0</v>
      </c>
      <c r="W3922" t="s">
        <v>1128</v>
      </c>
      <c r="AA3922">
        <v>2007</v>
      </c>
      <c r="AB3922">
        <v>9999</v>
      </c>
      <c r="AC3922" t="s">
        <v>35</v>
      </c>
    </row>
    <row r="3923" spans="1:29" x14ac:dyDescent="0.25">
      <c r="A3923" s="31" t="s">
        <v>568</v>
      </c>
      <c r="B3923" s="23" t="s">
        <v>569</v>
      </c>
      <c r="D3923">
        <v>1</v>
      </c>
      <c r="E3923" t="s">
        <v>80</v>
      </c>
      <c r="F3923">
        <v>8</v>
      </c>
      <c r="G3923">
        <v>2012</v>
      </c>
      <c r="I3923">
        <v>232.34</v>
      </c>
      <c r="J3923" t="s">
        <v>81</v>
      </c>
      <c r="K3923" t="s">
        <v>47</v>
      </c>
      <c r="O3923">
        <v>0</v>
      </c>
      <c r="P3923">
        <v>0</v>
      </c>
      <c r="Q3923">
        <v>0</v>
      </c>
      <c r="R3923">
        <v>0</v>
      </c>
      <c r="W3923" t="s">
        <v>1129</v>
      </c>
      <c r="AA3923">
        <v>2007</v>
      </c>
      <c r="AB3923">
        <v>9999</v>
      </c>
      <c r="AC3923" t="s">
        <v>35</v>
      </c>
    </row>
    <row r="3924" spans="1:29" x14ac:dyDescent="0.25">
      <c r="A3924" s="31" t="s">
        <v>571</v>
      </c>
      <c r="B3924" s="23" t="s">
        <v>572</v>
      </c>
      <c r="D3924">
        <v>1</v>
      </c>
      <c r="E3924" t="s">
        <v>370</v>
      </c>
      <c r="F3924">
        <v>5</v>
      </c>
      <c r="G3924">
        <v>2012</v>
      </c>
      <c r="I3924">
        <v>464.21</v>
      </c>
      <c r="J3924" t="s">
        <v>31</v>
      </c>
      <c r="K3924" t="s">
        <v>47</v>
      </c>
      <c r="O3924">
        <v>0</v>
      </c>
      <c r="P3924">
        <v>0</v>
      </c>
      <c r="Q3924">
        <v>0</v>
      </c>
      <c r="R3924">
        <v>0</v>
      </c>
      <c r="W3924" t="s">
        <v>1314</v>
      </c>
      <c r="AA3924">
        <v>2007</v>
      </c>
      <c r="AB3924">
        <v>9999</v>
      </c>
      <c r="AC3924" t="s">
        <v>35</v>
      </c>
    </row>
    <row r="3925" spans="1:29" x14ac:dyDescent="0.25">
      <c r="A3925" s="31" t="s">
        <v>574</v>
      </c>
      <c r="B3925" s="23" t="s">
        <v>575</v>
      </c>
      <c r="D3925">
        <v>1</v>
      </c>
      <c r="E3925" t="s">
        <v>222</v>
      </c>
      <c r="F3925">
        <v>1</v>
      </c>
      <c r="G3925">
        <v>2012</v>
      </c>
      <c r="I3925">
        <v>38.729999999999997</v>
      </c>
      <c r="J3925" t="s">
        <v>176</v>
      </c>
      <c r="K3925" t="s">
        <v>47</v>
      </c>
      <c r="O3925">
        <v>0</v>
      </c>
      <c r="P3925">
        <v>0</v>
      </c>
      <c r="Q3925">
        <v>0</v>
      </c>
      <c r="R3925">
        <v>0</v>
      </c>
      <c r="W3925" t="s">
        <v>1131</v>
      </c>
      <c r="AA3925">
        <v>2007</v>
      </c>
      <c r="AB3925">
        <v>9999</v>
      </c>
      <c r="AC3925" t="s">
        <v>35</v>
      </c>
    </row>
    <row r="3926" spans="1:29" x14ac:dyDescent="0.25">
      <c r="A3926" s="31" t="s">
        <v>577</v>
      </c>
      <c r="B3926" s="25" t="s">
        <v>578</v>
      </c>
      <c r="D3926">
        <v>1</v>
      </c>
      <c r="E3926" t="s">
        <v>396</v>
      </c>
      <c r="F3926">
        <v>3</v>
      </c>
      <c r="G3926">
        <v>2012</v>
      </c>
      <c r="H3926" t="s">
        <v>579</v>
      </c>
      <c r="J3926" t="s">
        <v>121</v>
      </c>
      <c r="K3926" t="s">
        <v>41</v>
      </c>
      <c r="O3926">
        <v>0</v>
      </c>
      <c r="P3926">
        <v>0</v>
      </c>
      <c r="Q3926">
        <v>0</v>
      </c>
      <c r="R3926">
        <v>0</v>
      </c>
      <c r="W3926" t="s">
        <v>1132</v>
      </c>
      <c r="AA3926">
        <v>2007</v>
      </c>
      <c r="AB3926">
        <v>9999</v>
      </c>
      <c r="AC3926" t="s">
        <v>35</v>
      </c>
    </row>
    <row r="3927" spans="1:29" x14ac:dyDescent="0.25">
      <c r="A3927" s="31" t="s">
        <v>581</v>
      </c>
      <c r="B3927" s="23" t="s">
        <v>582</v>
      </c>
      <c r="D3927">
        <v>1</v>
      </c>
      <c r="E3927" t="s">
        <v>80</v>
      </c>
      <c r="F3927">
        <v>8</v>
      </c>
      <c r="G3927">
        <v>2012</v>
      </c>
      <c r="H3927" t="s">
        <v>1315</v>
      </c>
      <c r="J3927" t="s">
        <v>81</v>
      </c>
      <c r="K3927" t="s">
        <v>41</v>
      </c>
      <c r="O3927">
        <v>0</v>
      </c>
      <c r="P3927">
        <v>0</v>
      </c>
      <c r="Q3927">
        <v>0</v>
      </c>
      <c r="R3927">
        <v>0</v>
      </c>
      <c r="W3927" t="s">
        <v>1133</v>
      </c>
      <c r="AA3927">
        <v>2007</v>
      </c>
      <c r="AB3927">
        <v>9999</v>
      </c>
      <c r="AC3927" t="s">
        <v>35</v>
      </c>
    </row>
    <row r="3928" spans="1:29" x14ac:dyDescent="0.25">
      <c r="A3928" s="31" t="s">
        <v>590</v>
      </c>
      <c r="B3928" s="23" t="s">
        <v>591</v>
      </c>
      <c r="D3928">
        <v>1</v>
      </c>
      <c r="E3928" t="s">
        <v>592</v>
      </c>
      <c r="F3928">
        <v>8</v>
      </c>
      <c r="G3928">
        <v>2012</v>
      </c>
      <c r="I3928" s="8">
        <v>4.3499999999999996</v>
      </c>
      <c r="J3928" t="s">
        <v>40</v>
      </c>
      <c r="K3928" t="s">
        <v>41</v>
      </c>
      <c r="O3928">
        <v>0</v>
      </c>
      <c r="P3928">
        <v>0</v>
      </c>
      <c r="Q3928">
        <v>0</v>
      </c>
      <c r="R3928">
        <v>0</v>
      </c>
      <c r="W3928" t="s">
        <v>1134</v>
      </c>
      <c r="AA3928">
        <v>2007</v>
      </c>
      <c r="AB3928">
        <v>9999</v>
      </c>
      <c r="AC3928" t="s">
        <v>35</v>
      </c>
    </row>
    <row r="3929" spans="1:29" x14ac:dyDescent="0.25">
      <c r="A3929" s="31" t="s">
        <v>594</v>
      </c>
      <c r="B3929" s="25" t="s">
        <v>595</v>
      </c>
      <c r="D3929">
        <v>1</v>
      </c>
      <c r="E3929" t="s">
        <v>38</v>
      </c>
      <c r="F3929">
        <v>4</v>
      </c>
      <c r="G3929">
        <v>2012</v>
      </c>
      <c r="H3929" t="s">
        <v>906</v>
      </c>
      <c r="J3929" t="s">
        <v>59</v>
      </c>
      <c r="K3929" t="s">
        <v>41</v>
      </c>
      <c r="O3929">
        <v>0</v>
      </c>
      <c r="P3929">
        <v>0</v>
      </c>
      <c r="Q3929">
        <v>0</v>
      </c>
      <c r="R3929">
        <v>0</v>
      </c>
      <c r="W3929" t="s">
        <v>1135</v>
      </c>
      <c r="AA3929">
        <v>2007</v>
      </c>
      <c r="AB3929">
        <v>9999</v>
      </c>
      <c r="AC3929" t="s">
        <v>35</v>
      </c>
    </row>
    <row r="3930" spans="1:29" x14ac:dyDescent="0.25">
      <c r="A3930" s="31" t="s">
        <v>1253</v>
      </c>
      <c r="B3930" s="25" t="s">
        <v>598</v>
      </c>
      <c r="D3930">
        <v>1</v>
      </c>
      <c r="E3930" t="s">
        <v>38</v>
      </c>
      <c r="F3930">
        <v>4</v>
      </c>
      <c r="G3930">
        <v>2012</v>
      </c>
      <c r="J3930" t="s">
        <v>59</v>
      </c>
      <c r="K3930" t="s">
        <v>41</v>
      </c>
      <c r="O3930">
        <v>0</v>
      </c>
      <c r="P3930">
        <v>0</v>
      </c>
      <c r="Q3930">
        <v>0</v>
      </c>
      <c r="R3930">
        <v>0</v>
      </c>
      <c r="W3930" t="s">
        <v>1254</v>
      </c>
      <c r="AA3930">
        <v>2009</v>
      </c>
      <c r="AB3930">
        <v>9999</v>
      </c>
      <c r="AC3930" t="s">
        <v>1239</v>
      </c>
    </row>
    <row r="3931" spans="1:29" x14ac:dyDescent="0.25">
      <c r="A3931" s="31" t="s">
        <v>601</v>
      </c>
      <c r="B3931" s="25" t="s">
        <v>602</v>
      </c>
      <c r="D3931">
        <v>1</v>
      </c>
      <c r="E3931" t="s">
        <v>145</v>
      </c>
      <c r="F3931">
        <v>2</v>
      </c>
      <c r="G3931">
        <v>2012</v>
      </c>
      <c r="H3931" t="s">
        <v>596</v>
      </c>
      <c r="J3931" s="2" t="s">
        <v>89</v>
      </c>
      <c r="K3931" t="s">
        <v>41</v>
      </c>
      <c r="O3931">
        <v>0</v>
      </c>
      <c r="P3931">
        <v>0</v>
      </c>
      <c r="Q3931">
        <v>0</v>
      </c>
      <c r="R3931">
        <v>0</v>
      </c>
      <c r="W3931" t="s">
        <v>1137</v>
      </c>
      <c r="AA3931">
        <v>2007</v>
      </c>
      <c r="AB3931">
        <v>9999</v>
      </c>
      <c r="AC3931" t="s">
        <v>35</v>
      </c>
    </row>
    <row r="3932" spans="1:29" x14ac:dyDescent="0.25">
      <c r="A3932" s="31" t="s">
        <v>611</v>
      </c>
      <c r="B3932" s="23" t="s">
        <v>612</v>
      </c>
      <c r="D3932">
        <v>1</v>
      </c>
      <c r="E3932" t="s">
        <v>103</v>
      </c>
      <c r="F3932">
        <v>9</v>
      </c>
      <c r="G3932">
        <v>2012</v>
      </c>
      <c r="I3932" s="8">
        <v>23.57</v>
      </c>
      <c r="J3932" t="s">
        <v>104</v>
      </c>
      <c r="K3932" t="s">
        <v>53</v>
      </c>
      <c r="L3932" t="s">
        <v>105</v>
      </c>
      <c r="O3932">
        <v>0</v>
      </c>
      <c r="P3932">
        <v>1</v>
      </c>
      <c r="Q3932">
        <v>0</v>
      </c>
      <c r="R3932">
        <v>0</v>
      </c>
      <c r="W3932" t="s">
        <v>106</v>
      </c>
      <c r="AA3932">
        <v>2007</v>
      </c>
      <c r="AB3932">
        <v>2013</v>
      </c>
      <c r="AC3932" t="s">
        <v>139</v>
      </c>
    </row>
    <row r="3933" spans="1:29" x14ac:dyDescent="0.25">
      <c r="A3933" s="31" t="s">
        <v>613</v>
      </c>
      <c r="B3933" s="23" t="s">
        <v>254</v>
      </c>
      <c r="C3933" t="s">
        <v>614</v>
      </c>
      <c r="D3933">
        <v>1</v>
      </c>
      <c r="E3933" t="s">
        <v>45</v>
      </c>
      <c r="F3933">
        <v>4</v>
      </c>
      <c r="G3933">
        <v>2012</v>
      </c>
      <c r="I3933" s="8">
        <v>322.86</v>
      </c>
      <c r="J3933" t="s">
        <v>89</v>
      </c>
      <c r="K3933" t="s">
        <v>47</v>
      </c>
      <c r="O3933">
        <v>0</v>
      </c>
      <c r="P3933">
        <v>0</v>
      </c>
      <c r="Q3933">
        <v>0</v>
      </c>
      <c r="R3933">
        <v>0</v>
      </c>
      <c r="W3933" t="s">
        <v>1140</v>
      </c>
      <c r="AA3933">
        <v>2007</v>
      </c>
      <c r="AB3933">
        <v>9999</v>
      </c>
      <c r="AC3933" t="s">
        <v>35</v>
      </c>
    </row>
    <row r="3934" spans="1:29" x14ac:dyDescent="0.25">
      <c r="A3934" s="31" t="s">
        <v>616</v>
      </c>
      <c r="B3934" s="23" t="s">
        <v>617</v>
      </c>
      <c r="D3934">
        <v>1</v>
      </c>
      <c r="E3934" t="s">
        <v>45</v>
      </c>
      <c r="F3934">
        <v>4</v>
      </c>
      <c r="G3934">
        <v>2012</v>
      </c>
      <c r="I3934" s="8">
        <v>15.25</v>
      </c>
      <c r="J3934" t="s">
        <v>89</v>
      </c>
      <c r="K3934" t="s">
        <v>53</v>
      </c>
      <c r="L3934" t="s">
        <v>60</v>
      </c>
      <c r="O3934">
        <v>1</v>
      </c>
      <c r="P3934">
        <v>0</v>
      </c>
      <c r="Q3934">
        <v>0</v>
      </c>
      <c r="R3934">
        <v>0</v>
      </c>
      <c r="W3934" t="s">
        <v>618</v>
      </c>
      <c r="AA3934">
        <v>2007</v>
      </c>
      <c r="AB3934">
        <v>2016</v>
      </c>
      <c r="AC3934" t="s">
        <v>528</v>
      </c>
    </row>
    <row r="3935" spans="1:29" x14ac:dyDescent="0.25">
      <c r="A3935" s="31" t="s">
        <v>1370</v>
      </c>
      <c r="B3935" s="25" t="s">
        <v>1371</v>
      </c>
      <c r="D3935">
        <v>1</v>
      </c>
      <c r="E3935" s="4">
        <v>411</v>
      </c>
      <c r="F3935">
        <v>4</v>
      </c>
      <c r="G3935">
        <v>2012</v>
      </c>
      <c r="H3935" t="s">
        <v>111</v>
      </c>
      <c r="J3935" t="s">
        <v>89</v>
      </c>
      <c r="K3935" t="s">
        <v>41</v>
      </c>
      <c r="O3935">
        <v>0</v>
      </c>
      <c r="P3935">
        <v>0</v>
      </c>
      <c r="Q3935">
        <v>0</v>
      </c>
      <c r="R3935">
        <v>0</v>
      </c>
      <c r="W3935" t="s">
        <v>1372</v>
      </c>
      <c r="AA3935">
        <v>2011</v>
      </c>
      <c r="AB3935">
        <v>9999</v>
      </c>
      <c r="AC3935" t="s">
        <v>1365</v>
      </c>
    </row>
    <row r="3936" spans="1:29" x14ac:dyDescent="0.25">
      <c r="A3936" s="31" t="s">
        <v>1317</v>
      </c>
      <c r="B3936" s="23" t="s">
        <v>1318</v>
      </c>
      <c r="D3936">
        <v>1</v>
      </c>
      <c r="E3936" t="s">
        <v>1319</v>
      </c>
      <c r="F3936">
        <v>10</v>
      </c>
      <c r="G3936">
        <v>2012</v>
      </c>
      <c r="I3936" s="8">
        <v>959.49</v>
      </c>
      <c r="J3936" t="s">
        <v>40</v>
      </c>
      <c r="K3936" t="s">
        <v>32</v>
      </c>
      <c r="O3936">
        <v>0</v>
      </c>
      <c r="P3936">
        <v>0</v>
      </c>
      <c r="Q3936">
        <v>0</v>
      </c>
      <c r="R3936">
        <v>0</v>
      </c>
      <c r="W3936" t="s">
        <v>1320</v>
      </c>
      <c r="AA3936">
        <v>2010</v>
      </c>
      <c r="AB3936">
        <v>9999</v>
      </c>
      <c r="AC3936" t="s">
        <v>1292</v>
      </c>
    </row>
    <row r="3937" spans="1:29" x14ac:dyDescent="0.25">
      <c r="A3937" s="31" t="s">
        <v>616</v>
      </c>
      <c r="B3937" s="23" t="s">
        <v>619</v>
      </c>
      <c r="D3937">
        <v>1</v>
      </c>
      <c r="E3937" t="s">
        <v>620</v>
      </c>
      <c r="F3937">
        <v>5</v>
      </c>
      <c r="G3937">
        <v>2012</v>
      </c>
      <c r="I3937" s="8">
        <v>28.47</v>
      </c>
      <c r="J3937" t="s">
        <v>104</v>
      </c>
      <c r="K3937" t="s">
        <v>47</v>
      </c>
      <c r="O3937">
        <v>0</v>
      </c>
      <c r="P3937">
        <v>0</v>
      </c>
      <c r="Q3937">
        <v>0</v>
      </c>
      <c r="R3937">
        <v>0</v>
      </c>
      <c r="W3937" t="s">
        <v>1141</v>
      </c>
      <c r="AA3937">
        <v>2007</v>
      </c>
      <c r="AB3937">
        <v>2016</v>
      </c>
      <c r="AC3937" t="s">
        <v>528</v>
      </c>
    </row>
    <row r="3938" spans="1:29" x14ac:dyDescent="0.25">
      <c r="A3938" s="31" t="s">
        <v>472</v>
      </c>
      <c r="B3938" s="23" t="s">
        <v>1405</v>
      </c>
      <c r="D3938">
        <v>21</v>
      </c>
      <c r="E3938" t="s">
        <v>681</v>
      </c>
      <c r="F3938">
        <v>3</v>
      </c>
      <c r="G3938">
        <v>2012</v>
      </c>
      <c r="I3938" t="s">
        <v>474</v>
      </c>
      <c r="J3938" t="s">
        <v>121</v>
      </c>
      <c r="K3938" t="s">
        <v>76</v>
      </c>
      <c r="O3938">
        <v>0</v>
      </c>
      <c r="P3938">
        <v>0</v>
      </c>
      <c r="Q3938">
        <v>0</v>
      </c>
      <c r="R3938">
        <v>0</v>
      </c>
      <c r="W3938" t="s">
        <v>475</v>
      </c>
      <c r="AA3938">
        <v>2007</v>
      </c>
      <c r="AB3938">
        <v>9999</v>
      </c>
      <c r="AC3938" t="s">
        <v>35</v>
      </c>
    </row>
    <row r="3939" spans="1:29" x14ac:dyDescent="0.25">
      <c r="A3939" s="31" t="s">
        <v>622</v>
      </c>
      <c r="B3939" s="23" t="s">
        <v>623</v>
      </c>
      <c r="C3939" t="s">
        <v>624</v>
      </c>
      <c r="D3939">
        <v>1</v>
      </c>
      <c r="E3939" t="s">
        <v>625</v>
      </c>
      <c r="F3939">
        <v>4</v>
      </c>
      <c r="G3939">
        <v>2012</v>
      </c>
      <c r="I3939" s="8">
        <v>250.52</v>
      </c>
      <c r="J3939" t="s">
        <v>89</v>
      </c>
      <c r="K3939" t="s">
        <v>32</v>
      </c>
      <c r="O3939">
        <v>0</v>
      </c>
      <c r="P3939">
        <v>0</v>
      </c>
      <c r="Q3939">
        <v>0</v>
      </c>
      <c r="R3939">
        <v>0</v>
      </c>
      <c r="W3939" t="s">
        <v>1142</v>
      </c>
      <c r="AA3939">
        <v>2007</v>
      </c>
      <c r="AB3939">
        <v>9999</v>
      </c>
      <c r="AC3939" t="s">
        <v>35</v>
      </c>
    </row>
    <row r="3940" spans="1:29" x14ac:dyDescent="0.25">
      <c r="A3940" s="31" t="s">
        <v>629</v>
      </c>
      <c r="B3940" s="23" t="s">
        <v>630</v>
      </c>
      <c r="D3940">
        <v>1</v>
      </c>
      <c r="E3940" t="s">
        <v>631</v>
      </c>
      <c r="F3940">
        <v>8</v>
      </c>
      <c r="G3940">
        <v>2012</v>
      </c>
      <c r="I3940" s="8">
        <v>5</v>
      </c>
      <c r="J3940" t="s">
        <v>81</v>
      </c>
      <c r="K3940" t="s">
        <v>41</v>
      </c>
      <c r="O3940">
        <v>0</v>
      </c>
      <c r="P3940">
        <v>0</v>
      </c>
      <c r="Q3940">
        <v>0</v>
      </c>
      <c r="R3940">
        <v>0</v>
      </c>
      <c r="W3940" t="s">
        <v>1144</v>
      </c>
      <c r="AA3940">
        <v>2007</v>
      </c>
      <c r="AB3940">
        <v>2014</v>
      </c>
      <c r="AC3940" t="s">
        <v>633</v>
      </c>
    </row>
    <row r="3941" spans="1:29" x14ac:dyDescent="0.25">
      <c r="A3941" s="31" t="s">
        <v>199</v>
      </c>
      <c r="B3941" s="23" t="s">
        <v>1255</v>
      </c>
      <c r="D3941">
        <v>1</v>
      </c>
      <c r="E3941" t="s">
        <v>38</v>
      </c>
      <c r="F3941">
        <v>4</v>
      </c>
      <c r="G3941">
        <v>2012</v>
      </c>
      <c r="H3941" t="s">
        <v>39</v>
      </c>
      <c r="J3941" t="s">
        <v>52</v>
      </c>
      <c r="K3941" t="s">
        <v>41</v>
      </c>
      <c r="O3941">
        <v>0</v>
      </c>
      <c r="P3941">
        <v>0</v>
      </c>
      <c r="Q3941">
        <v>0</v>
      </c>
      <c r="R3941">
        <v>0</v>
      </c>
      <c r="W3941" t="s">
        <v>1256</v>
      </c>
      <c r="AA3941">
        <v>2007</v>
      </c>
      <c r="AB3941">
        <v>9999</v>
      </c>
      <c r="AC3941" t="s">
        <v>35</v>
      </c>
    </row>
    <row r="3942" spans="1:29" x14ac:dyDescent="0.25">
      <c r="A3942" s="31" t="s">
        <v>641</v>
      </c>
      <c r="B3942" s="23" t="s">
        <v>642</v>
      </c>
      <c r="D3942">
        <v>1</v>
      </c>
      <c r="E3942" t="s">
        <v>348</v>
      </c>
      <c r="F3942">
        <v>1</v>
      </c>
      <c r="G3942">
        <v>2012</v>
      </c>
      <c r="I3942" s="8">
        <v>3881.81</v>
      </c>
      <c r="J3942" t="s">
        <v>268</v>
      </c>
      <c r="K3942" t="s">
        <v>53</v>
      </c>
      <c r="L3942" t="s">
        <v>642</v>
      </c>
      <c r="O3942">
        <v>0</v>
      </c>
      <c r="P3942">
        <v>0</v>
      </c>
      <c r="Q3942">
        <v>0</v>
      </c>
      <c r="R3942">
        <v>0</v>
      </c>
      <c r="W3942" t="s">
        <v>643</v>
      </c>
      <c r="AA3942">
        <v>2007</v>
      </c>
      <c r="AB3942">
        <v>9999</v>
      </c>
      <c r="AC3942" t="s">
        <v>35</v>
      </c>
    </row>
    <row r="3943" spans="1:29" x14ac:dyDescent="0.25">
      <c r="A3943" s="31" t="s">
        <v>646</v>
      </c>
      <c r="B3943" s="25" t="s">
        <v>647</v>
      </c>
      <c r="D3943">
        <v>1</v>
      </c>
      <c r="E3943" t="s">
        <v>128</v>
      </c>
      <c r="F3943">
        <v>9</v>
      </c>
      <c r="G3943">
        <v>2012</v>
      </c>
      <c r="H3943" t="s">
        <v>260</v>
      </c>
      <c r="J3943" t="s">
        <v>104</v>
      </c>
      <c r="K3943" t="s">
        <v>41</v>
      </c>
      <c r="O3943">
        <v>0</v>
      </c>
      <c r="P3943">
        <v>0</v>
      </c>
      <c r="Q3943">
        <v>0</v>
      </c>
      <c r="R3943">
        <v>0</v>
      </c>
      <c r="W3943" t="s">
        <v>1147</v>
      </c>
      <c r="AA3943">
        <v>2007</v>
      </c>
      <c r="AB3943">
        <v>2018</v>
      </c>
      <c r="AC3943" t="s">
        <v>649</v>
      </c>
    </row>
    <row r="3944" spans="1:29" x14ac:dyDescent="0.25">
      <c r="A3944" s="31" t="s">
        <v>650</v>
      </c>
      <c r="B3944" s="25" t="s">
        <v>651</v>
      </c>
      <c r="D3944">
        <v>1</v>
      </c>
      <c r="E3944" t="s">
        <v>128</v>
      </c>
      <c r="F3944">
        <v>9</v>
      </c>
      <c r="G3944">
        <v>2012</v>
      </c>
      <c r="H3944" t="s">
        <v>431</v>
      </c>
      <c r="J3944" t="s">
        <v>104</v>
      </c>
      <c r="K3944" t="s">
        <v>41</v>
      </c>
      <c r="O3944">
        <v>0</v>
      </c>
      <c r="P3944">
        <v>0</v>
      </c>
      <c r="Q3944">
        <v>0</v>
      </c>
      <c r="R3944">
        <v>0</v>
      </c>
      <c r="W3944" t="s">
        <v>1147</v>
      </c>
      <c r="AA3944">
        <v>2007</v>
      </c>
      <c r="AB3944">
        <v>2018</v>
      </c>
      <c r="AC3944" t="s">
        <v>649</v>
      </c>
    </row>
    <row r="3945" spans="1:29" x14ac:dyDescent="0.25">
      <c r="A3945" s="31" t="s">
        <v>652</v>
      </c>
      <c r="B3945" s="25" t="s">
        <v>653</v>
      </c>
      <c r="D3945">
        <v>1</v>
      </c>
      <c r="E3945" t="s">
        <v>128</v>
      </c>
      <c r="F3945">
        <v>9</v>
      </c>
      <c r="G3945">
        <v>2012</v>
      </c>
      <c r="H3945" t="s">
        <v>461</v>
      </c>
      <c r="J3945" t="s">
        <v>104</v>
      </c>
      <c r="K3945" t="s">
        <v>41</v>
      </c>
      <c r="O3945">
        <v>0</v>
      </c>
      <c r="P3945">
        <v>0</v>
      </c>
      <c r="Q3945">
        <v>0</v>
      </c>
      <c r="R3945">
        <v>0</v>
      </c>
      <c r="W3945" t="s">
        <v>1147</v>
      </c>
      <c r="AA3945">
        <v>2007</v>
      </c>
      <c r="AB3945">
        <v>2018</v>
      </c>
      <c r="AC3945" t="s">
        <v>649</v>
      </c>
    </row>
    <row r="3946" spans="1:29" x14ac:dyDescent="0.25">
      <c r="A3946" s="31" t="s">
        <v>654</v>
      </c>
      <c r="B3946" s="25" t="s">
        <v>655</v>
      </c>
      <c r="D3946">
        <v>1</v>
      </c>
      <c r="E3946" t="s">
        <v>128</v>
      </c>
      <c r="F3946">
        <v>9</v>
      </c>
      <c r="G3946">
        <v>2012</v>
      </c>
      <c r="H3946" t="s">
        <v>365</v>
      </c>
      <c r="J3946" t="s">
        <v>104</v>
      </c>
      <c r="K3946" t="s">
        <v>41</v>
      </c>
      <c r="O3946">
        <v>0</v>
      </c>
      <c r="P3946">
        <v>0</v>
      </c>
      <c r="Q3946">
        <v>0</v>
      </c>
      <c r="R3946">
        <v>0</v>
      </c>
      <c r="W3946" t="s">
        <v>1147</v>
      </c>
      <c r="AA3946">
        <v>2007</v>
      </c>
      <c r="AB3946">
        <v>2018</v>
      </c>
      <c r="AC3946" t="s">
        <v>649</v>
      </c>
    </row>
    <row r="3947" spans="1:29" x14ac:dyDescent="0.25">
      <c r="A3947" s="31" t="s">
        <v>656</v>
      </c>
      <c r="B3947" s="25" t="s">
        <v>657</v>
      </c>
      <c r="D3947">
        <v>1</v>
      </c>
      <c r="E3947" t="s">
        <v>128</v>
      </c>
      <c r="F3947">
        <v>9</v>
      </c>
      <c r="G3947">
        <v>2012</v>
      </c>
      <c r="H3947" t="s">
        <v>658</v>
      </c>
      <c r="J3947" t="s">
        <v>104</v>
      </c>
      <c r="K3947" t="s">
        <v>41</v>
      </c>
      <c r="O3947">
        <v>0</v>
      </c>
      <c r="P3947">
        <v>0</v>
      </c>
      <c r="Q3947">
        <v>0</v>
      </c>
      <c r="R3947">
        <v>0</v>
      </c>
      <c r="W3947" t="s">
        <v>1147</v>
      </c>
      <c r="AA3947">
        <v>2007</v>
      </c>
      <c r="AB3947">
        <v>2018</v>
      </c>
      <c r="AC3947" t="s">
        <v>649</v>
      </c>
    </row>
    <row r="3948" spans="1:29" x14ac:dyDescent="0.25">
      <c r="A3948" s="31" t="s">
        <v>659</v>
      </c>
      <c r="B3948" s="25" t="s">
        <v>660</v>
      </c>
      <c r="D3948">
        <v>1</v>
      </c>
      <c r="E3948" t="s">
        <v>128</v>
      </c>
      <c r="F3948">
        <v>9</v>
      </c>
      <c r="G3948">
        <v>2012</v>
      </c>
      <c r="H3948" t="s">
        <v>661</v>
      </c>
      <c r="J3948" t="s">
        <v>104</v>
      </c>
      <c r="K3948" t="s">
        <v>41</v>
      </c>
      <c r="O3948">
        <v>0</v>
      </c>
      <c r="P3948">
        <v>0</v>
      </c>
      <c r="Q3948">
        <v>0</v>
      </c>
      <c r="R3948">
        <v>0</v>
      </c>
      <c r="W3948" t="s">
        <v>1147</v>
      </c>
      <c r="AA3948">
        <v>2007</v>
      </c>
      <c r="AB3948">
        <v>2018</v>
      </c>
      <c r="AC3948" t="s">
        <v>649</v>
      </c>
    </row>
    <row r="3949" spans="1:29" x14ac:dyDescent="0.25">
      <c r="A3949" s="31" t="s">
        <v>199</v>
      </c>
      <c r="B3949" s="25" t="s">
        <v>665</v>
      </c>
      <c r="D3949">
        <v>1</v>
      </c>
      <c r="E3949" t="s">
        <v>45</v>
      </c>
      <c r="F3949">
        <v>4</v>
      </c>
      <c r="G3949">
        <v>2012</v>
      </c>
      <c r="H3949" t="s">
        <v>39</v>
      </c>
      <c r="J3949" t="s">
        <v>52</v>
      </c>
      <c r="K3949" t="s">
        <v>41</v>
      </c>
      <c r="O3949">
        <v>0</v>
      </c>
      <c r="P3949">
        <v>0</v>
      </c>
      <c r="Q3949">
        <v>0</v>
      </c>
      <c r="R3949">
        <v>0</v>
      </c>
      <c r="W3949" t="s">
        <v>1148</v>
      </c>
      <c r="AA3949">
        <v>2007</v>
      </c>
      <c r="AB3949">
        <v>9999</v>
      </c>
      <c r="AC3949" t="s">
        <v>35</v>
      </c>
    </row>
    <row r="3950" spans="1:29" x14ac:dyDescent="0.25">
      <c r="A3950" s="31" t="s">
        <v>667</v>
      </c>
      <c r="B3950" s="23" t="s">
        <v>668</v>
      </c>
      <c r="D3950">
        <v>1</v>
      </c>
      <c r="E3950" t="s">
        <v>45</v>
      </c>
      <c r="F3950">
        <v>4</v>
      </c>
      <c r="G3950">
        <v>2012</v>
      </c>
      <c r="I3950">
        <v>22.31</v>
      </c>
      <c r="J3950" t="s">
        <v>121</v>
      </c>
      <c r="K3950" t="s">
        <v>47</v>
      </c>
      <c r="O3950">
        <v>0</v>
      </c>
      <c r="P3950">
        <v>0</v>
      </c>
      <c r="Q3950">
        <v>0</v>
      </c>
      <c r="R3950">
        <v>0</v>
      </c>
      <c r="W3950" t="s">
        <v>1149</v>
      </c>
      <c r="AA3950">
        <v>2007</v>
      </c>
      <c r="AB3950">
        <v>9999</v>
      </c>
      <c r="AC3950" t="s">
        <v>35</v>
      </c>
    </row>
    <row r="3951" spans="1:29" x14ac:dyDescent="0.25">
      <c r="A3951" s="31" t="s">
        <v>670</v>
      </c>
      <c r="B3951" s="23" t="s">
        <v>671</v>
      </c>
      <c r="D3951">
        <v>1</v>
      </c>
      <c r="E3951" t="s">
        <v>80</v>
      </c>
      <c r="F3951">
        <v>8</v>
      </c>
      <c r="G3951">
        <v>2012</v>
      </c>
      <c r="I3951" s="8">
        <v>344.72</v>
      </c>
      <c r="J3951" t="s">
        <v>81</v>
      </c>
      <c r="K3951" t="s">
        <v>47</v>
      </c>
      <c r="O3951">
        <v>0</v>
      </c>
      <c r="P3951">
        <v>0</v>
      </c>
      <c r="Q3951">
        <v>0</v>
      </c>
      <c r="R3951">
        <v>0</v>
      </c>
      <c r="W3951" t="s">
        <v>1150</v>
      </c>
      <c r="AA3951">
        <v>2007</v>
      </c>
      <c r="AB3951">
        <v>9999</v>
      </c>
      <c r="AC3951" t="s">
        <v>35</v>
      </c>
    </row>
    <row r="3952" spans="1:29" x14ac:dyDescent="0.25">
      <c r="A3952" s="31" t="s">
        <v>673</v>
      </c>
      <c r="B3952" s="23" t="s">
        <v>1321</v>
      </c>
      <c r="D3952">
        <v>1</v>
      </c>
      <c r="E3952" t="s">
        <v>358</v>
      </c>
      <c r="F3952">
        <v>1</v>
      </c>
      <c r="G3952">
        <v>2012</v>
      </c>
      <c r="I3952" s="8">
        <v>503.22</v>
      </c>
      <c r="J3952" t="s">
        <v>81</v>
      </c>
      <c r="K3952" t="s">
        <v>47</v>
      </c>
      <c r="O3952">
        <v>0</v>
      </c>
      <c r="P3952">
        <v>0</v>
      </c>
      <c r="Q3952">
        <v>0</v>
      </c>
      <c r="R3952">
        <v>0</v>
      </c>
      <c r="W3952" t="s">
        <v>1322</v>
      </c>
      <c r="AA3952">
        <v>2007</v>
      </c>
      <c r="AB3952">
        <v>9999</v>
      </c>
      <c r="AC3952" t="s">
        <v>35</v>
      </c>
    </row>
    <row r="3953" spans="1:29" x14ac:dyDescent="0.25">
      <c r="A3953" s="31" t="s">
        <v>676</v>
      </c>
      <c r="B3953" s="23" t="s">
        <v>677</v>
      </c>
      <c r="C3953" t="s">
        <v>678</v>
      </c>
      <c r="D3953">
        <v>1</v>
      </c>
      <c r="E3953" t="s">
        <v>168</v>
      </c>
      <c r="F3953">
        <v>1</v>
      </c>
      <c r="G3953">
        <v>2012</v>
      </c>
      <c r="I3953" s="8">
        <v>168.45</v>
      </c>
      <c r="J3953" t="s">
        <v>52</v>
      </c>
      <c r="K3953" t="s">
        <v>32</v>
      </c>
      <c r="O3953">
        <v>0</v>
      </c>
      <c r="P3953">
        <v>0</v>
      </c>
      <c r="Q3953">
        <v>0</v>
      </c>
      <c r="R3953">
        <v>0</v>
      </c>
      <c r="W3953" t="s">
        <v>1152</v>
      </c>
      <c r="AA3953">
        <v>2007</v>
      </c>
      <c r="AB3953">
        <v>9999</v>
      </c>
      <c r="AC3953" t="s">
        <v>35</v>
      </c>
    </row>
    <row r="3954" spans="1:29" x14ac:dyDescent="0.25">
      <c r="A3954" s="31" t="s">
        <v>472</v>
      </c>
      <c r="B3954" s="23" t="s">
        <v>680</v>
      </c>
      <c r="D3954">
        <v>1</v>
      </c>
      <c r="E3954" t="s">
        <v>681</v>
      </c>
      <c r="F3954">
        <v>3</v>
      </c>
      <c r="G3954">
        <v>2012</v>
      </c>
      <c r="I3954" s="8">
        <v>26121.11</v>
      </c>
      <c r="J3954" t="s">
        <v>121</v>
      </c>
      <c r="K3954" t="s">
        <v>76</v>
      </c>
      <c r="O3954">
        <v>0</v>
      </c>
      <c r="P3954">
        <v>0</v>
      </c>
      <c r="Q3954">
        <v>0</v>
      </c>
      <c r="R3954">
        <v>0</v>
      </c>
      <c r="W3954" t="s">
        <v>475</v>
      </c>
      <c r="AA3954">
        <v>2007</v>
      </c>
      <c r="AB3954">
        <v>9999</v>
      </c>
      <c r="AC3954" t="s">
        <v>35</v>
      </c>
    </row>
    <row r="3955" spans="1:29" x14ac:dyDescent="0.25">
      <c r="A3955" s="31" t="s">
        <v>685</v>
      </c>
      <c r="B3955" s="23" t="s">
        <v>686</v>
      </c>
      <c r="D3955">
        <v>1</v>
      </c>
      <c r="E3955" t="s">
        <v>80</v>
      </c>
      <c r="F3955">
        <v>8</v>
      </c>
      <c r="G3955">
        <v>2012</v>
      </c>
      <c r="I3955" s="8">
        <v>23.75</v>
      </c>
      <c r="J3955" t="s">
        <v>81</v>
      </c>
      <c r="K3955" t="s">
        <v>47</v>
      </c>
      <c r="O3955">
        <v>0</v>
      </c>
      <c r="P3955">
        <v>0</v>
      </c>
      <c r="Q3955">
        <v>0</v>
      </c>
      <c r="R3955">
        <v>0</v>
      </c>
      <c r="W3955" t="s">
        <v>1153</v>
      </c>
      <c r="AA3955">
        <v>2007</v>
      </c>
      <c r="AB3955">
        <v>2017</v>
      </c>
      <c r="AC3955" t="s">
        <v>435</v>
      </c>
    </row>
    <row r="3956" spans="1:29" x14ac:dyDescent="0.25">
      <c r="A3956" s="31" t="s">
        <v>688</v>
      </c>
      <c r="B3956" s="25" t="s">
        <v>689</v>
      </c>
      <c r="D3956">
        <v>1</v>
      </c>
      <c r="E3956" t="s">
        <v>145</v>
      </c>
      <c r="F3956">
        <v>2</v>
      </c>
      <c r="G3956">
        <v>2012</v>
      </c>
      <c r="H3956" t="s">
        <v>146</v>
      </c>
      <c r="J3956" s="2" t="s">
        <v>147</v>
      </c>
      <c r="K3956" t="s">
        <v>41</v>
      </c>
      <c r="O3956">
        <v>0</v>
      </c>
      <c r="P3956">
        <v>0</v>
      </c>
      <c r="Q3956">
        <v>0</v>
      </c>
      <c r="R3956">
        <v>0</v>
      </c>
      <c r="W3956" t="s">
        <v>1154</v>
      </c>
      <c r="AA3956">
        <v>2007</v>
      </c>
      <c r="AB3956">
        <v>9999</v>
      </c>
      <c r="AC3956" t="s">
        <v>35</v>
      </c>
    </row>
    <row r="3957" spans="1:29" x14ac:dyDescent="0.25">
      <c r="A3957" s="31" t="s">
        <v>691</v>
      </c>
      <c r="B3957" s="23" t="s">
        <v>692</v>
      </c>
      <c r="D3957">
        <v>1</v>
      </c>
      <c r="E3957" t="s">
        <v>625</v>
      </c>
      <c r="F3957">
        <v>4</v>
      </c>
      <c r="G3957">
        <v>2012</v>
      </c>
      <c r="I3957">
        <v>14.9</v>
      </c>
      <c r="J3957" t="s">
        <v>104</v>
      </c>
      <c r="K3957" t="s">
        <v>32</v>
      </c>
      <c r="O3957">
        <v>0</v>
      </c>
      <c r="P3957">
        <v>0</v>
      </c>
      <c r="Q3957">
        <v>0</v>
      </c>
      <c r="R3957">
        <v>0</v>
      </c>
      <c r="W3957" t="s">
        <v>1155</v>
      </c>
      <c r="AA3957">
        <v>2007</v>
      </c>
      <c r="AB3957">
        <v>9999</v>
      </c>
      <c r="AC3957" t="s">
        <v>35</v>
      </c>
    </row>
    <row r="3958" spans="1:29" x14ac:dyDescent="0.25">
      <c r="A3958" s="31" t="s">
        <v>694</v>
      </c>
      <c r="B3958" s="25" t="s">
        <v>695</v>
      </c>
      <c r="C3958" t="s">
        <v>696</v>
      </c>
      <c r="D3958">
        <v>1</v>
      </c>
      <c r="E3958" t="s">
        <v>58</v>
      </c>
      <c r="F3958">
        <v>4</v>
      </c>
      <c r="G3958">
        <v>2012</v>
      </c>
      <c r="I3958" s="8">
        <v>115.3</v>
      </c>
      <c r="J3958" t="s">
        <v>59</v>
      </c>
      <c r="K3958" t="s">
        <v>47</v>
      </c>
      <c r="O3958">
        <v>0</v>
      </c>
      <c r="P3958">
        <v>0</v>
      </c>
      <c r="Q3958">
        <v>0</v>
      </c>
      <c r="R3958">
        <v>0</v>
      </c>
      <c r="W3958" t="s">
        <v>1156</v>
      </c>
      <c r="AA3958">
        <v>2007</v>
      </c>
      <c r="AB3958">
        <v>9999</v>
      </c>
      <c r="AC3958" t="s">
        <v>35</v>
      </c>
    </row>
    <row r="3959" spans="1:29" x14ac:dyDescent="0.25">
      <c r="A3959" s="31" t="s">
        <v>698</v>
      </c>
      <c r="B3959" s="25" t="s">
        <v>699</v>
      </c>
      <c r="D3959">
        <v>1</v>
      </c>
      <c r="E3959" t="s">
        <v>155</v>
      </c>
      <c r="F3959">
        <v>3</v>
      </c>
      <c r="G3959">
        <v>2012</v>
      </c>
      <c r="H3959" t="s">
        <v>700</v>
      </c>
      <c r="I3959">
        <v>7.2889999999999997</v>
      </c>
      <c r="J3959" t="s">
        <v>121</v>
      </c>
      <c r="K3959" t="s">
        <v>47</v>
      </c>
      <c r="O3959">
        <v>0</v>
      </c>
      <c r="P3959">
        <v>0</v>
      </c>
      <c r="Q3959">
        <v>0</v>
      </c>
      <c r="R3959">
        <v>0</v>
      </c>
      <c r="V3959">
        <v>1</v>
      </c>
      <c r="W3959" t="s">
        <v>1157</v>
      </c>
      <c r="AA3959">
        <v>2007</v>
      </c>
      <c r="AB3959">
        <v>9999</v>
      </c>
      <c r="AC3959" t="s">
        <v>35</v>
      </c>
    </row>
    <row r="3960" spans="1:29" x14ac:dyDescent="0.25">
      <c r="A3960" s="31" t="s">
        <v>702</v>
      </c>
      <c r="B3960" s="25" t="s">
        <v>703</v>
      </c>
      <c r="D3960">
        <v>1</v>
      </c>
      <c r="E3960" t="s">
        <v>155</v>
      </c>
      <c r="F3960">
        <v>3</v>
      </c>
      <c r="G3960">
        <v>2012</v>
      </c>
      <c r="H3960" t="s">
        <v>704</v>
      </c>
      <c r="I3960">
        <v>0.9</v>
      </c>
      <c r="J3960" t="s">
        <v>121</v>
      </c>
      <c r="K3960" t="s">
        <v>41</v>
      </c>
      <c r="O3960">
        <v>0</v>
      </c>
      <c r="P3960">
        <v>0</v>
      </c>
      <c r="Q3960">
        <v>0</v>
      </c>
      <c r="R3960">
        <v>0</v>
      </c>
      <c r="V3960">
        <v>1</v>
      </c>
      <c r="W3960" t="s">
        <v>1158</v>
      </c>
      <c r="AA3960">
        <v>2007</v>
      </c>
      <c r="AB3960">
        <v>9999</v>
      </c>
      <c r="AC3960" t="s">
        <v>35</v>
      </c>
    </row>
    <row r="3961" spans="1:29" x14ac:dyDescent="0.25">
      <c r="A3961" s="31" t="s">
        <v>706</v>
      </c>
      <c r="B3961" s="23" t="s">
        <v>707</v>
      </c>
      <c r="C3961" t="s">
        <v>708</v>
      </c>
      <c r="D3961">
        <v>1</v>
      </c>
      <c r="E3961" t="s">
        <v>155</v>
      </c>
      <c r="F3961">
        <v>3</v>
      </c>
      <c r="G3961">
        <v>2012</v>
      </c>
      <c r="I3961" s="8">
        <v>393.5</v>
      </c>
      <c r="J3961" t="s">
        <v>121</v>
      </c>
      <c r="K3961" t="s">
        <v>47</v>
      </c>
      <c r="O3961">
        <v>0</v>
      </c>
      <c r="P3961">
        <v>0</v>
      </c>
      <c r="Q3961">
        <v>0</v>
      </c>
      <c r="R3961">
        <v>0</v>
      </c>
      <c r="W3961" t="s">
        <v>1159</v>
      </c>
      <c r="AA3961">
        <v>2007</v>
      </c>
      <c r="AB3961">
        <v>9999</v>
      </c>
      <c r="AC3961" t="s">
        <v>35</v>
      </c>
    </row>
    <row r="3962" spans="1:29" x14ac:dyDescent="0.25">
      <c r="A3962" s="31" t="s">
        <v>710</v>
      </c>
      <c r="B3962" s="23" t="s">
        <v>711</v>
      </c>
      <c r="D3962">
        <v>1</v>
      </c>
      <c r="E3962" t="s">
        <v>712</v>
      </c>
      <c r="F3962">
        <v>9</v>
      </c>
      <c r="G3962">
        <v>2012</v>
      </c>
      <c r="I3962" s="8">
        <v>81.69</v>
      </c>
      <c r="J3962" t="s">
        <v>104</v>
      </c>
      <c r="K3962" t="s">
        <v>41</v>
      </c>
      <c r="O3962">
        <v>0</v>
      </c>
      <c r="P3962">
        <v>0</v>
      </c>
      <c r="Q3962">
        <v>0</v>
      </c>
      <c r="R3962">
        <v>0</v>
      </c>
      <c r="W3962" t="s">
        <v>1406</v>
      </c>
      <c r="AA3962">
        <v>2007</v>
      </c>
      <c r="AB3962">
        <v>9999</v>
      </c>
      <c r="AC3962" t="s">
        <v>35</v>
      </c>
    </row>
    <row r="3963" spans="1:29" x14ac:dyDescent="0.25">
      <c r="A3963" s="31" t="s">
        <v>714</v>
      </c>
      <c r="B3963" s="23" t="s">
        <v>715</v>
      </c>
      <c r="D3963">
        <v>1</v>
      </c>
      <c r="E3963" t="s">
        <v>80</v>
      </c>
      <c r="F3963">
        <v>8</v>
      </c>
      <c r="G3963">
        <v>2012</v>
      </c>
      <c r="I3963" s="8">
        <v>53.28</v>
      </c>
      <c r="J3963" t="s">
        <v>1343</v>
      </c>
      <c r="K3963" t="s">
        <v>76</v>
      </c>
      <c r="O3963">
        <v>0</v>
      </c>
      <c r="P3963">
        <v>0</v>
      </c>
      <c r="Q3963">
        <v>0</v>
      </c>
      <c r="R3963">
        <v>0</v>
      </c>
      <c r="W3963" t="s">
        <v>1323</v>
      </c>
      <c r="AA3963">
        <v>2007</v>
      </c>
      <c r="AB3963">
        <v>9999</v>
      </c>
      <c r="AC3963" t="s">
        <v>35</v>
      </c>
    </row>
    <row r="3964" spans="1:29" x14ac:dyDescent="0.25">
      <c r="A3964" s="31" t="s">
        <v>717</v>
      </c>
      <c r="B3964" s="25" t="s">
        <v>718</v>
      </c>
      <c r="D3964">
        <v>1</v>
      </c>
      <c r="E3964" t="s">
        <v>51</v>
      </c>
      <c r="F3964">
        <v>1</v>
      </c>
      <c r="G3964">
        <v>2012</v>
      </c>
      <c r="J3964" t="s">
        <v>52</v>
      </c>
      <c r="K3964" t="s">
        <v>53</v>
      </c>
      <c r="L3964" t="s">
        <v>54</v>
      </c>
      <c r="O3964">
        <v>0</v>
      </c>
      <c r="P3964">
        <v>0</v>
      </c>
      <c r="Q3964">
        <v>1</v>
      </c>
      <c r="R3964">
        <v>0</v>
      </c>
      <c r="W3964" t="s">
        <v>55</v>
      </c>
      <c r="AA3964">
        <v>2007</v>
      </c>
      <c r="AB3964">
        <v>9999</v>
      </c>
      <c r="AC3964" t="s">
        <v>35</v>
      </c>
    </row>
    <row r="3965" spans="1:29" x14ac:dyDescent="0.25">
      <c r="A3965" s="31" t="s">
        <v>719</v>
      </c>
      <c r="B3965" s="25" t="s">
        <v>720</v>
      </c>
      <c r="D3965">
        <v>1</v>
      </c>
      <c r="E3965" t="s">
        <v>51</v>
      </c>
      <c r="F3965">
        <v>1</v>
      </c>
      <c r="G3965">
        <v>2012</v>
      </c>
      <c r="J3965" t="s">
        <v>52</v>
      </c>
      <c r="K3965" t="s">
        <v>53</v>
      </c>
      <c r="L3965" t="s">
        <v>54</v>
      </c>
      <c r="O3965">
        <v>0</v>
      </c>
      <c r="P3965">
        <v>0</v>
      </c>
      <c r="Q3965">
        <v>1</v>
      </c>
      <c r="R3965">
        <v>0</v>
      </c>
      <c r="W3965" t="s">
        <v>721</v>
      </c>
      <c r="AA3965">
        <v>2007</v>
      </c>
      <c r="AB3965">
        <v>9999</v>
      </c>
      <c r="AC3965" t="s">
        <v>35</v>
      </c>
    </row>
    <row r="3966" spans="1:29" x14ac:dyDescent="0.25">
      <c r="A3966" s="31" t="s">
        <v>722</v>
      </c>
      <c r="B3966" s="23" t="s">
        <v>723</v>
      </c>
      <c r="D3966">
        <v>1</v>
      </c>
      <c r="E3966" t="s">
        <v>724</v>
      </c>
      <c r="F3966">
        <v>4</v>
      </c>
      <c r="G3966">
        <v>2012</v>
      </c>
      <c r="I3966" s="8">
        <v>1159.6500000000001</v>
      </c>
      <c r="J3966" t="s">
        <v>89</v>
      </c>
      <c r="K3966" t="s">
        <v>32</v>
      </c>
      <c r="L3966" t="s">
        <v>33</v>
      </c>
      <c r="O3966">
        <v>0</v>
      </c>
      <c r="P3966">
        <v>0</v>
      </c>
      <c r="Q3966">
        <v>0</v>
      </c>
      <c r="R3966">
        <v>1</v>
      </c>
      <c r="W3966" t="s">
        <v>1161</v>
      </c>
      <c r="AA3966">
        <v>2007</v>
      </c>
      <c r="AB3966">
        <v>9999</v>
      </c>
      <c r="AC3966" t="s">
        <v>35</v>
      </c>
    </row>
    <row r="3967" spans="1:29" x14ac:dyDescent="0.25">
      <c r="A3967" s="31" t="s">
        <v>726</v>
      </c>
      <c r="B3967" s="25" t="s">
        <v>727</v>
      </c>
      <c r="D3967">
        <v>1</v>
      </c>
      <c r="E3967" t="s">
        <v>85</v>
      </c>
      <c r="F3967">
        <v>1</v>
      </c>
      <c r="G3967">
        <v>2012</v>
      </c>
      <c r="H3967" t="s">
        <v>205</v>
      </c>
      <c r="J3967" t="s">
        <v>52</v>
      </c>
      <c r="K3967" t="s">
        <v>41</v>
      </c>
      <c r="O3967">
        <v>0</v>
      </c>
      <c r="P3967">
        <v>0</v>
      </c>
      <c r="Q3967">
        <v>0</v>
      </c>
      <c r="R3967">
        <v>0</v>
      </c>
      <c r="W3967" t="s">
        <v>1162</v>
      </c>
      <c r="AA3967">
        <v>2007</v>
      </c>
      <c r="AB3967">
        <v>9999</v>
      </c>
      <c r="AC3967" t="s">
        <v>35</v>
      </c>
    </row>
    <row r="3968" spans="1:29" x14ac:dyDescent="0.25">
      <c r="A3968" s="31" t="s">
        <v>729</v>
      </c>
      <c r="B3968" s="23" t="s">
        <v>205</v>
      </c>
      <c r="D3968">
        <v>1</v>
      </c>
      <c r="E3968" t="s">
        <v>168</v>
      </c>
      <c r="F3968">
        <v>1</v>
      </c>
      <c r="G3968">
        <v>2012</v>
      </c>
      <c r="I3968" s="8">
        <v>9714.48</v>
      </c>
      <c r="J3968" t="s">
        <v>52</v>
      </c>
      <c r="K3968" t="s">
        <v>47</v>
      </c>
      <c r="O3968">
        <v>0</v>
      </c>
      <c r="P3968">
        <v>0</v>
      </c>
      <c r="Q3968">
        <v>0</v>
      </c>
      <c r="R3968">
        <v>0</v>
      </c>
      <c r="W3968" t="s">
        <v>1163</v>
      </c>
      <c r="AA3968">
        <v>2007</v>
      </c>
      <c r="AB3968">
        <v>9999</v>
      </c>
      <c r="AC3968" t="s">
        <v>35</v>
      </c>
    </row>
    <row r="3969" spans="1:29" x14ac:dyDescent="0.25">
      <c r="A3969" s="31" t="s">
        <v>731</v>
      </c>
      <c r="B3969" s="25" t="s">
        <v>732</v>
      </c>
      <c r="D3969">
        <v>1</v>
      </c>
      <c r="E3969" t="s">
        <v>51</v>
      </c>
      <c r="F3969">
        <v>10</v>
      </c>
      <c r="G3969">
        <v>2012</v>
      </c>
      <c r="H3969" t="s">
        <v>39</v>
      </c>
      <c r="J3969" t="s">
        <v>52</v>
      </c>
      <c r="K3969" t="s">
        <v>41</v>
      </c>
      <c r="O3969">
        <v>0</v>
      </c>
      <c r="P3969">
        <v>0</v>
      </c>
      <c r="Q3969">
        <v>0</v>
      </c>
      <c r="R3969">
        <v>0</v>
      </c>
      <c r="W3969" t="s">
        <v>1164</v>
      </c>
      <c r="AA3969">
        <v>2007</v>
      </c>
      <c r="AB3969">
        <v>9999</v>
      </c>
      <c r="AC3969" t="s">
        <v>35</v>
      </c>
    </row>
    <row r="3970" spans="1:29" x14ac:dyDescent="0.25">
      <c r="A3970" s="31" t="s">
        <v>734</v>
      </c>
      <c r="B3970" s="23" t="s">
        <v>735</v>
      </c>
      <c r="D3970">
        <v>1</v>
      </c>
      <c r="E3970" t="s">
        <v>736</v>
      </c>
      <c r="F3970">
        <v>4</v>
      </c>
      <c r="G3970">
        <v>2012</v>
      </c>
      <c r="I3970" s="8">
        <v>834.38</v>
      </c>
      <c r="J3970" t="s">
        <v>1343</v>
      </c>
      <c r="K3970" t="s">
        <v>32</v>
      </c>
      <c r="O3970">
        <v>0</v>
      </c>
      <c r="P3970">
        <v>0</v>
      </c>
      <c r="Q3970">
        <v>0</v>
      </c>
      <c r="R3970">
        <v>0</v>
      </c>
      <c r="W3970" t="s">
        <v>1324</v>
      </c>
      <c r="AA3970">
        <v>2007</v>
      </c>
      <c r="AB3970">
        <v>9999</v>
      </c>
      <c r="AC3970" t="s">
        <v>35</v>
      </c>
    </row>
    <row r="3971" spans="1:29" x14ac:dyDescent="0.25">
      <c r="A3971" s="31" t="s">
        <v>738</v>
      </c>
      <c r="B3971" s="25" t="s">
        <v>739</v>
      </c>
      <c r="D3971">
        <v>1</v>
      </c>
      <c r="E3971" t="s">
        <v>128</v>
      </c>
      <c r="F3971">
        <v>9</v>
      </c>
      <c r="G3971">
        <v>2012</v>
      </c>
      <c r="H3971" t="s">
        <v>1262</v>
      </c>
      <c r="J3971" t="s">
        <v>104</v>
      </c>
      <c r="K3971" t="s">
        <v>41</v>
      </c>
      <c r="O3971">
        <v>0</v>
      </c>
      <c r="P3971">
        <v>0</v>
      </c>
      <c r="Q3971">
        <v>0</v>
      </c>
      <c r="R3971">
        <v>0</v>
      </c>
      <c r="W3971" t="s">
        <v>1166</v>
      </c>
      <c r="AA3971">
        <v>2007</v>
      </c>
      <c r="AB3971">
        <v>9999</v>
      </c>
      <c r="AC3971" t="s">
        <v>35</v>
      </c>
    </row>
    <row r="3972" spans="1:29" x14ac:dyDescent="0.25">
      <c r="A3972" s="31" t="s">
        <v>742</v>
      </c>
      <c r="B3972" s="23" t="s">
        <v>743</v>
      </c>
      <c r="D3972">
        <v>1</v>
      </c>
      <c r="E3972" t="s">
        <v>468</v>
      </c>
      <c r="F3972">
        <v>7</v>
      </c>
      <c r="G3972">
        <v>2012</v>
      </c>
      <c r="I3972" s="8">
        <v>246.1</v>
      </c>
      <c r="J3972" t="s">
        <v>40</v>
      </c>
      <c r="K3972" t="s">
        <v>47</v>
      </c>
      <c r="O3972">
        <v>0</v>
      </c>
      <c r="P3972">
        <v>0</v>
      </c>
      <c r="Q3972">
        <v>0</v>
      </c>
      <c r="R3972">
        <v>0</v>
      </c>
      <c r="W3972" t="s">
        <v>1373</v>
      </c>
      <c r="AA3972">
        <v>2007</v>
      </c>
      <c r="AB3972">
        <v>2013</v>
      </c>
      <c r="AC3972" t="s">
        <v>139</v>
      </c>
    </row>
    <row r="3973" spans="1:29" x14ac:dyDescent="0.25">
      <c r="A3973" s="31" t="s">
        <v>745</v>
      </c>
      <c r="B3973" s="23" t="s">
        <v>746</v>
      </c>
      <c r="D3973">
        <v>1</v>
      </c>
      <c r="E3973" t="s">
        <v>468</v>
      </c>
      <c r="F3973">
        <v>7</v>
      </c>
      <c r="G3973">
        <v>2012</v>
      </c>
      <c r="I3973" s="8">
        <v>1047.71</v>
      </c>
      <c r="J3973" t="s">
        <v>40</v>
      </c>
      <c r="K3973" t="s">
        <v>47</v>
      </c>
      <c r="O3973">
        <v>0</v>
      </c>
      <c r="P3973">
        <v>0</v>
      </c>
      <c r="Q3973">
        <v>0</v>
      </c>
      <c r="R3973">
        <v>0</v>
      </c>
      <c r="W3973" t="s">
        <v>1325</v>
      </c>
      <c r="AA3973">
        <v>2007</v>
      </c>
      <c r="AB3973">
        <v>9999</v>
      </c>
      <c r="AC3973" t="s">
        <v>35</v>
      </c>
    </row>
    <row r="3974" spans="1:29" x14ac:dyDescent="0.25">
      <c r="A3974" s="31" t="s">
        <v>1263</v>
      </c>
      <c r="B3974" s="23" t="s">
        <v>1264</v>
      </c>
      <c r="C3974" t="s">
        <v>1265</v>
      </c>
      <c r="D3974">
        <v>1</v>
      </c>
      <c r="E3974" t="s">
        <v>712</v>
      </c>
      <c r="F3974">
        <v>9</v>
      </c>
      <c r="G3974">
        <v>2012</v>
      </c>
      <c r="I3974" s="8">
        <v>1027.95</v>
      </c>
      <c r="J3974" t="s">
        <v>104</v>
      </c>
      <c r="K3974" t="s">
        <v>47</v>
      </c>
      <c r="O3974">
        <v>0</v>
      </c>
      <c r="P3974">
        <v>0</v>
      </c>
      <c r="Q3974">
        <v>0</v>
      </c>
      <c r="R3974">
        <v>0</v>
      </c>
      <c r="W3974" t="s">
        <v>1407</v>
      </c>
      <c r="AA3974">
        <v>2009</v>
      </c>
      <c r="AB3974">
        <v>9999</v>
      </c>
      <c r="AC3974" t="s">
        <v>1239</v>
      </c>
    </row>
    <row r="3975" spans="1:29" x14ac:dyDescent="0.25">
      <c r="A3975" s="31" t="s">
        <v>754</v>
      </c>
      <c r="B3975" s="25" t="s">
        <v>755</v>
      </c>
      <c r="D3975">
        <v>1</v>
      </c>
      <c r="E3975" t="s">
        <v>85</v>
      </c>
      <c r="F3975">
        <v>1</v>
      </c>
      <c r="G3975">
        <v>2012</v>
      </c>
      <c r="H3975" t="s">
        <v>756</v>
      </c>
      <c r="J3975" t="s">
        <v>52</v>
      </c>
      <c r="K3975" t="s">
        <v>41</v>
      </c>
      <c r="O3975">
        <v>0</v>
      </c>
      <c r="P3975">
        <v>0</v>
      </c>
      <c r="Q3975">
        <v>0</v>
      </c>
      <c r="R3975">
        <v>0</v>
      </c>
      <c r="W3975" t="s">
        <v>1169</v>
      </c>
      <c r="AA3975">
        <v>2007</v>
      </c>
      <c r="AB3975">
        <v>9999</v>
      </c>
      <c r="AC3975" t="s">
        <v>35</v>
      </c>
    </row>
    <row r="3976" spans="1:29" x14ac:dyDescent="0.25">
      <c r="A3976" s="31" t="s">
        <v>758</v>
      </c>
      <c r="B3976" s="23" t="s">
        <v>759</v>
      </c>
      <c r="D3976">
        <v>1</v>
      </c>
      <c r="E3976" t="s">
        <v>760</v>
      </c>
      <c r="F3976">
        <v>7</v>
      </c>
      <c r="G3976">
        <v>2012</v>
      </c>
      <c r="I3976" s="8">
        <v>47.35</v>
      </c>
      <c r="J3976" t="s">
        <v>40</v>
      </c>
      <c r="K3976" t="s">
        <v>47</v>
      </c>
      <c r="O3976">
        <v>0</v>
      </c>
      <c r="P3976">
        <v>0</v>
      </c>
      <c r="Q3976">
        <v>0</v>
      </c>
      <c r="R3976">
        <v>0</v>
      </c>
      <c r="W3976" t="s">
        <v>1170</v>
      </c>
      <c r="AA3976">
        <v>2007</v>
      </c>
      <c r="AB3976">
        <v>9999</v>
      </c>
      <c r="AC3976" t="s">
        <v>35</v>
      </c>
    </row>
    <row r="3977" spans="1:29" x14ac:dyDescent="0.25">
      <c r="A3977" s="31" t="s">
        <v>765</v>
      </c>
      <c r="B3977" s="23" t="s">
        <v>766</v>
      </c>
      <c r="D3977">
        <v>1</v>
      </c>
      <c r="E3977" t="s">
        <v>115</v>
      </c>
      <c r="F3977">
        <v>6</v>
      </c>
      <c r="G3977">
        <v>2012</v>
      </c>
      <c r="I3977" s="8">
        <v>14.81</v>
      </c>
      <c r="J3977" t="s">
        <v>52</v>
      </c>
      <c r="K3977" t="s">
        <v>47</v>
      </c>
      <c r="O3977">
        <v>0</v>
      </c>
      <c r="P3977">
        <v>0</v>
      </c>
      <c r="Q3977">
        <v>0</v>
      </c>
      <c r="R3977">
        <v>0</v>
      </c>
      <c r="W3977" t="s">
        <v>1172</v>
      </c>
      <c r="AA3977">
        <v>2007</v>
      </c>
      <c r="AB3977">
        <v>2012</v>
      </c>
      <c r="AC3977" t="s">
        <v>302</v>
      </c>
    </row>
    <row r="3978" spans="1:29" x14ac:dyDescent="0.25">
      <c r="A3978" s="31" t="s">
        <v>768</v>
      </c>
      <c r="B3978" s="23" t="s">
        <v>769</v>
      </c>
      <c r="C3978" t="s">
        <v>770</v>
      </c>
      <c r="D3978">
        <v>1</v>
      </c>
      <c r="E3978" t="s">
        <v>30</v>
      </c>
      <c r="F3978">
        <v>4</v>
      </c>
      <c r="G3978">
        <v>2012</v>
      </c>
      <c r="I3978" s="8">
        <v>317.29000000000002</v>
      </c>
      <c r="J3978" t="s">
        <v>89</v>
      </c>
      <c r="K3978" t="s">
        <v>47</v>
      </c>
      <c r="O3978">
        <v>0</v>
      </c>
      <c r="P3978">
        <v>0</v>
      </c>
      <c r="Q3978">
        <v>0</v>
      </c>
      <c r="R3978">
        <v>0</v>
      </c>
      <c r="W3978" t="s">
        <v>1173</v>
      </c>
      <c r="AA3978">
        <v>2007</v>
      </c>
      <c r="AB3978">
        <v>9999</v>
      </c>
      <c r="AC3978" t="s">
        <v>35</v>
      </c>
    </row>
    <row r="3979" spans="1:29" x14ac:dyDescent="0.25">
      <c r="A3979" s="31" t="s">
        <v>772</v>
      </c>
      <c r="B3979" s="23" t="s">
        <v>773</v>
      </c>
      <c r="C3979" t="s">
        <v>774</v>
      </c>
      <c r="D3979">
        <v>1</v>
      </c>
      <c r="E3979" t="s">
        <v>358</v>
      </c>
      <c r="F3979">
        <v>1</v>
      </c>
      <c r="G3979">
        <v>2012</v>
      </c>
      <c r="I3979" s="8">
        <v>363.47</v>
      </c>
      <c r="J3979" t="s">
        <v>40</v>
      </c>
      <c r="K3979" t="s">
        <v>32</v>
      </c>
      <c r="O3979">
        <v>0</v>
      </c>
      <c r="P3979">
        <v>0</v>
      </c>
      <c r="Q3979">
        <v>0</v>
      </c>
      <c r="R3979">
        <v>0</v>
      </c>
      <c r="W3979" t="s">
        <v>1174</v>
      </c>
      <c r="AA3979">
        <v>2007</v>
      </c>
      <c r="AB3979">
        <v>9999</v>
      </c>
      <c r="AC3979" t="s">
        <v>35</v>
      </c>
    </row>
    <row r="3980" spans="1:29" x14ac:dyDescent="0.25">
      <c r="A3980" s="31" t="s">
        <v>776</v>
      </c>
      <c r="B3980" s="23" t="s">
        <v>777</v>
      </c>
      <c r="D3980">
        <v>1</v>
      </c>
      <c r="E3980" t="s">
        <v>468</v>
      </c>
      <c r="F3980">
        <v>7</v>
      </c>
      <c r="G3980">
        <v>2012</v>
      </c>
      <c r="I3980" s="8">
        <v>125.79</v>
      </c>
      <c r="J3980" t="s">
        <v>40</v>
      </c>
      <c r="K3980" t="s">
        <v>47</v>
      </c>
      <c r="O3980">
        <v>0</v>
      </c>
      <c r="P3980">
        <v>0</v>
      </c>
      <c r="Q3980">
        <v>0</v>
      </c>
      <c r="R3980">
        <v>0</v>
      </c>
      <c r="W3980" t="s">
        <v>1175</v>
      </c>
      <c r="AA3980">
        <v>2007</v>
      </c>
      <c r="AB3980">
        <v>2013</v>
      </c>
      <c r="AC3980" t="s">
        <v>139</v>
      </c>
    </row>
    <row r="3981" spans="1:29" x14ac:dyDescent="0.25">
      <c r="A3981" s="31" t="s">
        <v>779</v>
      </c>
      <c r="B3981" s="23" t="s">
        <v>780</v>
      </c>
      <c r="D3981">
        <v>1</v>
      </c>
      <c r="E3981" t="s">
        <v>80</v>
      </c>
      <c r="F3981">
        <v>8</v>
      </c>
      <c r="G3981">
        <v>2012</v>
      </c>
      <c r="I3981" s="8">
        <v>74.459999999999994</v>
      </c>
      <c r="J3981" t="s">
        <v>81</v>
      </c>
      <c r="K3981" t="s">
        <v>47</v>
      </c>
      <c r="O3981">
        <v>0</v>
      </c>
      <c r="P3981">
        <v>0</v>
      </c>
      <c r="Q3981">
        <v>0</v>
      </c>
      <c r="R3981">
        <v>0</v>
      </c>
      <c r="W3981" t="s">
        <v>1176</v>
      </c>
      <c r="AA3981">
        <v>2007</v>
      </c>
      <c r="AB3981">
        <v>9999</v>
      </c>
      <c r="AC3981" t="s">
        <v>35</v>
      </c>
    </row>
    <row r="3982" spans="1:29" x14ac:dyDescent="0.25">
      <c r="A3982" s="31" t="s">
        <v>782</v>
      </c>
      <c r="B3982" s="23" t="s">
        <v>783</v>
      </c>
      <c r="D3982">
        <v>1</v>
      </c>
      <c r="E3982" t="s">
        <v>784</v>
      </c>
      <c r="F3982">
        <v>6</v>
      </c>
      <c r="G3982">
        <v>2012</v>
      </c>
      <c r="I3982" s="8">
        <v>76.39</v>
      </c>
      <c r="J3982" t="s">
        <v>40</v>
      </c>
      <c r="K3982" t="s">
        <v>47</v>
      </c>
      <c r="O3982">
        <v>0</v>
      </c>
      <c r="P3982">
        <v>0</v>
      </c>
      <c r="Q3982">
        <v>0</v>
      </c>
      <c r="R3982">
        <v>0</v>
      </c>
      <c r="W3982" t="s">
        <v>1326</v>
      </c>
      <c r="AA3982">
        <v>2007</v>
      </c>
      <c r="AB3982">
        <v>9999</v>
      </c>
      <c r="AC3982" t="s">
        <v>35</v>
      </c>
    </row>
    <row r="3983" spans="1:29" x14ac:dyDescent="0.25">
      <c r="A3983" s="31" t="s">
        <v>786</v>
      </c>
      <c r="B3983" s="23" t="s">
        <v>787</v>
      </c>
      <c r="C3983" t="s">
        <v>788</v>
      </c>
      <c r="D3983">
        <v>1</v>
      </c>
      <c r="E3983" t="s">
        <v>120</v>
      </c>
      <c r="F3983">
        <v>3</v>
      </c>
      <c r="G3983">
        <v>2012</v>
      </c>
      <c r="I3983" s="8">
        <v>24.17</v>
      </c>
      <c r="J3983" t="s">
        <v>147</v>
      </c>
      <c r="K3983" t="s">
        <v>47</v>
      </c>
      <c r="O3983">
        <v>0</v>
      </c>
      <c r="P3983">
        <v>0</v>
      </c>
      <c r="Q3983">
        <v>0</v>
      </c>
      <c r="R3983">
        <v>0</v>
      </c>
      <c r="W3983" t="s">
        <v>1178</v>
      </c>
      <c r="AA3983">
        <v>2007</v>
      </c>
      <c r="AB3983">
        <v>9999</v>
      </c>
      <c r="AC3983" t="s">
        <v>35</v>
      </c>
    </row>
    <row r="3984" spans="1:29" x14ac:dyDescent="0.25">
      <c r="A3984" s="31" t="s">
        <v>790</v>
      </c>
      <c r="B3984" s="23" t="s">
        <v>791</v>
      </c>
      <c r="D3984">
        <v>1</v>
      </c>
      <c r="E3984" t="s">
        <v>80</v>
      </c>
      <c r="F3984">
        <v>8</v>
      </c>
      <c r="G3984">
        <v>2012</v>
      </c>
      <c r="I3984" s="8">
        <v>76.45</v>
      </c>
      <c r="J3984" t="s">
        <v>81</v>
      </c>
      <c r="K3984" t="s">
        <v>47</v>
      </c>
      <c r="O3984">
        <v>0</v>
      </c>
      <c r="P3984">
        <v>0</v>
      </c>
      <c r="Q3984">
        <v>0</v>
      </c>
      <c r="R3984">
        <v>0</v>
      </c>
      <c r="W3984" t="s">
        <v>1179</v>
      </c>
      <c r="AA3984">
        <v>2007</v>
      </c>
      <c r="AB3984">
        <v>9999</v>
      </c>
      <c r="AC3984" t="s">
        <v>35</v>
      </c>
    </row>
    <row r="3985" spans="1:29" ht="26.25" x14ac:dyDescent="0.25">
      <c r="A3985" s="31" t="s">
        <v>1327</v>
      </c>
      <c r="B3985" s="26" t="s">
        <v>1328</v>
      </c>
      <c r="C3985" t="s">
        <v>1329</v>
      </c>
      <c r="D3985">
        <v>1</v>
      </c>
      <c r="E3985" t="s">
        <v>218</v>
      </c>
      <c r="F3985">
        <v>2</v>
      </c>
      <c r="G3985">
        <v>2012</v>
      </c>
      <c r="I3985" s="8">
        <v>5</v>
      </c>
      <c r="J3985" t="s">
        <v>147</v>
      </c>
      <c r="K3985" t="s">
        <v>41</v>
      </c>
      <c r="O3985">
        <v>0</v>
      </c>
      <c r="P3985">
        <v>0</v>
      </c>
      <c r="Q3985">
        <v>0</v>
      </c>
      <c r="R3985">
        <v>0</v>
      </c>
      <c r="W3985" t="s">
        <v>1330</v>
      </c>
      <c r="AA3985">
        <v>2010</v>
      </c>
      <c r="AB3985">
        <v>9999</v>
      </c>
      <c r="AC3985" t="s">
        <v>1292</v>
      </c>
    </row>
    <row r="3986" spans="1:29" x14ac:dyDescent="0.25">
      <c r="A3986" s="31" t="s">
        <v>796</v>
      </c>
      <c r="B3986" s="23" t="s">
        <v>797</v>
      </c>
      <c r="C3986" t="s">
        <v>798</v>
      </c>
      <c r="D3986">
        <v>1</v>
      </c>
      <c r="E3986" t="s">
        <v>534</v>
      </c>
      <c r="F3986">
        <v>10</v>
      </c>
      <c r="G3986">
        <v>2012</v>
      </c>
      <c r="I3986" s="8">
        <v>2853.11</v>
      </c>
      <c r="J3986" t="s">
        <v>40</v>
      </c>
      <c r="K3986" t="s">
        <v>47</v>
      </c>
      <c r="O3986">
        <v>0</v>
      </c>
      <c r="P3986">
        <v>0</v>
      </c>
      <c r="Q3986">
        <v>0</v>
      </c>
      <c r="R3986">
        <v>0</v>
      </c>
      <c r="W3986" t="s">
        <v>1181</v>
      </c>
      <c r="AA3986">
        <v>2007</v>
      </c>
      <c r="AB3986">
        <v>9999</v>
      </c>
      <c r="AC3986" t="s">
        <v>35</v>
      </c>
    </row>
    <row r="3987" spans="1:29" x14ac:dyDescent="0.25">
      <c r="A3987" s="31" t="s">
        <v>800</v>
      </c>
      <c r="B3987" s="23" t="s">
        <v>801</v>
      </c>
      <c r="C3987" t="s">
        <v>802</v>
      </c>
      <c r="D3987">
        <v>1</v>
      </c>
      <c r="E3987" t="s">
        <v>442</v>
      </c>
      <c r="F3987">
        <v>4</v>
      </c>
      <c r="G3987">
        <v>2012</v>
      </c>
      <c r="I3987" s="8">
        <v>1566.58</v>
      </c>
      <c r="J3987" t="s">
        <v>1343</v>
      </c>
      <c r="K3987" t="s">
        <v>47</v>
      </c>
      <c r="O3987">
        <v>0</v>
      </c>
      <c r="P3987">
        <v>0</v>
      </c>
      <c r="Q3987">
        <v>0</v>
      </c>
      <c r="R3987">
        <v>0</v>
      </c>
      <c r="W3987" t="s">
        <v>1331</v>
      </c>
      <c r="AA3987">
        <v>2007</v>
      </c>
      <c r="AB3987">
        <v>9999</v>
      </c>
      <c r="AC3987" t="s">
        <v>35</v>
      </c>
    </row>
    <row r="3988" spans="1:29" x14ac:dyDescent="0.25">
      <c r="A3988" s="31" t="s">
        <v>804</v>
      </c>
      <c r="B3988" s="23" t="s">
        <v>805</v>
      </c>
      <c r="D3988">
        <v>1</v>
      </c>
      <c r="E3988" t="s">
        <v>806</v>
      </c>
      <c r="F3988">
        <v>4</v>
      </c>
      <c r="G3988">
        <v>2012</v>
      </c>
      <c r="J3988" t="s">
        <v>89</v>
      </c>
      <c r="K3988" t="s">
        <v>32</v>
      </c>
      <c r="O3988">
        <v>0</v>
      </c>
      <c r="P3988">
        <v>0</v>
      </c>
      <c r="Q3988">
        <v>0</v>
      </c>
      <c r="R3988">
        <v>0</v>
      </c>
      <c r="W3988" t="s">
        <v>1183</v>
      </c>
      <c r="AA3988">
        <v>2007</v>
      </c>
      <c r="AB3988">
        <v>2012</v>
      </c>
      <c r="AC3988" t="s">
        <v>302</v>
      </c>
    </row>
    <row r="3989" spans="1:29" x14ac:dyDescent="0.25">
      <c r="A3989" s="31" t="s">
        <v>808</v>
      </c>
      <c r="B3989" s="23" t="s">
        <v>809</v>
      </c>
      <c r="D3989">
        <v>1</v>
      </c>
      <c r="E3989" t="s">
        <v>80</v>
      </c>
      <c r="F3989">
        <v>8</v>
      </c>
      <c r="G3989">
        <v>2012</v>
      </c>
      <c r="I3989" s="8">
        <v>12.36</v>
      </c>
      <c r="J3989" t="s">
        <v>81</v>
      </c>
      <c r="K3989" t="s">
        <v>47</v>
      </c>
      <c r="O3989">
        <v>0</v>
      </c>
      <c r="P3989">
        <v>0</v>
      </c>
      <c r="Q3989">
        <v>0</v>
      </c>
      <c r="R3989">
        <v>0</v>
      </c>
      <c r="W3989" t="s">
        <v>1184</v>
      </c>
      <c r="AA3989">
        <v>2007</v>
      </c>
      <c r="AB3989">
        <v>9999</v>
      </c>
      <c r="AC3989" t="s">
        <v>35</v>
      </c>
    </row>
    <row r="3990" spans="1:29" x14ac:dyDescent="0.25">
      <c r="A3990" s="31" t="s">
        <v>472</v>
      </c>
      <c r="B3990" s="23" t="s">
        <v>811</v>
      </c>
      <c r="D3990">
        <v>1</v>
      </c>
      <c r="E3990" t="s">
        <v>681</v>
      </c>
      <c r="F3990">
        <v>3</v>
      </c>
      <c r="G3990">
        <v>2012</v>
      </c>
      <c r="I3990" t="s">
        <v>474</v>
      </c>
      <c r="J3990" t="s">
        <v>121</v>
      </c>
      <c r="K3990" t="s">
        <v>53</v>
      </c>
      <c r="L3990" t="s">
        <v>53</v>
      </c>
      <c r="O3990">
        <v>0</v>
      </c>
      <c r="P3990">
        <v>0</v>
      </c>
      <c r="Q3990">
        <v>0</v>
      </c>
      <c r="R3990">
        <v>0</v>
      </c>
      <c r="W3990" t="s">
        <v>813</v>
      </c>
      <c r="AA3990">
        <v>2007</v>
      </c>
      <c r="AB3990">
        <v>9999</v>
      </c>
      <c r="AC3990" t="s">
        <v>35</v>
      </c>
    </row>
    <row r="3991" spans="1:29" x14ac:dyDescent="0.25">
      <c r="A3991" s="31" t="s">
        <v>814</v>
      </c>
      <c r="B3991" s="23" t="s">
        <v>815</v>
      </c>
      <c r="D3991">
        <v>1</v>
      </c>
      <c r="E3991" t="s">
        <v>80</v>
      </c>
      <c r="F3991">
        <v>8</v>
      </c>
      <c r="G3991">
        <v>2012</v>
      </c>
      <c r="I3991" s="8">
        <v>67.53</v>
      </c>
      <c r="J3991" t="s">
        <v>81</v>
      </c>
      <c r="K3991" t="s">
        <v>32</v>
      </c>
      <c r="O3991">
        <v>0</v>
      </c>
      <c r="P3991">
        <v>0</v>
      </c>
      <c r="Q3991">
        <v>0</v>
      </c>
      <c r="R3991">
        <v>0</v>
      </c>
      <c r="W3991" t="s">
        <v>1185</v>
      </c>
      <c r="AA3991">
        <v>2007</v>
      </c>
      <c r="AB3991">
        <v>9999</v>
      </c>
      <c r="AC3991" t="s">
        <v>35</v>
      </c>
    </row>
    <row r="3992" spans="1:29" x14ac:dyDescent="0.25">
      <c r="A3992" s="31" t="s">
        <v>822</v>
      </c>
      <c r="B3992" s="23" t="s">
        <v>823</v>
      </c>
      <c r="D3992">
        <v>1</v>
      </c>
      <c r="E3992" t="s">
        <v>80</v>
      </c>
      <c r="F3992">
        <v>8</v>
      </c>
      <c r="G3992">
        <v>2012</v>
      </c>
      <c r="I3992" s="8">
        <v>174.99</v>
      </c>
      <c r="J3992" t="s">
        <v>81</v>
      </c>
      <c r="K3992" t="s">
        <v>47</v>
      </c>
      <c r="O3992">
        <v>0</v>
      </c>
      <c r="P3992">
        <v>0</v>
      </c>
      <c r="Q3992">
        <v>0</v>
      </c>
      <c r="R3992">
        <v>0</v>
      </c>
      <c r="W3992" t="s">
        <v>1187</v>
      </c>
      <c r="AA3992">
        <v>2007</v>
      </c>
      <c r="AB3992">
        <v>9999</v>
      </c>
      <c r="AC3992" t="s">
        <v>35</v>
      </c>
    </row>
    <row r="3993" spans="1:29" x14ac:dyDescent="0.25">
      <c r="A3993" s="31" t="s">
        <v>1374</v>
      </c>
      <c r="B3993" s="23" t="s">
        <v>1375</v>
      </c>
      <c r="D3993">
        <v>1</v>
      </c>
      <c r="E3993" t="s">
        <v>80</v>
      </c>
      <c r="F3993">
        <v>8</v>
      </c>
      <c r="G3993">
        <v>2012</v>
      </c>
      <c r="I3993" s="8">
        <v>13.2</v>
      </c>
      <c r="J3993" t="s">
        <v>81</v>
      </c>
      <c r="K3993" t="s">
        <v>47</v>
      </c>
      <c r="O3993">
        <v>0</v>
      </c>
      <c r="P3993">
        <v>0</v>
      </c>
      <c r="Q3993">
        <v>0</v>
      </c>
      <c r="R3993">
        <v>0</v>
      </c>
      <c r="W3993" t="s">
        <v>1376</v>
      </c>
      <c r="AA3993">
        <v>2011</v>
      </c>
      <c r="AB3993">
        <v>2023</v>
      </c>
      <c r="AC3993" t="s">
        <v>1377</v>
      </c>
    </row>
    <row r="3994" spans="1:29" x14ac:dyDescent="0.25">
      <c r="A3994" s="31" t="s">
        <v>825</v>
      </c>
      <c r="B3994" s="23" t="s">
        <v>826</v>
      </c>
      <c r="D3994">
        <v>1</v>
      </c>
      <c r="E3994" t="s">
        <v>80</v>
      </c>
      <c r="F3994">
        <v>8</v>
      </c>
      <c r="G3994">
        <v>2012</v>
      </c>
      <c r="I3994" s="8">
        <v>119.71</v>
      </c>
      <c r="J3994" t="s">
        <v>81</v>
      </c>
      <c r="K3994" t="s">
        <v>47</v>
      </c>
      <c r="O3994">
        <v>0</v>
      </c>
      <c r="P3994">
        <v>0</v>
      </c>
      <c r="Q3994">
        <v>0</v>
      </c>
      <c r="R3994">
        <v>0</v>
      </c>
      <c r="W3994" t="s">
        <v>1188</v>
      </c>
      <c r="AA3994">
        <v>2007</v>
      </c>
      <c r="AB3994">
        <v>9999</v>
      </c>
      <c r="AC3994" t="s">
        <v>35</v>
      </c>
    </row>
    <row r="3995" spans="1:29" x14ac:dyDescent="0.25">
      <c r="A3995" s="31" t="s">
        <v>828</v>
      </c>
      <c r="B3995" s="25" t="s">
        <v>1408</v>
      </c>
      <c r="C3995" t="s">
        <v>1409</v>
      </c>
      <c r="D3995">
        <v>1</v>
      </c>
      <c r="E3995" s="5" t="s">
        <v>80</v>
      </c>
      <c r="F3995">
        <v>8</v>
      </c>
      <c r="G3995">
        <v>2012</v>
      </c>
      <c r="I3995" s="8">
        <v>80.62</v>
      </c>
      <c r="J3995" t="s">
        <v>81</v>
      </c>
      <c r="K3995" t="s">
        <v>47</v>
      </c>
      <c r="O3995">
        <v>0</v>
      </c>
      <c r="P3995">
        <v>0</v>
      </c>
      <c r="Q3995">
        <v>0</v>
      </c>
      <c r="R3995">
        <v>0</v>
      </c>
      <c r="W3995" t="s">
        <v>1410</v>
      </c>
      <c r="AA3995">
        <v>2007</v>
      </c>
      <c r="AB3995">
        <v>9999</v>
      </c>
      <c r="AC3995" t="s">
        <v>35</v>
      </c>
    </row>
    <row r="3996" spans="1:29" x14ac:dyDescent="0.25">
      <c r="A3996" s="31" t="s">
        <v>831</v>
      </c>
      <c r="B3996" s="25" t="s">
        <v>832</v>
      </c>
      <c r="C3996" t="s">
        <v>833</v>
      </c>
      <c r="D3996">
        <v>1</v>
      </c>
      <c r="E3996" t="s">
        <v>38</v>
      </c>
      <c r="F3996">
        <v>4</v>
      </c>
      <c r="G3996">
        <v>2012</v>
      </c>
      <c r="H3996" t="s">
        <v>906</v>
      </c>
      <c r="J3996" t="s">
        <v>59</v>
      </c>
      <c r="K3996" t="s">
        <v>41</v>
      </c>
      <c r="O3996">
        <v>0</v>
      </c>
      <c r="P3996">
        <v>0</v>
      </c>
      <c r="Q3996">
        <v>0</v>
      </c>
      <c r="R3996">
        <v>0</v>
      </c>
      <c r="W3996" t="s">
        <v>1190</v>
      </c>
      <c r="AA3996">
        <v>2007</v>
      </c>
      <c r="AB3996">
        <v>9999</v>
      </c>
      <c r="AC3996" t="s">
        <v>35</v>
      </c>
    </row>
    <row r="3997" spans="1:29" x14ac:dyDescent="0.25">
      <c r="A3997" s="31" t="s">
        <v>1194</v>
      </c>
      <c r="B3997" s="25" t="s">
        <v>1195</v>
      </c>
      <c r="D3997">
        <v>1</v>
      </c>
      <c r="E3997" t="s">
        <v>85</v>
      </c>
      <c r="F3997">
        <v>1</v>
      </c>
      <c r="G3997">
        <v>2012</v>
      </c>
      <c r="H3997" t="s">
        <v>39</v>
      </c>
      <c r="J3997" t="s">
        <v>52</v>
      </c>
      <c r="K3997" t="s">
        <v>41</v>
      </c>
      <c r="O3997">
        <v>0</v>
      </c>
      <c r="P3997">
        <v>0</v>
      </c>
      <c r="Q3997">
        <v>0</v>
      </c>
      <c r="R3997">
        <v>0</v>
      </c>
      <c r="W3997" t="s">
        <v>1267</v>
      </c>
      <c r="AA3997">
        <v>2008</v>
      </c>
      <c r="AB3997">
        <v>9999</v>
      </c>
      <c r="AC3997" t="s">
        <v>1054</v>
      </c>
    </row>
    <row r="3998" spans="1:29" x14ac:dyDescent="0.25">
      <c r="A3998" s="31" t="s">
        <v>1268</v>
      </c>
      <c r="B3998" s="23" t="s">
        <v>1262</v>
      </c>
      <c r="D3998">
        <v>1</v>
      </c>
      <c r="E3998" t="s">
        <v>300</v>
      </c>
      <c r="F3998">
        <v>9</v>
      </c>
      <c r="G3998">
        <v>2012</v>
      </c>
      <c r="I3998" s="8">
        <v>343.7</v>
      </c>
      <c r="J3998" t="s">
        <v>104</v>
      </c>
      <c r="K3998" t="s">
        <v>47</v>
      </c>
      <c r="O3998">
        <v>0</v>
      </c>
      <c r="P3998">
        <v>0</v>
      </c>
      <c r="Q3998">
        <v>0</v>
      </c>
      <c r="R3998">
        <v>0</v>
      </c>
      <c r="W3998" t="s">
        <v>1411</v>
      </c>
      <c r="AA3998">
        <v>2009</v>
      </c>
      <c r="AB3998">
        <v>9999</v>
      </c>
      <c r="AC3998" t="s">
        <v>1239</v>
      </c>
    </row>
    <row r="3999" spans="1:29" x14ac:dyDescent="0.25">
      <c r="A3999" s="31" t="s">
        <v>845</v>
      </c>
      <c r="B3999" s="23" t="s">
        <v>846</v>
      </c>
      <c r="C3999" t="s">
        <v>847</v>
      </c>
      <c r="D3999">
        <v>1</v>
      </c>
      <c r="E3999" t="s">
        <v>300</v>
      </c>
      <c r="F3999">
        <v>9</v>
      </c>
      <c r="G3999">
        <v>2012</v>
      </c>
      <c r="I3999" s="8">
        <v>313.29000000000002</v>
      </c>
      <c r="J3999" t="s">
        <v>104</v>
      </c>
      <c r="K3999" t="s">
        <v>47</v>
      </c>
      <c r="O3999">
        <v>0</v>
      </c>
      <c r="P3999">
        <v>0</v>
      </c>
      <c r="Q3999">
        <v>0</v>
      </c>
      <c r="R3999">
        <v>0</v>
      </c>
      <c r="W3999" t="s">
        <v>1412</v>
      </c>
      <c r="AA3999">
        <v>2007</v>
      </c>
      <c r="AB3999">
        <v>9999</v>
      </c>
      <c r="AC3999" t="s">
        <v>35</v>
      </c>
    </row>
    <row r="4000" spans="1:29" x14ac:dyDescent="0.25">
      <c r="A4000" s="31" t="s">
        <v>852</v>
      </c>
      <c r="B4000" s="25" t="s">
        <v>853</v>
      </c>
      <c r="D4000">
        <v>1</v>
      </c>
      <c r="E4000" t="s">
        <v>85</v>
      </c>
      <c r="F4000">
        <v>1</v>
      </c>
      <c r="G4000">
        <v>2012</v>
      </c>
      <c r="H4000" t="s">
        <v>837</v>
      </c>
      <c r="J4000" t="s">
        <v>40</v>
      </c>
      <c r="K4000" t="s">
        <v>41</v>
      </c>
      <c r="O4000">
        <v>0</v>
      </c>
      <c r="P4000">
        <v>0</v>
      </c>
      <c r="Q4000">
        <v>0</v>
      </c>
      <c r="R4000">
        <v>0</v>
      </c>
      <c r="W4000" t="s">
        <v>1191</v>
      </c>
      <c r="AA4000">
        <v>2007</v>
      </c>
      <c r="AB4000">
        <v>9999</v>
      </c>
      <c r="AC4000" t="s">
        <v>35</v>
      </c>
    </row>
    <row r="4001" spans="1:29" x14ac:dyDescent="0.25">
      <c r="A4001" s="31" t="s">
        <v>836</v>
      </c>
      <c r="B4001" s="23" t="s">
        <v>1413</v>
      </c>
      <c r="D4001">
        <v>1</v>
      </c>
      <c r="E4001" t="s">
        <v>64</v>
      </c>
      <c r="F4001">
        <v>1</v>
      </c>
      <c r="G4001">
        <v>2012</v>
      </c>
      <c r="I4001" s="8">
        <v>275.55</v>
      </c>
      <c r="J4001" s="2" t="s">
        <v>40</v>
      </c>
      <c r="K4001" t="s">
        <v>32</v>
      </c>
      <c r="O4001">
        <v>0</v>
      </c>
      <c r="P4001">
        <v>0</v>
      </c>
      <c r="Q4001">
        <v>0</v>
      </c>
      <c r="R4001">
        <v>0</v>
      </c>
      <c r="W4001" t="s">
        <v>1191</v>
      </c>
      <c r="AA4001">
        <v>2007</v>
      </c>
      <c r="AB4001">
        <v>9999</v>
      </c>
      <c r="AC4001" t="s">
        <v>35</v>
      </c>
    </row>
    <row r="4002" spans="1:29" x14ac:dyDescent="0.25">
      <c r="A4002" s="31" t="s">
        <v>857</v>
      </c>
      <c r="B4002" s="25" t="s">
        <v>858</v>
      </c>
      <c r="D4002">
        <v>1</v>
      </c>
      <c r="E4002" t="s">
        <v>859</v>
      </c>
      <c r="F4002">
        <v>5</v>
      </c>
      <c r="G4002">
        <v>2012</v>
      </c>
      <c r="I4002" s="8">
        <v>6</v>
      </c>
      <c r="J4002" t="s">
        <v>40</v>
      </c>
      <c r="K4002" t="s">
        <v>47</v>
      </c>
      <c r="O4002">
        <v>0</v>
      </c>
      <c r="P4002">
        <v>0</v>
      </c>
      <c r="Q4002">
        <v>0</v>
      </c>
      <c r="R4002">
        <v>0</v>
      </c>
      <c r="W4002" t="s">
        <v>1197</v>
      </c>
      <c r="AA4002">
        <v>2007</v>
      </c>
      <c r="AB4002">
        <v>2015</v>
      </c>
      <c r="AC4002" t="s">
        <v>861</v>
      </c>
    </row>
    <row r="4003" spans="1:29" x14ac:dyDescent="0.25">
      <c r="A4003" s="31" t="s">
        <v>862</v>
      </c>
      <c r="B4003" s="23" t="s">
        <v>863</v>
      </c>
      <c r="C4003" t="s">
        <v>864</v>
      </c>
      <c r="D4003">
        <v>1</v>
      </c>
      <c r="E4003" t="s">
        <v>442</v>
      </c>
      <c r="F4003">
        <v>4</v>
      </c>
      <c r="G4003">
        <v>2012</v>
      </c>
      <c r="I4003" s="8">
        <v>352.3</v>
      </c>
      <c r="J4003" t="s">
        <v>1343</v>
      </c>
      <c r="K4003" t="s">
        <v>47</v>
      </c>
      <c r="O4003">
        <v>0</v>
      </c>
      <c r="P4003">
        <v>0</v>
      </c>
      <c r="Q4003">
        <v>0</v>
      </c>
      <c r="R4003">
        <v>0</v>
      </c>
      <c r="W4003" t="s">
        <v>1334</v>
      </c>
      <c r="AA4003">
        <v>2007</v>
      </c>
      <c r="AB4003">
        <v>9999</v>
      </c>
      <c r="AC4003" t="s">
        <v>35</v>
      </c>
    </row>
    <row r="4004" spans="1:29" x14ac:dyDescent="0.25">
      <c r="A4004" s="31" t="s">
        <v>866</v>
      </c>
      <c r="B4004" s="23" t="s">
        <v>867</v>
      </c>
      <c r="C4004" t="s">
        <v>868</v>
      </c>
      <c r="D4004">
        <v>1</v>
      </c>
      <c r="E4004" t="s">
        <v>869</v>
      </c>
      <c r="F4004">
        <v>4</v>
      </c>
      <c r="G4004">
        <v>2012</v>
      </c>
      <c r="I4004" s="8">
        <v>184.53</v>
      </c>
      <c r="J4004" t="s">
        <v>89</v>
      </c>
      <c r="K4004" t="s">
        <v>32</v>
      </c>
      <c r="O4004">
        <v>0</v>
      </c>
      <c r="P4004">
        <v>0</v>
      </c>
      <c r="Q4004">
        <v>0</v>
      </c>
      <c r="R4004">
        <v>0</v>
      </c>
      <c r="W4004" t="s">
        <v>1199</v>
      </c>
      <c r="AA4004">
        <v>2007</v>
      </c>
      <c r="AB4004">
        <v>9999</v>
      </c>
      <c r="AC4004" t="s">
        <v>35</v>
      </c>
    </row>
    <row r="4005" spans="1:29" x14ac:dyDescent="0.25">
      <c r="A4005" s="31" t="s">
        <v>1023</v>
      </c>
      <c r="B4005" s="25" t="s">
        <v>1200</v>
      </c>
      <c r="D4005">
        <v>1</v>
      </c>
      <c r="E4005" t="s">
        <v>85</v>
      </c>
      <c r="F4005">
        <v>1</v>
      </c>
      <c r="G4005">
        <v>2012</v>
      </c>
      <c r="H4005" t="s">
        <v>39</v>
      </c>
      <c r="J4005" t="s">
        <v>40</v>
      </c>
      <c r="K4005" t="s">
        <v>41</v>
      </c>
      <c r="O4005">
        <v>0</v>
      </c>
      <c r="P4005">
        <v>0</v>
      </c>
      <c r="Q4005">
        <v>0</v>
      </c>
      <c r="R4005">
        <v>0</v>
      </c>
      <c r="W4005" t="s">
        <v>1271</v>
      </c>
      <c r="AA4005">
        <v>2007</v>
      </c>
      <c r="AB4005">
        <v>9999</v>
      </c>
      <c r="AC4005" t="s">
        <v>35</v>
      </c>
    </row>
    <row r="4006" spans="1:29" x14ac:dyDescent="0.25">
      <c r="A4006" s="31" t="s">
        <v>871</v>
      </c>
      <c r="B4006" s="23" t="s">
        <v>872</v>
      </c>
      <c r="C4006" t="s">
        <v>873</v>
      </c>
      <c r="D4006">
        <v>1</v>
      </c>
      <c r="E4006" t="s">
        <v>874</v>
      </c>
      <c r="F4006">
        <v>1</v>
      </c>
      <c r="G4006">
        <v>2012</v>
      </c>
      <c r="I4006" s="8">
        <v>1190.48</v>
      </c>
      <c r="J4006" t="s">
        <v>52</v>
      </c>
      <c r="K4006" t="s">
        <v>47</v>
      </c>
      <c r="O4006">
        <v>0</v>
      </c>
      <c r="P4006">
        <v>0</v>
      </c>
      <c r="Q4006">
        <v>0</v>
      </c>
      <c r="R4006">
        <v>0</v>
      </c>
      <c r="W4006" t="s">
        <v>1201</v>
      </c>
      <c r="AA4006">
        <v>2007</v>
      </c>
      <c r="AB4006">
        <v>9999</v>
      </c>
      <c r="AC4006" t="s">
        <v>35</v>
      </c>
    </row>
    <row r="4007" spans="1:29" x14ac:dyDescent="0.25">
      <c r="A4007" s="31" t="s">
        <v>876</v>
      </c>
      <c r="B4007" s="23" t="s">
        <v>877</v>
      </c>
      <c r="C4007" t="s">
        <v>878</v>
      </c>
      <c r="D4007">
        <v>1</v>
      </c>
      <c r="E4007" t="s">
        <v>168</v>
      </c>
      <c r="F4007">
        <v>1</v>
      </c>
      <c r="G4007">
        <v>2012</v>
      </c>
      <c r="I4007" s="8">
        <v>69.150000000000006</v>
      </c>
      <c r="J4007" t="s">
        <v>40</v>
      </c>
      <c r="K4007" t="s">
        <v>47</v>
      </c>
      <c r="O4007">
        <v>0</v>
      </c>
      <c r="P4007">
        <v>0</v>
      </c>
      <c r="Q4007">
        <v>0</v>
      </c>
      <c r="R4007">
        <v>0</v>
      </c>
      <c r="W4007" t="s">
        <v>1202</v>
      </c>
      <c r="AA4007">
        <v>2007</v>
      </c>
      <c r="AB4007">
        <v>9999</v>
      </c>
      <c r="AC4007" t="s">
        <v>35</v>
      </c>
    </row>
    <row r="4008" spans="1:29" x14ac:dyDescent="0.25">
      <c r="A4008" s="31" t="s">
        <v>1378</v>
      </c>
      <c r="B4008" s="23" t="s">
        <v>1379</v>
      </c>
      <c r="D4008">
        <v>1</v>
      </c>
      <c r="E4008" t="s">
        <v>103</v>
      </c>
      <c r="F4008">
        <v>9</v>
      </c>
      <c r="G4008">
        <v>2012</v>
      </c>
      <c r="I4008" s="8">
        <v>95.44</v>
      </c>
      <c r="J4008" t="s">
        <v>104</v>
      </c>
      <c r="K4008" t="s">
        <v>53</v>
      </c>
      <c r="L4008" t="s">
        <v>105</v>
      </c>
      <c r="O4008">
        <v>0</v>
      </c>
      <c r="P4008">
        <v>1</v>
      </c>
      <c r="Q4008">
        <v>0</v>
      </c>
      <c r="R4008">
        <v>0</v>
      </c>
      <c r="W4008" t="s">
        <v>106</v>
      </c>
      <c r="AA4008">
        <v>2011</v>
      </c>
      <c r="AB4008">
        <v>2013</v>
      </c>
      <c r="AC4008" t="s">
        <v>1380</v>
      </c>
    </row>
    <row r="4009" spans="1:29" x14ac:dyDescent="0.25">
      <c r="A4009" s="31" t="s">
        <v>880</v>
      </c>
      <c r="B4009" s="23" t="s">
        <v>881</v>
      </c>
      <c r="C4009" t="s">
        <v>882</v>
      </c>
      <c r="D4009">
        <v>1</v>
      </c>
      <c r="E4009" t="s">
        <v>103</v>
      </c>
      <c r="F4009">
        <v>9</v>
      </c>
      <c r="G4009">
        <v>2012</v>
      </c>
      <c r="I4009" s="8">
        <v>4266.49</v>
      </c>
      <c r="J4009" t="s">
        <v>104</v>
      </c>
      <c r="K4009" t="s">
        <v>53</v>
      </c>
      <c r="L4009" t="s">
        <v>105</v>
      </c>
      <c r="O4009">
        <v>0</v>
      </c>
      <c r="P4009">
        <v>1</v>
      </c>
      <c r="Q4009">
        <v>0</v>
      </c>
      <c r="R4009">
        <v>0</v>
      </c>
      <c r="W4009" t="s">
        <v>106</v>
      </c>
      <c r="AA4009">
        <v>2007</v>
      </c>
      <c r="AB4009">
        <v>9999</v>
      </c>
      <c r="AC4009" t="s">
        <v>35</v>
      </c>
    </row>
    <row r="4010" spans="1:29" x14ac:dyDescent="0.25">
      <c r="A4010" s="31" t="s">
        <v>1272</v>
      </c>
      <c r="B4010" s="23" t="s">
        <v>1273</v>
      </c>
      <c r="D4010">
        <v>1</v>
      </c>
      <c r="E4010" t="s">
        <v>1274</v>
      </c>
      <c r="F4010">
        <v>4</v>
      </c>
      <c r="G4010">
        <v>2012</v>
      </c>
      <c r="I4010" s="8">
        <v>249.46</v>
      </c>
      <c r="J4010" t="s">
        <v>31</v>
      </c>
      <c r="K4010" t="s">
        <v>47</v>
      </c>
      <c r="O4010">
        <v>0</v>
      </c>
      <c r="P4010">
        <v>0</v>
      </c>
      <c r="Q4010">
        <v>0</v>
      </c>
      <c r="R4010">
        <v>0</v>
      </c>
      <c r="W4010" t="s">
        <v>1275</v>
      </c>
      <c r="AA4010">
        <v>2009</v>
      </c>
      <c r="AB4010">
        <v>9999</v>
      </c>
      <c r="AC4010" t="s">
        <v>1239</v>
      </c>
    </row>
    <row r="4011" spans="1:29" x14ac:dyDescent="0.25">
      <c r="A4011" s="31" t="s">
        <v>883</v>
      </c>
      <c r="B4011" s="23" t="s">
        <v>884</v>
      </c>
      <c r="C4011" t="s">
        <v>885</v>
      </c>
      <c r="D4011">
        <v>1</v>
      </c>
      <c r="E4011" t="s">
        <v>45</v>
      </c>
      <c r="F4011">
        <v>4</v>
      </c>
      <c r="G4011">
        <v>2012</v>
      </c>
      <c r="I4011" s="8">
        <v>103.95</v>
      </c>
      <c r="J4011" t="s">
        <v>176</v>
      </c>
      <c r="K4011" t="s">
        <v>47</v>
      </c>
      <c r="O4011">
        <v>0</v>
      </c>
      <c r="P4011">
        <v>0</v>
      </c>
      <c r="Q4011">
        <v>0</v>
      </c>
      <c r="R4011">
        <v>0</v>
      </c>
      <c r="W4011" t="s">
        <v>1335</v>
      </c>
      <c r="AA4011">
        <v>2007</v>
      </c>
      <c r="AB4011">
        <v>9999</v>
      </c>
      <c r="AC4011" t="s">
        <v>35</v>
      </c>
    </row>
    <row r="4012" spans="1:29" x14ac:dyDescent="0.25">
      <c r="A4012" s="31" t="s">
        <v>887</v>
      </c>
      <c r="B4012" s="23" t="s">
        <v>888</v>
      </c>
      <c r="C4012" t="s">
        <v>889</v>
      </c>
      <c r="D4012">
        <v>1</v>
      </c>
      <c r="E4012" t="s">
        <v>335</v>
      </c>
      <c r="F4012">
        <v>1</v>
      </c>
      <c r="G4012">
        <v>2012</v>
      </c>
      <c r="I4012" s="8">
        <v>475.8</v>
      </c>
      <c r="J4012" t="s">
        <v>176</v>
      </c>
      <c r="K4012" t="s">
        <v>32</v>
      </c>
      <c r="O4012">
        <v>0</v>
      </c>
      <c r="P4012">
        <v>0</v>
      </c>
      <c r="Q4012">
        <v>0</v>
      </c>
      <c r="R4012">
        <v>0</v>
      </c>
      <c r="W4012" t="s">
        <v>1381</v>
      </c>
      <c r="AA4012">
        <v>2007</v>
      </c>
      <c r="AB4012">
        <v>9999</v>
      </c>
      <c r="AC4012" t="s">
        <v>35</v>
      </c>
    </row>
    <row r="4013" spans="1:29" x14ac:dyDescent="0.25">
      <c r="A4013" s="31" t="s">
        <v>894</v>
      </c>
      <c r="B4013" s="25" t="s">
        <v>895</v>
      </c>
      <c r="D4013">
        <v>1</v>
      </c>
      <c r="E4013" t="s">
        <v>38</v>
      </c>
      <c r="F4013">
        <v>4</v>
      </c>
      <c r="G4013">
        <v>2012</v>
      </c>
      <c r="H4013" t="s">
        <v>715</v>
      </c>
      <c r="J4013" s="2" t="s">
        <v>1343</v>
      </c>
      <c r="K4013" t="s">
        <v>53</v>
      </c>
      <c r="L4013" t="s">
        <v>53</v>
      </c>
      <c r="O4013">
        <v>0</v>
      </c>
      <c r="P4013">
        <v>0</v>
      </c>
      <c r="Q4013">
        <v>0</v>
      </c>
      <c r="R4013">
        <v>0</v>
      </c>
      <c r="W4013" t="s">
        <v>897</v>
      </c>
      <c r="AA4013">
        <v>2007</v>
      </c>
      <c r="AB4013">
        <v>9999</v>
      </c>
      <c r="AC4013" t="s">
        <v>35</v>
      </c>
    </row>
    <row r="4014" spans="1:29" x14ac:dyDescent="0.25">
      <c r="A4014" s="31" t="s">
        <v>900</v>
      </c>
      <c r="B4014" s="25" t="s">
        <v>901</v>
      </c>
      <c r="D4014">
        <v>1</v>
      </c>
      <c r="E4014" t="s">
        <v>38</v>
      </c>
      <c r="F4014">
        <v>4</v>
      </c>
      <c r="G4014">
        <v>2012</v>
      </c>
      <c r="H4014" t="s">
        <v>1382</v>
      </c>
      <c r="J4014" s="2" t="s">
        <v>1343</v>
      </c>
      <c r="K4014" t="s">
        <v>53</v>
      </c>
      <c r="L4014" t="s">
        <v>902</v>
      </c>
      <c r="O4014">
        <v>0</v>
      </c>
      <c r="P4014">
        <v>0</v>
      </c>
      <c r="Q4014">
        <v>0</v>
      </c>
      <c r="R4014">
        <v>0</v>
      </c>
      <c r="W4014" t="s">
        <v>903</v>
      </c>
      <c r="AA4014">
        <v>2007</v>
      </c>
      <c r="AB4014">
        <v>9999</v>
      </c>
      <c r="AC4014" t="s">
        <v>35</v>
      </c>
    </row>
    <row r="4015" spans="1:29" x14ac:dyDescent="0.25">
      <c r="A4015" s="31" t="s">
        <v>904</v>
      </c>
      <c r="B4015" s="23" t="s">
        <v>905</v>
      </c>
      <c r="D4015">
        <v>1</v>
      </c>
      <c r="E4015" t="s">
        <v>38</v>
      </c>
      <c r="F4015">
        <v>4</v>
      </c>
      <c r="G4015">
        <v>2012</v>
      </c>
      <c r="H4015" t="s">
        <v>906</v>
      </c>
      <c r="J4015" t="s">
        <v>59</v>
      </c>
      <c r="K4015" t="s">
        <v>53</v>
      </c>
      <c r="L4015" t="s">
        <v>902</v>
      </c>
      <c r="O4015">
        <v>0</v>
      </c>
      <c r="P4015">
        <v>0</v>
      </c>
      <c r="Q4015">
        <v>0</v>
      </c>
      <c r="R4015">
        <v>0</v>
      </c>
      <c r="W4015" t="s">
        <v>907</v>
      </c>
      <c r="AA4015">
        <v>2007</v>
      </c>
      <c r="AB4015">
        <v>9999</v>
      </c>
      <c r="AC4015" t="s">
        <v>35</v>
      </c>
    </row>
    <row r="4016" spans="1:29" x14ac:dyDescent="0.25">
      <c r="A4016" s="31" t="s">
        <v>908</v>
      </c>
      <c r="B4016" s="23" t="s">
        <v>909</v>
      </c>
      <c r="C4016" t="s">
        <v>910</v>
      </c>
      <c r="D4016">
        <v>1</v>
      </c>
      <c r="E4016" t="s">
        <v>911</v>
      </c>
      <c r="F4016">
        <v>1</v>
      </c>
      <c r="G4016">
        <v>2012</v>
      </c>
      <c r="I4016" s="8">
        <v>104.62</v>
      </c>
      <c r="J4016" t="s">
        <v>176</v>
      </c>
      <c r="K4016" t="s">
        <v>47</v>
      </c>
      <c r="O4016">
        <v>0</v>
      </c>
      <c r="P4016">
        <v>0</v>
      </c>
      <c r="Q4016">
        <v>0</v>
      </c>
      <c r="R4016">
        <v>0</v>
      </c>
      <c r="W4016" t="s">
        <v>1206</v>
      </c>
      <c r="AA4016">
        <v>2007</v>
      </c>
      <c r="AB4016">
        <v>9999</v>
      </c>
      <c r="AC4016" t="s">
        <v>35</v>
      </c>
    </row>
    <row r="4017" spans="1:29" x14ac:dyDescent="0.25">
      <c r="A4017" s="31" t="s">
        <v>913</v>
      </c>
      <c r="B4017" s="23" t="s">
        <v>914</v>
      </c>
      <c r="C4017" t="s">
        <v>915</v>
      </c>
      <c r="D4017">
        <v>1</v>
      </c>
      <c r="E4017" t="s">
        <v>911</v>
      </c>
      <c r="F4017">
        <v>1</v>
      </c>
      <c r="G4017">
        <v>2012</v>
      </c>
      <c r="I4017" s="8">
        <v>11.57</v>
      </c>
      <c r="J4017" t="s">
        <v>268</v>
      </c>
      <c r="K4017" t="s">
        <v>47</v>
      </c>
      <c r="O4017">
        <v>0</v>
      </c>
      <c r="P4017">
        <v>0</v>
      </c>
      <c r="Q4017">
        <v>0</v>
      </c>
      <c r="R4017">
        <v>0</v>
      </c>
      <c r="W4017" t="s">
        <v>1276</v>
      </c>
      <c r="AA4017">
        <v>2007</v>
      </c>
      <c r="AB4017">
        <v>9999</v>
      </c>
      <c r="AC4017" t="s">
        <v>35</v>
      </c>
    </row>
    <row r="4018" spans="1:29" x14ac:dyDescent="0.25">
      <c r="A4018" s="31" t="s">
        <v>97</v>
      </c>
      <c r="B4018" s="23" t="s">
        <v>99</v>
      </c>
      <c r="C4018" t="s">
        <v>923</v>
      </c>
      <c r="D4018">
        <v>1</v>
      </c>
      <c r="E4018" t="s">
        <v>45</v>
      </c>
      <c r="F4018">
        <v>4</v>
      </c>
      <c r="G4018">
        <v>2012</v>
      </c>
      <c r="I4018" s="8">
        <v>235.84</v>
      </c>
      <c r="J4018" t="s">
        <v>89</v>
      </c>
      <c r="K4018" t="s">
        <v>47</v>
      </c>
      <c r="O4018">
        <v>0</v>
      </c>
      <c r="P4018">
        <v>0</v>
      </c>
      <c r="Q4018">
        <v>0</v>
      </c>
      <c r="R4018">
        <v>0</v>
      </c>
      <c r="W4018" t="s">
        <v>1277</v>
      </c>
      <c r="AA4018">
        <v>2007</v>
      </c>
      <c r="AB4018">
        <v>9999</v>
      </c>
      <c r="AC4018" t="s">
        <v>35</v>
      </c>
    </row>
    <row r="4019" spans="1:29" x14ac:dyDescent="0.25">
      <c r="A4019" s="31" t="s">
        <v>925</v>
      </c>
      <c r="B4019" s="23" t="s">
        <v>926</v>
      </c>
      <c r="C4019" t="s">
        <v>927</v>
      </c>
      <c r="D4019">
        <v>1</v>
      </c>
      <c r="E4019" t="s">
        <v>103</v>
      </c>
      <c r="F4019">
        <v>9</v>
      </c>
      <c r="G4019">
        <v>2012</v>
      </c>
      <c r="I4019" s="8">
        <v>3102.11</v>
      </c>
      <c r="J4019" t="s">
        <v>1343</v>
      </c>
      <c r="K4019" t="s">
        <v>53</v>
      </c>
      <c r="L4019" t="s">
        <v>105</v>
      </c>
      <c r="O4019">
        <v>0</v>
      </c>
      <c r="P4019">
        <v>0</v>
      </c>
      <c r="Q4019">
        <v>0</v>
      </c>
      <c r="R4019">
        <v>0</v>
      </c>
      <c r="W4019" t="s">
        <v>928</v>
      </c>
      <c r="AA4019">
        <v>2007</v>
      </c>
      <c r="AB4019">
        <v>9999</v>
      </c>
      <c r="AC4019" t="s">
        <v>35</v>
      </c>
    </row>
    <row r="4020" spans="1:29" x14ac:dyDescent="0.25">
      <c r="A4020" s="31" t="s">
        <v>929</v>
      </c>
      <c r="B4020" s="23" t="s">
        <v>930</v>
      </c>
      <c r="C4020" t="s">
        <v>931</v>
      </c>
      <c r="D4020">
        <v>1</v>
      </c>
      <c r="E4020" t="s">
        <v>45</v>
      </c>
      <c r="F4020">
        <v>4</v>
      </c>
      <c r="G4020">
        <v>2012</v>
      </c>
      <c r="I4020" s="8">
        <v>596.1</v>
      </c>
      <c r="J4020" t="s">
        <v>31</v>
      </c>
      <c r="K4020" t="s">
        <v>47</v>
      </c>
      <c r="O4020">
        <v>0</v>
      </c>
      <c r="P4020">
        <v>0</v>
      </c>
      <c r="Q4020">
        <v>0</v>
      </c>
      <c r="R4020">
        <v>0</v>
      </c>
      <c r="W4020" t="s">
        <v>1336</v>
      </c>
      <c r="AA4020">
        <v>2007</v>
      </c>
      <c r="AB4020">
        <v>9999</v>
      </c>
      <c r="AC4020" t="s">
        <v>35</v>
      </c>
    </row>
    <row r="4021" spans="1:29" x14ac:dyDescent="0.25">
      <c r="A4021" s="31" t="s">
        <v>1212</v>
      </c>
      <c r="B4021" s="23" t="s">
        <v>1213</v>
      </c>
      <c r="D4021">
        <v>1</v>
      </c>
      <c r="E4021" t="s">
        <v>681</v>
      </c>
      <c r="F4021">
        <v>3</v>
      </c>
      <c r="G4021">
        <v>2012</v>
      </c>
      <c r="I4021" s="8">
        <v>10</v>
      </c>
      <c r="J4021" t="s">
        <v>121</v>
      </c>
      <c r="K4021" t="s">
        <v>41</v>
      </c>
      <c r="O4021">
        <v>0</v>
      </c>
      <c r="P4021">
        <v>0</v>
      </c>
      <c r="Q4021">
        <v>0</v>
      </c>
      <c r="R4021">
        <v>0</v>
      </c>
      <c r="W4021" t="s">
        <v>1278</v>
      </c>
      <c r="AA4021">
        <v>2008</v>
      </c>
      <c r="AB4021">
        <v>9999</v>
      </c>
      <c r="AC4021" t="s">
        <v>1054</v>
      </c>
    </row>
    <row r="4022" spans="1:29" x14ac:dyDescent="0.25">
      <c r="A4022" s="31" t="s">
        <v>933</v>
      </c>
      <c r="B4022" s="25" t="s">
        <v>934</v>
      </c>
      <c r="C4022" t="s">
        <v>935</v>
      </c>
      <c r="D4022">
        <v>1</v>
      </c>
      <c r="E4022" t="s">
        <v>681</v>
      </c>
      <c r="F4022">
        <v>3</v>
      </c>
      <c r="G4022">
        <v>2012</v>
      </c>
      <c r="J4022" t="s">
        <v>121</v>
      </c>
      <c r="K4022" t="s">
        <v>47</v>
      </c>
      <c r="O4022">
        <v>0</v>
      </c>
      <c r="P4022">
        <v>0</v>
      </c>
      <c r="Q4022">
        <v>0</v>
      </c>
      <c r="R4022">
        <v>0</v>
      </c>
      <c r="W4022" t="s">
        <v>936</v>
      </c>
      <c r="AA4022">
        <v>2007</v>
      </c>
      <c r="AB4022">
        <v>9999</v>
      </c>
      <c r="AC4022" t="s">
        <v>35</v>
      </c>
    </row>
    <row r="4023" spans="1:29" x14ac:dyDescent="0.25">
      <c r="A4023" s="31" t="s">
        <v>937</v>
      </c>
      <c r="B4023" s="23" t="s">
        <v>938</v>
      </c>
      <c r="D4023">
        <v>1</v>
      </c>
      <c r="E4023" t="s">
        <v>103</v>
      </c>
      <c r="F4023">
        <v>9</v>
      </c>
      <c r="G4023">
        <v>2012</v>
      </c>
      <c r="I4023" s="8">
        <v>721.72</v>
      </c>
      <c r="J4023" t="s">
        <v>104</v>
      </c>
      <c r="K4023" t="s">
        <v>53</v>
      </c>
      <c r="L4023" t="s">
        <v>105</v>
      </c>
      <c r="O4023">
        <v>0</v>
      </c>
      <c r="P4023">
        <v>1</v>
      </c>
      <c r="Q4023">
        <v>0</v>
      </c>
      <c r="R4023">
        <v>0</v>
      </c>
      <c r="W4023" t="s">
        <v>106</v>
      </c>
      <c r="AA4023">
        <v>2007</v>
      </c>
      <c r="AB4023">
        <v>9999</v>
      </c>
      <c r="AC4023" t="s">
        <v>35</v>
      </c>
    </row>
    <row r="4024" spans="1:29" x14ac:dyDescent="0.25">
      <c r="A4024" s="31" t="s">
        <v>939</v>
      </c>
      <c r="B4024" s="23" t="s">
        <v>940</v>
      </c>
      <c r="D4024">
        <v>1</v>
      </c>
      <c r="E4024" t="s">
        <v>80</v>
      </c>
      <c r="F4024">
        <v>8</v>
      </c>
      <c r="G4024">
        <v>2012</v>
      </c>
      <c r="I4024" s="8">
        <v>70.790000000000006</v>
      </c>
      <c r="J4024" s="2" t="s">
        <v>81</v>
      </c>
      <c r="K4024" t="s">
        <v>47</v>
      </c>
      <c r="O4024">
        <v>0</v>
      </c>
      <c r="P4024">
        <v>0</v>
      </c>
      <c r="Q4024">
        <v>0</v>
      </c>
      <c r="R4024">
        <v>0</v>
      </c>
      <c r="W4024" t="s">
        <v>1214</v>
      </c>
      <c r="AA4024">
        <v>2007</v>
      </c>
      <c r="AB4024">
        <v>9999</v>
      </c>
      <c r="AC4024" t="s">
        <v>35</v>
      </c>
    </row>
    <row r="4025" spans="1:29" x14ac:dyDescent="0.25">
      <c r="A4025" s="31" t="s">
        <v>462</v>
      </c>
      <c r="B4025" s="23" t="s">
        <v>1414</v>
      </c>
      <c r="C4025" t="s">
        <v>1280</v>
      </c>
      <c r="D4025">
        <v>1</v>
      </c>
      <c r="E4025" t="s">
        <v>468</v>
      </c>
      <c r="F4025">
        <v>7</v>
      </c>
      <c r="G4025">
        <v>2012</v>
      </c>
      <c r="I4025" s="8">
        <v>75.03</v>
      </c>
      <c r="J4025" t="s">
        <v>40</v>
      </c>
      <c r="K4025" t="s">
        <v>47</v>
      </c>
      <c r="O4025">
        <v>0</v>
      </c>
      <c r="P4025">
        <v>0</v>
      </c>
      <c r="Q4025">
        <v>0</v>
      </c>
      <c r="R4025">
        <v>0</v>
      </c>
      <c r="W4025" t="s">
        <v>1118</v>
      </c>
      <c r="AA4025">
        <v>2007</v>
      </c>
      <c r="AB4025">
        <v>9999</v>
      </c>
      <c r="AC4025" t="s">
        <v>35</v>
      </c>
    </row>
    <row r="4026" spans="1:29" x14ac:dyDescent="0.25">
      <c r="A4026" s="31" t="s">
        <v>1337</v>
      </c>
      <c r="B4026" s="23" t="s">
        <v>1315</v>
      </c>
      <c r="D4026">
        <v>1</v>
      </c>
      <c r="E4026" t="s">
        <v>45</v>
      </c>
      <c r="F4026">
        <v>4</v>
      </c>
      <c r="G4026">
        <v>2012</v>
      </c>
      <c r="I4026" s="8">
        <v>324.14</v>
      </c>
      <c r="J4026" t="s">
        <v>89</v>
      </c>
      <c r="K4026" t="s">
        <v>32</v>
      </c>
      <c r="O4026">
        <v>0</v>
      </c>
      <c r="P4026">
        <v>0</v>
      </c>
      <c r="Q4026">
        <v>0</v>
      </c>
      <c r="R4026">
        <v>0</v>
      </c>
      <c r="W4026" t="s">
        <v>1338</v>
      </c>
      <c r="AA4026">
        <v>2010</v>
      </c>
      <c r="AB4026">
        <v>9999</v>
      </c>
      <c r="AC4026" t="s">
        <v>1292</v>
      </c>
    </row>
    <row r="4027" spans="1:29" x14ac:dyDescent="0.25">
      <c r="A4027" s="31" t="s">
        <v>153</v>
      </c>
      <c r="B4027" s="23" t="s">
        <v>946</v>
      </c>
      <c r="D4027">
        <v>48</v>
      </c>
      <c r="E4027" t="s">
        <v>155</v>
      </c>
      <c r="F4027">
        <v>3</v>
      </c>
      <c r="G4027">
        <v>2012</v>
      </c>
      <c r="I4027">
        <v>2685.7827200000002</v>
      </c>
      <c r="J4027" t="s">
        <v>121</v>
      </c>
      <c r="K4027" t="s">
        <v>53</v>
      </c>
      <c r="L4027" t="s">
        <v>60</v>
      </c>
      <c r="O4027">
        <v>1</v>
      </c>
      <c r="P4027">
        <v>0</v>
      </c>
      <c r="Q4027">
        <v>0</v>
      </c>
      <c r="R4027">
        <v>0</v>
      </c>
      <c r="V4027">
        <v>1</v>
      </c>
      <c r="W4027" t="s">
        <v>947</v>
      </c>
      <c r="AA4027">
        <v>2007</v>
      </c>
      <c r="AB4027">
        <v>9999</v>
      </c>
      <c r="AC4027" t="s">
        <v>35</v>
      </c>
    </row>
    <row r="4028" spans="1:29" x14ac:dyDescent="0.25">
      <c r="A4028" s="31" t="s">
        <v>950</v>
      </c>
      <c r="B4028" s="23" t="s">
        <v>951</v>
      </c>
      <c r="C4028" t="s">
        <v>952</v>
      </c>
      <c r="D4028">
        <v>1</v>
      </c>
      <c r="E4028" t="s">
        <v>218</v>
      </c>
      <c r="F4028">
        <v>2</v>
      </c>
      <c r="G4028">
        <v>2012</v>
      </c>
      <c r="I4028" s="8">
        <v>915.06</v>
      </c>
      <c r="J4028" t="s">
        <v>147</v>
      </c>
      <c r="K4028" t="s">
        <v>32</v>
      </c>
      <c r="O4028">
        <v>0</v>
      </c>
      <c r="P4028">
        <v>0</v>
      </c>
      <c r="Q4028">
        <v>0</v>
      </c>
      <c r="R4028">
        <v>0</v>
      </c>
      <c r="W4028" t="s">
        <v>1216</v>
      </c>
      <c r="AA4028">
        <v>2007</v>
      </c>
      <c r="AB4028">
        <v>9999</v>
      </c>
      <c r="AC4028" t="s">
        <v>35</v>
      </c>
    </row>
    <row r="4029" spans="1:29" x14ac:dyDescent="0.25">
      <c r="A4029" s="31" t="s">
        <v>954</v>
      </c>
      <c r="B4029" s="23" t="s">
        <v>1383</v>
      </c>
      <c r="C4029" t="s">
        <v>956</v>
      </c>
      <c r="D4029">
        <v>1</v>
      </c>
      <c r="E4029" t="s">
        <v>218</v>
      </c>
      <c r="F4029">
        <v>2</v>
      </c>
      <c r="G4029">
        <v>2012</v>
      </c>
      <c r="I4029" s="8">
        <v>120.86</v>
      </c>
      <c r="J4029" t="s">
        <v>147</v>
      </c>
      <c r="K4029" t="s">
        <v>47</v>
      </c>
      <c r="O4029">
        <v>0</v>
      </c>
      <c r="P4029">
        <v>0</v>
      </c>
      <c r="Q4029">
        <v>0</v>
      </c>
      <c r="R4029">
        <v>0</v>
      </c>
      <c r="W4029" t="s">
        <v>1384</v>
      </c>
      <c r="AA4029">
        <v>2007</v>
      </c>
      <c r="AB4029">
        <v>9999</v>
      </c>
      <c r="AC4029" t="s">
        <v>35</v>
      </c>
    </row>
    <row r="4030" spans="1:29" x14ac:dyDescent="0.25">
      <c r="A4030" s="31" t="s">
        <v>1385</v>
      </c>
      <c r="B4030" s="23" t="s">
        <v>1386</v>
      </c>
      <c r="D4030">
        <v>1</v>
      </c>
      <c r="E4030" t="s">
        <v>874</v>
      </c>
      <c r="F4030">
        <v>1</v>
      </c>
      <c r="G4030">
        <v>2012</v>
      </c>
      <c r="I4030" s="8">
        <v>32.9</v>
      </c>
      <c r="J4030" t="s">
        <v>89</v>
      </c>
      <c r="K4030" t="s">
        <v>47</v>
      </c>
      <c r="O4030">
        <v>0</v>
      </c>
      <c r="P4030">
        <v>0</v>
      </c>
      <c r="Q4030">
        <v>0</v>
      </c>
      <c r="R4030">
        <v>0</v>
      </c>
      <c r="W4030" t="s">
        <v>1387</v>
      </c>
      <c r="AA4030">
        <v>2011</v>
      </c>
      <c r="AB4030">
        <v>9999</v>
      </c>
      <c r="AC4030" t="s">
        <v>1365</v>
      </c>
    </row>
    <row r="4031" spans="1:29" x14ac:dyDescent="0.25">
      <c r="A4031" s="31" t="s">
        <v>1388</v>
      </c>
      <c r="B4031" s="23" t="s">
        <v>1389</v>
      </c>
      <c r="D4031">
        <v>1</v>
      </c>
      <c r="E4031" t="s">
        <v>1390</v>
      </c>
      <c r="F4031">
        <v>4</v>
      </c>
      <c r="G4031">
        <v>2012</v>
      </c>
      <c r="I4031" s="8">
        <v>6157.85</v>
      </c>
      <c r="J4031" t="s">
        <v>89</v>
      </c>
      <c r="K4031" t="s">
        <v>32</v>
      </c>
      <c r="O4031">
        <v>0</v>
      </c>
      <c r="P4031">
        <v>0</v>
      </c>
      <c r="Q4031">
        <v>0</v>
      </c>
      <c r="R4031">
        <v>0</v>
      </c>
      <c r="W4031" t="s">
        <v>1391</v>
      </c>
      <c r="AA4031">
        <v>2011</v>
      </c>
      <c r="AB4031">
        <v>9999</v>
      </c>
      <c r="AC4031" t="s">
        <v>1365</v>
      </c>
    </row>
    <row r="4032" spans="1:29" x14ac:dyDescent="0.25">
      <c r="A4032" s="31" t="s">
        <v>1281</v>
      </c>
      <c r="B4032" s="23" t="s">
        <v>1282</v>
      </c>
      <c r="D4032">
        <v>1</v>
      </c>
      <c r="E4032" t="s">
        <v>625</v>
      </c>
      <c r="F4032">
        <v>4</v>
      </c>
      <c r="G4032">
        <v>2012</v>
      </c>
      <c r="I4032" s="8">
        <v>1540.9</v>
      </c>
      <c r="J4032" t="s">
        <v>89</v>
      </c>
      <c r="K4032" t="s">
        <v>32</v>
      </c>
      <c r="O4032">
        <v>0</v>
      </c>
      <c r="P4032">
        <v>0</v>
      </c>
      <c r="Q4032">
        <v>0</v>
      </c>
      <c r="R4032">
        <v>0</v>
      </c>
      <c r="W4032" t="s">
        <v>1283</v>
      </c>
      <c r="AA4032">
        <v>2009</v>
      </c>
      <c r="AB4032">
        <v>9999</v>
      </c>
      <c r="AC4032" t="s">
        <v>1239</v>
      </c>
    </row>
    <row r="4033" spans="1:29" x14ac:dyDescent="0.25">
      <c r="A4033" s="31" t="s">
        <v>958</v>
      </c>
      <c r="B4033" s="25" t="s">
        <v>959</v>
      </c>
      <c r="D4033">
        <v>1</v>
      </c>
      <c r="E4033" t="s">
        <v>51</v>
      </c>
      <c r="F4033">
        <v>1</v>
      </c>
      <c r="G4033">
        <v>2012</v>
      </c>
      <c r="J4033" t="s">
        <v>52</v>
      </c>
      <c r="K4033" t="s">
        <v>53</v>
      </c>
      <c r="L4033" t="s">
        <v>54</v>
      </c>
      <c r="O4033">
        <v>0</v>
      </c>
      <c r="P4033">
        <v>0</v>
      </c>
      <c r="Q4033">
        <v>1</v>
      </c>
      <c r="R4033">
        <v>0</v>
      </c>
      <c r="W4033" t="s">
        <v>55</v>
      </c>
      <c r="AA4033">
        <v>2007</v>
      </c>
      <c r="AB4033">
        <v>9999</v>
      </c>
      <c r="AC4033" t="s">
        <v>35</v>
      </c>
    </row>
    <row r="4034" spans="1:29" x14ac:dyDescent="0.25">
      <c r="A4034" s="31" t="s">
        <v>960</v>
      </c>
      <c r="B4034" s="23" t="s">
        <v>961</v>
      </c>
      <c r="D4034">
        <v>1</v>
      </c>
      <c r="E4034" t="s">
        <v>168</v>
      </c>
      <c r="F4034">
        <v>1</v>
      </c>
      <c r="G4034">
        <v>2012</v>
      </c>
      <c r="I4034" s="8">
        <v>1994.28</v>
      </c>
      <c r="J4034" t="s">
        <v>52</v>
      </c>
      <c r="K4034" t="s">
        <v>47</v>
      </c>
      <c r="O4034">
        <v>0</v>
      </c>
      <c r="P4034">
        <v>0</v>
      </c>
      <c r="Q4034">
        <v>0</v>
      </c>
      <c r="R4034">
        <v>0</v>
      </c>
      <c r="W4034" t="s">
        <v>1218</v>
      </c>
      <c r="AA4034">
        <v>2007</v>
      </c>
      <c r="AB4034">
        <v>9999</v>
      </c>
      <c r="AC4034" t="s">
        <v>35</v>
      </c>
    </row>
    <row r="4035" spans="1:29" x14ac:dyDescent="0.25">
      <c r="A4035" s="31" t="s">
        <v>963</v>
      </c>
      <c r="B4035" s="23" t="s">
        <v>658</v>
      </c>
      <c r="D4035">
        <v>1</v>
      </c>
      <c r="E4035" t="s">
        <v>103</v>
      </c>
      <c r="F4035">
        <v>9</v>
      </c>
      <c r="G4035">
        <v>2012</v>
      </c>
      <c r="I4035" s="8">
        <v>3773.54</v>
      </c>
      <c r="J4035" t="s">
        <v>104</v>
      </c>
      <c r="K4035" t="s">
        <v>53</v>
      </c>
      <c r="L4035" t="s">
        <v>105</v>
      </c>
      <c r="O4035">
        <v>0</v>
      </c>
      <c r="P4035">
        <v>1</v>
      </c>
      <c r="Q4035">
        <v>0</v>
      </c>
      <c r="R4035">
        <v>0</v>
      </c>
      <c r="W4035" t="s">
        <v>106</v>
      </c>
      <c r="AA4035">
        <v>2007</v>
      </c>
      <c r="AB4035">
        <v>9999</v>
      </c>
      <c r="AC4035" t="s">
        <v>35</v>
      </c>
    </row>
    <row r="4036" spans="1:29" x14ac:dyDescent="0.25">
      <c r="A4036" s="31" t="s">
        <v>964</v>
      </c>
      <c r="B4036" s="23" t="s">
        <v>965</v>
      </c>
      <c r="D4036">
        <v>1</v>
      </c>
      <c r="E4036" t="s">
        <v>80</v>
      </c>
      <c r="F4036">
        <v>8</v>
      </c>
      <c r="G4036">
        <v>2012</v>
      </c>
      <c r="I4036" s="8">
        <v>66.5</v>
      </c>
      <c r="J4036" t="s">
        <v>104</v>
      </c>
      <c r="K4036" t="s">
        <v>47</v>
      </c>
      <c r="O4036">
        <v>0</v>
      </c>
      <c r="P4036">
        <v>0</v>
      </c>
      <c r="Q4036">
        <v>0</v>
      </c>
      <c r="R4036">
        <v>0</v>
      </c>
      <c r="W4036" t="s">
        <v>1219</v>
      </c>
      <c r="AA4036">
        <v>2007</v>
      </c>
      <c r="AB4036">
        <v>9999</v>
      </c>
      <c r="AC4036" t="s">
        <v>35</v>
      </c>
    </row>
    <row r="4037" spans="1:29" x14ac:dyDescent="0.25">
      <c r="A4037" s="31" t="s">
        <v>967</v>
      </c>
      <c r="B4037" s="23" t="s">
        <v>661</v>
      </c>
      <c r="D4037">
        <v>1</v>
      </c>
      <c r="E4037" t="s">
        <v>103</v>
      </c>
      <c r="F4037">
        <v>9</v>
      </c>
      <c r="G4037">
        <v>2012</v>
      </c>
      <c r="I4037" s="8">
        <v>5421.95</v>
      </c>
      <c r="J4037" t="s">
        <v>104</v>
      </c>
      <c r="K4037" t="s">
        <v>53</v>
      </c>
      <c r="L4037" t="s">
        <v>105</v>
      </c>
      <c r="O4037">
        <v>0</v>
      </c>
      <c r="P4037">
        <v>1</v>
      </c>
      <c r="Q4037">
        <v>0</v>
      </c>
      <c r="R4037">
        <v>0</v>
      </c>
      <c r="W4037" t="s">
        <v>106</v>
      </c>
      <c r="AA4037">
        <v>2007</v>
      </c>
      <c r="AB4037">
        <v>9999</v>
      </c>
      <c r="AC4037" t="s">
        <v>35</v>
      </c>
    </row>
    <row r="4038" spans="1:29" x14ac:dyDescent="0.25">
      <c r="A4038" s="31" t="s">
        <v>968</v>
      </c>
      <c r="B4038" s="25" t="s">
        <v>969</v>
      </c>
      <c r="D4038">
        <v>1</v>
      </c>
      <c r="E4038" t="s">
        <v>85</v>
      </c>
      <c r="F4038">
        <v>1</v>
      </c>
      <c r="G4038">
        <v>2012</v>
      </c>
      <c r="H4038" t="s">
        <v>970</v>
      </c>
      <c r="J4038" t="s">
        <v>176</v>
      </c>
      <c r="K4038" t="s">
        <v>41</v>
      </c>
      <c r="O4038">
        <v>0</v>
      </c>
      <c r="P4038">
        <v>0</v>
      </c>
      <c r="Q4038">
        <v>0</v>
      </c>
      <c r="R4038">
        <v>0</v>
      </c>
      <c r="W4038" t="s">
        <v>971</v>
      </c>
      <c r="AA4038">
        <v>2007</v>
      </c>
      <c r="AB4038">
        <v>9999</v>
      </c>
      <c r="AC4038" t="s">
        <v>35</v>
      </c>
    </row>
    <row r="4039" spans="1:29" x14ac:dyDescent="0.25">
      <c r="A4039" s="31" t="s">
        <v>975</v>
      </c>
      <c r="B4039" s="23" t="s">
        <v>976</v>
      </c>
      <c r="D4039">
        <v>1</v>
      </c>
      <c r="E4039" t="s">
        <v>977</v>
      </c>
      <c r="F4039">
        <v>1</v>
      </c>
      <c r="G4039">
        <v>2012</v>
      </c>
      <c r="I4039" s="8">
        <v>12.93</v>
      </c>
      <c r="J4039" t="s">
        <v>121</v>
      </c>
      <c r="K4039" t="s">
        <v>41</v>
      </c>
      <c r="O4039">
        <v>0</v>
      </c>
      <c r="P4039">
        <v>0</v>
      </c>
      <c r="Q4039">
        <v>0</v>
      </c>
      <c r="R4039">
        <v>0</v>
      </c>
      <c r="W4039" t="s">
        <v>1220</v>
      </c>
      <c r="AA4039">
        <v>2007</v>
      </c>
      <c r="AB4039">
        <v>9999</v>
      </c>
      <c r="AC4039" t="s">
        <v>35</v>
      </c>
    </row>
    <row r="4040" spans="1:29" x14ac:dyDescent="0.25">
      <c r="A4040" s="31" t="s">
        <v>982</v>
      </c>
      <c r="B4040" s="23" t="s">
        <v>983</v>
      </c>
      <c r="D4040">
        <v>1</v>
      </c>
      <c r="E4040" t="s">
        <v>300</v>
      </c>
      <c r="F4040">
        <v>9</v>
      </c>
      <c r="G4040">
        <v>2012</v>
      </c>
      <c r="I4040" s="8">
        <v>107.17</v>
      </c>
      <c r="J4040" t="s">
        <v>104</v>
      </c>
      <c r="K4040" t="s">
        <v>32</v>
      </c>
      <c r="O4040">
        <v>0</v>
      </c>
      <c r="P4040">
        <v>0</v>
      </c>
      <c r="Q4040">
        <v>0</v>
      </c>
      <c r="R4040">
        <v>0</v>
      </c>
      <c r="W4040" t="s">
        <v>1222</v>
      </c>
      <c r="AA4040">
        <v>2007</v>
      </c>
      <c r="AB4040">
        <v>2012</v>
      </c>
      <c r="AC4040" t="s">
        <v>302</v>
      </c>
    </row>
    <row r="4041" spans="1:29" x14ac:dyDescent="0.25">
      <c r="A4041" s="31" t="s">
        <v>985</v>
      </c>
      <c r="B4041" s="23" t="s">
        <v>986</v>
      </c>
      <c r="C4041" t="s">
        <v>987</v>
      </c>
      <c r="D4041">
        <v>1</v>
      </c>
      <c r="E4041" t="s">
        <v>988</v>
      </c>
      <c r="F4041">
        <v>4</v>
      </c>
      <c r="G4041">
        <v>2012</v>
      </c>
      <c r="I4041" s="8">
        <v>194.92</v>
      </c>
      <c r="J4041" t="s">
        <v>89</v>
      </c>
      <c r="K4041" t="s">
        <v>32</v>
      </c>
      <c r="O4041">
        <v>0</v>
      </c>
      <c r="P4041">
        <v>0</v>
      </c>
      <c r="Q4041">
        <v>0</v>
      </c>
      <c r="R4041">
        <v>0</v>
      </c>
      <c r="W4041" t="s">
        <v>1339</v>
      </c>
      <c r="AA4041">
        <v>2007</v>
      </c>
      <c r="AB4041">
        <v>9999</v>
      </c>
      <c r="AC4041" t="s">
        <v>35</v>
      </c>
    </row>
    <row r="4042" spans="1:29" x14ac:dyDescent="0.25">
      <c r="A4042" s="31" t="s">
        <v>993</v>
      </c>
      <c r="B4042" s="23" t="s">
        <v>129</v>
      </c>
      <c r="D4042">
        <v>1</v>
      </c>
      <c r="E4042" t="s">
        <v>994</v>
      </c>
      <c r="F4042">
        <v>1</v>
      </c>
      <c r="G4042">
        <v>2012</v>
      </c>
      <c r="I4042" s="8">
        <v>140.05000000000001</v>
      </c>
      <c r="J4042" t="s">
        <v>104</v>
      </c>
      <c r="K4042" t="s">
        <v>32</v>
      </c>
      <c r="O4042">
        <v>0</v>
      </c>
      <c r="P4042">
        <v>0</v>
      </c>
      <c r="Q4042">
        <v>0</v>
      </c>
      <c r="R4042">
        <v>0</v>
      </c>
      <c r="W4042" t="s">
        <v>1340</v>
      </c>
      <c r="AA4042">
        <v>2007</v>
      </c>
      <c r="AB4042">
        <v>9999</v>
      </c>
      <c r="AC4042" t="s">
        <v>35</v>
      </c>
    </row>
    <row r="4043" spans="1:29" x14ac:dyDescent="0.25">
      <c r="A4043" s="31" t="s">
        <v>1005</v>
      </c>
      <c r="B4043" s="23" t="s">
        <v>1006</v>
      </c>
      <c r="D4043">
        <v>1</v>
      </c>
      <c r="E4043" t="s">
        <v>80</v>
      </c>
      <c r="F4043">
        <v>8</v>
      </c>
      <c r="G4043">
        <v>2012</v>
      </c>
      <c r="J4043" t="s">
        <v>81</v>
      </c>
      <c r="K4043" t="s">
        <v>53</v>
      </c>
      <c r="L4043" t="s">
        <v>53</v>
      </c>
      <c r="O4043">
        <v>0</v>
      </c>
      <c r="P4043">
        <v>0</v>
      </c>
      <c r="Q4043">
        <v>0</v>
      </c>
      <c r="R4043">
        <v>0</v>
      </c>
      <c r="W4043" t="s">
        <v>1007</v>
      </c>
      <c r="AA4043">
        <v>2007</v>
      </c>
      <c r="AB4043">
        <v>2016</v>
      </c>
      <c r="AC4043" t="s">
        <v>528</v>
      </c>
    </row>
    <row r="4044" spans="1:29" x14ac:dyDescent="0.25">
      <c r="A4044" s="31" t="s">
        <v>1008</v>
      </c>
      <c r="B4044" s="23" t="s">
        <v>1009</v>
      </c>
      <c r="D4044">
        <v>1</v>
      </c>
      <c r="E4044" t="s">
        <v>155</v>
      </c>
      <c r="F4044">
        <v>3</v>
      </c>
      <c r="G4044">
        <v>2012</v>
      </c>
      <c r="I4044" s="8">
        <v>1190.1099999999999</v>
      </c>
      <c r="J4044" t="s">
        <v>121</v>
      </c>
      <c r="K4044" t="s">
        <v>47</v>
      </c>
      <c r="O4044">
        <v>0</v>
      </c>
      <c r="P4044">
        <v>0</v>
      </c>
      <c r="Q4044">
        <v>0</v>
      </c>
      <c r="R4044">
        <v>0</v>
      </c>
      <c r="W4044" t="s">
        <v>1228</v>
      </c>
      <c r="AA4044">
        <v>2007</v>
      </c>
      <c r="AB4044">
        <v>9999</v>
      </c>
      <c r="AC4044" t="s">
        <v>35</v>
      </c>
    </row>
    <row r="4045" spans="1:29" x14ac:dyDescent="0.25">
      <c r="A4045" s="31" t="s">
        <v>1011</v>
      </c>
      <c r="B4045" s="23" t="s">
        <v>1012</v>
      </c>
      <c r="D4045">
        <v>1</v>
      </c>
      <c r="E4045" t="s">
        <v>103</v>
      </c>
      <c r="F4045">
        <v>9</v>
      </c>
      <c r="G4045">
        <v>2012</v>
      </c>
      <c r="I4045" s="8">
        <v>1016.02</v>
      </c>
      <c r="J4045" t="s">
        <v>104</v>
      </c>
      <c r="K4045" t="s">
        <v>53</v>
      </c>
      <c r="L4045" t="s">
        <v>105</v>
      </c>
      <c r="O4045">
        <v>0</v>
      </c>
      <c r="P4045">
        <v>1</v>
      </c>
      <c r="Q4045">
        <v>0</v>
      </c>
      <c r="R4045">
        <v>0</v>
      </c>
      <c r="W4045" t="s">
        <v>106</v>
      </c>
      <c r="AA4045">
        <v>2007</v>
      </c>
      <c r="AB4045">
        <v>9999</v>
      </c>
      <c r="AC4045" t="s">
        <v>35</v>
      </c>
    </row>
    <row r="4046" spans="1:29" x14ac:dyDescent="0.25">
      <c r="A4046" s="31" t="s">
        <v>1013</v>
      </c>
      <c r="B4046" s="25" t="s">
        <v>1014</v>
      </c>
      <c r="D4046">
        <v>1</v>
      </c>
      <c r="E4046" t="s">
        <v>128</v>
      </c>
      <c r="F4046">
        <v>9</v>
      </c>
      <c r="G4046">
        <v>2012</v>
      </c>
      <c r="J4046" t="s">
        <v>104</v>
      </c>
      <c r="K4046" t="s">
        <v>41</v>
      </c>
      <c r="O4046">
        <v>0</v>
      </c>
      <c r="P4046">
        <v>0</v>
      </c>
      <c r="Q4046">
        <v>0</v>
      </c>
      <c r="R4046">
        <v>0</v>
      </c>
      <c r="W4046" t="s">
        <v>1229</v>
      </c>
      <c r="AA4046">
        <v>2007</v>
      </c>
      <c r="AB4046">
        <v>9999</v>
      </c>
      <c r="AC4046" t="s">
        <v>35</v>
      </c>
    </row>
    <row r="4047" spans="1:29" x14ac:dyDescent="0.25">
      <c r="A4047" s="31" t="s">
        <v>1016</v>
      </c>
      <c r="B4047" s="25" t="s">
        <v>1017</v>
      </c>
      <c r="D4047">
        <v>1</v>
      </c>
      <c r="E4047" t="s">
        <v>396</v>
      </c>
      <c r="F4047">
        <v>3</v>
      </c>
      <c r="G4047">
        <v>2012</v>
      </c>
      <c r="H4047" t="s">
        <v>1018</v>
      </c>
      <c r="J4047" t="s">
        <v>121</v>
      </c>
      <c r="K4047" t="s">
        <v>41</v>
      </c>
      <c r="O4047">
        <v>0</v>
      </c>
      <c r="P4047">
        <v>0</v>
      </c>
      <c r="Q4047">
        <v>0</v>
      </c>
      <c r="R4047">
        <v>0</v>
      </c>
      <c r="W4047" t="s">
        <v>1230</v>
      </c>
      <c r="AA4047">
        <v>2007</v>
      </c>
      <c r="AB4047">
        <v>9999</v>
      </c>
      <c r="AC4047" t="s">
        <v>35</v>
      </c>
    </row>
    <row r="4048" spans="1:29" x14ac:dyDescent="0.25">
      <c r="A4048" s="31" t="s">
        <v>1020</v>
      </c>
      <c r="B4048" s="23" t="s">
        <v>1021</v>
      </c>
      <c r="D4048">
        <v>1</v>
      </c>
      <c r="E4048" t="s">
        <v>103</v>
      </c>
      <c r="F4048">
        <v>9</v>
      </c>
      <c r="G4048">
        <v>2012</v>
      </c>
      <c r="I4048" s="8">
        <v>16.45</v>
      </c>
      <c r="J4048" t="s">
        <v>104</v>
      </c>
      <c r="K4048" t="s">
        <v>47</v>
      </c>
      <c r="O4048">
        <v>0</v>
      </c>
      <c r="P4048">
        <v>0</v>
      </c>
      <c r="Q4048">
        <v>0</v>
      </c>
      <c r="R4048">
        <v>0</v>
      </c>
      <c r="W4048" t="s">
        <v>1231</v>
      </c>
      <c r="AA4048">
        <v>2007</v>
      </c>
      <c r="AB4048">
        <v>9999</v>
      </c>
      <c r="AC4048" t="s">
        <v>35</v>
      </c>
    </row>
    <row r="4049" spans="1:29" x14ac:dyDescent="0.25">
      <c r="B4049" s="23" t="s">
        <v>1026</v>
      </c>
      <c r="D4049">
        <v>24</v>
      </c>
      <c r="F4049">
        <v>3</v>
      </c>
      <c r="G4049">
        <v>2012</v>
      </c>
      <c r="H4049" t="s">
        <v>392</v>
      </c>
      <c r="I4049" t="s">
        <v>1027</v>
      </c>
      <c r="J4049" t="s">
        <v>121</v>
      </c>
      <c r="K4049" t="s">
        <v>41</v>
      </c>
      <c r="O4049">
        <v>0</v>
      </c>
      <c r="P4049">
        <v>0</v>
      </c>
      <c r="Q4049">
        <v>0</v>
      </c>
      <c r="R4049">
        <v>0</v>
      </c>
      <c r="W4049" t="s">
        <v>1232</v>
      </c>
      <c r="AA4049">
        <v>2007</v>
      </c>
      <c r="AB4049">
        <v>9999</v>
      </c>
      <c r="AC4049" t="s">
        <v>35</v>
      </c>
    </row>
    <row r="4050" spans="1:29" x14ac:dyDescent="0.25">
      <c r="A4050" s="31" t="s">
        <v>28</v>
      </c>
      <c r="B4050" s="23" t="s">
        <v>29</v>
      </c>
      <c r="D4050">
        <v>1</v>
      </c>
      <c r="E4050" t="s">
        <v>30</v>
      </c>
      <c r="F4050">
        <v>4</v>
      </c>
      <c r="G4050">
        <v>2011</v>
      </c>
      <c r="I4050" s="7">
        <v>382</v>
      </c>
      <c r="J4050" s="2" t="s">
        <v>89</v>
      </c>
      <c r="K4050" t="s">
        <v>32</v>
      </c>
      <c r="L4050" t="s">
        <v>33</v>
      </c>
      <c r="O4050">
        <v>0</v>
      </c>
      <c r="P4050">
        <v>0</v>
      </c>
      <c r="Q4050">
        <v>0</v>
      </c>
      <c r="R4050">
        <v>1</v>
      </c>
      <c r="W4050" t="s">
        <v>1029</v>
      </c>
      <c r="AA4050">
        <v>2007</v>
      </c>
      <c r="AB4050">
        <v>9999</v>
      </c>
      <c r="AC4050" t="s">
        <v>35</v>
      </c>
    </row>
    <row r="4051" spans="1:29" x14ac:dyDescent="0.25">
      <c r="A4051" s="31" t="s">
        <v>36</v>
      </c>
      <c r="B4051" s="23" t="s">
        <v>37</v>
      </c>
      <c r="D4051">
        <v>1</v>
      </c>
      <c r="E4051" t="s">
        <v>38</v>
      </c>
      <c r="F4051">
        <v>4</v>
      </c>
      <c r="G4051">
        <v>2011</v>
      </c>
      <c r="H4051" t="s">
        <v>39</v>
      </c>
      <c r="I4051">
        <v>0.1</v>
      </c>
      <c r="J4051" t="s">
        <v>40</v>
      </c>
      <c r="K4051" t="s">
        <v>41</v>
      </c>
      <c r="O4051">
        <v>0</v>
      </c>
      <c r="P4051">
        <v>0</v>
      </c>
      <c r="Q4051">
        <v>0</v>
      </c>
      <c r="R4051">
        <v>0</v>
      </c>
      <c r="W4051" t="s">
        <v>1030</v>
      </c>
      <c r="AA4051">
        <v>2007</v>
      </c>
      <c r="AB4051">
        <v>9999</v>
      </c>
      <c r="AC4051" t="s">
        <v>35</v>
      </c>
    </row>
    <row r="4052" spans="1:29" x14ac:dyDescent="0.25">
      <c r="A4052" s="31" t="s">
        <v>43</v>
      </c>
      <c r="B4052" s="23" t="s">
        <v>44</v>
      </c>
      <c r="D4052">
        <v>1</v>
      </c>
      <c r="E4052" t="s">
        <v>45</v>
      </c>
      <c r="F4052">
        <v>4</v>
      </c>
      <c r="G4052">
        <v>2011</v>
      </c>
      <c r="I4052">
        <v>33.99</v>
      </c>
      <c r="J4052" t="s">
        <v>121</v>
      </c>
      <c r="K4052" t="s">
        <v>47</v>
      </c>
      <c r="O4052">
        <v>0</v>
      </c>
      <c r="P4052">
        <v>0</v>
      </c>
      <c r="Q4052">
        <v>0</v>
      </c>
      <c r="R4052">
        <v>0</v>
      </c>
      <c r="W4052" t="s">
        <v>1031</v>
      </c>
      <c r="AA4052">
        <v>2007</v>
      </c>
      <c r="AB4052">
        <v>9999</v>
      </c>
      <c r="AC4052" t="s">
        <v>35</v>
      </c>
    </row>
    <row r="4053" spans="1:29" x14ac:dyDescent="0.25">
      <c r="A4053" s="31" t="s">
        <v>49</v>
      </c>
      <c r="B4053" s="23" t="s">
        <v>50</v>
      </c>
      <c r="D4053">
        <v>1</v>
      </c>
      <c r="E4053" t="s">
        <v>51</v>
      </c>
      <c r="F4053">
        <v>1</v>
      </c>
      <c r="G4053">
        <v>2011</v>
      </c>
      <c r="I4053">
        <v>54</v>
      </c>
      <c r="J4053" t="s">
        <v>52</v>
      </c>
      <c r="K4053" t="s">
        <v>53</v>
      </c>
      <c r="L4053" t="s">
        <v>54</v>
      </c>
      <c r="O4053">
        <v>0</v>
      </c>
      <c r="P4053">
        <v>0</v>
      </c>
      <c r="Q4053">
        <v>1</v>
      </c>
      <c r="R4053">
        <v>0</v>
      </c>
      <c r="W4053" t="s">
        <v>55</v>
      </c>
      <c r="AA4053">
        <v>2007</v>
      </c>
      <c r="AB4053">
        <v>9999</v>
      </c>
      <c r="AC4053" t="s">
        <v>35</v>
      </c>
    </row>
    <row r="4054" spans="1:29" x14ac:dyDescent="0.25">
      <c r="A4054" s="31" t="s">
        <v>996</v>
      </c>
      <c r="B4054" s="23" t="s">
        <v>1342</v>
      </c>
      <c r="D4054">
        <v>1</v>
      </c>
      <c r="E4054" t="s">
        <v>38</v>
      </c>
      <c r="F4054">
        <v>4</v>
      </c>
      <c r="G4054">
        <v>2011</v>
      </c>
      <c r="H4054" t="s">
        <v>998</v>
      </c>
      <c r="I4054">
        <v>1.25</v>
      </c>
      <c r="J4054" t="s">
        <v>1343</v>
      </c>
      <c r="K4054" t="s">
        <v>41</v>
      </c>
      <c r="O4054">
        <v>0</v>
      </c>
      <c r="P4054">
        <v>0</v>
      </c>
      <c r="Q4054">
        <v>0</v>
      </c>
      <c r="R4054">
        <v>0</v>
      </c>
      <c r="W4054" t="s">
        <v>1344</v>
      </c>
      <c r="AA4054">
        <v>2007</v>
      </c>
      <c r="AB4054">
        <v>9999</v>
      </c>
      <c r="AC4054" t="s">
        <v>35</v>
      </c>
    </row>
    <row r="4055" spans="1:29" x14ac:dyDescent="0.25">
      <c r="A4055" s="31" t="s">
        <v>56</v>
      </c>
      <c r="B4055" s="23" t="s">
        <v>57</v>
      </c>
      <c r="D4055">
        <v>1</v>
      </c>
      <c r="E4055" t="s">
        <v>58</v>
      </c>
      <c r="F4055">
        <v>4</v>
      </c>
      <c r="G4055">
        <v>2011</v>
      </c>
      <c r="I4055">
        <v>21</v>
      </c>
      <c r="J4055" t="s">
        <v>59</v>
      </c>
      <c r="K4055" t="s">
        <v>53</v>
      </c>
      <c r="L4055" t="s">
        <v>60</v>
      </c>
      <c r="O4055">
        <v>1</v>
      </c>
      <c r="P4055">
        <v>0</v>
      </c>
      <c r="Q4055">
        <v>0</v>
      </c>
      <c r="R4055">
        <v>0</v>
      </c>
      <c r="W4055" t="s">
        <v>61</v>
      </c>
      <c r="AA4055">
        <v>2007</v>
      </c>
      <c r="AB4055">
        <v>9999</v>
      </c>
      <c r="AC4055" t="s">
        <v>35</v>
      </c>
    </row>
    <row r="4056" spans="1:29" x14ac:dyDescent="0.25">
      <c r="A4056" s="31" t="s">
        <v>71</v>
      </c>
      <c r="B4056" s="23" t="s">
        <v>1032</v>
      </c>
      <c r="D4056">
        <v>1</v>
      </c>
      <c r="E4056" t="s">
        <v>309</v>
      </c>
      <c r="F4056">
        <v>10</v>
      </c>
      <c r="G4056">
        <v>2011</v>
      </c>
      <c r="I4056">
        <v>9723.6</v>
      </c>
      <c r="J4056" t="s">
        <v>59</v>
      </c>
      <c r="K4056" t="s">
        <v>32</v>
      </c>
      <c r="O4056">
        <v>0</v>
      </c>
      <c r="P4056">
        <v>0</v>
      </c>
      <c r="Q4056">
        <v>0</v>
      </c>
      <c r="R4056">
        <v>0</v>
      </c>
      <c r="W4056" t="s">
        <v>1033</v>
      </c>
      <c r="AA4056">
        <v>2007</v>
      </c>
      <c r="AB4056">
        <v>9999</v>
      </c>
      <c r="AC4056" t="s">
        <v>35</v>
      </c>
    </row>
    <row r="4057" spans="1:29" x14ac:dyDescent="0.25">
      <c r="A4057" s="31" t="s">
        <v>62</v>
      </c>
      <c r="B4057" s="23" t="s">
        <v>63</v>
      </c>
      <c r="D4057">
        <v>1</v>
      </c>
      <c r="E4057" t="s">
        <v>64</v>
      </c>
      <c r="F4057">
        <v>1</v>
      </c>
      <c r="G4057">
        <v>2011</v>
      </c>
      <c r="I4057">
        <v>53.56</v>
      </c>
      <c r="J4057" t="s">
        <v>40</v>
      </c>
      <c r="K4057" t="s">
        <v>53</v>
      </c>
      <c r="L4057" t="s">
        <v>65</v>
      </c>
      <c r="O4057">
        <v>0</v>
      </c>
      <c r="P4057">
        <v>0</v>
      </c>
      <c r="Q4057">
        <v>0</v>
      </c>
      <c r="R4057">
        <v>0</v>
      </c>
      <c r="W4057" t="s">
        <v>1034</v>
      </c>
      <c r="AA4057">
        <v>2007</v>
      </c>
      <c r="AB4057">
        <v>9999</v>
      </c>
      <c r="AC4057" t="s">
        <v>35</v>
      </c>
    </row>
    <row r="4058" spans="1:29" x14ac:dyDescent="0.25">
      <c r="A4058" s="31" t="s">
        <v>74</v>
      </c>
      <c r="B4058" s="23" t="s">
        <v>75</v>
      </c>
      <c r="D4058">
        <v>1</v>
      </c>
      <c r="E4058" t="s">
        <v>58</v>
      </c>
      <c r="F4058">
        <v>4</v>
      </c>
      <c r="G4058">
        <v>2011</v>
      </c>
      <c r="I4058">
        <v>521.62</v>
      </c>
      <c r="J4058" t="s">
        <v>59</v>
      </c>
      <c r="K4058" t="s">
        <v>47</v>
      </c>
      <c r="O4058">
        <v>0</v>
      </c>
      <c r="P4058">
        <v>0</v>
      </c>
      <c r="Q4058">
        <v>0</v>
      </c>
      <c r="R4058">
        <v>0</v>
      </c>
      <c r="W4058" t="s">
        <v>1035</v>
      </c>
      <c r="AA4058">
        <v>2007</v>
      </c>
      <c r="AB4058">
        <v>9999</v>
      </c>
      <c r="AC4058" t="s">
        <v>35</v>
      </c>
    </row>
    <row r="4059" spans="1:29" x14ac:dyDescent="0.25">
      <c r="A4059" s="31" t="s">
        <v>78</v>
      </c>
      <c r="B4059" s="23" t="s">
        <v>79</v>
      </c>
      <c r="D4059">
        <v>1</v>
      </c>
      <c r="E4059" t="s">
        <v>80</v>
      </c>
      <c r="F4059">
        <v>8</v>
      </c>
      <c r="G4059">
        <v>2011</v>
      </c>
      <c r="I4059">
        <v>36.11</v>
      </c>
      <c r="J4059" t="s">
        <v>81</v>
      </c>
      <c r="K4059" t="s">
        <v>47</v>
      </c>
      <c r="O4059">
        <v>0</v>
      </c>
      <c r="P4059">
        <v>0</v>
      </c>
      <c r="Q4059">
        <v>0</v>
      </c>
      <c r="R4059">
        <v>0</v>
      </c>
      <c r="W4059" t="s">
        <v>1036</v>
      </c>
      <c r="AA4059">
        <v>2007</v>
      </c>
      <c r="AB4059">
        <v>9999</v>
      </c>
      <c r="AC4059" t="s">
        <v>35</v>
      </c>
    </row>
    <row r="4060" spans="1:29" x14ac:dyDescent="0.25">
      <c r="A4060" s="31" t="s">
        <v>83</v>
      </c>
      <c r="B4060" s="23" t="s">
        <v>84</v>
      </c>
      <c r="D4060">
        <v>1</v>
      </c>
      <c r="E4060" t="s">
        <v>85</v>
      </c>
      <c r="F4060">
        <v>1</v>
      </c>
      <c r="G4060">
        <v>2011</v>
      </c>
      <c r="H4060" t="s">
        <v>39</v>
      </c>
      <c r="I4060">
        <v>13</v>
      </c>
      <c r="J4060" s="2" t="s">
        <v>40</v>
      </c>
      <c r="K4060" t="s">
        <v>41</v>
      </c>
      <c r="O4060">
        <v>0</v>
      </c>
      <c r="P4060">
        <v>0</v>
      </c>
      <c r="Q4060">
        <v>0</v>
      </c>
      <c r="R4060">
        <v>0</v>
      </c>
      <c r="W4060" t="s">
        <v>1345</v>
      </c>
      <c r="AA4060">
        <v>2007</v>
      </c>
      <c r="AB4060">
        <v>9999</v>
      </c>
      <c r="AC4060" t="s">
        <v>35</v>
      </c>
    </row>
    <row r="4061" spans="1:29" x14ac:dyDescent="0.25">
      <c r="A4061" s="31" t="s">
        <v>92</v>
      </c>
      <c r="B4061" s="23" t="s">
        <v>93</v>
      </c>
      <c r="C4061" t="s">
        <v>94</v>
      </c>
      <c r="D4061">
        <v>1</v>
      </c>
      <c r="E4061" t="s">
        <v>95</v>
      </c>
      <c r="F4061">
        <v>10</v>
      </c>
      <c r="G4061">
        <v>2011</v>
      </c>
      <c r="I4061">
        <v>22.5</v>
      </c>
      <c r="J4061" t="s">
        <v>40</v>
      </c>
      <c r="K4061" t="s">
        <v>47</v>
      </c>
      <c r="O4061">
        <v>0</v>
      </c>
      <c r="P4061">
        <v>0</v>
      </c>
      <c r="Q4061">
        <v>0</v>
      </c>
      <c r="R4061">
        <v>0</v>
      </c>
      <c r="W4061" t="s">
        <v>1346</v>
      </c>
      <c r="AA4061">
        <v>2007</v>
      </c>
      <c r="AB4061">
        <v>9999</v>
      </c>
      <c r="AC4061" t="s">
        <v>35</v>
      </c>
    </row>
    <row r="4062" spans="1:29" x14ac:dyDescent="0.25">
      <c r="A4062" s="31" t="s">
        <v>101</v>
      </c>
      <c r="B4062" s="23" t="s">
        <v>102</v>
      </c>
      <c r="D4062">
        <v>1</v>
      </c>
      <c r="E4062" t="s">
        <v>103</v>
      </c>
      <c r="F4062">
        <v>9</v>
      </c>
      <c r="G4062">
        <v>2011</v>
      </c>
      <c r="I4062">
        <v>514.04999999999995</v>
      </c>
      <c r="J4062" t="s">
        <v>104</v>
      </c>
      <c r="K4062" t="s">
        <v>53</v>
      </c>
      <c r="L4062" t="s">
        <v>105</v>
      </c>
      <c r="O4062">
        <v>0</v>
      </c>
      <c r="P4062">
        <v>1</v>
      </c>
      <c r="Q4062">
        <v>0</v>
      </c>
      <c r="R4062">
        <v>0</v>
      </c>
      <c r="W4062" t="s">
        <v>106</v>
      </c>
      <c r="AA4062">
        <v>2007</v>
      </c>
      <c r="AB4062">
        <v>9999</v>
      </c>
      <c r="AC4062" t="s">
        <v>35</v>
      </c>
    </row>
    <row r="4063" spans="1:29" x14ac:dyDescent="0.25">
      <c r="A4063" s="31" t="s">
        <v>107</v>
      </c>
      <c r="B4063" s="23" t="s">
        <v>108</v>
      </c>
      <c r="D4063">
        <v>1</v>
      </c>
      <c r="E4063" t="s">
        <v>45</v>
      </c>
      <c r="F4063">
        <v>4</v>
      </c>
      <c r="G4063">
        <v>2011</v>
      </c>
      <c r="I4063">
        <v>8.75</v>
      </c>
      <c r="J4063" t="s">
        <v>52</v>
      </c>
      <c r="K4063" t="s">
        <v>41</v>
      </c>
      <c r="O4063">
        <v>0</v>
      </c>
      <c r="P4063">
        <v>0</v>
      </c>
      <c r="Q4063">
        <v>0</v>
      </c>
      <c r="R4063">
        <v>0</v>
      </c>
      <c r="W4063" t="s">
        <v>109</v>
      </c>
      <c r="AA4063">
        <v>2007</v>
      </c>
      <c r="AB4063">
        <v>9999</v>
      </c>
      <c r="AC4063" t="s">
        <v>35</v>
      </c>
    </row>
    <row r="4064" spans="1:29" x14ac:dyDescent="0.25">
      <c r="A4064" s="31" t="s">
        <v>110</v>
      </c>
      <c r="B4064" s="23" t="s">
        <v>111</v>
      </c>
      <c r="D4064">
        <v>1</v>
      </c>
      <c r="E4064" t="s">
        <v>45</v>
      </c>
      <c r="F4064">
        <v>4</v>
      </c>
      <c r="G4064">
        <v>2011</v>
      </c>
      <c r="I4064">
        <v>451.23</v>
      </c>
      <c r="J4064" t="s">
        <v>89</v>
      </c>
      <c r="K4064" t="s">
        <v>47</v>
      </c>
      <c r="O4064">
        <v>0</v>
      </c>
      <c r="P4064">
        <v>0</v>
      </c>
      <c r="Q4064">
        <v>0</v>
      </c>
      <c r="R4064">
        <v>0</v>
      </c>
      <c r="W4064" t="s">
        <v>1039</v>
      </c>
      <c r="AA4064">
        <v>2007</v>
      </c>
      <c r="AB4064">
        <v>9999</v>
      </c>
      <c r="AC4064" t="s">
        <v>35</v>
      </c>
    </row>
    <row r="4065" spans="1:29" x14ac:dyDescent="0.25">
      <c r="A4065" s="31" t="s">
        <v>113</v>
      </c>
      <c r="B4065" s="23" t="s">
        <v>114</v>
      </c>
      <c r="D4065">
        <v>1</v>
      </c>
      <c r="E4065" t="s">
        <v>115</v>
      </c>
      <c r="F4065">
        <v>6</v>
      </c>
      <c r="G4065">
        <v>2011</v>
      </c>
      <c r="I4065">
        <v>178.72</v>
      </c>
      <c r="J4065" t="s">
        <v>40</v>
      </c>
      <c r="K4065" t="s">
        <v>47</v>
      </c>
      <c r="O4065">
        <v>0</v>
      </c>
      <c r="P4065">
        <v>0</v>
      </c>
      <c r="Q4065">
        <v>0</v>
      </c>
      <c r="R4065">
        <v>0</v>
      </c>
      <c r="W4065" t="s">
        <v>1285</v>
      </c>
      <c r="AA4065">
        <v>2007</v>
      </c>
      <c r="AB4065">
        <v>9999</v>
      </c>
      <c r="AC4065" t="s">
        <v>35</v>
      </c>
    </row>
    <row r="4066" spans="1:29" x14ac:dyDescent="0.25">
      <c r="A4066" s="31" t="s">
        <v>117</v>
      </c>
      <c r="B4066" s="23" t="s">
        <v>118</v>
      </c>
      <c r="C4066" t="s">
        <v>119</v>
      </c>
      <c r="D4066">
        <v>1</v>
      </c>
      <c r="E4066" t="s">
        <v>120</v>
      </c>
      <c r="F4066">
        <v>3</v>
      </c>
      <c r="G4066">
        <v>2011</v>
      </c>
      <c r="I4066">
        <v>82.12</v>
      </c>
      <c r="J4066" t="s">
        <v>121</v>
      </c>
      <c r="K4066" t="s">
        <v>47</v>
      </c>
      <c r="O4066">
        <v>0</v>
      </c>
      <c r="P4066">
        <v>0</v>
      </c>
      <c r="Q4066">
        <v>0</v>
      </c>
      <c r="R4066">
        <v>0</v>
      </c>
      <c r="W4066" t="s">
        <v>1041</v>
      </c>
      <c r="AA4066">
        <v>2007</v>
      </c>
      <c r="AB4066">
        <v>9999</v>
      </c>
      <c r="AC4066" t="s">
        <v>35</v>
      </c>
    </row>
    <row r="4067" spans="1:29" x14ac:dyDescent="0.25">
      <c r="A4067" s="31" t="s">
        <v>123</v>
      </c>
      <c r="B4067" s="23" t="s">
        <v>124</v>
      </c>
      <c r="D4067">
        <v>1</v>
      </c>
      <c r="E4067" t="s">
        <v>120</v>
      </c>
      <c r="F4067">
        <v>3</v>
      </c>
      <c r="G4067">
        <v>2011</v>
      </c>
      <c r="I4067">
        <v>51.94</v>
      </c>
      <c r="J4067" t="s">
        <v>121</v>
      </c>
      <c r="K4067" t="s">
        <v>47</v>
      </c>
      <c r="O4067">
        <v>0</v>
      </c>
      <c r="P4067">
        <v>0</v>
      </c>
      <c r="Q4067">
        <v>0</v>
      </c>
      <c r="R4067">
        <v>0</v>
      </c>
      <c r="W4067" t="s">
        <v>1042</v>
      </c>
      <c r="AA4067">
        <v>2007</v>
      </c>
      <c r="AB4067">
        <v>9999</v>
      </c>
      <c r="AC4067" t="s">
        <v>35</v>
      </c>
    </row>
    <row r="4068" spans="1:29" x14ac:dyDescent="0.25">
      <c r="A4068" s="31" t="s">
        <v>126</v>
      </c>
      <c r="B4068" s="23" t="s">
        <v>127</v>
      </c>
      <c r="D4068">
        <v>1</v>
      </c>
      <c r="E4068" t="s">
        <v>128</v>
      </c>
      <c r="F4068">
        <v>9</v>
      </c>
      <c r="G4068">
        <v>2011</v>
      </c>
      <c r="H4068" t="s">
        <v>129</v>
      </c>
      <c r="I4068">
        <v>5</v>
      </c>
      <c r="J4068" t="s">
        <v>104</v>
      </c>
      <c r="K4068" t="s">
        <v>41</v>
      </c>
      <c r="O4068">
        <v>0</v>
      </c>
      <c r="P4068">
        <v>0</v>
      </c>
      <c r="Q4068">
        <v>0</v>
      </c>
      <c r="R4068">
        <v>0</v>
      </c>
      <c r="W4068" t="s">
        <v>1043</v>
      </c>
      <c r="AA4068">
        <v>2007</v>
      </c>
      <c r="AB4068">
        <v>9999</v>
      </c>
      <c r="AC4068" t="s">
        <v>35</v>
      </c>
    </row>
    <row r="4069" spans="1:29" x14ac:dyDescent="0.25">
      <c r="A4069" s="31" t="s">
        <v>131</v>
      </c>
      <c r="B4069" s="23" t="s">
        <v>132</v>
      </c>
      <c r="C4069" t="s">
        <v>133</v>
      </c>
      <c r="D4069">
        <v>1</v>
      </c>
      <c r="E4069" t="s">
        <v>134</v>
      </c>
      <c r="F4069">
        <v>9</v>
      </c>
      <c r="G4069">
        <v>2011</v>
      </c>
      <c r="I4069">
        <v>931.39</v>
      </c>
      <c r="J4069" t="s">
        <v>104</v>
      </c>
      <c r="K4069" t="s">
        <v>47</v>
      </c>
      <c r="O4069">
        <v>0</v>
      </c>
      <c r="P4069">
        <v>0</v>
      </c>
      <c r="Q4069">
        <v>0</v>
      </c>
      <c r="R4069">
        <v>0</v>
      </c>
      <c r="W4069" t="s">
        <v>1044</v>
      </c>
      <c r="AA4069">
        <v>2007</v>
      </c>
      <c r="AB4069">
        <v>9999</v>
      </c>
      <c r="AC4069" t="s">
        <v>35</v>
      </c>
    </row>
    <row r="4070" spans="1:29" x14ac:dyDescent="0.25">
      <c r="A4070" s="31" t="s">
        <v>136</v>
      </c>
      <c r="B4070" s="23" t="s">
        <v>1286</v>
      </c>
      <c r="D4070">
        <v>1</v>
      </c>
      <c r="E4070" t="s">
        <v>103</v>
      </c>
      <c r="F4070">
        <v>9</v>
      </c>
      <c r="G4070">
        <v>2011</v>
      </c>
      <c r="I4070">
        <v>63.59</v>
      </c>
      <c r="J4070" t="s">
        <v>104</v>
      </c>
      <c r="K4070" t="s">
        <v>53</v>
      </c>
      <c r="L4070" t="s">
        <v>105</v>
      </c>
      <c r="O4070">
        <v>0</v>
      </c>
      <c r="P4070">
        <v>1</v>
      </c>
      <c r="Q4070">
        <v>0</v>
      </c>
      <c r="R4070">
        <v>0</v>
      </c>
      <c r="W4070" t="s">
        <v>106</v>
      </c>
      <c r="AA4070">
        <v>2007</v>
      </c>
      <c r="AB4070">
        <v>2013</v>
      </c>
      <c r="AC4070" t="s">
        <v>139</v>
      </c>
    </row>
    <row r="4071" spans="1:29" x14ac:dyDescent="0.25">
      <c r="A4071" s="31" t="s">
        <v>140</v>
      </c>
      <c r="B4071" s="23" t="s">
        <v>141</v>
      </c>
      <c r="D4071">
        <v>1</v>
      </c>
      <c r="E4071" t="s">
        <v>45</v>
      </c>
      <c r="F4071">
        <v>4</v>
      </c>
      <c r="G4071">
        <v>2011</v>
      </c>
      <c r="I4071">
        <v>38.5</v>
      </c>
      <c r="J4071" t="s">
        <v>121</v>
      </c>
      <c r="K4071" t="s">
        <v>47</v>
      </c>
      <c r="O4071">
        <v>0</v>
      </c>
      <c r="P4071">
        <v>0</v>
      </c>
      <c r="Q4071">
        <v>0</v>
      </c>
      <c r="R4071">
        <v>0</v>
      </c>
      <c r="W4071" t="s">
        <v>1045</v>
      </c>
      <c r="AA4071">
        <v>2007</v>
      </c>
      <c r="AB4071">
        <v>9999</v>
      </c>
      <c r="AC4071" t="s">
        <v>35</v>
      </c>
    </row>
    <row r="4072" spans="1:29" ht="30" x14ac:dyDescent="0.25">
      <c r="A4072" s="31" t="s">
        <v>143</v>
      </c>
      <c r="B4072" s="23" t="s">
        <v>144</v>
      </c>
      <c r="D4072">
        <v>1</v>
      </c>
      <c r="E4072" t="s">
        <v>145</v>
      </c>
      <c r="F4072">
        <v>2</v>
      </c>
      <c r="G4072">
        <v>2011</v>
      </c>
      <c r="H4072" t="s">
        <v>146</v>
      </c>
      <c r="I4072">
        <v>0.2</v>
      </c>
      <c r="J4072" s="2" t="s">
        <v>147</v>
      </c>
      <c r="K4072" t="s">
        <v>41</v>
      </c>
      <c r="O4072">
        <v>0</v>
      </c>
      <c r="P4072">
        <v>0</v>
      </c>
      <c r="Q4072">
        <v>0</v>
      </c>
      <c r="R4072">
        <v>0</v>
      </c>
      <c r="W4072" t="s">
        <v>1046</v>
      </c>
      <c r="AA4072">
        <v>2007</v>
      </c>
      <c r="AB4072">
        <v>9999</v>
      </c>
      <c r="AC4072" t="s">
        <v>35</v>
      </c>
    </row>
    <row r="4073" spans="1:29" x14ac:dyDescent="0.25">
      <c r="A4073" s="31" t="s">
        <v>353</v>
      </c>
      <c r="B4073" s="23" t="s">
        <v>1233</v>
      </c>
      <c r="C4073" t="s">
        <v>1234</v>
      </c>
      <c r="D4073">
        <v>1</v>
      </c>
      <c r="E4073" t="s">
        <v>58</v>
      </c>
      <c r="F4073">
        <v>4</v>
      </c>
      <c r="G4073">
        <v>2011</v>
      </c>
      <c r="I4073">
        <v>83.23</v>
      </c>
      <c r="J4073" t="s">
        <v>59</v>
      </c>
      <c r="K4073" t="s">
        <v>47</v>
      </c>
      <c r="O4073">
        <v>0</v>
      </c>
      <c r="P4073">
        <v>0</v>
      </c>
      <c r="Q4073">
        <v>0</v>
      </c>
      <c r="R4073">
        <v>0</v>
      </c>
      <c r="W4073" t="s">
        <v>1235</v>
      </c>
      <c r="AA4073">
        <v>2007</v>
      </c>
      <c r="AB4073">
        <v>9999</v>
      </c>
      <c r="AC4073" t="s">
        <v>35</v>
      </c>
    </row>
    <row r="4074" spans="1:29" x14ac:dyDescent="0.25">
      <c r="A4074" s="31" t="s">
        <v>1236</v>
      </c>
      <c r="B4074" s="23" t="s">
        <v>1237</v>
      </c>
      <c r="D4074">
        <v>1</v>
      </c>
      <c r="E4074" t="s">
        <v>155</v>
      </c>
      <c r="F4074">
        <v>3</v>
      </c>
      <c r="G4074">
        <v>2011</v>
      </c>
      <c r="H4074" t="s">
        <v>154</v>
      </c>
      <c r="I4074">
        <v>5</v>
      </c>
      <c r="J4074" t="s">
        <v>121</v>
      </c>
      <c r="K4074" t="s">
        <v>41</v>
      </c>
      <c r="O4074">
        <v>0</v>
      </c>
      <c r="P4074">
        <v>0</v>
      </c>
      <c r="Q4074">
        <v>0</v>
      </c>
      <c r="R4074">
        <v>0</v>
      </c>
      <c r="W4074" t="s">
        <v>1347</v>
      </c>
      <c r="AA4074">
        <v>2009</v>
      </c>
      <c r="AB4074">
        <v>9999</v>
      </c>
      <c r="AC4074" t="s">
        <v>1239</v>
      </c>
    </row>
    <row r="4075" spans="1:29" x14ac:dyDescent="0.25">
      <c r="A4075" s="31" t="s">
        <v>153</v>
      </c>
      <c r="B4075" s="23" t="s">
        <v>154</v>
      </c>
      <c r="D4075">
        <v>1</v>
      </c>
      <c r="E4075" t="s">
        <v>155</v>
      </c>
      <c r="F4075">
        <v>3</v>
      </c>
      <c r="G4075">
        <v>2011</v>
      </c>
      <c r="I4075">
        <v>286.56358695652199</v>
      </c>
      <c r="J4075" t="s">
        <v>121</v>
      </c>
      <c r="K4075" t="s">
        <v>47</v>
      </c>
      <c r="O4075">
        <v>0</v>
      </c>
      <c r="P4075">
        <v>0</v>
      </c>
      <c r="Q4075">
        <v>0</v>
      </c>
      <c r="R4075">
        <v>0</v>
      </c>
      <c r="V4075">
        <v>1</v>
      </c>
      <c r="W4075" t="s">
        <v>1047</v>
      </c>
      <c r="AA4075">
        <v>2007</v>
      </c>
      <c r="AB4075">
        <v>9999</v>
      </c>
      <c r="AC4075" t="s">
        <v>35</v>
      </c>
    </row>
    <row r="4076" spans="1:29" x14ac:dyDescent="0.25">
      <c r="A4076" s="31" t="s">
        <v>159</v>
      </c>
      <c r="B4076" s="23" t="s">
        <v>160</v>
      </c>
      <c r="D4076">
        <v>1</v>
      </c>
      <c r="E4076" t="s">
        <v>155</v>
      </c>
      <c r="F4076">
        <v>3</v>
      </c>
      <c r="G4076">
        <v>2011</v>
      </c>
      <c r="I4076">
        <v>422.54</v>
      </c>
      <c r="J4076" t="s">
        <v>121</v>
      </c>
      <c r="K4076" t="s">
        <v>47</v>
      </c>
      <c r="O4076">
        <v>0</v>
      </c>
      <c r="P4076">
        <v>0</v>
      </c>
      <c r="Q4076">
        <v>0</v>
      </c>
      <c r="R4076">
        <v>0</v>
      </c>
      <c r="W4076" t="s">
        <v>1048</v>
      </c>
      <c r="AA4076">
        <v>2007</v>
      </c>
      <c r="AB4076">
        <v>9999</v>
      </c>
      <c r="AC4076" t="s">
        <v>35</v>
      </c>
    </row>
    <row r="4077" spans="1:29" x14ac:dyDescent="0.25">
      <c r="A4077" s="31" t="s">
        <v>165</v>
      </c>
      <c r="B4077" s="23" t="s">
        <v>166</v>
      </c>
      <c r="C4077" t="s">
        <v>167</v>
      </c>
      <c r="D4077">
        <v>1</v>
      </c>
      <c r="E4077" t="s">
        <v>168</v>
      </c>
      <c r="F4077">
        <v>1</v>
      </c>
      <c r="G4077">
        <v>2011</v>
      </c>
      <c r="I4077">
        <v>163.53</v>
      </c>
      <c r="J4077" t="s">
        <v>52</v>
      </c>
      <c r="K4077" t="s">
        <v>47</v>
      </c>
      <c r="O4077">
        <v>0</v>
      </c>
      <c r="P4077">
        <v>0</v>
      </c>
      <c r="Q4077">
        <v>0</v>
      </c>
      <c r="R4077">
        <v>0</v>
      </c>
      <c r="W4077" t="s">
        <v>1348</v>
      </c>
      <c r="AA4077">
        <v>2007</v>
      </c>
      <c r="AB4077">
        <v>9999</v>
      </c>
      <c r="AC4077" t="s">
        <v>35</v>
      </c>
    </row>
    <row r="4078" spans="1:29" x14ac:dyDescent="0.25">
      <c r="A4078" s="31" t="s">
        <v>165</v>
      </c>
      <c r="B4078" s="23" t="s">
        <v>1349</v>
      </c>
      <c r="D4078">
        <v>1</v>
      </c>
      <c r="E4078" t="s">
        <v>38</v>
      </c>
      <c r="F4078">
        <v>4</v>
      </c>
      <c r="G4078">
        <v>2011</v>
      </c>
      <c r="H4078" t="s">
        <v>205</v>
      </c>
      <c r="I4078">
        <v>4.5</v>
      </c>
      <c r="J4078" t="s">
        <v>89</v>
      </c>
      <c r="K4078" t="s">
        <v>41</v>
      </c>
      <c r="O4078">
        <v>0</v>
      </c>
      <c r="P4078">
        <v>0</v>
      </c>
      <c r="Q4078">
        <v>0</v>
      </c>
      <c r="R4078">
        <v>0</v>
      </c>
      <c r="W4078" t="s">
        <v>1350</v>
      </c>
      <c r="AA4078">
        <v>2007</v>
      </c>
      <c r="AB4078">
        <v>9999</v>
      </c>
      <c r="AC4078" t="s">
        <v>35</v>
      </c>
    </row>
    <row r="4079" spans="1:29" x14ac:dyDescent="0.25">
      <c r="A4079" s="31" t="s">
        <v>170</v>
      </c>
      <c r="B4079" s="23" t="s">
        <v>171</v>
      </c>
      <c r="D4079">
        <v>1</v>
      </c>
      <c r="E4079" t="s">
        <v>30</v>
      </c>
      <c r="F4079">
        <v>4</v>
      </c>
      <c r="G4079">
        <v>2011</v>
      </c>
      <c r="I4079">
        <v>41.4</v>
      </c>
      <c r="J4079" t="s">
        <v>89</v>
      </c>
      <c r="K4079" t="s">
        <v>47</v>
      </c>
      <c r="O4079">
        <v>0</v>
      </c>
      <c r="P4079">
        <v>0</v>
      </c>
      <c r="Q4079">
        <v>0</v>
      </c>
      <c r="R4079">
        <v>0</v>
      </c>
      <c r="W4079" t="s">
        <v>1050</v>
      </c>
      <c r="AA4079">
        <v>2007</v>
      </c>
      <c r="AB4079">
        <v>9999</v>
      </c>
      <c r="AC4079" t="s">
        <v>35</v>
      </c>
    </row>
    <row r="4080" spans="1:29" x14ac:dyDescent="0.25">
      <c r="A4080" s="31" t="s">
        <v>1051</v>
      </c>
      <c r="B4080" s="23" t="s">
        <v>1052</v>
      </c>
      <c r="D4080">
        <v>1</v>
      </c>
      <c r="E4080" t="s">
        <v>30</v>
      </c>
      <c r="F4080">
        <v>4</v>
      </c>
      <c r="G4080">
        <v>2011</v>
      </c>
      <c r="I4080">
        <v>79.849999999999994</v>
      </c>
      <c r="J4080" t="s">
        <v>89</v>
      </c>
      <c r="K4080" t="s">
        <v>47</v>
      </c>
      <c r="O4080">
        <v>0</v>
      </c>
      <c r="P4080">
        <v>0</v>
      </c>
      <c r="Q4080">
        <v>0</v>
      </c>
      <c r="R4080">
        <v>0</v>
      </c>
      <c r="W4080" t="s">
        <v>1053</v>
      </c>
      <c r="AA4080">
        <v>2008</v>
      </c>
      <c r="AB4080">
        <v>9999</v>
      </c>
      <c r="AC4080" t="s">
        <v>1054</v>
      </c>
    </row>
    <row r="4081" spans="1:29" x14ac:dyDescent="0.25">
      <c r="A4081" s="31" t="s">
        <v>173</v>
      </c>
      <c r="B4081" s="23" t="s">
        <v>174</v>
      </c>
      <c r="C4081" t="s">
        <v>175</v>
      </c>
      <c r="D4081">
        <v>1</v>
      </c>
      <c r="E4081" t="s">
        <v>45</v>
      </c>
      <c r="F4081">
        <v>4</v>
      </c>
      <c r="G4081">
        <v>2011</v>
      </c>
      <c r="I4081">
        <v>132.49</v>
      </c>
      <c r="J4081" t="s">
        <v>176</v>
      </c>
      <c r="K4081" t="s">
        <v>32</v>
      </c>
      <c r="O4081">
        <v>0</v>
      </c>
      <c r="P4081">
        <v>0</v>
      </c>
      <c r="Q4081">
        <v>0</v>
      </c>
      <c r="R4081">
        <v>0</v>
      </c>
      <c r="W4081" t="s">
        <v>1055</v>
      </c>
      <c r="AA4081">
        <v>2007</v>
      </c>
      <c r="AB4081">
        <v>9999</v>
      </c>
      <c r="AC4081" t="s">
        <v>35</v>
      </c>
    </row>
    <row r="4082" spans="1:29" x14ac:dyDescent="0.25">
      <c r="A4082" s="31" t="s">
        <v>178</v>
      </c>
      <c r="B4082" s="23" t="s">
        <v>179</v>
      </c>
      <c r="D4082">
        <v>1</v>
      </c>
      <c r="E4082" t="s">
        <v>45</v>
      </c>
      <c r="F4082">
        <v>4</v>
      </c>
      <c r="G4082">
        <v>2011</v>
      </c>
      <c r="I4082">
        <v>15</v>
      </c>
      <c r="J4082" t="s">
        <v>121</v>
      </c>
      <c r="K4082" t="s">
        <v>47</v>
      </c>
      <c r="O4082">
        <v>0</v>
      </c>
      <c r="P4082">
        <v>0</v>
      </c>
      <c r="Q4082">
        <v>0</v>
      </c>
      <c r="R4082">
        <v>0</v>
      </c>
      <c r="W4082" t="s">
        <v>1240</v>
      </c>
      <c r="AA4082">
        <v>2007</v>
      </c>
      <c r="AB4082">
        <v>9999</v>
      </c>
      <c r="AC4082" t="s">
        <v>35</v>
      </c>
    </row>
    <row r="4083" spans="1:29" x14ac:dyDescent="0.25">
      <c r="A4083" s="31" t="s">
        <v>181</v>
      </c>
      <c r="B4083" s="23" t="s">
        <v>182</v>
      </c>
      <c r="D4083">
        <v>1</v>
      </c>
      <c r="E4083" t="s">
        <v>38</v>
      </c>
      <c r="F4083">
        <v>4</v>
      </c>
      <c r="G4083">
        <v>2011</v>
      </c>
      <c r="H4083" t="s">
        <v>39</v>
      </c>
      <c r="I4083">
        <v>0.5</v>
      </c>
      <c r="J4083" t="s">
        <v>121</v>
      </c>
      <c r="K4083" t="s">
        <v>41</v>
      </c>
      <c r="O4083">
        <v>0</v>
      </c>
      <c r="P4083">
        <v>0</v>
      </c>
      <c r="Q4083">
        <v>0</v>
      </c>
      <c r="R4083">
        <v>0</v>
      </c>
      <c r="W4083" t="s">
        <v>1057</v>
      </c>
      <c r="AA4083">
        <v>2007</v>
      </c>
      <c r="AB4083">
        <v>9999</v>
      </c>
      <c r="AC4083" t="s">
        <v>35</v>
      </c>
    </row>
    <row r="4084" spans="1:29" x14ac:dyDescent="0.25">
      <c r="A4084" s="31" t="s">
        <v>184</v>
      </c>
      <c r="B4084" s="23" t="s">
        <v>185</v>
      </c>
      <c r="C4084" t="s">
        <v>186</v>
      </c>
      <c r="D4084">
        <v>1</v>
      </c>
      <c r="E4084" t="s">
        <v>45</v>
      </c>
      <c r="F4084">
        <v>4</v>
      </c>
      <c r="G4084">
        <v>2011</v>
      </c>
      <c r="I4084">
        <v>265.95999999999998</v>
      </c>
      <c r="J4084" t="s">
        <v>52</v>
      </c>
      <c r="K4084" t="s">
        <v>32</v>
      </c>
      <c r="O4084">
        <v>0</v>
      </c>
      <c r="P4084">
        <v>0</v>
      </c>
      <c r="Q4084">
        <v>0</v>
      </c>
      <c r="R4084">
        <v>0</v>
      </c>
      <c r="W4084" t="s">
        <v>1287</v>
      </c>
      <c r="AA4084">
        <v>2007</v>
      </c>
      <c r="AB4084">
        <v>9999</v>
      </c>
      <c r="AC4084" t="s">
        <v>35</v>
      </c>
    </row>
    <row r="4085" spans="1:29" x14ac:dyDescent="0.25">
      <c r="A4085" s="31" t="s">
        <v>1059</v>
      </c>
      <c r="B4085" s="23" t="s">
        <v>1060</v>
      </c>
      <c r="D4085">
        <v>1</v>
      </c>
      <c r="E4085" t="s">
        <v>874</v>
      </c>
      <c r="F4085">
        <v>1</v>
      </c>
      <c r="G4085">
        <v>2011</v>
      </c>
      <c r="I4085">
        <v>5.2</v>
      </c>
      <c r="J4085" t="s">
        <v>52</v>
      </c>
      <c r="K4085" t="s">
        <v>47</v>
      </c>
      <c r="O4085">
        <v>0</v>
      </c>
      <c r="P4085">
        <v>0</v>
      </c>
      <c r="Q4085">
        <v>0</v>
      </c>
      <c r="R4085">
        <v>0</v>
      </c>
      <c r="W4085" t="s">
        <v>1351</v>
      </c>
      <c r="AA4085">
        <v>2008</v>
      </c>
      <c r="AB4085">
        <v>9999</v>
      </c>
      <c r="AC4085" t="s">
        <v>1054</v>
      </c>
    </row>
    <row r="4086" spans="1:29" x14ac:dyDescent="0.25">
      <c r="A4086" s="31" t="s">
        <v>188</v>
      </c>
      <c r="B4086" s="23" t="s">
        <v>189</v>
      </c>
      <c r="D4086">
        <v>1</v>
      </c>
      <c r="E4086" t="s">
        <v>38</v>
      </c>
      <c r="F4086">
        <v>4</v>
      </c>
      <c r="G4086">
        <v>2011</v>
      </c>
      <c r="I4086">
        <v>361.18</v>
      </c>
      <c r="J4086" t="s">
        <v>1343</v>
      </c>
      <c r="K4086" t="s">
        <v>47</v>
      </c>
      <c r="O4086">
        <v>0</v>
      </c>
      <c r="P4086">
        <v>0</v>
      </c>
      <c r="Q4086">
        <v>0</v>
      </c>
      <c r="R4086">
        <v>0</v>
      </c>
      <c r="W4086" t="s">
        <v>1062</v>
      </c>
      <c r="AA4086">
        <v>2007</v>
      </c>
      <c r="AB4086">
        <v>2011</v>
      </c>
      <c r="AC4086" t="s">
        <v>191</v>
      </c>
    </row>
    <row r="4087" spans="1:29" x14ac:dyDescent="0.25">
      <c r="A4087" s="31" t="s">
        <v>192</v>
      </c>
      <c r="B4087" s="23" t="s">
        <v>193</v>
      </c>
      <c r="D4087">
        <v>1</v>
      </c>
      <c r="E4087" t="s">
        <v>51</v>
      </c>
      <c r="F4087">
        <v>1</v>
      </c>
      <c r="G4087">
        <v>2011</v>
      </c>
      <c r="I4087">
        <v>51</v>
      </c>
      <c r="J4087" t="s">
        <v>52</v>
      </c>
      <c r="K4087" t="s">
        <v>53</v>
      </c>
      <c r="L4087" t="s">
        <v>54</v>
      </c>
      <c r="O4087">
        <v>0</v>
      </c>
      <c r="P4087">
        <v>0</v>
      </c>
      <c r="Q4087">
        <v>1</v>
      </c>
      <c r="R4087">
        <v>0</v>
      </c>
      <c r="W4087" t="s">
        <v>55</v>
      </c>
      <c r="AA4087">
        <v>2007</v>
      </c>
      <c r="AB4087">
        <v>9999</v>
      </c>
      <c r="AC4087" t="s">
        <v>35</v>
      </c>
    </row>
    <row r="4088" spans="1:29" x14ac:dyDescent="0.25">
      <c r="A4088" s="31" t="s">
        <v>194</v>
      </c>
      <c r="B4088" s="23" t="s">
        <v>195</v>
      </c>
      <c r="C4088" t="s">
        <v>196</v>
      </c>
      <c r="D4088">
        <v>1</v>
      </c>
      <c r="E4088" t="s">
        <v>197</v>
      </c>
      <c r="F4088">
        <v>2</v>
      </c>
      <c r="G4088">
        <v>2011</v>
      </c>
      <c r="I4088">
        <v>161.46</v>
      </c>
      <c r="J4088" t="s">
        <v>176</v>
      </c>
      <c r="K4088" t="s">
        <v>47</v>
      </c>
      <c r="O4088">
        <v>0</v>
      </c>
      <c r="P4088">
        <v>0</v>
      </c>
      <c r="Q4088">
        <v>0</v>
      </c>
      <c r="R4088">
        <v>0</v>
      </c>
      <c r="W4088" t="s">
        <v>1063</v>
      </c>
      <c r="AA4088">
        <v>2007</v>
      </c>
      <c r="AB4088">
        <v>9999</v>
      </c>
      <c r="AC4088" t="s">
        <v>35</v>
      </c>
    </row>
    <row r="4089" spans="1:29" x14ac:dyDescent="0.25">
      <c r="A4089" s="31" t="s">
        <v>203</v>
      </c>
      <c r="B4089" s="23" t="s">
        <v>204</v>
      </c>
      <c r="D4089">
        <v>1</v>
      </c>
      <c r="E4089" t="s">
        <v>201</v>
      </c>
      <c r="F4089">
        <v>1</v>
      </c>
      <c r="G4089">
        <v>2011</v>
      </c>
      <c r="H4089" t="s">
        <v>205</v>
      </c>
      <c r="I4089">
        <v>2</v>
      </c>
      <c r="J4089" t="s">
        <v>52</v>
      </c>
      <c r="K4089" t="s">
        <v>41</v>
      </c>
      <c r="O4089">
        <v>0</v>
      </c>
      <c r="P4089">
        <v>0</v>
      </c>
      <c r="Q4089">
        <v>0</v>
      </c>
      <c r="R4089">
        <v>0</v>
      </c>
      <c r="W4089" t="s">
        <v>1064</v>
      </c>
      <c r="AA4089">
        <v>2007</v>
      </c>
      <c r="AB4089">
        <v>9999</v>
      </c>
      <c r="AC4089" t="s">
        <v>35</v>
      </c>
    </row>
    <row r="4090" spans="1:29" x14ac:dyDescent="0.25">
      <c r="A4090" s="31" t="s">
        <v>207</v>
      </c>
      <c r="B4090" s="23" t="s">
        <v>208</v>
      </c>
      <c r="C4090" t="s">
        <v>209</v>
      </c>
      <c r="D4090">
        <v>1</v>
      </c>
      <c r="E4090" t="s">
        <v>210</v>
      </c>
      <c r="F4090">
        <v>10</v>
      </c>
      <c r="G4090">
        <v>2011</v>
      </c>
      <c r="I4090">
        <v>21.25</v>
      </c>
      <c r="J4090" t="s">
        <v>40</v>
      </c>
      <c r="K4090" t="s">
        <v>32</v>
      </c>
      <c r="O4090">
        <v>0</v>
      </c>
      <c r="P4090">
        <v>0</v>
      </c>
      <c r="Q4090">
        <v>0</v>
      </c>
      <c r="R4090">
        <v>0</v>
      </c>
      <c r="W4090" t="s">
        <v>1065</v>
      </c>
      <c r="AA4090">
        <v>2007</v>
      </c>
      <c r="AB4090">
        <v>9999</v>
      </c>
      <c r="AC4090" t="s">
        <v>35</v>
      </c>
    </row>
    <row r="4091" spans="1:29" ht="30" x14ac:dyDescent="0.25">
      <c r="A4091" s="31" t="s">
        <v>212</v>
      </c>
      <c r="B4091" s="23" t="s">
        <v>213</v>
      </c>
      <c r="C4091" t="s">
        <v>214</v>
      </c>
      <c r="D4091">
        <v>1</v>
      </c>
      <c r="E4091" s="4">
        <v>550</v>
      </c>
      <c r="F4091">
        <v>5</v>
      </c>
      <c r="G4091">
        <v>2011</v>
      </c>
      <c r="I4091">
        <v>39.5</v>
      </c>
      <c r="J4091" s="2" t="s">
        <v>31</v>
      </c>
      <c r="K4091" t="s">
        <v>47</v>
      </c>
      <c r="O4091">
        <v>0</v>
      </c>
      <c r="P4091">
        <v>0</v>
      </c>
      <c r="Q4091">
        <v>0</v>
      </c>
      <c r="R4091">
        <v>0</v>
      </c>
      <c r="W4091" t="s">
        <v>1288</v>
      </c>
      <c r="AA4091">
        <v>2007</v>
      </c>
      <c r="AB4091">
        <v>9999</v>
      </c>
      <c r="AC4091" t="s">
        <v>35</v>
      </c>
    </row>
    <row r="4092" spans="1:29" x14ac:dyDescent="0.25">
      <c r="A4092" s="31" t="s">
        <v>216</v>
      </c>
      <c r="B4092" s="23" t="s">
        <v>217</v>
      </c>
      <c r="D4092">
        <v>1</v>
      </c>
      <c r="E4092" t="s">
        <v>218</v>
      </c>
      <c r="F4092">
        <v>2</v>
      </c>
      <c r="G4092">
        <v>2011</v>
      </c>
      <c r="I4092">
        <v>639.12</v>
      </c>
      <c r="J4092" t="s">
        <v>40</v>
      </c>
      <c r="K4092" t="s">
        <v>32</v>
      </c>
      <c r="O4092">
        <v>0</v>
      </c>
      <c r="P4092">
        <v>0</v>
      </c>
      <c r="Q4092">
        <v>0</v>
      </c>
      <c r="R4092">
        <v>0</v>
      </c>
      <c r="W4092" t="s">
        <v>1067</v>
      </c>
      <c r="AA4092">
        <v>2007</v>
      </c>
      <c r="AB4092">
        <v>9999</v>
      </c>
      <c r="AC4092" t="s">
        <v>35</v>
      </c>
    </row>
    <row r="4093" spans="1:29" x14ac:dyDescent="0.25">
      <c r="A4093" s="31" t="s">
        <v>220</v>
      </c>
      <c r="B4093" s="23" t="s">
        <v>221</v>
      </c>
      <c r="D4093">
        <v>1</v>
      </c>
      <c r="E4093" t="s">
        <v>222</v>
      </c>
      <c r="F4093">
        <v>8</v>
      </c>
      <c r="G4093">
        <v>2011</v>
      </c>
      <c r="I4093">
        <v>29</v>
      </c>
      <c r="J4093" t="s">
        <v>81</v>
      </c>
      <c r="K4093" t="s">
        <v>47</v>
      </c>
      <c r="O4093">
        <v>0</v>
      </c>
      <c r="P4093">
        <v>0</v>
      </c>
      <c r="Q4093">
        <v>0</v>
      </c>
      <c r="R4093">
        <v>0</v>
      </c>
      <c r="W4093" t="s">
        <v>1068</v>
      </c>
      <c r="AA4093">
        <v>2007</v>
      </c>
      <c r="AB4093">
        <v>9999</v>
      </c>
      <c r="AC4093" t="s">
        <v>35</v>
      </c>
    </row>
    <row r="4094" spans="1:29" x14ac:dyDescent="0.25">
      <c r="A4094" s="31" t="s">
        <v>224</v>
      </c>
      <c r="B4094" s="23" t="s">
        <v>225</v>
      </c>
      <c r="D4094">
        <v>1</v>
      </c>
      <c r="E4094" t="s">
        <v>51</v>
      </c>
      <c r="F4094">
        <v>1</v>
      </c>
      <c r="G4094">
        <v>2011</v>
      </c>
      <c r="I4094">
        <v>44</v>
      </c>
      <c r="J4094" t="s">
        <v>52</v>
      </c>
      <c r="K4094" t="s">
        <v>53</v>
      </c>
      <c r="L4094" t="s">
        <v>54</v>
      </c>
      <c r="O4094">
        <v>0</v>
      </c>
      <c r="P4094">
        <v>0</v>
      </c>
      <c r="Q4094">
        <v>1</v>
      </c>
      <c r="R4094">
        <v>0</v>
      </c>
      <c r="W4094" t="s">
        <v>55</v>
      </c>
      <c r="AA4094">
        <v>2007</v>
      </c>
      <c r="AB4094">
        <v>9999</v>
      </c>
      <c r="AC4094" t="s">
        <v>35</v>
      </c>
    </row>
    <row r="4095" spans="1:29" x14ac:dyDescent="0.25">
      <c r="A4095" s="31" t="s">
        <v>226</v>
      </c>
      <c r="B4095" s="23" t="s">
        <v>227</v>
      </c>
      <c r="C4095" t="s">
        <v>228</v>
      </c>
      <c r="D4095">
        <v>1</v>
      </c>
      <c r="E4095" t="s">
        <v>218</v>
      </c>
      <c r="F4095">
        <v>2</v>
      </c>
      <c r="G4095">
        <v>2011</v>
      </c>
      <c r="I4095">
        <v>1491.33</v>
      </c>
      <c r="J4095" t="s">
        <v>147</v>
      </c>
      <c r="K4095" t="s">
        <v>32</v>
      </c>
      <c r="O4095">
        <v>0</v>
      </c>
      <c r="P4095">
        <v>0</v>
      </c>
      <c r="Q4095">
        <v>0</v>
      </c>
      <c r="R4095">
        <v>0</v>
      </c>
      <c r="W4095" t="s">
        <v>1069</v>
      </c>
      <c r="AA4095">
        <v>2007</v>
      </c>
      <c r="AB4095">
        <v>9999</v>
      </c>
      <c r="AC4095" t="s">
        <v>35</v>
      </c>
    </row>
    <row r="4096" spans="1:29" x14ac:dyDescent="0.25">
      <c r="A4096" s="31" t="s">
        <v>230</v>
      </c>
      <c r="B4096" s="23" t="s">
        <v>231</v>
      </c>
      <c r="C4096" t="s">
        <v>232</v>
      </c>
      <c r="D4096">
        <v>1</v>
      </c>
      <c r="E4096" t="s">
        <v>145</v>
      </c>
      <c r="F4096">
        <v>2</v>
      </c>
      <c r="G4096">
        <v>2011</v>
      </c>
      <c r="J4096" t="s">
        <v>147</v>
      </c>
      <c r="K4096" t="s">
        <v>47</v>
      </c>
      <c r="O4096">
        <v>0</v>
      </c>
      <c r="P4096">
        <v>0</v>
      </c>
      <c r="Q4096">
        <v>0</v>
      </c>
      <c r="R4096">
        <v>0</v>
      </c>
      <c r="W4096" t="s">
        <v>1070</v>
      </c>
      <c r="AA4096">
        <v>2007</v>
      </c>
      <c r="AB4096">
        <v>9999</v>
      </c>
      <c r="AC4096" t="s">
        <v>35</v>
      </c>
    </row>
    <row r="4097" spans="1:29" x14ac:dyDescent="0.25">
      <c r="A4097" s="31" t="s">
        <v>1352</v>
      </c>
      <c r="B4097" s="23" t="s">
        <v>1353</v>
      </c>
      <c r="D4097">
        <v>1</v>
      </c>
      <c r="E4097" t="s">
        <v>218</v>
      </c>
      <c r="F4097">
        <v>2</v>
      </c>
      <c r="G4097">
        <v>2011</v>
      </c>
      <c r="I4097">
        <v>33.799999999999997</v>
      </c>
      <c r="J4097" t="s">
        <v>147</v>
      </c>
      <c r="K4097" t="s">
        <v>47</v>
      </c>
      <c r="O4097">
        <v>0</v>
      </c>
      <c r="P4097">
        <v>0</v>
      </c>
      <c r="Q4097">
        <v>0</v>
      </c>
      <c r="R4097">
        <v>0</v>
      </c>
      <c r="W4097" t="s">
        <v>1354</v>
      </c>
      <c r="AA4097">
        <v>2011</v>
      </c>
      <c r="AB4097">
        <v>2015</v>
      </c>
      <c r="AC4097" t="s">
        <v>1355</v>
      </c>
    </row>
    <row r="4098" spans="1:29" x14ac:dyDescent="0.25">
      <c r="A4098" s="31" t="s">
        <v>237</v>
      </c>
      <c r="B4098" s="23" t="s">
        <v>238</v>
      </c>
      <c r="D4098">
        <v>1</v>
      </c>
      <c r="E4098" t="s">
        <v>218</v>
      </c>
      <c r="F4098">
        <v>2</v>
      </c>
      <c r="G4098">
        <v>2011</v>
      </c>
      <c r="I4098">
        <v>324.93</v>
      </c>
      <c r="J4098" t="s">
        <v>104</v>
      </c>
      <c r="K4098" t="s">
        <v>53</v>
      </c>
      <c r="L4098" t="s">
        <v>105</v>
      </c>
      <c r="O4098">
        <v>0</v>
      </c>
      <c r="P4098">
        <v>0</v>
      </c>
      <c r="Q4098">
        <v>0</v>
      </c>
      <c r="R4098">
        <v>0</v>
      </c>
      <c r="W4098" t="s">
        <v>1072</v>
      </c>
      <c r="AA4098">
        <v>2007</v>
      </c>
      <c r="AB4098">
        <v>9999</v>
      </c>
      <c r="AC4098" t="s">
        <v>35</v>
      </c>
    </row>
    <row r="4099" spans="1:29" x14ac:dyDescent="0.25">
      <c r="A4099" s="31" t="s">
        <v>240</v>
      </c>
      <c r="B4099" s="23" t="s">
        <v>241</v>
      </c>
      <c r="D4099">
        <v>1</v>
      </c>
      <c r="E4099" t="s">
        <v>218</v>
      </c>
      <c r="F4099">
        <v>2</v>
      </c>
      <c r="G4099">
        <v>2011</v>
      </c>
      <c r="I4099">
        <v>16407.27</v>
      </c>
      <c r="J4099" t="s">
        <v>147</v>
      </c>
      <c r="K4099" t="s">
        <v>47</v>
      </c>
      <c r="O4099">
        <v>0</v>
      </c>
      <c r="P4099">
        <v>0</v>
      </c>
      <c r="Q4099">
        <v>0</v>
      </c>
      <c r="R4099">
        <v>0</v>
      </c>
      <c r="W4099" t="s">
        <v>1073</v>
      </c>
      <c r="AA4099">
        <v>2007</v>
      </c>
      <c r="AB4099">
        <v>9999</v>
      </c>
      <c r="AC4099" t="s">
        <v>35</v>
      </c>
    </row>
    <row r="4100" spans="1:29" x14ac:dyDescent="0.25">
      <c r="A4100" s="31" t="s">
        <v>1289</v>
      </c>
      <c r="B4100" s="23" t="s">
        <v>1290</v>
      </c>
      <c r="D4100">
        <v>1</v>
      </c>
      <c r="E4100" t="s">
        <v>218</v>
      </c>
      <c r="F4100">
        <v>2</v>
      </c>
      <c r="G4100">
        <v>2011</v>
      </c>
      <c r="I4100">
        <v>4</v>
      </c>
      <c r="J4100" t="s">
        <v>147</v>
      </c>
      <c r="K4100" t="s">
        <v>53</v>
      </c>
      <c r="L4100" t="s">
        <v>60</v>
      </c>
      <c r="O4100">
        <v>1</v>
      </c>
      <c r="P4100">
        <v>0</v>
      </c>
      <c r="Q4100">
        <v>0</v>
      </c>
      <c r="R4100">
        <v>0</v>
      </c>
      <c r="W4100" t="s">
        <v>1291</v>
      </c>
      <c r="AA4100">
        <v>2010</v>
      </c>
      <c r="AB4100">
        <v>9999</v>
      </c>
      <c r="AC4100" t="s">
        <v>1292</v>
      </c>
    </row>
    <row r="4101" spans="1:29" x14ac:dyDescent="0.25">
      <c r="A4101" s="31" t="s">
        <v>243</v>
      </c>
      <c r="B4101" s="23" t="s">
        <v>244</v>
      </c>
      <c r="D4101">
        <v>1</v>
      </c>
      <c r="E4101" t="s">
        <v>210</v>
      </c>
      <c r="F4101">
        <v>10</v>
      </c>
      <c r="G4101">
        <v>2011</v>
      </c>
      <c r="I4101">
        <v>11534.96</v>
      </c>
      <c r="J4101" t="s">
        <v>40</v>
      </c>
      <c r="K4101" t="s">
        <v>32</v>
      </c>
      <c r="O4101">
        <v>0</v>
      </c>
      <c r="P4101">
        <v>0</v>
      </c>
      <c r="Q4101">
        <v>0</v>
      </c>
      <c r="R4101">
        <v>0</v>
      </c>
      <c r="W4101" t="s">
        <v>1293</v>
      </c>
      <c r="AA4101">
        <v>2007</v>
      </c>
      <c r="AB4101">
        <v>9999</v>
      </c>
      <c r="AC4101" t="s">
        <v>35</v>
      </c>
    </row>
    <row r="4102" spans="1:29" x14ac:dyDescent="0.25">
      <c r="A4102" s="31" t="s">
        <v>153</v>
      </c>
      <c r="B4102" s="23" t="s">
        <v>1356</v>
      </c>
      <c r="D4102">
        <v>12</v>
      </c>
      <c r="E4102" t="s">
        <v>155</v>
      </c>
      <c r="F4102">
        <v>3</v>
      </c>
      <c r="G4102">
        <v>2011</v>
      </c>
      <c r="I4102">
        <v>1306.3521541007876</v>
      </c>
      <c r="J4102" t="s">
        <v>121</v>
      </c>
      <c r="K4102" t="s">
        <v>53</v>
      </c>
      <c r="L4102" t="s">
        <v>60</v>
      </c>
      <c r="O4102">
        <v>1</v>
      </c>
      <c r="P4102">
        <v>0</v>
      </c>
      <c r="Q4102">
        <v>0</v>
      </c>
      <c r="R4102">
        <v>0</v>
      </c>
      <c r="V4102">
        <v>1</v>
      </c>
      <c r="W4102" t="s">
        <v>477</v>
      </c>
      <c r="AA4102">
        <v>2007</v>
      </c>
      <c r="AB4102">
        <v>9999</v>
      </c>
      <c r="AC4102" t="s">
        <v>35</v>
      </c>
    </row>
    <row r="4103" spans="1:29" x14ac:dyDescent="0.25">
      <c r="A4103" s="31" t="s">
        <v>246</v>
      </c>
      <c r="B4103" s="23" t="s">
        <v>247</v>
      </c>
      <c r="D4103">
        <v>1</v>
      </c>
      <c r="E4103" t="s">
        <v>120</v>
      </c>
      <c r="F4103">
        <v>3</v>
      </c>
      <c r="G4103">
        <v>2011</v>
      </c>
      <c r="H4103" t="s">
        <v>129</v>
      </c>
      <c r="I4103">
        <v>2.6</v>
      </c>
      <c r="J4103" t="s">
        <v>121</v>
      </c>
      <c r="K4103" t="s">
        <v>41</v>
      </c>
      <c r="O4103">
        <v>0</v>
      </c>
      <c r="P4103">
        <v>0</v>
      </c>
      <c r="Q4103">
        <v>0</v>
      </c>
      <c r="R4103">
        <v>0</v>
      </c>
      <c r="W4103" t="s">
        <v>1075</v>
      </c>
      <c r="AA4103">
        <v>2007</v>
      </c>
      <c r="AB4103">
        <v>9999</v>
      </c>
      <c r="AC4103" t="s">
        <v>35</v>
      </c>
    </row>
    <row r="4104" spans="1:29" x14ac:dyDescent="0.25">
      <c r="A4104" s="31" t="s">
        <v>252</v>
      </c>
      <c r="B4104" s="23" t="s">
        <v>253</v>
      </c>
      <c r="D4104">
        <v>1</v>
      </c>
      <c r="E4104" t="s">
        <v>145</v>
      </c>
      <c r="F4104">
        <v>2</v>
      </c>
      <c r="G4104">
        <v>2011</v>
      </c>
      <c r="H4104" t="s">
        <v>254</v>
      </c>
      <c r="I4104">
        <v>0.05</v>
      </c>
      <c r="J4104" s="2" t="s">
        <v>147</v>
      </c>
      <c r="K4104" t="s">
        <v>41</v>
      </c>
      <c r="O4104">
        <v>0</v>
      </c>
      <c r="P4104">
        <v>0</v>
      </c>
      <c r="Q4104">
        <v>0</v>
      </c>
      <c r="R4104">
        <v>0</v>
      </c>
      <c r="W4104" t="s">
        <v>1077</v>
      </c>
      <c r="AA4104">
        <v>2007</v>
      </c>
      <c r="AB4104">
        <v>9999</v>
      </c>
      <c r="AC4104" t="s">
        <v>35</v>
      </c>
    </row>
    <row r="4105" spans="1:29" x14ac:dyDescent="0.25">
      <c r="A4105" s="31" t="s">
        <v>259</v>
      </c>
      <c r="B4105" s="23" t="s">
        <v>260</v>
      </c>
      <c r="C4105" t="s">
        <v>261</v>
      </c>
      <c r="D4105">
        <v>1</v>
      </c>
      <c r="E4105" t="s">
        <v>103</v>
      </c>
      <c r="F4105">
        <v>9</v>
      </c>
      <c r="G4105">
        <v>2011</v>
      </c>
      <c r="I4105">
        <v>4794.6099999999997</v>
      </c>
      <c r="J4105" t="s">
        <v>104</v>
      </c>
      <c r="K4105" t="s">
        <v>53</v>
      </c>
      <c r="L4105" t="s">
        <v>105</v>
      </c>
      <c r="O4105">
        <v>0</v>
      </c>
      <c r="P4105">
        <v>1</v>
      </c>
      <c r="Q4105">
        <v>0</v>
      </c>
      <c r="R4105">
        <v>0</v>
      </c>
      <c r="W4105" t="s">
        <v>106</v>
      </c>
      <c r="AA4105">
        <v>2007</v>
      </c>
      <c r="AB4105">
        <v>9999</v>
      </c>
      <c r="AC4105" t="s">
        <v>35</v>
      </c>
    </row>
    <row r="4106" spans="1:29" x14ac:dyDescent="0.25">
      <c r="A4106" s="31" t="s">
        <v>266</v>
      </c>
      <c r="B4106" s="23" t="s">
        <v>267</v>
      </c>
      <c r="D4106">
        <v>1</v>
      </c>
      <c r="E4106" t="s">
        <v>85</v>
      </c>
      <c r="F4106">
        <v>4</v>
      </c>
      <c r="G4106">
        <v>2011</v>
      </c>
      <c r="J4106" t="s">
        <v>268</v>
      </c>
      <c r="K4106" t="s">
        <v>41</v>
      </c>
      <c r="O4106">
        <v>0</v>
      </c>
      <c r="P4106">
        <v>0</v>
      </c>
      <c r="Q4106">
        <v>0</v>
      </c>
      <c r="R4106">
        <v>0</v>
      </c>
      <c r="W4106" t="s">
        <v>1079</v>
      </c>
      <c r="AA4106">
        <v>2007</v>
      </c>
      <c r="AB4106">
        <v>9999</v>
      </c>
      <c r="AC4106" t="s">
        <v>35</v>
      </c>
    </row>
    <row r="4107" spans="1:29" x14ac:dyDescent="0.25">
      <c r="A4107" s="31" t="s">
        <v>153</v>
      </c>
      <c r="B4107" s="23" t="s">
        <v>270</v>
      </c>
      <c r="D4107">
        <v>6</v>
      </c>
      <c r="E4107" t="s">
        <v>155</v>
      </c>
      <c r="F4107">
        <v>3</v>
      </c>
      <c r="G4107">
        <v>2011</v>
      </c>
      <c r="I4107">
        <v>597.20088705533306</v>
      </c>
      <c r="J4107" t="s">
        <v>121</v>
      </c>
      <c r="K4107" t="s">
        <v>53</v>
      </c>
      <c r="L4107" t="s">
        <v>60</v>
      </c>
      <c r="O4107">
        <v>1</v>
      </c>
      <c r="P4107">
        <v>0</v>
      </c>
      <c r="Q4107">
        <v>0</v>
      </c>
      <c r="R4107">
        <v>0</v>
      </c>
      <c r="V4107">
        <v>1</v>
      </c>
      <c r="W4107" t="s">
        <v>271</v>
      </c>
      <c r="AA4107">
        <v>2007</v>
      </c>
      <c r="AB4107">
        <v>9999</v>
      </c>
      <c r="AC4107" t="s">
        <v>35</v>
      </c>
    </row>
    <row r="4108" spans="1:29" x14ac:dyDescent="0.25">
      <c r="A4108" s="31" t="s">
        <v>153</v>
      </c>
      <c r="B4108" s="23" t="s">
        <v>272</v>
      </c>
      <c r="D4108">
        <v>8</v>
      </c>
      <c r="E4108" t="s">
        <v>155</v>
      </c>
      <c r="F4108">
        <v>3</v>
      </c>
      <c r="G4108">
        <v>2011</v>
      </c>
      <c r="I4108">
        <v>78.976086956518003</v>
      </c>
      <c r="J4108" s="2" t="s">
        <v>121</v>
      </c>
      <c r="K4108" t="s">
        <v>53</v>
      </c>
      <c r="L4108" t="s">
        <v>60</v>
      </c>
      <c r="O4108">
        <v>1</v>
      </c>
      <c r="P4108">
        <v>0</v>
      </c>
      <c r="Q4108">
        <v>0</v>
      </c>
      <c r="R4108">
        <v>0</v>
      </c>
      <c r="V4108">
        <v>1</v>
      </c>
      <c r="W4108" t="s">
        <v>273</v>
      </c>
      <c r="AA4108">
        <v>2007</v>
      </c>
      <c r="AB4108">
        <v>9999</v>
      </c>
      <c r="AC4108" t="s">
        <v>35</v>
      </c>
    </row>
    <row r="4109" spans="1:29" x14ac:dyDescent="0.25">
      <c r="A4109" s="31" t="s">
        <v>274</v>
      </c>
      <c r="B4109" s="23" t="s">
        <v>275</v>
      </c>
      <c r="C4109" t="s">
        <v>276</v>
      </c>
      <c r="D4109">
        <v>1</v>
      </c>
      <c r="E4109" t="s">
        <v>51</v>
      </c>
      <c r="F4109">
        <v>10</v>
      </c>
      <c r="G4109">
        <v>2011</v>
      </c>
      <c r="I4109">
        <v>6.03</v>
      </c>
      <c r="J4109" s="2" t="s">
        <v>40</v>
      </c>
      <c r="K4109" t="s">
        <v>41</v>
      </c>
      <c r="O4109">
        <v>0</v>
      </c>
      <c r="P4109">
        <v>0</v>
      </c>
      <c r="Q4109">
        <v>0</v>
      </c>
      <c r="R4109">
        <v>0</v>
      </c>
      <c r="W4109" t="s">
        <v>1080</v>
      </c>
      <c r="AA4109">
        <v>2007</v>
      </c>
      <c r="AB4109">
        <v>9999</v>
      </c>
      <c r="AC4109" t="s">
        <v>35</v>
      </c>
    </row>
    <row r="4110" spans="1:29" x14ac:dyDescent="0.25">
      <c r="A4110" s="31" t="s">
        <v>278</v>
      </c>
      <c r="B4110" s="23" t="s">
        <v>279</v>
      </c>
      <c r="D4110">
        <v>1</v>
      </c>
      <c r="E4110" t="s">
        <v>103</v>
      </c>
      <c r="F4110">
        <v>9</v>
      </c>
      <c r="G4110">
        <v>2011</v>
      </c>
      <c r="I4110">
        <v>631.34</v>
      </c>
      <c r="J4110" t="s">
        <v>104</v>
      </c>
      <c r="K4110" t="s">
        <v>53</v>
      </c>
      <c r="L4110" t="s">
        <v>105</v>
      </c>
      <c r="O4110">
        <v>0</v>
      </c>
      <c r="P4110">
        <v>1</v>
      </c>
      <c r="Q4110">
        <v>0</v>
      </c>
      <c r="R4110">
        <v>0</v>
      </c>
      <c r="W4110" t="s">
        <v>106</v>
      </c>
      <c r="AA4110">
        <v>2007</v>
      </c>
      <c r="AB4110">
        <v>9999</v>
      </c>
      <c r="AC4110" t="s">
        <v>35</v>
      </c>
    </row>
    <row r="4111" spans="1:29" x14ac:dyDescent="0.25">
      <c r="A4111" s="31" t="s">
        <v>280</v>
      </c>
      <c r="B4111" s="23" t="s">
        <v>281</v>
      </c>
      <c r="D4111">
        <v>1</v>
      </c>
      <c r="E4111" t="s">
        <v>103</v>
      </c>
      <c r="F4111">
        <v>9</v>
      </c>
      <c r="G4111">
        <v>2011</v>
      </c>
      <c r="I4111">
        <v>635.08000000000004</v>
      </c>
      <c r="J4111" t="s">
        <v>104</v>
      </c>
      <c r="K4111" t="s">
        <v>53</v>
      </c>
      <c r="L4111" t="s">
        <v>105</v>
      </c>
      <c r="O4111">
        <v>0</v>
      </c>
      <c r="P4111">
        <v>1</v>
      </c>
      <c r="Q4111">
        <v>0</v>
      </c>
      <c r="R4111">
        <v>0</v>
      </c>
      <c r="W4111" t="s">
        <v>106</v>
      </c>
      <c r="AA4111">
        <v>2007</v>
      </c>
      <c r="AB4111">
        <v>9999</v>
      </c>
      <c r="AC4111" t="s">
        <v>35</v>
      </c>
    </row>
    <row r="4112" spans="1:29" x14ac:dyDescent="0.25">
      <c r="A4112" s="31" t="s">
        <v>282</v>
      </c>
      <c r="B4112" s="23" t="s">
        <v>283</v>
      </c>
      <c r="D4112">
        <v>1</v>
      </c>
      <c r="E4112" t="s">
        <v>103</v>
      </c>
      <c r="F4112">
        <v>9</v>
      </c>
      <c r="G4112">
        <v>2011</v>
      </c>
      <c r="I4112">
        <v>577.26</v>
      </c>
      <c r="J4112" t="s">
        <v>104</v>
      </c>
      <c r="K4112" t="s">
        <v>53</v>
      </c>
      <c r="L4112" t="s">
        <v>105</v>
      </c>
      <c r="O4112">
        <v>0</v>
      </c>
      <c r="P4112">
        <v>1</v>
      </c>
      <c r="Q4112">
        <v>0</v>
      </c>
      <c r="R4112">
        <v>0</v>
      </c>
      <c r="W4112" t="s">
        <v>106</v>
      </c>
      <c r="AA4112">
        <v>2007</v>
      </c>
      <c r="AB4112">
        <v>9999</v>
      </c>
      <c r="AC4112" t="s">
        <v>35</v>
      </c>
    </row>
    <row r="4113" spans="1:29" x14ac:dyDescent="0.25">
      <c r="A4113" s="31" t="s">
        <v>284</v>
      </c>
      <c r="B4113" s="23" t="s">
        <v>285</v>
      </c>
      <c r="D4113">
        <v>1</v>
      </c>
      <c r="E4113" t="s">
        <v>103</v>
      </c>
      <c r="F4113">
        <v>9</v>
      </c>
      <c r="G4113">
        <v>2011</v>
      </c>
      <c r="I4113">
        <v>517.13</v>
      </c>
      <c r="J4113" t="s">
        <v>104</v>
      </c>
      <c r="K4113" t="s">
        <v>53</v>
      </c>
      <c r="L4113" t="s">
        <v>105</v>
      </c>
      <c r="O4113">
        <v>0</v>
      </c>
      <c r="P4113">
        <v>1</v>
      </c>
      <c r="Q4113">
        <v>0</v>
      </c>
      <c r="R4113">
        <v>0</v>
      </c>
      <c r="W4113" t="s">
        <v>106</v>
      </c>
      <c r="AA4113">
        <v>2007</v>
      </c>
      <c r="AB4113">
        <v>9999</v>
      </c>
      <c r="AC4113" t="s">
        <v>35</v>
      </c>
    </row>
    <row r="4114" spans="1:29" x14ac:dyDescent="0.25">
      <c r="A4114" s="31" t="s">
        <v>288</v>
      </c>
      <c r="B4114" s="23" t="s">
        <v>289</v>
      </c>
      <c r="D4114">
        <v>1</v>
      </c>
      <c r="E4114" t="s">
        <v>103</v>
      </c>
      <c r="F4114">
        <v>9</v>
      </c>
      <c r="G4114">
        <v>2011</v>
      </c>
      <c r="I4114">
        <v>446.66</v>
      </c>
      <c r="J4114" t="s">
        <v>104</v>
      </c>
      <c r="K4114" t="s">
        <v>53</v>
      </c>
      <c r="L4114" t="s">
        <v>105</v>
      </c>
      <c r="O4114">
        <v>0</v>
      </c>
      <c r="P4114">
        <v>1</v>
      </c>
      <c r="Q4114">
        <v>0</v>
      </c>
      <c r="R4114">
        <v>0</v>
      </c>
      <c r="W4114" t="s">
        <v>106</v>
      </c>
      <c r="AA4114">
        <v>2007</v>
      </c>
      <c r="AB4114">
        <v>9999</v>
      </c>
      <c r="AC4114" t="s">
        <v>35</v>
      </c>
    </row>
    <row r="4115" spans="1:29" x14ac:dyDescent="0.25">
      <c r="A4115" s="31" t="s">
        <v>288</v>
      </c>
      <c r="B4115" s="23" t="s">
        <v>290</v>
      </c>
      <c r="D4115">
        <v>1</v>
      </c>
      <c r="E4115" t="s">
        <v>103</v>
      </c>
      <c r="F4115">
        <v>9</v>
      </c>
      <c r="G4115">
        <v>2011</v>
      </c>
      <c r="I4115">
        <v>463.88</v>
      </c>
      <c r="J4115" t="s">
        <v>104</v>
      </c>
      <c r="K4115" t="s">
        <v>53</v>
      </c>
      <c r="L4115" t="s">
        <v>105</v>
      </c>
      <c r="O4115">
        <v>0</v>
      </c>
      <c r="P4115">
        <v>1</v>
      </c>
      <c r="Q4115">
        <v>0</v>
      </c>
      <c r="R4115">
        <v>0</v>
      </c>
      <c r="W4115" t="s">
        <v>106</v>
      </c>
      <c r="AA4115">
        <v>2007</v>
      </c>
      <c r="AB4115">
        <v>9999</v>
      </c>
      <c r="AC4115" t="s">
        <v>35</v>
      </c>
    </row>
    <row r="4116" spans="1:29" x14ac:dyDescent="0.25">
      <c r="A4116" s="31" t="s">
        <v>291</v>
      </c>
      <c r="B4116" s="23" t="s">
        <v>292</v>
      </c>
      <c r="D4116">
        <v>1</v>
      </c>
      <c r="E4116" t="s">
        <v>103</v>
      </c>
      <c r="F4116">
        <v>9</v>
      </c>
      <c r="G4116">
        <v>2011</v>
      </c>
      <c r="I4116">
        <v>182</v>
      </c>
      <c r="J4116" t="s">
        <v>104</v>
      </c>
      <c r="K4116" t="s">
        <v>53</v>
      </c>
      <c r="L4116" t="s">
        <v>105</v>
      </c>
      <c r="O4116">
        <v>0</v>
      </c>
      <c r="P4116">
        <v>1</v>
      </c>
      <c r="Q4116">
        <v>0</v>
      </c>
      <c r="R4116">
        <v>0</v>
      </c>
      <c r="W4116" t="s">
        <v>106</v>
      </c>
      <c r="AA4116">
        <v>2007</v>
      </c>
      <c r="AB4116">
        <v>2013</v>
      </c>
      <c r="AC4116" t="s">
        <v>139</v>
      </c>
    </row>
    <row r="4117" spans="1:29" x14ac:dyDescent="0.25">
      <c r="A4117" s="31" t="s">
        <v>293</v>
      </c>
      <c r="B4117" s="23" t="s">
        <v>294</v>
      </c>
      <c r="D4117">
        <v>1</v>
      </c>
      <c r="E4117" t="s">
        <v>103</v>
      </c>
      <c r="F4117">
        <v>9</v>
      </c>
      <c r="G4117">
        <v>2011</v>
      </c>
      <c r="I4117">
        <v>489.81</v>
      </c>
      <c r="J4117" t="s">
        <v>104</v>
      </c>
      <c r="K4117" t="s">
        <v>53</v>
      </c>
      <c r="L4117" t="s">
        <v>105</v>
      </c>
      <c r="O4117">
        <v>0</v>
      </c>
      <c r="P4117">
        <v>1</v>
      </c>
      <c r="Q4117">
        <v>0</v>
      </c>
      <c r="R4117">
        <v>0</v>
      </c>
      <c r="W4117" t="s">
        <v>106</v>
      </c>
      <c r="AA4117">
        <v>2007</v>
      </c>
      <c r="AB4117">
        <v>9999</v>
      </c>
      <c r="AC4117" t="s">
        <v>35</v>
      </c>
    </row>
    <row r="4118" spans="1:29" x14ac:dyDescent="0.25">
      <c r="A4118" s="31" t="s">
        <v>295</v>
      </c>
      <c r="B4118" s="23" t="s">
        <v>296</v>
      </c>
      <c r="D4118">
        <v>1</v>
      </c>
      <c r="E4118" t="s">
        <v>128</v>
      </c>
      <c r="F4118">
        <v>9</v>
      </c>
      <c r="G4118">
        <v>2011</v>
      </c>
      <c r="H4118" t="s">
        <v>297</v>
      </c>
      <c r="I4118">
        <v>0.3</v>
      </c>
      <c r="J4118" t="s">
        <v>104</v>
      </c>
      <c r="K4118" t="s">
        <v>41</v>
      </c>
      <c r="O4118">
        <v>0</v>
      </c>
      <c r="P4118">
        <v>0</v>
      </c>
      <c r="Q4118">
        <v>0</v>
      </c>
      <c r="R4118">
        <v>0</v>
      </c>
      <c r="W4118" t="s">
        <v>1081</v>
      </c>
      <c r="AA4118">
        <v>2007</v>
      </c>
      <c r="AB4118">
        <v>9999</v>
      </c>
      <c r="AC4118" t="s">
        <v>35</v>
      </c>
    </row>
    <row r="4119" spans="1:29" x14ac:dyDescent="0.25">
      <c r="A4119" s="31" t="s">
        <v>299</v>
      </c>
      <c r="B4119" s="23" t="s">
        <v>297</v>
      </c>
      <c r="D4119">
        <v>1</v>
      </c>
      <c r="E4119" t="s">
        <v>300</v>
      </c>
      <c r="F4119">
        <v>9</v>
      </c>
      <c r="G4119">
        <v>2011</v>
      </c>
      <c r="I4119">
        <v>135.91</v>
      </c>
      <c r="J4119" t="s">
        <v>104</v>
      </c>
      <c r="K4119" t="s">
        <v>32</v>
      </c>
      <c r="O4119">
        <v>0</v>
      </c>
      <c r="P4119">
        <v>0</v>
      </c>
      <c r="Q4119">
        <v>0</v>
      </c>
      <c r="R4119">
        <v>0</v>
      </c>
      <c r="W4119" t="s">
        <v>1082</v>
      </c>
      <c r="AA4119">
        <v>2007</v>
      </c>
      <c r="AB4119">
        <v>2012</v>
      </c>
      <c r="AC4119" t="s">
        <v>302</v>
      </c>
    </row>
    <row r="4120" spans="1:29" x14ac:dyDescent="0.25">
      <c r="A4120" s="31" t="s">
        <v>153</v>
      </c>
      <c r="B4120" s="23" t="s">
        <v>303</v>
      </c>
      <c r="D4120">
        <v>1</v>
      </c>
      <c r="E4120" t="s">
        <v>155</v>
      </c>
      <c r="F4120">
        <v>3</v>
      </c>
      <c r="G4120">
        <v>2011</v>
      </c>
      <c r="I4120">
        <v>86.496426235176997</v>
      </c>
      <c r="J4120" t="s">
        <v>121</v>
      </c>
      <c r="K4120" t="s">
        <v>53</v>
      </c>
      <c r="L4120" t="s">
        <v>60</v>
      </c>
      <c r="O4120">
        <v>1</v>
      </c>
      <c r="P4120">
        <v>0</v>
      </c>
      <c r="Q4120">
        <v>0</v>
      </c>
      <c r="R4120">
        <v>0</v>
      </c>
      <c r="V4120">
        <v>1</v>
      </c>
      <c r="W4120" t="s">
        <v>304</v>
      </c>
      <c r="AA4120">
        <v>2007</v>
      </c>
      <c r="AB4120">
        <v>9999</v>
      </c>
      <c r="AC4120" t="s">
        <v>35</v>
      </c>
    </row>
    <row r="4121" spans="1:29" x14ac:dyDescent="0.25">
      <c r="A4121" s="31" t="s">
        <v>153</v>
      </c>
      <c r="B4121" s="23" t="s">
        <v>1357</v>
      </c>
      <c r="D4121">
        <v>1</v>
      </c>
      <c r="E4121" t="s">
        <v>155</v>
      </c>
      <c r="F4121">
        <v>3</v>
      </c>
      <c r="G4121">
        <v>2011</v>
      </c>
      <c r="I4121">
        <v>82.959106719367</v>
      </c>
      <c r="J4121" t="s">
        <v>121</v>
      </c>
      <c r="K4121" t="s">
        <v>53</v>
      </c>
      <c r="L4121" t="s">
        <v>60</v>
      </c>
      <c r="O4121">
        <v>1</v>
      </c>
      <c r="P4121">
        <v>0</v>
      </c>
      <c r="Q4121">
        <v>0</v>
      </c>
      <c r="R4121">
        <v>0</v>
      </c>
      <c r="V4121">
        <v>1</v>
      </c>
      <c r="W4121" t="s">
        <v>645</v>
      </c>
      <c r="AA4121">
        <v>2007</v>
      </c>
      <c r="AB4121">
        <v>9999</v>
      </c>
      <c r="AC4121" t="s">
        <v>35</v>
      </c>
    </row>
    <row r="4122" spans="1:29" x14ac:dyDescent="0.25">
      <c r="A4122" s="31" t="s">
        <v>305</v>
      </c>
      <c r="B4122" s="23" t="s">
        <v>306</v>
      </c>
      <c r="D4122">
        <v>1</v>
      </c>
      <c r="E4122" t="s">
        <v>103</v>
      </c>
      <c r="F4122">
        <v>9</v>
      </c>
      <c r="G4122">
        <v>2011</v>
      </c>
      <c r="I4122">
        <v>103.35</v>
      </c>
      <c r="J4122" s="2" t="s">
        <v>104</v>
      </c>
      <c r="K4122" t="s">
        <v>53</v>
      </c>
      <c r="L4122" t="s">
        <v>105</v>
      </c>
      <c r="O4122">
        <v>0</v>
      </c>
      <c r="P4122">
        <v>1</v>
      </c>
      <c r="Q4122">
        <v>0</v>
      </c>
      <c r="R4122">
        <v>0</v>
      </c>
      <c r="W4122" t="s">
        <v>106</v>
      </c>
      <c r="AA4122">
        <v>2007</v>
      </c>
      <c r="AB4122">
        <v>9999</v>
      </c>
      <c r="AC4122" t="s">
        <v>35</v>
      </c>
    </row>
    <row r="4123" spans="1:29" x14ac:dyDescent="0.25">
      <c r="A4123" s="31" t="s">
        <v>307</v>
      </c>
      <c r="B4123" s="23" t="s">
        <v>308</v>
      </c>
      <c r="D4123">
        <v>1</v>
      </c>
      <c r="E4123" t="s">
        <v>309</v>
      </c>
      <c r="F4123">
        <v>10</v>
      </c>
      <c r="G4123">
        <v>2011</v>
      </c>
      <c r="I4123">
        <v>55.25</v>
      </c>
      <c r="J4123" t="s">
        <v>59</v>
      </c>
      <c r="K4123" t="s">
        <v>47</v>
      </c>
      <c r="O4123">
        <v>0</v>
      </c>
      <c r="P4123">
        <v>0</v>
      </c>
      <c r="Q4123">
        <v>0</v>
      </c>
      <c r="R4123">
        <v>0</v>
      </c>
      <c r="W4123" t="s">
        <v>1083</v>
      </c>
      <c r="AA4123">
        <v>2007</v>
      </c>
      <c r="AB4123">
        <v>9999</v>
      </c>
      <c r="AC4123" t="s">
        <v>35</v>
      </c>
    </row>
    <row r="4124" spans="1:29" x14ac:dyDescent="0.25">
      <c r="A4124" s="31" t="s">
        <v>1294</v>
      </c>
      <c r="B4124" s="23" t="s">
        <v>1295</v>
      </c>
      <c r="C4124" t="s">
        <v>1296</v>
      </c>
      <c r="D4124">
        <v>1</v>
      </c>
      <c r="E4124" t="s">
        <v>95</v>
      </c>
      <c r="F4124">
        <v>10</v>
      </c>
      <c r="G4124">
        <v>2011</v>
      </c>
      <c r="I4124">
        <v>43.34</v>
      </c>
      <c r="J4124" t="s">
        <v>40</v>
      </c>
      <c r="K4124" t="s">
        <v>47</v>
      </c>
      <c r="O4124">
        <v>0</v>
      </c>
      <c r="P4124">
        <v>0</v>
      </c>
      <c r="Q4124">
        <v>0</v>
      </c>
      <c r="R4124">
        <v>0</v>
      </c>
      <c r="W4124" t="s">
        <v>1297</v>
      </c>
      <c r="AA4124">
        <v>2010</v>
      </c>
      <c r="AB4124">
        <v>9999</v>
      </c>
      <c r="AC4124" t="s">
        <v>1292</v>
      </c>
    </row>
    <row r="4125" spans="1:29" x14ac:dyDescent="0.25">
      <c r="A4125" s="31" t="s">
        <v>311</v>
      </c>
      <c r="B4125" s="23" t="s">
        <v>312</v>
      </c>
      <c r="C4125" t="s">
        <v>313</v>
      </c>
      <c r="D4125">
        <v>1</v>
      </c>
      <c r="E4125" t="s">
        <v>314</v>
      </c>
      <c r="F4125">
        <v>2</v>
      </c>
      <c r="G4125">
        <v>2011</v>
      </c>
      <c r="I4125">
        <v>23</v>
      </c>
      <c r="J4125" t="s">
        <v>176</v>
      </c>
      <c r="K4125" t="s">
        <v>47</v>
      </c>
      <c r="O4125">
        <v>0</v>
      </c>
      <c r="P4125">
        <v>0</v>
      </c>
      <c r="Q4125">
        <v>0</v>
      </c>
      <c r="R4125">
        <v>0</v>
      </c>
      <c r="W4125" t="s">
        <v>1358</v>
      </c>
      <c r="AA4125">
        <v>2007</v>
      </c>
      <c r="AB4125">
        <v>9999</v>
      </c>
      <c r="AC4125" t="s">
        <v>35</v>
      </c>
    </row>
    <row r="4126" spans="1:29" x14ac:dyDescent="0.25">
      <c r="A4126" s="31" t="s">
        <v>316</v>
      </c>
      <c r="B4126" s="23" t="s">
        <v>317</v>
      </c>
      <c r="D4126">
        <v>1</v>
      </c>
      <c r="E4126" t="s">
        <v>318</v>
      </c>
      <c r="F4126">
        <v>4</v>
      </c>
      <c r="G4126">
        <v>2011</v>
      </c>
      <c r="I4126">
        <v>28.45</v>
      </c>
      <c r="J4126" t="s">
        <v>59</v>
      </c>
      <c r="K4126" t="s">
        <v>47</v>
      </c>
      <c r="O4126">
        <v>0</v>
      </c>
      <c r="P4126">
        <v>0</v>
      </c>
      <c r="Q4126">
        <v>0</v>
      </c>
      <c r="R4126">
        <v>0</v>
      </c>
      <c r="W4126" t="s">
        <v>1085</v>
      </c>
      <c r="AA4126">
        <v>2007</v>
      </c>
      <c r="AB4126">
        <v>9999</v>
      </c>
      <c r="AC4126" t="s">
        <v>35</v>
      </c>
    </row>
    <row r="4127" spans="1:29" x14ac:dyDescent="0.25">
      <c r="A4127" s="31" t="s">
        <v>324</v>
      </c>
      <c r="B4127" s="23" t="s">
        <v>325</v>
      </c>
      <c r="D4127">
        <v>1</v>
      </c>
      <c r="E4127" t="s">
        <v>103</v>
      </c>
      <c r="F4127">
        <v>9</v>
      </c>
      <c r="G4127">
        <v>2011</v>
      </c>
      <c r="I4127">
        <v>83.25</v>
      </c>
      <c r="J4127" t="s">
        <v>104</v>
      </c>
      <c r="K4127" t="s">
        <v>47</v>
      </c>
      <c r="O4127">
        <v>0</v>
      </c>
      <c r="P4127">
        <v>0</v>
      </c>
      <c r="Q4127">
        <v>0</v>
      </c>
      <c r="R4127">
        <v>0</v>
      </c>
      <c r="W4127" t="s">
        <v>1086</v>
      </c>
      <c r="AA4127">
        <v>2007</v>
      </c>
      <c r="AB4127">
        <v>9999</v>
      </c>
      <c r="AC4127" t="s">
        <v>35</v>
      </c>
    </row>
    <row r="4128" spans="1:29" x14ac:dyDescent="0.25">
      <c r="A4128" s="31" t="s">
        <v>327</v>
      </c>
      <c r="B4128" s="23" t="s">
        <v>328</v>
      </c>
      <c r="D4128">
        <v>1</v>
      </c>
      <c r="E4128" t="s">
        <v>80</v>
      </c>
      <c r="F4128">
        <v>8</v>
      </c>
      <c r="G4128">
        <v>2011</v>
      </c>
      <c r="I4128">
        <v>77.319999999999993</v>
      </c>
      <c r="J4128" t="s">
        <v>81</v>
      </c>
      <c r="K4128" t="s">
        <v>47</v>
      </c>
      <c r="O4128">
        <v>0</v>
      </c>
      <c r="P4128">
        <v>0</v>
      </c>
      <c r="Q4128">
        <v>0</v>
      </c>
      <c r="R4128">
        <v>0</v>
      </c>
      <c r="W4128" t="s">
        <v>1087</v>
      </c>
      <c r="AA4128">
        <v>2007</v>
      </c>
      <c r="AB4128">
        <v>9999</v>
      </c>
      <c r="AC4128" t="s">
        <v>35</v>
      </c>
    </row>
    <row r="4129" spans="1:29" ht="30" x14ac:dyDescent="0.25">
      <c r="A4129" s="31" t="s">
        <v>333</v>
      </c>
      <c r="B4129" s="23" t="s">
        <v>334</v>
      </c>
      <c r="D4129">
        <v>1</v>
      </c>
      <c r="E4129" t="s">
        <v>335</v>
      </c>
      <c r="F4129">
        <v>1</v>
      </c>
      <c r="G4129">
        <v>2011</v>
      </c>
      <c r="I4129">
        <v>13.8</v>
      </c>
      <c r="J4129" t="s">
        <v>176</v>
      </c>
      <c r="K4129" t="s">
        <v>47</v>
      </c>
      <c r="O4129">
        <v>0</v>
      </c>
      <c r="P4129">
        <v>0</v>
      </c>
      <c r="Q4129">
        <v>0</v>
      </c>
      <c r="R4129">
        <v>0</v>
      </c>
      <c r="W4129" t="s">
        <v>1089</v>
      </c>
      <c r="AA4129">
        <v>2007</v>
      </c>
      <c r="AB4129">
        <v>2012</v>
      </c>
      <c r="AC4129" t="s">
        <v>302</v>
      </c>
    </row>
    <row r="4130" spans="1:29" ht="30" x14ac:dyDescent="0.25">
      <c r="A4130" s="31" t="s">
        <v>343</v>
      </c>
      <c r="B4130" s="23" t="s">
        <v>344</v>
      </c>
      <c r="D4130">
        <v>1</v>
      </c>
      <c r="E4130" t="s">
        <v>300</v>
      </c>
      <c r="F4130">
        <v>9</v>
      </c>
      <c r="G4130">
        <v>2011</v>
      </c>
      <c r="I4130">
        <v>69.400000000000006</v>
      </c>
      <c r="J4130" t="s">
        <v>104</v>
      </c>
      <c r="K4130" t="s">
        <v>47</v>
      </c>
      <c r="O4130">
        <v>0</v>
      </c>
      <c r="P4130">
        <v>0</v>
      </c>
      <c r="Q4130">
        <v>0</v>
      </c>
      <c r="R4130">
        <v>0</v>
      </c>
      <c r="W4130" t="s">
        <v>1359</v>
      </c>
      <c r="AA4130">
        <v>2007</v>
      </c>
      <c r="AB4130">
        <v>2012</v>
      </c>
      <c r="AC4130" t="s">
        <v>302</v>
      </c>
    </row>
    <row r="4131" spans="1:29" x14ac:dyDescent="0.25">
      <c r="A4131" s="31" t="s">
        <v>346</v>
      </c>
      <c r="B4131" s="23" t="s">
        <v>347</v>
      </c>
      <c r="D4131">
        <v>1</v>
      </c>
      <c r="E4131" t="s">
        <v>348</v>
      </c>
      <c r="F4131">
        <v>1</v>
      </c>
      <c r="G4131">
        <v>2011</v>
      </c>
      <c r="I4131">
        <v>26.25</v>
      </c>
      <c r="J4131" t="s">
        <v>121</v>
      </c>
      <c r="K4131" t="s">
        <v>47</v>
      </c>
      <c r="O4131">
        <v>0</v>
      </c>
      <c r="P4131">
        <v>0</v>
      </c>
      <c r="Q4131">
        <v>0</v>
      </c>
      <c r="R4131">
        <v>0</v>
      </c>
      <c r="W4131" t="s">
        <v>349</v>
      </c>
      <c r="AA4131">
        <v>2007</v>
      </c>
      <c r="AB4131">
        <v>9999</v>
      </c>
      <c r="AC4131" t="s">
        <v>35</v>
      </c>
    </row>
    <row r="4132" spans="1:29" x14ac:dyDescent="0.25">
      <c r="A4132" s="31" t="s">
        <v>199</v>
      </c>
      <c r="B4132" s="23" t="s">
        <v>39</v>
      </c>
      <c r="D4132">
        <v>1</v>
      </c>
      <c r="E4132" t="s">
        <v>358</v>
      </c>
      <c r="F4132">
        <v>1</v>
      </c>
      <c r="G4132">
        <v>2011</v>
      </c>
      <c r="I4132">
        <v>230.98</v>
      </c>
      <c r="J4132" t="s">
        <v>52</v>
      </c>
      <c r="K4132" t="s">
        <v>47</v>
      </c>
      <c r="O4132">
        <v>0</v>
      </c>
      <c r="P4132">
        <v>0</v>
      </c>
      <c r="Q4132">
        <v>0</v>
      </c>
      <c r="R4132">
        <v>0</v>
      </c>
      <c r="W4132" t="s">
        <v>1094</v>
      </c>
      <c r="AA4132">
        <v>2007</v>
      </c>
      <c r="AB4132">
        <v>9999</v>
      </c>
      <c r="AC4132" t="s">
        <v>35</v>
      </c>
    </row>
    <row r="4133" spans="1:29" x14ac:dyDescent="0.25">
      <c r="A4133" s="31" t="s">
        <v>153</v>
      </c>
      <c r="B4133" s="23" t="s">
        <v>360</v>
      </c>
      <c r="D4133">
        <v>4</v>
      </c>
      <c r="E4133" t="s">
        <v>155</v>
      </c>
      <c r="F4133">
        <v>3</v>
      </c>
      <c r="G4133">
        <v>2011</v>
      </c>
      <c r="I4133">
        <v>414.63581373517695</v>
      </c>
      <c r="J4133" t="s">
        <v>121</v>
      </c>
      <c r="K4133" t="s">
        <v>53</v>
      </c>
      <c r="L4133" t="s">
        <v>60</v>
      </c>
      <c r="O4133">
        <v>1</v>
      </c>
      <c r="P4133">
        <v>0</v>
      </c>
      <c r="Q4133">
        <v>0</v>
      </c>
      <c r="R4133">
        <v>0</v>
      </c>
      <c r="V4133">
        <v>1</v>
      </c>
      <c r="W4133" t="s">
        <v>361</v>
      </c>
      <c r="AA4133">
        <v>2007</v>
      </c>
      <c r="AB4133">
        <v>9999</v>
      </c>
      <c r="AC4133" t="s">
        <v>35</v>
      </c>
    </row>
    <row r="4134" spans="1:29" x14ac:dyDescent="0.25">
      <c r="A4134" s="31" t="s">
        <v>362</v>
      </c>
      <c r="B4134" s="23" t="s">
        <v>363</v>
      </c>
      <c r="D4134">
        <v>1</v>
      </c>
      <c r="E4134" t="s">
        <v>103</v>
      </c>
      <c r="F4134">
        <v>9</v>
      </c>
      <c r="G4134">
        <v>2011</v>
      </c>
      <c r="I4134">
        <v>1057.68</v>
      </c>
      <c r="J4134" t="s">
        <v>104</v>
      </c>
      <c r="K4134" t="s">
        <v>53</v>
      </c>
      <c r="L4134" t="s">
        <v>105</v>
      </c>
      <c r="O4134">
        <v>0</v>
      </c>
      <c r="P4134">
        <v>1</v>
      </c>
      <c r="Q4134">
        <v>0</v>
      </c>
      <c r="R4134">
        <v>0</v>
      </c>
      <c r="W4134" t="s">
        <v>106</v>
      </c>
      <c r="AA4134">
        <v>2007</v>
      </c>
      <c r="AB4134">
        <v>9999</v>
      </c>
      <c r="AC4134" t="s">
        <v>35</v>
      </c>
    </row>
    <row r="4135" spans="1:29" x14ac:dyDescent="0.25">
      <c r="A4135" s="31" t="s">
        <v>364</v>
      </c>
      <c r="B4135" s="23" t="s">
        <v>365</v>
      </c>
      <c r="C4135" t="s">
        <v>366</v>
      </c>
      <c r="D4135">
        <v>1</v>
      </c>
      <c r="E4135" t="s">
        <v>103</v>
      </c>
      <c r="F4135">
        <v>9</v>
      </c>
      <c r="G4135">
        <v>2011</v>
      </c>
      <c r="I4135">
        <v>4303.47</v>
      </c>
      <c r="J4135" t="s">
        <v>104</v>
      </c>
      <c r="K4135" t="s">
        <v>53</v>
      </c>
      <c r="L4135" t="s">
        <v>105</v>
      </c>
      <c r="O4135">
        <v>0</v>
      </c>
      <c r="P4135">
        <v>1</v>
      </c>
      <c r="Q4135">
        <v>0</v>
      </c>
      <c r="R4135">
        <v>0</v>
      </c>
      <c r="W4135" t="s">
        <v>106</v>
      </c>
      <c r="AA4135">
        <v>2007</v>
      </c>
      <c r="AB4135">
        <v>9999</v>
      </c>
      <c r="AC4135" t="s">
        <v>35</v>
      </c>
    </row>
    <row r="4136" spans="1:29" x14ac:dyDescent="0.25">
      <c r="A4136" s="31" t="s">
        <v>367</v>
      </c>
      <c r="B4136" s="23" t="s">
        <v>368</v>
      </c>
      <c r="C4136" t="s">
        <v>369</v>
      </c>
      <c r="D4136">
        <v>1</v>
      </c>
      <c r="E4136" t="s">
        <v>370</v>
      </c>
      <c r="F4136">
        <v>5</v>
      </c>
      <c r="G4136">
        <v>2011</v>
      </c>
      <c r="I4136">
        <v>194.76</v>
      </c>
      <c r="J4136" t="s">
        <v>31</v>
      </c>
      <c r="K4136" t="s">
        <v>47</v>
      </c>
      <c r="O4136">
        <v>0</v>
      </c>
      <c r="P4136">
        <v>0</v>
      </c>
      <c r="Q4136">
        <v>0</v>
      </c>
      <c r="R4136">
        <v>0</v>
      </c>
      <c r="W4136" t="s">
        <v>1298</v>
      </c>
      <c r="AA4136">
        <v>2007</v>
      </c>
      <c r="AB4136">
        <v>9999</v>
      </c>
      <c r="AC4136" t="s">
        <v>35</v>
      </c>
    </row>
    <row r="4137" spans="1:29" x14ac:dyDescent="0.25">
      <c r="A4137" s="31" t="s">
        <v>372</v>
      </c>
      <c r="B4137" s="23" t="s">
        <v>373</v>
      </c>
      <c r="D4137">
        <v>1</v>
      </c>
      <c r="E4137" t="s">
        <v>45</v>
      </c>
      <c r="F4137">
        <v>4</v>
      </c>
      <c r="G4137">
        <v>2011</v>
      </c>
      <c r="I4137">
        <v>92.1</v>
      </c>
      <c r="J4137" t="s">
        <v>176</v>
      </c>
      <c r="K4137" t="s">
        <v>47</v>
      </c>
      <c r="O4137">
        <v>0</v>
      </c>
      <c r="P4137">
        <v>0</v>
      </c>
      <c r="Q4137">
        <v>0</v>
      </c>
      <c r="R4137">
        <v>0</v>
      </c>
      <c r="W4137" t="s">
        <v>1299</v>
      </c>
      <c r="AA4137">
        <v>2007</v>
      </c>
      <c r="AB4137">
        <v>9999</v>
      </c>
      <c r="AC4137" t="s">
        <v>35</v>
      </c>
    </row>
    <row r="4138" spans="1:29" x14ac:dyDescent="0.25">
      <c r="A4138" s="31" t="s">
        <v>1241</v>
      </c>
      <c r="B4138" s="23" t="s">
        <v>1242</v>
      </c>
      <c r="D4138">
        <v>1</v>
      </c>
      <c r="E4138" t="s">
        <v>977</v>
      </c>
      <c r="F4138">
        <v>1</v>
      </c>
      <c r="G4138">
        <v>2011</v>
      </c>
      <c r="I4138">
        <v>14.5</v>
      </c>
      <c r="J4138" t="s">
        <v>52</v>
      </c>
      <c r="K4138" t="s">
        <v>47</v>
      </c>
      <c r="O4138">
        <v>0</v>
      </c>
      <c r="P4138">
        <v>0</v>
      </c>
      <c r="Q4138">
        <v>0</v>
      </c>
      <c r="R4138">
        <v>0</v>
      </c>
      <c r="W4138" t="s">
        <v>1243</v>
      </c>
      <c r="AA4138">
        <v>2009</v>
      </c>
      <c r="AB4138">
        <v>2012</v>
      </c>
      <c r="AC4138" t="s">
        <v>1244</v>
      </c>
    </row>
    <row r="4139" spans="1:29" x14ac:dyDescent="0.25">
      <c r="A4139" s="31" t="s">
        <v>375</v>
      </c>
      <c r="B4139" s="23" t="s">
        <v>163</v>
      </c>
      <c r="D4139">
        <v>1</v>
      </c>
      <c r="E4139" t="s">
        <v>168</v>
      </c>
      <c r="F4139">
        <v>1</v>
      </c>
      <c r="G4139">
        <v>2011</v>
      </c>
      <c r="I4139">
        <v>57.2</v>
      </c>
      <c r="J4139" t="s">
        <v>52</v>
      </c>
      <c r="K4139" t="s">
        <v>47</v>
      </c>
      <c r="O4139">
        <v>0</v>
      </c>
      <c r="P4139">
        <v>0</v>
      </c>
      <c r="Q4139">
        <v>0</v>
      </c>
      <c r="R4139">
        <v>0</v>
      </c>
      <c r="W4139" t="s">
        <v>1097</v>
      </c>
      <c r="AA4139">
        <v>2007</v>
      </c>
      <c r="AB4139">
        <v>9999</v>
      </c>
      <c r="AC4139" t="s">
        <v>35</v>
      </c>
    </row>
    <row r="4140" spans="1:29" x14ac:dyDescent="0.25">
      <c r="A4140" s="31" t="s">
        <v>377</v>
      </c>
      <c r="B4140" s="23" t="s">
        <v>378</v>
      </c>
      <c r="D4140">
        <v>1</v>
      </c>
      <c r="E4140" t="s">
        <v>45</v>
      </c>
      <c r="F4140">
        <v>4</v>
      </c>
      <c r="G4140">
        <v>2011</v>
      </c>
      <c r="I4140">
        <v>121.2</v>
      </c>
      <c r="J4140" t="s">
        <v>89</v>
      </c>
      <c r="K4140" t="s">
        <v>47</v>
      </c>
      <c r="O4140">
        <v>0</v>
      </c>
      <c r="P4140">
        <v>0</v>
      </c>
      <c r="Q4140">
        <v>0</v>
      </c>
      <c r="R4140">
        <v>0</v>
      </c>
      <c r="W4140" t="s">
        <v>1098</v>
      </c>
      <c r="AA4140">
        <v>2007</v>
      </c>
      <c r="AB4140">
        <v>9999</v>
      </c>
      <c r="AC4140" t="s">
        <v>35</v>
      </c>
    </row>
    <row r="4141" spans="1:29" x14ac:dyDescent="0.25">
      <c r="A4141" s="31" t="s">
        <v>380</v>
      </c>
      <c r="B4141" s="23" t="s">
        <v>381</v>
      </c>
      <c r="D4141">
        <v>1</v>
      </c>
      <c r="E4141" t="s">
        <v>103</v>
      </c>
      <c r="F4141">
        <v>9</v>
      </c>
      <c r="G4141">
        <v>2011</v>
      </c>
      <c r="I4141">
        <v>140.07</v>
      </c>
      <c r="J4141" t="s">
        <v>104</v>
      </c>
      <c r="K4141" t="s">
        <v>53</v>
      </c>
      <c r="L4141" t="s">
        <v>105</v>
      </c>
      <c r="O4141">
        <v>0</v>
      </c>
      <c r="P4141">
        <v>1</v>
      </c>
      <c r="Q4141">
        <v>0</v>
      </c>
      <c r="R4141">
        <v>0</v>
      </c>
      <c r="W4141" t="s">
        <v>106</v>
      </c>
      <c r="AA4141">
        <v>2007</v>
      </c>
      <c r="AB4141">
        <v>9999</v>
      </c>
      <c r="AC4141" t="s">
        <v>35</v>
      </c>
    </row>
    <row r="4142" spans="1:29" x14ac:dyDescent="0.25">
      <c r="A4142" s="31" t="s">
        <v>382</v>
      </c>
      <c r="B4142" s="23" t="s">
        <v>383</v>
      </c>
      <c r="D4142">
        <v>1</v>
      </c>
      <c r="E4142" t="s">
        <v>80</v>
      </c>
      <c r="F4142">
        <v>8</v>
      </c>
      <c r="G4142">
        <v>2011</v>
      </c>
      <c r="I4142">
        <v>17.05</v>
      </c>
      <c r="J4142" t="s">
        <v>81</v>
      </c>
      <c r="K4142" t="s">
        <v>32</v>
      </c>
      <c r="O4142">
        <v>0</v>
      </c>
      <c r="P4142">
        <v>0</v>
      </c>
      <c r="Q4142">
        <v>0</v>
      </c>
      <c r="R4142">
        <v>0</v>
      </c>
      <c r="W4142" t="s">
        <v>1099</v>
      </c>
      <c r="AA4142">
        <v>2007</v>
      </c>
      <c r="AB4142">
        <v>9999</v>
      </c>
      <c r="AC4142" t="s">
        <v>35</v>
      </c>
    </row>
    <row r="4143" spans="1:29" x14ac:dyDescent="0.25">
      <c r="A4143" s="31" t="s">
        <v>385</v>
      </c>
      <c r="B4143" s="23" t="s">
        <v>386</v>
      </c>
      <c r="D4143">
        <v>1</v>
      </c>
      <c r="E4143" t="s">
        <v>45</v>
      </c>
      <c r="F4143">
        <v>4</v>
      </c>
      <c r="G4143">
        <v>2011</v>
      </c>
      <c r="I4143">
        <v>113.01</v>
      </c>
      <c r="J4143" t="s">
        <v>121</v>
      </c>
      <c r="K4143" t="s">
        <v>47</v>
      </c>
      <c r="O4143">
        <v>0</v>
      </c>
      <c r="P4143">
        <v>0</v>
      </c>
      <c r="Q4143">
        <v>0</v>
      </c>
      <c r="R4143">
        <v>0</v>
      </c>
      <c r="W4143" t="s">
        <v>1300</v>
      </c>
      <c r="AA4143">
        <v>2007</v>
      </c>
      <c r="AB4143">
        <v>9999</v>
      </c>
      <c r="AC4143" t="s">
        <v>35</v>
      </c>
    </row>
    <row r="4144" spans="1:29" x14ac:dyDescent="0.25">
      <c r="A4144" s="31" t="s">
        <v>388</v>
      </c>
      <c r="B4144" s="23" t="s">
        <v>389</v>
      </c>
      <c r="D4144">
        <v>1</v>
      </c>
      <c r="E4144" t="s">
        <v>145</v>
      </c>
      <c r="F4144">
        <v>2</v>
      </c>
      <c r="G4144">
        <v>2011</v>
      </c>
      <c r="H4144" t="s">
        <v>185</v>
      </c>
      <c r="I4144">
        <v>0.1</v>
      </c>
      <c r="J4144" t="s">
        <v>52</v>
      </c>
      <c r="K4144" t="s">
        <v>41</v>
      </c>
      <c r="O4144">
        <v>0</v>
      </c>
      <c r="P4144">
        <v>0</v>
      </c>
      <c r="Q4144">
        <v>0</v>
      </c>
      <c r="R4144">
        <v>0</v>
      </c>
      <c r="W4144" t="s">
        <v>1101</v>
      </c>
      <c r="AA4144">
        <v>2007</v>
      </c>
      <c r="AB4144">
        <v>9999</v>
      </c>
      <c r="AC4144" t="s">
        <v>35</v>
      </c>
    </row>
    <row r="4145" spans="1:29" x14ac:dyDescent="0.25">
      <c r="A4145" s="31" t="s">
        <v>391</v>
      </c>
      <c r="B4145" s="23" t="s">
        <v>392</v>
      </c>
      <c r="D4145">
        <v>1</v>
      </c>
      <c r="E4145" t="s">
        <v>393</v>
      </c>
      <c r="F4145">
        <v>3</v>
      </c>
      <c r="G4145">
        <v>2011</v>
      </c>
      <c r="I4145">
        <v>9102.26</v>
      </c>
      <c r="J4145" t="s">
        <v>121</v>
      </c>
      <c r="K4145" t="s">
        <v>47</v>
      </c>
      <c r="O4145">
        <v>0</v>
      </c>
      <c r="P4145">
        <v>0</v>
      </c>
      <c r="Q4145">
        <v>0</v>
      </c>
      <c r="R4145">
        <v>0</v>
      </c>
      <c r="W4145" t="s">
        <v>1102</v>
      </c>
      <c r="AA4145">
        <v>2007</v>
      </c>
      <c r="AB4145">
        <v>9999</v>
      </c>
      <c r="AC4145" t="s">
        <v>35</v>
      </c>
    </row>
    <row r="4146" spans="1:29" x14ac:dyDescent="0.25">
      <c r="A4146" s="31" t="s">
        <v>391</v>
      </c>
      <c r="B4146" s="23" t="s">
        <v>395</v>
      </c>
      <c r="D4146">
        <v>1</v>
      </c>
      <c r="E4146" t="s">
        <v>396</v>
      </c>
      <c r="F4146">
        <v>3</v>
      </c>
      <c r="G4146">
        <v>2011</v>
      </c>
      <c r="H4146" t="s">
        <v>392</v>
      </c>
      <c r="I4146">
        <v>2</v>
      </c>
      <c r="J4146" t="s">
        <v>121</v>
      </c>
      <c r="K4146" t="s">
        <v>41</v>
      </c>
      <c r="O4146">
        <v>0</v>
      </c>
      <c r="P4146">
        <v>0</v>
      </c>
      <c r="Q4146">
        <v>0</v>
      </c>
      <c r="R4146">
        <v>0</v>
      </c>
      <c r="W4146" t="s">
        <v>1103</v>
      </c>
      <c r="AA4146">
        <v>2007</v>
      </c>
      <c r="AB4146">
        <v>9999</v>
      </c>
      <c r="AC4146" t="s">
        <v>35</v>
      </c>
    </row>
    <row r="4147" spans="1:29" x14ac:dyDescent="0.25">
      <c r="A4147" s="31" t="s">
        <v>401</v>
      </c>
      <c r="B4147" s="23" t="s">
        <v>402</v>
      </c>
      <c r="D4147">
        <v>1</v>
      </c>
      <c r="E4147" t="s">
        <v>155</v>
      </c>
      <c r="F4147">
        <v>3</v>
      </c>
      <c r="G4147">
        <v>2011</v>
      </c>
      <c r="I4147">
        <v>2005.07</v>
      </c>
      <c r="J4147" t="s">
        <v>52</v>
      </c>
      <c r="K4147" t="s">
        <v>47</v>
      </c>
      <c r="O4147">
        <v>0</v>
      </c>
      <c r="P4147">
        <v>0</v>
      </c>
      <c r="Q4147">
        <v>0</v>
      </c>
      <c r="R4147">
        <v>0</v>
      </c>
      <c r="W4147" t="s">
        <v>1105</v>
      </c>
      <c r="AA4147">
        <v>2007</v>
      </c>
      <c r="AB4147">
        <v>9999</v>
      </c>
      <c r="AC4147" t="s">
        <v>35</v>
      </c>
    </row>
    <row r="4148" spans="1:29" x14ac:dyDescent="0.25">
      <c r="A4148" s="31" t="s">
        <v>404</v>
      </c>
      <c r="B4148" s="23" t="s">
        <v>405</v>
      </c>
      <c r="C4148" t="s">
        <v>406</v>
      </c>
      <c r="D4148">
        <v>1</v>
      </c>
      <c r="E4148" t="s">
        <v>358</v>
      </c>
      <c r="F4148">
        <v>1</v>
      </c>
      <c r="G4148">
        <v>2011</v>
      </c>
      <c r="I4148">
        <v>321.5</v>
      </c>
      <c r="J4148" t="s">
        <v>104</v>
      </c>
      <c r="K4148" t="s">
        <v>47</v>
      </c>
      <c r="O4148">
        <v>0</v>
      </c>
      <c r="P4148">
        <v>0</v>
      </c>
      <c r="Q4148">
        <v>0</v>
      </c>
      <c r="R4148">
        <v>0</v>
      </c>
      <c r="W4148" t="s">
        <v>1245</v>
      </c>
      <c r="AA4148">
        <v>2007</v>
      </c>
      <c r="AB4148">
        <v>9999</v>
      </c>
      <c r="AC4148" t="s">
        <v>35</v>
      </c>
    </row>
    <row r="4149" spans="1:29" x14ac:dyDescent="0.25">
      <c r="A4149" s="31" t="s">
        <v>408</v>
      </c>
      <c r="B4149" s="23" t="s">
        <v>409</v>
      </c>
      <c r="D4149">
        <v>1</v>
      </c>
      <c r="E4149" t="s">
        <v>103</v>
      </c>
      <c r="F4149">
        <v>9</v>
      </c>
      <c r="G4149">
        <v>2011</v>
      </c>
      <c r="I4149">
        <v>50.16</v>
      </c>
      <c r="J4149" t="s">
        <v>104</v>
      </c>
      <c r="K4149" t="s">
        <v>53</v>
      </c>
      <c r="L4149" t="s">
        <v>105</v>
      </c>
      <c r="O4149">
        <v>0</v>
      </c>
      <c r="P4149">
        <v>1</v>
      </c>
      <c r="Q4149">
        <v>0</v>
      </c>
      <c r="R4149">
        <v>0</v>
      </c>
      <c r="W4149" t="s">
        <v>106</v>
      </c>
      <c r="AA4149">
        <v>2007</v>
      </c>
      <c r="AB4149">
        <v>9999</v>
      </c>
      <c r="AC4149" t="s">
        <v>35</v>
      </c>
    </row>
    <row r="4150" spans="1:29" x14ac:dyDescent="0.25">
      <c r="A4150" s="31" t="s">
        <v>410</v>
      </c>
      <c r="B4150" s="23" t="s">
        <v>411</v>
      </c>
      <c r="C4150" t="s">
        <v>412</v>
      </c>
      <c r="D4150">
        <v>1</v>
      </c>
      <c r="E4150" t="s">
        <v>103</v>
      </c>
      <c r="F4150">
        <v>9</v>
      </c>
      <c r="G4150">
        <v>2011</v>
      </c>
      <c r="I4150">
        <v>184.62</v>
      </c>
      <c r="J4150" t="s">
        <v>104</v>
      </c>
      <c r="K4150" t="s">
        <v>53</v>
      </c>
      <c r="L4150" t="s">
        <v>105</v>
      </c>
      <c r="O4150">
        <v>0</v>
      </c>
      <c r="P4150">
        <v>1</v>
      </c>
      <c r="Q4150">
        <v>0</v>
      </c>
      <c r="R4150">
        <v>0</v>
      </c>
      <c r="W4150" t="s">
        <v>106</v>
      </c>
      <c r="AA4150">
        <v>2007</v>
      </c>
      <c r="AB4150">
        <v>9999</v>
      </c>
      <c r="AC4150" t="s">
        <v>35</v>
      </c>
    </row>
    <row r="4151" spans="1:29" x14ac:dyDescent="0.25">
      <c r="A4151" s="31" t="s">
        <v>413</v>
      </c>
      <c r="B4151" s="23" t="s">
        <v>414</v>
      </c>
      <c r="C4151" t="s">
        <v>415</v>
      </c>
      <c r="D4151">
        <v>1</v>
      </c>
      <c r="E4151" t="s">
        <v>103</v>
      </c>
      <c r="F4151">
        <v>9</v>
      </c>
      <c r="G4151">
        <v>2011</v>
      </c>
      <c r="I4151">
        <v>3332.59</v>
      </c>
      <c r="J4151" t="s">
        <v>104</v>
      </c>
      <c r="K4151" t="s">
        <v>53</v>
      </c>
      <c r="L4151" t="s">
        <v>105</v>
      </c>
      <c r="O4151">
        <v>0</v>
      </c>
      <c r="P4151">
        <v>1</v>
      </c>
      <c r="Q4151">
        <v>0</v>
      </c>
      <c r="R4151">
        <v>0</v>
      </c>
      <c r="W4151" t="s">
        <v>106</v>
      </c>
      <c r="AA4151">
        <v>2007</v>
      </c>
      <c r="AB4151">
        <v>9999</v>
      </c>
      <c r="AC4151" t="s">
        <v>35</v>
      </c>
    </row>
    <row r="4152" spans="1:29" x14ac:dyDescent="0.25">
      <c r="A4152" s="31" t="s">
        <v>416</v>
      </c>
      <c r="B4152" s="23" t="s">
        <v>417</v>
      </c>
      <c r="C4152" t="s">
        <v>418</v>
      </c>
      <c r="D4152">
        <v>1</v>
      </c>
      <c r="E4152" t="s">
        <v>218</v>
      </c>
      <c r="F4152">
        <v>2</v>
      </c>
      <c r="G4152">
        <v>2011</v>
      </c>
      <c r="I4152">
        <v>726.93</v>
      </c>
      <c r="J4152" t="s">
        <v>147</v>
      </c>
      <c r="K4152" t="s">
        <v>47</v>
      </c>
      <c r="O4152">
        <v>0</v>
      </c>
      <c r="P4152">
        <v>0</v>
      </c>
      <c r="Q4152">
        <v>0</v>
      </c>
      <c r="R4152">
        <v>0</v>
      </c>
      <c r="W4152" t="s">
        <v>1107</v>
      </c>
      <c r="AA4152">
        <v>2007</v>
      </c>
      <c r="AB4152">
        <v>9999</v>
      </c>
      <c r="AC4152" t="s">
        <v>35</v>
      </c>
    </row>
    <row r="4153" spans="1:29" x14ac:dyDescent="0.25">
      <c r="A4153" s="31" t="s">
        <v>420</v>
      </c>
      <c r="B4153" s="23" t="s">
        <v>421</v>
      </c>
      <c r="D4153">
        <v>1</v>
      </c>
      <c r="E4153" t="s">
        <v>38</v>
      </c>
      <c r="F4153">
        <v>4</v>
      </c>
      <c r="G4153">
        <v>2011</v>
      </c>
      <c r="H4153" t="s">
        <v>39</v>
      </c>
      <c r="I4153">
        <v>2.5</v>
      </c>
      <c r="J4153" s="2" t="s">
        <v>31</v>
      </c>
      <c r="K4153" t="s">
        <v>32</v>
      </c>
      <c r="O4153">
        <v>0</v>
      </c>
      <c r="P4153">
        <v>0</v>
      </c>
      <c r="Q4153">
        <v>0</v>
      </c>
      <c r="R4153">
        <v>0</v>
      </c>
      <c r="W4153" t="s">
        <v>1108</v>
      </c>
      <c r="AA4153">
        <v>2007</v>
      </c>
      <c r="AB4153">
        <v>9999</v>
      </c>
      <c r="AC4153" t="s">
        <v>35</v>
      </c>
    </row>
    <row r="4154" spans="1:29" x14ac:dyDescent="0.25">
      <c r="A4154" s="31" t="s">
        <v>423</v>
      </c>
      <c r="B4154" s="23" t="s">
        <v>424</v>
      </c>
      <c r="D4154">
        <v>1</v>
      </c>
      <c r="E4154" t="s">
        <v>85</v>
      </c>
      <c r="F4154">
        <v>1</v>
      </c>
      <c r="G4154">
        <v>2011</v>
      </c>
      <c r="H4154" t="s">
        <v>303</v>
      </c>
      <c r="J4154" t="s">
        <v>121</v>
      </c>
      <c r="K4154" t="s">
        <v>53</v>
      </c>
      <c r="L4154" t="s">
        <v>425</v>
      </c>
      <c r="O4154">
        <v>0</v>
      </c>
      <c r="P4154">
        <v>0</v>
      </c>
      <c r="Q4154">
        <v>0</v>
      </c>
      <c r="R4154">
        <v>0</v>
      </c>
      <c r="W4154" t="s">
        <v>426</v>
      </c>
      <c r="AA4154">
        <v>2007</v>
      </c>
      <c r="AB4154">
        <v>9999</v>
      </c>
      <c r="AC4154" t="s">
        <v>35</v>
      </c>
    </row>
    <row r="4155" spans="1:29" x14ac:dyDescent="0.25">
      <c r="A4155" s="31" t="s">
        <v>427</v>
      </c>
      <c r="B4155" s="23" t="s">
        <v>1246</v>
      </c>
      <c r="D4155">
        <v>1</v>
      </c>
      <c r="E4155" t="s">
        <v>45</v>
      </c>
      <c r="F4155">
        <v>4</v>
      </c>
      <c r="G4155">
        <v>2011</v>
      </c>
      <c r="I4155">
        <v>2178.19</v>
      </c>
      <c r="J4155" t="s">
        <v>40</v>
      </c>
      <c r="K4155" t="s">
        <v>32</v>
      </c>
      <c r="O4155">
        <v>0</v>
      </c>
      <c r="P4155">
        <v>0</v>
      </c>
      <c r="Q4155">
        <v>0</v>
      </c>
      <c r="R4155">
        <v>0</v>
      </c>
      <c r="W4155" t="s">
        <v>1301</v>
      </c>
      <c r="AA4155">
        <v>2007</v>
      </c>
      <c r="AB4155">
        <v>9999</v>
      </c>
      <c r="AC4155" t="s">
        <v>35</v>
      </c>
    </row>
    <row r="4156" spans="1:29" x14ac:dyDescent="0.25">
      <c r="A4156" s="31" t="s">
        <v>430</v>
      </c>
      <c r="B4156" s="23" t="s">
        <v>431</v>
      </c>
      <c r="D4156">
        <v>1</v>
      </c>
      <c r="E4156" t="s">
        <v>103</v>
      </c>
      <c r="F4156">
        <v>9</v>
      </c>
      <c r="G4156">
        <v>2011</v>
      </c>
      <c r="I4156">
        <v>3155.29</v>
      </c>
      <c r="J4156" t="s">
        <v>104</v>
      </c>
      <c r="K4156" t="s">
        <v>53</v>
      </c>
      <c r="L4156" t="s">
        <v>105</v>
      </c>
      <c r="O4156">
        <v>0</v>
      </c>
      <c r="P4156">
        <v>1</v>
      </c>
      <c r="Q4156">
        <v>0</v>
      </c>
      <c r="R4156">
        <v>0</v>
      </c>
      <c r="W4156" t="s">
        <v>106</v>
      </c>
      <c r="AA4156">
        <v>2007</v>
      </c>
      <c r="AB4156">
        <v>9999</v>
      </c>
      <c r="AC4156" t="s">
        <v>35</v>
      </c>
    </row>
    <row r="4157" spans="1:29" x14ac:dyDescent="0.25">
      <c r="A4157" s="31" t="s">
        <v>1302</v>
      </c>
      <c r="B4157" s="23" t="s">
        <v>1303</v>
      </c>
      <c r="D4157">
        <v>1</v>
      </c>
      <c r="E4157" t="s">
        <v>103</v>
      </c>
      <c r="F4157">
        <v>9</v>
      </c>
      <c r="G4157">
        <v>2011</v>
      </c>
      <c r="I4157">
        <v>1665.53</v>
      </c>
      <c r="J4157" t="s">
        <v>104</v>
      </c>
      <c r="K4157" t="s">
        <v>53</v>
      </c>
      <c r="L4157" t="s">
        <v>105</v>
      </c>
      <c r="O4157">
        <v>0</v>
      </c>
      <c r="P4157">
        <v>1</v>
      </c>
      <c r="Q4157">
        <v>0</v>
      </c>
      <c r="R4157">
        <v>0</v>
      </c>
      <c r="W4157" t="s">
        <v>106</v>
      </c>
      <c r="AA4157">
        <v>2010</v>
      </c>
      <c r="AB4157">
        <v>9999</v>
      </c>
      <c r="AC4157" t="s">
        <v>1292</v>
      </c>
    </row>
    <row r="4158" spans="1:29" ht="30" x14ac:dyDescent="0.25">
      <c r="A4158" s="31" t="s">
        <v>432</v>
      </c>
      <c r="B4158" s="23" t="s">
        <v>433</v>
      </c>
      <c r="D4158">
        <v>1</v>
      </c>
      <c r="E4158" t="s">
        <v>80</v>
      </c>
      <c r="F4158">
        <v>8</v>
      </c>
      <c r="G4158">
        <v>2011</v>
      </c>
      <c r="I4158">
        <v>50.66</v>
      </c>
      <c r="J4158" t="s">
        <v>81</v>
      </c>
      <c r="K4158" t="s">
        <v>47</v>
      </c>
      <c r="O4158">
        <v>0</v>
      </c>
      <c r="P4158">
        <v>0</v>
      </c>
      <c r="Q4158">
        <v>0</v>
      </c>
      <c r="R4158">
        <v>0</v>
      </c>
      <c r="W4158" t="s">
        <v>1111</v>
      </c>
      <c r="AA4158">
        <v>2007</v>
      </c>
      <c r="AB4158">
        <v>2017</v>
      </c>
      <c r="AC4158" t="s">
        <v>435</v>
      </c>
    </row>
    <row r="4159" spans="1:29" x14ac:dyDescent="0.25">
      <c r="A4159" s="31" t="s">
        <v>439</v>
      </c>
      <c r="B4159" s="23" t="s">
        <v>440</v>
      </c>
      <c r="C4159" t="s">
        <v>441</v>
      </c>
      <c r="D4159">
        <v>1</v>
      </c>
      <c r="E4159" t="s">
        <v>442</v>
      </c>
      <c r="F4159">
        <v>4</v>
      </c>
      <c r="G4159">
        <v>2011</v>
      </c>
      <c r="I4159">
        <v>505.67</v>
      </c>
      <c r="J4159" t="s">
        <v>1343</v>
      </c>
      <c r="K4159" t="s">
        <v>47</v>
      </c>
      <c r="O4159">
        <v>0</v>
      </c>
      <c r="P4159">
        <v>0</v>
      </c>
      <c r="Q4159">
        <v>0</v>
      </c>
      <c r="R4159">
        <v>0</v>
      </c>
      <c r="W4159" t="s">
        <v>1304</v>
      </c>
      <c r="AA4159">
        <v>2007</v>
      </c>
      <c r="AB4159">
        <v>9999</v>
      </c>
      <c r="AC4159" t="s">
        <v>35</v>
      </c>
    </row>
    <row r="4160" spans="1:29" ht="30" x14ac:dyDescent="0.25">
      <c r="B4160" s="23" t="s">
        <v>444</v>
      </c>
      <c r="C4160" t="s">
        <v>445</v>
      </c>
      <c r="D4160">
        <v>5</v>
      </c>
      <c r="E4160" t="s">
        <v>38</v>
      </c>
      <c r="F4160">
        <v>4</v>
      </c>
      <c r="G4160">
        <v>2011</v>
      </c>
      <c r="I4160">
        <v>0.25</v>
      </c>
      <c r="J4160" t="s">
        <v>31</v>
      </c>
      <c r="K4160" t="s">
        <v>41</v>
      </c>
      <c r="O4160">
        <v>0</v>
      </c>
      <c r="P4160">
        <v>0</v>
      </c>
      <c r="Q4160">
        <v>0</v>
      </c>
      <c r="R4160">
        <v>0</v>
      </c>
      <c r="W4160" t="s">
        <v>1114</v>
      </c>
      <c r="AA4160">
        <v>2007</v>
      </c>
      <c r="AB4160">
        <v>9999</v>
      </c>
      <c r="AC4160" t="s">
        <v>35</v>
      </c>
    </row>
    <row r="4161" spans="1:29" x14ac:dyDescent="0.25">
      <c r="A4161" s="31" t="s">
        <v>447</v>
      </c>
      <c r="B4161" s="23" t="s">
        <v>448</v>
      </c>
      <c r="D4161">
        <v>1</v>
      </c>
      <c r="E4161" t="s">
        <v>45</v>
      </c>
      <c r="F4161">
        <v>4</v>
      </c>
      <c r="G4161">
        <v>2011</v>
      </c>
      <c r="I4161">
        <v>34.700000000000003</v>
      </c>
      <c r="J4161" t="s">
        <v>52</v>
      </c>
      <c r="K4161" t="s">
        <v>32</v>
      </c>
      <c r="O4161">
        <v>0</v>
      </c>
      <c r="P4161">
        <v>0</v>
      </c>
      <c r="Q4161">
        <v>0</v>
      </c>
      <c r="R4161">
        <v>0</v>
      </c>
      <c r="W4161" t="s">
        <v>1115</v>
      </c>
      <c r="AA4161">
        <v>2007</v>
      </c>
      <c r="AB4161">
        <v>9999</v>
      </c>
      <c r="AC4161" t="s">
        <v>35</v>
      </c>
    </row>
    <row r="4162" spans="1:29" x14ac:dyDescent="0.25">
      <c r="A4162" s="31" t="s">
        <v>453</v>
      </c>
      <c r="B4162" s="23" t="s">
        <v>454</v>
      </c>
      <c r="C4162" t="s">
        <v>455</v>
      </c>
      <c r="D4162">
        <v>1</v>
      </c>
      <c r="E4162" t="s">
        <v>456</v>
      </c>
      <c r="F4162">
        <v>4</v>
      </c>
      <c r="G4162">
        <v>2011</v>
      </c>
      <c r="I4162">
        <v>1302.7</v>
      </c>
      <c r="J4162" t="s">
        <v>89</v>
      </c>
      <c r="K4162" t="s">
        <v>32</v>
      </c>
      <c r="L4162" t="s">
        <v>33</v>
      </c>
      <c r="O4162">
        <v>0</v>
      </c>
      <c r="P4162">
        <v>0</v>
      </c>
      <c r="Q4162">
        <v>0</v>
      </c>
      <c r="R4162">
        <v>1</v>
      </c>
      <c r="W4162" t="s">
        <v>1360</v>
      </c>
      <c r="AA4162">
        <v>2007</v>
      </c>
      <c r="AB4162">
        <v>9999</v>
      </c>
      <c r="AC4162" t="s">
        <v>35</v>
      </c>
    </row>
    <row r="4163" spans="1:29" x14ac:dyDescent="0.25">
      <c r="A4163" s="31" t="s">
        <v>458</v>
      </c>
      <c r="B4163" s="23" t="s">
        <v>459</v>
      </c>
      <c r="D4163">
        <v>1</v>
      </c>
      <c r="E4163" t="s">
        <v>103</v>
      </c>
      <c r="F4163">
        <v>9</v>
      </c>
      <c r="G4163">
        <v>2011</v>
      </c>
      <c r="I4163">
        <v>1318.05</v>
      </c>
      <c r="J4163" t="s">
        <v>104</v>
      </c>
      <c r="K4163" t="s">
        <v>53</v>
      </c>
      <c r="L4163" t="s">
        <v>105</v>
      </c>
      <c r="O4163">
        <v>0</v>
      </c>
      <c r="P4163">
        <v>1</v>
      </c>
      <c r="Q4163">
        <v>0</v>
      </c>
      <c r="R4163">
        <v>0</v>
      </c>
      <c r="W4163" t="s">
        <v>106</v>
      </c>
      <c r="AA4163">
        <v>2007</v>
      </c>
      <c r="AB4163">
        <v>9999</v>
      </c>
      <c r="AC4163" t="s">
        <v>35</v>
      </c>
    </row>
    <row r="4164" spans="1:29" x14ac:dyDescent="0.25">
      <c r="A4164" s="31" t="s">
        <v>460</v>
      </c>
      <c r="B4164" s="23" t="s">
        <v>461</v>
      </c>
      <c r="D4164">
        <v>1</v>
      </c>
      <c r="E4164" t="s">
        <v>103</v>
      </c>
      <c r="F4164">
        <v>9</v>
      </c>
      <c r="G4164">
        <v>2011</v>
      </c>
      <c r="I4164">
        <v>6220.45</v>
      </c>
      <c r="J4164" t="s">
        <v>104</v>
      </c>
      <c r="K4164" t="s">
        <v>53</v>
      </c>
      <c r="L4164" t="s">
        <v>105</v>
      </c>
      <c r="O4164">
        <v>0</v>
      </c>
      <c r="P4164">
        <v>1</v>
      </c>
      <c r="Q4164">
        <v>0</v>
      </c>
      <c r="R4164">
        <v>0</v>
      </c>
      <c r="W4164" t="s">
        <v>106</v>
      </c>
      <c r="AA4164">
        <v>2007</v>
      </c>
      <c r="AB4164">
        <v>9999</v>
      </c>
      <c r="AC4164" t="s">
        <v>35</v>
      </c>
    </row>
    <row r="4165" spans="1:29" x14ac:dyDescent="0.25">
      <c r="A4165" s="31" t="s">
        <v>465</v>
      </c>
      <c r="B4165" s="23" t="s">
        <v>466</v>
      </c>
      <c r="C4165" t="s">
        <v>467</v>
      </c>
      <c r="D4165">
        <v>1</v>
      </c>
      <c r="E4165" t="s">
        <v>468</v>
      </c>
      <c r="F4165">
        <v>7</v>
      </c>
      <c r="G4165">
        <v>2011</v>
      </c>
      <c r="I4165">
        <v>549.34</v>
      </c>
      <c r="J4165" t="s">
        <v>40</v>
      </c>
      <c r="K4165" t="s">
        <v>32</v>
      </c>
      <c r="O4165">
        <v>0</v>
      </c>
      <c r="P4165">
        <v>0</v>
      </c>
      <c r="Q4165">
        <v>0</v>
      </c>
      <c r="R4165">
        <v>0</v>
      </c>
      <c r="W4165" t="s">
        <v>1119</v>
      </c>
      <c r="AA4165">
        <v>2007</v>
      </c>
      <c r="AB4165">
        <v>9999</v>
      </c>
      <c r="AC4165" t="s">
        <v>35</v>
      </c>
    </row>
    <row r="4166" spans="1:29" x14ac:dyDescent="0.25">
      <c r="A4166" s="31" t="s">
        <v>472</v>
      </c>
      <c r="B4166" s="23" t="s">
        <v>473</v>
      </c>
      <c r="D4166">
        <v>21</v>
      </c>
      <c r="E4166" t="s">
        <v>396</v>
      </c>
      <c r="F4166">
        <v>3</v>
      </c>
      <c r="G4166">
        <v>2011</v>
      </c>
      <c r="I4166" t="s">
        <v>474</v>
      </c>
      <c r="J4166" t="s">
        <v>121</v>
      </c>
      <c r="K4166" t="s">
        <v>32</v>
      </c>
      <c r="O4166">
        <v>0</v>
      </c>
      <c r="P4166">
        <v>0</v>
      </c>
      <c r="Q4166">
        <v>0</v>
      </c>
      <c r="R4166">
        <v>0</v>
      </c>
      <c r="W4166" t="s">
        <v>475</v>
      </c>
      <c r="AA4166">
        <v>2007</v>
      </c>
      <c r="AB4166">
        <v>9999</v>
      </c>
      <c r="AC4166" t="s">
        <v>35</v>
      </c>
    </row>
    <row r="4167" spans="1:29" x14ac:dyDescent="0.25">
      <c r="A4167" s="31" t="s">
        <v>478</v>
      </c>
      <c r="B4167" s="23" t="s">
        <v>479</v>
      </c>
      <c r="D4167">
        <v>1</v>
      </c>
      <c r="E4167" t="s">
        <v>348</v>
      </c>
      <c r="F4167">
        <v>1</v>
      </c>
      <c r="G4167">
        <v>2011</v>
      </c>
      <c r="I4167">
        <v>111.89</v>
      </c>
      <c r="J4167" t="s">
        <v>40</v>
      </c>
      <c r="K4167" t="s">
        <v>47</v>
      </c>
      <c r="O4167">
        <v>0</v>
      </c>
      <c r="P4167">
        <v>0</v>
      </c>
      <c r="Q4167">
        <v>0</v>
      </c>
      <c r="R4167">
        <v>0</v>
      </c>
      <c r="W4167" t="s">
        <v>1120</v>
      </c>
      <c r="AA4167">
        <v>2007</v>
      </c>
      <c r="AB4167">
        <v>9999</v>
      </c>
      <c r="AC4167" t="s">
        <v>35</v>
      </c>
    </row>
    <row r="4168" spans="1:29" x14ac:dyDescent="0.25">
      <c r="A4168" s="31" t="s">
        <v>481</v>
      </c>
      <c r="B4168" s="23" t="s">
        <v>482</v>
      </c>
      <c r="D4168">
        <v>1</v>
      </c>
      <c r="E4168" t="s">
        <v>348</v>
      </c>
      <c r="F4168">
        <v>1</v>
      </c>
      <c r="G4168">
        <v>2011</v>
      </c>
      <c r="I4168">
        <v>208.14</v>
      </c>
      <c r="J4168" t="s">
        <v>40</v>
      </c>
      <c r="K4168" t="s">
        <v>47</v>
      </c>
      <c r="O4168">
        <v>0</v>
      </c>
      <c r="P4168">
        <v>0</v>
      </c>
      <c r="Q4168">
        <v>0</v>
      </c>
      <c r="R4168">
        <v>0</v>
      </c>
      <c r="W4168" t="s">
        <v>1120</v>
      </c>
      <c r="AA4168">
        <v>2007</v>
      </c>
      <c r="AB4168">
        <v>9999</v>
      </c>
      <c r="AC4168" t="s">
        <v>35</v>
      </c>
    </row>
    <row r="4169" spans="1:29" x14ac:dyDescent="0.25">
      <c r="A4169" s="31" t="s">
        <v>483</v>
      </c>
      <c r="B4169" s="23" t="s">
        <v>484</v>
      </c>
      <c r="D4169">
        <v>1</v>
      </c>
      <c r="E4169" t="s">
        <v>348</v>
      </c>
      <c r="F4169">
        <v>1</v>
      </c>
      <c r="G4169">
        <v>2011</v>
      </c>
      <c r="I4169">
        <v>103.3</v>
      </c>
      <c r="J4169" t="s">
        <v>40</v>
      </c>
      <c r="K4169" t="s">
        <v>47</v>
      </c>
      <c r="O4169">
        <v>0</v>
      </c>
      <c r="P4169">
        <v>0</v>
      </c>
      <c r="Q4169">
        <v>0</v>
      </c>
      <c r="R4169">
        <v>0</v>
      </c>
      <c r="W4169" t="s">
        <v>1120</v>
      </c>
      <c r="AA4169">
        <v>2007</v>
      </c>
      <c r="AB4169">
        <v>9999</v>
      </c>
      <c r="AC4169" t="s">
        <v>35</v>
      </c>
    </row>
    <row r="4170" spans="1:29" x14ac:dyDescent="0.25">
      <c r="A4170" s="31" t="s">
        <v>485</v>
      </c>
      <c r="B4170" s="23" t="s">
        <v>486</v>
      </c>
      <c r="D4170">
        <v>1</v>
      </c>
      <c r="E4170" t="s">
        <v>348</v>
      </c>
      <c r="F4170">
        <v>1</v>
      </c>
      <c r="G4170">
        <v>2011</v>
      </c>
      <c r="I4170">
        <v>185.7</v>
      </c>
      <c r="J4170" t="s">
        <v>40</v>
      </c>
      <c r="K4170" t="s">
        <v>47</v>
      </c>
      <c r="O4170">
        <v>0</v>
      </c>
      <c r="P4170">
        <v>0</v>
      </c>
      <c r="Q4170">
        <v>0</v>
      </c>
      <c r="R4170">
        <v>0</v>
      </c>
      <c r="W4170" t="s">
        <v>1120</v>
      </c>
      <c r="AA4170">
        <v>2007</v>
      </c>
      <c r="AB4170">
        <v>9999</v>
      </c>
      <c r="AC4170" t="s">
        <v>35</v>
      </c>
    </row>
    <row r="4171" spans="1:29" x14ac:dyDescent="0.25">
      <c r="A4171" s="31" t="s">
        <v>487</v>
      </c>
      <c r="B4171" s="23" t="s">
        <v>488</v>
      </c>
      <c r="D4171">
        <v>1</v>
      </c>
      <c r="E4171" t="s">
        <v>348</v>
      </c>
      <c r="F4171">
        <v>1</v>
      </c>
      <c r="G4171">
        <v>2011</v>
      </c>
      <c r="I4171">
        <v>156.30000000000001</v>
      </c>
      <c r="J4171" t="s">
        <v>40</v>
      </c>
      <c r="K4171" t="s">
        <v>47</v>
      </c>
      <c r="O4171">
        <v>0</v>
      </c>
      <c r="P4171">
        <v>0</v>
      </c>
      <c r="Q4171">
        <v>0</v>
      </c>
      <c r="R4171">
        <v>0</v>
      </c>
      <c r="W4171" t="s">
        <v>1120</v>
      </c>
      <c r="AA4171">
        <v>2007</v>
      </c>
      <c r="AB4171">
        <v>9999</v>
      </c>
      <c r="AC4171" t="s">
        <v>35</v>
      </c>
    </row>
    <row r="4172" spans="1:29" x14ac:dyDescent="0.25">
      <c r="A4172" s="31" t="s">
        <v>489</v>
      </c>
      <c r="B4172" s="23" t="s">
        <v>490</v>
      </c>
      <c r="D4172">
        <v>1</v>
      </c>
      <c r="E4172" t="s">
        <v>348</v>
      </c>
      <c r="F4172">
        <v>1</v>
      </c>
      <c r="G4172">
        <v>2011</v>
      </c>
      <c r="I4172">
        <v>199.9</v>
      </c>
      <c r="J4172" t="s">
        <v>40</v>
      </c>
      <c r="K4172" t="s">
        <v>47</v>
      </c>
      <c r="O4172">
        <v>0</v>
      </c>
      <c r="P4172">
        <v>0</v>
      </c>
      <c r="Q4172">
        <v>0</v>
      </c>
      <c r="R4172">
        <v>0</v>
      </c>
      <c r="W4172" t="s">
        <v>1120</v>
      </c>
      <c r="AA4172">
        <v>2007</v>
      </c>
      <c r="AB4172">
        <v>9999</v>
      </c>
      <c r="AC4172" t="s">
        <v>35</v>
      </c>
    </row>
    <row r="4173" spans="1:29" x14ac:dyDescent="0.25">
      <c r="A4173" s="31" t="s">
        <v>491</v>
      </c>
      <c r="B4173" s="23" t="s">
        <v>492</v>
      </c>
      <c r="D4173">
        <v>1</v>
      </c>
      <c r="E4173" t="s">
        <v>348</v>
      </c>
      <c r="F4173">
        <v>1</v>
      </c>
      <c r="G4173">
        <v>2011</v>
      </c>
      <c r="I4173">
        <v>223.33</v>
      </c>
      <c r="J4173" t="s">
        <v>40</v>
      </c>
      <c r="K4173" t="s">
        <v>47</v>
      </c>
      <c r="O4173">
        <v>0</v>
      </c>
      <c r="P4173">
        <v>0</v>
      </c>
      <c r="Q4173">
        <v>0</v>
      </c>
      <c r="R4173">
        <v>0</v>
      </c>
      <c r="W4173" t="s">
        <v>1120</v>
      </c>
      <c r="AA4173">
        <v>2007</v>
      </c>
      <c r="AB4173">
        <v>9999</v>
      </c>
      <c r="AC4173" t="s">
        <v>35</v>
      </c>
    </row>
    <row r="4174" spans="1:29" x14ac:dyDescent="0.25">
      <c r="A4174" s="31" t="s">
        <v>493</v>
      </c>
      <c r="B4174" s="23" t="s">
        <v>494</v>
      </c>
      <c r="D4174">
        <v>1</v>
      </c>
      <c r="E4174" t="s">
        <v>348</v>
      </c>
      <c r="F4174">
        <v>1</v>
      </c>
      <c r="G4174">
        <v>2011</v>
      </c>
      <c r="I4174">
        <v>179.12</v>
      </c>
      <c r="J4174" t="s">
        <v>40</v>
      </c>
      <c r="K4174" t="s">
        <v>47</v>
      </c>
      <c r="O4174">
        <v>0</v>
      </c>
      <c r="P4174">
        <v>0</v>
      </c>
      <c r="Q4174">
        <v>0</v>
      </c>
      <c r="R4174">
        <v>0</v>
      </c>
      <c r="W4174" t="s">
        <v>1120</v>
      </c>
      <c r="AA4174">
        <v>2007</v>
      </c>
      <c r="AB4174">
        <v>9999</v>
      </c>
      <c r="AC4174" t="s">
        <v>35</v>
      </c>
    </row>
    <row r="4175" spans="1:29" x14ac:dyDescent="0.25">
      <c r="A4175" s="31" t="s">
        <v>495</v>
      </c>
      <c r="B4175" s="23" t="s">
        <v>496</v>
      </c>
      <c r="D4175">
        <v>1</v>
      </c>
      <c r="E4175" t="s">
        <v>348</v>
      </c>
      <c r="F4175">
        <v>1</v>
      </c>
      <c r="G4175">
        <v>2011</v>
      </c>
      <c r="I4175">
        <v>146.56</v>
      </c>
      <c r="J4175" t="s">
        <v>40</v>
      </c>
      <c r="K4175" t="s">
        <v>47</v>
      </c>
      <c r="O4175">
        <v>0</v>
      </c>
      <c r="P4175">
        <v>0</v>
      </c>
      <c r="Q4175">
        <v>0</v>
      </c>
      <c r="R4175">
        <v>0</v>
      </c>
      <c r="W4175" t="s">
        <v>1120</v>
      </c>
      <c r="AA4175">
        <v>2007</v>
      </c>
      <c r="AB4175">
        <v>9999</v>
      </c>
      <c r="AC4175" t="s">
        <v>35</v>
      </c>
    </row>
    <row r="4176" spans="1:29" x14ac:dyDescent="0.25">
      <c r="A4176" s="31" t="s">
        <v>497</v>
      </c>
      <c r="B4176" s="23" t="s">
        <v>498</v>
      </c>
      <c r="D4176">
        <v>1</v>
      </c>
      <c r="E4176" t="s">
        <v>348</v>
      </c>
      <c r="F4176">
        <v>1</v>
      </c>
      <c r="G4176">
        <v>2011</v>
      </c>
      <c r="I4176">
        <v>225.16</v>
      </c>
      <c r="J4176" t="s">
        <v>40</v>
      </c>
      <c r="K4176" t="s">
        <v>47</v>
      </c>
      <c r="O4176">
        <v>0</v>
      </c>
      <c r="P4176">
        <v>0</v>
      </c>
      <c r="Q4176">
        <v>0</v>
      </c>
      <c r="R4176">
        <v>0</v>
      </c>
      <c r="W4176" t="s">
        <v>1120</v>
      </c>
      <c r="AA4176">
        <v>2007</v>
      </c>
      <c r="AB4176">
        <v>9999</v>
      </c>
      <c r="AC4176" t="s">
        <v>35</v>
      </c>
    </row>
    <row r="4177" spans="1:29" x14ac:dyDescent="0.25">
      <c r="A4177" s="31" t="s">
        <v>499</v>
      </c>
      <c r="B4177" s="23" t="s">
        <v>500</v>
      </c>
      <c r="D4177">
        <v>1</v>
      </c>
      <c r="E4177" t="s">
        <v>348</v>
      </c>
      <c r="F4177">
        <v>1</v>
      </c>
      <c r="G4177">
        <v>2011</v>
      </c>
      <c r="I4177">
        <v>407.6</v>
      </c>
      <c r="J4177" t="s">
        <v>40</v>
      </c>
      <c r="K4177" t="s">
        <v>47</v>
      </c>
      <c r="O4177">
        <v>0</v>
      </c>
      <c r="P4177">
        <v>0</v>
      </c>
      <c r="Q4177">
        <v>0</v>
      </c>
      <c r="R4177">
        <v>0</v>
      </c>
      <c r="W4177" t="s">
        <v>1120</v>
      </c>
      <c r="AA4177">
        <v>2007</v>
      </c>
      <c r="AB4177">
        <v>9999</v>
      </c>
      <c r="AC4177" t="s">
        <v>35</v>
      </c>
    </row>
    <row r="4178" spans="1:29" x14ac:dyDescent="0.25">
      <c r="A4178" s="31" t="s">
        <v>501</v>
      </c>
      <c r="B4178" s="23" t="s">
        <v>502</v>
      </c>
      <c r="D4178">
        <v>1</v>
      </c>
      <c r="E4178" t="s">
        <v>348</v>
      </c>
      <c r="F4178">
        <v>1</v>
      </c>
      <c r="G4178">
        <v>2011</v>
      </c>
      <c r="I4178">
        <v>408.22</v>
      </c>
      <c r="J4178" t="s">
        <v>40</v>
      </c>
      <c r="K4178" t="s">
        <v>47</v>
      </c>
      <c r="O4178">
        <v>0</v>
      </c>
      <c r="P4178">
        <v>0</v>
      </c>
      <c r="Q4178">
        <v>0</v>
      </c>
      <c r="R4178">
        <v>0</v>
      </c>
      <c r="W4178" t="s">
        <v>1120</v>
      </c>
      <c r="AA4178">
        <v>2007</v>
      </c>
      <c r="AB4178">
        <v>9999</v>
      </c>
      <c r="AC4178" t="s">
        <v>35</v>
      </c>
    </row>
    <row r="4179" spans="1:29" x14ac:dyDescent="0.25">
      <c r="A4179" s="31" t="s">
        <v>503</v>
      </c>
      <c r="B4179" s="23" t="s">
        <v>504</v>
      </c>
      <c r="D4179">
        <v>1</v>
      </c>
      <c r="E4179" t="s">
        <v>348</v>
      </c>
      <c r="F4179">
        <v>1</v>
      </c>
      <c r="G4179">
        <v>2011</v>
      </c>
      <c r="I4179">
        <v>149.78</v>
      </c>
      <c r="J4179" t="s">
        <v>40</v>
      </c>
      <c r="K4179" t="s">
        <v>47</v>
      </c>
      <c r="O4179">
        <v>0</v>
      </c>
      <c r="P4179">
        <v>0</v>
      </c>
      <c r="Q4179">
        <v>0</v>
      </c>
      <c r="R4179">
        <v>0</v>
      </c>
      <c r="W4179" t="s">
        <v>1120</v>
      </c>
      <c r="AA4179">
        <v>2007</v>
      </c>
      <c r="AB4179">
        <v>9999</v>
      </c>
      <c r="AC4179" t="s">
        <v>35</v>
      </c>
    </row>
    <row r="4180" spans="1:29" x14ac:dyDescent="0.25">
      <c r="A4180" s="31" t="s">
        <v>505</v>
      </c>
      <c r="B4180" s="23" t="s">
        <v>506</v>
      </c>
      <c r="D4180">
        <v>1</v>
      </c>
      <c r="E4180" t="s">
        <v>348</v>
      </c>
      <c r="F4180">
        <v>1</v>
      </c>
      <c r="G4180">
        <v>2011</v>
      </c>
      <c r="I4180">
        <v>161.9</v>
      </c>
      <c r="J4180" t="s">
        <v>40</v>
      </c>
      <c r="K4180" t="s">
        <v>47</v>
      </c>
      <c r="O4180">
        <v>0</v>
      </c>
      <c r="P4180">
        <v>0</v>
      </c>
      <c r="Q4180">
        <v>0</v>
      </c>
      <c r="R4180">
        <v>0</v>
      </c>
      <c r="W4180" t="s">
        <v>1120</v>
      </c>
      <c r="AA4180">
        <v>2007</v>
      </c>
      <c r="AB4180">
        <v>9999</v>
      </c>
      <c r="AC4180" t="s">
        <v>35</v>
      </c>
    </row>
    <row r="4181" spans="1:29" x14ac:dyDescent="0.25">
      <c r="A4181" s="31" t="s">
        <v>507</v>
      </c>
      <c r="B4181" s="23" t="s">
        <v>508</v>
      </c>
      <c r="D4181">
        <v>1</v>
      </c>
      <c r="E4181" t="s">
        <v>348</v>
      </c>
      <c r="F4181">
        <v>1</v>
      </c>
      <c r="G4181">
        <v>2011</v>
      </c>
      <c r="I4181">
        <v>186.03</v>
      </c>
      <c r="J4181" t="s">
        <v>40</v>
      </c>
      <c r="K4181" t="s">
        <v>47</v>
      </c>
      <c r="O4181">
        <v>0</v>
      </c>
      <c r="P4181">
        <v>0</v>
      </c>
      <c r="Q4181">
        <v>0</v>
      </c>
      <c r="R4181">
        <v>0</v>
      </c>
      <c r="W4181" t="s">
        <v>1120</v>
      </c>
      <c r="AA4181">
        <v>2007</v>
      </c>
      <c r="AB4181">
        <v>9999</v>
      </c>
      <c r="AC4181" t="s">
        <v>35</v>
      </c>
    </row>
    <row r="4182" spans="1:29" x14ac:dyDescent="0.25">
      <c r="A4182" s="31" t="s">
        <v>509</v>
      </c>
      <c r="B4182" s="23" t="s">
        <v>510</v>
      </c>
      <c r="D4182">
        <v>1</v>
      </c>
      <c r="E4182" t="s">
        <v>348</v>
      </c>
      <c r="F4182">
        <v>1</v>
      </c>
      <c r="G4182">
        <v>2011</v>
      </c>
      <c r="I4182">
        <v>213.09</v>
      </c>
      <c r="J4182" t="s">
        <v>40</v>
      </c>
      <c r="K4182" t="s">
        <v>47</v>
      </c>
      <c r="O4182">
        <v>0</v>
      </c>
      <c r="P4182">
        <v>0</v>
      </c>
      <c r="Q4182">
        <v>0</v>
      </c>
      <c r="R4182">
        <v>0</v>
      </c>
      <c r="W4182" t="s">
        <v>1120</v>
      </c>
      <c r="AA4182">
        <v>2007</v>
      </c>
      <c r="AB4182">
        <v>9999</v>
      </c>
      <c r="AC4182" t="s">
        <v>35</v>
      </c>
    </row>
    <row r="4183" spans="1:29" x14ac:dyDescent="0.25">
      <c r="A4183" s="31" t="s">
        <v>511</v>
      </c>
      <c r="B4183" s="23" t="s">
        <v>512</v>
      </c>
      <c r="D4183">
        <v>1</v>
      </c>
      <c r="E4183" t="s">
        <v>348</v>
      </c>
      <c r="F4183">
        <v>1</v>
      </c>
      <c r="G4183">
        <v>2011</v>
      </c>
      <c r="I4183">
        <v>204.02</v>
      </c>
      <c r="J4183" t="s">
        <v>40</v>
      </c>
      <c r="K4183" t="s">
        <v>47</v>
      </c>
      <c r="O4183">
        <v>0</v>
      </c>
      <c r="P4183">
        <v>0</v>
      </c>
      <c r="Q4183">
        <v>0</v>
      </c>
      <c r="R4183">
        <v>0</v>
      </c>
      <c r="W4183" t="s">
        <v>1120</v>
      </c>
      <c r="AA4183">
        <v>2007</v>
      </c>
      <c r="AB4183">
        <v>9999</v>
      </c>
      <c r="AC4183" t="s">
        <v>35</v>
      </c>
    </row>
    <row r="4184" spans="1:29" x14ac:dyDescent="0.25">
      <c r="A4184" s="31" t="s">
        <v>513</v>
      </c>
      <c r="B4184" s="23" t="s">
        <v>514</v>
      </c>
      <c r="D4184">
        <v>1</v>
      </c>
      <c r="E4184" t="s">
        <v>348</v>
      </c>
      <c r="F4184">
        <v>1</v>
      </c>
      <c r="G4184">
        <v>2011</v>
      </c>
      <c r="I4184">
        <v>148.52000000000001</v>
      </c>
      <c r="J4184" t="s">
        <v>40</v>
      </c>
      <c r="K4184" t="s">
        <v>47</v>
      </c>
      <c r="O4184">
        <v>0</v>
      </c>
      <c r="P4184">
        <v>0</v>
      </c>
      <c r="Q4184">
        <v>0</v>
      </c>
      <c r="R4184">
        <v>0</v>
      </c>
      <c r="W4184" t="s">
        <v>1120</v>
      </c>
      <c r="AA4184">
        <v>2007</v>
      </c>
      <c r="AB4184">
        <v>9999</v>
      </c>
      <c r="AC4184" t="s">
        <v>35</v>
      </c>
    </row>
    <row r="4185" spans="1:29" x14ac:dyDescent="0.25">
      <c r="A4185" s="31" t="s">
        <v>515</v>
      </c>
      <c r="B4185" s="23" t="s">
        <v>516</v>
      </c>
      <c r="D4185">
        <v>1</v>
      </c>
      <c r="E4185" t="s">
        <v>348</v>
      </c>
      <c r="F4185">
        <v>1</v>
      </c>
      <c r="G4185">
        <v>2011</v>
      </c>
      <c r="I4185">
        <v>685.09</v>
      </c>
      <c r="J4185" t="s">
        <v>40</v>
      </c>
      <c r="K4185" t="s">
        <v>47</v>
      </c>
      <c r="O4185">
        <v>0</v>
      </c>
      <c r="P4185">
        <v>0</v>
      </c>
      <c r="Q4185">
        <v>0</v>
      </c>
      <c r="R4185">
        <v>0</v>
      </c>
      <c r="W4185" t="s">
        <v>1120</v>
      </c>
      <c r="AA4185">
        <v>2007</v>
      </c>
      <c r="AB4185">
        <v>9999</v>
      </c>
      <c r="AC4185" t="s">
        <v>35</v>
      </c>
    </row>
    <row r="4186" spans="1:29" x14ac:dyDescent="0.25">
      <c r="A4186" s="31" t="s">
        <v>517</v>
      </c>
      <c r="B4186" s="23" t="s">
        <v>518</v>
      </c>
      <c r="D4186">
        <v>1</v>
      </c>
      <c r="E4186" t="s">
        <v>348</v>
      </c>
      <c r="F4186">
        <v>1</v>
      </c>
      <c r="G4186">
        <v>2011</v>
      </c>
      <c r="I4186">
        <v>164.93</v>
      </c>
      <c r="J4186" t="s">
        <v>40</v>
      </c>
      <c r="K4186" t="s">
        <v>47</v>
      </c>
      <c r="O4186">
        <v>0</v>
      </c>
      <c r="P4186">
        <v>0</v>
      </c>
      <c r="Q4186">
        <v>0</v>
      </c>
      <c r="R4186">
        <v>0</v>
      </c>
      <c r="W4186" t="s">
        <v>1120</v>
      </c>
      <c r="AA4186">
        <v>2007</v>
      </c>
      <c r="AB4186">
        <v>9999</v>
      </c>
      <c r="AC4186" t="s">
        <v>35</v>
      </c>
    </row>
    <row r="4187" spans="1:29" x14ac:dyDescent="0.25">
      <c r="A4187" s="31" t="s">
        <v>519</v>
      </c>
      <c r="B4187" s="23" t="s">
        <v>520</v>
      </c>
      <c r="D4187">
        <v>1</v>
      </c>
      <c r="E4187" t="s">
        <v>348</v>
      </c>
      <c r="F4187">
        <v>1</v>
      </c>
      <c r="G4187">
        <v>2011</v>
      </c>
      <c r="I4187">
        <v>200.96</v>
      </c>
      <c r="J4187" t="s">
        <v>40</v>
      </c>
      <c r="K4187" t="s">
        <v>47</v>
      </c>
      <c r="O4187">
        <v>0</v>
      </c>
      <c r="P4187">
        <v>0</v>
      </c>
      <c r="Q4187">
        <v>0</v>
      </c>
      <c r="R4187">
        <v>0</v>
      </c>
      <c r="W4187" t="s">
        <v>1120</v>
      </c>
      <c r="AA4187">
        <v>2007</v>
      </c>
      <c r="AB4187">
        <v>9999</v>
      </c>
      <c r="AC4187" t="s">
        <v>35</v>
      </c>
    </row>
    <row r="4188" spans="1:29" x14ac:dyDescent="0.25">
      <c r="A4188" s="31" t="s">
        <v>523</v>
      </c>
      <c r="B4188" s="23" t="s">
        <v>524</v>
      </c>
      <c r="D4188">
        <v>1</v>
      </c>
      <c r="E4188" t="s">
        <v>103</v>
      </c>
      <c r="F4188">
        <v>9</v>
      </c>
      <c r="G4188">
        <v>2011</v>
      </c>
      <c r="I4188">
        <v>1244.6500000000001</v>
      </c>
      <c r="J4188" t="s">
        <v>104</v>
      </c>
      <c r="K4188" t="s">
        <v>53</v>
      </c>
      <c r="L4188" t="s">
        <v>105</v>
      </c>
      <c r="O4188">
        <v>0</v>
      </c>
      <c r="P4188">
        <v>1</v>
      </c>
      <c r="Q4188">
        <v>0</v>
      </c>
      <c r="R4188">
        <v>0</v>
      </c>
      <c r="W4188" t="s">
        <v>106</v>
      </c>
      <c r="AA4188">
        <v>2007</v>
      </c>
      <c r="AB4188">
        <v>9999</v>
      </c>
      <c r="AC4188" t="s">
        <v>35</v>
      </c>
    </row>
    <row r="4189" spans="1:29" x14ac:dyDescent="0.25">
      <c r="A4189" s="31" t="s">
        <v>525</v>
      </c>
      <c r="B4189" s="23" t="s">
        <v>526</v>
      </c>
      <c r="D4189">
        <v>1</v>
      </c>
      <c r="E4189" t="s">
        <v>45</v>
      </c>
      <c r="F4189">
        <v>4</v>
      </c>
      <c r="G4189">
        <v>2011</v>
      </c>
      <c r="I4189">
        <v>8</v>
      </c>
      <c r="J4189" t="s">
        <v>121</v>
      </c>
      <c r="K4189" t="s">
        <v>53</v>
      </c>
      <c r="L4189" t="s">
        <v>60</v>
      </c>
      <c r="O4189">
        <v>1</v>
      </c>
      <c r="P4189">
        <v>0</v>
      </c>
      <c r="Q4189">
        <v>0</v>
      </c>
      <c r="R4189">
        <v>0</v>
      </c>
      <c r="W4189" t="s">
        <v>527</v>
      </c>
      <c r="AA4189">
        <v>2007</v>
      </c>
      <c r="AB4189">
        <v>2016</v>
      </c>
      <c r="AC4189" t="s">
        <v>528</v>
      </c>
    </row>
    <row r="4190" spans="1:29" x14ac:dyDescent="0.25">
      <c r="A4190" s="31" t="s">
        <v>529</v>
      </c>
      <c r="B4190" s="23" t="s">
        <v>530</v>
      </c>
      <c r="D4190">
        <v>1</v>
      </c>
      <c r="E4190" t="s">
        <v>58</v>
      </c>
      <c r="F4190">
        <v>4</v>
      </c>
      <c r="G4190">
        <v>2011</v>
      </c>
      <c r="I4190">
        <v>9.6</v>
      </c>
      <c r="J4190" t="s">
        <v>59</v>
      </c>
      <c r="K4190" t="s">
        <v>47</v>
      </c>
      <c r="O4190">
        <v>0</v>
      </c>
      <c r="P4190">
        <v>0</v>
      </c>
      <c r="Q4190">
        <v>0</v>
      </c>
      <c r="R4190">
        <v>0</v>
      </c>
      <c r="W4190" t="s">
        <v>1121</v>
      </c>
      <c r="AA4190">
        <v>2007</v>
      </c>
      <c r="AB4190">
        <v>9999</v>
      </c>
      <c r="AC4190" t="s">
        <v>35</v>
      </c>
    </row>
    <row r="4191" spans="1:29" x14ac:dyDescent="0.25">
      <c r="A4191" s="31" t="s">
        <v>532</v>
      </c>
      <c r="B4191" s="23" t="s">
        <v>533</v>
      </c>
      <c r="D4191">
        <v>1</v>
      </c>
      <c r="E4191" t="s">
        <v>534</v>
      </c>
      <c r="F4191">
        <v>10</v>
      </c>
      <c r="G4191">
        <v>2011</v>
      </c>
      <c r="I4191">
        <v>2865.88</v>
      </c>
      <c r="J4191" t="s">
        <v>121</v>
      </c>
      <c r="K4191" t="s">
        <v>47</v>
      </c>
      <c r="O4191">
        <v>0</v>
      </c>
      <c r="P4191">
        <v>0</v>
      </c>
      <c r="Q4191">
        <v>0</v>
      </c>
      <c r="R4191">
        <v>0</v>
      </c>
      <c r="W4191" t="s">
        <v>1122</v>
      </c>
      <c r="AA4191">
        <v>2007</v>
      </c>
      <c r="AB4191">
        <v>9999</v>
      </c>
      <c r="AC4191" t="s">
        <v>35</v>
      </c>
    </row>
    <row r="4192" spans="1:29" x14ac:dyDescent="0.25">
      <c r="A4192" s="31" t="s">
        <v>536</v>
      </c>
      <c r="B4192" s="23" t="s">
        <v>537</v>
      </c>
      <c r="D4192">
        <v>1</v>
      </c>
      <c r="E4192" t="s">
        <v>103</v>
      </c>
      <c r="F4192">
        <v>9</v>
      </c>
      <c r="G4192">
        <v>2011</v>
      </c>
      <c r="I4192">
        <v>949.98</v>
      </c>
      <c r="J4192" t="s">
        <v>104</v>
      </c>
      <c r="K4192" t="s">
        <v>53</v>
      </c>
      <c r="L4192" t="s">
        <v>105</v>
      </c>
      <c r="O4192">
        <v>0</v>
      </c>
      <c r="P4192">
        <v>1</v>
      </c>
      <c r="Q4192">
        <v>0</v>
      </c>
      <c r="R4192">
        <v>0</v>
      </c>
      <c r="W4192" t="s">
        <v>106</v>
      </c>
      <c r="AA4192">
        <v>2007</v>
      </c>
      <c r="AB4192">
        <v>9999</v>
      </c>
      <c r="AC4192" t="s">
        <v>35</v>
      </c>
    </row>
    <row r="4193" spans="1:29" x14ac:dyDescent="0.25">
      <c r="A4193" s="31" t="s">
        <v>538</v>
      </c>
      <c r="B4193" s="23" t="s">
        <v>539</v>
      </c>
      <c r="D4193">
        <v>1</v>
      </c>
      <c r="E4193" t="s">
        <v>80</v>
      </c>
      <c r="F4193">
        <v>8</v>
      </c>
      <c r="G4193">
        <v>2011</v>
      </c>
      <c r="I4193">
        <v>117.3</v>
      </c>
      <c r="J4193" t="s">
        <v>81</v>
      </c>
      <c r="K4193" t="s">
        <v>47</v>
      </c>
      <c r="O4193">
        <v>0</v>
      </c>
      <c r="P4193">
        <v>0</v>
      </c>
      <c r="Q4193">
        <v>0</v>
      </c>
      <c r="R4193">
        <v>0</v>
      </c>
      <c r="W4193" t="s">
        <v>1123</v>
      </c>
      <c r="AA4193">
        <v>2007</v>
      </c>
      <c r="AB4193">
        <v>9999</v>
      </c>
      <c r="AC4193" t="s">
        <v>35</v>
      </c>
    </row>
    <row r="4194" spans="1:29" x14ac:dyDescent="0.25">
      <c r="A4194" s="31" t="s">
        <v>541</v>
      </c>
      <c r="B4194" s="23" t="s">
        <v>542</v>
      </c>
      <c r="D4194">
        <v>1</v>
      </c>
      <c r="E4194" t="s">
        <v>543</v>
      </c>
      <c r="F4194">
        <v>10</v>
      </c>
      <c r="G4194">
        <v>2011</v>
      </c>
      <c r="I4194">
        <v>23.89</v>
      </c>
      <c r="J4194" t="s">
        <v>40</v>
      </c>
      <c r="K4194" t="s">
        <v>47</v>
      </c>
      <c r="O4194">
        <v>0</v>
      </c>
      <c r="P4194">
        <v>0</v>
      </c>
      <c r="Q4194">
        <v>0</v>
      </c>
      <c r="R4194">
        <v>0</v>
      </c>
      <c r="W4194" t="s">
        <v>1124</v>
      </c>
      <c r="AA4194">
        <v>2007</v>
      </c>
      <c r="AB4194">
        <v>9999</v>
      </c>
      <c r="AC4194" t="s">
        <v>35</v>
      </c>
    </row>
    <row r="4195" spans="1:29" x14ac:dyDescent="0.25">
      <c r="A4195" s="31" t="s">
        <v>545</v>
      </c>
      <c r="B4195" s="23" t="s">
        <v>546</v>
      </c>
      <c r="D4195">
        <v>1</v>
      </c>
      <c r="E4195" t="s">
        <v>1361</v>
      </c>
      <c r="F4195">
        <v>10</v>
      </c>
      <c r="G4195">
        <v>2011</v>
      </c>
      <c r="I4195">
        <v>11.55</v>
      </c>
      <c r="J4195" t="s">
        <v>40</v>
      </c>
      <c r="K4195" t="s">
        <v>47</v>
      </c>
      <c r="O4195">
        <v>0</v>
      </c>
      <c r="P4195">
        <v>0</v>
      </c>
      <c r="Q4195">
        <v>0</v>
      </c>
      <c r="R4195">
        <v>0</v>
      </c>
      <c r="W4195" t="s">
        <v>1125</v>
      </c>
      <c r="AA4195">
        <v>2007</v>
      </c>
      <c r="AB4195">
        <v>9999</v>
      </c>
      <c r="AC4195" t="s">
        <v>35</v>
      </c>
    </row>
    <row r="4196" spans="1:29" x14ac:dyDescent="0.25">
      <c r="A4196" s="31" t="s">
        <v>1362</v>
      </c>
      <c r="B4196" s="23" t="s">
        <v>1363</v>
      </c>
      <c r="D4196">
        <v>1</v>
      </c>
      <c r="E4196" t="s">
        <v>631</v>
      </c>
      <c r="F4196">
        <v>8</v>
      </c>
      <c r="G4196">
        <v>2011</v>
      </c>
      <c r="I4196">
        <v>23.35</v>
      </c>
      <c r="J4196" t="s">
        <v>81</v>
      </c>
      <c r="K4196" t="s">
        <v>47</v>
      </c>
      <c r="O4196">
        <v>0</v>
      </c>
      <c r="P4196">
        <v>0</v>
      </c>
      <c r="Q4196">
        <v>0</v>
      </c>
      <c r="R4196">
        <v>0</v>
      </c>
      <c r="W4196" t="s">
        <v>1364</v>
      </c>
      <c r="AA4196">
        <v>2011</v>
      </c>
      <c r="AB4196">
        <v>9999</v>
      </c>
      <c r="AC4196" t="s">
        <v>1365</v>
      </c>
    </row>
    <row r="4197" spans="1:29" x14ac:dyDescent="0.25">
      <c r="A4197" s="31" t="s">
        <v>1248</v>
      </c>
      <c r="B4197" s="23" t="s">
        <v>1249</v>
      </c>
      <c r="C4197" t="s">
        <v>1250</v>
      </c>
      <c r="D4197">
        <v>1</v>
      </c>
      <c r="E4197" t="s">
        <v>1251</v>
      </c>
      <c r="F4197">
        <v>2</v>
      </c>
      <c r="G4197">
        <v>2011</v>
      </c>
      <c r="I4197">
        <v>922.07</v>
      </c>
      <c r="J4197" t="s">
        <v>147</v>
      </c>
      <c r="K4197" t="s">
        <v>47</v>
      </c>
      <c r="O4197">
        <v>0</v>
      </c>
      <c r="P4197">
        <v>0</v>
      </c>
      <c r="Q4197">
        <v>0</v>
      </c>
      <c r="R4197">
        <v>0</v>
      </c>
      <c r="W4197" t="s">
        <v>1252</v>
      </c>
      <c r="AA4197">
        <v>2009</v>
      </c>
      <c r="AB4197">
        <v>9999</v>
      </c>
      <c r="AC4197" t="s">
        <v>1239</v>
      </c>
    </row>
    <row r="4198" spans="1:29" ht="30" x14ac:dyDescent="0.25">
      <c r="A4198" s="31" t="s">
        <v>1305</v>
      </c>
      <c r="B4198" s="23" t="s">
        <v>1306</v>
      </c>
      <c r="C4198" t="s">
        <v>1307</v>
      </c>
      <c r="D4198">
        <v>1</v>
      </c>
      <c r="E4198" t="s">
        <v>45</v>
      </c>
      <c r="F4198">
        <v>4</v>
      </c>
      <c r="G4198">
        <v>2011</v>
      </c>
      <c r="I4198">
        <v>56.3</v>
      </c>
      <c r="J4198" t="s">
        <v>89</v>
      </c>
      <c r="K4198" t="s">
        <v>47</v>
      </c>
      <c r="O4198">
        <v>0</v>
      </c>
      <c r="P4198">
        <v>0</v>
      </c>
      <c r="Q4198">
        <v>0</v>
      </c>
      <c r="R4198">
        <v>0</v>
      </c>
      <c r="W4198" t="s">
        <v>1308</v>
      </c>
      <c r="AA4198">
        <v>2010</v>
      </c>
      <c r="AB4198">
        <v>9999</v>
      </c>
      <c r="AC4198" t="s">
        <v>1292</v>
      </c>
    </row>
    <row r="4199" spans="1:29" x14ac:dyDescent="0.25">
      <c r="A4199" s="31" t="s">
        <v>556</v>
      </c>
      <c r="B4199" s="23" t="s">
        <v>557</v>
      </c>
      <c r="D4199">
        <v>1</v>
      </c>
      <c r="E4199" t="s">
        <v>45</v>
      </c>
      <c r="F4199">
        <v>4</v>
      </c>
      <c r="G4199">
        <v>2011</v>
      </c>
      <c r="I4199">
        <v>40.549999999999997</v>
      </c>
      <c r="J4199" t="s">
        <v>176</v>
      </c>
      <c r="K4199" t="s">
        <v>47</v>
      </c>
      <c r="O4199">
        <v>0</v>
      </c>
      <c r="P4199">
        <v>0</v>
      </c>
      <c r="Q4199">
        <v>0</v>
      </c>
      <c r="R4199">
        <v>0</v>
      </c>
      <c r="W4199" t="s">
        <v>1127</v>
      </c>
      <c r="AA4199">
        <v>2007</v>
      </c>
      <c r="AB4199">
        <v>2012</v>
      </c>
      <c r="AC4199" t="s">
        <v>302</v>
      </c>
    </row>
    <row r="4200" spans="1:29" x14ac:dyDescent="0.25">
      <c r="A4200" s="31" t="s">
        <v>1366</v>
      </c>
      <c r="B4200" s="23" t="s">
        <v>1367</v>
      </c>
      <c r="C4200" t="s">
        <v>1368</v>
      </c>
      <c r="D4200">
        <v>1</v>
      </c>
      <c r="E4200" t="s">
        <v>468</v>
      </c>
      <c r="F4200">
        <v>7</v>
      </c>
      <c r="G4200">
        <v>2011</v>
      </c>
      <c r="I4200">
        <v>8.5</v>
      </c>
      <c r="J4200" t="s">
        <v>40</v>
      </c>
      <c r="K4200" t="s">
        <v>32</v>
      </c>
      <c r="O4200">
        <v>0</v>
      </c>
      <c r="P4200">
        <v>0</v>
      </c>
      <c r="Q4200">
        <v>0</v>
      </c>
      <c r="R4200">
        <v>0</v>
      </c>
      <c r="W4200" t="s">
        <v>1369</v>
      </c>
      <c r="AA4200">
        <v>2011</v>
      </c>
      <c r="AB4200">
        <v>9999</v>
      </c>
      <c r="AC4200" t="s">
        <v>1365</v>
      </c>
    </row>
    <row r="4201" spans="1:29" x14ac:dyDescent="0.25">
      <c r="A4201" s="31" t="s">
        <v>1309</v>
      </c>
      <c r="B4201" s="23" t="s">
        <v>1310</v>
      </c>
      <c r="C4201" t="s">
        <v>1311</v>
      </c>
      <c r="D4201">
        <v>1</v>
      </c>
      <c r="E4201" t="s">
        <v>1312</v>
      </c>
      <c r="F4201">
        <v>9</v>
      </c>
      <c r="G4201">
        <v>2011</v>
      </c>
      <c r="I4201">
        <v>79.25</v>
      </c>
      <c r="J4201" t="s">
        <v>104</v>
      </c>
      <c r="K4201" t="s">
        <v>47</v>
      </c>
      <c r="O4201">
        <v>0</v>
      </c>
      <c r="P4201">
        <v>0</v>
      </c>
      <c r="Q4201">
        <v>0</v>
      </c>
      <c r="R4201">
        <v>0</v>
      </c>
      <c r="W4201" t="s">
        <v>1313</v>
      </c>
      <c r="AA4201">
        <v>2010</v>
      </c>
      <c r="AB4201">
        <v>9999</v>
      </c>
      <c r="AC4201" t="s">
        <v>1292</v>
      </c>
    </row>
    <row r="4202" spans="1:29" x14ac:dyDescent="0.25">
      <c r="A4202" s="31" t="s">
        <v>559</v>
      </c>
      <c r="B4202" s="23" t="s">
        <v>560</v>
      </c>
      <c r="C4202" t="s">
        <v>561</v>
      </c>
      <c r="D4202">
        <v>1</v>
      </c>
      <c r="E4202" t="s">
        <v>103</v>
      </c>
      <c r="F4202">
        <v>9</v>
      </c>
      <c r="G4202">
        <v>2011</v>
      </c>
      <c r="I4202">
        <v>790.35</v>
      </c>
      <c r="J4202" t="s">
        <v>104</v>
      </c>
      <c r="K4202" t="s">
        <v>53</v>
      </c>
      <c r="L4202" t="s">
        <v>105</v>
      </c>
      <c r="O4202">
        <v>0</v>
      </c>
      <c r="P4202">
        <v>1</v>
      </c>
      <c r="Q4202">
        <v>0</v>
      </c>
      <c r="R4202">
        <v>0</v>
      </c>
      <c r="W4202" t="s">
        <v>106</v>
      </c>
      <c r="AA4202">
        <v>2007</v>
      </c>
      <c r="AB4202">
        <v>9999</v>
      </c>
      <c r="AC4202" t="s">
        <v>35</v>
      </c>
    </row>
    <row r="4203" spans="1:29" ht="30" x14ac:dyDescent="0.25">
      <c r="A4203" s="31" t="s">
        <v>562</v>
      </c>
      <c r="B4203" s="23" t="s">
        <v>563</v>
      </c>
      <c r="D4203">
        <v>1</v>
      </c>
      <c r="E4203" t="s">
        <v>80</v>
      </c>
      <c r="F4203">
        <v>8</v>
      </c>
      <c r="G4203">
        <v>2011</v>
      </c>
      <c r="I4203">
        <v>160.88</v>
      </c>
      <c r="J4203" t="s">
        <v>81</v>
      </c>
      <c r="K4203" t="s">
        <v>47</v>
      </c>
      <c r="O4203">
        <v>0</v>
      </c>
      <c r="P4203">
        <v>0</v>
      </c>
      <c r="Q4203">
        <v>0</v>
      </c>
      <c r="R4203">
        <v>0</v>
      </c>
      <c r="W4203" t="s">
        <v>1128</v>
      </c>
      <c r="AA4203">
        <v>2007</v>
      </c>
      <c r="AB4203">
        <v>9999</v>
      </c>
      <c r="AC4203" t="s">
        <v>35</v>
      </c>
    </row>
    <row r="4204" spans="1:29" x14ac:dyDescent="0.25">
      <c r="A4204" s="31" t="s">
        <v>568</v>
      </c>
      <c r="B4204" s="23" t="s">
        <v>569</v>
      </c>
      <c r="D4204">
        <v>1</v>
      </c>
      <c r="E4204" t="s">
        <v>80</v>
      </c>
      <c r="F4204">
        <v>8</v>
      </c>
      <c r="G4204">
        <v>2011</v>
      </c>
      <c r="I4204">
        <v>232.55</v>
      </c>
      <c r="J4204" t="s">
        <v>81</v>
      </c>
      <c r="K4204" t="s">
        <v>47</v>
      </c>
      <c r="O4204">
        <v>0</v>
      </c>
      <c r="P4204">
        <v>0</v>
      </c>
      <c r="Q4204">
        <v>0</v>
      </c>
      <c r="R4204">
        <v>0</v>
      </c>
      <c r="W4204" t="s">
        <v>1129</v>
      </c>
      <c r="AA4204">
        <v>2007</v>
      </c>
      <c r="AB4204">
        <v>9999</v>
      </c>
      <c r="AC4204" t="s">
        <v>35</v>
      </c>
    </row>
    <row r="4205" spans="1:29" x14ac:dyDescent="0.25">
      <c r="A4205" s="31" t="s">
        <v>571</v>
      </c>
      <c r="B4205" s="23" t="s">
        <v>572</v>
      </c>
      <c r="D4205">
        <v>1</v>
      </c>
      <c r="E4205" t="s">
        <v>370</v>
      </c>
      <c r="F4205">
        <v>5</v>
      </c>
      <c r="G4205">
        <v>2011</v>
      </c>
      <c r="I4205">
        <v>460.05</v>
      </c>
      <c r="J4205" t="s">
        <v>31</v>
      </c>
      <c r="K4205" t="s">
        <v>47</v>
      </c>
      <c r="O4205">
        <v>0</v>
      </c>
      <c r="P4205">
        <v>0</v>
      </c>
      <c r="Q4205">
        <v>0</v>
      </c>
      <c r="R4205">
        <v>0</v>
      </c>
      <c r="W4205" t="s">
        <v>1314</v>
      </c>
      <c r="AA4205">
        <v>2007</v>
      </c>
      <c r="AB4205">
        <v>9999</v>
      </c>
      <c r="AC4205" t="s">
        <v>35</v>
      </c>
    </row>
    <row r="4206" spans="1:29" x14ac:dyDescent="0.25">
      <c r="A4206" s="31" t="s">
        <v>574</v>
      </c>
      <c r="B4206" s="23" t="s">
        <v>575</v>
      </c>
      <c r="D4206">
        <v>1</v>
      </c>
      <c r="E4206" t="s">
        <v>222</v>
      </c>
      <c r="F4206">
        <v>1</v>
      </c>
      <c r="G4206">
        <v>2011</v>
      </c>
      <c r="I4206">
        <v>40.33</v>
      </c>
      <c r="J4206" t="s">
        <v>176</v>
      </c>
      <c r="K4206" t="s">
        <v>47</v>
      </c>
      <c r="O4206">
        <v>0</v>
      </c>
      <c r="P4206">
        <v>0</v>
      </c>
      <c r="Q4206">
        <v>0</v>
      </c>
      <c r="R4206">
        <v>0</v>
      </c>
      <c r="W4206" t="s">
        <v>1131</v>
      </c>
      <c r="AA4206">
        <v>2007</v>
      </c>
      <c r="AB4206">
        <v>9999</v>
      </c>
      <c r="AC4206" t="s">
        <v>35</v>
      </c>
    </row>
    <row r="4207" spans="1:29" x14ac:dyDescent="0.25">
      <c r="A4207" s="31" t="s">
        <v>577</v>
      </c>
      <c r="B4207" s="23" t="s">
        <v>578</v>
      </c>
      <c r="D4207">
        <v>1</v>
      </c>
      <c r="E4207" t="s">
        <v>396</v>
      </c>
      <c r="F4207">
        <v>3</v>
      </c>
      <c r="G4207">
        <v>2011</v>
      </c>
      <c r="H4207" t="s">
        <v>579</v>
      </c>
      <c r="I4207">
        <v>0.1</v>
      </c>
      <c r="J4207" t="s">
        <v>121</v>
      </c>
      <c r="K4207" t="s">
        <v>41</v>
      </c>
      <c r="O4207">
        <v>0</v>
      </c>
      <c r="P4207">
        <v>0</v>
      </c>
      <c r="Q4207">
        <v>0</v>
      </c>
      <c r="R4207">
        <v>0</v>
      </c>
      <c r="W4207" t="s">
        <v>1132</v>
      </c>
      <c r="AA4207">
        <v>2007</v>
      </c>
      <c r="AB4207">
        <v>9999</v>
      </c>
      <c r="AC4207" t="s">
        <v>35</v>
      </c>
    </row>
    <row r="4208" spans="1:29" x14ac:dyDescent="0.25">
      <c r="A4208" s="31" t="s">
        <v>581</v>
      </c>
      <c r="B4208" s="23" t="s">
        <v>582</v>
      </c>
      <c r="D4208">
        <v>1</v>
      </c>
      <c r="E4208" t="s">
        <v>80</v>
      </c>
      <c r="F4208">
        <v>8</v>
      </c>
      <c r="G4208">
        <v>2011</v>
      </c>
      <c r="H4208" t="s">
        <v>1315</v>
      </c>
      <c r="I4208">
        <v>2.5</v>
      </c>
      <c r="J4208" t="s">
        <v>81</v>
      </c>
      <c r="K4208" t="s">
        <v>41</v>
      </c>
      <c r="O4208">
        <v>0</v>
      </c>
      <c r="P4208">
        <v>0</v>
      </c>
      <c r="Q4208">
        <v>0</v>
      </c>
      <c r="R4208">
        <v>0</v>
      </c>
      <c r="W4208" t="s">
        <v>1133</v>
      </c>
      <c r="AA4208">
        <v>2007</v>
      </c>
      <c r="AB4208">
        <v>9999</v>
      </c>
      <c r="AC4208" t="s">
        <v>35</v>
      </c>
    </row>
    <row r="4209" spans="1:29" x14ac:dyDescent="0.25">
      <c r="A4209" s="31" t="s">
        <v>590</v>
      </c>
      <c r="B4209" s="23" t="s">
        <v>591</v>
      </c>
      <c r="D4209">
        <v>1</v>
      </c>
      <c r="E4209" t="s">
        <v>592</v>
      </c>
      <c r="F4209">
        <v>8</v>
      </c>
      <c r="G4209">
        <v>2011</v>
      </c>
      <c r="I4209">
        <v>3.9</v>
      </c>
      <c r="J4209" t="s">
        <v>40</v>
      </c>
      <c r="K4209" t="s">
        <v>41</v>
      </c>
      <c r="O4209">
        <v>0</v>
      </c>
      <c r="P4209">
        <v>0</v>
      </c>
      <c r="Q4209">
        <v>0</v>
      </c>
      <c r="R4209">
        <v>0</v>
      </c>
      <c r="W4209" t="s">
        <v>1134</v>
      </c>
      <c r="AA4209">
        <v>2007</v>
      </c>
      <c r="AB4209">
        <v>9999</v>
      </c>
      <c r="AC4209" t="s">
        <v>35</v>
      </c>
    </row>
    <row r="4210" spans="1:29" x14ac:dyDescent="0.25">
      <c r="A4210" s="31" t="s">
        <v>594</v>
      </c>
      <c r="B4210" s="23" t="s">
        <v>595</v>
      </c>
      <c r="D4210">
        <v>1</v>
      </c>
      <c r="E4210" t="s">
        <v>38</v>
      </c>
      <c r="F4210">
        <v>4</v>
      </c>
      <c r="G4210">
        <v>2011</v>
      </c>
      <c r="H4210" t="s">
        <v>906</v>
      </c>
      <c r="I4210">
        <v>0.15</v>
      </c>
      <c r="J4210" t="s">
        <v>59</v>
      </c>
      <c r="K4210" t="s">
        <v>41</v>
      </c>
      <c r="O4210">
        <v>0</v>
      </c>
      <c r="P4210">
        <v>0</v>
      </c>
      <c r="Q4210">
        <v>0</v>
      </c>
      <c r="R4210">
        <v>0</v>
      </c>
      <c r="W4210" t="s">
        <v>1135</v>
      </c>
      <c r="AA4210">
        <v>2007</v>
      </c>
      <c r="AB4210">
        <v>9999</v>
      </c>
      <c r="AC4210" t="s">
        <v>35</v>
      </c>
    </row>
    <row r="4211" spans="1:29" x14ac:dyDescent="0.25">
      <c r="A4211" s="31" t="s">
        <v>1253</v>
      </c>
      <c r="B4211" s="23" t="s">
        <v>598</v>
      </c>
      <c r="D4211">
        <v>1</v>
      </c>
      <c r="E4211" t="s">
        <v>38</v>
      </c>
      <c r="F4211">
        <v>4</v>
      </c>
      <c r="G4211">
        <v>2011</v>
      </c>
      <c r="H4211" t="s">
        <v>39</v>
      </c>
      <c r="I4211">
        <v>0.1</v>
      </c>
      <c r="J4211" t="s">
        <v>59</v>
      </c>
      <c r="K4211" t="s">
        <v>41</v>
      </c>
      <c r="O4211">
        <v>0</v>
      </c>
      <c r="P4211">
        <v>0</v>
      </c>
      <c r="Q4211">
        <v>0</v>
      </c>
      <c r="R4211">
        <v>0</v>
      </c>
      <c r="W4211" t="s">
        <v>1254</v>
      </c>
      <c r="AA4211">
        <v>2009</v>
      </c>
      <c r="AB4211">
        <v>9999</v>
      </c>
      <c r="AC4211" t="s">
        <v>1239</v>
      </c>
    </row>
    <row r="4212" spans="1:29" x14ac:dyDescent="0.25">
      <c r="A4212" s="31" t="s">
        <v>601</v>
      </c>
      <c r="B4212" s="23" t="s">
        <v>602</v>
      </c>
      <c r="D4212">
        <v>1</v>
      </c>
      <c r="E4212" t="s">
        <v>145</v>
      </c>
      <c r="F4212">
        <v>2</v>
      </c>
      <c r="G4212">
        <v>2011</v>
      </c>
      <c r="H4212" t="s">
        <v>596</v>
      </c>
      <c r="I4212">
        <v>2.5000000000000001E-2</v>
      </c>
      <c r="J4212" s="2" t="s">
        <v>89</v>
      </c>
      <c r="K4212" t="s">
        <v>41</v>
      </c>
      <c r="O4212">
        <v>0</v>
      </c>
      <c r="P4212">
        <v>0</v>
      </c>
      <c r="Q4212">
        <v>0</v>
      </c>
      <c r="R4212">
        <v>0</v>
      </c>
      <c r="W4212" t="s">
        <v>1137</v>
      </c>
      <c r="AA4212">
        <v>2007</v>
      </c>
      <c r="AB4212">
        <v>9999</v>
      </c>
      <c r="AC4212" t="s">
        <v>35</v>
      </c>
    </row>
    <row r="4213" spans="1:29" x14ac:dyDescent="0.25">
      <c r="A4213" s="31" t="s">
        <v>611</v>
      </c>
      <c r="B4213" s="23" t="s">
        <v>612</v>
      </c>
      <c r="D4213">
        <v>1</v>
      </c>
      <c r="E4213" t="s">
        <v>103</v>
      </c>
      <c r="F4213">
        <v>9</v>
      </c>
      <c r="G4213">
        <v>2011</v>
      </c>
      <c r="I4213">
        <v>20.8</v>
      </c>
      <c r="J4213" t="s">
        <v>104</v>
      </c>
      <c r="K4213" t="s">
        <v>53</v>
      </c>
      <c r="L4213" t="s">
        <v>105</v>
      </c>
      <c r="O4213">
        <v>0</v>
      </c>
      <c r="P4213">
        <v>1</v>
      </c>
      <c r="Q4213">
        <v>0</v>
      </c>
      <c r="R4213">
        <v>0</v>
      </c>
      <c r="W4213" t="s">
        <v>106</v>
      </c>
      <c r="AA4213">
        <v>2007</v>
      </c>
      <c r="AB4213">
        <v>2013</v>
      </c>
      <c r="AC4213" t="s">
        <v>139</v>
      </c>
    </row>
    <row r="4214" spans="1:29" x14ac:dyDescent="0.25">
      <c r="A4214" s="31" t="s">
        <v>613</v>
      </c>
      <c r="B4214" s="23" t="s">
        <v>254</v>
      </c>
      <c r="C4214" t="s">
        <v>614</v>
      </c>
      <c r="D4214">
        <v>1</v>
      </c>
      <c r="E4214" t="s">
        <v>45</v>
      </c>
      <c r="F4214">
        <v>4</v>
      </c>
      <c r="G4214">
        <v>2011</v>
      </c>
      <c r="I4214">
        <v>340.6</v>
      </c>
      <c r="J4214" t="s">
        <v>89</v>
      </c>
      <c r="K4214" t="s">
        <v>47</v>
      </c>
      <c r="O4214">
        <v>0</v>
      </c>
      <c r="P4214">
        <v>0</v>
      </c>
      <c r="Q4214">
        <v>0</v>
      </c>
      <c r="R4214">
        <v>0</v>
      </c>
      <c r="W4214" t="s">
        <v>1140</v>
      </c>
      <c r="AA4214">
        <v>2007</v>
      </c>
      <c r="AB4214">
        <v>9999</v>
      </c>
      <c r="AC4214" t="s">
        <v>35</v>
      </c>
    </row>
    <row r="4215" spans="1:29" x14ac:dyDescent="0.25">
      <c r="A4215" s="31" t="s">
        <v>616</v>
      </c>
      <c r="B4215" s="23" t="s">
        <v>617</v>
      </c>
      <c r="D4215">
        <v>1</v>
      </c>
      <c r="E4215" t="s">
        <v>45</v>
      </c>
      <c r="F4215">
        <v>4</v>
      </c>
      <c r="G4215">
        <v>2011</v>
      </c>
      <c r="I4215">
        <v>16.34</v>
      </c>
      <c r="J4215" t="s">
        <v>89</v>
      </c>
      <c r="K4215" t="s">
        <v>53</v>
      </c>
      <c r="L4215" t="s">
        <v>60</v>
      </c>
      <c r="O4215">
        <v>1</v>
      </c>
      <c r="P4215">
        <v>0</v>
      </c>
      <c r="Q4215">
        <v>0</v>
      </c>
      <c r="R4215">
        <v>0</v>
      </c>
      <c r="W4215" t="s">
        <v>618</v>
      </c>
      <c r="AA4215">
        <v>2007</v>
      </c>
      <c r="AB4215">
        <v>2016</v>
      </c>
      <c r="AC4215" t="s">
        <v>528</v>
      </c>
    </row>
    <row r="4216" spans="1:29" x14ac:dyDescent="0.25">
      <c r="A4216" s="31" t="s">
        <v>1370</v>
      </c>
      <c r="B4216" s="23" t="s">
        <v>1371</v>
      </c>
      <c r="D4216">
        <v>1</v>
      </c>
      <c r="E4216" s="4">
        <v>411</v>
      </c>
      <c r="F4216">
        <v>4</v>
      </c>
      <c r="G4216">
        <v>2011</v>
      </c>
      <c r="H4216" t="s">
        <v>111</v>
      </c>
      <c r="I4216">
        <v>0.85</v>
      </c>
      <c r="J4216" t="s">
        <v>89</v>
      </c>
      <c r="K4216" t="s">
        <v>41</v>
      </c>
      <c r="O4216">
        <v>0</v>
      </c>
      <c r="P4216">
        <v>0</v>
      </c>
      <c r="Q4216">
        <v>0</v>
      </c>
      <c r="R4216">
        <v>0</v>
      </c>
      <c r="W4216" t="s">
        <v>1372</v>
      </c>
      <c r="AA4216">
        <v>2011</v>
      </c>
      <c r="AB4216">
        <v>9999</v>
      </c>
      <c r="AC4216" t="s">
        <v>1365</v>
      </c>
    </row>
    <row r="4217" spans="1:29" x14ac:dyDescent="0.25">
      <c r="A4217" s="31" t="s">
        <v>1317</v>
      </c>
      <c r="B4217" s="23" t="s">
        <v>1318</v>
      </c>
      <c r="D4217">
        <v>1</v>
      </c>
      <c r="E4217" t="s">
        <v>1319</v>
      </c>
      <c r="F4217">
        <v>10</v>
      </c>
      <c r="G4217">
        <v>2011</v>
      </c>
      <c r="I4217">
        <v>933.89</v>
      </c>
      <c r="J4217" t="s">
        <v>40</v>
      </c>
      <c r="K4217" t="s">
        <v>32</v>
      </c>
      <c r="O4217">
        <v>0</v>
      </c>
      <c r="P4217">
        <v>0</v>
      </c>
      <c r="Q4217">
        <v>0</v>
      </c>
      <c r="R4217">
        <v>0</v>
      </c>
      <c r="W4217" t="s">
        <v>1320</v>
      </c>
      <c r="AA4217">
        <v>2010</v>
      </c>
      <c r="AB4217">
        <v>9999</v>
      </c>
      <c r="AC4217" t="s">
        <v>1292</v>
      </c>
    </row>
    <row r="4218" spans="1:29" x14ac:dyDescent="0.25">
      <c r="A4218" s="31" t="s">
        <v>616</v>
      </c>
      <c r="B4218" s="23" t="s">
        <v>619</v>
      </c>
      <c r="D4218">
        <v>1</v>
      </c>
      <c r="E4218" t="s">
        <v>620</v>
      </c>
      <c r="F4218">
        <v>5</v>
      </c>
      <c r="G4218">
        <v>2011</v>
      </c>
      <c r="I4218">
        <v>25.13</v>
      </c>
      <c r="J4218" t="s">
        <v>104</v>
      </c>
      <c r="K4218" t="s">
        <v>47</v>
      </c>
      <c r="O4218">
        <v>0</v>
      </c>
      <c r="P4218">
        <v>0</v>
      </c>
      <c r="Q4218">
        <v>0</v>
      </c>
      <c r="R4218">
        <v>0</v>
      </c>
      <c r="W4218" t="s">
        <v>1141</v>
      </c>
      <c r="AA4218">
        <v>2007</v>
      </c>
      <c r="AB4218">
        <v>2016</v>
      </c>
      <c r="AC4218" t="s">
        <v>528</v>
      </c>
    </row>
    <row r="4219" spans="1:29" x14ac:dyDescent="0.25">
      <c r="A4219" s="31" t="s">
        <v>622</v>
      </c>
      <c r="B4219" s="23" t="s">
        <v>623</v>
      </c>
      <c r="C4219" t="s">
        <v>624</v>
      </c>
      <c r="D4219">
        <v>1</v>
      </c>
      <c r="E4219" t="s">
        <v>625</v>
      </c>
      <c r="F4219">
        <v>4</v>
      </c>
      <c r="G4219">
        <v>2011</v>
      </c>
      <c r="I4219">
        <v>233.5</v>
      </c>
      <c r="J4219" t="s">
        <v>89</v>
      </c>
      <c r="K4219" t="s">
        <v>32</v>
      </c>
      <c r="O4219">
        <v>0</v>
      </c>
      <c r="P4219">
        <v>0</v>
      </c>
      <c r="Q4219">
        <v>0</v>
      </c>
      <c r="R4219">
        <v>0</v>
      </c>
      <c r="W4219" t="s">
        <v>1142</v>
      </c>
      <c r="AA4219">
        <v>2007</v>
      </c>
      <c r="AB4219">
        <v>9999</v>
      </c>
      <c r="AC4219" t="s">
        <v>35</v>
      </c>
    </row>
    <row r="4220" spans="1:29" x14ac:dyDescent="0.25">
      <c r="A4220" s="31" t="s">
        <v>629</v>
      </c>
      <c r="B4220" s="23" t="s">
        <v>630</v>
      </c>
      <c r="D4220">
        <v>1</v>
      </c>
      <c r="E4220" t="s">
        <v>631</v>
      </c>
      <c r="F4220">
        <v>8</v>
      </c>
      <c r="G4220">
        <v>2011</v>
      </c>
      <c r="I4220">
        <v>4</v>
      </c>
      <c r="J4220" t="s">
        <v>81</v>
      </c>
      <c r="K4220" t="s">
        <v>41</v>
      </c>
      <c r="O4220">
        <v>0</v>
      </c>
      <c r="P4220">
        <v>0</v>
      </c>
      <c r="Q4220">
        <v>0</v>
      </c>
      <c r="R4220">
        <v>0</v>
      </c>
      <c r="W4220" t="s">
        <v>1144</v>
      </c>
      <c r="AA4220">
        <v>2007</v>
      </c>
      <c r="AB4220">
        <v>2014</v>
      </c>
      <c r="AC4220" t="s">
        <v>633</v>
      </c>
    </row>
    <row r="4221" spans="1:29" x14ac:dyDescent="0.25">
      <c r="A4221" s="31" t="s">
        <v>199</v>
      </c>
      <c r="B4221" s="23" t="s">
        <v>1255</v>
      </c>
      <c r="D4221">
        <v>1</v>
      </c>
      <c r="E4221" t="s">
        <v>38</v>
      </c>
      <c r="F4221">
        <v>4</v>
      </c>
      <c r="G4221">
        <v>2011</v>
      </c>
      <c r="H4221" t="s">
        <v>39</v>
      </c>
      <c r="I4221">
        <v>0.01</v>
      </c>
      <c r="J4221" t="s">
        <v>52</v>
      </c>
      <c r="K4221" t="s">
        <v>41</v>
      </c>
      <c r="O4221">
        <v>0</v>
      </c>
      <c r="P4221">
        <v>0</v>
      </c>
      <c r="Q4221">
        <v>0</v>
      </c>
      <c r="R4221">
        <v>0</v>
      </c>
      <c r="W4221" t="s">
        <v>1256</v>
      </c>
      <c r="AA4221">
        <v>2007</v>
      </c>
      <c r="AB4221">
        <v>9999</v>
      </c>
      <c r="AC4221" t="s">
        <v>35</v>
      </c>
    </row>
    <row r="4222" spans="1:29" x14ac:dyDescent="0.25">
      <c r="A4222" s="31" t="s">
        <v>641</v>
      </c>
      <c r="B4222" s="23" t="s">
        <v>642</v>
      </c>
      <c r="D4222">
        <v>1</v>
      </c>
      <c r="E4222" t="s">
        <v>348</v>
      </c>
      <c r="F4222">
        <v>1</v>
      </c>
      <c r="G4222">
        <v>2011</v>
      </c>
      <c r="I4222">
        <v>4227.8500000000004</v>
      </c>
      <c r="J4222" t="s">
        <v>268</v>
      </c>
      <c r="K4222" t="s">
        <v>53</v>
      </c>
      <c r="L4222" t="s">
        <v>642</v>
      </c>
      <c r="O4222">
        <v>0</v>
      </c>
      <c r="P4222">
        <v>0</v>
      </c>
      <c r="Q4222">
        <v>0</v>
      </c>
      <c r="R4222">
        <v>0</v>
      </c>
      <c r="W4222" t="s">
        <v>643</v>
      </c>
      <c r="AA4222">
        <v>2007</v>
      </c>
      <c r="AB4222">
        <v>9999</v>
      </c>
      <c r="AC4222" t="s">
        <v>35</v>
      </c>
    </row>
    <row r="4223" spans="1:29" x14ac:dyDescent="0.25">
      <c r="A4223" s="31" t="s">
        <v>646</v>
      </c>
      <c r="B4223" s="26" t="s">
        <v>647</v>
      </c>
      <c r="D4223">
        <v>1</v>
      </c>
      <c r="E4223" t="s">
        <v>128</v>
      </c>
      <c r="F4223">
        <v>9</v>
      </c>
      <c r="G4223">
        <v>2011</v>
      </c>
      <c r="H4223" t="s">
        <v>260</v>
      </c>
      <c r="I4223">
        <v>2.75</v>
      </c>
      <c r="J4223" t="s">
        <v>104</v>
      </c>
      <c r="K4223" t="s">
        <v>41</v>
      </c>
      <c r="O4223">
        <v>0</v>
      </c>
      <c r="P4223">
        <v>0</v>
      </c>
      <c r="Q4223">
        <v>0</v>
      </c>
      <c r="R4223">
        <v>0</v>
      </c>
      <c r="W4223" t="s">
        <v>1147</v>
      </c>
      <c r="AA4223">
        <v>2007</v>
      </c>
      <c r="AB4223">
        <v>2018</v>
      </c>
      <c r="AC4223" t="s">
        <v>649</v>
      </c>
    </row>
    <row r="4224" spans="1:29" x14ac:dyDescent="0.25">
      <c r="A4224" s="31" t="s">
        <v>650</v>
      </c>
      <c r="B4224" s="23" t="s">
        <v>651</v>
      </c>
      <c r="D4224">
        <v>1</v>
      </c>
      <c r="E4224" t="s">
        <v>128</v>
      </c>
      <c r="F4224">
        <v>9</v>
      </c>
      <c r="G4224">
        <v>2011</v>
      </c>
      <c r="H4224" t="s">
        <v>431</v>
      </c>
      <c r="I4224">
        <v>1.5</v>
      </c>
      <c r="J4224" t="s">
        <v>104</v>
      </c>
      <c r="K4224" t="s">
        <v>41</v>
      </c>
      <c r="O4224">
        <v>0</v>
      </c>
      <c r="P4224">
        <v>0</v>
      </c>
      <c r="Q4224">
        <v>0</v>
      </c>
      <c r="R4224">
        <v>0</v>
      </c>
      <c r="W4224" t="s">
        <v>1147</v>
      </c>
      <c r="AA4224">
        <v>2007</v>
      </c>
      <c r="AB4224">
        <v>2018</v>
      </c>
      <c r="AC4224" t="s">
        <v>649</v>
      </c>
    </row>
    <row r="4225" spans="1:29" x14ac:dyDescent="0.25">
      <c r="A4225" s="31" t="s">
        <v>652</v>
      </c>
      <c r="B4225" s="23" t="s">
        <v>653</v>
      </c>
      <c r="D4225">
        <v>1</v>
      </c>
      <c r="E4225" t="s">
        <v>128</v>
      </c>
      <c r="F4225">
        <v>9</v>
      </c>
      <c r="G4225">
        <v>2011</v>
      </c>
      <c r="H4225" t="s">
        <v>461</v>
      </c>
      <c r="I4225">
        <v>2.75</v>
      </c>
      <c r="J4225" t="s">
        <v>104</v>
      </c>
      <c r="K4225" t="s">
        <v>41</v>
      </c>
      <c r="O4225">
        <v>0</v>
      </c>
      <c r="P4225">
        <v>0</v>
      </c>
      <c r="Q4225">
        <v>0</v>
      </c>
      <c r="R4225">
        <v>0</v>
      </c>
      <c r="W4225" t="s">
        <v>1147</v>
      </c>
      <c r="AA4225">
        <v>2007</v>
      </c>
      <c r="AB4225">
        <v>2018</v>
      </c>
      <c r="AC4225" t="s">
        <v>649</v>
      </c>
    </row>
    <row r="4226" spans="1:29" x14ac:dyDescent="0.25">
      <c r="A4226" s="31" t="s">
        <v>654</v>
      </c>
      <c r="B4226" s="23" t="s">
        <v>655</v>
      </c>
      <c r="D4226">
        <v>1</v>
      </c>
      <c r="E4226" t="s">
        <v>128</v>
      </c>
      <c r="F4226">
        <v>9</v>
      </c>
      <c r="G4226">
        <v>2011</v>
      </c>
      <c r="H4226" t="s">
        <v>365</v>
      </c>
      <c r="I4226">
        <v>5</v>
      </c>
      <c r="J4226" t="s">
        <v>104</v>
      </c>
      <c r="K4226" t="s">
        <v>41</v>
      </c>
      <c r="O4226">
        <v>0</v>
      </c>
      <c r="P4226">
        <v>0</v>
      </c>
      <c r="Q4226">
        <v>0</v>
      </c>
      <c r="R4226">
        <v>0</v>
      </c>
      <c r="W4226" t="s">
        <v>1147</v>
      </c>
      <c r="AA4226">
        <v>2007</v>
      </c>
      <c r="AB4226">
        <v>2018</v>
      </c>
      <c r="AC4226" t="s">
        <v>649</v>
      </c>
    </row>
    <row r="4227" spans="1:29" x14ac:dyDescent="0.25">
      <c r="A4227" s="31" t="s">
        <v>656</v>
      </c>
      <c r="B4227" s="23" t="s">
        <v>657</v>
      </c>
      <c r="D4227">
        <v>1</v>
      </c>
      <c r="E4227" t="s">
        <v>128</v>
      </c>
      <c r="F4227">
        <v>9</v>
      </c>
      <c r="G4227">
        <v>2011</v>
      </c>
      <c r="H4227" t="s">
        <v>658</v>
      </c>
      <c r="I4227">
        <v>1.5</v>
      </c>
      <c r="J4227" t="s">
        <v>104</v>
      </c>
      <c r="K4227" t="s">
        <v>41</v>
      </c>
      <c r="O4227">
        <v>0</v>
      </c>
      <c r="P4227">
        <v>0</v>
      </c>
      <c r="Q4227">
        <v>0</v>
      </c>
      <c r="R4227">
        <v>0</v>
      </c>
      <c r="W4227" t="s">
        <v>1147</v>
      </c>
      <c r="AA4227">
        <v>2007</v>
      </c>
      <c r="AB4227">
        <v>2018</v>
      </c>
      <c r="AC4227" t="s">
        <v>649</v>
      </c>
    </row>
    <row r="4228" spans="1:29" x14ac:dyDescent="0.25">
      <c r="A4228" s="31" t="s">
        <v>659</v>
      </c>
      <c r="B4228" s="23" t="s">
        <v>660</v>
      </c>
      <c r="D4228">
        <v>1</v>
      </c>
      <c r="E4228" t="s">
        <v>128</v>
      </c>
      <c r="F4228">
        <v>9</v>
      </c>
      <c r="G4228">
        <v>2011</v>
      </c>
      <c r="H4228" t="s">
        <v>661</v>
      </c>
      <c r="I4228">
        <v>2.75</v>
      </c>
      <c r="J4228" t="s">
        <v>104</v>
      </c>
      <c r="K4228" t="s">
        <v>41</v>
      </c>
      <c r="O4228">
        <v>0</v>
      </c>
      <c r="P4228">
        <v>0</v>
      </c>
      <c r="Q4228">
        <v>0</v>
      </c>
      <c r="R4228">
        <v>0</v>
      </c>
      <c r="W4228" t="s">
        <v>1147</v>
      </c>
      <c r="AA4228">
        <v>2007</v>
      </c>
      <c r="AB4228">
        <v>2018</v>
      </c>
      <c r="AC4228" t="s">
        <v>649</v>
      </c>
    </row>
    <row r="4229" spans="1:29" x14ac:dyDescent="0.25">
      <c r="A4229" s="31" t="s">
        <v>199</v>
      </c>
      <c r="B4229" s="23" t="s">
        <v>665</v>
      </c>
      <c r="D4229">
        <v>1</v>
      </c>
      <c r="E4229" t="s">
        <v>45</v>
      </c>
      <c r="F4229">
        <v>4</v>
      </c>
      <c r="G4229">
        <v>2011</v>
      </c>
      <c r="H4229" t="s">
        <v>39</v>
      </c>
      <c r="I4229">
        <v>0.75</v>
      </c>
      <c r="J4229" t="s">
        <v>52</v>
      </c>
      <c r="K4229" t="s">
        <v>41</v>
      </c>
      <c r="O4229">
        <v>0</v>
      </c>
      <c r="P4229">
        <v>0</v>
      </c>
      <c r="Q4229">
        <v>0</v>
      </c>
      <c r="R4229">
        <v>0</v>
      </c>
      <c r="W4229" t="s">
        <v>1148</v>
      </c>
      <c r="AA4229">
        <v>2007</v>
      </c>
      <c r="AB4229">
        <v>9999</v>
      </c>
      <c r="AC4229" t="s">
        <v>35</v>
      </c>
    </row>
    <row r="4230" spans="1:29" x14ac:dyDescent="0.25">
      <c r="A4230" s="31" t="s">
        <v>667</v>
      </c>
      <c r="B4230" s="23" t="s">
        <v>668</v>
      </c>
      <c r="D4230">
        <v>1</v>
      </c>
      <c r="E4230" t="s">
        <v>45</v>
      </c>
      <c r="F4230">
        <v>4</v>
      </c>
      <c r="G4230">
        <v>2011</v>
      </c>
      <c r="I4230">
        <v>20.86</v>
      </c>
      <c r="J4230" t="s">
        <v>121</v>
      </c>
      <c r="K4230" t="s">
        <v>47</v>
      </c>
      <c r="O4230">
        <v>0</v>
      </c>
      <c r="P4230">
        <v>0</v>
      </c>
      <c r="Q4230">
        <v>0</v>
      </c>
      <c r="R4230">
        <v>0</v>
      </c>
      <c r="W4230" t="s">
        <v>1149</v>
      </c>
      <c r="AA4230">
        <v>2007</v>
      </c>
      <c r="AB4230">
        <v>9999</v>
      </c>
      <c r="AC4230" t="s">
        <v>35</v>
      </c>
    </row>
    <row r="4231" spans="1:29" x14ac:dyDescent="0.25">
      <c r="A4231" s="31" t="s">
        <v>670</v>
      </c>
      <c r="B4231" s="23" t="s">
        <v>671</v>
      </c>
      <c r="D4231">
        <v>1</v>
      </c>
      <c r="E4231" t="s">
        <v>80</v>
      </c>
      <c r="F4231">
        <v>8</v>
      </c>
      <c r="G4231">
        <v>2011</v>
      </c>
      <c r="I4231">
        <v>346.77</v>
      </c>
      <c r="J4231" t="s">
        <v>81</v>
      </c>
      <c r="K4231" t="s">
        <v>47</v>
      </c>
      <c r="O4231">
        <v>0</v>
      </c>
      <c r="P4231">
        <v>0</v>
      </c>
      <c r="Q4231">
        <v>0</v>
      </c>
      <c r="R4231">
        <v>0</v>
      </c>
      <c r="W4231" t="s">
        <v>1150</v>
      </c>
      <c r="AA4231">
        <v>2007</v>
      </c>
      <c r="AB4231">
        <v>9999</v>
      </c>
      <c r="AC4231" t="s">
        <v>35</v>
      </c>
    </row>
    <row r="4232" spans="1:29" x14ac:dyDescent="0.25">
      <c r="A4232" s="31" t="s">
        <v>673</v>
      </c>
      <c r="B4232" s="23" t="s">
        <v>1321</v>
      </c>
      <c r="D4232">
        <v>1</v>
      </c>
      <c r="E4232" t="s">
        <v>358</v>
      </c>
      <c r="F4232">
        <v>1</v>
      </c>
      <c r="G4232">
        <v>2011</v>
      </c>
      <c r="I4232">
        <v>522.38</v>
      </c>
      <c r="J4232" t="s">
        <v>81</v>
      </c>
      <c r="K4232" t="s">
        <v>47</v>
      </c>
      <c r="O4232">
        <v>0</v>
      </c>
      <c r="P4232">
        <v>0</v>
      </c>
      <c r="Q4232">
        <v>0</v>
      </c>
      <c r="R4232">
        <v>0</v>
      </c>
      <c r="W4232" t="s">
        <v>1322</v>
      </c>
      <c r="AA4232">
        <v>2007</v>
      </c>
      <c r="AB4232">
        <v>9999</v>
      </c>
      <c r="AC4232" t="s">
        <v>35</v>
      </c>
    </row>
    <row r="4233" spans="1:29" x14ac:dyDescent="0.25">
      <c r="A4233" s="31" t="s">
        <v>676</v>
      </c>
      <c r="B4233" s="23" t="s">
        <v>677</v>
      </c>
      <c r="C4233" t="s">
        <v>678</v>
      </c>
      <c r="D4233">
        <v>1</v>
      </c>
      <c r="E4233" t="s">
        <v>168</v>
      </c>
      <c r="F4233">
        <v>1</v>
      </c>
      <c r="G4233">
        <v>2011</v>
      </c>
      <c r="I4233">
        <v>161.79</v>
      </c>
      <c r="J4233" t="s">
        <v>52</v>
      </c>
      <c r="K4233" t="s">
        <v>32</v>
      </c>
      <c r="O4233">
        <v>0</v>
      </c>
      <c r="P4233">
        <v>0</v>
      </c>
      <c r="Q4233">
        <v>0</v>
      </c>
      <c r="R4233">
        <v>0</v>
      </c>
      <c r="W4233" t="s">
        <v>1152</v>
      </c>
      <c r="AA4233">
        <v>2007</v>
      </c>
      <c r="AB4233">
        <v>9999</v>
      </c>
      <c r="AC4233" t="s">
        <v>35</v>
      </c>
    </row>
    <row r="4234" spans="1:29" x14ac:dyDescent="0.25">
      <c r="A4234" s="31" t="s">
        <v>472</v>
      </c>
      <c r="B4234" s="23" t="s">
        <v>680</v>
      </c>
      <c r="D4234">
        <v>1</v>
      </c>
      <c r="E4234" t="s">
        <v>681</v>
      </c>
      <c r="F4234">
        <v>3</v>
      </c>
      <c r="G4234">
        <v>2011</v>
      </c>
      <c r="I4234">
        <v>26028.080000000002</v>
      </c>
      <c r="J4234" t="s">
        <v>121</v>
      </c>
      <c r="K4234" t="s">
        <v>76</v>
      </c>
      <c r="O4234">
        <v>0</v>
      </c>
      <c r="P4234">
        <v>0</v>
      </c>
      <c r="Q4234">
        <v>0</v>
      </c>
      <c r="R4234">
        <v>0</v>
      </c>
      <c r="W4234" t="s">
        <v>475</v>
      </c>
      <c r="AA4234">
        <v>2007</v>
      </c>
      <c r="AB4234">
        <v>9999</v>
      </c>
      <c r="AC4234" t="s">
        <v>35</v>
      </c>
    </row>
    <row r="4235" spans="1:29" x14ac:dyDescent="0.25">
      <c r="A4235" s="31" t="s">
        <v>685</v>
      </c>
      <c r="B4235" s="23" t="s">
        <v>686</v>
      </c>
      <c r="D4235">
        <v>1</v>
      </c>
      <c r="E4235" t="s">
        <v>80</v>
      </c>
      <c r="F4235">
        <v>8</v>
      </c>
      <c r="G4235">
        <v>2011</v>
      </c>
      <c r="I4235">
        <v>37.72</v>
      </c>
      <c r="J4235" t="s">
        <v>81</v>
      </c>
      <c r="K4235" t="s">
        <v>47</v>
      </c>
      <c r="O4235">
        <v>0</v>
      </c>
      <c r="P4235">
        <v>0</v>
      </c>
      <c r="Q4235">
        <v>0</v>
      </c>
      <c r="R4235">
        <v>0</v>
      </c>
      <c r="W4235" t="s">
        <v>1153</v>
      </c>
      <c r="AA4235">
        <v>2007</v>
      </c>
      <c r="AB4235">
        <v>2017</v>
      </c>
      <c r="AC4235" t="s">
        <v>435</v>
      </c>
    </row>
    <row r="4236" spans="1:29" x14ac:dyDescent="0.25">
      <c r="A4236" s="31" t="s">
        <v>688</v>
      </c>
      <c r="B4236" s="23" t="s">
        <v>689</v>
      </c>
      <c r="D4236">
        <v>1</v>
      </c>
      <c r="E4236" t="s">
        <v>145</v>
      </c>
      <c r="F4236">
        <v>2</v>
      </c>
      <c r="G4236">
        <v>2011</v>
      </c>
      <c r="H4236" t="s">
        <v>146</v>
      </c>
      <c r="I4236">
        <v>2.5000000000000001E-2</v>
      </c>
      <c r="J4236" s="2" t="s">
        <v>147</v>
      </c>
      <c r="K4236" t="s">
        <v>41</v>
      </c>
      <c r="O4236">
        <v>0</v>
      </c>
      <c r="P4236">
        <v>0</v>
      </c>
      <c r="Q4236">
        <v>0</v>
      </c>
      <c r="R4236">
        <v>0</v>
      </c>
      <c r="W4236" t="s">
        <v>1154</v>
      </c>
      <c r="AA4236">
        <v>2007</v>
      </c>
      <c r="AB4236">
        <v>9999</v>
      </c>
      <c r="AC4236" t="s">
        <v>35</v>
      </c>
    </row>
    <row r="4237" spans="1:29" x14ac:dyDescent="0.25">
      <c r="A4237" s="31" t="s">
        <v>691</v>
      </c>
      <c r="B4237" s="23" t="s">
        <v>692</v>
      </c>
      <c r="D4237">
        <v>1</v>
      </c>
      <c r="E4237" t="s">
        <v>625</v>
      </c>
      <c r="F4237">
        <v>4</v>
      </c>
      <c r="G4237">
        <v>2011</v>
      </c>
      <c r="I4237">
        <v>15.85</v>
      </c>
      <c r="J4237" t="s">
        <v>104</v>
      </c>
      <c r="K4237" t="s">
        <v>32</v>
      </c>
      <c r="O4237">
        <v>0</v>
      </c>
      <c r="P4237">
        <v>0</v>
      </c>
      <c r="Q4237">
        <v>0</v>
      </c>
      <c r="R4237">
        <v>0</v>
      </c>
      <c r="W4237" t="s">
        <v>1155</v>
      </c>
      <c r="AA4237">
        <v>2007</v>
      </c>
      <c r="AB4237">
        <v>9999</v>
      </c>
      <c r="AC4237" t="s">
        <v>35</v>
      </c>
    </row>
    <row r="4238" spans="1:29" x14ac:dyDescent="0.25">
      <c r="A4238" s="31" t="s">
        <v>694</v>
      </c>
      <c r="B4238" s="23" t="s">
        <v>695</v>
      </c>
      <c r="C4238" t="s">
        <v>696</v>
      </c>
      <c r="D4238">
        <v>1</v>
      </c>
      <c r="E4238" t="s">
        <v>58</v>
      </c>
      <c r="F4238">
        <v>4</v>
      </c>
      <c r="G4238">
        <v>2011</v>
      </c>
      <c r="I4238">
        <v>126.21</v>
      </c>
      <c r="J4238" t="s">
        <v>59</v>
      </c>
      <c r="K4238" t="s">
        <v>47</v>
      </c>
      <c r="O4238">
        <v>0</v>
      </c>
      <c r="P4238">
        <v>0</v>
      </c>
      <c r="Q4238">
        <v>0</v>
      </c>
      <c r="R4238">
        <v>0</v>
      </c>
      <c r="W4238" t="s">
        <v>1156</v>
      </c>
      <c r="AA4238">
        <v>2007</v>
      </c>
      <c r="AB4238">
        <v>9999</v>
      </c>
      <c r="AC4238" t="s">
        <v>35</v>
      </c>
    </row>
    <row r="4239" spans="1:29" x14ac:dyDescent="0.25">
      <c r="A4239" s="31" t="s">
        <v>698</v>
      </c>
      <c r="B4239" s="23" t="s">
        <v>699</v>
      </c>
      <c r="D4239">
        <v>1</v>
      </c>
      <c r="E4239" t="s">
        <v>155</v>
      </c>
      <c r="F4239">
        <v>3</v>
      </c>
      <c r="G4239">
        <v>2011</v>
      </c>
      <c r="H4239" t="s">
        <v>700</v>
      </c>
      <c r="I4239">
        <v>7.4</v>
      </c>
      <c r="J4239" t="s">
        <v>121</v>
      </c>
      <c r="K4239" t="s">
        <v>47</v>
      </c>
      <c r="O4239">
        <v>0</v>
      </c>
      <c r="P4239">
        <v>0</v>
      </c>
      <c r="Q4239">
        <v>0</v>
      </c>
      <c r="R4239">
        <v>0</v>
      </c>
      <c r="V4239">
        <v>1</v>
      </c>
      <c r="W4239" t="s">
        <v>1157</v>
      </c>
      <c r="AA4239">
        <v>2007</v>
      </c>
      <c r="AB4239">
        <v>9999</v>
      </c>
      <c r="AC4239" t="s">
        <v>35</v>
      </c>
    </row>
    <row r="4240" spans="1:29" x14ac:dyDescent="0.25">
      <c r="A4240" s="31" t="s">
        <v>702</v>
      </c>
      <c r="B4240" s="23" t="s">
        <v>703</v>
      </c>
      <c r="D4240">
        <v>1</v>
      </c>
      <c r="E4240" t="s">
        <v>155</v>
      </c>
      <c r="F4240">
        <v>3</v>
      </c>
      <c r="G4240">
        <v>2011</v>
      </c>
      <c r="H4240" t="s">
        <v>704</v>
      </c>
      <c r="I4240">
        <v>0.9</v>
      </c>
      <c r="J4240" t="s">
        <v>121</v>
      </c>
      <c r="K4240" t="s">
        <v>41</v>
      </c>
      <c r="O4240">
        <v>0</v>
      </c>
      <c r="P4240">
        <v>0</v>
      </c>
      <c r="Q4240">
        <v>0</v>
      </c>
      <c r="R4240">
        <v>0</v>
      </c>
      <c r="V4240">
        <v>1</v>
      </c>
      <c r="W4240" t="s">
        <v>1158</v>
      </c>
      <c r="AA4240">
        <v>2007</v>
      </c>
      <c r="AB4240">
        <v>9999</v>
      </c>
      <c r="AC4240" t="s">
        <v>35</v>
      </c>
    </row>
    <row r="4241" spans="1:29" x14ac:dyDescent="0.25">
      <c r="A4241" s="31" t="s">
        <v>706</v>
      </c>
      <c r="B4241" s="23" t="s">
        <v>707</v>
      </c>
      <c r="C4241" t="s">
        <v>708</v>
      </c>
      <c r="D4241">
        <v>1</v>
      </c>
      <c r="E4241" t="s">
        <v>155</v>
      </c>
      <c r="F4241">
        <v>3</v>
      </c>
      <c r="G4241">
        <v>2011</v>
      </c>
      <c r="I4241">
        <v>406.69</v>
      </c>
      <c r="J4241" t="s">
        <v>121</v>
      </c>
      <c r="K4241" t="s">
        <v>47</v>
      </c>
      <c r="O4241">
        <v>0</v>
      </c>
      <c r="P4241">
        <v>0</v>
      </c>
      <c r="Q4241">
        <v>0</v>
      </c>
      <c r="R4241">
        <v>0</v>
      </c>
      <c r="W4241" t="s">
        <v>1159</v>
      </c>
      <c r="AA4241">
        <v>2007</v>
      </c>
      <c r="AB4241">
        <v>9999</v>
      </c>
      <c r="AC4241" t="s">
        <v>35</v>
      </c>
    </row>
    <row r="4242" spans="1:29" x14ac:dyDescent="0.25">
      <c r="A4242" s="31" t="s">
        <v>710</v>
      </c>
      <c r="B4242" s="23" t="s">
        <v>711</v>
      </c>
      <c r="D4242">
        <v>1</v>
      </c>
      <c r="E4242" t="s">
        <v>712</v>
      </c>
      <c r="F4242">
        <v>9</v>
      </c>
      <c r="G4242">
        <v>2011</v>
      </c>
      <c r="I4242">
        <v>72.06</v>
      </c>
      <c r="J4242" t="s">
        <v>104</v>
      </c>
      <c r="K4242" t="s">
        <v>32</v>
      </c>
      <c r="O4242">
        <v>0</v>
      </c>
      <c r="P4242">
        <v>0</v>
      </c>
      <c r="Q4242">
        <v>0</v>
      </c>
      <c r="R4242">
        <v>0</v>
      </c>
      <c r="W4242" t="s">
        <v>713</v>
      </c>
      <c r="AA4242">
        <v>2007</v>
      </c>
      <c r="AB4242">
        <v>9999</v>
      </c>
      <c r="AC4242" t="s">
        <v>35</v>
      </c>
    </row>
    <row r="4243" spans="1:29" x14ac:dyDescent="0.25">
      <c r="A4243" s="31" t="s">
        <v>714</v>
      </c>
      <c r="B4243" s="23" t="s">
        <v>715</v>
      </c>
      <c r="D4243">
        <v>1</v>
      </c>
      <c r="E4243" t="s">
        <v>80</v>
      </c>
      <c r="F4243">
        <v>8</v>
      </c>
      <c r="G4243">
        <v>2011</v>
      </c>
      <c r="I4243">
        <v>53.96</v>
      </c>
      <c r="J4243" t="s">
        <v>1343</v>
      </c>
      <c r="K4243" t="s">
        <v>76</v>
      </c>
      <c r="O4243">
        <v>0</v>
      </c>
      <c r="P4243">
        <v>0</v>
      </c>
      <c r="Q4243">
        <v>0</v>
      </c>
      <c r="R4243">
        <v>0</v>
      </c>
      <c r="W4243" t="s">
        <v>1323</v>
      </c>
      <c r="AA4243">
        <v>2007</v>
      </c>
      <c r="AB4243">
        <v>9999</v>
      </c>
      <c r="AC4243" t="s">
        <v>35</v>
      </c>
    </row>
    <row r="4244" spans="1:29" x14ac:dyDescent="0.25">
      <c r="A4244" s="31" t="s">
        <v>717</v>
      </c>
      <c r="B4244" s="23" t="s">
        <v>718</v>
      </c>
      <c r="D4244">
        <v>1</v>
      </c>
      <c r="E4244" t="s">
        <v>51</v>
      </c>
      <c r="F4244">
        <v>1</v>
      </c>
      <c r="G4244">
        <v>2011</v>
      </c>
      <c r="I4244">
        <v>18</v>
      </c>
      <c r="J4244" t="s">
        <v>52</v>
      </c>
      <c r="K4244" t="s">
        <v>53</v>
      </c>
      <c r="L4244" t="s">
        <v>54</v>
      </c>
      <c r="O4244">
        <v>0</v>
      </c>
      <c r="P4244">
        <v>0</v>
      </c>
      <c r="Q4244">
        <v>1</v>
      </c>
      <c r="R4244">
        <v>0</v>
      </c>
      <c r="W4244" t="s">
        <v>55</v>
      </c>
      <c r="AA4244">
        <v>2007</v>
      </c>
      <c r="AB4244">
        <v>9999</v>
      </c>
      <c r="AC4244" t="s">
        <v>35</v>
      </c>
    </row>
    <row r="4245" spans="1:29" x14ac:dyDescent="0.25">
      <c r="A4245" s="31" t="s">
        <v>719</v>
      </c>
      <c r="B4245" s="23" t="s">
        <v>720</v>
      </c>
      <c r="D4245">
        <v>1</v>
      </c>
      <c r="E4245" t="s">
        <v>51</v>
      </c>
      <c r="F4245">
        <v>1</v>
      </c>
      <c r="G4245">
        <v>2011</v>
      </c>
      <c r="I4245">
        <v>30.5</v>
      </c>
      <c r="J4245" t="s">
        <v>52</v>
      </c>
      <c r="K4245" t="s">
        <v>53</v>
      </c>
      <c r="L4245" t="s">
        <v>54</v>
      </c>
      <c r="O4245">
        <v>0</v>
      </c>
      <c r="P4245">
        <v>0</v>
      </c>
      <c r="Q4245">
        <v>1</v>
      </c>
      <c r="R4245">
        <v>0</v>
      </c>
      <c r="W4245" t="s">
        <v>721</v>
      </c>
      <c r="AA4245">
        <v>2007</v>
      </c>
      <c r="AB4245">
        <v>9999</v>
      </c>
      <c r="AC4245" t="s">
        <v>35</v>
      </c>
    </row>
    <row r="4246" spans="1:29" x14ac:dyDescent="0.25">
      <c r="A4246" s="31" t="s">
        <v>722</v>
      </c>
      <c r="B4246" s="23" t="s">
        <v>723</v>
      </c>
      <c r="D4246">
        <v>1</v>
      </c>
      <c r="E4246" t="s">
        <v>724</v>
      </c>
      <c r="F4246">
        <v>4</v>
      </c>
      <c r="G4246">
        <v>2011</v>
      </c>
      <c r="I4246">
        <v>1177.97</v>
      </c>
      <c r="J4246" t="s">
        <v>89</v>
      </c>
      <c r="K4246" t="s">
        <v>32</v>
      </c>
      <c r="L4246" t="s">
        <v>33</v>
      </c>
      <c r="O4246">
        <v>0</v>
      </c>
      <c r="P4246">
        <v>0</v>
      </c>
      <c r="Q4246">
        <v>0</v>
      </c>
      <c r="R4246">
        <v>1</v>
      </c>
      <c r="W4246" t="s">
        <v>1161</v>
      </c>
      <c r="AA4246">
        <v>2007</v>
      </c>
      <c r="AB4246">
        <v>9999</v>
      </c>
      <c r="AC4246" t="s">
        <v>35</v>
      </c>
    </row>
    <row r="4247" spans="1:29" x14ac:dyDescent="0.25">
      <c r="A4247" s="31" t="s">
        <v>726</v>
      </c>
      <c r="B4247" s="23" t="s">
        <v>727</v>
      </c>
      <c r="D4247">
        <v>1</v>
      </c>
      <c r="E4247" t="s">
        <v>85</v>
      </c>
      <c r="F4247">
        <v>1</v>
      </c>
      <c r="G4247">
        <v>2011</v>
      </c>
      <c r="H4247" t="s">
        <v>205</v>
      </c>
      <c r="I4247">
        <v>10</v>
      </c>
      <c r="J4247" t="s">
        <v>52</v>
      </c>
      <c r="K4247" t="s">
        <v>41</v>
      </c>
      <c r="O4247">
        <v>0</v>
      </c>
      <c r="P4247">
        <v>0</v>
      </c>
      <c r="Q4247">
        <v>0</v>
      </c>
      <c r="R4247">
        <v>0</v>
      </c>
      <c r="W4247" t="s">
        <v>1162</v>
      </c>
      <c r="AA4247">
        <v>2007</v>
      </c>
      <c r="AB4247">
        <v>9999</v>
      </c>
      <c r="AC4247" t="s">
        <v>35</v>
      </c>
    </row>
    <row r="4248" spans="1:29" x14ac:dyDescent="0.25">
      <c r="A4248" s="31" t="s">
        <v>729</v>
      </c>
      <c r="B4248" s="23" t="s">
        <v>205</v>
      </c>
      <c r="D4248">
        <v>1</v>
      </c>
      <c r="E4248" t="s">
        <v>168</v>
      </c>
      <c r="F4248">
        <v>1</v>
      </c>
      <c r="G4248">
        <v>2011</v>
      </c>
      <c r="I4248">
        <v>9111.76</v>
      </c>
      <c r="J4248" t="s">
        <v>52</v>
      </c>
      <c r="K4248" t="s">
        <v>47</v>
      </c>
      <c r="O4248">
        <v>0</v>
      </c>
      <c r="P4248">
        <v>0</v>
      </c>
      <c r="Q4248">
        <v>0</v>
      </c>
      <c r="R4248">
        <v>0</v>
      </c>
      <c r="W4248" t="s">
        <v>1163</v>
      </c>
      <c r="AA4248">
        <v>2007</v>
      </c>
      <c r="AB4248">
        <v>9999</v>
      </c>
      <c r="AC4248" t="s">
        <v>35</v>
      </c>
    </row>
    <row r="4249" spans="1:29" x14ac:dyDescent="0.25">
      <c r="A4249" s="31" t="s">
        <v>731</v>
      </c>
      <c r="B4249" s="23" t="s">
        <v>732</v>
      </c>
      <c r="D4249">
        <v>1</v>
      </c>
      <c r="E4249" t="s">
        <v>51</v>
      </c>
      <c r="F4249">
        <v>10</v>
      </c>
      <c r="G4249">
        <v>2011</v>
      </c>
      <c r="H4249" t="s">
        <v>39</v>
      </c>
      <c r="I4249">
        <v>1.1000000000000001</v>
      </c>
      <c r="J4249" t="s">
        <v>52</v>
      </c>
      <c r="K4249" t="s">
        <v>41</v>
      </c>
      <c r="O4249">
        <v>0</v>
      </c>
      <c r="P4249">
        <v>0</v>
      </c>
      <c r="Q4249">
        <v>0</v>
      </c>
      <c r="R4249">
        <v>0</v>
      </c>
      <c r="W4249" t="s">
        <v>1164</v>
      </c>
      <c r="AA4249">
        <v>2007</v>
      </c>
      <c r="AB4249">
        <v>9999</v>
      </c>
      <c r="AC4249" t="s">
        <v>35</v>
      </c>
    </row>
    <row r="4250" spans="1:29" x14ac:dyDescent="0.25">
      <c r="A4250" s="31" t="s">
        <v>734</v>
      </c>
      <c r="B4250" s="23" t="s">
        <v>735</v>
      </c>
      <c r="D4250">
        <v>1</v>
      </c>
      <c r="E4250" t="s">
        <v>736</v>
      </c>
      <c r="F4250">
        <v>4</v>
      </c>
      <c r="G4250">
        <v>2011</v>
      </c>
      <c r="I4250">
        <v>809.39</v>
      </c>
      <c r="J4250" t="s">
        <v>1343</v>
      </c>
      <c r="K4250" t="s">
        <v>32</v>
      </c>
      <c r="O4250">
        <v>0</v>
      </c>
      <c r="P4250">
        <v>0</v>
      </c>
      <c r="Q4250">
        <v>0</v>
      </c>
      <c r="R4250">
        <v>0</v>
      </c>
      <c r="W4250" t="s">
        <v>1324</v>
      </c>
      <c r="AA4250">
        <v>2007</v>
      </c>
      <c r="AB4250">
        <v>9999</v>
      </c>
      <c r="AC4250" t="s">
        <v>35</v>
      </c>
    </row>
    <row r="4251" spans="1:29" x14ac:dyDescent="0.25">
      <c r="A4251" s="31" t="s">
        <v>738</v>
      </c>
      <c r="B4251" s="23" t="s">
        <v>739</v>
      </c>
      <c r="D4251">
        <v>1</v>
      </c>
      <c r="E4251" t="s">
        <v>128</v>
      </c>
      <c r="F4251">
        <v>9</v>
      </c>
      <c r="G4251">
        <v>2011</v>
      </c>
      <c r="H4251" t="s">
        <v>1262</v>
      </c>
      <c r="I4251">
        <v>4</v>
      </c>
      <c r="J4251" t="s">
        <v>104</v>
      </c>
      <c r="K4251" t="s">
        <v>41</v>
      </c>
      <c r="O4251">
        <v>0</v>
      </c>
      <c r="P4251">
        <v>0</v>
      </c>
      <c r="Q4251">
        <v>0</v>
      </c>
      <c r="R4251">
        <v>0</v>
      </c>
      <c r="W4251" t="s">
        <v>1166</v>
      </c>
      <c r="AA4251">
        <v>2007</v>
      </c>
      <c r="AB4251">
        <v>9999</v>
      </c>
      <c r="AC4251" t="s">
        <v>35</v>
      </c>
    </row>
    <row r="4252" spans="1:29" x14ac:dyDescent="0.25">
      <c r="A4252" s="31" t="s">
        <v>742</v>
      </c>
      <c r="B4252" s="23" t="s">
        <v>743</v>
      </c>
      <c r="D4252">
        <v>1</v>
      </c>
      <c r="E4252" t="s">
        <v>468</v>
      </c>
      <c r="F4252">
        <v>7</v>
      </c>
      <c r="G4252">
        <v>2011</v>
      </c>
      <c r="I4252">
        <v>252.69</v>
      </c>
      <c r="J4252" t="s">
        <v>40</v>
      </c>
      <c r="K4252" t="s">
        <v>47</v>
      </c>
      <c r="O4252">
        <v>0</v>
      </c>
      <c r="P4252">
        <v>0</v>
      </c>
      <c r="Q4252">
        <v>0</v>
      </c>
      <c r="R4252">
        <v>0</v>
      </c>
      <c r="W4252" t="s">
        <v>1373</v>
      </c>
      <c r="AA4252">
        <v>2007</v>
      </c>
      <c r="AB4252">
        <v>2013</v>
      </c>
      <c r="AC4252" t="s">
        <v>139</v>
      </c>
    </row>
    <row r="4253" spans="1:29" x14ac:dyDescent="0.25">
      <c r="A4253" s="31" t="s">
        <v>745</v>
      </c>
      <c r="B4253" s="23" t="s">
        <v>746</v>
      </c>
      <c r="D4253">
        <v>1</v>
      </c>
      <c r="E4253" t="s">
        <v>468</v>
      </c>
      <c r="F4253">
        <v>7</v>
      </c>
      <c r="G4253">
        <v>2011</v>
      </c>
      <c r="I4253">
        <v>974.14</v>
      </c>
      <c r="J4253" t="s">
        <v>40</v>
      </c>
      <c r="K4253" t="s">
        <v>47</v>
      </c>
      <c r="O4253">
        <v>0</v>
      </c>
      <c r="P4253">
        <v>0</v>
      </c>
      <c r="Q4253">
        <v>0</v>
      </c>
      <c r="R4253">
        <v>0</v>
      </c>
      <c r="W4253" t="s">
        <v>1325</v>
      </c>
      <c r="AA4253">
        <v>2007</v>
      </c>
      <c r="AB4253">
        <v>9999</v>
      </c>
      <c r="AC4253" t="s">
        <v>35</v>
      </c>
    </row>
    <row r="4254" spans="1:29" x14ac:dyDescent="0.25">
      <c r="A4254" s="31" t="s">
        <v>1263</v>
      </c>
      <c r="B4254" s="23" t="s">
        <v>1264</v>
      </c>
      <c r="C4254" t="s">
        <v>1265</v>
      </c>
      <c r="D4254">
        <v>1</v>
      </c>
      <c r="E4254" t="s">
        <v>712</v>
      </c>
      <c r="F4254">
        <v>9</v>
      </c>
      <c r="G4254">
        <v>2011</v>
      </c>
      <c r="I4254">
        <v>1041.75</v>
      </c>
      <c r="J4254" t="s">
        <v>104</v>
      </c>
      <c r="K4254" t="s">
        <v>47</v>
      </c>
      <c r="O4254">
        <v>0</v>
      </c>
      <c r="P4254">
        <v>0</v>
      </c>
      <c r="Q4254">
        <v>0</v>
      </c>
      <c r="R4254">
        <v>0</v>
      </c>
      <c r="W4254" t="s">
        <v>1266</v>
      </c>
      <c r="AA4254">
        <v>2009</v>
      </c>
      <c r="AB4254">
        <v>9999</v>
      </c>
      <c r="AC4254" t="s">
        <v>1239</v>
      </c>
    </row>
    <row r="4255" spans="1:29" x14ac:dyDescent="0.25">
      <c r="A4255" s="31" t="s">
        <v>754</v>
      </c>
      <c r="B4255" s="23" t="s">
        <v>755</v>
      </c>
      <c r="D4255">
        <v>1</v>
      </c>
      <c r="E4255" t="s">
        <v>85</v>
      </c>
      <c r="F4255">
        <v>1</v>
      </c>
      <c r="G4255">
        <v>2011</v>
      </c>
      <c r="H4255" t="s">
        <v>756</v>
      </c>
      <c r="I4255">
        <v>0.03</v>
      </c>
      <c r="J4255" t="s">
        <v>52</v>
      </c>
      <c r="K4255" t="s">
        <v>41</v>
      </c>
      <c r="O4255">
        <v>0</v>
      </c>
      <c r="P4255">
        <v>0</v>
      </c>
      <c r="Q4255">
        <v>0</v>
      </c>
      <c r="R4255">
        <v>0</v>
      </c>
      <c r="W4255" t="s">
        <v>1169</v>
      </c>
      <c r="AA4255">
        <v>2007</v>
      </c>
      <c r="AB4255">
        <v>9999</v>
      </c>
      <c r="AC4255" t="s">
        <v>35</v>
      </c>
    </row>
    <row r="4256" spans="1:29" x14ac:dyDescent="0.25">
      <c r="A4256" s="31" t="s">
        <v>758</v>
      </c>
      <c r="B4256" s="23" t="s">
        <v>759</v>
      </c>
      <c r="D4256">
        <v>1</v>
      </c>
      <c r="E4256" t="s">
        <v>760</v>
      </c>
      <c r="F4256">
        <v>7</v>
      </c>
      <c r="G4256">
        <v>2011</v>
      </c>
      <c r="I4256">
        <v>47.95</v>
      </c>
      <c r="J4256" t="s">
        <v>40</v>
      </c>
      <c r="K4256" t="s">
        <v>47</v>
      </c>
      <c r="O4256">
        <v>0</v>
      </c>
      <c r="P4256">
        <v>0</v>
      </c>
      <c r="Q4256">
        <v>0</v>
      </c>
      <c r="R4256">
        <v>0</v>
      </c>
      <c r="W4256" t="s">
        <v>1170</v>
      </c>
      <c r="AA4256">
        <v>2007</v>
      </c>
      <c r="AB4256">
        <v>9999</v>
      </c>
      <c r="AC4256" t="s">
        <v>35</v>
      </c>
    </row>
    <row r="4257" spans="1:29" x14ac:dyDescent="0.25">
      <c r="A4257" s="31" t="s">
        <v>765</v>
      </c>
      <c r="B4257" s="23" t="s">
        <v>766</v>
      </c>
      <c r="D4257">
        <v>1</v>
      </c>
      <c r="E4257" t="s">
        <v>115</v>
      </c>
      <c r="F4257">
        <v>6</v>
      </c>
      <c r="G4257">
        <v>2011</v>
      </c>
      <c r="I4257">
        <v>16.579999999999998</v>
      </c>
      <c r="J4257" t="s">
        <v>52</v>
      </c>
      <c r="K4257" t="s">
        <v>47</v>
      </c>
      <c r="O4257">
        <v>0</v>
      </c>
      <c r="P4257">
        <v>0</v>
      </c>
      <c r="Q4257">
        <v>0</v>
      </c>
      <c r="R4257">
        <v>0</v>
      </c>
      <c r="W4257" t="s">
        <v>1172</v>
      </c>
      <c r="AA4257">
        <v>2007</v>
      </c>
      <c r="AB4257">
        <v>2012</v>
      </c>
      <c r="AC4257" t="s">
        <v>302</v>
      </c>
    </row>
    <row r="4258" spans="1:29" x14ac:dyDescent="0.25">
      <c r="A4258" s="31" t="s">
        <v>768</v>
      </c>
      <c r="B4258" s="23" t="s">
        <v>769</v>
      </c>
      <c r="C4258" t="s">
        <v>770</v>
      </c>
      <c r="D4258">
        <v>1</v>
      </c>
      <c r="E4258" t="s">
        <v>30</v>
      </c>
      <c r="F4258">
        <v>4</v>
      </c>
      <c r="G4258">
        <v>2011</v>
      </c>
      <c r="I4258">
        <v>292.88</v>
      </c>
      <c r="J4258" t="s">
        <v>89</v>
      </c>
      <c r="K4258" t="s">
        <v>47</v>
      </c>
      <c r="O4258">
        <v>0</v>
      </c>
      <c r="P4258">
        <v>0</v>
      </c>
      <c r="Q4258">
        <v>0</v>
      </c>
      <c r="R4258">
        <v>0</v>
      </c>
      <c r="W4258" t="s">
        <v>1173</v>
      </c>
      <c r="AA4258">
        <v>2007</v>
      </c>
      <c r="AB4258">
        <v>9999</v>
      </c>
      <c r="AC4258" t="s">
        <v>35</v>
      </c>
    </row>
    <row r="4259" spans="1:29" x14ac:dyDescent="0.25">
      <c r="A4259" s="31" t="s">
        <v>772</v>
      </c>
      <c r="B4259" s="23" t="s">
        <v>773</v>
      </c>
      <c r="C4259" t="s">
        <v>774</v>
      </c>
      <c r="D4259">
        <v>1</v>
      </c>
      <c r="E4259" t="s">
        <v>358</v>
      </c>
      <c r="F4259">
        <v>1</v>
      </c>
      <c r="G4259">
        <v>2011</v>
      </c>
      <c r="I4259">
        <v>362.25</v>
      </c>
      <c r="J4259" t="s">
        <v>40</v>
      </c>
      <c r="K4259" t="s">
        <v>32</v>
      </c>
      <c r="O4259">
        <v>0</v>
      </c>
      <c r="P4259">
        <v>0</v>
      </c>
      <c r="Q4259">
        <v>0</v>
      </c>
      <c r="R4259">
        <v>0</v>
      </c>
      <c r="W4259" t="s">
        <v>1174</v>
      </c>
      <c r="AA4259">
        <v>2007</v>
      </c>
      <c r="AB4259">
        <v>9999</v>
      </c>
      <c r="AC4259" t="s">
        <v>35</v>
      </c>
    </row>
    <row r="4260" spans="1:29" x14ac:dyDescent="0.25">
      <c r="A4260" s="31" t="s">
        <v>776</v>
      </c>
      <c r="B4260" s="23" t="s">
        <v>777</v>
      </c>
      <c r="D4260">
        <v>1</v>
      </c>
      <c r="E4260" t="s">
        <v>468</v>
      </c>
      <c r="F4260">
        <v>7</v>
      </c>
      <c r="G4260">
        <v>2011</v>
      </c>
      <c r="I4260">
        <v>129.65</v>
      </c>
      <c r="J4260" t="s">
        <v>40</v>
      </c>
      <c r="K4260" t="s">
        <v>47</v>
      </c>
      <c r="O4260">
        <v>0</v>
      </c>
      <c r="P4260">
        <v>0</v>
      </c>
      <c r="Q4260">
        <v>0</v>
      </c>
      <c r="R4260">
        <v>0</v>
      </c>
      <c r="W4260" t="s">
        <v>1175</v>
      </c>
      <c r="AA4260">
        <v>2007</v>
      </c>
      <c r="AB4260">
        <v>2013</v>
      </c>
      <c r="AC4260" t="s">
        <v>139</v>
      </c>
    </row>
    <row r="4261" spans="1:29" x14ac:dyDescent="0.25">
      <c r="A4261" s="31" t="s">
        <v>779</v>
      </c>
      <c r="B4261" s="23" t="s">
        <v>780</v>
      </c>
      <c r="D4261">
        <v>1</v>
      </c>
      <c r="E4261" t="s">
        <v>80</v>
      </c>
      <c r="F4261">
        <v>8</v>
      </c>
      <c r="G4261">
        <v>2011</v>
      </c>
      <c r="I4261">
        <v>67.650000000000006</v>
      </c>
      <c r="J4261" t="s">
        <v>81</v>
      </c>
      <c r="K4261" t="s">
        <v>47</v>
      </c>
      <c r="O4261">
        <v>0</v>
      </c>
      <c r="P4261">
        <v>0</v>
      </c>
      <c r="Q4261">
        <v>0</v>
      </c>
      <c r="R4261">
        <v>0</v>
      </c>
      <c r="W4261" t="s">
        <v>1176</v>
      </c>
      <c r="AA4261">
        <v>2007</v>
      </c>
      <c r="AB4261">
        <v>9999</v>
      </c>
      <c r="AC4261" t="s">
        <v>35</v>
      </c>
    </row>
    <row r="4262" spans="1:29" x14ac:dyDescent="0.25">
      <c r="A4262" s="31" t="s">
        <v>782</v>
      </c>
      <c r="B4262" s="23" t="s">
        <v>783</v>
      </c>
      <c r="D4262">
        <v>1</v>
      </c>
      <c r="E4262" t="s">
        <v>784</v>
      </c>
      <c r="F4262">
        <v>6</v>
      </c>
      <c r="G4262">
        <v>2011</v>
      </c>
      <c r="I4262">
        <v>83.67</v>
      </c>
      <c r="J4262" t="s">
        <v>40</v>
      </c>
      <c r="K4262" t="s">
        <v>47</v>
      </c>
      <c r="O4262">
        <v>0</v>
      </c>
      <c r="P4262">
        <v>0</v>
      </c>
      <c r="Q4262">
        <v>0</v>
      </c>
      <c r="R4262">
        <v>0</v>
      </c>
      <c r="W4262" t="s">
        <v>1326</v>
      </c>
      <c r="AA4262">
        <v>2007</v>
      </c>
      <c r="AB4262">
        <v>9999</v>
      </c>
      <c r="AC4262" t="s">
        <v>35</v>
      </c>
    </row>
    <row r="4263" spans="1:29" x14ac:dyDescent="0.25">
      <c r="A4263" s="31" t="s">
        <v>786</v>
      </c>
      <c r="B4263" s="23" t="s">
        <v>787</v>
      </c>
      <c r="C4263" t="s">
        <v>788</v>
      </c>
      <c r="D4263">
        <v>1</v>
      </c>
      <c r="E4263" t="s">
        <v>120</v>
      </c>
      <c r="F4263">
        <v>3</v>
      </c>
      <c r="G4263">
        <v>2011</v>
      </c>
      <c r="I4263">
        <v>23.84</v>
      </c>
      <c r="J4263" t="s">
        <v>147</v>
      </c>
      <c r="K4263" t="s">
        <v>47</v>
      </c>
      <c r="O4263">
        <v>0</v>
      </c>
      <c r="P4263">
        <v>0</v>
      </c>
      <c r="Q4263">
        <v>0</v>
      </c>
      <c r="R4263">
        <v>0</v>
      </c>
      <c r="W4263" t="s">
        <v>1178</v>
      </c>
      <c r="AA4263">
        <v>2007</v>
      </c>
      <c r="AB4263">
        <v>9999</v>
      </c>
      <c r="AC4263" t="s">
        <v>35</v>
      </c>
    </row>
    <row r="4264" spans="1:29" x14ac:dyDescent="0.25">
      <c r="A4264" s="31" t="s">
        <v>790</v>
      </c>
      <c r="B4264" s="23" t="s">
        <v>791</v>
      </c>
      <c r="D4264">
        <v>1</v>
      </c>
      <c r="E4264" t="s">
        <v>80</v>
      </c>
      <c r="F4264">
        <v>8</v>
      </c>
      <c r="G4264">
        <v>2011</v>
      </c>
      <c r="I4264">
        <v>75.52</v>
      </c>
      <c r="J4264" t="s">
        <v>81</v>
      </c>
      <c r="K4264" t="s">
        <v>47</v>
      </c>
      <c r="O4264">
        <v>0</v>
      </c>
      <c r="P4264">
        <v>0</v>
      </c>
      <c r="Q4264">
        <v>0</v>
      </c>
      <c r="R4264">
        <v>0</v>
      </c>
      <c r="W4264" t="s">
        <v>1179</v>
      </c>
      <c r="AA4264">
        <v>2007</v>
      </c>
      <c r="AB4264">
        <v>9999</v>
      </c>
      <c r="AC4264" t="s">
        <v>35</v>
      </c>
    </row>
    <row r="4265" spans="1:29" ht="26.25" x14ac:dyDescent="0.25">
      <c r="A4265" s="31" t="s">
        <v>1327</v>
      </c>
      <c r="B4265" s="26" t="s">
        <v>1328</v>
      </c>
      <c r="C4265" t="s">
        <v>1329</v>
      </c>
      <c r="D4265">
        <v>1</v>
      </c>
      <c r="E4265" t="s">
        <v>218</v>
      </c>
      <c r="F4265">
        <v>2</v>
      </c>
      <c r="G4265">
        <v>2011</v>
      </c>
      <c r="I4265">
        <v>4</v>
      </c>
      <c r="J4265" t="s">
        <v>147</v>
      </c>
      <c r="K4265" t="s">
        <v>41</v>
      </c>
      <c r="O4265">
        <v>0</v>
      </c>
      <c r="P4265">
        <v>0</v>
      </c>
      <c r="Q4265">
        <v>0</v>
      </c>
      <c r="R4265">
        <v>0</v>
      </c>
      <c r="W4265" t="s">
        <v>1330</v>
      </c>
      <c r="AA4265">
        <v>2010</v>
      </c>
      <c r="AB4265">
        <v>9999</v>
      </c>
      <c r="AC4265" t="s">
        <v>1292</v>
      </c>
    </row>
    <row r="4266" spans="1:29" x14ac:dyDescent="0.25">
      <c r="A4266" s="31" t="s">
        <v>796</v>
      </c>
      <c r="B4266" s="23" t="s">
        <v>797</v>
      </c>
      <c r="C4266" t="s">
        <v>798</v>
      </c>
      <c r="D4266">
        <v>1</v>
      </c>
      <c r="E4266" t="s">
        <v>534</v>
      </c>
      <c r="F4266">
        <v>10</v>
      </c>
      <c r="G4266">
        <v>2011</v>
      </c>
      <c r="I4266">
        <v>2877.98</v>
      </c>
      <c r="J4266" t="s">
        <v>40</v>
      </c>
      <c r="K4266" t="s">
        <v>47</v>
      </c>
      <c r="O4266">
        <v>0</v>
      </c>
      <c r="P4266">
        <v>0</v>
      </c>
      <c r="Q4266">
        <v>0</v>
      </c>
      <c r="R4266">
        <v>0</v>
      </c>
      <c r="W4266" t="s">
        <v>1181</v>
      </c>
      <c r="AA4266">
        <v>2007</v>
      </c>
      <c r="AB4266">
        <v>9999</v>
      </c>
      <c r="AC4266" t="s">
        <v>35</v>
      </c>
    </row>
    <row r="4267" spans="1:29" x14ac:dyDescent="0.25">
      <c r="A4267" s="31" t="s">
        <v>800</v>
      </c>
      <c r="B4267" s="23" t="s">
        <v>801</v>
      </c>
      <c r="C4267" t="s">
        <v>802</v>
      </c>
      <c r="D4267">
        <v>1</v>
      </c>
      <c r="E4267" t="s">
        <v>442</v>
      </c>
      <c r="F4267">
        <v>4</v>
      </c>
      <c r="G4267">
        <v>2011</v>
      </c>
      <c r="I4267">
        <v>1460.83</v>
      </c>
      <c r="J4267" t="s">
        <v>1343</v>
      </c>
      <c r="K4267" t="s">
        <v>47</v>
      </c>
      <c r="O4267">
        <v>0</v>
      </c>
      <c r="P4267">
        <v>0</v>
      </c>
      <c r="Q4267">
        <v>0</v>
      </c>
      <c r="R4267">
        <v>0</v>
      </c>
      <c r="W4267" t="s">
        <v>1331</v>
      </c>
      <c r="AA4267">
        <v>2007</v>
      </c>
      <c r="AB4267">
        <v>9999</v>
      </c>
      <c r="AC4267" t="s">
        <v>35</v>
      </c>
    </row>
    <row r="4268" spans="1:29" x14ac:dyDescent="0.25">
      <c r="A4268" s="31" t="s">
        <v>804</v>
      </c>
      <c r="B4268" s="23" t="s">
        <v>805</v>
      </c>
      <c r="D4268">
        <v>1</v>
      </c>
      <c r="E4268" t="s">
        <v>806</v>
      </c>
      <c r="F4268">
        <v>4</v>
      </c>
      <c r="G4268">
        <v>2011</v>
      </c>
      <c r="I4268">
        <v>5</v>
      </c>
      <c r="J4268" t="s">
        <v>89</v>
      </c>
      <c r="K4268" t="s">
        <v>32</v>
      </c>
      <c r="O4268">
        <v>0</v>
      </c>
      <c r="P4268">
        <v>0</v>
      </c>
      <c r="Q4268">
        <v>0</v>
      </c>
      <c r="R4268">
        <v>0</v>
      </c>
      <c r="W4268" t="s">
        <v>1183</v>
      </c>
      <c r="AA4268">
        <v>2007</v>
      </c>
      <c r="AB4268">
        <v>2012</v>
      </c>
      <c r="AC4268" t="s">
        <v>302</v>
      </c>
    </row>
    <row r="4269" spans="1:29" x14ac:dyDescent="0.25">
      <c r="A4269" s="31" t="s">
        <v>808</v>
      </c>
      <c r="B4269" s="23" t="s">
        <v>809</v>
      </c>
      <c r="D4269">
        <v>1</v>
      </c>
      <c r="E4269" t="s">
        <v>80</v>
      </c>
      <c r="F4269">
        <v>8</v>
      </c>
      <c r="G4269">
        <v>2011</v>
      </c>
      <c r="I4269">
        <v>13.48</v>
      </c>
      <c r="J4269" t="s">
        <v>81</v>
      </c>
      <c r="K4269" t="s">
        <v>47</v>
      </c>
      <c r="O4269">
        <v>0</v>
      </c>
      <c r="P4269">
        <v>0</v>
      </c>
      <c r="Q4269">
        <v>0</v>
      </c>
      <c r="R4269">
        <v>0</v>
      </c>
      <c r="W4269" t="s">
        <v>1184</v>
      </c>
      <c r="AA4269">
        <v>2007</v>
      </c>
      <c r="AB4269">
        <v>9999</v>
      </c>
      <c r="AC4269" t="s">
        <v>35</v>
      </c>
    </row>
    <row r="4270" spans="1:29" x14ac:dyDescent="0.25">
      <c r="A4270" s="31" t="s">
        <v>472</v>
      </c>
      <c r="B4270" s="23" t="s">
        <v>811</v>
      </c>
      <c r="D4270">
        <v>1</v>
      </c>
      <c r="E4270" t="s">
        <v>681</v>
      </c>
      <c r="F4270">
        <v>3</v>
      </c>
      <c r="G4270">
        <v>2011</v>
      </c>
      <c r="I4270" t="s">
        <v>812</v>
      </c>
      <c r="J4270" t="s">
        <v>121</v>
      </c>
      <c r="K4270" t="s">
        <v>53</v>
      </c>
      <c r="L4270" t="s">
        <v>53</v>
      </c>
      <c r="O4270">
        <v>0</v>
      </c>
      <c r="P4270">
        <v>0</v>
      </c>
      <c r="Q4270">
        <v>0</v>
      </c>
      <c r="R4270">
        <v>0</v>
      </c>
      <c r="W4270" t="s">
        <v>813</v>
      </c>
      <c r="AA4270">
        <v>2007</v>
      </c>
      <c r="AB4270">
        <v>9999</v>
      </c>
      <c r="AC4270" t="s">
        <v>35</v>
      </c>
    </row>
    <row r="4271" spans="1:29" x14ac:dyDescent="0.25">
      <c r="A4271" s="31" t="s">
        <v>814</v>
      </c>
      <c r="B4271" s="23" t="s">
        <v>815</v>
      </c>
      <c r="D4271">
        <v>1</v>
      </c>
      <c r="E4271" t="s">
        <v>80</v>
      </c>
      <c r="F4271">
        <v>8</v>
      </c>
      <c r="G4271">
        <v>2011</v>
      </c>
      <c r="I4271">
        <v>66.06</v>
      </c>
      <c r="J4271" t="s">
        <v>81</v>
      </c>
      <c r="K4271" t="s">
        <v>32</v>
      </c>
      <c r="O4271">
        <v>0</v>
      </c>
      <c r="P4271">
        <v>0</v>
      </c>
      <c r="Q4271">
        <v>0</v>
      </c>
      <c r="R4271">
        <v>0</v>
      </c>
      <c r="W4271" t="s">
        <v>1185</v>
      </c>
      <c r="AA4271">
        <v>2007</v>
      </c>
      <c r="AB4271">
        <v>9999</v>
      </c>
      <c r="AC4271" t="s">
        <v>35</v>
      </c>
    </row>
    <row r="4272" spans="1:29" x14ac:dyDescent="0.25">
      <c r="A4272" s="31" t="s">
        <v>822</v>
      </c>
      <c r="B4272" s="23" t="s">
        <v>823</v>
      </c>
      <c r="D4272">
        <v>1</v>
      </c>
      <c r="E4272" t="s">
        <v>80</v>
      </c>
      <c r="F4272">
        <v>8</v>
      </c>
      <c r="G4272">
        <v>2011</v>
      </c>
      <c r="I4272" s="50">
        <v>176.73</v>
      </c>
      <c r="J4272" t="s">
        <v>81</v>
      </c>
      <c r="K4272" t="s">
        <v>47</v>
      </c>
      <c r="O4272">
        <v>0</v>
      </c>
      <c r="P4272">
        <v>0</v>
      </c>
      <c r="Q4272">
        <v>0</v>
      </c>
      <c r="R4272">
        <v>0</v>
      </c>
      <c r="W4272" t="s">
        <v>1187</v>
      </c>
      <c r="AA4272">
        <v>2007</v>
      </c>
      <c r="AB4272">
        <v>9999</v>
      </c>
      <c r="AC4272" t="s">
        <v>35</v>
      </c>
    </row>
    <row r="4273" spans="1:29" x14ac:dyDescent="0.25">
      <c r="A4273" s="31" t="s">
        <v>1374</v>
      </c>
      <c r="B4273" s="23" t="s">
        <v>1375</v>
      </c>
      <c r="D4273">
        <v>1</v>
      </c>
      <c r="E4273" t="s">
        <v>80</v>
      </c>
      <c r="F4273">
        <v>8</v>
      </c>
      <c r="G4273">
        <v>2011</v>
      </c>
      <c r="I4273">
        <v>13.9</v>
      </c>
      <c r="J4273" t="s">
        <v>81</v>
      </c>
      <c r="K4273" t="s">
        <v>47</v>
      </c>
      <c r="O4273">
        <v>0</v>
      </c>
      <c r="P4273">
        <v>0</v>
      </c>
      <c r="Q4273">
        <v>0</v>
      </c>
      <c r="R4273">
        <v>0</v>
      </c>
      <c r="W4273" t="s">
        <v>1376</v>
      </c>
      <c r="AA4273">
        <v>2011</v>
      </c>
      <c r="AB4273">
        <v>2023</v>
      </c>
      <c r="AC4273" t="s">
        <v>1377</v>
      </c>
    </row>
    <row r="4274" spans="1:29" x14ac:dyDescent="0.25">
      <c r="A4274" s="31" t="s">
        <v>825</v>
      </c>
      <c r="B4274" s="23" t="s">
        <v>826</v>
      </c>
      <c r="D4274">
        <v>1</v>
      </c>
      <c r="E4274" t="s">
        <v>80</v>
      </c>
      <c r="F4274">
        <v>8</v>
      </c>
      <c r="G4274">
        <v>2011</v>
      </c>
      <c r="I4274">
        <v>124.75</v>
      </c>
      <c r="J4274" t="s">
        <v>81</v>
      </c>
      <c r="K4274" t="s">
        <v>47</v>
      </c>
      <c r="O4274">
        <v>0</v>
      </c>
      <c r="P4274">
        <v>0</v>
      </c>
      <c r="Q4274">
        <v>0</v>
      </c>
      <c r="R4274">
        <v>0</v>
      </c>
      <c r="W4274" t="s">
        <v>1188</v>
      </c>
      <c r="AA4274">
        <v>2007</v>
      </c>
      <c r="AB4274">
        <v>9999</v>
      </c>
      <c r="AC4274" t="s">
        <v>35</v>
      </c>
    </row>
    <row r="4275" spans="1:29" x14ac:dyDescent="0.25">
      <c r="A4275" s="31" t="s">
        <v>828</v>
      </c>
      <c r="B4275" s="23" t="s">
        <v>829</v>
      </c>
      <c r="D4275">
        <v>1</v>
      </c>
      <c r="E4275" t="s">
        <v>138</v>
      </c>
      <c r="F4275">
        <v>8</v>
      </c>
      <c r="G4275">
        <v>2011</v>
      </c>
      <c r="I4275">
        <v>60.98</v>
      </c>
      <c r="J4275" t="s">
        <v>81</v>
      </c>
      <c r="K4275" t="s">
        <v>47</v>
      </c>
      <c r="O4275">
        <v>0</v>
      </c>
      <c r="P4275">
        <v>0</v>
      </c>
      <c r="Q4275">
        <v>0</v>
      </c>
      <c r="R4275">
        <v>0</v>
      </c>
      <c r="W4275" t="s">
        <v>1189</v>
      </c>
      <c r="AA4275">
        <v>2007</v>
      </c>
      <c r="AB4275">
        <v>9999</v>
      </c>
      <c r="AC4275" t="s">
        <v>35</v>
      </c>
    </row>
    <row r="4276" spans="1:29" x14ac:dyDescent="0.25">
      <c r="A4276" s="31" t="s">
        <v>831</v>
      </c>
      <c r="B4276" s="23" t="s">
        <v>832</v>
      </c>
      <c r="C4276" t="s">
        <v>833</v>
      </c>
      <c r="D4276">
        <v>1</v>
      </c>
      <c r="E4276" t="s">
        <v>38</v>
      </c>
      <c r="F4276">
        <v>4</v>
      </c>
      <c r="G4276">
        <v>2011</v>
      </c>
      <c r="H4276" t="s">
        <v>906</v>
      </c>
      <c r="I4276">
        <v>0.1</v>
      </c>
      <c r="J4276" t="s">
        <v>59</v>
      </c>
      <c r="K4276" t="s">
        <v>41</v>
      </c>
      <c r="O4276">
        <v>0</v>
      </c>
      <c r="P4276">
        <v>0</v>
      </c>
      <c r="Q4276">
        <v>0</v>
      </c>
      <c r="R4276">
        <v>0</v>
      </c>
      <c r="W4276" t="s">
        <v>1190</v>
      </c>
      <c r="AA4276">
        <v>2007</v>
      </c>
      <c r="AB4276">
        <v>9999</v>
      </c>
      <c r="AC4276" t="s">
        <v>35</v>
      </c>
    </row>
    <row r="4277" spans="1:29" x14ac:dyDescent="0.25">
      <c r="A4277" s="31" t="s">
        <v>836</v>
      </c>
      <c r="B4277" s="23" t="s">
        <v>837</v>
      </c>
      <c r="D4277">
        <v>1</v>
      </c>
      <c r="E4277" t="s">
        <v>64</v>
      </c>
      <c r="F4277">
        <v>1</v>
      </c>
      <c r="G4277">
        <v>2011</v>
      </c>
      <c r="I4277">
        <v>290.69</v>
      </c>
      <c r="J4277" t="s">
        <v>52</v>
      </c>
      <c r="K4277" t="s">
        <v>32</v>
      </c>
      <c r="O4277">
        <v>0</v>
      </c>
      <c r="P4277">
        <v>0</v>
      </c>
      <c r="Q4277">
        <v>0</v>
      </c>
      <c r="R4277">
        <v>0</v>
      </c>
      <c r="W4277" t="s">
        <v>1191</v>
      </c>
      <c r="AA4277">
        <v>2007</v>
      </c>
      <c r="AB4277">
        <v>9999</v>
      </c>
      <c r="AC4277" t="s">
        <v>35</v>
      </c>
    </row>
    <row r="4278" spans="1:29" x14ac:dyDescent="0.25">
      <c r="A4278" s="31" t="s">
        <v>1194</v>
      </c>
      <c r="B4278" s="23" t="s">
        <v>1195</v>
      </c>
      <c r="D4278">
        <v>1</v>
      </c>
      <c r="E4278" t="s">
        <v>85</v>
      </c>
      <c r="F4278">
        <v>1</v>
      </c>
      <c r="G4278">
        <v>2011</v>
      </c>
      <c r="H4278" t="s">
        <v>39</v>
      </c>
      <c r="I4278">
        <v>1</v>
      </c>
      <c r="J4278" t="s">
        <v>52</v>
      </c>
      <c r="K4278" t="s">
        <v>41</v>
      </c>
      <c r="O4278">
        <v>0</v>
      </c>
      <c r="P4278">
        <v>0</v>
      </c>
      <c r="Q4278">
        <v>0</v>
      </c>
      <c r="R4278">
        <v>0</v>
      </c>
      <c r="W4278" t="s">
        <v>1267</v>
      </c>
      <c r="AA4278">
        <v>2008</v>
      </c>
      <c r="AB4278">
        <v>9999</v>
      </c>
      <c r="AC4278" t="s">
        <v>1054</v>
      </c>
    </row>
    <row r="4279" spans="1:29" x14ac:dyDescent="0.25">
      <c r="A4279" s="31" t="s">
        <v>1268</v>
      </c>
      <c r="B4279" s="23" t="s">
        <v>1262</v>
      </c>
      <c r="D4279">
        <v>1</v>
      </c>
      <c r="E4279" t="s">
        <v>300</v>
      </c>
      <c r="F4279">
        <v>9</v>
      </c>
      <c r="G4279">
        <v>2011</v>
      </c>
      <c r="I4279">
        <v>346.44</v>
      </c>
      <c r="J4279" t="s">
        <v>104</v>
      </c>
      <c r="K4279" t="s">
        <v>47</v>
      </c>
      <c r="O4279">
        <v>0</v>
      </c>
      <c r="P4279">
        <v>0</v>
      </c>
      <c r="Q4279">
        <v>0</v>
      </c>
      <c r="R4279">
        <v>0</v>
      </c>
      <c r="W4279" t="s">
        <v>1332</v>
      </c>
      <c r="AA4279">
        <v>2009</v>
      </c>
      <c r="AB4279">
        <v>9999</v>
      </c>
      <c r="AC4279" t="s">
        <v>1239</v>
      </c>
    </row>
    <row r="4280" spans="1:29" x14ac:dyDescent="0.25">
      <c r="A4280" s="31" t="s">
        <v>845</v>
      </c>
      <c r="B4280" s="23" t="s">
        <v>846</v>
      </c>
      <c r="C4280" t="s">
        <v>847</v>
      </c>
      <c r="D4280">
        <v>1</v>
      </c>
      <c r="E4280" t="s">
        <v>300</v>
      </c>
      <c r="F4280">
        <v>9</v>
      </c>
      <c r="G4280">
        <v>2011</v>
      </c>
      <c r="I4280">
        <v>330.52</v>
      </c>
      <c r="J4280" t="s">
        <v>104</v>
      </c>
      <c r="K4280" t="s">
        <v>47</v>
      </c>
      <c r="O4280">
        <v>0</v>
      </c>
      <c r="P4280">
        <v>0</v>
      </c>
      <c r="Q4280">
        <v>0</v>
      </c>
      <c r="R4280">
        <v>0</v>
      </c>
      <c r="W4280" t="s">
        <v>1333</v>
      </c>
      <c r="AA4280">
        <v>2007</v>
      </c>
      <c r="AB4280">
        <v>9999</v>
      </c>
      <c r="AC4280" t="s">
        <v>35</v>
      </c>
    </row>
    <row r="4281" spans="1:29" x14ac:dyDescent="0.25">
      <c r="A4281" s="31" t="s">
        <v>852</v>
      </c>
      <c r="B4281" s="23" t="s">
        <v>853</v>
      </c>
      <c r="D4281">
        <v>1</v>
      </c>
      <c r="E4281" t="s">
        <v>85</v>
      </c>
      <c r="F4281">
        <v>1</v>
      </c>
      <c r="G4281">
        <v>2011</v>
      </c>
      <c r="H4281" t="s">
        <v>837</v>
      </c>
      <c r="I4281">
        <v>1</v>
      </c>
      <c r="J4281" t="s">
        <v>40</v>
      </c>
      <c r="K4281" t="s">
        <v>41</v>
      </c>
      <c r="O4281">
        <v>0</v>
      </c>
      <c r="P4281">
        <v>0</v>
      </c>
      <c r="Q4281">
        <v>0</v>
      </c>
      <c r="R4281">
        <v>0</v>
      </c>
      <c r="W4281" t="s">
        <v>1191</v>
      </c>
      <c r="AA4281">
        <v>2007</v>
      </c>
      <c r="AB4281">
        <v>9999</v>
      </c>
      <c r="AC4281" t="s">
        <v>35</v>
      </c>
    </row>
    <row r="4282" spans="1:29" x14ac:dyDescent="0.25">
      <c r="A4282" s="31" t="s">
        <v>857</v>
      </c>
      <c r="B4282" s="23" t="s">
        <v>858</v>
      </c>
      <c r="D4282">
        <v>1</v>
      </c>
      <c r="E4282" t="s">
        <v>859</v>
      </c>
      <c r="F4282">
        <v>5</v>
      </c>
      <c r="G4282">
        <v>2011</v>
      </c>
      <c r="I4282">
        <v>6</v>
      </c>
      <c r="J4282" t="s">
        <v>40</v>
      </c>
      <c r="K4282" t="s">
        <v>47</v>
      </c>
      <c r="O4282">
        <v>0</v>
      </c>
      <c r="P4282">
        <v>0</v>
      </c>
      <c r="Q4282">
        <v>0</v>
      </c>
      <c r="R4282">
        <v>0</v>
      </c>
      <c r="W4282" t="s">
        <v>1197</v>
      </c>
      <c r="AA4282">
        <v>2007</v>
      </c>
      <c r="AB4282">
        <v>2015</v>
      </c>
      <c r="AC4282" t="s">
        <v>861</v>
      </c>
    </row>
    <row r="4283" spans="1:29" x14ac:dyDescent="0.25">
      <c r="A4283" s="31" t="s">
        <v>862</v>
      </c>
      <c r="B4283" s="23" t="s">
        <v>863</v>
      </c>
      <c r="C4283" t="s">
        <v>864</v>
      </c>
      <c r="D4283">
        <v>1</v>
      </c>
      <c r="E4283" t="s">
        <v>442</v>
      </c>
      <c r="F4283">
        <v>4</v>
      </c>
      <c r="G4283">
        <v>2011</v>
      </c>
      <c r="I4283">
        <v>358.96</v>
      </c>
      <c r="J4283" t="s">
        <v>1343</v>
      </c>
      <c r="K4283" t="s">
        <v>47</v>
      </c>
      <c r="O4283">
        <v>0</v>
      </c>
      <c r="P4283">
        <v>0</v>
      </c>
      <c r="Q4283">
        <v>0</v>
      </c>
      <c r="R4283">
        <v>0</v>
      </c>
      <c r="W4283" t="s">
        <v>1334</v>
      </c>
      <c r="AA4283">
        <v>2007</v>
      </c>
      <c r="AB4283">
        <v>9999</v>
      </c>
      <c r="AC4283" t="s">
        <v>35</v>
      </c>
    </row>
    <row r="4284" spans="1:29" x14ac:dyDescent="0.25">
      <c r="A4284" s="31" t="s">
        <v>866</v>
      </c>
      <c r="B4284" s="23" t="s">
        <v>867</v>
      </c>
      <c r="C4284" t="s">
        <v>868</v>
      </c>
      <c r="D4284">
        <v>1</v>
      </c>
      <c r="E4284" t="s">
        <v>869</v>
      </c>
      <c r="F4284">
        <v>4</v>
      </c>
      <c r="G4284">
        <v>2011</v>
      </c>
      <c r="I4284">
        <v>182.64</v>
      </c>
      <c r="J4284" t="s">
        <v>89</v>
      </c>
      <c r="K4284" t="s">
        <v>32</v>
      </c>
      <c r="O4284">
        <v>0</v>
      </c>
      <c r="P4284">
        <v>0</v>
      </c>
      <c r="Q4284">
        <v>0</v>
      </c>
      <c r="R4284">
        <v>0</v>
      </c>
      <c r="W4284" t="s">
        <v>1199</v>
      </c>
      <c r="AA4284">
        <v>2007</v>
      </c>
      <c r="AB4284">
        <v>9999</v>
      </c>
      <c r="AC4284" t="s">
        <v>35</v>
      </c>
    </row>
    <row r="4285" spans="1:29" x14ac:dyDescent="0.25">
      <c r="A4285" s="31" t="s">
        <v>1023</v>
      </c>
      <c r="B4285" s="23" t="s">
        <v>1200</v>
      </c>
      <c r="D4285">
        <v>1</v>
      </c>
      <c r="E4285" t="s">
        <v>85</v>
      </c>
      <c r="F4285">
        <v>1</v>
      </c>
      <c r="G4285">
        <v>2011</v>
      </c>
      <c r="H4285" t="s">
        <v>39</v>
      </c>
      <c r="I4285">
        <v>4</v>
      </c>
      <c r="J4285" t="s">
        <v>40</v>
      </c>
      <c r="K4285" t="s">
        <v>41</v>
      </c>
      <c r="O4285">
        <v>0</v>
      </c>
      <c r="P4285">
        <v>0</v>
      </c>
      <c r="Q4285">
        <v>0</v>
      </c>
      <c r="R4285">
        <v>0</v>
      </c>
      <c r="W4285" t="s">
        <v>1271</v>
      </c>
      <c r="AA4285">
        <v>2007</v>
      </c>
      <c r="AB4285">
        <v>9999</v>
      </c>
      <c r="AC4285" t="s">
        <v>35</v>
      </c>
    </row>
    <row r="4286" spans="1:29" x14ac:dyDescent="0.25">
      <c r="A4286" s="31" t="s">
        <v>871</v>
      </c>
      <c r="B4286" s="23" t="s">
        <v>872</v>
      </c>
      <c r="C4286" t="s">
        <v>873</v>
      </c>
      <c r="D4286">
        <v>1</v>
      </c>
      <c r="E4286" t="s">
        <v>874</v>
      </c>
      <c r="F4286">
        <v>1</v>
      </c>
      <c r="G4286">
        <v>2011</v>
      </c>
      <c r="I4286">
        <v>1175.47</v>
      </c>
      <c r="J4286" t="s">
        <v>52</v>
      </c>
      <c r="K4286" t="s">
        <v>47</v>
      </c>
      <c r="O4286">
        <v>0</v>
      </c>
      <c r="P4286">
        <v>0</v>
      </c>
      <c r="Q4286">
        <v>0</v>
      </c>
      <c r="R4286">
        <v>0</v>
      </c>
      <c r="W4286" t="s">
        <v>1201</v>
      </c>
      <c r="AA4286">
        <v>2007</v>
      </c>
      <c r="AB4286">
        <v>9999</v>
      </c>
      <c r="AC4286" t="s">
        <v>35</v>
      </c>
    </row>
    <row r="4287" spans="1:29" x14ac:dyDescent="0.25">
      <c r="A4287" s="31" t="s">
        <v>876</v>
      </c>
      <c r="B4287" s="23" t="s">
        <v>877</v>
      </c>
      <c r="C4287" t="s">
        <v>878</v>
      </c>
      <c r="D4287">
        <v>1</v>
      </c>
      <c r="E4287" t="s">
        <v>168</v>
      </c>
      <c r="F4287">
        <v>1</v>
      </c>
      <c r="G4287">
        <v>2011</v>
      </c>
      <c r="I4287">
        <v>70.97</v>
      </c>
      <c r="J4287" t="s">
        <v>40</v>
      </c>
      <c r="K4287" t="s">
        <v>47</v>
      </c>
      <c r="O4287">
        <v>0</v>
      </c>
      <c r="P4287">
        <v>0</v>
      </c>
      <c r="Q4287">
        <v>0</v>
      </c>
      <c r="R4287">
        <v>0</v>
      </c>
      <c r="W4287" t="s">
        <v>1202</v>
      </c>
      <c r="AA4287">
        <v>2007</v>
      </c>
      <c r="AB4287">
        <v>9999</v>
      </c>
      <c r="AC4287" t="s">
        <v>35</v>
      </c>
    </row>
    <row r="4288" spans="1:29" x14ac:dyDescent="0.25">
      <c r="A4288" s="31" t="s">
        <v>1378</v>
      </c>
      <c r="B4288" s="23" t="s">
        <v>1379</v>
      </c>
      <c r="D4288">
        <v>1</v>
      </c>
      <c r="E4288" t="s">
        <v>103</v>
      </c>
      <c r="F4288">
        <v>9</v>
      </c>
      <c r="G4288">
        <v>2011</v>
      </c>
      <c r="I4288">
        <v>83.45</v>
      </c>
      <c r="J4288" t="s">
        <v>104</v>
      </c>
      <c r="K4288" t="s">
        <v>53</v>
      </c>
      <c r="L4288" t="s">
        <v>105</v>
      </c>
      <c r="O4288">
        <v>0</v>
      </c>
      <c r="P4288">
        <v>1</v>
      </c>
      <c r="Q4288">
        <v>0</v>
      </c>
      <c r="R4288">
        <v>0</v>
      </c>
      <c r="W4288" t="s">
        <v>106</v>
      </c>
      <c r="AA4288">
        <v>2011</v>
      </c>
      <c r="AB4288">
        <v>2013</v>
      </c>
      <c r="AC4288" t="s">
        <v>1380</v>
      </c>
    </row>
    <row r="4289" spans="1:29" x14ac:dyDescent="0.25">
      <c r="A4289" s="31" t="s">
        <v>880</v>
      </c>
      <c r="B4289" s="23" t="s">
        <v>881</v>
      </c>
      <c r="C4289" t="s">
        <v>882</v>
      </c>
      <c r="D4289">
        <v>1</v>
      </c>
      <c r="E4289" t="s">
        <v>103</v>
      </c>
      <c r="F4289">
        <v>9</v>
      </c>
      <c r="G4289">
        <v>2011</v>
      </c>
      <c r="I4289">
        <v>4098.43</v>
      </c>
      <c r="J4289" t="s">
        <v>104</v>
      </c>
      <c r="K4289" t="s">
        <v>53</v>
      </c>
      <c r="L4289" t="s">
        <v>105</v>
      </c>
      <c r="O4289">
        <v>0</v>
      </c>
      <c r="P4289">
        <v>1</v>
      </c>
      <c r="Q4289">
        <v>0</v>
      </c>
      <c r="R4289">
        <v>0</v>
      </c>
      <c r="W4289" t="s">
        <v>106</v>
      </c>
      <c r="AA4289">
        <v>2007</v>
      </c>
      <c r="AB4289">
        <v>9999</v>
      </c>
      <c r="AC4289" t="s">
        <v>35</v>
      </c>
    </row>
    <row r="4290" spans="1:29" x14ac:dyDescent="0.25">
      <c r="A4290" s="31" t="s">
        <v>1272</v>
      </c>
      <c r="B4290" s="23" t="s">
        <v>1273</v>
      </c>
      <c r="D4290">
        <v>1</v>
      </c>
      <c r="E4290" t="s">
        <v>1274</v>
      </c>
      <c r="F4290">
        <v>4</v>
      </c>
      <c r="G4290">
        <v>2011</v>
      </c>
      <c r="I4290">
        <v>255.07</v>
      </c>
      <c r="J4290" t="s">
        <v>31</v>
      </c>
      <c r="K4290" t="s">
        <v>47</v>
      </c>
      <c r="O4290">
        <v>0</v>
      </c>
      <c r="P4290">
        <v>0</v>
      </c>
      <c r="Q4290">
        <v>0</v>
      </c>
      <c r="R4290">
        <v>0</v>
      </c>
      <c r="W4290" t="s">
        <v>1275</v>
      </c>
      <c r="AA4290">
        <v>2009</v>
      </c>
      <c r="AB4290">
        <v>9999</v>
      </c>
      <c r="AC4290" t="s">
        <v>1239</v>
      </c>
    </row>
    <row r="4291" spans="1:29" x14ac:dyDescent="0.25">
      <c r="A4291" s="31" t="s">
        <v>883</v>
      </c>
      <c r="B4291" s="23" t="s">
        <v>884</v>
      </c>
      <c r="C4291" t="s">
        <v>885</v>
      </c>
      <c r="D4291">
        <v>1</v>
      </c>
      <c r="E4291" t="s">
        <v>45</v>
      </c>
      <c r="F4291">
        <v>4</v>
      </c>
      <c r="G4291">
        <v>2011</v>
      </c>
      <c r="I4291">
        <v>99.7</v>
      </c>
      <c r="J4291" t="s">
        <v>176</v>
      </c>
      <c r="K4291" t="s">
        <v>47</v>
      </c>
      <c r="O4291">
        <v>0</v>
      </c>
      <c r="P4291">
        <v>0</v>
      </c>
      <c r="Q4291">
        <v>0</v>
      </c>
      <c r="R4291">
        <v>0</v>
      </c>
      <c r="W4291" t="s">
        <v>1335</v>
      </c>
      <c r="AA4291">
        <v>2007</v>
      </c>
      <c r="AB4291">
        <v>9999</v>
      </c>
      <c r="AC4291" t="s">
        <v>35</v>
      </c>
    </row>
    <row r="4292" spans="1:29" x14ac:dyDescent="0.25">
      <c r="A4292" s="31" t="s">
        <v>887</v>
      </c>
      <c r="B4292" s="23" t="s">
        <v>888</v>
      </c>
      <c r="C4292" t="s">
        <v>889</v>
      </c>
      <c r="D4292">
        <v>1</v>
      </c>
      <c r="E4292" t="s">
        <v>335</v>
      </c>
      <c r="F4292">
        <v>1</v>
      </c>
      <c r="G4292">
        <v>2011</v>
      </c>
      <c r="I4292">
        <v>669.59</v>
      </c>
      <c r="J4292" t="s">
        <v>176</v>
      </c>
      <c r="K4292" t="s">
        <v>32</v>
      </c>
      <c r="O4292">
        <v>0</v>
      </c>
      <c r="P4292">
        <v>0</v>
      </c>
      <c r="Q4292">
        <v>0</v>
      </c>
      <c r="R4292">
        <v>0</v>
      </c>
      <c r="W4292" t="s">
        <v>1381</v>
      </c>
      <c r="AA4292">
        <v>2007</v>
      </c>
      <c r="AB4292">
        <v>9999</v>
      </c>
      <c r="AC4292" t="s">
        <v>35</v>
      </c>
    </row>
    <row r="4293" spans="1:29" x14ac:dyDescent="0.25">
      <c r="A4293" s="31" t="s">
        <v>894</v>
      </c>
      <c r="B4293" s="23" t="s">
        <v>895</v>
      </c>
      <c r="D4293">
        <v>1</v>
      </c>
      <c r="E4293" t="s">
        <v>38</v>
      </c>
      <c r="F4293">
        <v>4</v>
      </c>
      <c r="G4293">
        <v>2011</v>
      </c>
      <c r="H4293" t="s">
        <v>715</v>
      </c>
      <c r="I4293">
        <v>0.1</v>
      </c>
      <c r="J4293" s="2" t="s">
        <v>1343</v>
      </c>
      <c r="K4293" t="s">
        <v>53</v>
      </c>
      <c r="L4293" t="s">
        <v>53</v>
      </c>
      <c r="O4293">
        <v>0</v>
      </c>
      <c r="P4293">
        <v>0</v>
      </c>
      <c r="Q4293">
        <v>0</v>
      </c>
      <c r="R4293">
        <v>0</v>
      </c>
      <c r="W4293" t="s">
        <v>897</v>
      </c>
      <c r="AA4293">
        <v>2007</v>
      </c>
      <c r="AB4293">
        <v>9999</v>
      </c>
      <c r="AC4293" t="s">
        <v>35</v>
      </c>
    </row>
    <row r="4294" spans="1:29" x14ac:dyDescent="0.25">
      <c r="A4294" s="31" t="s">
        <v>900</v>
      </c>
      <c r="B4294" s="23" t="s">
        <v>901</v>
      </c>
      <c r="D4294">
        <v>1</v>
      </c>
      <c r="E4294" t="s">
        <v>38</v>
      </c>
      <c r="F4294">
        <v>4</v>
      </c>
      <c r="G4294">
        <v>2011</v>
      </c>
      <c r="H4294" t="s">
        <v>1382</v>
      </c>
      <c r="I4294">
        <v>0.5</v>
      </c>
      <c r="J4294" s="2" t="s">
        <v>1343</v>
      </c>
      <c r="K4294" t="s">
        <v>53</v>
      </c>
      <c r="L4294" t="s">
        <v>902</v>
      </c>
      <c r="O4294">
        <v>0</v>
      </c>
      <c r="P4294">
        <v>0</v>
      </c>
      <c r="Q4294">
        <v>0</v>
      </c>
      <c r="R4294">
        <v>0</v>
      </c>
      <c r="W4294" t="s">
        <v>903</v>
      </c>
      <c r="AA4294">
        <v>2007</v>
      </c>
      <c r="AB4294">
        <v>9999</v>
      </c>
      <c r="AC4294" t="s">
        <v>35</v>
      </c>
    </row>
    <row r="4295" spans="1:29" x14ac:dyDescent="0.25">
      <c r="A4295" s="31" t="s">
        <v>904</v>
      </c>
      <c r="B4295" s="23" t="s">
        <v>905</v>
      </c>
      <c r="D4295">
        <v>1</v>
      </c>
      <c r="E4295" t="s">
        <v>38</v>
      </c>
      <c r="F4295">
        <v>4</v>
      </c>
      <c r="G4295">
        <v>2011</v>
      </c>
      <c r="H4295" t="s">
        <v>906</v>
      </c>
      <c r="I4295">
        <v>0.5</v>
      </c>
      <c r="J4295" t="s">
        <v>59</v>
      </c>
      <c r="K4295" t="s">
        <v>53</v>
      </c>
      <c r="L4295" t="s">
        <v>902</v>
      </c>
      <c r="O4295">
        <v>0</v>
      </c>
      <c r="P4295">
        <v>0</v>
      </c>
      <c r="Q4295">
        <v>0</v>
      </c>
      <c r="R4295">
        <v>0</v>
      </c>
      <c r="W4295" t="s">
        <v>907</v>
      </c>
      <c r="AA4295">
        <v>2007</v>
      </c>
      <c r="AB4295">
        <v>9999</v>
      </c>
      <c r="AC4295" t="s">
        <v>35</v>
      </c>
    </row>
    <row r="4296" spans="1:29" x14ac:dyDescent="0.25">
      <c r="A4296" s="31" t="s">
        <v>908</v>
      </c>
      <c r="B4296" s="23" t="s">
        <v>909</v>
      </c>
      <c r="C4296" t="s">
        <v>910</v>
      </c>
      <c r="D4296">
        <v>1</v>
      </c>
      <c r="E4296" t="s">
        <v>911</v>
      </c>
      <c r="F4296">
        <v>1</v>
      </c>
      <c r="G4296">
        <v>2011</v>
      </c>
      <c r="I4296">
        <v>87.05</v>
      </c>
      <c r="J4296" t="s">
        <v>176</v>
      </c>
      <c r="K4296" t="s">
        <v>47</v>
      </c>
      <c r="O4296">
        <v>0</v>
      </c>
      <c r="P4296">
        <v>0</v>
      </c>
      <c r="Q4296">
        <v>0</v>
      </c>
      <c r="R4296">
        <v>0</v>
      </c>
      <c r="W4296" t="s">
        <v>1206</v>
      </c>
      <c r="AA4296">
        <v>2007</v>
      </c>
      <c r="AB4296">
        <v>9999</v>
      </c>
      <c r="AC4296" t="s">
        <v>35</v>
      </c>
    </row>
    <row r="4297" spans="1:29" x14ac:dyDescent="0.25">
      <c r="A4297" s="31" t="s">
        <v>913</v>
      </c>
      <c r="B4297" s="23" t="s">
        <v>914</v>
      </c>
      <c r="C4297" t="s">
        <v>915</v>
      </c>
      <c r="D4297">
        <v>1</v>
      </c>
      <c r="E4297" t="s">
        <v>911</v>
      </c>
      <c r="F4297">
        <v>1</v>
      </c>
      <c r="G4297">
        <v>2011</v>
      </c>
      <c r="I4297">
        <v>11.04</v>
      </c>
      <c r="J4297" t="s">
        <v>268</v>
      </c>
      <c r="K4297" t="s">
        <v>47</v>
      </c>
      <c r="O4297">
        <v>0</v>
      </c>
      <c r="P4297">
        <v>0</v>
      </c>
      <c r="Q4297">
        <v>0</v>
      </c>
      <c r="R4297">
        <v>0</v>
      </c>
      <c r="W4297" t="s">
        <v>1276</v>
      </c>
      <c r="AA4297">
        <v>2007</v>
      </c>
      <c r="AB4297">
        <v>9999</v>
      </c>
      <c r="AC4297" t="s">
        <v>35</v>
      </c>
    </row>
    <row r="4298" spans="1:29" x14ac:dyDescent="0.25">
      <c r="B4298" s="23" t="s">
        <v>917</v>
      </c>
      <c r="D4298">
        <v>1</v>
      </c>
      <c r="E4298" t="s">
        <v>38</v>
      </c>
      <c r="F4298">
        <v>4</v>
      </c>
      <c r="G4298">
        <v>2011</v>
      </c>
      <c r="H4298" t="s">
        <v>918</v>
      </c>
      <c r="I4298">
        <v>2</v>
      </c>
      <c r="J4298" t="s">
        <v>176</v>
      </c>
      <c r="K4298" t="s">
        <v>41</v>
      </c>
      <c r="O4298">
        <v>0</v>
      </c>
      <c r="P4298">
        <v>0</v>
      </c>
      <c r="Q4298">
        <v>0</v>
      </c>
      <c r="R4298">
        <v>0</v>
      </c>
      <c r="W4298" t="s">
        <v>1208</v>
      </c>
      <c r="AA4298">
        <v>2007</v>
      </c>
      <c r="AB4298">
        <v>2011</v>
      </c>
      <c r="AC4298" t="s">
        <v>191</v>
      </c>
    </row>
    <row r="4299" spans="1:29" x14ac:dyDescent="0.25">
      <c r="A4299" s="31" t="s">
        <v>97</v>
      </c>
      <c r="B4299" s="23" t="s">
        <v>99</v>
      </c>
      <c r="C4299" t="s">
        <v>923</v>
      </c>
      <c r="D4299">
        <v>1</v>
      </c>
      <c r="E4299" t="s">
        <v>45</v>
      </c>
      <c r="F4299">
        <v>4</v>
      </c>
      <c r="G4299">
        <v>2011</v>
      </c>
      <c r="I4299">
        <v>228.45</v>
      </c>
      <c r="J4299" t="s">
        <v>89</v>
      </c>
      <c r="K4299" t="s">
        <v>47</v>
      </c>
      <c r="O4299">
        <v>0</v>
      </c>
      <c r="P4299">
        <v>0</v>
      </c>
      <c r="Q4299">
        <v>0</v>
      </c>
      <c r="R4299">
        <v>0</v>
      </c>
      <c r="W4299" t="s">
        <v>1277</v>
      </c>
      <c r="AA4299">
        <v>2007</v>
      </c>
      <c r="AB4299">
        <v>9999</v>
      </c>
      <c r="AC4299" t="s">
        <v>35</v>
      </c>
    </row>
    <row r="4300" spans="1:29" x14ac:dyDescent="0.25">
      <c r="A4300" s="31" t="s">
        <v>925</v>
      </c>
      <c r="B4300" s="23" t="s">
        <v>926</v>
      </c>
      <c r="C4300" t="s">
        <v>927</v>
      </c>
      <c r="D4300">
        <v>1</v>
      </c>
      <c r="E4300" t="s">
        <v>103</v>
      </c>
      <c r="F4300">
        <v>9</v>
      </c>
      <c r="G4300">
        <v>2011</v>
      </c>
      <c r="I4300">
        <v>2892.27</v>
      </c>
      <c r="J4300" t="s">
        <v>1343</v>
      </c>
      <c r="K4300" t="s">
        <v>53</v>
      </c>
      <c r="L4300" t="s">
        <v>105</v>
      </c>
      <c r="O4300">
        <v>0</v>
      </c>
      <c r="P4300">
        <v>0</v>
      </c>
      <c r="Q4300">
        <v>0</v>
      </c>
      <c r="R4300">
        <v>0</v>
      </c>
      <c r="W4300" t="s">
        <v>928</v>
      </c>
      <c r="AA4300">
        <v>2007</v>
      </c>
      <c r="AB4300">
        <v>9999</v>
      </c>
      <c r="AC4300" t="s">
        <v>35</v>
      </c>
    </row>
    <row r="4301" spans="1:29" x14ac:dyDescent="0.25">
      <c r="A4301" s="31" t="s">
        <v>929</v>
      </c>
      <c r="B4301" s="23" t="s">
        <v>930</v>
      </c>
      <c r="C4301" t="s">
        <v>931</v>
      </c>
      <c r="D4301">
        <v>1</v>
      </c>
      <c r="E4301" t="s">
        <v>45</v>
      </c>
      <c r="F4301">
        <v>4</v>
      </c>
      <c r="G4301">
        <v>2011</v>
      </c>
      <c r="I4301">
        <v>586.17999999999995</v>
      </c>
      <c r="J4301" t="s">
        <v>31</v>
      </c>
      <c r="K4301" t="s">
        <v>47</v>
      </c>
      <c r="O4301">
        <v>0</v>
      </c>
      <c r="P4301">
        <v>0</v>
      </c>
      <c r="Q4301">
        <v>0</v>
      </c>
      <c r="R4301">
        <v>0</v>
      </c>
      <c r="W4301" t="s">
        <v>1336</v>
      </c>
      <c r="AA4301">
        <v>2007</v>
      </c>
      <c r="AB4301">
        <v>9999</v>
      </c>
      <c r="AC4301" t="s">
        <v>35</v>
      </c>
    </row>
    <row r="4302" spans="1:29" x14ac:dyDescent="0.25">
      <c r="A4302" s="31" t="s">
        <v>1212</v>
      </c>
      <c r="B4302" s="23" t="s">
        <v>1213</v>
      </c>
      <c r="D4302">
        <v>1</v>
      </c>
      <c r="E4302" t="s">
        <v>681</v>
      </c>
      <c r="F4302">
        <v>3</v>
      </c>
      <c r="G4302">
        <v>2011</v>
      </c>
      <c r="I4302">
        <v>7</v>
      </c>
      <c r="J4302" t="s">
        <v>121</v>
      </c>
      <c r="K4302" t="s">
        <v>41</v>
      </c>
      <c r="O4302">
        <v>0</v>
      </c>
      <c r="P4302">
        <v>0</v>
      </c>
      <c r="Q4302">
        <v>0</v>
      </c>
      <c r="R4302">
        <v>0</v>
      </c>
      <c r="W4302" t="s">
        <v>1278</v>
      </c>
      <c r="AA4302">
        <v>2008</v>
      </c>
      <c r="AB4302">
        <v>9999</v>
      </c>
      <c r="AC4302" t="s">
        <v>1054</v>
      </c>
    </row>
    <row r="4303" spans="1:29" x14ac:dyDescent="0.25">
      <c r="A4303" s="31" t="s">
        <v>933</v>
      </c>
      <c r="B4303" s="23" t="s">
        <v>934</v>
      </c>
      <c r="C4303" t="s">
        <v>935</v>
      </c>
      <c r="D4303">
        <v>1</v>
      </c>
      <c r="E4303" t="s">
        <v>681</v>
      </c>
      <c r="F4303">
        <v>3</v>
      </c>
      <c r="G4303">
        <v>2011</v>
      </c>
      <c r="J4303" t="s">
        <v>121</v>
      </c>
      <c r="K4303" t="s">
        <v>47</v>
      </c>
      <c r="O4303">
        <v>0</v>
      </c>
      <c r="P4303">
        <v>0</v>
      </c>
      <c r="Q4303">
        <v>0</v>
      </c>
      <c r="R4303">
        <v>0</v>
      </c>
      <c r="W4303" t="s">
        <v>936</v>
      </c>
      <c r="AA4303">
        <v>2007</v>
      </c>
      <c r="AB4303">
        <v>9999</v>
      </c>
      <c r="AC4303" t="s">
        <v>35</v>
      </c>
    </row>
    <row r="4304" spans="1:29" x14ac:dyDescent="0.25">
      <c r="A4304" s="31" t="s">
        <v>937</v>
      </c>
      <c r="B4304" s="23" t="s">
        <v>938</v>
      </c>
      <c r="D4304">
        <v>1</v>
      </c>
      <c r="E4304" t="s">
        <v>103</v>
      </c>
      <c r="F4304">
        <v>9</v>
      </c>
      <c r="G4304">
        <v>2011</v>
      </c>
      <c r="I4304">
        <v>731.79</v>
      </c>
      <c r="J4304" t="s">
        <v>104</v>
      </c>
      <c r="K4304" t="s">
        <v>53</v>
      </c>
      <c r="L4304" t="s">
        <v>105</v>
      </c>
      <c r="O4304">
        <v>0</v>
      </c>
      <c r="P4304">
        <v>1</v>
      </c>
      <c r="Q4304">
        <v>0</v>
      </c>
      <c r="R4304">
        <v>0</v>
      </c>
      <c r="W4304" t="s">
        <v>106</v>
      </c>
      <c r="AA4304">
        <v>2007</v>
      </c>
      <c r="AB4304">
        <v>9999</v>
      </c>
      <c r="AC4304" t="s">
        <v>35</v>
      </c>
    </row>
    <row r="4305" spans="1:29" x14ac:dyDescent="0.25">
      <c r="A4305" s="31" t="s">
        <v>939</v>
      </c>
      <c r="B4305" s="23" t="s">
        <v>940</v>
      </c>
      <c r="D4305">
        <v>1</v>
      </c>
      <c r="E4305" t="s">
        <v>80</v>
      </c>
      <c r="F4305">
        <v>8</v>
      </c>
      <c r="G4305">
        <v>2011</v>
      </c>
      <c r="I4305">
        <v>69.41</v>
      </c>
      <c r="J4305" s="2" t="s">
        <v>81</v>
      </c>
      <c r="K4305" t="s">
        <v>47</v>
      </c>
      <c r="O4305">
        <v>0</v>
      </c>
      <c r="P4305">
        <v>0</v>
      </c>
      <c r="Q4305">
        <v>0</v>
      </c>
      <c r="R4305">
        <v>0</v>
      </c>
      <c r="W4305" t="s">
        <v>1214</v>
      </c>
      <c r="AA4305">
        <v>2007</v>
      </c>
      <c r="AB4305">
        <v>9999</v>
      </c>
      <c r="AC4305" t="s">
        <v>35</v>
      </c>
    </row>
    <row r="4306" spans="1:29" x14ac:dyDescent="0.25">
      <c r="A4306" s="31" t="s">
        <v>462</v>
      </c>
      <c r="B4306" s="23" t="s">
        <v>1279</v>
      </c>
      <c r="C4306" t="s">
        <v>1280</v>
      </c>
      <c r="D4306">
        <v>1</v>
      </c>
      <c r="E4306" t="s">
        <v>468</v>
      </c>
      <c r="F4306">
        <v>7</v>
      </c>
      <c r="G4306">
        <v>2011</v>
      </c>
      <c r="I4306">
        <v>56.3</v>
      </c>
      <c r="J4306" t="s">
        <v>40</v>
      </c>
      <c r="K4306" t="s">
        <v>47</v>
      </c>
      <c r="O4306">
        <v>0</v>
      </c>
      <c r="P4306">
        <v>0</v>
      </c>
      <c r="Q4306">
        <v>0</v>
      </c>
      <c r="R4306">
        <v>0</v>
      </c>
      <c r="W4306" t="s">
        <v>1118</v>
      </c>
      <c r="AA4306">
        <v>2007</v>
      </c>
      <c r="AB4306">
        <v>9999</v>
      </c>
      <c r="AC4306" t="s">
        <v>35</v>
      </c>
    </row>
    <row r="4307" spans="1:29" x14ac:dyDescent="0.25">
      <c r="A4307" s="31" t="s">
        <v>1337</v>
      </c>
      <c r="B4307" s="23" t="s">
        <v>1315</v>
      </c>
      <c r="D4307">
        <v>1</v>
      </c>
      <c r="E4307" t="s">
        <v>45</v>
      </c>
      <c r="F4307">
        <v>4</v>
      </c>
      <c r="G4307">
        <v>2011</v>
      </c>
      <c r="I4307">
        <v>312.07</v>
      </c>
      <c r="J4307" t="s">
        <v>89</v>
      </c>
      <c r="K4307" t="s">
        <v>32</v>
      </c>
      <c r="O4307">
        <v>0</v>
      </c>
      <c r="P4307">
        <v>0</v>
      </c>
      <c r="Q4307">
        <v>0</v>
      </c>
      <c r="R4307">
        <v>0</v>
      </c>
      <c r="W4307" t="s">
        <v>1338</v>
      </c>
      <c r="AA4307">
        <v>2010</v>
      </c>
      <c r="AB4307">
        <v>9999</v>
      </c>
      <c r="AC4307" t="s">
        <v>1292</v>
      </c>
    </row>
    <row r="4308" spans="1:29" x14ac:dyDescent="0.25">
      <c r="A4308" s="31" t="s">
        <v>153</v>
      </c>
      <c r="B4308" s="23" t="s">
        <v>946</v>
      </c>
      <c r="D4308">
        <v>48</v>
      </c>
      <c r="E4308" t="s">
        <v>155</v>
      </c>
      <c r="F4308">
        <v>3</v>
      </c>
      <c r="G4308">
        <v>2011</v>
      </c>
      <c r="I4308">
        <v>2652.6721997529453</v>
      </c>
      <c r="J4308" t="s">
        <v>121</v>
      </c>
      <c r="K4308" t="s">
        <v>53</v>
      </c>
      <c r="L4308" t="s">
        <v>60</v>
      </c>
      <c r="O4308">
        <v>1</v>
      </c>
      <c r="P4308">
        <v>0</v>
      </c>
      <c r="Q4308">
        <v>0</v>
      </c>
      <c r="R4308">
        <v>0</v>
      </c>
      <c r="V4308">
        <v>1</v>
      </c>
      <c r="W4308" t="s">
        <v>947</v>
      </c>
      <c r="AA4308">
        <v>2007</v>
      </c>
      <c r="AB4308">
        <v>9999</v>
      </c>
      <c r="AC4308" t="s">
        <v>35</v>
      </c>
    </row>
    <row r="4309" spans="1:29" x14ac:dyDescent="0.25">
      <c r="A4309" s="31" t="s">
        <v>950</v>
      </c>
      <c r="B4309" s="23" t="s">
        <v>951</v>
      </c>
      <c r="C4309" t="s">
        <v>952</v>
      </c>
      <c r="D4309">
        <v>1</v>
      </c>
      <c r="E4309" t="s">
        <v>218</v>
      </c>
      <c r="F4309">
        <v>2</v>
      </c>
      <c r="G4309">
        <v>2011</v>
      </c>
      <c r="I4309">
        <v>892.52</v>
      </c>
      <c r="J4309" t="s">
        <v>147</v>
      </c>
      <c r="K4309" t="s">
        <v>32</v>
      </c>
      <c r="O4309">
        <v>0</v>
      </c>
      <c r="P4309">
        <v>0</v>
      </c>
      <c r="Q4309">
        <v>0</v>
      </c>
      <c r="R4309">
        <v>0</v>
      </c>
      <c r="W4309" t="s">
        <v>1216</v>
      </c>
      <c r="AA4309">
        <v>2007</v>
      </c>
      <c r="AB4309">
        <v>9999</v>
      </c>
      <c r="AC4309" t="s">
        <v>35</v>
      </c>
    </row>
    <row r="4310" spans="1:29" x14ac:dyDescent="0.25">
      <c r="A4310" s="31" t="s">
        <v>954</v>
      </c>
      <c r="B4310" s="23" t="s">
        <v>1383</v>
      </c>
      <c r="C4310" t="s">
        <v>956</v>
      </c>
      <c r="D4310">
        <v>1</v>
      </c>
      <c r="E4310" t="s">
        <v>218</v>
      </c>
      <c r="F4310">
        <v>2</v>
      </c>
      <c r="G4310">
        <v>2011</v>
      </c>
      <c r="I4310">
        <v>168.42</v>
      </c>
      <c r="J4310" t="s">
        <v>147</v>
      </c>
      <c r="K4310" t="s">
        <v>47</v>
      </c>
      <c r="O4310">
        <v>0</v>
      </c>
      <c r="P4310">
        <v>0</v>
      </c>
      <c r="Q4310">
        <v>0</v>
      </c>
      <c r="R4310">
        <v>0</v>
      </c>
      <c r="W4310" t="s">
        <v>1384</v>
      </c>
      <c r="AA4310">
        <v>2007</v>
      </c>
      <c r="AB4310">
        <v>9999</v>
      </c>
      <c r="AC4310" t="s">
        <v>35</v>
      </c>
    </row>
    <row r="4311" spans="1:29" x14ac:dyDescent="0.25">
      <c r="A4311" s="31" t="s">
        <v>1385</v>
      </c>
      <c r="B4311" s="23" t="s">
        <v>1386</v>
      </c>
      <c r="D4311">
        <v>1</v>
      </c>
      <c r="E4311" t="s">
        <v>874</v>
      </c>
      <c r="F4311">
        <v>1</v>
      </c>
      <c r="G4311">
        <v>2011</v>
      </c>
      <c r="I4311">
        <v>28.33</v>
      </c>
      <c r="J4311" t="s">
        <v>89</v>
      </c>
      <c r="K4311" t="s">
        <v>47</v>
      </c>
      <c r="O4311">
        <v>0</v>
      </c>
      <c r="P4311">
        <v>0</v>
      </c>
      <c r="Q4311">
        <v>0</v>
      </c>
      <c r="R4311">
        <v>0</v>
      </c>
      <c r="W4311" t="s">
        <v>1387</v>
      </c>
      <c r="AA4311">
        <v>2011</v>
      </c>
      <c r="AB4311">
        <v>9999</v>
      </c>
      <c r="AC4311" t="s">
        <v>1365</v>
      </c>
    </row>
    <row r="4312" spans="1:29" x14ac:dyDescent="0.25">
      <c r="A4312" s="31" t="s">
        <v>1388</v>
      </c>
      <c r="B4312" s="23" t="s">
        <v>1389</v>
      </c>
      <c r="D4312">
        <v>1</v>
      </c>
      <c r="E4312" t="s">
        <v>1390</v>
      </c>
      <c r="F4312">
        <v>4</v>
      </c>
      <c r="G4312">
        <v>2011</v>
      </c>
      <c r="I4312">
        <v>6232.9</v>
      </c>
      <c r="J4312" t="s">
        <v>89</v>
      </c>
      <c r="K4312" t="s">
        <v>32</v>
      </c>
      <c r="O4312">
        <v>0</v>
      </c>
      <c r="P4312">
        <v>0</v>
      </c>
      <c r="Q4312">
        <v>0</v>
      </c>
      <c r="R4312">
        <v>0</v>
      </c>
      <c r="W4312" t="s">
        <v>1391</v>
      </c>
      <c r="AA4312">
        <v>2011</v>
      </c>
      <c r="AB4312">
        <v>9999</v>
      </c>
      <c r="AC4312" t="s">
        <v>1365</v>
      </c>
    </row>
    <row r="4313" spans="1:29" x14ac:dyDescent="0.25">
      <c r="A4313" s="31" t="s">
        <v>1281</v>
      </c>
      <c r="B4313" s="23" t="s">
        <v>1282</v>
      </c>
      <c r="D4313">
        <v>1</v>
      </c>
      <c r="E4313" t="s">
        <v>625</v>
      </c>
      <c r="F4313">
        <v>4</v>
      </c>
      <c r="G4313">
        <v>2011</v>
      </c>
      <c r="I4313">
        <v>1546.13</v>
      </c>
      <c r="J4313" t="s">
        <v>89</v>
      </c>
      <c r="K4313" t="s">
        <v>32</v>
      </c>
      <c r="O4313">
        <v>0</v>
      </c>
      <c r="P4313">
        <v>0</v>
      </c>
      <c r="Q4313">
        <v>0</v>
      </c>
      <c r="R4313">
        <v>0</v>
      </c>
      <c r="W4313" t="s">
        <v>1283</v>
      </c>
      <c r="AA4313">
        <v>2009</v>
      </c>
      <c r="AB4313">
        <v>9999</v>
      </c>
      <c r="AC4313" t="s">
        <v>1239</v>
      </c>
    </row>
    <row r="4314" spans="1:29" x14ac:dyDescent="0.25">
      <c r="A4314" s="31" t="s">
        <v>958</v>
      </c>
      <c r="B4314" s="23" t="s">
        <v>959</v>
      </c>
      <c r="D4314">
        <v>1</v>
      </c>
      <c r="E4314" t="s">
        <v>51</v>
      </c>
      <c r="F4314">
        <v>1</v>
      </c>
      <c r="G4314">
        <v>2011</v>
      </c>
      <c r="I4314">
        <v>55</v>
      </c>
      <c r="J4314" t="s">
        <v>52</v>
      </c>
      <c r="K4314" t="s">
        <v>53</v>
      </c>
      <c r="L4314" t="s">
        <v>54</v>
      </c>
      <c r="O4314">
        <v>0</v>
      </c>
      <c r="P4314">
        <v>0</v>
      </c>
      <c r="Q4314">
        <v>1</v>
      </c>
      <c r="R4314">
        <v>0</v>
      </c>
      <c r="W4314" t="s">
        <v>55</v>
      </c>
      <c r="AA4314">
        <v>2007</v>
      </c>
      <c r="AB4314">
        <v>9999</v>
      </c>
      <c r="AC4314" t="s">
        <v>35</v>
      </c>
    </row>
    <row r="4315" spans="1:29" x14ac:dyDescent="0.25">
      <c r="A4315" s="31" t="s">
        <v>960</v>
      </c>
      <c r="B4315" s="23" t="s">
        <v>961</v>
      </c>
      <c r="D4315">
        <v>1</v>
      </c>
      <c r="E4315" t="s">
        <v>168</v>
      </c>
      <c r="F4315">
        <v>1</v>
      </c>
      <c r="G4315">
        <v>2011</v>
      </c>
      <c r="I4315">
        <v>1949.19</v>
      </c>
      <c r="J4315" t="s">
        <v>52</v>
      </c>
      <c r="K4315" t="s">
        <v>47</v>
      </c>
      <c r="O4315">
        <v>0</v>
      </c>
      <c r="P4315">
        <v>0</v>
      </c>
      <c r="Q4315">
        <v>0</v>
      </c>
      <c r="R4315">
        <v>0</v>
      </c>
      <c r="W4315" t="s">
        <v>1218</v>
      </c>
      <c r="AA4315">
        <v>2007</v>
      </c>
      <c r="AB4315">
        <v>9999</v>
      </c>
      <c r="AC4315" t="s">
        <v>35</v>
      </c>
    </row>
    <row r="4316" spans="1:29" x14ac:dyDescent="0.25">
      <c r="A4316" s="31" t="s">
        <v>963</v>
      </c>
      <c r="B4316" s="23" t="s">
        <v>658</v>
      </c>
      <c r="D4316">
        <v>1</v>
      </c>
      <c r="E4316" t="s">
        <v>103</v>
      </c>
      <c r="F4316">
        <v>9</v>
      </c>
      <c r="G4316">
        <v>2011</v>
      </c>
      <c r="I4316">
        <v>3710.65</v>
      </c>
      <c r="J4316" t="s">
        <v>104</v>
      </c>
      <c r="K4316" t="s">
        <v>53</v>
      </c>
      <c r="L4316" t="s">
        <v>105</v>
      </c>
      <c r="O4316">
        <v>0</v>
      </c>
      <c r="P4316">
        <v>1</v>
      </c>
      <c r="Q4316">
        <v>0</v>
      </c>
      <c r="R4316">
        <v>0</v>
      </c>
      <c r="W4316" t="s">
        <v>106</v>
      </c>
      <c r="AA4316">
        <v>2007</v>
      </c>
      <c r="AB4316">
        <v>9999</v>
      </c>
      <c r="AC4316" t="s">
        <v>35</v>
      </c>
    </row>
    <row r="4317" spans="1:29" x14ac:dyDescent="0.25">
      <c r="A4317" s="31" t="s">
        <v>964</v>
      </c>
      <c r="B4317" s="23" t="s">
        <v>965</v>
      </c>
      <c r="D4317">
        <v>1</v>
      </c>
      <c r="E4317" t="s">
        <v>80</v>
      </c>
      <c r="F4317">
        <v>8</v>
      </c>
      <c r="G4317">
        <v>2011</v>
      </c>
      <c r="I4317">
        <v>75.569999999999993</v>
      </c>
      <c r="J4317" t="s">
        <v>104</v>
      </c>
      <c r="K4317" t="s">
        <v>47</v>
      </c>
      <c r="O4317">
        <v>0</v>
      </c>
      <c r="P4317">
        <v>0</v>
      </c>
      <c r="Q4317">
        <v>0</v>
      </c>
      <c r="R4317">
        <v>0</v>
      </c>
      <c r="W4317" t="s">
        <v>1219</v>
      </c>
      <c r="AA4317">
        <v>2007</v>
      </c>
      <c r="AB4317">
        <v>9999</v>
      </c>
      <c r="AC4317" t="s">
        <v>35</v>
      </c>
    </row>
    <row r="4318" spans="1:29" x14ac:dyDescent="0.25">
      <c r="A4318" s="31" t="s">
        <v>967</v>
      </c>
      <c r="B4318" s="23" t="s">
        <v>661</v>
      </c>
      <c r="D4318">
        <v>1</v>
      </c>
      <c r="E4318" t="s">
        <v>103</v>
      </c>
      <c r="F4318">
        <v>9</v>
      </c>
      <c r="G4318">
        <v>2011</v>
      </c>
      <c r="I4318">
        <v>5020.43</v>
      </c>
      <c r="J4318" t="s">
        <v>104</v>
      </c>
      <c r="K4318" t="s">
        <v>53</v>
      </c>
      <c r="L4318" t="s">
        <v>105</v>
      </c>
      <c r="O4318">
        <v>0</v>
      </c>
      <c r="P4318">
        <v>1</v>
      </c>
      <c r="Q4318">
        <v>0</v>
      </c>
      <c r="R4318">
        <v>0</v>
      </c>
      <c r="W4318" t="s">
        <v>106</v>
      </c>
      <c r="AA4318">
        <v>2007</v>
      </c>
      <c r="AB4318">
        <v>9999</v>
      </c>
      <c r="AC4318" t="s">
        <v>35</v>
      </c>
    </row>
    <row r="4319" spans="1:29" x14ac:dyDescent="0.25">
      <c r="A4319" s="31" t="s">
        <v>968</v>
      </c>
      <c r="B4319" s="23" t="s">
        <v>969</v>
      </c>
      <c r="D4319">
        <v>1</v>
      </c>
      <c r="E4319" t="s">
        <v>85</v>
      </c>
      <c r="F4319">
        <v>1</v>
      </c>
      <c r="G4319">
        <v>2011</v>
      </c>
      <c r="H4319" t="s">
        <v>970</v>
      </c>
      <c r="I4319">
        <v>0.15</v>
      </c>
      <c r="J4319" t="s">
        <v>176</v>
      </c>
      <c r="K4319" t="s">
        <v>41</v>
      </c>
      <c r="O4319">
        <v>0</v>
      </c>
      <c r="P4319">
        <v>0</v>
      </c>
      <c r="Q4319">
        <v>0</v>
      </c>
      <c r="R4319">
        <v>0</v>
      </c>
      <c r="W4319" t="s">
        <v>971</v>
      </c>
      <c r="AA4319">
        <v>2007</v>
      </c>
      <c r="AB4319">
        <v>9999</v>
      </c>
      <c r="AC4319" t="s">
        <v>35</v>
      </c>
    </row>
    <row r="4320" spans="1:29" x14ac:dyDescent="0.25">
      <c r="A4320" s="31" t="s">
        <v>975</v>
      </c>
      <c r="B4320" s="23" t="s">
        <v>976</v>
      </c>
      <c r="D4320">
        <v>1</v>
      </c>
      <c r="E4320" t="s">
        <v>977</v>
      </c>
      <c r="F4320">
        <v>1</v>
      </c>
      <c r="G4320">
        <v>2011</v>
      </c>
      <c r="I4320">
        <v>13.22</v>
      </c>
      <c r="J4320" t="s">
        <v>121</v>
      </c>
      <c r="K4320" t="s">
        <v>41</v>
      </c>
      <c r="O4320">
        <v>0</v>
      </c>
      <c r="P4320">
        <v>0</v>
      </c>
      <c r="Q4320">
        <v>0</v>
      </c>
      <c r="R4320">
        <v>0</v>
      </c>
      <c r="W4320" t="s">
        <v>1220</v>
      </c>
      <c r="AA4320">
        <v>2007</v>
      </c>
      <c r="AB4320">
        <v>9999</v>
      </c>
      <c r="AC4320" t="s">
        <v>35</v>
      </c>
    </row>
    <row r="4321" spans="1:29" x14ac:dyDescent="0.25">
      <c r="A4321" s="31" t="s">
        <v>982</v>
      </c>
      <c r="B4321" s="23" t="s">
        <v>983</v>
      </c>
      <c r="D4321">
        <v>1</v>
      </c>
      <c r="E4321" t="s">
        <v>300</v>
      </c>
      <c r="F4321">
        <v>9</v>
      </c>
      <c r="G4321">
        <v>2011</v>
      </c>
      <c r="I4321">
        <v>110.17</v>
      </c>
      <c r="J4321" t="s">
        <v>104</v>
      </c>
      <c r="K4321" t="s">
        <v>32</v>
      </c>
      <c r="O4321">
        <v>0</v>
      </c>
      <c r="P4321">
        <v>0</v>
      </c>
      <c r="Q4321">
        <v>0</v>
      </c>
      <c r="R4321">
        <v>0</v>
      </c>
      <c r="W4321" t="s">
        <v>1222</v>
      </c>
      <c r="AA4321">
        <v>2007</v>
      </c>
      <c r="AB4321">
        <v>2012</v>
      </c>
      <c r="AC4321" t="s">
        <v>302</v>
      </c>
    </row>
    <row r="4322" spans="1:29" x14ac:dyDescent="0.25">
      <c r="A4322" s="31" t="s">
        <v>985</v>
      </c>
      <c r="B4322" s="23" t="s">
        <v>986</v>
      </c>
      <c r="C4322" t="s">
        <v>987</v>
      </c>
      <c r="D4322">
        <v>1</v>
      </c>
      <c r="E4322" t="s">
        <v>988</v>
      </c>
      <c r="F4322">
        <v>4</v>
      </c>
      <c r="G4322">
        <v>2011</v>
      </c>
      <c r="I4322">
        <v>180.74</v>
      </c>
      <c r="J4322" t="s">
        <v>89</v>
      </c>
      <c r="K4322" t="s">
        <v>32</v>
      </c>
      <c r="O4322">
        <v>0</v>
      </c>
      <c r="P4322">
        <v>0</v>
      </c>
      <c r="Q4322">
        <v>0</v>
      </c>
      <c r="R4322">
        <v>0</v>
      </c>
      <c r="W4322" t="s">
        <v>1339</v>
      </c>
      <c r="AA4322">
        <v>2007</v>
      </c>
      <c r="AB4322">
        <v>9999</v>
      </c>
      <c r="AC4322" t="s">
        <v>35</v>
      </c>
    </row>
    <row r="4323" spans="1:29" x14ac:dyDescent="0.25">
      <c r="A4323" s="31" t="s">
        <v>993</v>
      </c>
      <c r="B4323" s="23" t="s">
        <v>129</v>
      </c>
      <c r="D4323">
        <v>1</v>
      </c>
      <c r="E4323" t="s">
        <v>994</v>
      </c>
      <c r="F4323">
        <v>1</v>
      </c>
      <c r="G4323">
        <v>2011</v>
      </c>
      <c r="I4323">
        <v>138.09</v>
      </c>
      <c r="J4323" t="s">
        <v>104</v>
      </c>
      <c r="K4323" t="s">
        <v>32</v>
      </c>
      <c r="O4323">
        <v>0</v>
      </c>
      <c r="P4323">
        <v>0</v>
      </c>
      <c r="Q4323">
        <v>0</v>
      </c>
      <c r="R4323">
        <v>0</v>
      </c>
      <c r="W4323" t="s">
        <v>1340</v>
      </c>
      <c r="AA4323">
        <v>2007</v>
      </c>
      <c r="AB4323">
        <v>9999</v>
      </c>
      <c r="AC4323" t="s">
        <v>35</v>
      </c>
    </row>
    <row r="4324" spans="1:29" x14ac:dyDescent="0.25">
      <c r="A4324" s="31" t="s">
        <v>1005</v>
      </c>
      <c r="B4324" s="23" t="s">
        <v>1006</v>
      </c>
      <c r="D4324">
        <v>1</v>
      </c>
      <c r="E4324" t="s">
        <v>80</v>
      </c>
      <c r="F4324">
        <v>8</v>
      </c>
      <c r="G4324">
        <v>2011</v>
      </c>
      <c r="I4324">
        <v>7.5</v>
      </c>
      <c r="J4324" t="s">
        <v>81</v>
      </c>
      <c r="K4324" t="s">
        <v>53</v>
      </c>
      <c r="L4324" t="s">
        <v>53</v>
      </c>
      <c r="O4324">
        <v>0</v>
      </c>
      <c r="P4324">
        <v>0</v>
      </c>
      <c r="Q4324">
        <v>0</v>
      </c>
      <c r="R4324">
        <v>0</v>
      </c>
      <c r="W4324" t="s">
        <v>1007</v>
      </c>
      <c r="AA4324">
        <v>2007</v>
      </c>
      <c r="AB4324">
        <v>2016</v>
      </c>
      <c r="AC4324" t="s">
        <v>528</v>
      </c>
    </row>
    <row r="4325" spans="1:29" x14ac:dyDescent="0.25">
      <c r="A4325" s="31" t="s">
        <v>1008</v>
      </c>
      <c r="B4325" s="23" t="s">
        <v>1009</v>
      </c>
      <c r="D4325">
        <v>1</v>
      </c>
      <c r="E4325" t="s">
        <v>155</v>
      </c>
      <c r="F4325">
        <v>3</v>
      </c>
      <c r="G4325">
        <v>2011</v>
      </c>
      <c r="I4325">
        <v>1201.79</v>
      </c>
      <c r="J4325" t="s">
        <v>121</v>
      </c>
      <c r="K4325" t="s">
        <v>47</v>
      </c>
      <c r="O4325">
        <v>0</v>
      </c>
      <c r="P4325">
        <v>0</v>
      </c>
      <c r="Q4325">
        <v>0</v>
      </c>
      <c r="R4325">
        <v>0</v>
      </c>
      <c r="W4325" t="s">
        <v>1228</v>
      </c>
      <c r="AA4325">
        <v>2007</v>
      </c>
      <c r="AB4325">
        <v>9999</v>
      </c>
      <c r="AC4325" t="s">
        <v>35</v>
      </c>
    </row>
    <row r="4326" spans="1:29" x14ac:dyDescent="0.25">
      <c r="A4326" s="31" t="s">
        <v>1011</v>
      </c>
      <c r="B4326" s="23" t="s">
        <v>1012</v>
      </c>
      <c r="D4326">
        <v>1</v>
      </c>
      <c r="E4326" t="s">
        <v>103</v>
      </c>
      <c r="F4326">
        <v>9</v>
      </c>
      <c r="G4326">
        <v>2011</v>
      </c>
      <c r="I4326">
        <v>1003.01</v>
      </c>
      <c r="J4326" t="s">
        <v>104</v>
      </c>
      <c r="K4326" t="s">
        <v>53</v>
      </c>
      <c r="L4326" t="s">
        <v>105</v>
      </c>
      <c r="O4326">
        <v>0</v>
      </c>
      <c r="P4326">
        <v>1</v>
      </c>
      <c r="Q4326">
        <v>0</v>
      </c>
      <c r="R4326">
        <v>0</v>
      </c>
      <c r="W4326" t="s">
        <v>106</v>
      </c>
      <c r="AA4326">
        <v>2007</v>
      </c>
      <c r="AB4326">
        <v>9999</v>
      </c>
      <c r="AC4326" t="s">
        <v>35</v>
      </c>
    </row>
    <row r="4327" spans="1:29" x14ac:dyDescent="0.25">
      <c r="A4327" s="31" t="s">
        <v>1013</v>
      </c>
      <c r="B4327" s="23" t="s">
        <v>1014</v>
      </c>
      <c r="D4327">
        <v>1</v>
      </c>
      <c r="E4327" t="s">
        <v>128</v>
      </c>
      <c r="F4327">
        <v>9</v>
      </c>
      <c r="G4327">
        <v>2011</v>
      </c>
      <c r="H4327" t="s">
        <v>297</v>
      </c>
      <c r="I4327">
        <v>4.2</v>
      </c>
      <c r="J4327" t="s">
        <v>104</v>
      </c>
      <c r="K4327" t="s">
        <v>41</v>
      </c>
      <c r="O4327">
        <v>0</v>
      </c>
      <c r="P4327">
        <v>0</v>
      </c>
      <c r="Q4327">
        <v>0</v>
      </c>
      <c r="R4327">
        <v>0</v>
      </c>
      <c r="W4327" t="s">
        <v>1229</v>
      </c>
      <c r="AA4327">
        <v>2007</v>
      </c>
      <c r="AB4327">
        <v>9999</v>
      </c>
      <c r="AC4327" t="s">
        <v>35</v>
      </c>
    </row>
    <row r="4328" spans="1:29" x14ac:dyDescent="0.25">
      <c r="A4328" s="31" t="s">
        <v>1016</v>
      </c>
      <c r="B4328" s="23" t="s">
        <v>1017</v>
      </c>
      <c r="D4328">
        <v>1</v>
      </c>
      <c r="E4328" t="s">
        <v>396</v>
      </c>
      <c r="F4328">
        <v>3</v>
      </c>
      <c r="G4328">
        <v>2011</v>
      </c>
      <c r="H4328" t="s">
        <v>1018</v>
      </c>
      <c r="I4328">
        <v>0.01</v>
      </c>
      <c r="J4328" t="s">
        <v>121</v>
      </c>
      <c r="K4328" t="s">
        <v>41</v>
      </c>
      <c r="O4328">
        <v>0</v>
      </c>
      <c r="P4328">
        <v>0</v>
      </c>
      <c r="Q4328">
        <v>0</v>
      </c>
      <c r="R4328">
        <v>0</v>
      </c>
      <c r="W4328" t="s">
        <v>1230</v>
      </c>
      <c r="AA4328">
        <v>2007</v>
      </c>
      <c r="AB4328">
        <v>9999</v>
      </c>
      <c r="AC4328" t="s">
        <v>35</v>
      </c>
    </row>
    <row r="4329" spans="1:29" x14ac:dyDescent="0.25">
      <c r="A4329" s="31" t="s">
        <v>1020</v>
      </c>
      <c r="B4329" s="23" t="s">
        <v>1021</v>
      </c>
      <c r="D4329">
        <v>1</v>
      </c>
      <c r="E4329" t="s">
        <v>103</v>
      </c>
      <c r="F4329">
        <v>9</v>
      </c>
      <c r="G4329">
        <v>2011</v>
      </c>
      <c r="I4329">
        <v>14.11</v>
      </c>
      <c r="J4329" t="s">
        <v>104</v>
      </c>
      <c r="K4329" t="s">
        <v>47</v>
      </c>
      <c r="O4329">
        <v>0</v>
      </c>
      <c r="P4329">
        <v>0</v>
      </c>
      <c r="Q4329">
        <v>0</v>
      </c>
      <c r="R4329">
        <v>0</v>
      </c>
      <c r="W4329" t="s">
        <v>1231</v>
      </c>
      <c r="AA4329">
        <v>2007</v>
      </c>
      <c r="AB4329">
        <v>9999</v>
      </c>
      <c r="AC4329" t="s">
        <v>35</v>
      </c>
    </row>
    <row r="4330" spans="1:29" x14ac:dyDescent="0.25">
      <c r="B4330" s="23" t="s">
        <v>1026</v>
      </c>
      <c r="D4330">
        <v>24</v>
      </c>
      <c r="F4330">
        <v>3</v>
      </c>
      <c r="G4330">
        <v>2011</v>
      </c>
      <c r="H4330" t="s">
        <v>392</v>
      </c>
      <c r="I4330" t="s">
        <v>1027</v>
      </c>
      <c r="J4330" t="s">
        <v>121</v>
      </c>
      <c r="K4330" t="s">
        <v>41</v>
      </c>
      <c r="O4330">
        <v>0</v>
      </c>
      <c r="P4330">
        <v>0</v>
      </c>
      <c r="Q4330">
        <v>0</v>
      </c>
      <c r="R4330">
        <v>0</v>
      </c>
      <c r="W4330" t="s">
        <v>1232</v>
      </c>
      <c r="AA4330">
        <v>2007</v>
      </c>
      <c r="AB4330">
        <v>9999</v>
      </c>
      <c r="AC4330" t="s">
        <v>35</v>
      </c>
    </row>
    <row r="4331" spans="1:29" x14ac:dyDescent="0.25">
      <c r="A4331" s="31" t="s">
        <v>28</v>
      </c>
      <c r="B4331" s="23" t="s">
        <v>29</v>
      </c>
      <c r="D4331">
        <v>1</v>
      </c>
      <c r="E4331" t="s">
        <v>30</v>
      </c>
      <c r="F4331">
        <v>4</v>
      </c>
      <c r="G4331">
        <v>2010</v>
      </c>
      <c r="I4331">
        <v>326.89999999999998</v>
      </c>
      <c r="J4331" s="2" t="s">
        <v>89</v>
      </c>
      <c r="K4331" t="s">
        <v>32</v>
      </c>
      <c r="L4331" t="s">
        <v>33</v>
      </c>
      <c r="O4331">
        <v>0</v>
      </c>
      <c r="P4331">
        <v>0</v>
      </c>
      <c r="Q4331">
        <v>0</v>
      </c>
      <c r="R4331">
        <v>1</v>
      </c>
      <c r="W4331" t="s">
        <v>1029</v>
      </c>
      <c r="AA4331">
        <v>2007</v>
      </c>
      <c r="AB4331">
        <v>9999</v>
      </c>
      <c r="AC4331" t="s">
        <v>35</v>
      </c>
    </row>
    <row r="4332" spans="1:29" x14ac:dyDescent="0.25">
      <c r="A4332" s="31" t="s">
        <v>36</v>
      </c>
      <c r="B4332" s="23" t="s">
        <v>37</v>
      </c>
      <c r="D4332">
        <v>1</v>
      </c>
      <c r="E4332" t="s">
        <v>38</v>
      </c>
      <c r="F4332">
        <v>4</v>
      </c>
      <c r="G4332">
        <v>2010</v>
      </c>
      <c r="H4332" t="s">
        <v>39</v>
      </c>
      <c r="I4332">
        <v>0.1</v>
      </c>
      <c r="J4332" s="2" t="s">
        <v>40</v>
      </c>
      <c r="K4332" t="s">
        <v>41</v>
      </c>
      <c r="O4332">
        <v>0</v>
      </c>
      <c r="P4332">
        <v>0</v>
      </c>
      <c r="Q4332">
        <v>0</v>
      </c>
      <c r="R4332">
        <v>0</v>
      </c>
      <c r="W4332" t="s">
        <v>1030</v>
      </c>
      <c r="AA4332">
        <v>2007</v>
      </c>
      <c r="AB4332">
        <v>9999</v>
      </c>
      <c r="AC4332" t="s">
        <v>35</v>
      </c>
    </row>
    <row r="4333" spans="1:29" x14ac:dyDescent="0.25">
      <c r="A4333" s="31" t="s">
        <v>43</v>
      </c>
      <c r="B4333" s="23" t="s">
        <v>44</v>
      </c>
      <c r="D4333">
        <v>1</v>
      </c>
      <c r="E4333" t="s">
        <v>45</v>
      </c>
      <c r="F4333">
        <v>4</v>
      </c>
      <c r="G4333">
        <v>2010</v>
      </c>
      <c r="I4333">
        <v>31.7</v>
      </c>
      <c r="J4333" t="s">
        <v>46</v>
      </c>
      <c r="K4333" t="s">
        <v>47</v>
      </c>
      <c r="O4333">
        <v>0</v>
      </c>
      <c r="P4333">
        <v>0</v>
      </c>
      <c r="Q4333">
        <v>0</v>
      </c>
      <c r="R4333">
        <v>0</v>
      </c>
      <c r="W4333" t="s">
        <v>1031</v>
      </c>
      <c r="AA4333">
        <v>2007</v>
      </c>
      <c r="AB4333">
        <v>9999</v>
      </c>
      <c r="AC4333" t="s">
        <v>35</v>
      </c>
    </row>
    <row r="4334" spans="1:29" x14ac:dyDescent="0.25">
      <c r="A4334" s="31" t="s">
        <v>49</v>
      </c>
      <c r="B4334" s="23" t="s">
        <v>50</v>
      </c>
      <c r="D4334">
        <v>1</v>
      </c>
      <c r="E4334" t="s">
        <v>51</v>
      </c>
      <c r="F4334">
        <v>1</v>
      </c>
      <c r="G4334">
        <v>2010</v>
      </c>
      <c r="I4334">
        <v>52</v>
      </c>
      <c r="J4334" t="s">
        <v>52</v>
      </c>
      <c r="K4334" t="s">
        <v>53</v>
      </c>
      <c r="L4334" t="s">
        <v>54</v>
      </c>
      <c r="O4334">
        <v>0</v>
      </c>
      <c r="P4334">
        <v>0</v>
      </c>
      <c r="Q4334">
        <v>1</v>
      </c>
      <c r="R4334">
        <v>0</v>
      </c>
      <c r="W4334" t="s">
        <v>55</v>
      </c>
      <c r="AA4334">
        <v>2007</v>
      </c>
      <c r="AB4334">
        <v>9999</v>
      </c>
      <c r="AC4334" t="s">
        <v>35</v>
      </c>
    </row>
    <row r="4335" spans="1:29" x14ac:dyDescent="0.25">
      <c r="A4335" s="31" t="s">
        <v>56</v>
      </c>
      <c r="B4335" s="23" t="s">
        <v>57</v>
      </c>
      <c r="D4335">
        <v>1</v>
      </c>
      <c r="E4335" t="s">
        <v>58</v>
      </c>
      <c r="F4335">
        <v>4</v>
      </c>
      <c r="G4335">
        <v>2010</v>
      </c>
      <c r="I4335">
        <v>21.8</v>
      </c>
      <c r="J4335" t="s">
        <v>59</v>
      </c>
      <c r="K4335" t="s">
        <v>53</v>
      </c>
      <c r="L4335" t="s">
        <v>60</v>
      </c>
      <c r="O4335">
        <v>1</v>
      </c>
      <c r="P4335">
        <v>0</v>
      </c>
      <c r="Q4335">
        <v>0</v>
      </c>
      <c r="R4335">
        <v>0</v>
      </c>
      <c r="W4335" t="s">
        <v>61</v>
      </c>
      <c r="AA4335">
        <v>2007</v>
      </c>
      <c r="AB4335">
        <v>9999</v>
      </c>
      <c r="AC4335" t="s">
        <v>35</v>
      </c>
    </row>
    <row r="4336" spans="1:29" x14ac:dyDescent="0.25">
      <c r="A4336" s="31" t="s">
        <v>71</v>
      </c>
      <c r="B4336" s="23" t="s">
        <v>1032</v>
      </c>
      <c r="D4336">
        <v>1</v>
      </c>
      <c r="E4336" t="s">
        <v>309</v>
      </c>
      <c r="F4336">
        <v>10</v>
      </c>
      <c r="G4336">
        <v>2010</v>
      </c>
      <c r="I4336">
        <v>9964</v>
      </c>
      <c r="J4336" t="s">
        <v>59</v>
      </c>
      <c r="K4336" t="s">
        <v>32</v>
      </c>
      <c r="O4336">
        <v>0</v>
      </c>
      <c r="P4336">
        <v>0</v>
      </c>
      <c r="Q4336">
        <v>0</v>
      </c>
      <c r="R4336">
        <v>0</v>
      </c>
      <c r="W4336" t="s">
        <v>1033</v>
      </c>
      <c r="AA4336">
        <v>2007</v>
      </c>
      <c r="AB4336">
        <v>9999</v>
      </c>
      <c r="AC4336" t="s">
        <v>35</v>
      </c>
    </row>
    <row r="4337" spans="1:29" x14ac:dyDescent="0.25">
      <c r="A4337" s="31" t="s">
        <v>62</v>
      </c>
      <c r="B4337" s="23" t="s">
        <v>63</v>
      </c>
      <c r="D4337">
        <v>1</v>
      </c>
      <c r="E4337" t="s">
        <v>64</v>
      </c>
      <c r="F4337">
        <v>1</v>
      </c>
      <c r="G4337">
        <v>2010</v>
      </c>
      <c r="I4337">
        <v>60.5</v>
      </c>
      <c r="J4337" t="s">
        <v>52</v>
      </c>
      <c r="K4337" t="s">
        <v>53</v>
      </c>
      <c r="L4337" t="s">
        <v>65</v>
      </c>
      <c r="O4337">
        <v>0</v>
      </c>
      <c r="P4337">
        <v>0</v>
      </c>
      <c r="Q4337">
        <v>0</v>
      </c>
      <c r="R4337">
        <v>0</v>
      </c>
      <c r="W4337" t="s">
        <v>1034</v>
      </c>
      <c r="AA4337">
        <v>2007</v>
      </c>
      <c r="AB4337">
        <v>9999</v>
      </c>
      <c r="AC4337" t="s">
        <v>35</v>
      </c>
    </row>
    <row r="4338" spans="1:29" x14ac:dyDescent="0.25">
      <c r="A4338" s="31" t="s">
        <v>74</v>
      </c>
      <c r="B4338" s="23" t="s">
        <v>75</v>
      </c>
      <c r="D4338">
        <v>1</v>
      </c>
      <c r="E4338" t="s">
        <v>58</v>
      </c>
      <c r="F4338">
        <v>4</v>
      </c>
      <c r="G4338">
        <v>2010</v>
      </c>
      <c r="I4338">
        <v>532.1</v>
      </c>
      <c r="J4338" t="s">
        <v>59</v>
      </c>
      <c r="K4338" t="s">
        <v>47</v>
      </c>
      <c r="O4338">
        <v>0</v>
      </c>
      <c r="P4338">
        <v>0</v>
      </c>
      <c r="Q4338">
        <v>0</v>
      </c>
      <c r="R4338">
        <v>0</v>
      </c>
      <c r="W4338" t="s">
        <v>1035</v>
      </c>
      <c r="AA4338">
        <v>2007</v>
      </c>
      <c r="AB4338">
        <v>9999</v>
      </c>
      <c r="AC4338" t="s">
        <v>35</v>
      </c>
    </row>
    <row r="4339" spans="1:29" x14ac:dyDescent="0.25">
      <c r="A4339" s="31" t="s">
        <v>78</v>
      </c>
      <c r="B4339" s="23" t="s">
        <v>79</v>
      </c>
      <c r="D4339">
        <v>1</v>
      </c>
      <c r="E4339" t="s">
        <v>80</v>
      </c>
      <c r="F4339">
        <v>8</v>
      </c>
      <c r="G4339">
        <v>2010</v>
      </c>
      <c r="I4339">
        <v>32.4</v>
      </c>
      <c r="J4339" t="s">
        <v>81</v>
      </c>
      <c r="K4339" t="s">
        <v>47</v>
      </c>
      <c r="O4339">
        <v>0</v>
      </c>
      <c r="P4339">
        <v>0</v>
      </c>
      <c r="Q4339">
        <v>0</v>
      </c>
      <c r="R4339">
        <v>0</v>
      </c>
      <c r="W4339" t="s">
        <v>1036</v>
      </c>
      <c r="AA4339">
        <v>2007</v>
      </c>
      <c r="AB4339">
        <v>9999</v>
      </c>
      <c r="AC4339" t="s">
        <v>35</v>
      </c>
    </row>
    <row r="4340" spans="1:29" x14ac:dyDescent="0.25">
      <c r="A4340" s="31" t="s">
        <v>83</v>
      </c>
      <c r="B4340" s="23" t="s">
        <v>84</v>
      </c>
      <c r="D4340">
        <v>1</v>
      </c>
      <c r="E4340" t="s">
        <v>85</v>
      </c>
      <c r="F4340">
        <v>1</v>
      </c>
      <c r="G4340">
        <v>2010</v>
      </c>
      <c r="H4340" t="s">
        <v>39</v>
      </c>
      <c r="I4340">
        <v>13</v>
      </c>
      <c r="J4340" s="2" t="s">
        <v>40</v>
      </c>
      <c r="K4340" t="s">
        <v>41</v>
      </c>
      <c r="O4340">
        <v>0</v>
      </c>
      <c r="P4340">
        <v>0</v>
      </c>
      <c r="Q4340">
        <v>0</v>
      </c>
      <c r="R4340">
        <v>0</v>
      </c>
      <c r="W4340" t="s">
        <v>86</v>
      </c>
      <c r="AA4340">
        <v>2007</v>
      </c>
      <c r="AB4340">
        <v>9999</v>
      </c>
      <c r="AC4340" t="s">
        <v>35</v>
      </c>
    </row>
    <row r="4341" spans="1:29" x14ac:dyDescent="0.25">
      <c r="A4341" s="31" t="s">
        <v>87</v>
      </c>
      <c r="B4341" s="23" t="s">
        <v>88</v>
      </c>
      <c r="D4341">
        <v>1</v>
      </c>
      <c r="E4341" t="s">
        <v>38</v>
      </c>
      <c r="F4341">
        <v>4</v>
      </c>
      <c r="G4341">
        <v>2010</v>
      </c>
      <c r="I4341">
        <v>3301</v>
      </c>
      <c r="J4341" t="s">
        <v>89</v>
      </c>
      <c r="K4341" t="s">
        <v>32</v>
      </c>
      <c r="O4341">
        <v>0</v>
      </c>
      <c r="P4341">
        <v>0</v>
      </c>
      <c r="Q4341">
        <v>0</v>
      </c>
      <c r="R4341">
        <v>0</v>
      </c>
      <c r="W4341" t="s">
        <v>1037</v>
      </c>
      <c r="AA4341">
        <v>2007</v>
      </c>
      <c r="AB4341">
        <v>2010</v>
      </c>
      <c r="AC4341" t="s">
        <v>91</v>
      </c>
    </row>
    <row r="4342" spans="1:29" x14ac:dyDescent="0.25">
      <c r="A4342" s="31" t="s">
        <v>92</v>
      </c>
      <c r="B4342" s="23" t="s">
        <v>93</v>
      </c>
      <c r="C4342" t="s">
        <v>94</v>
      </c>
      <c r="D4342">
        <v>1</v>
      </c>
      <c r="E4342" t="s">
        <v>95</v>
      </c>
      <c r="F4342">
        <v>10</v>
      </c>
      <c r="G4342">
        <v>2010</v>
      </c>
      <c r="I4342">
        <v>17.2</v>
      </c>
      <c r="J4342" t="s">
        <v>40</v>
      </c>
      <c r="K4342" t="s">
        <v>47</v>
      </c>
      <c r="O4342">
        <v>0</v>
      </c>
      <c r="P4342">
        <v>0</v>
      </c>
      <c r="Q4342">
        <v>0</v>
      </c>
      <c r="R4342">
        <v>0</v>
      </c>
      <c r="W4342" t="s">
        <v>96</v>
      </c>
      <c r="AA4342">
        <v>2007</v>
      </c>
      <c r="AB4342">
        <v>9999</v>
      </c>
      <c r="AC4342" t="s">
        <v>35</v>
      </c>
    </row>
    <row r="4343" spans="1:29" x14ac:dyDescent="0.25">
      <c r="A4343" s="31" t="s">
        <v>101</v>
      </c>
      <c r="B4343" s="23" t="s">
        <v>102</v>
      </c>
      <c r="D4343">
        <v>1</v>
      </c>
      <c r="E4343" t="s">
        <v>103</v>
      </c>
      <c r="F4343">
        <v>9</v>
      </c>
      <c r="G4343">
        <v>2010</v>
      </c>
      <c r="I4343">
        <v>492.6</v>
      </c>
      <c r="J4343" t="s">
        <v>104</v>
      </c>
      <c r="K4343" t="s">
        <v>53</v>
      </c>
      <c r="L4343" t="s">
        <v>105</v>
      </c>
      <c r="O4343">
        <v>0</v>
      </c>
      <c r="P4343">
        <v>1</v>
      </c>
      <c r="Q4343">
        <v>0</v>
      </c>
      <c r="R4343">
        <v>0</v>
      </c>
      <c r="W4343" t="s">
        <v>106</v>
      </c>
      <c r="AA4343">
        <v>2007</v>
      </c>
      <c r="AB4343">
        <v>9999</v>
      </c>
      <c r="AC4343" t="s">
        <v>35</v>
      </c>
    </row>
    <row r="4344" spans="1:29" x14ac:dyDescent="0.25">
      <c r="A4344" s="31" t="s">
        <v>107</v>
      </c>
      <c r="B4344" s="23" t="s">
        <v>108</v>
      </c>
      <c r="D4344">
        <v>1</v>
      </c>
      <c r="E4344" t="s">
        <v>45</v>
      </c>
      <c r="F4344">
        <v>4</v>
      </c>
      <c r="G4344">
        <v>2010</v>
      </c>
      <c r="I4344">
        <v>8</v>
      </c>
      <c r="J4344" t="s">
        <v>52</v>
      </c>
      <c r="K4344" t="s">
        <v>41</v>
      </c>
      <c r="O4344">
        <v>0</v>
      </c>
      <c r="P4344">
        <v>0</v>
      </c>
      <c r="Q4344">
        <v>0</v>
      </c>
      <c r="R4344">
        <v>0</v>
      </c>
      <c r="W4344" t="s">
        <v>109</v>
      </c>
      <c r="AA4344">
        <v>2007</v>
      </c>
      <c r="AB4344">
        <v>9999</v>
      </c>
      <c r="AC4344" t="s">
        <v>35</v>
      </c>
    </row>
    <row r="4345" spans="1:29" x14ac:dyDescent="0.25">
      <c r="A4345" s="31" t="s">
        <v>110</v>
      </c>
      <c r="B4345" s="23" t="s">
        <v>111</v>
      </c>
      <c r="D4345">
        <v>1</v>
      </c>
      <c r="E4345" t="s">
        <v>45</v>
      </c>
      <c r="F4345">
        <v>4</v>
      </c>
      <c r="G4345">
        <v>2010</v>
      </c>
      <c r="I4345">
        <v>442.4</v>
      </c>
      <c r="J4345" t="s">
        <v>89</v>
      </c>
      <c r="K4345" t="s">
        <v>47</v>
      </c>
      <c r="O4345">
        <v>0</v>
      </c>
      <c r="P4345">
        <v>0</v>
      </c>
      <c r="Q4345">
        <v>0</v>
      </c>
      <c r="R4345">
        <v>0</v>
      </c>
      <c r="W4345" t="s">
        <v>1039</v>
      </c>
      <c r="AA4345">
        <v>2007</v>
      </c>
      <c r="AB4345">
        <v>9999</v>
      </c>
      <c r="AC4345" t="s">
        <v>35</v>
      </c>
    </row>
    <row r="4346" spans="1:29" x14ac:dyDescent="0.25">
      <c r="A4346" s="31" t="s">
        <v>113</v>
      </c>
      <c r="B4346" s="23" t="s">
        <v>114</v>
      </c>
      <c r="D4346">
        <v>1</v>
      </c>
      <c r="E4346" t="s">
        <v>115</v>
      </c>
      <c r="F4346">
        <v>6</v>
      </c>
      <c r="G4346">
        <v>2010</v>
      </c>
      <c r="I4346">
        <v>186.5</v>
      </c>
      <c r="J4346" t="s">
        <v>31</v>
      </c>
      <c r="K4346" t="s">
        <v>47</v>
      </c>
      <c r="O4346">
        <v>0</v>
      </c>
      <c r="P4346">
        <v>0</v>
      </c>
      <c r="Q4346">
        <v>0</v>
      </c>
      <c r="R4346">
        <v>0</v>
      </c>
      <c r="W4346" t="s">
        <v>1285</v>
      </c>
      <c r="AA4346">
        <v>2007</v>
      </c>
      <c r="AB4346">
        <v>9999</v>
      </c>
      <c r="AC4346" t="s">
        <v>35</v>
      </c>
    </row>
    <row r="4347" spans="1:29" x14ac:dyDescent="0.25">
      <c r="A4347" s="31" t="s">
        <v>117</v>
      </c>
      <c r="B4347" s="23" t="s">
        <v>118</v>
      </c>
      <c r="C4347" t="s">
        <v>119</v>
      </c>
      <c r="D4347">
        <v>1</v>
      </c>
      <c r="E4347" t="s">
        <v>120</v>
      </c>
      <c r="F4347">
        <v>3</v>
      </c>
      <c r="G4347">
        <v>2010</v>
      </c>
      <c r="I4347">
        <v>74.400000000000006</v>
      </c>
      <c r="J4347" t="s">
        <v>121</v>
      </c>
      <c r="K4347" t="s">
        <v>47</v>
      </c>
      <c r="O4347">
        <v>0</v>
      </c>
      <c r="P4347">
        <v>0</v>
      </c>
      <c r="Q4347">
        <v>0</v>
      </c>
      <c r="R4347">
        <v>0</v>
      </c>
      <c r="W4347" t="s">
        <v>1041</v>
      </c>
      <c r="AA4347">
        <v>2007</v>
      </c>
      <c r="AB4347">
        <v>9999</v>
      </c>
      <c r="AC4347" t="s">
        <v>35</v>
      </c>
    </row>
    <row r="4348" spans="1:29" x14ac:dyDescent="0.25">
      <c r="A4348" s="31" t="s">
        <v>123</v>
      </c>
      <c r="B4348" s="23" t="s">
        <v>124</v>
      </c>
      <c r="D4348">
        <v>1</v>
      </c>
      <c r="E4348" t="s">
        <v>120</v>
      </c>
      <c r="F4348">
        <v>3</v>
      </c>
      <c r="G4348">
        <v>2010</v>
      </c>
      <c r="I4348">
        <v>50.8</v>
      </c>
      <c r="J4348" t="s">
        <v>121</v>
      </c>
      <c r="K4348" t="s">
        <v>47</v>
      </c>
      <c r="O4348">
        <v>0</v>
      </c>
      <c r="P4348">
        <v>0</v>
      </c>
      <c r="Q4348">
        <v>0</v>
      </c>
      <c r="R4348">
        <v>0</v>
      </c>
      <c r="W4348" t="s">
        <v>1042</v>
      </c>
      <c r="AA4348">
        <v>2007</v>
      </c>
      <c r="AB4348">
        <v>9999</v>
      </c>
      <c r="AC4348" t="s">
        <v>35</v>
      </c>
    </row>
    <row r="4349" spans="1:29" x14ac:dyDescent="0.25">
      <c r="A4349" s="31" t="s">
        <v>126</v>
      </c>
      <c r="B4349" s="23" t="s">
        <v>127</v>
      </c>
      <c r="D4349">
        <v>1</v>
      </c>
      <c r="E4349" t="s">
        <v>128</v>
      </c>
      <c r="F4349">
        <v>9</v>
      </c>
      <c r="G4349">
        <v>2010</v>
      </c>
      <c r="H4349" t="s">
        <v>129</v>
      </c>
      <c r="I4349">
        <v>5</v>
      </c>
      <c r="J4349" t="s">
        <v>104</v>
      </c>
      <c r="K4349" t="s">
        <v>41</v>
      </c>
      <c r="O4349">
        <v>0</v>
      </c>
      <c r="P4349">
        <v>0</v>
      </c>
      <c r="Q4349">
        <v>0</v>
      </c>
      <c r="R4349">
        <v>0</v>
      </c>
      <c r="W4349" t="s">
        <v>1043</v>
      </c>
      <c r="AA4349">
        <v>2007</v>
      </c>
      <c r="AB4349">
        <v>9999</v>
      </c>
      <c r="AC4349" t="s">
        <v>35</v>
      </c>
    </row>
    <row r="4350" spans="1:29" x14ac:dyDescent="0.25">
      <c r="A4350" s="31" t="s">
        <v>131</v>
      </c>
      <c r="B4350" s="23" t="s">
        <v>132</v>
      </c>
      <c r="C4350" t="s">
        <v>133</v>
      </c>
      <c r="D4350">
        <v>1</v>
      </c>
      <c r="E4350" t="s">
        <v>134</v>
      </c>
      <c r="F4350">
        <v>9</v>
      </c>
      <c r="G4350">
        <v>2010</v>
      </c>
      <c r="I4350">
        <v>915</v>
      </c>
      <c r="J4350" t="s">
        <v>104</v>
      </c>
      <c r="K4350" t="s">
        <v>47</v>
      </c>
      <c r="O4350">
        <v>0</v>
      </c>
      <c r="P4350">
        <v>0</v>
      </c>
      <c r="Q4350">
        <v>0</v>
      </c>
      <c r="R4350">
        <v>0</v>
      </c>
      <c r="W4350" t="s">
        <v>1044</v>
      </c>
      <c r="AA4350">
        <v>2007</v>
      </c>
      <c r="AB4350">
        <v>9999</v>
      </c>
      <c r="AC4350" t="s">
        <v>35</v>
      </c>
    </row>
    <row r="4351" spans="1:29" x14ac:dyDescent="0.25">
      <c r="A4351" s="31" t="s">
        <v>136</v>
      </c>
      <c r="B4351" s="23" t="s">
        <v>1286</v>
      </c>
      <c r="D4351">
        <v>1</v>
      </c>
      <c r="E4351" t="s">
        <v>103</v>
      </c>
      <c r="F4351">
        <v>9</v>
      </c>
      <c r="G4351">
        <v>2010</v>
      </c>
      <c r="I4351">
        <v>60.9</v>
      </c>
      <c r="J4351" t="s">
        <v>104</v>
      </c>
      <c r="K4351" t="s">
        <v>53</v>
      </c>
      <c r="L4351" t="s">
        <v>105</v>
      </c>
      <c r="O4351">
        <v>0</v>
      </c>
      <c r="P4351">
        <v>1</v>
      </c>
      <c r="Q4351">
        <v>0</v>
      </c>
      <c r="R4351">
        <v>0</v>
      </c>
      <c r="W4351" t="s">
        <v>106</v>
      </c>
      <c r="AA4351">
        <v>2007</v>
      </c>
      <c r="AB4351">
        <v>2013</v>
      </c>
      <c r="AC4351" t="s">
        <v>139</v>
      </c>
    </row>
    <row r="4352" spans="1:29" x14ac:dyDescent="0.25">
      <c r="A4352" s="31" t="s">
        <v>140</v>
      </c>
      <c r="B4352" s="23" t="s">
        <v>141</v>
      </c>
      <c r="D4352">
        <v>1</v>
      </c>
      <c r="E4352" t="s">
        <v>45</v>
      </c>
      <c r="F4352">
        <v>4</v>
      </c>
      <c r="G4352">
        <v>2010</v>
      </c>
      <c r="I4352">
        <v>40.1</v>
      </c>
      <c r="J4352" t="s">
        <v>121</v>
      </c>
      <c r="K4352" t="s">
        <v>47</v>
      </c>
      <c r="O4352">
        <v>0</v>
      </c>
      <c r="P4352">
        <v>0</v>
      </c>
      <c r="Q4352">
        <v>0</v>
      </c>
      <c r="R4352">
        <v>0</v>
      </c>
      <c r="W4352" t="s">
        <v>1045</v>
      </c>
      <c r="AA4352">
        <v>2007</v>
      </c>
      <c r="AB4352">
        <v>9999</v>
      </c>
      <c r="AC4352" t="s">
        <v>35</v>
      </c>
    </row>
    <row r="4353" spans="1:29" ht="30" x14ac:dyDescent="0.25">
      <c r="A4353" s="31" t="s">
        <v>143</v>
      </c>
      <c r="B4353" s="25" t="s">
        <v>144</v>
      </c>
      <c r="D4353">
        <v>1</v>
      </c>
      <c r="E4353" t="s">
        <v>145</v>
      </c>
      <c r="F4353">
        <v>2</v>
      </c>
      <c r="G4353">
        <v>2010</v>
      </c>
      <c r="H4353" t="s">
        <v>146</v>
      </c>
      <c r="I4353">
        <v>0.2</v>
      </c>
      <c r="J4353" s="2" t="s">
        <v>147</v>
      </c>
      <c r="K4353" t="s">
        <v>41</v>
      </c>
      <c r="O4353">
        <v>0</v>
      </c>
      <c r="P4353">
        <v>0</v>
      </c>
      <c r="Q4353">
        <v>0</v>
      </c>
      <c r="R4353">
        <v>0</v>
      </c>
      <c r="W4353" t="s">
        <v>1046</v>
      </c>
      <c r="AA4353">
        <v>2007</v>
      </c>
      <c r="AB4353">
        <v>9999</v>
      </c>
      <c r="AC4353" t="s">
        <v>35</v>
      </c>
    </row>
    <row r="4354" spans="1:29" x14ac:dyDescent="0.25">
      <c r="A4354" s="31" t="s">
        <v>353</v>
      </c>
      <c r="B4354" s="23" t="s">
        <v>1233</v>
      </c>
      <c r="C4354" t="s">
        <v>1234</v>
      </c>
      <c r="D4354">
        <v>1</v>
      </c>
      <c r="E4354" t="s">
        <v>58</v>
      </c>
      <c r="F4354">
        <v>4</v>
      </c>
      <c r="G4354">
        <v>2010</v>
      </c>
      <c r="I4354">
        <v>89.5</v>
      </c>
      <c r="J4354" t="s">
        <v>46</v>
      </c>
      <c r="K4354" t="s">
        <v>47</v>
      </c>
      <c r="O4354">
        <v>0</v>
      </c>
      <c r="P4354">
        <v>0</v>
      </c>
      <c r="Q4354">
        <v>0</v>
      </c>
      <c r="R4354">
        <v>0</v>
      </c>
      <c r="W4354" t="s">
        <v>1235</v>
      </c>
      <c r="AA4354">
        <v>2007</v>
      </c>
      <c r="AB4354">
        <v>9999</v>
      </c>
      <c r="AC4354" t="s">
        <v>35</v>
      </c>
    </row>
    <row r="4355" spans="1:29" x14ac:dyDescent="0.25">
      <c r="A4355" s="31" t="s">
        <v>1236</v>
      </c>
      <c r="B4355" s="23" t="s">
        <v>1237</v>
      </c>
      <c r="D4355">
        <v>1</v>
      </c>
      <c r="E4355" t="s">
        <v>155</v>
      </c>
      <c r="F4355">
        <v>3</v>
      </c>
      <c r="G4355">
        <v>2010</v>
      </c>
      <c r="H4355" t="s">
        <v>154</v>
      </c>
      <c r="I4355">
        <v>2.5</v>
      </c>
      <c r="J4355" t="s">
        <v>121</v>
      </c>
      <c r="K4355" t="s">
        <v>41</v>
      </c>
      <c r="O4355">
        <v>0</v>
      </c>
      <c r="P4355">
        <v>0</v>
      </c>
      <c r="Q4355">
        <v>0</v>
      </c>
      <c r="R4355">
        <v>0</v>
      </c>
      <c r="W4355" t="s">
        <v>1238</v>
      </c>
      <c r="AA4355">
        <v>2009</v>
      </c>
      <c r="AB4355">
        <v>9999</v>
      </c>
      <c r="AC4355" t="s">
        <v>1239</v>
      </c>
    </row>
    <row r="4356" spans="1:29" x14ac:dyDescent="0.25">
      <c r="A4356" s="31" t="s">
        <v>153</v>
      </c>
      <c r="B4356" s="23" t="s">
        <v>154</v>
      </c>
      <c r="D4356">
        <v>1</v>
      </c>
      <c r="E4356" t="s">
        <v>155</v>
      </c>
      <c r="F4356">
        <v>3</v>
      </c>
      <c r="G4356">
        <v>2010</v>
      </c>
      <c r="I4356">
        <v>280.294727519763</v>
      </c>
      <c r="J4356" t="s">
        <v>121</v>
      </c>
      <c r="K4356" t="s">
        <v>47</v>
      </c>
      <c r="O4356">
        <v>0</v>
      </c>
      <c r="P4356">
        <v>0</v>
      </c>
      <c r="Q4356">
        <v>0</v>
      </c>
      <c r="R4356">
        <v>0</v>
      </c>
      <c r="V4356">
        <v>1</v>
      </c>
      <c r="W4356" t="s">
        <v>1047</v>
      </c>
      <c r="AA4356">
        <v>2007</v>
      </c>
      <c r="AB4356">
        <v>9999</v>
      </c>
      <c r="AC4356" t="s">
        <v>35</v>
      </c>
    </row>
    <row r="4357" spans="1:29" x14ac:dyDescent="0.25">
      <c r="A4357" s="31" t="s">
        <v>157</v>
      </c>
      <c r="B4357" s="23" t="s">
        <v>158</v>
      </c>
      <c r="D4357">
        <v>1</v>
      </c>
      <c r="E4357" t="s">
        <v>128</v>
      </c>
      <c r="F4357">
        <v>9</v>
      </c>
      <c r="G4357">
        <v>2010</v>
      </c>
      <c r="I4357">
        <v>59.5</v>
      </c>
      <c r="J4357" t="s">
        <v>104</v>
      </c>
      <c r="K4357" t="s">
        <v>53</v>
      </c>
      <c r="L4357" t="s">
        <v>105</v>
      </c>
      <c r="O4357">
        <v>0</v>
      </c>
      <c r="P4357">
        <v>1</v>
      </c>
      <c r="Q4357">
        <v>0</v>
      </c>
      <c r="R4357">
        <v>0</v>
      </c>
      <c r="W4357" t="s">
        <v>106</v>
      </c>
      <c r="AA4357">
        <v>2007</v>
      </c>
      <c r="AB4357">
        <v>2010</v>
      </c>
      <c r="AC4357" t="s">
        <v>91</v>
      </c>
    </row>
    <row r="4358" spans="1:29" x14ac:dyDescent="0.25">
      <c r="A4358" s="31" t="s">
        <v>159</v>
      </c>
      <c r="B4358" s="23" t="s">
        <v>160</v>
      </c>
      <c r="D4358">
        <v>1</v>
      </c>
      <c r="E4358" t="s">
        <v>155</v>
      </c>
      <c r="F4358">
        <v>3</v>
      </c>
      <c r="G4358">
        <v>2010</v>
      </c>
      <c r="I4358">
        <v>362.7</v>
      </c>
      <c r="J4358" t="s">
        <v>121</v>
      </c>
      <c r="K4358" t="s">
        <v>47</v>
      </c>
      <c r="O4358">
        <v>0</v>
      </c>
      <c r="P4358">
        <v>0</v>
      </c>
      <c r="Q4358">
        <v>0</v>
      </c>
      <c r="R4358">
        <v>0</v>
      </c>
      <c r="W4358" t="s">
        <v>1048</v>
      </c>
      <c r="AA4358">
        <v>2007</v>
      </c>
      <c r="AB4358">
        <v>9999</v>
      </c>
      <c r="AC4358" t="s">
        <v>35</v>
      </c>
    </row>
    <row r="4359" spans="1:29" x14ac:dyDescent="0.25">
      <c r="A4359" s="31" t="s">
        <v>165</v>
      </c>
      <c r="B4359" s="23" t="s">
        <v>166</v>
      </c>
      <c r="C4359" t="s">
        <v>167</v>
      </c>
      <c r="D4359">
        <v>1</v>
      </c>
      <c r="E4359" t="s">
        <v>168</v>
      </c>
      <c r="F4359">
        <v>1</v>
      </c>
      <c r="G4359">
        <v>2010</v>
      </c>
      <c r="I4359">
        <v>158.30000000000001</v>
      </c>
      <c r="J4359" t="s">
        <v>52</v>
      </c>
      <c r="K4359" t="s">
        <v>47</v>
      </c>
      <c r="O4359">
        <v>0</v>
      </c>
      <c r="P4359">
        <v>0</v>
      </c>
      <c r="Q4359">
        <v>0</v>
      </c>
      <c r="R4359">
        <v>0</v>
      </c>
      <c r="W4359" t="s">
        <v>1049</v>
      </c>
      <c r="AA4359">
        <v>2007</v>
      </c>
      <c r="AB4359">
        <v>9999</v>
      </c>
      <c r="AC4359" t="s">
        <v>35</v>
      </c>
    </row>
    <row r="4360" spans="1:29" x14ac:dyDescent="0.25">
      <c r="A4360" s="31" t="s">
        <v>170</v>
      </c>
      <c r="B4360" s="23" t="s">
        <v>171</v>
      </c>
      <c r="D4360">
        <v>1</v>
      </c>
      <c r="E4360" t="s">
        <v>30</v>
      </c>
      <c r="F4360">
        <v>4</v>
      </c>
      <c r="G4360">
        <v>2010</v>
      </c>
      <c r="I4360">
        <v>42.8</v>
      </c>
      <c r="J4360" t="s">
        <v>89</v>
      </c>
      <c r="K4360" t="s">
        <v>47</v>
      </c>
      <c r="O4360">
        <v>0</v>
      </c>
      <c r="P4360">
        <v>0</v>
      </c>
      <c r="Q4360">
        <v>0</v>
      </c>
      <c r="R4360">
        <v>0</v>
      </c>
      <c r="W4360" t="s">
        <v>1050</v>
      </c>
      <c r="AA4360">
        <v>2007</v>
      </c>
      <c r="AB4360">
        <v>9999</v>
      </c>
      <c r="AC4360" t="s">
        <v>35</v>
      </c>
    </row>
    <row r="4361" spans="1:29" x14ac:dyDescent="0.25">
      <c r="A4361" s="31" t="s">
        <v>1051</v>
      </c>
      <c r="B4361" s="23" t="s">
        <v>1052</v>
      </c>
      <c r="D4361">
        <v>1</v>
      </c>
      <c r="E4361" t="s">
        <v>30</v>
      </c>
      <c r="F4361">
        <v>4</v>
      </c>
      <c r="G4361">
        <v>2010</v>
      </c>
      <c r="I4361">
        <v>82.1</v>
      </c>
      <c r="J4361" t="s">
        <v>89</v>
      </c>
      <c r="K4361" t="s">
        <v>47</v>
      </c>
      <c r="O4361">
        <v>0</v>
      </c>
      <c r="P4361">
        <v>0</v>
      </c>
      <c r="Q4361">
        <v>0</v>
      </c>
      <c r="R4361">
        <v>0</v>
      </c>
      <c r="W4361" t="s">
        <v>1053</v>
      </c>
      <c r="AA4361">
        <v>2008</v>
      </c>
      <c r="AB4361">
        <v>9999</v>
      </c>
      <c r="AC4361" t="s">
        <v>1054</v>
      </c>
    </row>
    <row r="4362" spans="1:29" x14ac:dyDescent="0.25">
      <c r="A4362" s="31" t="s">
        <v>173</v>
      </c>
      <c r="B4362" s="23" t="s">
        <v>174</v>
      </c>
      <c r="C4362" t="s">
        <v>175</v>
      </c>
      <c r="D4362">
        <v>1</v>
      </c>
      <c r="E4362" t="s">
        <v>45</v>
      </c>
      <c r="F4362">
        <v>4</v>
      </c>
      <c r="G4362">
        <v>2010</v>
      </c>
      <c r="I4362">
        <v>131.5</v>
      </c>
      <c r="J4362" t="s">
        <v>176</v>
      </c>
      <c r="K4362" t="s">
        <v>32</v>
      </c>
      <c r="O4362">
        <v>0</v>
      </c>
      <c r="P4362">
        <v>0</v>
      </c>
      <c r="Q4362">
        <v>0</v>
      </c>
      <c r="R4362">
        <v>0</v>
      </c>
      <c r="W4362" t="s">
        <v>1055</v>
      </c>
      <c r="AA4362">
        <v>2007</v>
      </c>
      <c r="AB4362">
        <v>9999</v>
      </c>
      <c r="AC4362" t="s">
        <v>35</v>
      </c>
    </row>
    <row r="4363" spans="1:29" x14ac:dyDescent="0.25">
      <c r="A4363" s="31" t="s">
        <v>178</v>
      </c>
      <c r="B4363" s="23" t="s">
        <v>179</v>
      </c>
      <c r="D4363">
        <v>1</v>
      </c>
      <c r="E4363" t="s">
        <v>45</v>
      </c>
      <c r="F4363">
        <v>4</v>
      </c>
      <c r="G4363">
        <v>2010</v>
      </c>
      <c r="I4363">
        <v>16</v>
      </c>
      <c r="J4363" t="s">
        <v>46</v>
      </c>
      <c r="K4363" t="s">
        <v>47</v>
      </c>
      <c r="O4363">
        <v>0</v>
      </c>
      <c r="P4363">
        <v>0</v>
      </c>
      <c r="Q4363">
        <v>0</v>
      </c>
      <c r="R4363">
        <v>0</v>
      </c>
      <c r="W4363" t="s">
        <v>1240</v>
      </c>
      <c r="AA4363">
        <v>2007</v>
      </c>
      <c r="AB4363">
        <v>9999</v>
      </c>
      <c r="AC4363" t="s">
        <v>35</v>
      </c>
    </row>
    <row r="4364" spans="1:29" x14ac:dyDescent="0.25">
      <c r="A4364" s="31" t="s">
        <v>181</v>
      </c>
      <c r="B4364" s="25" t="s">
        <v>182</v>
      </c>
      <c r="D4364">
        <v>1</v>
      </c>
      <c r="E4364" t="s">
        <v>38</v>
      </c>
      <c r="F4364">
        <v>4</v>
      </c>
      <c r="G4364">
        <v>2010</v>
      </c>
      <c r="H4364" t="s">
        <v>39</v>
      </c>
      <c r="I4364">
        <v>0.5</v>
      </c>
      <c r="J4364" t="s">
        <v>121</v>
      </c>
      <c r="K4364" t="s">
        <v>41</v>
      </c>
      <c r="O4364">
        <v>0</v>
      </c>
      <c r="P4364">
        <v>0</v>
      </c>
      <c r="Q4364">
        <v>0</v>
      </c>
      <c r="R4364">
        <v>0</v>
      </c>
      <c r="W4364" t="s">
        <v>1057</v>
      </c>
      <c r="AA4364">
        <v>2007</v>
      </c>
      <c r="AB4364">
        <v>9999</v>
      </c>
      <c r="AC4364" t="s">
        <v>35</v>
      </c>
    </row>
    <row r="4365" spans="1:29" x14ac:dyDescent="0.25">
      <c r="A4365" s="31" t="s">
        <v>184</v>
      </c>
      <c r="B4365" s="23" t="s">
        <v>185</v>
      </c>
      <c r="C4365" t="s">
        <v>186</v>
      </c>
      <c r="D4365">
        <v>1</v>
      </c>
      <c r="E4365" t="s">
        <v>45</v>
      </c>
      <c r="F4365">
        <v>4</v>
      </c>
      <c r="G4365">
        <v>2010</v>
      </c>
      <c r="I4365">
        <v>241.6</v>
      </c>
      <c r="J4365" t="s">
        <v>52</v>
      </c>
      <c r="K4365" t="s">
        <v>32</v>
      </c>
      <c r="O4365">
        <v>0</v>
      </c>
      <c r="P4365">
        <v>0</v>
      </c>
      <c r="Q4365">
        <v>0</v>
      </c>
      <c r="R4365">
        <v>0</v>
      </c>
      <c r="W4365" t="s">
        <v>1287</v>
      </c>
      <c r="AA4365">
        <v>2007</v>
      </c>
      <c r="AB4365">
        <v>9999</v>
      </c>
      <c r="AC4365" t="s">
        <v>35</v>
      </c>
    </row>
    <row r="4366" spans="1:29" x14ac:dyDescent="0.25">
      <c r="A4366" s="31" t="s">
        <v>1059</v>
      </c>
      <c r="B4366" s="23" t="s">
        <v>1060</v>
      </c>
      <c r="D4366">
        <v>1</v>
      </c>
      <c r="E4366" t="s">
        <v>874</v>
      </c>
      <c r="F4366">
        <v>1</v>
      </c>
      <c r="G4366">
        <v>2010</v>
      </c>
      <c r="I4366">
        <v>6.1</v>
      </c>
      <c r="J4366" t="s">
        <v>52</v>
      </c>
      <c r="K4366" t="s">
        <v>47</v>
      </c>
      <c r="O4366">
        <v>0</v>
      </c>
      <c r="P4366">
        <v>0</v>
      </c>
      <c r="Q4366">
        <v>0</v>
      </c>
      <c r="R4366">
        <v>0</v>
      </c>
      <c r="W4366" t="s">
        <v>1061</v>
      </c>
      <c r="AA4366">
        <v>2008</v>
      </c>
      <c r="AB4366">
        <v>9999</v>
      </c>
      <c r="AC4366" t="s">
        <v>1054</v>
      </c>
    </row>
    <row r="4367" spans="1:29" x14ac:dyDescent="0.25">
      <c r="A4367" s="31" t="s">
        <v>188</v>
      </c>
      <c r="B4367" s="23" t="s">
        <v>189</v>
      </c>
      <c r="D4367">
        <v>1</v>
      </c>
      <c r="E4367" t="s">
        <v>38</v>
      </c>
      <c r="F4367">
        <v>4</v>
      </c>
      <c r="G4367">
        <v>2010</v>
      </c>
      <c r="I4367">
        <v>353.1</v>
      </c>
      <c r="J4367" t="s">
        <v>151</v>
      </c>
      <c r="K4367" t="s">
        <v>47</v>
      </c>
      <c r="O4367">
        <v>0</v>
      </c>
      <c r="P4367">
        <v>0</v>
      </c>
      <c r="Q4367">
        <v>0</v>
      </c>
      <c r="R4367">
        <v>0</v>
      </c>
      <c r="W4367" t="s">
        <v>1062</v>
      </c>
      <c r="AA4367">
        <v>2007</v>
      </c>
      <c r="AB4367">
        <v>2011</v>
      </c>
      <c r="AC4367" t="s">
        <v>191</v>
      </c>
    </row>
    <row r="4368" spans="1:29" x14ac:dyDescent="0.25">
      <c r="A4368" s="31" t="s">
        <v>192</v>
      </c>
      <c r="B4368" s="25" t="s">
        <v>193</v>
      </c>
      <c r="D4368">
        <v>1</v>
      </c>
      <c r="E4368" t="s">
        <v>51</v>
      </c>
      <c r="F4368">
        <v>1</v>
      </c>
      <c r="G4368">
        <v>2010</v>
      </c>
      <c r="I4368">
        <v>48</v>
      </c>
      <c r="J4368" t="s">
        <v>52</v>
      </c>
      <c r="K4368" t="s">
        <v>53</v>
      </c>
      <c r="L4368" t="s">
        <v>54</v>
      </c>
      <c r="O4368">
        <v>0</v>
      </c>
      <c r="P4368">
        <v>0</v>
      </c>
      <c r="Q4368">
        <v>1</v>
      </c>
      <c r="R4368">
        <v>0</v>
      </c>
      <c r="W4368" t="s">
        <v>55</v>
      </c>
      <c r="AA4368">
        <v>2007</v>
      </c>
      <c r="AB4368">
        <v>9999</v>
      </c>
      <c r="AC4368" t="s">
        <v>35</v>
      </c>
    </row>
    <row r="4369" spans="1:29" x14ac:dyDescent="0.25">
      <c r="A4369" s="31" t="s">
        <v>194</v>
      </c>
      <c r="B4369" s="23" t="s">
        <v>195</v>
      </c>
      <c r="C4369" t="s">
        <v>196</v>
      </c>
      <c r="D4369">
        <v>1</v>
      </c>
      <c r="E4369" t="s">
        <v>197</v>
      </c>
      <c r="F4369">
        <v>2</v>
      </c>
      <c r="G4369">
        <v>2010</v>
      </c>
      <c r="I4369">
        <v>143.19999999999999</v>
      </c>
      <c r="J4369" t="s">
        <v>176</v>
      </c>
      <c r="K4369" t="s">
        <v>47</v>
      </c>
      <c r="O4369">
        <v>0</v>
      </c>
      <c r="P4369">
        <v>0</v>
      </c>
      <c r="Q4369">
        <v>0</v>
      </c>
      <c r="R4369">
        <v>0</v>
      </c>
      <c r="W4369" t="s">
        <v>1063</v>
      </c>
      <c r="AA4369">
        <v>2007</v>
      </c>
      <c r="AB4369">
        <v>9999</v>
      </c>
      <c r="AC4369" t="s">
        <v>35</v>
      </c>
    </row>
    <row r="4370" spans="1:29" x14ac:dyDescent="0.25">
      <c r="A4370" s="31" t="s">
        <v>203</v>
      </c>
      <c r="B4370" s="25" t="s">
        <v>204</v>
      </c>
      <c r="D4370">
        <v>1</v>
      </c>
      <c r="E4370" t="s">
        <v>201</v>
      </c>
      <c r="F4370">
        <v>1</v>
      </c>
      <c r="G4370">
        <v>2010</v>
      </c>
      <c r="H4370" t="s">
        <v>205</v>
      </c>
      <c r="I4370">
        <v>2</v>
      </c>
      <c r="J4370" t="s">
        <v>52</v>
      </c>
      <c r="K4370" t="s">
        <v>41</v>
      </c>
      <c r="O4370">
        <v>0</v>
      </c>
      <c r="P4370">
        <v>0</v>
      </c>
      <c r="Q4370">
        <v>0</v>
      </c>
      <c r="R4370">
        <v>0</v>
      </c>
      <c r="W4370" t="s">
        <v>1064</v>
      </c>
      <c r="AA4370">
        <v>2007</v>
      </c>
      <c r="AB4370">
        <v>9999</v>
      </c>
      <c r="AC4370" t="s">
        <v>35</v>
      </c>
    </row>
    <row r="4371" spans="1:29" x14ac:dyDescent="0.25">
      <c r="A4371" s="31" t="s">
        <v>207</v>
      </c>
      <c r="B4371" s="23" t="s">
        <v>208</v>
      </c>
      <c r="C4371" t="s">
        <v>209</v>
      </c>
      <c r="D4371">
        <v>1</v>
      </c>
      <c r="E4371" t="s">
        <v>210</v>
      </c>
      <c r="F4371">
        <v>10</v>
      </c>
      <c r="G4371">
        <v>2010</v>
      </c>
      <c r="I4371">
        <v>22</v>
      </c>
      <c r="J4371" t="s">
        <v>40</v>
      </c>
      <c r="K4371" t="s">
        <v>32</v>
      </c>
      <c r="O4371">
        <v>0</v>
      </c>
      <c r="P4371">
        <v>0</v>
      </c>
      <c r="Q4371">
        <v>0</v>
      </c>
      <c r="R4371">
        <v>0</v>
      </c>
      <c r="W4371" t="s">
        <v>1065</v>
      </c>
      <c r="AA4371">
        <v>2007</v>
      </c>
      <c r="AB4371">
        <v>9999</v>
      </c>
      <c r="AC4371" t="s">
        <v>35</v>
      </c>
    </row>
    <row r="4372" spans="1:29" ht="30" x14ac:dyDescent="0.25">
      <c r="A4372" s="31" t="s">
        <v>212</v>
      </c>
      <c r="B4372" s="23" t="s">
        <v>213</v>
      </c>
      <c r="C4372" t="s">
        <v>214</v>
      </c>
      <c r="D4372">
        <v>1</v>
      </c>
      <c r="E4372" s="4">
        <v>550</v>
      </c>
      <c r="F4372">
        <v>5</v>
      </c>
      <c r="G4372">
        <v>2010</v>
      </c>
      <c r="I4372">
        <v>35.200000000000003</v>
      </c>
      <c r="J4372" s="2" t="s">
        <v>31</v>
      </c>
      <c r="K4372" t="s">
        <v>47</v>
      </c>
      <c r="O4372">
        <v>0</v>
      </c>
      <c r="P4372">
        <v>0</v>
      </c>
      <c r="Q4372">
        <v>0</v>
      </c>
      <c r="R4372">
        <v>0</v>
      </c>
      <c r="W4372" t="s">
        <v>1288</v>
      </c>
      <c r="AA4372">
        <v>2007</v>
      </c>
      <c r="AB4372">
        <v>9999</v>
      </c>
      <c r="AC4372" t="s">
        <v>35</v>
      </c>
    </row>
    <row r="4373" spans="1:29" x14ac:dyDescent="0.25">
      <c r="A4373" s="31" t="s">
        <v>216</v>
      </c>
      <c r="B4373" s="23" t="s">
        <v>217</v>
      </c>
      <c r="D4373">
        <v>1</v>
      </c>
      <c r="E4373" t="s">
        <v>218</v>
      </c>
      <c r="F4373">
        <v>2</v>
      </c>
      <c r="G4373">
        <v>2010</v>
      </c>
      <c r="I4373">
        <v>641.6</v>
      </c>
      <c r="J4373" t="s">
        <v>52</v>
      </c>
      <c r="K4373" t="s">
        <v>32</v>
      </c>
      <c r="O4373">
        <v>0</v>
      </c>
      <c r="P4373">
        <v>0</v>
      </c>
      <c r="Q4373">
        <v>0</v>
      </c>
      <c r="R4373">
        <v>0</v>
      </c>
      <c r="W4373" t="s">
        <v>1067</v>
      </c>
      <c r="AA4373">
        <v>2007</v>
      </c>
      <c r="AB4373">
        <v>9999</v>
      </c>
      <c r="AC4373" t="s">
        <v>35</v>
      </c>
    </row>
    <row r="4374" spans="1:29" x14ac:dyDescent="0.25">
      <c r="A4374" s="31" t="s">
        <v>220</v>
      </c>
      <c r="B4374" s="23" t="s">
        <v>221</v>
      </c>
      <c r="D4374">
        <v>1</v>
      </c>
      <c r="E4374" t="s">
        <v>222</v>
      </c>
      <c r="F4374">
        <v>8</v>
      </c>
      <c r="G4374">
        <v>2010</v>
      </c>
      <c r="I4374">
        <v>26.5</v>
      </c>
      <c r="J4374" t="s">
        <v>81</v>
      </c>
      <c r="K4374" t="s">
        <v>47</v>
      </c>
      <c r="O4374">
        <v>0</v>
      </c>
      <c r="P4374">
        <v>0</v>
      </c>
      <c r="Q4374">
        <v>0</v>
      </c>
      <c r="R4374">
        <v>0</v>
      </c>
      <c r="W4374" t="s">
        <v>1068</v>
      </c>
      <c r="AA4374">
        <v>2007</v>
      </c>
      <c r="AB4374">
        <v>9999</v>
      </c>
      <c r="AC4374" t="s">
        <v>35</v>
      </c>
    </row>
    <row r="4375" spans="1:29" x14ac:dyDescent="0.25">
      <c r="A4375" s="31" t="s">
        <v>224</v>
      </c>
      <c r="B4375" s="25" t="s">
        <v>225</v>
      </c>
      <c r="D4375">
        <v>1</v>
      </c>
      <c r="E4375" t="s">
        <v>51</v>
      </c>
      <c r="F4375">
        <v>1</v>
      </c>
      <c r="G4375">
        <v>2010</v>
      </c>
      <c r="I4375">
        <v>57</v>
      </c>
      <c r="J4375" t="s">
        <v>52</v>
      </c>
      <c r="K4375" t="s">
        <v>53</v>
      </c>
      <c r="L4375" t="s">
        <v>54</v>
      </c>
      <c r="O4375">
        <v>0</v>
      </c>
      <c r="P4375">
        <v>0</v>
      </c>
      <c r="Q4375">
        <v>1</v>
      </c>
      <c r="R4375">
        <v>0</v>
      </c>
      <c r="W4375" t="s">
        <v>55</v>
      </c>
      <c r="AA4375">
        <v>2007</v>
      </c>
      <c r="AB4375">
        <v>9999</v>
      </c>
      <c r="AC4375" t="s">
        <v>35</v>
      </c>
    </row>
    <row r="4376" spans="1:29" x14ac:dyDescent="0.25">
      <c r="A4376" s="31" t="s">
        <v>226</v>
      </c>
      <c r="B4376" s="23" t="s">
        <v>227</v>
      </c>
      <c r="C4376" t="s">
        <v>228</v>
      </c>
      <c r="D4376">
        <v>1</v>
      </c>
      <c r="E4376" t="s">
        <v>218</v>
      </c>
      <c r="F4376">
        <v>2</v>
      </c>
      <c r="G4376">
        <v>2010</v>
      </c>
      <c r="I4376">
        <v>1528.2</v>
      </c>
      <c r="J4376" t="s">
        <v>147</v>
      </c>
      <c r="K4376" t="s">
        <v>32</v>
      </c>
      <c r="O4376">
        <v>0</v>
      </c>
      <c r="P4376">
        <v>0</v>
      </c>
      <c r="Q4376">
        <v>0</v>
      </c>
      <c r="R4376">
        <v>0</v>
      </c>
      <c r="W4376" t="s">
        <v>1069</v>
      </c>
      <c r="AA4376">
        <v>2007</v>
      </c>
      <c r="AB4376">
        <v>9999</v>
      </c>
      <c r="AC4376" t="s">
        <v>35</v>
      </c>
    </row>
    <row r="4377" spans="1:29" x14ac:dyDescent="0.25">
      <c r="A4377" s="31" t="s">
        <v>230</v>
      </c>
      <c r="B4377" s="23" t="s">
        <v>231</v>
      </c>
      <c r="C4377" t="s">
        <v>232</v>
      </c>
      <c r="D4377">
        <v>1</v>
      </c>
      <c r="E4377" t="s">
        <v>145</v>
      </c>
      <c r="F4377">
        <v>2</v>
      </c>
      <c r="G4377">
        <v>2010</v>
      </c>
      <c r="J4377" t="s">
        <v>147</v>
      </c>
      <c r="K4377" t="s">
        <v>47</v>
      </c>
      <c r="O4377">
        <v>0</v>
      </c>
      <c r="P4377">
        <v>0</v>
      </c>
      <c r="Q4377">
        <v>0</v>
      </c>
      <c r="R4377">
        <v>0</v>
      </c>
      <c r="W4377" t="s">
        <v>1070</v>
      </c>
      <c r="AA4377">
        <v>2007</v>
      </c>
      <c r="AB4377">
        <v>9999</v>
      </c>
      <c r="AC4377" t="s">
        <v>35</v>
      </c>
    </row>
    <row r="4378" spans="1:29" x14ac:dyDescent="0.25">
      <c r="A4378" s="31" t="s">
        <v>237</v>
      </c>
      <c r="B4378" s="23" t="s">
        <v>238</v>
      </c>
      <c r="D4378">
        <v>1</v>
      </c>
      <c r="E4378" t="s">
        <v>218</v>
      </c>
      <c r="F4378">
        <v>2</v>
      </c>
      <c r="G4378">
        <v>2010</v>
      </c>
      <c r="I4378">
        <v>322.3</v>
      </c>
      <c r="J4378" t="s">
        <v>104</v>
      </c>
      <c r="K4378" t="s">
        <v>53</v>
      </c>
      <c r="L4378" t="s">
        <v>105</v>
      </c>
      <c r="O4378">
        <v>0</v>
      </c>
      <c r="P4378">
        <v>0</v>
      </c>
      <c r="Q4378">
        <v>0</v>
      </c>
      <c r="R4378">
        <v>0</v>
      </c>
      <c r="W4378" t="s">
        <v>1072</v>
      </c>
      <c r="AA4378">
        <v>2007</v>
      </c>
      <c r="AB4378">
        <v>9999</v>
      </c>
      <c r="AC4378" t="s">
        <v>35</v>
      </c>
    </row>
    <row r="4379" spans="1:29" x14ac:dyDescent="0.25">
      <c r="A4379" s="31" t="s">
        <v>240</v>
      </c>
      <c r="B4379" s="23" t="s">
        <v>241</v>
      </c>
      <c r="D4379">
        <v>1</v>
      </c>
      <c r="E4379" t="s">
        <v>218</v>
      </c>
      <c r="F4379">
        <v>2</v>
      </c>
      <c r="G4379">
        <v>2010</v>
      </c>
      <c r="I4379">
        <v>14863.7</v>
      </c>
      <c r="J4379" t="s">
        <v>147</v>
      </c>
      <c r="K4379" t="s">
        <v>47</v>
      </c>
      <c r="O4379">
        <v>0</v>
      </c>
      <c r="P4379">
        <v>0</v>
      </c>
      <c r="Q4379">
        <v>0</v>
      </c>
      <c r="R4379">
        <v>0</v>
      </c>
      <c r="W4379" t="s">
        <v>1073</v>
      </c>
      <c r="AA4379">
        <v>2007</v>
      </c>
      <c r="AB4379">
        <v>9999</v>
      </c>
      <c r="AC4379" t="s">
        <v>35</v>
      </c>
    </row>
    <row r="4380" spans="1:29" x14ac:dyDescent="0.25">
      <c r="A4380" s="31" t="s">
        <v>1289</v>
      </c>
      <c r="B4380" s="23" t="s">
        <v>1290</v>
      </c>
      <c r="D4380">
        <v>1</v>
      </c>
      <c r="E4380" t="s">
        <v>218</v>
      </c>
      <c r="F4380">
        <v>2</v>
      </c>
      <c r="G4380">
        <v>2010</v>
      </c>
      <c r="I4380">
        <v>4.5</v>
      </c>
      <c r="J4380" t="s">
        <v>147</v>
      </c>
      <c r="K4380" t="s">
        <v>53</v>
      </c>
      <c r="L4380" t="s">
        <v>60</v>
      </c>
      <c r="O4380">
        <v>1</v>
      </c>
      <c r="P4380">
        <v>0</v>
      </c>
      <c r="Q4380">
        <v>0</v>
      </c>
      <c r="R4380">
        <v>0</v>
      </c>
      <c r="W4380" t="s">
        <v>1291</v>
      </c>
      <c r="AA4380">
        <v>2010</v>
      </c>
      <c r="AB4380">
        <v>9999</v>
      </c>
      <c r="AC4380" t="s">
        <v>1292</v>
      </c>
    </row>
    <row r="4381" spans="1:29" x14ac:dyDescent="0.25">
      <c r="A4381" s="31" t="s">
        <v>243</v>
      </c>
      <c r="B4381" s="23" t="s">
        <v>244</v>
      </c>
      <c r="D4381">
        <v>1</v>
      </c>
      <c r="E4381" t="s">
        <v>210</v>
      </c>
      <c r="F4381">
        <v>10</v>
      </c>
      <c r="G4381">
        <v>2010</v>
      </c>
      <c r="I4381">
        <v>11187.2</v>
      </c>
      <c r="J4381" t="s">
        <v>40</v>
      </c>
      <c r="K4381" t="s">
        <v>32</v>
      </c>
      <c r="O4381">
        <v>0</v>
      </c>
      <c r="P4381">
        <v>0</v>
      </c>
      <c r="Q4381">
        <v>0</v>
      </c>
      <c r="R4381">
        <v>0</v>
      </c>
      <c r="W4381" t="s">
        <v>1293</v>
      </c>
      <c r="AA4381">
        <v>2007</v>
      </c>
      <c r="AB4381">
        <v>9999</v>
      </c>
      <c r="AC4381" t="s">
        <v>35</v>
      </c>
    </row>
    <row r="4382" spans="1:29" x14ac:dyDescent="0.25">
      <c r="A4382" s="31" t="s">
        <v>246</v>
      </c>
      <c r="B4382" s="23" t="s">
        <v>247</v>
      </c>
      <c r="D4382">
        <v>1</v>
      </c>
      <c r="E4382" t="s">
        <v>120</v>
      </c>
      <c r="F4382">
        <v>3</v>
      </c>
      <c r="G4382">
        <v>2010</v>
      </c>
      <c r="H4382" t="s">
        <v>129</v>
      </c>
      <c r="I4382">
        <v>2.6</v>
      </c>
      <c r="J4382" t="s">
        <v>121</v>
      </c>
      <c r="K4382" t="s">
        <v>41</v>
      </c>
      <c r="O4382">
        <v>0</v>
      </c>
      <c r="P4382">
        <v>0</v>
      </c>
      <c r="Q4382">
        <v>0</v>
      </c>
      <c r="R4382">
        <v>0</v>
      </c>
      <c r="W4382" t="s">
        <v>1075</v>
      </c>
      <c r="AA4382">
        <v>2007</v>
      </c>
      <c r="AB4382">
        <v>9999</v>
      </c>
      <c r="AC4382" t="s">
        <v>35</v>
      </c>
    </row>
    <row r="4383" spans="1:29" x14ac:dyDescent="0.25">
      <c r="A4383" s="31" t="s">
        <v>252</v>
      </c>
      <c r="B4383" s="23" t="s">
        <v>253</v>
      </c>
      <c r="D4383">
        <v>1</v>
      </c>
      <c r="E4383" t="s">
        <v>145</v>
      </c>
      <c r="F4383">
        <v>2</v>
      </c>
      <c r="G4383">
        <v>2010</v>
      </c>
      <c r="H4383" t="s">
        <v>254</v>
      </c>
      <c r="I4383">
        <v>0.05</v>
      </c>
      <c r="J4383" s="2" t="s">
        <v>147</v>
      </c>
      <c r="K4383" t="s">
        <v>41</v>
      </c>
      <c r="O4383">
        <v>0</v>
      </c>
      <c r="P4383">
        <v>0</v>
      </c>
      <c r="Q4383">
        <v>0</v>
      </c>
      <c r="R4383">
        <v>0</v>
      </c>
      <c r="W4383" t="s">
        <v>1077</v>
      </c>
      <c r="AA4383">
        <v>2007</v>
      </c>
      <c r="AB4383">
        <v>9999</v>
      </c>
      <c r="AC4383" t="s">
        <v>35</v>
      </c>
    </row>
    <row r="4384" spans="1:29" x14ac:dyDescent="0.25">
      <c r="A4384" s="31" t="s">
        <v>256</v>
      </c>
      <c r="B4384" s="23" t="s">
        <v>257</v>
      </c>
      <c r="D4384">
        <v>1</v>
      </c>
      <c r="E4384" t="s">
        <v>138</v>
      </c>
      <c r="F4384">
        <v>8</v>
      </c>
      <c r="G4384">
        <v>2010</v>
      </c>
      <c r="I4384">
        <v>11.6</v>
      </c>
      <c r="J4384" t="s">
        <v>81</v>
      </c>
      <c r="K4384" t="s">
        <v>47</v>
      </c>
      <c r="O4384">
        <v>0</v>
      </c>
      <c r="P4384">
        <v>0</v>
      </c>
      <c r="Q4384">
        <v>0</v>
      </c>
      <c r="R4384">
        <v>0</v>
      </c>
      <c r="W4384" t="s">
        <v>1078</v>
      </c>
      <c r="AA4384">
        <v>2007</v>
      </c>
      <c r="AB4384">
        <v>2010</v>
      </c>
      <c r="AC4384" t="s">
        <v>91</v>
      </c>
    </row>
    <row r="4385" spans="1:29" x14ac:dyDescent="0.25">
      <c r="A4385" s="31" t="s">
        <v>259</v>
      </c>
      <c r="B4385" s="23" t="s">
        <v>260</v>
      </c>
      <c r="C4385" t="s">
        <v>261</v>
      </c>
      <c r="D4385">
        <v>1</v>
      </c>
      <c r="E4385" t="s">
        <v>103</v>
      </c>
      <c r="F4385">
        <v>9</v>
      </c>
      <c r="G4385">
        <v>2010</v>
      </c>
      <c r="I4385">
        <v>4832.2</v>
      </c>
      <c r="J4385" t="s">
        <v>104</v>
      </c>
      <c r="K4385" t="s">
        <v>53</v>
      </c>
      <c r="L4385" t="s">
        <v>105</v>
      </c>
      <c r="O4385">
        <v>0</v>
      </c>
      <c r="P4385">
        <v>1</v>
      </c>
      <c r="Q4385">
        <v>0</v>
      </c>
      <c r="R4385">
        <v>0</v>
      </c>
      <c r="W4385" t="s">
        <v>106</v>
      </c>
      <c r="AA4385">
        <v>2007</v>
      </c>
      <c r="AB4385">
        <v>9999</v>
      </c>
      <c r="AC4385" t="s">
        <v>35</v>
      </c>
    </row>
    <row r="4386" spans="1:29" x14ac:dyDescent="0.25">
      <c r="A4386" s="31" t="s">
        <v>266</v>
      </c>
      <c r="B4386" s="25" t="s">
        <v>267</v>
      </c>
      <c r="D4386">
        <v>1</v>
      </c>
      <c r="E4386" t="s">
        <v>85</v>
      </c>
      <c r="F4386">
        <v>4</v>
      </c>
      <c r="G4386">
        <v>2010</v>
      </c>
      <c r="J4386" t="s">
        <v>268</v>
      </c>
      <c r="K4386" t="s">
        <v>41</v>
      </c>
      <c r="O4386">
        <v>0</v>
      </c>
      <c r="P4386">
        <v>0</v>
      </c>
      <c r="Q4386">
        <v>0</v>
      </c>
      <c r="R4386">
        <v>0</v>
      </c>
      <c r="W4386" t="s">
        <v>1079</v>
      </c>
      <c r="AA4386">
        <v>2007</v>
      </c>
      <c r="AB4386">
        <v>9999</v>
      </c>
      <c r="AC4386" t="s">
        <v>35</v>
      </c>
    </row>
    <row r="4387" spans="1:29" x14ac:dyDescent="0.25">
      <c r="A4387" s="31" t="s">
        <v>153</v>
      </c>
      <c r="B4387" s="23" t="s">
        <v>270</v>
      </c>
      <c r="D4387">
        <v>6</v>
      </c>
      <c r="E4387" t="s">
        <v>155</v>
      </c>
      <c r="F4387">
        <v>3</v>
      </c>
      <c r="G4387">
        <v>2010</v>
      </c>
      <c r="I4387">
        <v>588.930631027667</v>
      </c>
      <c r="J4387" t="s">
        <v>121</v>
      </c>
      <c r="K4387" t="s">
        <v>53</v>
      </c>
      <c r="L4387" t="s">
        <v>60</v>
      </c>
      <c r="O4387">
        <v>1</v>
      </c>
      <c r="P4387">
        <v>0</v>
      </c>
      <c r="Q4387">
        <v>0</v>
      </c>
      <c r="R4387">
        <v>0</v>
      </c>
      <c r="V4387">
        <v>1</v>
      </c>
      <c r="W4387" t="s">
        <v>271</v>
      </c>
      <c r="AA4387">
        <v>2007</v>
      </c>
      <c r="AB4387">
        <v>9999</v>
      </c>
      <c r="AC4387" t="s">
        <v>35</v>
      </c>
    </row>
    <row r="4388" spans="1:29" x14ac:dyDescent="0.25">
      <c r="A4388" s="31" t="s">
        <v>153</v>
      </c>
      <c r="B4388" s="23" t="s">
        <v>272</v>
      </c>
      <c r="D4388">
        <v>8</v>
      </c>
      <c r="E4388" t="s">
        <v>155</v>
      </c>
      <c r="F4388">
        <v>3</v>
      </c>
      <c r="G4388">
        <v>2010</v>
      </c>
      <c r="I4388">
        <v>84.411166007902011</v>
      </c>
      <c r="J4388" s="2" t="s">
        <v>121</v>
      </c>
      <c r="K4388" t="s">
        <v>53</v>
      </c>
      <c r="L4388" t="s">
        <v>60</v>
      </c>
      <c r="O4388">
        <v>1</v>
      </c>
      <c r="P4388">
        <v>0</v>
      </c>
      <c r="Q4388">
        <v>0</v>
      </c>
      <c r="R4388">
        <v>0</v>
      </c>
      <c r="V4388">
        <v>1</v>
      </c>
      <c r="W4388" t="s">
        <v>273</v>
      </c>
      <c r="AA4388">
        <v>2007</v>
      </c>
      <c r="AB4388">
        <v>9999</v>
      </c>
      <c r="AC4388" t="s">
        <v>35</v>
      </c>
    </row>
    <row r="4389" spans="1:29" x14ac:dyDescent="0.25">
      <c r="A4389" s="31" t="s">
        <v>274</v>
      </c>
      <c r="B4389" s="23" t="s">
        <v>275</v>
      </c>
      <c r="C4389" t="s">
        <v>276</v>
      </c>
      <c r="D4389">
        <v>1</v>
      </c>
      <c r="E4389" t="s">
        <v>51</v>
      </c>
      <c r="F4389">
        <v>10</v>
      </c>
      <c r="G4389">
        <v>2010</v>
      </c>
      <c r="I4389">
        <v>30.3</v>
      </c>
      <c r="J4389" s="2" t="s">
        <v>40</v>
      </c>
      <c r="K4389" t="s">
        <v>41</v>
      </c>
      <c r="O4389">
        <v>0</v>
      </c>
      <c r="P4389">
        <v>0</v>
      </c>
      <c r="Q4389">
        <v>0</v>
      </c>
      <c r="R4389">
        <v>0</v>
      </c>
      <c r="W4389" t="s">
        <v>1080</v>
      </c>
      <c r="AA4389">
        <v>2007</v>
      </c>
      <c r="AB4389">
        <v>9999</v>
      </c>
      <c r="AC4389" t="s">
        <v>35</v>
      </c>
    </row>
    <row r="4390" spans="1:29" x14ac:dyDescent="0.25">
      <c r="A4390" s="31" t="s">
        <v>278</v>
      </c>
      <c r="B4390" s="23" t="s">
        <v>279</v>
      </c>
      <c r="D4390">
        <v>1</v>
      </c>
      <c r="E4390" t="s">
        <v>103</v>
      </c>
      <c r="F4390">
        <v>9</v>
      </c>
      <c r="G4390">
        <v>2010</v>
      </c>
      <c r="I4390">
        <v>603.9</v>
      </c>
      <c r="J4390" t="s">
        <v>104</v>
      </c>
      <c r="K4390" t="s">
        <v>53</v>
      </c>
      <c r="L4390" t="s">
        <v>105</v>
      </c>
      <c r="O4390">
        <v>0</v>
      </c>
      <c r="P4390">
        <v>1</v>
      </c>
      <c r="Q4390">
        <v>0</v>
      </c>
      <c r="R4390">
        <v>0</v>
      </c>
      <c r="W4390" t="s">
        <v>106</v>
      </c>
      <c r="AA4390">
        <v>2007</v>
      </c>
      <c r="AB4390">
        <v>9999</v>
      </c>
      <c r="AC4390" t="s">
        <v>35</v>
      </c>
    </row>
    <row r="4391" spans="1:29" x14ac:dyDescent="0.25">
      <c r="A4391" s="31" t="s">
        <v>280</v>
      </c>
      <c r="B4391" s="23" t="s">
        <v>281</v>
      </c>
      <c r="D4391">
        <v>1</v>
      </c>
      <c r="E4391" t="s">
        <v>103</v>
      </c>
      <c r="F4391">
        <v>9</v>
      </c>
      <c r="G4391">
        <v>2010</v>
      </c>
      <c r="I4391">
        <v>593.6</v>
      </c>
      <c r="J4391" t="s">
        <v>104</v>
      </c>
      <c r="K4391" t="s">
        <v>53</v>
      </c>
      <c r="L4391" t="s">
        <v>105</v>
      </c>
      <c r="O4391">
        <v>0</v>
      </c>
      <c r="P4391">
        <v>1</v>
      </c>
      <c r="Q4391">
        <v>0</v>
      </c>
      <c r="R4391">
        <v>0</v>
      </c>
      <c r="W4391" t="s">
        <v>106</v>
      </c>
      <c r="AA4391">
        <v>2007</v>
      </c>
      <c r="AB4391">
        <v>9999</v>
      </c>
      <c r="AC4391" t="s">
        <v>35</v>
      </c>
    </row>
    <row r="4392" spans="1:29" x14ac:dyDescent="0.25">
      <c r="A4392" s="31" t="s">
        <v>282</v>
      </c>
      <c r="B4392" s="23" t="s">
        <v>283</v>
      </c>
      <c r="D4392">
        <v>1</v>
      </c>
      <c r="E4392" t="s">
        <v>103</v>
      </c>
      <c r="F4392">
        <v>9</v>
      </c>
      <c r="G4392">
        <v>2010</v>
      </c>
      <c r="I4392">
        <v>549.6</v>
      </c>
      <c r="J4392" t="s">
        <v>104</v>
      </c>
      <c r="K4392" t="s">
        <v>53</v>
      </c>
      <c r="L4392" t="s">
        <v>105</v>
      </c>
      <c r="O4392">
        <v>0</v>
      </c>
      <c r="P4392">
        <v>1</v>
      </c>
      <c r="Q4392">
        <v>0</v>
      </c>
      <c r="R4392">
        <v>0</v>
      </c>
      <c r="W4392" t="s">
        <v>106</v>
      </c>
      <c r="AA4392">
        <v>2007</v>
      </c>
      <c r="AB4392">
        <v>9999</v>
      </c>
      <c r="AC4392" t="s">
        <v>35</v>
      </c>
    </row>
    <row r="4393" spans="1:29" x14ac:dyDescent="0.25">
      <c r="A4393" s="31" t="s">
        <v>284</v>
      </c>
      <c r="B4393" s="23" t="s">
        <v>285</v>
      </c>
      <c r="D4393">
        <v>1</v>
      </c>
      <c r="E4393" t="s">
        <v>103</v>
      </c>
      <c r="F4393">
        <v>9</v>
      </c>
      <c r="G4393">
        <v>2010</v>
      </c>
      <c r="I4393">
        <v>503.8</v>
      </c>
      <c r="J4393" t="s">
        <v>104</v>
      </c>
      <c r="K4393" t="s">
        <v>53</v>
      </c>
      <c r="L4393" t="s">
        <v>105</v>
      </c>
      <c r="O4393">
        <v>0</v>
      </c>
      <c r="P4393">
        <v>1</v>
      </c>
      <c r="Q4393">
        <v>0</v>
      </c>
      <c r="R4393">
        <v>0</v>
      </c>
      <c r="W4393" t="s">
        <v>106</v>
      </c>
      <c r="AA4393">
        <v>2007</v>
      </c>
      <c r="AB4393">
        <v>9999</v>
      </c>
      <c r="AC4393" t="s">
        <v>35</v>
      </c>
    </row>
    <row r="4394" spans="1:29" x14ac:dyDescent="0.25">
      <c r="A4394" s="31" t="s">
        <v>288</v>
      </c>
      <c r="B4394" s="23" t="s">
        <v>289</v>
      </c>
      <c r="D4394">
        <v>1</v>
      </c>
      <c r="E4394" t="s">
        <v>103</v>
      </c>
      <c r="F4394">
        <v>9</v>
      </c>
      <c r="G4394">
        <v>2010</v>
      </c>
      <c r="I4394">
        <v>432</v>
      </c>
      <c r="J4394" t="s">
        <v>104</v>
      </c>
      <c r="K4394" t="s">
        <v>53</v>
      </c>
      <c r="L4394" t="s">
        <v>105</v>
      </c>
      <c r="O4394">
        <v>0</v>
      </c>
      <c r="P4394">
        <v>1</v>
      </c>
      <c r="Q4394">
        <v>0</v>
      </c>
      <c r="R4394">
        <v>0</v>
      </c>
      <c r="W4394" t="s">
        <v>106</v>
      </c>
      <c r="AA4394">
        <v>2007</v>
      </c>
      <c r="AB4394">
        <v>9999</v>
      </c>
      <c r="AC4394" t="s">
        <v>35</v>
      </c>
    </row>
    <row r="4395" spans="1:29" x14ac:dyDescent="0.25">
      <c r="A4395" s="31" t="s">
        <v>288</v>
      </c>
      <c r="B4395" s="23" t="s">
        <v>290</v>
      </c>
      <c r="D4395">
        <v>1</v>
      </c>
      <c r="E4395" t="s">
        <v>103</v>
      </c>
      <c r="F4395">
        <v>9</v>
      </c>
      <c r="G4395">
        <v>2010</v>
      </c>
      <c r="I4395">
        <v>434.6</v>
      </c>
      <c r="J4395" t="s">
        <v>104</v>
      </c>
      <c r="K4395" t="s">
        <v>53</v>
      </c>
      <c r="L4395" t="s">
        <v>105</v>
      </c>
      <c r="O4395">
        <v>0</v>
      </c>
      <c r="P4395">
        <v>1</v>
      </c>
      <c r="Q4395">
        <v>0</v>
      </c>
      <c r="R4395">
        <v>0</v>
      </c>
      <c r="W4395" t="s">
        <v>106</v>
      </c>
      <c r="AA4395">
        <v>2007</v>
      </c>
      <c r="AB4395">
        <v>9999</v>
      </c>
      <c r="AC4395" t="s">
        <v>35</v>
      </c>
    </row>
    <row r="4396" spans="1:29" x14ac:dyDescent="0.25">
      <c r="A4396" s="31" t="s">
        <v>291</v>
      </c>
      <c r="B4396" s="23" t="s">
        <v>292</v>
      </c>
      <c r="D4396">
        <v>1</v>
      </c>
      <c r="E4396" t="s">
        <v>103</v>
      </c>
      <c r="F4396">
        <v>9</v>
      </c>
      <c r="G4396">
        <v>2010</v>
      </c>
      <c r="I4396">
        <v>183.7</v>
      </c>
      <c r="J4396" t="s">
        <v>104</v>
      </c>
      <c r="K4396" t="s">
        <v>53</v>
      </c>
      <c r="L4396" t="s">
        <v>105</v>
      </c>
      <c r="O4396">
        <v>0</v>
      </c>
      <c r="P4396">
        <v>1</v>
      </c>
      <c r="Q4396">
        <v>0</v>
      </c>
      <c r="R4396">
        <v>0</v>
      </c>
      <c r="W4396" t="s">
        <v>106</v>
      </c>
      <c r="AA4396">
        <v>2007</v>
      </c>
      <c r="AB4396">
        <v>2013</v>
      </c>
      <c r="AC4396" t="s">
        <v>139</v>
      </c>
    </row>
    <row r="4397" spans="1:29" x14ac:dyDescent="0.25">
      <c r="A4397" s="31" t="s">
        <v>293</v>
      </c>
      <c r="B4397" s="23" t="s">
        <v>294</v>
      </c>
      <c r="D4397">
        <v>1</v>
      </c>
      <c r="E4397" t="s">
        <v>103</v>
      </c>
      <c r="F4397">
        <v>9</v>
      </c>
      <c r="G4397">
        <v>2010</v>
      </c>
      <c r="I4397">
        <v>471.4</v>
      </c>
      <c r="J4397" t="s">
        <v>104</v>
      </c>
      <c r="K4397" t="s">
        <v>53</v>
      </c>
      <c r="L4397" t="s">
        <v>105</v>
      </c>
      <c r="O4397">
        <v>0</v>
      </c>
      <c r="P4397">
        <v>1</v>
      </c>
      <c r="Q4397">
        <v>0</v>
      </c>
      <c r="R4397">
        <v>0</v>
      </c>
      <c r="W4397" t="s">
        <v>106</v>
      </c>
      <c r="AA4397">
        <v>2007</v>
      </c>
      <c r="AB4397">
        <v>9999</v>
      </c>
      <c r="AC4397" t="s">
        <v>35</v>
      </c>
    </row>
    <row r="4398" spans="1:29" x14ac:dyDescent="0.25">
      <c r="A4398" s="31" t="s">
        <v>295</v>
      </c>
      <c r="B4398" s="25" t="s">
        <v>296</v>
      </c>
      <c r="D4398">
        <v>1</v>
      </c>
      <c r="E4398" t="s">
        <v>128</v>
      </c>
      <c r="F4398">
        <v>9</v>
      </c>
      <c r="G4398">
        <v>2010</v>
      </c>
      <c r="H4398" t="s">
        <v>297</v>
      </c>
      <c r="I4398">
        <v>0.3</v>
      </c>
      <c r="J4398" t="s">
        <v>104</v>
      </c>
      <c r="K4398" t="s">
        <v>41</v>
      </c>
      <c r="O4398">
        <v>0</v>
      </c>
      <c r="P4398">
        <v>0</v>
      </c>
      <c r="Q4398">
        <v>0</v>
      </c>
      <c r="R4398">
        <v>0</v>
      </c>
      <c r="W4398" t="s">
        <v>1081</v>
      </c>
      <c r="AA4398">
        <v>2007</v>
      </c>
      <c r="AB4398">
        <v>9999</v>
      </c>
      <c r="AC4398" t="s">
        <v>35</v>
      </c>
    </row>
    <row r="4399" spans="1:29" x14ac:dyDescent="0.25">
      <c r="A4399" s="31" t="s">
        <v>299</v>
      </c>
      <c r="B4399" s="23" t="s">
        <v>297</v>
      </c>
      <c r="D4399">
        <v>1</v>
      </c>
      <c r="E4399" t="s">
        <v>300</v>
      </c>
      <c r="F4399">
        <v>9</v>
      </c>
      <c r="G4399">
        <v>2010</v>
      </c>
      <c r="I4399">
        <v>138.80000000000001</v>
      </c>
      <c r="J4399" t="s">
        <v>104</v>
      </c>
      <c r="K4399" t="s">
        <v>32</v>
      </c>
      <c r="O4399">
        <v>0</v>
      </c>
      <c r="P4399">
        <v>0</v>
      </c>
      <c r="Q4399">
        <v>0</v>
      </c>
      <c r="R4399">
        <v>0</v>
      </c>
      <c r="W4399" t="s">
        <v>1082</v>
      </c>
      <c r="AA4399">
        <v>2007</v>
      </c>
      <c r="AB4399">
        <v>2012</v>
      </c>
      <c r="AC4399" t="s">
        <v>302</v>
      </c>
    </row>
    <row r="4400" spans="1:29" x14ac:dyDescent="0.25">
      <c r="A4400" s="31" t="s">
        <v>153</v>
      </c>
      <c r="B4400" s="25" t="s">
        <v>303</v>
      </c>
      <c r="D4400">
        <v>1</v>
      </c>
      <c r="E4400" t="s">
        <v>155</v>
      </c>
      <c r="F4400">
        <v>3</v>
      </c>
      <c r="G4400">
        <v>2010</v>
      </c>
      <c r="I4400">
        <v>80.405138339920995</v>
      </c>
      <c r="J4400" t="s">
        <v>121</v>
      </c>
      <c r="K4400" t="s">
        <v>53</v>
      </c>
      <c r="L4400" t="s">
        <v>60</v>
      </c>
      <c r="O4400">
        <v>1</v>
      </c>
      <c r="P4400">
        <v>0</v>
      </c>
      <c r="Q4400">
        <v>0</v>
      </c>
      <c r="R4400">
        <v>0</v>
      </c>
      <c r="V4400">
        <v>1</v>
      </c>
      <c r="W4400" t="s">
        <v>304</v>
      </c>
      <c r="AA4400">
        <v>2007</v>
      </c>
      <c r="AB4400">
        <v>9999</v>
      </c>
      <c r="AC4400" t="s">
        <v>35</v>
      </c>
    </row>
    <row r="4401" spans="1:29" x14ac:dyDescent="0.25">
      <c r="A4401" s="31" t="s">
        <v>305</v>
      </c>
      <c r="B4401" s="23" t="s">
        <v>306</v>
      </c>
      <c r="D4401">
        <v>1</v>
      </c>
      <c r="E4401" t="s">
        <v>103</v>
      </c>
      <c r="F4401">
        <v>9</v>
      </c>
      <c r="G4401">
        <v>2010</v>
      </c>
      <c r="I4401">
        <v>91.5</v>
      </c>
      <c r="J4401" s="2" t="s">
        <v>104</v>
      </c>
      <c r="K4401" t="s">
        <v>53</v>
      </c>
      <c r="L4401" t="s">
        <v>105</v>
      </c>
      <c r="O4401">
        <v>0</v>
      </c>
      <c r="P4401">
        <v>1</v>
      </c>
      <c r="Q4401">
        <v>0</v>
      </c>
      <c r="R4401">
        <v>0</v>
      </c>
      <c r="W4401" t="s">
        <v>106</v>
      </c>
      <c r="AA4401">
        <v>2007</v>
      </c>
      <c r="AB4401">
        <v>9999</v>
      </c>
      <c r="AC4401" t="s">
        <v>35</v>
      </c>
    </row>
    <row r="4402" spans="1:29" x14ac:dyDescent="0.25">
      <c r="A4402" s="31" t="s">
        <v>307</v>
      </c>
      <c r="B4402" s="23" t="s">
        <v>308</v>
      </c>
      <c r="D4402">
        <v>1</v>
      </c>
      <c r="E4402" t="s">
        <v>309</v>
      </c>
      <c r="F4402">
        <v>10</v>
      </c>
      <c r="G4402">
        <v>2010</v>
      </c>
      <c r="I4402">
        <v>56.1</v>
      </c>
      <c r="J4402" t="s">
        <v>59</v>
      </c>
      <c r="K4402" t="s">
        <v>47</v>
      </c>
      <c r="O4402">
        <v>0</v>
      </c>
      <c r="P4402">
        <v>0</v>
      </c>
      <c r="Q4402">
        <v>0</v>
      </c>
      <c r="R4402">
        <v>0</v>
      </c>
      <c r="W4402" t="s">
        <v>1083</v>
      </c>
      <c r="AA4402">
        <v>2007</v>
      </c>
      <c r="AB4402">
        <v>9999</v>
      </c>
      <c r="AC4402" t="s">
        <v>35</v>
      </c>
    </row>
    <row r="4403" spans="1:29" x14ac:dyDescent="0.25">
      <c r="A4403" s="31" t="s">
        <v>1294</v>
      </c>
      <c r="B4403" s="23" t="s">
        <v>1295</v>
      </c>
      <c r="C4403" t="s">
        <v>1296</v>
      </c>
      <c r="D4403">
        <v>1</v>
      </c>
      <c r="E4403" t="s">
        <v>95</v>
      </c>
      <c r="F4403">
        <v>10</v>
      </c>
      <c r="G4403">
        <v>2010</v>
      </c>
      <c r="I4403">
        <v>21</v>
      </c>
      <c r="J4403" t="s">
        <v>40</v>
      </c>
      <c r="K4403" t="s">
        <v>47</v>
      </c>
      <c r="O4403">
        <v>0</v>
      </c>
      <c r="P4403">
        <v>0</v>
      </c>
      <c r="Q4403">
        <v>0</v>
      </c>
      <c r="R4403">
        <v>0</v>
      </c>
      <c r="W4403" t="s">
        <v>1297</v>
      </c>
      <c r="AA4403">
        <v>2010</v>
      </c>
      <c r="AB4403">
        <v>9999</v>
      </c>
      <c r="AC4403" t="s">
        <v>1292</v>
      </c>
    </row>
    <row r="4404" spans="1:29" x14ac:dyDescent="0.25">
      <c r="A4404" s="31" t="s">
        <v>311</v>
      </c>
      <c r="B4404" s="23" t="s">
        <v>312</v>
      </c>
      <c r="C4404" t="s">
        <v>313</v>
      </c>
      <c r="D4404">
        <v>1</v>
      </c>
      <c r="E4404" t="s">
        <v>314</v>
      </c>
      <c r="F4404">
        <v>2</v>
      </c>
      <c r="G4404">
        <v>2010</v>
      </c>
      <c r="I4404">
        <v>22.4</v>
      </c>
      <c r="J4404" t="s">
        <v>176</v>
      </c>
      <c r="K4404" t="s">
        <v>47</v>
      </c>
      <c r="O4404">
        <v>0</v>
      </c>
      <c r="P4404">
        <v>0</v>
      </c>
      <c r="Q4404">
        <v>0</v>
      </c>
      <c r="R4404">
        <v>0</v>
      </c>
      <c r="W4404" t="s">
        <v>1084</v>
      </c>
      <c r="AA4404">
        <v>2007</v>
      </c>
      <c r="AB4404">
        <v>9999</v>
      </c>
      <c r="AC4404" t="s">
        <v>35</v>
      </c>
    </row>
    <row r="4405" spans="1:29" x14ac:dyDescent="0.25">
      <c r="A4405" s="31" t="s">
        <v>316</v>
      </c>
      <c r="B4405" s="23" t="s">
        <v>317</v>
      </c>
      <c r="D4405">
        <v>1</v>
      </c>
      <c r="E4405" t="s">
        <v>318</v>
      </c>
      <c r="F4405">
        <v>4</v>
      </c>
      <c r="G4405">
        <v>2010</v>
      </c>
      <c r="I4405">
        <v>30.9</v>
      </c>
      <c r="J4405" t="s">
        <v>59</v>
      </c>
      <c r="K4405" t="s">
        <v>47</v>
      </c>
      <c r="O4405">
        <v>0</v>
      </c>
      <c r="P4405">
        <v>0</v>
      </c>
      <c r="Q4405">
        <v>0</v>
      </c>
      <c r="R4405">
        <v>0</v>
      </c>
      <c r="W4405" t="s">
        <v>1085</v>
      </c>
      <c r="AA4405">
        <v>2007</v>
      </c>
      <c r="AB4405">
        <v>9999</v>
      </c>
      <c r="AC4405" t="s">
        <v>35</v>
      </c>
    </row>
    <row r="4406" spans="1:29" x14ac:dyDescent="0.25">
      <c r="A4406" s="31" t="s">
        <v>324</v>
      </c>
      <c r="B4406" s="23" t="s">
        <v>325</v>
      </c>
      <c r="D4406">
        <v>1</v>
      </c>
      <c r="E4406" t="s">
        <v>103</v>
      </c>
      <c r="F4406">
        <v>9</v>
      </c>
      <c r="G4406">
        <v>2010</v>
      </c>
      <c r="I4406">
        <v>85.8</v>
      </c>
      <c r="J4406" t="s">
        <v>104</v>
      </c>
      <c r="K4406" t="s">
        <v>47</v>
      </c>
      <c r="O4406">
        <v>0</v>
      </c>
      <c r="P4406">
        <v>0</v>
      </c>
      <c r="Q4406">
        <v>0</v>
      </c>
      <c r="R4406">
        <v>0</v>
      </c>
      <c r="W4406" t="s">
        <v>1086</v>
      </c>
      <c r="AA4406">
        <v>2007</v>
      </c>
      <c r="AB4406">
        <v>9999</v>
      </c>
      <c r="AC4406" t="s">
        <v>35</v>
      </c>
    </row>
    <row r="4407" spans="1:29" x14ac:dyDescent="0.25">
      <c r="A4407" s="31" t="s">
        <v>327</v>
      </c>
      <c r="B4407" s="23" t="s">
        <v>328</v>
      </c>
      <c r="D4407">
        <v>1</v>
      </c>
      <c r="E4407" t="s">
        <v>80</v>
      </c>
      <c r="F4407">
        <v>8</v>
      </c>
      <c r="G4407">
        <v>2010</v>
      </c>
      <c r="I4407">
        <v>78.400000000000006</v>
      </c>
      <c r="J4407" t="s">
        <v>81</v>
      </c>
      <c r="K4407" t="s">
        <v>47</v>
      </c>
      <c r="O4407">
        <v>0</v>
      </c>
      <c r="P4407">
        <v>0</v>
      </c>
      <c r="Q4407">
        <v>0</v>
      </c>
      <c r="R4407">
        <v>0</v>
      </c>
      <c r="W4407" t="s">
        <v>1087</v>
      </c>
      <c r="AA4407">
        <v>2007</v>
      </c>
      <c r="AB4407">
        <v>9999</v>
      </c>
      <c r="AC4407" t="s">
        <v>35</v>
      </c>
    </row>
    <row r="4408" spans="1:29" ht="30" x14ac:dyDescent="0.25">
      <c r="A4408" s="31" t="s">
        <v>333</v>
      </c>
      <c r="B4408" s="23" t="s">
        <v>334</v>
      </c>
      <c r="D4408">
        <v>1</v>
      </c>
      <c r="E4408" t="s">
        <v>335</v>
      </c>
      <c r="F4408">
        <v>1</v>
      </c>
      <c r="G4408">
        <v>2010</v>
      </c>
      <c r="I4408">
        <v>15.6</v>
      </c>
      <c r="J4408" t="s">
        <v>176</v>
      </c>
      <c r="K4408" t="s">
        <v>47</v>
      </c>
      <c r="O4408">
        <v>0</v>
      </c>
      <c r="P4408">
        <v>0</v>
      </c>
      <c r="Q4408">
        <v>0</v>
      </c>
      <c r="R4408">
        <v>0</v>
      </c>
      <c r="W4408" t="s">
        <v>1089</v>
      </c>
      <c r="AA4408">
        <v>2007</v>
      </c>
      <c r="AB4408">
        <v>2012</v>
      </c>
      <c r="AC4408" t="s">
        <v>302</v>
      </c>
    </row>
    <row r="4409" spans="1:29" ht="30" x14ac:dyDescent="0.25">
      <c r="A4409" s="31" t="s">
        <v>343</v>
      </c>
      <c r="B4409" s="23" t="s">
        <v>344</v>
      </c>
      <c r="D4409">
        <v>1</v>
      </c>
      <c r="E4409" t="s">
        <v>300</v>
      </c>
      <c r="F4409">
        <v>9</v>
      </c>
      <c r="G4409">
        <v>2010</v>
      </c>
      <c r="I4409">
        <v>74.400000000000006</v>
      </c>
      <c r="J4409" t="s">
        <v>104</v>
      </c>
      <c r="K4409" t="s">
        <v>47</v>
      </c>
      <c r="O4409">
        <v>0</v>
      </c>
      <c r="P4409">
        <v>0</v>
      </c>
      <c r="Q4409">
        <v>0</v>
      </c>
      <c r="R4409">
        <v>0</v>
      </c>
      <c r="W4409" t="s">
        <v>1090</v>
      </c>
      <c r="AA4409">
        <v>2007</v>
      </c>
      <c r="AB4409">
        <v>2012</v>
      </c>
      <c r="AC4409" t="s">
        <v>302</v>
      </c>
    </row>
    <row r="4410" spans="1:29" x14ac:dyDescent="0.25">
      <c r="A4410" s="31" t="s">
        <v>346</v>
      </c>
      <c r="B4410" s="23" t="s">
        <v>347</v>
      </c>
      <c r="D4410">
        <v>1</v>
      </c>
      <c r="E4410" t="s">
        <v>348</v>
      </c>
      <c r="F4410">
        <v>1</v>
      </c>
      <c r="G4410">
        <v>2010</v>
      </c>
      <c r="I4410">
        <v>27.3</v>
      </c>
      <c r="J4410" t="s">
        <v>121</v>
      </c>
      <c r="K4410" t="s">
        <v>47</v>
      </c>
      <c r="O4410">
        <v>0</v>
      </c>
      <c r="P4410">
        <v>0</v>
      </c>
      <c r="Q4410">
        <v>0</v>
      </c>
      <c r="R4410">
        <v>0</v>
      </c>
      <c r="W4410" t="s">
        <v>349</v>
      </c>
      <c r="AA4410">
        <v>2007</v>
      </c>
      <c r="AB4410">
        <v>9999</v>
      </c>
      <c r="AC4410" t="s">
        <v>35</v>
      </c>
    </row>
    <row r="4411" spans="1:29" x14ac:dyDescent="0.25">
      <c r="A4411" s="31" t="s">
        <v>199</v>
      </c>
      <c r="B4411" s="23" t="s">
        <v>39</v>
      </c>
      <c r="D4411">
        <v>1</v>
      </c>
      <c r="E4411" t="s">
        <v>358</v>
      </c>
      <c r="F4411">
        <v>1</v>
      </c>
      <c r="G4411">
        <v>2010</v>
      </c>
      <c r="I4411">
        <v>208.7</v>
      </c>
      <c r="J4411" t="s">
        <v>52</v>
      </c>
      <c r="K4411" t="s">
        <v>47</v>
      </c>
      <c r="O4411">
        <v>0</v>
      </c>
      <c r="P4411">
        <v>0</v>
      </c>
      <c r="Q4411">
        <v>0</v>
      </c>
      <c r="R4411">
        <v>0</v>
      </c>
      <c r="W4411" t="s">
        <v>1094</v>
      </c>
      <c r="AA4411">
        <v>2007</v>
      </c>
      <c r="AB4411">
        <v>9999</v>
      </c>
      <c r="AC4411" t="s">
        <v>35</v>
      </c>
    </row>
    <row r="4412" spans="1:29" x14ac:dyDescent="0.25">
      <c r="A4412" s="31" t="s">
        <v>153</v>
      </c>
      <c r="B4412" s="23" t="s">
        <v>360</v>
      </c>
      <c r="D4412">
        <v>4</v>
      </c>
      <c r="E4412" t="s">
        <v>155</v>
      </c>
      <c r="F4412">
        <v>3</v>
      </c>
      <c r="G4412">
        <v>2010</v>
      </c>
      <c r="I4412">
        <v>424.66002771739102</v>
      </c>
      <c r="J4412" t="s">
        <v>121</v>
      </c>
      <c r="K4412" t="s">
        <v>53</v>
      </c>
      <c r="L4412" t="s">
        <v>60</v>
      </c>
      <c r="O4412">
        <v>1</v>
      </c>
      <c r="P4412">
        <v>0</v>
      </c>
      <c r="Q4412">
        <v>0</v>
      </c>
      <c r="R4412">
        <v>0</v>
      </c>
      <c r="V4412">
        <v>1</v>
      </c>
      <c r="W4412" t="s">
        <v>361</v>
      </c>
      <c r="AA4412">
        <v>2007</v>
      </c>
      <c r="AB4412">
        <v>9999</v>
      </c>
      <c r="AC4412" t="s">
        <v>35</v>
      </c>
    </row>
    <row r="4413" spans="1:29" x14ac:dyDescent="0.25">
      <c r="A4413" s="31" t="s">
        <v>362</v>
      </c>
      <c r="B4413" s="23" t="s">
        <v>363</v>
      </c>
      <c r="D4413">
        <v>1</v>
      </c>
      <c r="E4413" t="s">
        <v>103</v>
      </c>
      <c r="F4413">
        <v>9</v>
      </c>
      <c r="G4413">
        <v>2010</v>
      </c>
      <c r="I4413">
        <v>1002.7</v>
      </c>
      <c r="J4413" t="s">
        <v>104</v>
      </c>
      <c r="K4413" t="s">
        <v>53</v>
      </c>
      <c r="L4413" t="s">
        <v>105</v>
      </c>
      <c r="O4413">
        <v>0</v>
      </c>
      <c r="P4413">
        <v>1</v>
      </c>
      <c r="Q4413">
        <v>0</v>
      </c>
      <c r="R4413">
        <v>0</v>
      </c>
      <c r="W4413" t="s">
        <v>106</v>
      </c>
      <c r="AA4413">
        <v>2007</v>
      </c>
      <c r="AB4413">
        <v>9999</v>
      </c>
      <c r="AC4413" t="s">
        <v>35</v>
      </c>
    </row>
    <row r="4414" spans="1:29" x14ac:dyDescent="0.25">
      <c r="A4414" s="31" t="s">
        <v>364</v>
      </c>
      <c r="B4414" s="23" t="s">
        <v>365</v>
      </c>
      <c r="C4414" t="s">
        <v>366</v>
      </c>
      <c r="D4414">
        <v>1</v>
      </c>
      <c r="E4414" t="s">
        <v>103</v>
      </c>
      <c r="F4414">
        <v>9</v>
      </c>
      <c r="G4414">
        <v>2010</v>
      </c>
      <c r="I4414">
        <v>4167.8999999999996</v>
      </c>
      <c r="J4414" t="s">
        <v>104</v>
      </c>
      <c r="K4414" t="s">
        <v>53</v>
      </c>
      <c r="L4414" t="s">
        <v>105</v>
      </c>
      <c r="O4414">
        <v>0</v>
      </c>
      <c r="P4414">
        <v>1</v>
      </c>
      <c r="Q4414">
        <v>0</v>
      </c>
      <c r="R4414">
        <v>0</v>
      </c>
      <c r="W4414" t="s">
        <v>106</v>
      </c>
      <c r="AA4414">
        <v>2007</v>
      </c>
      <c r="AB4414">
        <v>9999</v>
      </c>
      <c r="AC4414" t="s">
        <v>35</v>
      </c>
    </row>
    <row r="4415" spans="1:29" x14ac:dyDescent="0.25">
      <c r="A4415" s="31" t="s">
        <v>367</v>
      </c>
      <c r="B4415" s="23" t="s">
        <v>368</v>
      </c>
      <c r="C4415" t="s">
        <v>369</v>
      </c>
      <c r="D4415">
        <v>1</v>
      </c>
      <c r="E4415" t="s">
        <v>370</v>
      </c>
      <c r="F4415">
        <v>5</v>
      </c>
      <c r="G4415">
        <v>2010</v>
      </c>
      <c r="I4415">
        <v>183</v>
      </c>
      <c r="J4415" t="s">
        <v>31</v>
      </c>
      <c r="K4415" t="s">
        <v>47</v>
      </c>
      <c r="O4415">
        <v>0</v>
      </c>
      <c r="P4415">
        <v>0</v>
      </c>
      <c r="Q4415">
        <v>0</v>
      </c>
      <c r="R4415">
        <v>0</v>
      </c>
      <c r="W4415" t="s">
        <v>1298</v>
      </c>
      <c r="AA4415">
        <v>2007</v>
      </c>
      <c r="AB4415">
        <v>9999</v>
      </c>
      <c r="AC4415" t="s">
        <v>35</v>
      </c>
    </row>
    <row r="4416" spans="1:29" x14ac:dyDescent="0.25">
      <c r="A4416" s="31" t="s">
        <v>372</v>
      </c>
      <c r="B4416" s="23" t="s">
        <v>373</v>
      </c>
      <c r="D4416">
        <v>1</v>
      </c>
      <c r="E4416" t="s">
        <v>45</v>
      </c>
      <c r="F4416">
        <v>4</v>
      </c>
      <c r="G4416">
        <v>2010</v>
      </c>
      <c r="I4416">
        <v>102.3</v>
      </c>
      <c r="J4416" t="s">
        <v>176</v>
      </c>
      <c r="K4416" t="s">
        <v>47</v>
      </c>
      <c r="O4416">
        <v>0</v>
      </c>
      <c r="P4416">
        <v>0</v>
      </c>
      <c r="Q4416">
        <v>0</v>
      </c>
      <c r="R4416">
        <v>0</v>
      </c>
      <c r="W4416" t="s">
        <v>1299</v>
      </c>
      <c r="AA4416">
        <v>2007</v>
      </c>
      <c r="AB4416">
        <v>9999</v>
      </c>
      <c r="AC4416" t="s">
        <v>35</v>
      </c>
    </row>
    <row r="4417" spans="1:29" x14ac:dyDescent="0.25">
      <c r="A4417" s="31" t="s">
        <v>1241</v>
      </c>
      <c r="B4417" s="23" t="s">
        <v>1242</v>
      </c>
      <c r="D4417">
        <v>1</v>
      </c>
      <c r="E4417" t="s">
        <v>977</v>
      </c>
      <c r="F4417">
        <v>1</v>
      </c>
      <c r="G4417">
        <v>2010</v>
      </c>
      <c r="I4417">
        <v>10.8</v>
      </c>
      <c r="J4417" t="s">
        <v>52</v>
      </c>
      <c r="K4417" t="s">
        <v>47</v>
      </c>
      <c r="O4417">
        <v>0</v>
      </c>
      <c r="P4417">
        <v>0</v>
      </c>
      <c r="Q4417">
        <v>0</v>
      </c>
      <c r="R4417">
        <v>0</v>
      </c>
      <c r="W4417" t="s">
        <v>1243</v>
      </c>
      <c r="AA4417">
        <v>2009</v>
      </c>
      <c r="AB4417">
        <v>2012</v>
      </c>
      <c r="AC4417" t="s">
        <v>1244</v>
      </c>
    </row>
    <row r="4418" spans="1:29" x14ac:dyDescent="0.25">
      <c r="A4418" s="31" t="s">
        <v>375</v>
      </c>
      <c r="B4418" s="23" t="s">
        <v>163</v>
      </c>
      <c r="D4418">
        <v>1</v>
      </c>
      <c r="E4418" t="s">
        <v>168</v>
      </c>
      <c r="F4418">
        <v>1</v>
      </c>
      <c r="G4418">
        <v>2010</v>
      </c>
      <c r="I4418">
        <v>63</v>
      </c>
      <c r="J4418" t="s">
        <v>52</v>
      </c>
      <c r="K4418" t="s">
        <v>47</v>
      </c>
      <c r="O4418">
        <v>0</v>
      </c>
      <c r="P4418">
        <v>0</v>
      </c>
      <c r="Q4418">
        <v>0</v>
      </c>
      <c r="R4418">
        <v>0</v>
      </c>
      <c r="W4418" t="s">
        <v>1097</v>
      </c>
      <c r="AA4418">
        <v>2007</v>
      </c>
      <c r="AB4418">
        <v>9999</v>
      </c>
      <c r="AC4418" t="s">
        <v>35</v>
      </c>
    </row>
    <row r="4419" spans="1:29" x14ac:dyDescent="0.25">
      <c r="A4419" s="31" t="s">
        <v>377</v>
      </c>
      <c r="B4419" s="23" t="s">
        <v>378</v>
      </c>
      <c r="D4419">
        <v>1</v>
      </c>
      <c r="E4419" t="s">
        <v>45</v>
      </c>
      <c r="F4419">
        <v>4</v>
      </c>
      <c r="G4419">
        <v>2010</v>
      </c>
      <c r="I4419">
        <v>123</v>
      </c>
      <c r="J4419" t="s">
        <v>89</v>
      </c>
      <c r="K4419" t="s">
        <v>47</v>
      </c>
      <c r="O4419">
        <v>0</v>
      </c>
      <c r="P4419">
        <v>0</v>
      </c>
      <c r="Q4419">
        <v>0</v>
      </c>
      <c r="R4419">
        <v>0</v>
      </c>
      <c r="W4419" t="s">
        <v>1098</v>
      </c>
      <c r="AA4419">
        <v>2007</v>
      </c>
      <c r="AB4419">
        <v>9999</v>
      </c>
      <c r="AC4419" t="s">
        <v>35</v>
      </c>
    </row>
    <row r="4420" spans="1:29" x14ac:dyDescent="0.25">
      <c r="A4420" s="31" t="s">
        <v>380</v>
      </c>
      <c r="B4420" s="23" t="s">
        <v>381</v>
      </c>
      <c r="D4420">
        <v>1</v>
      </c>
      <c r="E4420" t="s">
        <v>103</v>
      </c>
      <c r="F4420">
        <v>9</v>
      </c>
      <c r="G4420">
        <v>2010</v>
      </c>
      <c r="I4420">
        <v>139</v>
      </c>
      <c r="J4420" t="s">
        <v>104</v>
      </c>
      <c r="K4420" t="s">
        <v>53</v>
      </c>
      <c r="L4420" t="s">
        <v>105</v>
      </c>
      <c r="O4420">
        <v>0</v>
      </c>
      <c r="P4420">
        <v>1</v>
      </c>
      <c r="Q4420">
        <v>0</v>
      </c>
      <c r="R4420">
        <v>0</v>
      </c>
      <c r="W4420" t="s">
        <v>106</v>
      </c>
      <c r="AA4420">
        <v>2007</v>
      </c>
      <c r="AB4420">
        <v>9999</v>
      </c>
      <c r="AC4420" t="s">
        <v>35</v>
      </c>
    </row>
    <row r="4421" spans="1:29" x14ac:dyDescent="0.25">
      <c r="A4421" s="31" t="s">
        <v>382</v>
      </c>
      <c r="B4421" s="23" t="s">
        <v>383</v>
      </c>
      <c r="D4421">
        <v>1</v>
      </c>
      <c r="E4421" t="s">
        <v>80</v>
      </c>
      <c r="F4421">
        <v>8</v>
      </c>
      <c r="G4421">
        <v>2010</v>
      </c>
      <c r="I4421">
        <v>15.5</v>
      </c>
      <c r="J4421" t="s">
        <v>81</v>
      </c>
      <c r="K4421" t="s">
        <v>32</v>
      </c>
      <c r="O4421">
        <v>0</v>
      </c>
      <c r="P4421">
        <v>0</v>
      </c>
      <c r="Q4421">
        <v>0</v>
      </c>
      <c r="R4421">
        <v>0</v>
      </c>
      <c r="W4421" t="s">
        <v>1099</v>
      </c>
      <c r="AA4421">
        <v>2007</v>
      </c>
      <c r="AB4421">
        <v>9999</v>
      </c>
      <c r="AC4421" t="s">
        <v>35</v>
      </c>
    </row>
    <row r="4422" spans="1:29" x14ac:dyDescent="0.25">
      <c r="A4422" s="31" t="s">
        <v>385</v>
      </c>
      <c r="B4422" s="23" t="s">
        <v>386</v>
      </c>
      <c r="D4422">
        <v>1</v>
      </c>
      <c r="E4422" t="s">
        <v>45</v>
      </c>
      <c r="F4422">
        <v>4</v>
      </c>
      <c r="G4422">
        <v>2010</v>
      </c>
      <c r="I4422">
        <v>112.4</v>
      </c>
      <c r="J4422" t="s">
        <v>46</v>
      </c>
      <c r="K4422" t="s">
        <v>47</v>
      </c>
      <c r="O4422">
        <v>0</v>
      </c>
      <c r="P4422">
        <v>0</v>
      </c>
      <c r="Q4422">
        <v>0</v>
      </c>
      <c r="R4422">
        <v>0</v>
      </c>
      <c r="W4422" t="s">
        <v>1300</v>
      </c>
      <c r="AA4422">
        <v>2007</v>
      </c>
      <c r="AB4422">
        <v>9999</v>
      </c>
      <c r="AC4422" t="s">
        <v>35</v>
      </c>
    </row>
    <row r="4423" spans="1:29" x14ac:dyDescent="0.25">
      <c r="A4423" s="31" t="s">
        <v>388</v>
      </c>
      <c r="B4423" s="25" t="s">
        <v>389</v>
      </c>
      <c r="D4423">
        <v>1</v>
      </c>
      <c r="E4423" t="s">
        <v>145</v>
      </c>
      <c r="F4423">
        <v>2</v>
      </c>
      <c r="G4423">
        <v>2010</v>
      </c>
      <c r="H4423" t="s">
        <v>185</v>
      </c>
      <c r="I4423">
        <v>0.1</v>
      </c>
      <c r="J4423" t="s">
        <v>52</v>
      </c>
      <c r="K4423" t="s">
        <v>41</v>
      </c>
      <c r="O4423">
        <v>0</v>
      </c>
      <c r="P4423">
        <v>0</v>
      </c>
      <c r="Q4423">
        <v>0</v>
      </c>
      <c r="R4423">
        <v>0</v>
      </c>
      <c r="W4423" t="s">
        <v>1101</v>
      </c>
      <c r="AA4423">
        <v>2007</v>
      </c>
      <c r="AB4423">
        <v>9999</v>
      </c>
      <c r="AC4423" t="s">
        <v>35</v>
      </c>
    </row>
    <row r="4424" spans="1:29" x14ac:dyDescent="0.25">
      <c r="A4424" s="31" t="s">
        <v>391</v>
      </c>
      <c r="B4424" s="23" t="s">
        <v>392</v>
      </c>
      <c r="D4424">
        <v>1</v>
      </c>
      <c r="E4424" t="s">
        <v>393</v>
      </c>
      <c r="F4424">
        <v>3</v>
      </c>
      <c r="G4424">
        <v>2010</v>
      </c>
      <c r="I4424">
        <v>9111.4</v>
      </c>
      <c r="J4424" t="s">
        <v>121</v>
      </c>
      <c r="K4424" t="s">
        <v>47</v>
      </c>
      <c r="O4424">
        <v>0</v>
      </c>
      <c r="P4424">
        <v>0</v>
      </c>
      <c r="Q4424">
        <v>0</v>
      </c>
      <c r="R4424">
        <v>0</v>
      </c>
      <c r="W4424" t="s">
        <v>1102</v>
      </c>
      <c r="AA4424">
        <v>2007</v>
      </c>
      <c r="AB4424">
        <v>9999</v>
      </c>
      <c r="AC4424" t="s">
        <v>35</v>
      </c>
    </row>
    <row r="4425" spans="1:29" x14ac:dyDescent="0.25">
      <c r="A4425" s="31" t="s">
        <v>391</v>
      </c>
      <c r="B4425" s="23" t="s">
        <v>395</v>
      </c>
      <c r="D4425">
        <v>1</v>
      </c>
      <c r="E4425" t="s">
        <v>396</v>
      </c>
      <c r="F4425">
        <v>3</v>
      </c>
      <c r="G4425">
        <v>2010</v>
      </c>
      <c r="H4425" t="s">
        <v>392</v>
      </c>
      <c r="I4425">
        <v>2</v>
      </c>
      <c r="J4425" t="s">
        <v>121</v>
      </c>
      <c r="K4425" t="s">
        <v>41</v>
      </c>
      <c r="O4425">
        <v>0</v>
      </c>
      <c r="P4425">
        <v>0</v>
      </c>
      <c r="Q4425">
        <v>0</v>
      </c>
      <c r="R4425">
        <v>0</v>
      </c>
      <c r="W4425" t="s">
        <v>1103</v>
      </c>
      <c r="AA4425">
        <v>2007</v>
      </c>
      <c r="AB4425">
        <v>9999</v>
      </c>
      <c r="AC4425" t="s">
        <v>35</v>
      </c>
    </row>
    <row r="4426" spans="1:29" x14ac:dyDescent="0.25">
      <c r="A4426" s="31" t="s">
        <v>401</v>
      </c>
      <c r="B4426" s="23" t="s">
        <v>402</v>
      </c>
      <c r="D4426">
        <v>1</v>
      </c>
      <c r="E4426" t="s">
        <v>155</v>
      </c>
      <c r="F4426">
        <v>3</v>
      </c>
      <c r="G4426">
        <v>2010</v>
      </c>
      <c r="I4426">
        <v>2019.8</v>
      </c>
      <c r="J4426" t="s">
        <v>52</v>
      </c>
      <c r="K4426" t="s">
        <v>47</v>
      </c>
      <c r="O4426">
        <v>0</v>
      </c>
      <c r="P4426">
        <v>0</v>
      </c>
      <c r="Q4426">
        <v>0</v>
      </c>
      <c r="R4426">
        <v>0</v>
      </c>
      <c r="W4426" t="s">
        <v>1105</v>
      </c>
      <c r="AA4426">
        <v>2007</v>
      </c>
      <c r="AB4426">
        <v>9999</v>
      </c>
      <c r="AC4426" t="s">
        <v>35</v>
      </c>
    </row>
    <row r="4427" spans="1:29" x14ac:dyDescent="0.25">
      <c r="A4427" s="31" t="s">
        <v>404</v>
      </c>
      <c r="B4427" s="23" t="s">
        <v>405</v>
      </c>
      <c r="C4427" t="s">
        <v>406</v>
      </c>
      <c r="D4427">
        <v>1</v>
      </c>
      <c r="E4427" t="s">
        <v>358</v>
      </c>
      <c r="F4427">
        <v>1</v>
      </c>
      <c r="G4427">
        <v>2010</v>
      </c>
      <c r="I4427">
        <v>348.6</v>
      </c>
      <c r="J4427" t="s">
        <v>104</v>
      </c>
      <c r="K4427" t="s">
        <v>47</v>
      </c>
      <c r="O4427">
        <v>0</v>
      </c>
      <c r="P4427">
        <v>0</v>
      </c>
      <c r="Q4427">
        <v>0</v>
      </c>
      <c r="R4427">
        <v>0</v>
      </c>
      <c r="W4427" t="s">
        <v>1245</v>
      </c>
      <c r="AA4427">
        <v>2007</v>
      </c>
      <c r="AB4427">
        <v>9999</v>
      </c>
      <c r="AC4427" t="s">
        <v>35</v>
      </c>
    </row>
    <row r="4428" spans="1:29" x14ac:dyDescent="0.25">
      <c r="A4428" s="31" t="s">
        <v>408</v>
      </c>
      <c r="B4428" s="23" t="s">
        <v>409</v>
      </c>
      <c r="D4428">
        <v>1</v>
      </c>
      <c r="E4428" t="s">
        <v>103</v>
      </c>
      <c r="F4428">
        <v>9</v>
      </c>
      <c r="G4428">
        <v>2010</v>
      </c>
      <c r="I4428">
        <v>52.7</v>
      </c>
      <c r="J4428" t="s">
        <v>104</v>
      </c>
      <c r="K4428" t="s">
        <v>53</v>
      </c>
      <c r="L4428" t="s">
        <v>105</v>
      </c>
      <c r="O4428">
        <v>0</v>
      </c>
      <c r="P4428">
        <v>1</v>
      </c>
      <c r="Q4428">
        <v>0</v>
      </c>
      <c r="R4428">
        <v>0</v>
      </c>
      <c r="W4428" t="s">
        <v>106</v>
      </c>
      <c r="AA4428">
        <v>2007</v>
      </c>
      <c r="AB4428">
        <v>9999</v>
      </c>
      <c r="AC4428" t="s">
        <v>35</v>
      </c>
    </row>
    <row r="4429" spans="1:29" x14ac:dyDescent="0.25">
      <c r="A4429" s="31" t="s">
        <v>410</v>
      </c>
      <c r="B4429" s="23" t="s">
        <v>411</v>
      </c>
      <c r="C4429" t="s">
        <v>412</v>
      </c>
      <c r="D4429">
        <v>1</v>
      </c>
      <c r="E4429" t="s">
        <v>103</v>
      </c>
      <c r="F4429">
        <v>9</v>
      </c>
      <c r="G4429">
        <v>2010</v>
      </c>
      <c r="I4429">
        <v>172.2</v>
      </c>
      <c r="J4429" t="s">
        <v>104</v>
      </c>
      <c r="K4429" t="s">
        <v>53</v>
      </c>
      <c r="L4429" t="s">
        <v>105</v>
      </c>
      <c r="O4429">
        <v>0</v>
      </c>
      <c r="P4429">
        <v>1</v>
      </c>
      <c r="Q4429">
        <v>0</v>
      </c>
      <c r="R4429">
        <v>0</v>
      </c>
      <c r="W4429" t="s">
        <v>106</v>
      </c>
      <c r="AA4429">
        <v>2007</v>
      </c>
      <c r="AB4429">
        <v>9999</v>
      </c>
      <c r="AC4429" t="s">
        <v>35</v>
      </c>
    </row>
    <row r="4430" spans="1:29" x14ac:dyDescent="0.25">
      <c r="A4430" s="31" t="s">
        <v>413</v>
      </c>
      <c r="B4430" s="23" t="s">
        <v>414</v>
      </c>
      <c r="C4430" t="s">
        <v>415</v>
      </c>
      <c r="D4430">
        <v>1</v>
      </c>
      <c r="E4430" t="s">
        <v>103</v>
      </c>
      <c r="F4430">
        <v>9</v>
      </c>
      <c r="G4430">
        <v>2010</v>
      </c>
      <c r="I4430">
        <v>3094</v>
      </c>
      <c r="J4430" t="s">
        <v>104</v>
      </c>
      <c r="K4430" t="s">
        <v>53</v>
      </c>
      <c r="L4430" t="s">
        <v>105</v>
      </c>
      <c r="O4430">
        <v>0</v>
      </c>
      <c r="P4430">
        <v>1</v>
      </c>
      <c r="Q4430">
        <v>0</v>
      </c>
      <c r="R4430">
        <v>0</v>
      </c>
      <c r="W4430" t="s">
        <v>106</v>
      </c>
      <c r="AA4430">
        <v>2007</v>
      </c>
      <c r="AB4430">
        <v>9999</v>
      </c>
      <c r="AC4430" t="s">
        <v>35</v>
      </c>
    </row>
    <row r="4431" spans="1:29" x14ac:dyDescent="0.25">
      <c r="A4431" s="31" t="s">
        <v>416</v>
      </c>
      <c r="B4431" s="23" t="s">
        <v>417</v>
      </c>
      <c r="C4431" t="s">
        <v>418</v>
      </c>
      <c r="D4431">
        <v>1</v>
      </c>
      <c r="E4431" t="s">
        <v>218</v>
      </c>
      <c r="F4431">
        <v>2</v>
      </c>
      <c r="G4431">
        <v>2010</v>
      </c>
      <c r="I4431">
        <v>730.9</v>
      </c>
      <c r="J4431" t="s">
        <v>147</v>
      </c>
      <c r="K4431" t="s">
        <v>47</v>
      </c>
      <c r="O4431">
        <v>0</v>
      </c>
      <c r="P4431">
        <v>0</v>
      </c>
      <c r="Q4431">
        <v>0</v>
      </c>
      <c r="R4431">
        <v>0</v>
      </c>
      <c r="W4431" t="s">
        <v>1107</v>
      </c>
      <c r="AA4431">
        <v>2007</v>
      </c>
      <c r="AB4431">
        <v>9999</v>
      </c>
      <c r="AC4431" t="s">
        <v>35</v>
      </c>
    </row>
    <row r="4432" spans="1:29" x14ac:dyDescent="0.25">
      <c r="A4432" s="31" t="s">
        <v>420</v>
      </c>
      <c r="B4432" s="25" t="s">
        <v>421</v>
      </c>
      <c r="D4432">
        <v>1</v>
      </c>
      <c r="E4432" t="s">
        <v>38</v>
      </c>
      <c r="F4432">
        <v>4</v>
      </c>
      <c r="G4432">
        <v>2010</v>
      </c>
      <c r="H4432" t="s">
        <v>39</v>
      </c>
      <c r="I4432">
        <v>2.5</v>
      </c>
      <c r="J4432" s="2" t="s">
        <v>31</v>
      </c>
      <c r="K4432" t="s">
        <v>32</v>
      </c>
      <c r="O4432">
        <v>0</v>
      </c>
      <c r="P4432">
        <v>0</v>
      </c>
      <c r="Q4432">
        <v>0</v>
      </c>
      <c r="R4432">
        <v>0</v>
      </c>
      <c r="W4432" t="s">
        <v>1108</v>
      </c>
      <c r="AA4432">
        <v>2007</v>
      </c>
      <c r="AB4432">
        <v>9999</v>
      </c>
      <c r="AC4432" t="s">
        <v>35</v>
      </c>
    </row>
    <row r="4433" spans="1:29" x14ac:dyDescent="0.25">
      <c r="A4433" s="31" t="s">
        <v>423</v>
      </c>
      <c r="B4433" s="25" t="s">
        <v>424</v>
      </c>
      <c r="D4433">
        <v>1</v>
      </c>
      <c r="E4433" t="s">
        <v>85</v>
      </c>
      <c r="F4433">
        <v>1</v>
      </c>
      <c r="G4433">
        <v>2010</v>
      </c>
      <c r="H4433" t="s">
        <v>303</v>
      </c>
      <c r="J4433" t="s">
        <v>121</v>
      </c>
      <c r="K4433" t="s">
        <v>53</v>
      </c>
      <c r="L4433" t="s">
        <v>425</v>
      </c>
      <c r="O4433">
        <v>0</v>
      </c>
      <c r="P4433">
        <v>0</v>
      </c>
      <c r="Q4433">
        <v>0</v>
      </c>
      <c r="R4433">
        <v>0</v>
      </c>
      <c r="W4433" t="s">
        <v>426</v>
      </c>
      <c r="AA4433">
        <v>2007</v>
      </c>
      <c r="AB4433">
        <v>9999</v>
      </c>
      <c r="AC4433" t="s">
        <v>35</v>
      </c>
    </row>
    <row r="4434" spans="1:29" x14ac:dyDescent="0.25">
      <c r="A4434" s="31" t="s">
        <v>427</v>
      </c>
      <c r="B4434" s="23" t="s">
        <v>1246</v>
      </c>
      <c r="D4434">
        <v>1</v>
      </c>
      <c r="E4434" t="s">
        <v>45</v>
      </c>
      <c r="F4434">
        <v>4</v>
      </c>
      <c r="G4434">
        <v>2010</v>
      </c>
      <c r="I4434">
        <v>2187.1</v>
      </c>
      <c r="J4434" t="s">
        <v>31</v>
      </c>
      <c r="K4434" t="s">
        <v>32</v>
      </c>
      <c r="O4434">
        <v>0</v>
      </c>
      <c r="P4434">
        <v>0</v>
      </c>
      <c r="Q4434">
        <v>0</v>
      </c>
      <c r="R4434">
        <v>0</v>
      </c>
      <c r="W4434" t="s">
        <v>1301</v>
      </c>
      <c r="AA4434">
        <v>2007</v>
      </c>
      <c r="AB4434">
        <v>9999</v>
      </c>
      <c r="AC4434" t="s">
        <v>35</v>
      </c>
    </row>
    <row r="4435" spans="1:29" x14ac:dyDescent="0.25">
      <c r="A4435" s="31" t="s">
        <v>430</v>
      </c>
      <c r="B4435" s="23" t="s">
        <v>431</v>
      </c>
      <c r="D4435">
        <v>1</v>
      </c>
      <c r="E4435" t="s">
        <v>45</v>
      </c>
      <c r="F4435">
        <v>9</v>
      </c>
      <c r="G4435">
        <v>2010</v>
      </c>
      <c r="I4435">
        <v>2976</v>
      </c>
      <c r="J4435" t="s">
        <v>104</v>
      </c>
      <c r="K4435" t="s">
        <v>53</v>
      </c>
      <c r="L4435" t="s">
        <v>105</v>
      </c>
      <c r="O4435">
        <v>0</v>
      </c>
      <c r="P4435">
        <v>1</v>
      </c>
      <c r="Q4435">
        <v>0</v>
      </c>
      <c r="R4435">
        <v>0</v>
      </c>
      <c r="W4435" t="s">
        <v>106</v>
      </c>
      <c r="AA4435">
        <v>2007</v>
      </c>
      <c r="AB4435">
        <v>9999</v>
      </c>
      <c r="AC4435" t="s">
        <v>35</v>
      </c>
    </row>
    <row r="4436" spans="1:29" x14ac:dyDescent="0.25">
      <c r="A4436" s="31" t="s">
        <v>1302</v>
      </c>
      <c r="B4436" s="23" t="s">
        <v>1303</v>
      </c>
      <c r="D4436">
        <v>1</v>
      </c>
      <c r="E4436" t="s">
        <v>103</v>
      </c>
      <c r="F4436">
        <v>9</v>
      </c>
      <c r="G4436">
        <v>2010</v>
      </c>
      <c r="I4436">
        <v>1681.7</v>
      </c>
      <c r="J4436" t="s">
        <v>104</v>
      </c>
      <c r="K4436" t="s">
        <v>53</v>
      </c>
      <c r="L4436" t="s">
        <v>105</v>
      </c>
      <c r="O4436">
        <v>0</v>
      </c>
      <c r="P4436">
        <v>1</v>
      </c>
      <c r="Q4436">
        <v>0</v>
      </c>
      <c r="R4436">
        <v>0</v>
      </c>
      <c r="W4436" t="s">
        <v>106</v>
      </c>
      <c r="AA4436">
        <v>2010</v>
      </c>
      <c r="AB4436">
        <v>9999</v>
      </c>
      <c r="AC4436" t="s">
        <v>1292</v>
      </c>
    </row>
    <row r="4437" spans="1:29" ht="30" x14ac:dyDescent="0.25">
      <c r="A4437" s="31" t="s">
        <v>432</v>
      </c>
      <c r="B4437" s="23" t="s">
        <v>433</v>
      </c>
      <c r="D4437">
        <v>1</v>
      </c>
      <c r="E4437" t="s">
        <v>80</v>
      </c>
      <c r="F4437">
        <v>8</v>
      </c>
      <c r="G4437">
        <v>2010</v>
      </c>
      <c r="I4437">
        <v>54.1</v>
      </c>
      <c r="J4437" t="s">
        <v>81</v>
      </c>
      <c r="K4437" t="s">
        <v>47</v>
      </c>
      <c r="O4437">
        <v>0</v>
      </c>
      <c r="P4437">
        <v>0</v>
      </c>
      <c r="Q4437">
        <v>0</v>
      </c>
      <c r="R4437">
        <v>0</v>
      </c>
      <c r="W4437" t="s">
        <v>1111</v>
      </c>
      <c r="AA4437">
        <v>2007</v>
      </c>
      <c r="AB4437">
        <v>2017</v>
      </c>
      <c r="AC4437" t="s">
        <v>435</v>
      </c>
    </row>
    <row r="4438" spans="1:29" x14ac:dyDescent="0.25">
      <c r="A4438" s="31" t="s">
        <v>439</v>
      </c>
      <c r="B4438" s="23" t="s">
        <v>440</v>
      </c>
      <c r="C4438" t="s">
        <v>441</v>
      </c>
      <c r="D4438">
        <v>1</v>
      </c>
      <c r="E4438" t="s">
        <v>442</v>
      </c>
      <c r="F4438">
        <v>4</v>
      </c>
      <c r="G4438">
        <v>2010</v>
      </c>
      <c r="I4438">
        <v>503.9</v>
      </c>
      <c r="J4438" t="s">
        <v>151</v>
      </c>
      <c r="K4438" t="s">
        <v>47</v>
      </c>
      <c r="O4438">
        <v>0</v>
      </c>
      <c r="P4438">
        <v>0</v>
      </c>
      <c r="Q4438">
        <v>0</v>
      </c>
      <c r="R4438">
        <v>0</v>
      </c>
      <c r="W4438" t="s">
        <v>1304</v>
      </c>
      <c r="AA4438">
        <v>2007</v>
      </c>
      <c r="AB4438">
        <v>9999</v>
      </c>
      <c r="AC4438" t="s">
        <v>35</v>
      </c>
    </row>
    <row r="4439" spans="1:29" ht="30" x14ac:dyDescent="0.25">
      <c r="B4439" s="23" t="s">
        <v>444</v>
      </c>
      <c r="C4439" t="s">
        <v>445</v>
      </c>
      <c r="D4439">
        <v>5</v>
      </c>
      <c r="E4439" t="s">
        <v>38</v>
      </c>
      <c r="F4439">
        <v>4</v>
      </c>
      <c r="G4439">
        <v>2010</v>
      </c>
      <c r="I4439">
        <v>0.25</v>
      </c>
      <c r="J4439" t="s">
        <v>31</v>
      </c>
      <c r="K4439" t="s">
        <v>41</v>
      </c>
      <c r="O4439">
        <v>0</v>
      </c>
      <c r="P4439">
        <v>0</v>
      </c>
      <c r="Q4439">
        <v>0</v>
      </c>
      <c r="R4439">
        <v>0</v>
      </c>
      <c r="W4439" t="s">
        <v>1114</v>
      </c>
      <c r="AA4439">
        <v>2007</v>
      </c>
      <c r="AB4439">
        <v>9999</v>
      </c>
      <c r="AC4439" t="s">
        <v>35</v>
      </c>
    </row>
    <row r="4440" spans="1:29" x14ac:dyDescent="0.25">
      <c r="A4440" s="31" t="s">
        <v>447</v>
      </c>
      <c r="B4440" s="23" t="s">
        <v>448</v>
      </c>
      <c r="D4440">
        <v>1</v>
      </c>
      <c r="E4440" t="s">
        <v>45</v>
      </c>
      <c r="F4440">
        <v>4</v>
      </c>
      <c r="G4440">
        <v>2010</v>
      </c>
      <c r="I4440">
        <v>34.4</v>
      </c>
      <c r="J4440" t="s">
        <v>52</v>
      </c>
      <c r="K4440" t="s">
        <v>32</v>
      </c>
      <c r="O4440">
        <v>0</v>
      </c>
      <c r="P4440">
        <v>0</v>
      </c>
      <c r="Q4440">
        <v>0</v>
      </c>
      <c r="R4440">
        <v>0</v>
      </c>
      <c r="W4440" t="s">
        <v>1115</v>
      </c>
      <c r="AA4440">
        <v>2007</v>
      </c>
      <c r="AB4440">
        <v>9999</v>
      </c>
      <c r="AC4440" t="s">
        <v>35</v>
      </c>
    </row>
    <row r="4441" spans="1:29" x14ac:dyDescent="0.25">
      <c r="A4441" s="31" t="s">
        <v>453</v>
      </c>
      <c r="B4441" s="23" t="s">
        <v>454</v>
      </c>
      <c r="C4441" t="s">
        <v>455</v>
      </c>
      <c r="D4441">
        <v>1</v>
      </c>
      <c r="E4441" t="s">
        <v>456</v>
      </c>
      <c r="F4441">
        <v>4</v>
      </c>
      <c r="G4441">
        <v>2010</v>
      </c>
      <c r="I4441">
        <v>3569.6</v>
      </c>
      <c r="J4441" t="s">
        <v>89</v>
      </c>
      <c r="K4441" t="s">
        <v>32</v>
      </c>
      <c r="L4441" t="s">
        <v>33</v>
      </c>
      <c r="O4441">
        <v>0</v>
      </c>
      <c r="P4441">
        <v>0</v>
      </c>
      <c r="Q4441">
        <v>0</v>
      </c>
      <c r="R4441">
        <v>1</v>
      </c>
      <c r="W4441" t="s">
        <v>1117</v>
      </c>
      <c r="AA4441">
        <v>2007</v>
      </c>
      <c r="AB4441">
        <v>9999</v>
      </c>
      <c r="AC4441" t="s">
        <v>35</v>
      </c>
    </row>
    <row r="4442" spans="1:29" x14ac:dyDescent="0.25">
      <c r="A4442" s="31" t="s">
        <v>458</v>
      </c>
      <c r="B4442" s="23" t="s">
        <v>459</v>
      </c>
      <c r="D4442">
        <v>1</v>
      </c>
      <c r="E4442" t="s">
        <v>103</v>
      </c>
      <c r="F4442">
        <v>9</v>
      </c>
      <c r="G4442">
        <v>2010</v>
      </c>
      <c r="I4442">
        <v>1284.5999999999999</v>
      </c>
      <c r="J4442" t="s">
        <v>104</v>
      </c>
      <c r="K4442" t="s">
        <v>53</v>
      </c>
      <c r="L4442" t="s">
        <v>105</v>
      </c>
      <c r="O4442">
        <v>0</v>
      </c>
      <c r="P4442">
        <v>1</v>
      </c>
      <c r="Q4442">
        <v>0</v>
      </c>
      <c r="R4442">
        <v>0</v>
      </c>
      <c r="W4442" t="s">
        <v>106</v>
      </c>
      <c r="AA4442">
        <v>2007</v>
      </c>
      <c r="AB4442">
        <v>9999</v>
      </c>
      <c r="AC4442" t="s">
        <v>35</v>
      </c>
    </row>
    <row r="4443" spans="1:29" x14ac:dyDescent="0.25">
      <c r="A4443" s="31" t="s">
        <v>460</v>
      </c>
      <c r="B4443" s="23" t="s">
        <v>461</v>
      </c>
      <c r="D4443">
        <v>1</v>
      </c>
      <c r="E4443" t="s">
        <v>103</v>
      </c>
      <c r="F4443">
        <v>9</v>
      </c>
      <c r="G4443">
        <v>2010</v>
      </c>
      <c r="I4443">
        <v>5844.8</v>
      </c>
      <c r="J4443" t="s">
        <v>104</v>
      </c>
      <c r="K4443" t="s">
        <v>53</v>
      </c>
      <c r="L4443" t="s">
        <v>105</v>
      </c>
      <c r="O4443">
        <v>0</v>
      </c>
      <c r="P4443">
        <v>1</v>
      </c>
      <c r="Q4443">
        <v>0</v>
      </c>
      <c r="R4443">
        <v>0</v>
      </c>
      <c r="W4443" t="s">
        <v>106</v>
      </c>
      <c r="AA4443">
        <v>2007</v>
      </c>
      <c r="AB4443">
        <v>9999</v>
      </c>
      <c r="AC4443" t="s">
        <v>35</v>
      </c>
    </row>
    <row r="4444" spans="1:29" x14ac:dyDescent="0.25">
      <c r="A4444" s="31" t="s">
        <v>465</v>
      </c>
      <c r="B4444" s="23" t="s">
        <v>466</v>
      </c>
      <c r="C4444" t="s">
        <v>467</v>
      </c>
      <c r="D4444">
        <v>1</v>
      </c>
      <c r="E4444" t="s">
        <v>468</v>
      </c>
      <c r="F4444">
        <v>7</v>
      </c>
      <c r="G4444">
        <v>2010</v>
      </c>
      <c r="I4444">
        <v>520.1</v>
      </c>
      <c r="J4444" t="s">
        <v>40</v>
      </c>
      <c r="K4444" t="s">
        <v>32</v>
      </c>
      <c r="O4444">
        <v>0</v>
      </c>
      <c r="P4444">
        <v>0</v>
      </c>
      <c r="Q4444">
        <v>0</v>
      </c>
      <c r="R4444">
        <v>0</v>
      </c>
      <c r="W4444" t="s">
        <v>1119</v>
      </c>
      <c r="AA4444">
        <v>2007</v>
      </c>
      <c r="AB4444">
        <v>9999</v>
      </c>
      <c r="AC4444" t="s">
        <v>35</v>
      </c>
    </row>
    <row r="4445" spans="1:29" x14ac:dyDescent="0.25">
      <c r="A4445" s="31" t="s">
        <v>472</v>
      </c>
      <c r="B4445" s="23" t="s">
        <v>473</v>
      </c>
      <c r="D4445">
        <v>21</v>
      </c>
      <c r="E4445" t="s">
        <v>396</v>
      </c>
      <c r="F4445">
        <v>3</v>
      </c>
      <c r="G4445">
        <v>2010</v>
      </c>
      <c r="I4445" t="s">
        <v>474</v>
      </c>
      <c r="J4445" t="s">
        <v>121</v>
      </c>
      <c r="K4445" t="s">
        <v>32</v>
      </c>
      <c r="O4445">
        <v>0</v>
      </c>
      <c r="P4445">
        <v>0</v>
      </c>
      <c r="Q4445">
        <v>0</v>
      </c>
      <c r="R4445">
        <v>0</v>
      </c>
      <c r="W4445" t="s">
        <v>475</v>
      </c>
      <c r="AA4445">
        <v>2007</v>
      </c>
      <c r="AB4445">
        <v>9999</v>
      </c>
      <c r="AC4445" t="s">
        <v>35</v>
      </c>
    </row>
    <row r="4446" spans="1:29" x14ac:dyDescent="0.25">
      <c r="A4446" s="31" t="s">
        <v>153</v>
      </c>
      <c r="B4446" s="23" t="s">
        <v>476</v>
      </c>
      <c r="D4446">
        <v>23</v>
      </c>
      <c r="E4446" t="s">
        <v>155</v>
      </c>
      <c r="F4446">
        <v>3</v>
      </c>
      <c r="G4446">
        <v>2010</v>
      </c>
      <c r="I4446">
        <v>1282.421399604727</v>
      </c>
      <c r="J4446" t="s">
        <v>121</v>
      </c>
      <c r="K4446" t="s">
        <v>53</v>
      </c>
      <c r="L4446" t="s">
        <v>60</v>
      </c>
      <c r="O4446">
        <v>1</v>
      </c>
      <c r="P4446">
        <v>0</v>
      </c>
      <c r="Q4446">
        <v>0</v>
      </c>
      <c r="R4446">
        <v>0</v>
      </c>
      <c r="V4446">
        <v>1</v>
      </c>
      <c r="W4446" t="s">
        <v>477</v>
      </c>
      <c r="AA4446">
        <v>2007</v>
      </c>
      <c r="AB4446">
        <v>9999</v>
      </c>
      <c r="AC4446" t="s">
        <v>35</v>
      </c>
    </row>
    <row r="4447" spans="1:29" x14ac:dyDescent="0.25">
      <c r="A4447" s="31" t="s">
        <v>478</v>
      </c>
      <c r="B4447" s="23" t="s">
        <v>479</v>
      </c>
      <c r="D4447">
        <v>1</v>
      </c>
      <c r="E4447" t="s">
        <v>348</v>
      </c>
      <c r="F4447">
        <v>1</v>
      </c>
      <c r="G4447">
        <v>2010</v>
      </c>
      <c r="I4447">
        <v>130.19999999999999</v>
      </c>
      <c r="J4447" t="s">
        <v>52</v>
      </c>
      <c r="K4447" t="s">
        <v>47</v>
      </c>
      <c r="O4447">
        <v>0</v>
      </c>
      <c r="P4447">
        <v>0</v>
      </c>
      <c r="Q4447">
        <v>0</v>
      </c>
      <c r="R4447">
        <v>0</v>
      </c>
      <c r="W4447" t="s">
        <v>1120</v>
      </c>
      <c r="AA4447">
        <v>2007</v>
      </c>
      <c r="AB4447">
        <v>9999</v>
      </c>
      <c r="AC4447" t="s">
        <v>35</v>
      </c>
    </row>
    <row r="4448" spans="1:29" x14ac:dyDescent="0.25">
      <c r="A4448" s="31" t="s">
        <v>481</v>
      </c>
      <c r="B4448" s="23" t="s">
        <v>482</v>
      </c>
      <c r="D4448">
        <v>1</v>
      </c>
      <c r="E4448" t="s">
        <v>348</v>
      </c>
      <c r="F4448">
        <v>1</v>
      </c>
      <c r="G4448">
        <v>2010</v>
      </c>
      <c r="I4448">
        <v>195.6</v>
      </c>
      <c r="J4448" t="s">
        <v>52</v>
      </c>
      <c r="K4448" t="s">
        <v>47</v>
      </c>
      <c r="O4448">
        <v>0</v>
      </c>
      <c r="P4448">
        <v>0</v>
      </c>
      <c r="Q4448">
        <v>0</v>
      </c>
      <c r="R4448">
        <v>0</v>
      </c>
      <c r="W4448" t="s">
        <v>1120</v>
      </c>
      <c r="AA4448">
        <v>2007</v>
      </c>
      <c r="AB4448">
        <v>9999</v>
      </c>
      <c r="AC4448" t="s">
        <v>35</v>
      </c>
    </row>
    <row r="4449" spans="1:29" x14ac:dyDescent="0.25">
      <c r="A4449" s="31" t="s">
        <v>483</v>
      </c>
      <c r="B4449" s="23" t="s">
        <v>484</v>
      </c>
      <c r="D4449">
        <v>1</v>
      </c>
      <c r="E4449" t="s">
        <v>348</v>
      </c>
      <c r="F4449">
        <v>1</v>
      </c>
      <c r="G4449">
        <v>2010</v>
      </c>
      <c r="I4449">
        <v>128.9</v>
      </c>
      <c r="J4449" t="s">
        <v>52</v>
      </c>
      <c r="K4449" t="s">
        <v>47</v>
      </c>
      <c r="O4449">
        <v>0</v>
      </c>
      <c r="P4449">
        <v>0</v>
      </c>
      <c r="Q4449">
        <v>0</v>
      </c>
      <c r="R4449">
        <v>0</v>
      </c>
      <c r="W4449" t="s">
        <v>1120</v>
      </c>
      <c r="AA4449">
        <v>2007</v>
      </c>
      <c r="AB4449">
        <v>9999</v>
      </c>
      <c r="AC4449" t="s">
        <v>35</v>
      </c>
    </row>
    <row r="4450" spans="1:29" x14ac:dyDescent="0.25">
      <c r="A4450" s="31" t="s">
        <v>485</v>
      </c>
      <c r="B4450" s="23" t="s">
        <v>486</v>
      </c>
      <c r="D4450">
        <v>1</v>
      </c>
      <c r="E4450" t="s">
        <v>348</v>
      </c>
      <c r="F4450">
        <v>1</v>
      </c>
      <c r="G4450">
        <v>2010</v>
      </c>
      <c r="I4450">
        <v>203.2</v>
      </c>
      <c r="J4450" t="s">
        <v>52</v>
      </c>
      <c r="K4450" t="s">
        <v>47</v>
      </c>
      <c r="O4450">
        <v>0</v>
      </c>
      <c r="P4450">
        <v>0</v>
      </c>
      <c r="Q4450">
        <v>0</v>
      </c>
      <c r="R4450">
        <v>0</v>
      </c>
      <c r="W4450" t="s">
        <v>1120</v>
      </c>
      <c r="AA4450">
        <v>2007</v>
      </c>
      <c r="AB4450">
        <v>9999</v>
      </c>
      <c r="AC4450" t="s">
        <v>35</v>
      </c>
    </row>
    <row r="4451" spans="1:29" x14ac:dyDescent="0.25">
      <c r="A4451" s="31" t="s">
        <v>487</v>
      </c>
      <c r="B4451" s="23" t="s">
        <v>488</v>
      </c>
      <c r="D4451">
        <v>1</v>
      </c>
      <c r="E4451" t="s">
        <v>348</v>
      </c>
      <c r="F4451">
        <v>1</v>
      </c>
      <c r="G4451">
        <v>2010</v>
      </c>
      <c r="I4451">
        <v>154.30000000000001</v>
      </c>
      <c r="J4451" t="s">
        <v>52</v>
      </c>
      <c r="K4451" t="s">
        <v>47</v>
      </c>
      <c r="O4451">
        <v>0</v>
      </c>
      <c r="P4451">
        <v>0</v>
      </c>
      <c r="Q4451">
        <v>0</v>
      </c>
      <c r="R4451">
        <v>0</v>
      </c>
      <c r="W4451" t="s">
        <v>1120</v>
      </c>
      <c r="AA4451">
        <v>2007</v>
      </c>
      <c r="AB4451">
        <v>9999</v>
      </c>
      <c r="AC4451" t="s">
        <v>35</v>
      </c>
    </row>
    <row r="4452" spans="1:29" x14ac:dyDescent="0.25">
      <c r="A4452" s="31" t="s">
        <v>489</v>
      </c>
      <c r="B4452" s="23" t="s">
        <v>490</v>
      </c>
      <c r="D4452">
        <v>1</v>
      </c>
      <c r="E4452" t="s">
        <v>348</v>
      </c>
      <c r="F4452">
        <v>1</v>
      </c>
      <c r="G4452">
        <v>2010</v>
      </c>
      <c r="I4452">
        <v>210.3</v>
      </c>
      <c r="J4452" t="s">
        <v>52</v>
      </c>
      <c r="K4452" t="s">
        <v>47</v>
      </c>
      <c r="O4452">
        <v>0</v>
      </c>
      <c r="P4452">
        <v>0</v>
      </c>
      <c r="Q4452">
        <v>0</v>
      </c>
      <c r="R4452">
        <v>0</v>
      </c>
      <c r="W4452" t="s">
        <v>1120</v>
      </c>
      <c r="AA4452">
        <v>2007</v>
      </c>
      <c r="AB4452">
        <v>9999</v>
      </c>
      <c r="AC4452" t="s">
        <v>35</v>
      </c>
    </row>
    <row r="4453" spans="1:29" x14ac:dyDescent="0.25">
      <c r="A4453" s="31" t="s">
        <v>491</v>
      </c>
      <c r="B4453" s="23" t="s">
        <v>492</v>
      </c>
      <c r="D4453">
        <v>1</v>
      </c>
      <c r="E4453" t="s">
        <v>348</v>
      </c>
      <c r="F4453">
        <v>1</v>
      </c>
      <c r="G4453">
        <v>2010</v>
      </c>
      <c r="I4453">
        <v>218.7</v>
      </c>
      <c r="J4453" t="s">
        <v>52</v>
      </c>
      <c r="K4453" t="s">
        <v>47</v>
      </c>
      <c r="O4453">
        <v>0</v>
      </c>
      <c r="P4453">
        <v>0</v>
      </c>
      <c r="Q4453">
        <v>0</v>
      </c>
      <c r="R4453">
        <v>0</v>
      </c>
      <c r="W4453" t="s">
        <v>1120</v>
      </c>
      <c r="AA4453">
        <v>2007</v>
      </c>
      <c r="AB4453">
        <v>9999</v>
      </c>
      <c r="AC4453" t="s">
        <v>35</v>
      </c>
    </row>
    <row r="4454" spans="1:29" x14ac:dyDescent="0.25">
      <c r="A4454" s="31" t="s">
        <v>493</v>
      </c>
      <c r="B4454" s="23" t="s">
        <v>494</v>
      </c>
      <c r="D4454">
        <v>1</v>
      </c>
      <c r="E4454" t="s">
        <v>348</v>
      </c>
      <c r="F4454">
        <v>1</v>
      </c>
      <c r="G4454">
        <v>2010</v>
      </c>
      <c r="I4454">
        <v>179.2</v>
      </c>
      <c r="J4454" t="s">
        <v>52</v>
      </c>
      <c r="K4454" t="s">
        <v>47</v>
      </c>
      <c r="O4454">
        <v>0</v>
      </c>
      <c r="P4454">
        <v>0</v>
      </c>
      <c r="Q4454">
        <v>0</v>
      </c>
      <c r="R4454">
        <v>0</v>
      </c>
      <c r="W4454" t="s">
        <v>1120</v>
      </c>
      <c r="AA4454">
        <v>2007</v>
      </c>
      <c r="AB4454">
        <v>9999</v>
      </c>
      <c r="AC4454" t="s">
        <v>35</v>
      </c>
    </row>
    <row r="4455" spans="1:29" x14ac:dyDescent="0.25">
      <c r="A4455" s="31" t="s">
        <v>495</v>
      </c>
      <c r="B4455" s="23" t="s">
        <v>496</v>
      </c>
      <c r="D4455">
        <v>1</v>
      </c>
      <c r="E4455" t="s">
        <v>348</v>
      </c>
      <c r="F4455">
        <v>1</v>
      </c>
      <c r="G4455">
        <v>2010</v>
      </c>
      <c r="I4455">
        <v>137.19999999999999</v>
      </c>
      <c r="J4455" t="s">
        <v>52</v>
      </c>
      <c r="K4455" t="s">
        <v>47</v>
      </c>
      <c r="O4455">
        <v>0</v>
      </c>
      <c r="P4455">
        <v>0</v>
      </c>
      <c r="Q4455">
        <v>0</v>
      </c>
      <c r="R4455">
        <v>0</v>
      </c>
      <c r="W4455" t="s">
        <v>1120</v>
      </c>
      <c r="AA4455">
        <v>2007</v>
      </c>
      <c r="AB4455">
        <v>9999</v>
      </c>
      <c r="AC4455" t="s">
        <v>35</v>
      </c>
    </row>
    <row r="4456" spans="1:29" x14ac:dyDescent="0.25">
      <c r="A4456" s="31" t="s">
        <v>497</v>
      </c>
      <c r="B4456" s="23" t="s">
        <v>498</v>
      </c>
      <c r="D4456">
        <v>1</v>
      </c>
      <c r="E4456" t="s">
        <v>348</v>
      </c>
      <c r="F4456">
        <v>1</v>
      </c>
      <c r="G4456">
        <v>2010</v>
      </c>
      <c r="I4456">
        <v>243.3</v>
      </c>
      <c r="J4456" t="s">
        <v>52</v>
      </c>
      <c r="K4456" t="s">
        <v>47</v>
      </c>
      <c r="O4456">
        <v>0</v>
      </c>
      <c r="P4456">
        <v>0</v>
      </c>
      <c r="Q4456">
        <v>0</v>
      </c>
      <c r="R4456">
        <v>0</v>
      </c>
      <c r="W4456" t="s">
        <v>1120</v>
      </c>
      <c r="AA4456">
        <v>2007</v>
      </c>
      <c r="AB4456">
        <v>9999</v>
      </c>
      <c r="AC4456" t="s">
        <v>35</v>
      </c>
    </row>
    <row r="4457" spans="1:29" x14ac:dyDescent="0.25">
      <c r="A4457" s="31" t="s">
        <v>499</v>
      </c>
      <c r="B4457" s="23" t="s">
        <v>500</v>
      </c>
      <c r="D4457">
        <v>1</v>
      </c>
      <c r="E4457" t="s">
        <v>348</v>
      </c>
      <c r="F4457">
        <v>1</v>
      </c>
      <c r="G4457">
        <v>2010</v>
      </c>
      <c r="I4457">
        <v>422.6</v>
      </c>
      <c r="J4457" t="s">
        <v>52</v>
      </c>
      <c r="K4457" t="s">
        <v>47</v>
      </c>
      <c r="O4457">
        <v>0</v>
      </c>
      <c r="P4457">
        <v>0</v>
      </c>
      <c r="Q4457">
        <v>0</v>
      </c>
      <c r="R4457">
        <v>0</v>
      </c>
      <c r="W4457" t="s">
        <v>1120</v>
      </c>
      <c r="AA4457">
        <v>2007</v>
      </c>
      <c r="AB4457">
        <v>9999</v>
      </c>
      <c r="AC4457" t="s">
        <v>35</v>
      </c>
    </row>
    <row r="4458" spans="1:29" x14ac:dyDescent="0.25">
      <c r="A4458" s="31" t="s">
        <v>501</v>
      </c>
      <c r="B4458" s="23" t="s">
        <v>502</v>
      </c>
      <c r="D4458">
        <v>1</v>
      </c>
      <c r="E4458" t="s">
        <v>348</v>
      </c>
      <c r="F4458">
        <v>1</v>
      </c>
      <c r="G4458">
        <v>2010</v>
      </c>
      <c r="I4458">
        <v>395.8</v>
      </c>
      <c r="J4458" t="s">
        <v>52</v>
      </c>
      <c r="K4458" t="s">
        <v>47</v>
      </c>
      <c r="O4458">
        <v>0</v>
      </c>
      <c r="P4458">
        <v>0</v>
      </c>
      <c r="Q4458">
        <v>0</v>
      </c>
      <c r="R4458">
        <v>0</v>
      </c>
      <c r="W4458" t="s">
        <v>1120</v>
      </c>
      <c r="AA4458">
        <v>2007</v>
      </c>
      <c r="AB4458">
        <v>9999</v>
      </c>
      <c r="AC4458" t="s">
        <v>35</v>
      </c>
    </row>
    <row r="4459" spans="1:29" x14ac:dyDescent="0.25">
      <c r="A4459" s="31" t="s">
        <v>503</v>
      </c>
      <c r="B4459" s="23" t="s">
        <v>504</v>
      </c>
      <c r="D4459">
        <v>1</v>
      </c>
      <c r="E4459" t="s">
        <v>348</v>
      </c>
      <c r="F4459">
        <v>1</v>
      </c>
      <c r="G4459">
        <v>2010</v>
      </c>
      <c r="I4459">
        <v>164.4</v>
      </c>
      <c r="J4459" t="s">
        <v>52</v>
      </c>
      <c r="K4459" t="s">
        <v>47</v>
      </c>
      <c r="O4459">
        <v>0</v>
      </c>
      <c r="P4459">
        <v>0</v>
      </c>
      <c r="Q4459">
        <v>0</v>
      </c>
      <c r="R4459">
        <v>0</v>
      </c>
      <c r="W4459" t="s">
        <v>1120</v>
      </c>
      <c r="AA4459">
        <v>2007</v>
      </c>
      <c r="AB4459">
        <v>9999</v>
      </c>
      <c r="AC4459" t="s">
        <v>35</v>
      </c>
    </row>
    <row r="4460" spans="1:29" x14ac:dyDescent="0.25">
      <c r="A4460" s="31" t="s">
        <v>505</v>
      </c>
      <c r="B4460" s="23" t="s">
        <v>506</v>
      </c>
      <c r="D4460">
        <v>1</v>
      </c>
      <c r="E4460" t="s">
        <v>348</v>
      </c>
      <c r="F4460">
        <v>1</v>
      </c>
      <c r="G4460">
        <v>2010</v>
      </c>
      <c r="I4460">
        <v>162.4</v>
      </c>
      <c r="J4460" t="s">
        <v>52</v>
      </c>
      <c r="K4460" t="s">
        <v>47</v>
      </c>
      <c r="O4460">
        <v>0</v>
      </c>
      <c r="P4460">
        <v>0</v>
      </c>
      <c r="Q4460">
        <v>0</v>
      </c>
      <c r="R4460">
        <v>0</v>
      </c>
      <c r="W4460" t="s">
        <v>1120</v>
      </c>
      <c r="AA4460">
        <v>2007</v>
      </c>
      <c r="AB4460">
        <v>9999</v>
      </c>
      <c r="AC4460" t="s">
        <v>35</v>
      </c>
    </row>
    <row r="4461" spans="1:29" x14ac:dyDescent="0.25">
      <c r="A4461" s="31" t="s">
        <v>507</v>
      </c>
      <c r="B4461" s="23" t="s">
        <v>508</v>
      </c>
      <c r="D4461">
        <v>1</v>
      </c>
      <c r="E4461" t="s">
        <v>348</v>
      </c>
      <c r="F4461">
        <v>1</v>
      </c>
      <c r="G4461">
        <v>2010</v>
      </c>
      <c r="I4461">
        <v>191.5</v>
      </c>
      <c r="J4461" t="s">
        <v>52</v>
      </c>
      <c r="K4461" t="s">
        <v>47</v>
      </c>
      <c r="O4461">
        <v>0</v>
      </c>
      <c r="P4461">
        <v>0</v>
      </c>
      <c r="Q4461">
        <v>0</v>
      </c>
      <c r="R4461">
        <v>0</v>
      </c>
      <c r="W4461" t="s">
        <v>1120</v>
      </c>
      <c r="AA4461">
        <v>2007</v>
      </c>
      <c r="AB4461">
        <v>9999</v>
      </c>
      <c r="AC4461" t="s">
        <v>35</v>
      </c>
    </row>
    <row r="4462" spans="1:29" x14ac:dyDescent="0.25">
      <c r="A4462" s="31" t="s">
        <v>509</v>
      </c>
      <c r="B4462" s="23" t="s">
        <v>510</v>
      </c>
      <c r="D4462">
        <v>1</v>
      </c>
      <c r="E4462" t="s">
        <v>348</v>
      </c>
      <c r="F4462">
        <v>1</v>
      </c>
      <c r="G4462">
        <v>2010</v>
      </c>
      <c r="I4462">
        <v>212.1</v>
      </c>
      <c r="J4462" t="s">
        <v>52</v>
      </c>
      <c r="K4462" t="s">
        <v>47</v>
      </c>
      <c r="O4462">
        <v>0</v>
      </c>
      <c r="P4462">
        <v>0</v>
      </c>
      <c r="Q4462">
        <v>0</v>
      </c>
      <c r="R4462">
        <v>0</v>
      </c>
      <c r="W4462" t="s">
        <v>1120</v>
      </c>
      <c r="AA4462">
        <v>2007</v>
      </c>
      <c r="AB4462">
        <v>9999</v>
      </c>
      <c r="AC4462" t="s">
        <v>35</v>
      </c>
    </row>
    <row r="4463" spans="1:29" x14ac:dyDescent="0.25">
      <c r="A4463" s="31" t="s">
        <v>511</v>
      </c>
      <c r="B4463" s="23" t="s">
        <v>512</v>
      </c>
      <c r="D4463">
        <v>1</v>
      </c>
      <c r="E4463" t="s">
        <v>348</v>
      </c>
      <c r="F4463">
        <v>1</v>
      </c>
      <c r="G4463">
        <v>2010</v>
      </c>
      <c r="I4463">
        <v>220.4</v>
      </c>
      <c r="J4463" t="s">
        <v>52</v>
      </c>
      <c r="K4463" t="s">
        <v>47</v>
      </c>
      <c r="O4463">
        <v>0</v>
      </c>
      <c r="P4463">
        <v>0</v>
      </c>
      <c r="Q4463">
        <v>0</v>
      </c>
      <c r="R4463">
        <v>0</v>
      </c>
      <c r="W4463" t="s">
        <v>1120</v>
      </c>
      <c r="AA4463">
        <v>2007</v>
      </c>
      <c r="AB4463">
        <v>9999</v>
      </c>
      <c r="AC4463" t="s">
        <v>35</v>
      </c>
    </row>
    <row r="4464" spans="1:29" x14ac:dyDescent="0.25">
      <c r="A4464" s="31" t="s">
        <v>513</v>
      </c>
      <c r="B4464" s="23" t="s">
        <v>514</v>
      </c>
      <c r="D4464">
        <v>1</v>
      </c>
      <c r="E4464" t="s">
        <v>348</v>
      </c>
      <c r="F4464">
        <v>1</v>
      </c>
      <c r="G4464">
        <v>2010</v>
      </c>
      <c r="I4464">
        <v>158.69999999999999</v>
      </c>
      <c r="J4464" t="s">
        <v>52</v>
      </c>
      <c r="K4464" t="s">
        <v>47</v>
      </c>
      <c r="O4464">
        <v>0</v>
      </c>
      <c r="P4464">
        <v>0</v>
      </c>
      <c r="Q4464">
        <v>0</v>
      </c>
      <c r="R4464">
        <v>0</v>
      </c>
      <c r="W4464" t="s">
        <v>1120</v>
      </c>
      <c r="AA4464">
        <v>2007</v>
      </c>
      <c r="AB4464">
        <v>9999</v>
      </c>
      <c r="AC4464" t="s">
        <v>35</v>
      </c>
    </row>
    <row r="4465" spans="1:29" x14ac:dyDescent="0.25">
      <c r="A4465" s="31" t="s">
        <v>515</v>
      </c>
      <c r="B4465" s="23" t="s">
        <v>516</v>
      </c>
      <c r="D4465">
        <v>1</v>
      </c>
      <c r="E4465" t="s">
        <v>348</v>
      </c>
      <c r="F4465">
        <v>1</v>
      </c>
      <c r="G4465">
        <v>2010</v>
      </c>
      <c r="I4465">
        <v>693.1</v>
      </c>
      <c r="J4465" t="s">
        <v>52</v>
      </c>
      <c r="K4465" t="s">
        <v>47</v>
      </c>
      <c r="O4465">
        <v>0</v>
      </c>
      <c r="P4465">
        <v>0</v>
      </c>
      <c r="Q4465">
        <v>0</v>
      </c>
      <c r="R4465">
        <v>0</v>
      </c>
      <c r="W4465" t="s">
        <v>1120</v>
      </c>
      <c r="AA4465">
        <v>2007</v>
      </c>
      <c r="AB4465">
        <v>9999</v>
      </c>
      <c r="AC4465" t="s">
        <v>35</v>
      </c>
    </row>
    <row r="4466" spans="1:29" x14ac:dyDescent="0.25">
      <c r="A4466" s="31" t="s">
        <v>517</v>
      </c>
      <c r="B4466" s="23" t="s">
        <v>518</v>
      </c>
      <c r="D4466">
        <v>1</v>
      </c>
      <c r="E4466" t="s">
        <v>348</v>
      </c>
      <c r="F4466">
        <v>1</v>
      </c>
      <c r="G4466">
        <v>2010</v>
      </c>
      <c r="I4466">
        <v>156.5</v>
      </c>
      <c r="J4466" t="s">
        <v>52</v>
      </c>
      <c r="K4466" t="s">
        <v>47</v>
      </c>
      <c r="O4466">
        <v>0</v>
      </c>
      <c r="P4466">
        <v>0</v>
      </c>
      <c r="Q4466">
        <v>0</v>
      </c>
      <c r="R4466">
        <v>0</v>
      </c>
      <c r="W4466" t="s">
        <v>1120</v>
      </c>
      <c r="AA4466">
        <v>2007</v>
      </c>
      <c r="AB4466">
        <v>9999</v>
      </c>
      <c r="AC4466" t="s">
        <v>35</v>
      </c>
    </row>
    <row r="4467" spans="1:29" x14ac:dyDescent="0.25">
      <c r="A4467" s="31" t="s">
        <v>519</v>
      </c>
      <c r="B4467" s="23" t="s">
        <v>520</v>
      </c>
      <c r="D4467">
        <v>1</v>
      </c>
      <c r="E4467" t="s">
        <v>348</v>
      </c>
      <c r="F4467">
        <v>1</v>
      </c>
      <c r="G4467">
        <v>2010</v>
      </c>
      <c r="I4467">
        <v>208</v>
      </c>
      <c r="J4467" t="s">
        <v>52</v>
      </c>
      <c r="K4467" t="s">
        <v>47</v>
      </c>
      <c r="O4467">
        <v>0</v>
      </c>
      <c r="P4467">
        <v>0</v>
      </c>
      <c r="Q4467">
        <v>0</v>
      </c>
      <c r="R4467">
        <v>0</v>
      </c>
      <c r="W4467" t="s">
        <v>1120</v>
      </c>
      <c r="AA4467">
        <v>2007</v>
      </c>
      <c r="AB4467">
        <v>9999</v>
      </c>
      <c r="AC4467" t="s">
        <v>35</v>
      </c>
    </row>
    <row r="4468" spans="1:29" x14ac:dyDescent="0.25">
      <c r="A4468" s="31" t="s">
        <v>523</v>
      </c>
      <c r="B4468" s="23" t="s">
        <v>524</v>
      </c>
      <c r="D4468">
        <v>1</v>
      </c>
      <c r="E4468" t="s">
        <v>103</v>
      </c>
      <c r="F4468">
        <v>9</v>
      </c>
      <c r="G4468">
        <v>2010</v>
      </c>
      <c r="I4468">
        <v>1199.2</v>
      </c>
      <c r="J4468" t="s">
        <v>104</v>
      </c>
      <c r="K4468" t="s">
        <v>53</v>
      </c>
      <c r="L4468" t="s">
        <v>105</v>
      </c>
      <c r="O4468">
        <v>0</v>
      </c>
      <c r="P4468">
        <v>1</v>
      </c>
      <c r="Q4468">
        <v>0</v>
      </c>
      <c r="R4468">
        <v>0</v>
      </c>
      <c r="W4468" t="s">
        <v>106</v>
      </c>
      <c r="AA4468">
        <v>2007</v>
      </c>
      <c r="AB4468">
        <v>9999</v>
      </c>
      <c r="AC4468" t="s">
        <v>35</v>
      </c>
    </row>
    <row r="4469" spans="1:29" x14ac:dyDescent="0.25">
      <c r="A4469" s="31" t="s">
        <v>525</v>
      </c>
      <c r="B4469" s="23" t="s">
        <v>526</v>
      </c>
      <c r="D4469">
        <v>1</v>
      </c>
      <c r="E4469" t="s">
        <v>45</v>
      </c>
      <c r="F4469">
        <v>4</v>
      </c>
      <c r="G4469">
        <v>2010</v>
      </c>
      <c r="I4469">
        <v>6.8</v>
      </c>
      <c r="J4469" t="s">
        <v>46</v>
      </c>
      <c r="K4469" t="s">
        <v>53</v>
      </c>
      <c r="L4469" t="s">
        <v>60</v>
      </c>
      <c r="O4469">
        <v>1</v>
      </c>
      <c r="P4469">
        <v>0</v>
      </c>
      <c r="Q4469">
        <v>0</v>
      </c>
      <c r="R4469">
        <v>0</v>
      </c>
      <c r="W4469" t="s">
        <v>527</v>
      </c>
      <c r="AA4469">
        <v>2007</v>
      </c>
      <c r="AB4469">
        <v>2016</v>
      </c>
      <c r="AC4469" t="s">
        <v>528</v>
      </c>
    </row>
    <row r="4470" spans="1:29" x14ac:dyDescent="0.25">
      <c r="A4470" s="31" t="s">
        <v>529</v>
      </c>
      <c r="B4470" s="23" t="s">
        <v>530</v>
      </c>
      <c r="D4470">
        <v>1</v>
      </c>
      <c r="E4470" t="s">
        <v>58</v>
      </c>
      <c r="F4470">
        <v>4</v>
      </c>
      <c r="G4470">
        <v>2010</v>
      </c>
      <c r="I4470">
        <v>10.4</v>
      </c>
      <c r="J4470" t="s">
        <v>59</v>
      </c>
      <c r="K4470" t="s">
        <v>47</v>
      </c>
      <c r="O4470">
        <v>0</v>
      </c>
      <c r="P4470">
        <v>0</v>
      </c>
      <c r="Q4470">
        <v>0</v>
      </c>
      <c r="R4470">
        <v>0</v>
      </c>
      <c r="W4470" t="s">
        <v>1121</v>
      </c>
      <c r="AA4470">
        <v>2007</v>
      </c>
      <c r="AB4470">
        <v>9999</v>
      </c>
      <c r="AC4470" t="s">
        <v>35</v>
      </c>
    </row>
    <row r="4471" spans="1:29" x14ac:dyDescent="0.25">
      <c r="A4471" s="31" t="s">
        <v>532</v>
      </c>
      <c r="B4471" s="23" t="s">
        <v>533</v>
      </c>
      <c r="D4471">
        <v>1</v>
      </c>
      <c r="E4471" t="s">
        <v>534</v>
      </c>
      <c r="F4471">
        <v>10</v>
      </c>
      <c r="G4471">
        <v>2010</v>
      </c>
      <c r="I4471">
        <v>2735.7</v>
      </c>
      <c r="J4471" t="s">
        <v>121</v>
      </c>
      <c r="K4471" t="s">
        <v>47</v>
      </c>
      <c r="O4471">
        <v>0</v>
      </c>
      <c r="P4471">
        <v>0</v>
      </c>
      <c r="Q4471">
        <v>0</v>
      </c>
      <c r="R4471">
        <v>0</v>
      </c>
      <c r="W4471" t="s">
        <v>1122</v>
      </c>
      <c r="AA4471">
        <v>2007</v>
      </c>
      <c r="AB4471">
        <v>9999</v>
      </c>
      <c r="AC4471" t="s">
        <v>35</v>
      </c>
    </row>
    <row r="4472" spans="1:29" x14ac:dyDescent="0.25">
      <c r="A4472" s="31" t="s">
        <v>536</v>
      </c>
      <c r="B4472" s="23" t="s">
        <v>537</v>
      </c>
      <c r="D4472">
        <v>1</v>
      </c>
      <c r="E4472" t="s">
        <v>534</v>
      </c>
      <c r="F4472">
        <v>9</v>
      </c>
      <c r="G4472">
        <v>2010</v>
      </c>
      <c r="I4472">
        <v>856</v>
      </c>
      <c r="J4472" t="s">
        <v>104</v>
      </c>
      <c r="K4472" t="s">
        <v>53</v>
      </c>
      <c r="L4472" t="s">
        <v>105</v>
      </c>
      <c r="O4472">
        <v>0</v>
      </c>
      <c r="P4472">
        <v>1</v>
      </c>
      <c r="Q4472">
        <v>0</v>
      </c>
      <c r="R4472">
        <v>0</v>
      </c>
      <c r="W4472" t="s">
        <v>106</v>
      </c>
      <c r="AA4472">
        <v>2007</v>
      </c>
      <c r="AB4472">
        <v>9999</v>
      </c>
      <c r="AC4472" t="s">
        <v>35</v>
      </c>
    </row>
    <row r="4473" spans="1:29" x14ac:dyDescent="0.25">
      <c r="A4473" s="31" t="s">
        <v>538</v>
      </c>
      <c r="B4473" s="23" t="s">
        <v>539</v>
      </c>
      <c r="D4473">
        <v>1</v>
      </c>
      <c r="E4473" t="s">
        <v>80</v>
      </c>
      <c r="F4473">
        <v>8</v>
      </c>
      <c r="G4473">
        <v>2010</v>
      </c>
      <c r="I4473">
        <v>121.7</v>
      </c>
      <c r="J4473" t="s">
        <v>81</v>
      </c>
      <c r="K4473" t="s">
        <v>47</v>
      </c>
      <c r="O4473">
        <v>0</v>
      </c>
      <c r="P4473">
        <v>0</v>
      </c>
      <c r="Q4473">
        <v>0</v>
      </c>
      <c r="R4473">
        <v>0</v>
      </c>
      <c r="W4473" t="s">
        <v>1123</v>
      </c>
      <c r="AA4473">
        <v>2007</v>
      </c>
      <c r="AB4473">
        <v>9999</v>
      </c>
      <c r="AC4473" t="s">
        <v>35</v>
      </c>
    </row>
    <row r="4474" spans="1:29" x14ac:dyDescent="0.25">
      <c r="A4474" s="31" t="s">
        <v>541</v>
      </c>
      <c r="B4474" s="23" t="s">
        <v>542</v>
      </c>
      <c r="D4474">
        <v>1</v>
      </c>
      <c r="E4474" t="s">
        <v>543</v>
      </c>
      <c r="F4474">
        <v>10</v>
      </c>
      <c r="G4474">
        <v>2010</v>
      </c>
      <c r="I4474">
        <v>27.3</v>
      </c>
      <c r="J4474" t="s">
        <v>40</v>
      </c>
      <c r="K4474" t="s">
        <v>47</v>
      </c>
      <c r="O4474">
        <v>0</v>
      </c>
      <c r="P4474">
        <v>0</v>
      </c>
      <c r="Q4474">
        <v>0</v>
      </c>
      <c r="R4474">
        <v>0</v>
      </c>
      <c r="W4474" t="s">
        <v>1124</v>
      </c>
      <c r="AA4474">
        <v>2007</v>
      </c>
      <c r="AB4474">
        <v>9999</v>
      </c>
      <c r="AC4474" t="s">
        <v>35</v>
      </c>
    </row>
    <row r="4475" spans="1:29" x14ac:dyDescent="0.25">
      <c r="A4475" s="31" t="s">
        <v>545</v>
      </c>
      <c r="B4475" s="23" t="s">
        <v>546</v>
      </c>
      <c r="D4475">
        <v>1</v>
      </c>
      <c r="E4475" t="s">
        <v>543</v>
      </c>
      <c r="F4475">
        <v>10</v>
      </c>
      <c r="G4475">
        <v>2010</v>
      </c>
      <c r="I4475">
        <v>9.8000000000000007</v>
      </c>
      <c r="J4475" t="s">
        <v>40</v>
      </c>
      <c r="K4475" t="s">
        <v>47</v>
      </c>
      <c r="O4475">
        <v>0</v>
      </c>
      <c r="P4475">
        <v>0</v>
      </c>
      <c r="Q4475">
        <v>0</v>
      </c>
      <c r="R4475">
        <v>0</v>
      </c>
      <c r="W4475" t="s">
        <v>1125</v>
      </c>
      <c r="AA4475">
        <v>2007</v>
      </c>
      <c r="AB4475">
        <v>9999</v>
      </c>
      <c r="AC4475" t="s">
        <v>35</v>
      </c>
    </row>
    <row r="4476" spans="1:29" x14ac:dyDescent="0.25">
      <c r="A4476" s="31" t="s">
        <v>1248</v>
      </c>
      <c r="B4476" s="23" t="s">
        <v>1249</v>
      </c>
      <c r="C4476" t="s">
        <v>1250</v>
      </c>
      <c r="D4476">
        <v>1</v>
      </c>
      <c r="E4476" t="s">
        <v>1251</v>
      </c>
      <c r="F4476">
        <v>2</v>
      </c>
      <c r="G4476">
        <v>2010</v>
      </c>
      <c r="I4476">
        <v>917.7</v>
      </c>
      <c r="J4476" t="s">
        <v>147</v>
      </c>
      <c r="K4476" t="s">
        <v>47</v>
      </c>
      <c r="O4476">
        <v>0</v>
      </c>
      <c r="P4476">
        <v>0</v>
      </c>
      <c r="Q4476">
        <v>0</v>
      </c>
      <c r="R4476">
        <v>0</v>
      </c>
      <c r="W4476" t="s">
        <v>1252</v>
      </c>
      <c r="AA4476">
        <v>2009</v>
      </c>
      <c r="AB4476">
        <v>9999</v>
      </c>
      <c r="AC4476" t="s">
        <v>1239</v>
      </c>
    </row>
    <row r="4477" spans="1:29" ht="30" x14ac:dyDescent="0.25">
      <c r="A4477" s="31" t="s">
        <v>1305</v>
      </c>
      <c r="B4477" s="23" t="s">
        <v>1306</v>
      </c>
      <c r="C4477" t="s">
        <v>1307</v>
      </c>
      <c r="D4477">
        <v>1</v>
      </c>
      <c r="E4477" t="s">
        <v>45</v>
      </c>
      <c r="F4477">
        <v>4</v>
      </c>
      <c r="G4477">
        <v>2010</v>
      </c>
      <c r="I4477">
        <v>46.1</v>
      </c>
      <c r="J4477" t="s">
        <v>89</v>
      </c>
      <c r="K4477" t="s">
        <v>47</v>
      </c>
      <c r="O4477">
        <v>0</v>
      </c>
      <c r="P4477">
        <v>0</v>
      </c>
      <c r="Q4477">
        <v>0</v>
      </c>
      <c r="R4477">
        <v>0</v>
      </c>
      <c r="W4477" t="s">
        <v>1308</v>
      </c>
      <c r="AA4477">
        <v>2010</v>
      </c>
      <c r="AB4477">
        <v>9999</v>
      </c>
      <c r="AC4477" t="s">
        <v>1292</v>
      </c>
    </row>
    <row r="4478" spans="1:29" x14ac:dyDescent="0.25">
      <c r="A4478" s="31" t="s">
        <v>556</v>
      </c>
      <c r="B4478" s="23" t="s">
        <v>557</v>
      </c>
      <c r="D4478">
        <v>1</v>
      </c>
      <c r="E4478" t="s">
        <v>45</v>
      </c>
      <c r="F4478">
        <v>4</v>
      </c>
      <c r="G4478">
        <v>2010</v>
      </c>
      <c r="I4478">
        <v>38.299999999999997</v>
      </c>
      <c r="J4478" t="s">
        <v>176</v>
      </c>
      <c r="K4478" t="s">
        <v>47</v>
      </c>
      <c r="O4478">
        <v>0</v>
      </c>
      <c r="P4478">
        <v>0</v>
      </c>
      <c r="Q4478">
        <v>0</v>
      </c>
      <c r="R4478">
        <v>0</v>
      </c>
      <c r="W4478" t="s">
        <v>1127</v>
      </c>
      <c r="AA4478">
        <v>2007</v>
      </c>
      <c r="AB4478">
        <v>2012</v>
      </c>
      <c r="AC4478" t="s">
        <v>302</v>
      </c>
    </row>
    <row r="4479" spans="1:29" x14ac:dyDescent="0.25">
      <c r="A4479" s="31" t="s">
        <v>1309</v>
      </c>
      <c r="B4479" s="23" t="s">
        <v>1310</v>
      </c>
      <c r="C4479" t="s">
        <v>1311</v>
      </c>
      <c r="D4479">
        <v>1</v>
      </c>
      <c r="E4479" t="s">
        <v>1312</v>
      </c>
      <c r="F4479">
        <v>9</v>
      </c>
      <c r="G4479">
        <v>2010</v>
      </c>
      <c r="I4479">
        <v>63.9</v>
      </c>
      <c r="J4479" t="s">
        <v>104</v>
      </c>
      <c r="K4479" t="s">
        <v>47</v>
      </c>
      <c r="O4479">
        <v>0</v>
      </c>
      <c r="P4479">
        <v>0</v>
      </c>
      <c r="Q4479">
        <v>0</v>
      </c>
      <c r="R4479">
        <v>0</v>
      </c>
      <c r="W4479" t="s">
        <v>1313</v>
      </c>
      <c r="AA4479">
        <v>2010</v>
      </c>
      <c r="AB4479">
        <v>9999</v>
      </c>
      <c r="AC4479" t="s">
        <v>1292</v>
      </c>
    </row>
    <row r="4480" spans="1:29" x14ac:dyDescent="0.25">
      <c r="A4480" s="31" t="s">
        <v>559</v>
      </c>
      <c r="B4480" s="23" t="s">
        <v>560</v>
      </c>
      <c r="C4480" t="s">
        <v>561</v>
      </c>
      <c r="D4480">
        <v>1</v>
      </c>
      <c r="E4480" t="s">
        <v>103</v>
      </c>
      <c r="F4480">
        <v>9</v>
      </c>
      <c r="G4480">
        <v>2010</v>
      </c>
      <c r="I4480">
        <v>816.4</v>
      </c>
      <c r="J4480" t="s">
        <v>104</v>
      </c>
      <c r="K4480" t="s">
        <v>53</v>
      </c>
      <c r="L4480" t="s">
        <v>105</v>
      </c>
      <c r="O4480">
        <v>0</v>
      </c>
      <c r="P4480">
        <v>1</v>
      </c>
      <c r="Q4480">
        <v>0</v>
      </c>
      <c r="R4480">
        <v>0</v>
      </c>
      <c r="W4480" t="s">
        <v>106</v>
      </c>
      <c r="AA4480">
        <v>2007</v>
      </c>
      <c r="AB4480">
        <v>9999</v>
      </c>
      <c r="AC4480" t="s">
        <v>35</v>
      </c>
    </row>
    <row r="4481" spans="1:29" ht="30" x14ac:dyDescent="0.25">
      <c r="A4481" s="31" t="s">
        <v>562</v>
      </c>
      <c r="B4481" s="23" t="s">
        <v>563</v>
      </c>
      <c r="D4481">
        <v>1</v>
      </c>
      <c r="E4481" t="s">
        <v>80</v>
      </c>
      <c r="F4481">
        <v>8</v>
      </c>
      <c r="G4481">
        <v>2010</v>
      </c>
      <c r="I4481">
        <v>162.5</v>
      </c>
      <c r="J4481" t="s">
        <v>81</v>
      </c>
      <c r="K4481" t="s">
        <v>47</v>
      </c>
      <c r="O4481">
        <v>0</v>
      </c>
      <c r="P4481">
        <v>0</v>
      </c>
      <c r="Q4481">
        <v>0</v>
      </c>
      <c r="R4481">
        <v>0</v>
      </c>
      <c r="W4481" t="s">
        <v>1128</v>
      </c>
      <c r="AA4481">
        <v>2007</v>
      </c>
      <c r="AB4481">
        <v>9999</v>
      </c>
      <c r="AC4481" t="s">
        <v>35</v>
      </c>
    </row>
    <row r="4482" spans="1:29" x14ac:dyDescent="0.25">
      <c r="A4482" s="31" t="s">
        <v>568</v>
      </c>
      <c r="B4482" s="23" t="s">
        <v>569</v>
      </c>
      <c r="D4482">
        <v>1</v>
      </c>
      <c r="E4482" t="s">
        <v>80</v>
      </c>
      <c r="F4482">
        <v>8</v>
      </c>
      <c r="G4482">
        <v>2010</v>
      </c>
      <c r="I4482">
        <v>235.1</v>
      </c>
      <c r="J4482" t="s">
        <v>81</v>
      </c>
      <c r="K4482" t="s">
        <v>47</v>
      </c>
      <c r="O4482">
        <v>0</v>
      </c>
      <c r="P4482">
        <v>0</v>
      </c>
      <c r="Q4482">
        <v>0</v>
      </c>
      <c r="R4482">
        <v>0</v>
      </c>
      <c r="W4482" t="s">
        <v>1129</v>
      </c>
      <c r="AA4482">
        <v>2007</v>
      </c>
      <c r="AB4482">
        <v>9999</v>
      </c>
      <c r="AC4482" t="s">
        <v>35</v>
      </c>
    </row>
    <row r="4483" spans="1:29" x14ac:dyDescent="0.25">
      <c r="A4483" s="31" t="s">
        <v>571</v>
      </c>
      <c r="B4483" s="23" t="s">
        <v>572</v>
      </c>
      <c r="D4483">
        <v>1</v>
      </c>
      <c r="E4483" t="s">
        <v>370</v>
      </c>
      <c r="F4483">
        <v>5</v>
      </c>
      <c r="G4483">
        <v>2010</v>
      </c>
      <c r="I4483">
        <v>470.3</v>
      </c>
      <c r="J4483" t="s">
        <v>31</v>
      </c>
      <c r="K4483" t="s">
        <v>47</v>
      </c>
      <c r="O4483">
        <v>0</v>
      </c>
      <c r="P4483">
        <v>0</v>
      </c>
      <c r="Q4483">
        <v>0</v>
      </c>
      <c r="R4483">
        <v>0</v>
      </c>
      <c r="W4483" t="s">
        <v>1314</v>
      </c>
      <c r="AA4483">
        <v>2007</v>
      </c>
      <c r="AB4483">
        <v>9999</v>
      </c>
      <c r="AC4483" t="s">
        <v>35</v>
      </c>
    </row>
    <row r="4484" spans="1:29" x14ac:dyDescent="0.25">
      <c r="A4484" s="31" t="s">
        <v>574</v>
      </c>
      <c r="B4484" s="23" t="s">
        <v>575</v>
      </c>
      <c r="D4484">
        <v>1</v>
      </c>
      <c r="E4484" t="s">
        <v>222</v>
      </c>
      <c r="F4484">
        <v>1</v>
      </c>
      <c r="G4484">
        <v>2010</v>
      </c>
      <c r="I4484">
        <v>36.799999999999997</v>
      </c>
      <c r="J4484" t="s">
        <v>176</v>
      </c>
      <c r="K4484" t="s">
        <v>47</v>
      </c>
      <c r="O4484">
        <v>0</v>
      </c>
      <c r="P4484">
        <v>0</v>
      </c>
      <c r="Q4484">
        <v>0</v>
      </c>
      <c r="R4484">
        <v>0</v>
      </c>
      <c r="W4484" t="s">
        <v>1131</v>
      </c>
      <c r="AA4484">
        <v>2007</v>
      </c>
      <c r="AB4484">
        <v>9999</v>
      </c>
      <c r="AC4484" t="s">
        <v>35</v>
      </c>
    </row>
    <row r="4485" spans="1:29" x14ac:dyDescent="0.25">
      <c r="A4485" s="31" t="s">
        <v>577</v>
      </c>
      <c r="B4485" s="25" t="s">
        <v>578</v>
      </c>
      <c r="D4485">
        <v>1</v>
      </c>
      <c r="E4485" t="s">
        <v>396</v>
      </c>
      <c r="F4485">
        <v>3</v>
      </c>
      <c r="G4485">
        <v>2010</v>
      </c>
      <c r="H4485" t="s">
        <v>579</v>
      </c>
      <c r="I4485">
        <v>0.1</v>
      </c>
      <c r="J4485" t="s">
        <v>121</v>
      </c>
      <c r="K4485" t="s">
        <v>41</v>
      </c>
      <c r="O4485">
        <v>0</v>
      </c>
      <c r="P4485">
        <v>0</v>
      </c>
      <c r="Q4485">
        <v>0</v>
      </c>
      <c r="R4485">
        <v>0</v>
      </c>
      <c r="W4485" t="s">
        <v>1132</v>
      </c>
      <c r="AA4485">
        <v>2007</v>
      </c>
      <c r="AB4485">
        <v>9999</v>
      </c>
      <c r="AC4485" t="s">
        <v>35</v>
      </c>
    </row>
    <row r="4486" spans="1:29" x14ac:dyDescent="0.25">
      <c r="A4486" s="31" t="s">
        <v>581</v>
      </c>
      <c r="B4486" s="23" t="s">
        <v>582</v>
      </c>
      <c r="D4486">
        <v>1</v>
      </c>
      <c r="E4486" t="s">
        <v>80</v>
      </c>
      <c r="F4486">
        <v>8</v>
      </c>
      <c r="G4486">
        <v>2010</v>
      </c>
      <c r="H4486" t="s">
        <v>1315</v>
      </c>
      <c r="I4486">
        <v>2.5</v>
      </c>
      <c r="J4486" t="s">
        <v>81</v>
      </c>
      <c r="K4486" t="s">
        <v>41</v>
      </c>
      <c r="O4486">
        <v>0</v>
      </c>
      <c r="P4486">
        <v>0</v>
      </c>
      <c r="Q4486">
        <v>0</v>
      </c>
      <c r="R4486">
        <v>0</v>
      </c>
      <c r="W4486" t="s">
        <v>1133</v>
      </c>
      <c r="AA4486">
        <v>2007</v>
      </c>
      <c r="AB4486">
        <v>9999</v>
      </c>
      <c r="AC4486" t="s">
        <v>35</v>
      </c>
    </row>
    <row r="4487" spans="1:29" x14ac:dyDescent="0.25">
      <c r="A4487" s="31" t="s">
        <v>590</v>
      </c>
      <c r="B4487" s="23" t="s">
        <v>591</v>
      </c>
      <c r="D4487">
        <v>1</v>
      </c>
      <c r="E4487" t="s">
        <v>592</v>
      </c>
      <c r="F4487">
        <v>8</v>
      </c>
      <c r="G4487">
        <v>2010</v>
      </c>
      <c r="I4487">
        <v>3.9</v>
      </c>
      <c r="J4487" t="s">
        <v>81</v>
      </c>
      <c r="K4487" t="s">
        <v>41</v>
      </c>
      <c r="O4487">
        <v>0</v>
      </c>
      <c r="P4487">
        <v>0</v>
      </c>
      <c r="Q4487">
        <v>0</v>
      </c>
      <c r="R4487">
        <v>0</v>
      </c>
      <c r="W4487" t="s">
        <v>1134</v>
      </c>
      <c r="AA4487">
        <v>2007</v>
      </c>
      <c r="AB4487">
        <v>9999</v>
      </c>
      <c r="AC4487" t="s">
        <v>35</v>
      </c>
    </row>
    <row r="4488" spans="1:29" x14ac:dyDescent="0.25">
      <c r="A4488" s="31" t="s">
        <v>594</v>
      </c>
      <c r="B4488" s="25" t="s">
        <v>595</v>
      </c>
      <c r="D4488">
        <v>1</v>
      </c>
      <c r="E4488" t="s">
        <v>38</v>
      </c>
      <c r="F4488">
        <v>4</v>
      </c>
      <c r="G4488">
        <v>2010</v>
      </c>
      <c r="H4488" t="s">
        <v>906</v>
      </c>
      <c r="I4488">
        <v>0.15</v>
      </c>
      <c r="J4488" t="s">
        <v>59</v>
      </c>
      <c r="K4488" t="s">
        <v>41</v>
      </c>
      <c r="O4488">
        <v>0</v>
      </c>
      <c r="P4488">
        <v>0</v>
      </c>
      <c r="Q4488">
        <v>0</v>
      </c>
      <c r="R4488">
        <v>0</v>
      </c>
      <c r="W4488" t="s">
        <v>1135</v>
      </c>
      <c r="AA4488">
        <v>2007</v>
      </c>
      <c r="AB4488">
        <v>9999</v>
      </c>
      <c r="AC4488" t="s">
        <v>35</v>
      </c>
    </row>
    <row r="4489" spans="1:29" x14ac:dyDescent="0.25">
      <c r="A4489" s="31" t="s">
        <v>1253</v>
      </c>
      <c r="B4489" s="23" t="s">
        <v>1316</v>
      </c>
      <c r="D4489">
        <v>1</v>
      </c>
      <c r="E4489" t="s">
        <v>38</v>
      </c>
      <c r="F4489">
        <v>4</v>
      </c>
      <c r="G4489">
        <v>2010</v>
      </c>
      <c r="H4489" t="s">
        <v>39</v>
      </c>
      <c r="I4489">
        <v>0.1</v>
      </c>
      <c r="J4489" t="s">
        <v>46</v>
      </c>
      <c r="K4489" t="s">
        <v>41</v>
      </c>
      <c r="O4489">
        <v>0</v>
      </c>
      <c r="P4489">
        <v>0</v>
      </c>
      <c r="Q4489">
        <v>0</v>
      </c>
      <c r="R4489">
        <v>0</v>
      </c>
      <c r="W4489" t="s">
        <v>1254</v>
      </c>
      <c r="AA4489">
        <v>2009</v>
      </c>
      <c r="AB4489">
        <v>9999</v>
      </c>
      <c r="AC4489" t="s">
        <v>1239</v>
      </c>
    </row>
    <row r="4490" spans="1:29" x14ac:dyDescent="0.25">
      <c r="A4490" s="31" t="s">
        <v>601</v>
      </c>
      <c r="B4490" s="25" t="s">
        <v>602</v>
      </c>
      <c r="D4490">
        <v>1</v>
      </c>
      <c r="E4490" t="s">
        <v>145</v>
      </c>
      <c r="F4490">
        <v>2</v>
      </c>
      <c r="G4490">
        <v>2010</v>
      </c>
      <c r="H4490" t="s">
        <v>596</v>
      </c>
      <c r="I4490">
        <v>2.5000000000000001E-2</v>
      </c>
      <c r="J4490" s="2" t="s">
        <v>89</v>
      </c>
      <c r="K4490" t="s">
        <v>41</v>
      </c>
      <c r="O4490">
        <v>0</v>
      </c>
      <c r="P4490">
        <v>0</v>
      </c>
      <c r="Q4490">
        <v>0</v>
      </c>
      <c r="R4490">
        <v>0</v>
      </c>
      <c r="W4490" t="s">
        <v>1137</v>
      </c>
      <c r="AA4490">
        <v>2007</v>
      </c>
      <c r="AB4490">
        <v>9999</v>
      </c>
      <c r="AC4490" t="s">
        <v>35</v>
      </c>
    </row>
    <row r="4491" spans="1:29" x14ac:dyDescent="0.25">
      <c r="A4491" s="31" t="s">
        <v>611</v>
      </c>
      <c r="B4491" s="23" t="s">
        <v>612</v>
      </c>
      <c r="D4491">
        <v>1</v>
      </c>
      <c r="E4491" t="s">
        <v>103</v>
      </c>
      <c r="F4491">
        <v>9</v>
      </c>
      <c r="G4491">
        <v>2010</v>
      </c>
      <c r="I4491">
        <v>16.399999999999999</v>
      </c>
      <c r="J4491" t="s">
        <v>104</v>
      </c>
      <c r="K4491" t="s">
        <v>53</v>
      </c>
      <c r="L4491" t="s">
        <v>105</v>
      </c>
      <c r="O4491">
        <v>0</v>
      </c>
      <c r="P4491">
        <v>1</v>
      </c>
      <c r="Q4491">
        <v>0</v>
      </c>
      <c r="R4491">
        <v>0</v>
      </c>
      <c r="W4491" t="s">
        <v>106</v>
      </c>
      <c r="AA4491">
        <v>2007</v>
      </c>
      <c r="AB4491">
        <v>2013</v>
      </c>
      <c r="AC4491" t="s">
        <v>139</v>
      </c>
    </row>
    <row r="4492" spans="1:29" x14ac:dyDescent="0.25">
      <c r="A4492" s="31" t="s">
        <v>613</v>
      </c>
      <c r="B4492" s="23" t="s">
        <v>254</v>
      </c>
      <c r="C4492" t="s">
        <v>614</v>
      </c>
      <c r="D4492">
        <v>1</v>
      </c>
      <c r="E4492" t="s">
        <v>45</v>
      </c>
      <c r="F4492">
        <v>4</v>
      </c>
      <c r="G4492">
        <v>2010</v>
      </c>
      <c r="I4492">
        <v>393.1</v>
      </c>
      <c r="J4492" t="s">
        <v>89</v>
      </c>
      <c r="K4492" t="s">
        <v>47</v>
      </c>
      <c r="O4492">
        <v>0</v>
      </c>
      <c r="P4492">
        <v>0</v>
      </c>
      <c r="Q4492">
        <v>0</v>
      </c>
      <c r="R4492">
        <v>0</v>
      </c>
      <c r="W4492" t="s">
        <v>1140</v>
      </c>
      <c r="AA4492">
        <v>2007</v>
      </c>
      <c r="AB4492">
        <v>9999</v>
      </c>
      <c r="AC4492" t="s">
        <v>35</v>
      </c>
    </row>
    <row r="4493" spans="1:29" x14ac:dyDescent="0.25">
      <c r="A4493" s="31" t="s">
        <v>616</v>
      </c>
      <c r="B4493" s="23" t="s">
        <v>617</v>
      </c>
      <c r="D4493">
        <v>1</v>
      </c>
      <c r="E4493" t="s">
        <v>45</v>
      </c>
      <c r="F4493">
        <v>4</v>
      </c>
      <c r="G4493">
        <v>2010</v>
      </c>
      <c r="I4493">
        <v>16.399999999999999</v>
      </c>
      <c r="J4493" t="s">
        <v>89</v>
      </c>
      <c r="K4493" t="s">
        <v>53</v>
      </c>
      <c r="L4493" t="s">
        <v>60</v>
      </c>
      <c r="O4493">
        <v>1</v>
      </c>
      <c r="P4493">
        <v>0</v>
      </c>
      <c r="Q4493">
        <v>0</v>
      </c>
      <c r="R4493">
        <v>0</v>
      </c>
      <c r="W4493" t="s">
        <v>618</v>
      </c>
      <c r="AA4493">
        <v>2007</v>
      </c>
      <c r="AB4493">
        <v>2016</v>
      </c>
      <c r="AC4493" t="s">
        <v>528</v>
      </c>
    </row>
    <row r="4494" spans="1:29" x14ac:dyDescent="0.25">
      <c r="A4494" s="31" t="s">
        <v>1317</v>
      </c>
      <c r="B4494" s="23" t="s">
        <v>1318</v>
      </c>
      <c r="D4494">
        <v>1</v>
      </c>
      <c r="E4494" t="s">
        <v>1319</v>
      </c>
      <c r="F4494">
        <v>10</v>
      </c>
      <c r="G4494">
        <v>2010</v>
      </c>
      <c r="I4494">
        <v>845.2</v>
      </c>
      <c r="J4494" t="s">
        <v>40</v>
      </c>
      <c r="K4494" t="s">
        <v>32</v>
      </c>
      <c r="O4494">
        <v>0</v>
      </c>
      <c r="P4494">
        <v>0</v>
      </c>
      <c r="Q4494">
        <v>0</v>
      </c>
      <c r="R4494">
        <v>0</v>
      </c>
      <c r="W4494" t="s">
        <v>1320</v>
      </c>
      <c r="AA4494">
        <v>2010</v>
      </c>
      <c r="AB4494">
        <v>9999</v>
      </c>
      <c r="AC4494" t="s">
        <v>1292</v>
      </c>
    </row>
    <row r="4495" spans="1:29" x14ac:dyDescent="0.25">
      <c r="A4495" s="31" t="s">
        <v>616</v>
      </c>
      <c r="B4495" s="23" t="s">
        <v>619</v>
      </c>
      <c r="D4495">
        <v>1</v>
      </c>
      <c r="E4495" t="s">
        <v>620</v>
      </c>
      <c r="F4495">
        <v>5</v>
      </c>
      <c r="G4495">
        <v>2010</v>
      </c>
      <c r="I4495">
        <v>20.7</v>
      </c>
      <c r="J4495" t="s">
        <v>104</v>
      </c>
      <c r="K4495" t="s">
        <v>47</v>
      </c>
      <c r="O4495">
        <v>0</v>
      </c>
      <c r="P4495">
        <v>0</v>
      </c>
      <c r="Q4495">
        <v>0</v>
      </c>
      <c r="R4495">
        <v>0</v>
      </c>
      <c r="W4495" t="s">
        <v>1141</v>
      </c>
      <c r="AA4495">
        <v>2007</v>
      </c>
      <c r="AB4495">
        <v>2016</v>
      </c>
      <c r="AC4495" t="s">
        <v>528</v>
      </c>
    </row>
    <row r="4496" spans="1:29" x14ac:dyDescent="0.25">
      <c r="A4496" s="31" t="s">
        <v>622</v>
      </c>
      <c r="B4496" s="23" t="s">
        <v>623</v>
      </c>
      <c r="C4496" t="s">
        <v>624</v>
      </c>
      <c r="D4496">
        <v>1</v>
      </c>
      <c r="E4496" t="s">
        <v>625</v>
      </c>
      <c r="F4496">
        <v>4</v>
      </c>
      <c r="G4496">
        <v>2010</v>
      </c>
      <c r="I4496">
        <v>248.4</v>
      </c>
      <c r="J4496" t="s">
        <v>89</v>
      </c>
      <c r="K4496" t="s">
        <v>32</v>
      </c>
      <c r="O4496">
        <v>0</v>
      </c>
      <c r="P4496">
        <v>0</v>
      </c>
      <c r="Q4496">
        <v>0</v>
      </c>
      <c r="R4496">
        <v>0</v>
      </c>
      <c r="W4496" t="s">
        <v>1142</v>
      </c>
      <c r="AA4496">
        <v>2007</v>
      </c>
      <c r="AB4496">
        <v>9999</v>
      </c>
      <c r="AC4496" t="s">
        <v>35</v>
      </c>
    </row>
    <row r="4497" spans="1:29" x14ac:dyDescent="0.25">
      <c r="A4497" s="31" t="s">
        <v>629</v>
      </c>
      <c r="B4497" s="23" t="s">
        <v>630</v>
      </c>
      <c r="D4497">
        <v>1</v>
      </c>
      <c r="E4497" t="s">
        <v>631</v>
      </c>
      <c r="F4497">
        <v>8</v>
      </c>
      <c r="G4497">
        <v>2010</v>
      </c>
      <c r="I4497">
        <v>2.8</v>
      </c>
      <c r="J4497" t="s">
        <v>81</v>
      </c>
      <c r="K4497" t="s">
        <v>41</v>
      </c>
      <c r="O4497">
        <v>0</v>
      </c>
      <c r="P4497">
        <v>0</v>
      </c>
      <c r="Q4497">
        <v>0</v>
      </c>
      <c r="R4497">
        <v>0</v>
      </c>
      <c r="W4497" t="s">
        <v>1144</v>
      </c>
      <c r="AA4497">
        <v>2007</v>
      </c>
      <c r="AB4497">
        <v>2014</v>
      </c>
      <c r="AC4497" t="s">
        <v>633</v>
      </c>
    </row>
    <row r="4498" spans="1:29" x14ac:dyDescent="0.25">
      <c r="A4498" s="31" t="s">
        <v>199</v>
      </c>
      <c r="B4498" s="23" t="s">
        <v>1255</v>
      </c>
      <c r="D4498">
        <v>1</v>
      </c>
      <c r="E4498" t="s">
        <v>38</v>
      </c>
      <c r="F4498">
        <v>4</v>
      </c>
      <c r="G4498">
        <v>2010</v>
      </c>
      <c r="H4498" t="s">
        <v>39</v>
      </c>
      <c r="I4498">
        <v>0.01</v>
      </c>
      <c r="J4498" t="s">
        <v>52</v>
      </c>
      <c r="K4498" t="s">
        <v>41</v>
      </c>
      <c r="O4498">
        <v>0</v>
      </c>
      <c r="P4498">
        <v>0</v>
      </c>
      <c r="Q4498">
        <v>0</v>
      </c>
      <c r="R4498">
        <v>0</v>
      </c>
      <c r="W4498" t="s">
        <v>1256</v>
      </c>
      <c r="AA4498">
        <v>2007</v>
      </c>
      <c r="AB4498">
        <v>9999</v>
      </c>
      <c r="AC4498" t="s">
        <v>35</v>
      </c>
    </row>
    <row r="4499" spans="1:29" x14ac:dyDescent="0.25">
      <c r="A4499" s="31" t="s">
        <v>634</v>
      </c>
      <c r="B4499" s="23" t="s">
        <v>635</v>
      </c>
      <c r="D4499">
        <v>1</v>
      </c>
      <c r="E4499" t="s">
        <v>138</v>
      </c>
      <c r="F4499">
        <v>8</v>
      </c>
      <c r="G4499">
        <v>2010</v>
      </c>
      <c r="I4499">
        <v>11.4</v>
      </c>
      <c r="J4499" t="s">
        <v>81</v>
      </c>
      <c r="K4499" t="s">
        <v>47</v>
      </c>
      <c r="O4499">
        <v>0</v>
      </c>
      <c r="P4499">
        <v>0</v>
      </c>
      <c r="Q4499">
        <v>0</v>
      </c>
      <c r="R4499">
        <v>0</v>
      </c>
      <c r="W4499" t="s">
        <v>1145</v>
      </c>
      <c r="AA4499">
        <v>2007</v>
      </c>
      <c r="AB4499">
        <v>2010</v>
      </c>
      <c r="AC4499" t="s">
        <v>91</v>
      </c>
    </row>
    <row r="4500" spans="1:29" x14ac:dyDescent="0.25">
      <c r="A4500" s="31" t="s">
        <v>637</v>
      </c>
      <c r="B4500" s="23" t="s">
        <v>638</v>
      </c>
      <c r="D4500">
        <v>1</v>
      </c>
      <c r="E4500" t="s">
        <v>38</v>
      </c>
      <c r="F4500">
        <v>4</v>
      </c>
      <c r="G4500">
        <v>2010</v>
      </c>
      <c r="H4500" t="s">
        <v>639</v>
      </c>
      <c r="I4500">
        <v>2</v>
      </c>
      <c r="J4500" t="s">
        <v>89</v>
      </c>
      <c r="K4500" t="s">
        <v>41</v>
      </c>
      <c r="O4500">
        <v>0</v>
      </c>
      <c r="P4500">
        <v>0</v>
      </c>
      <c r="Q4500">
        <v>0</v>
      </c>
      <c r="R4500">
        <v>0</v>
      </c>
      <c r="W4500" t="s">
        <v>1146</v>
      </c>
      <c r="AA4500">
        <v>2007</v>
      </c>
      <c r="AB4500">
        <v>2010</v>
      </c>
      <c r="AC4500" t="s">
        <v>91</v>
      </c>
    </row>
    <row r="4501" spans="1:29" x14ac:dyDescent="0.25">
      <c r="A4501" s="31" t="s">
        <v>641</v>
      </c>
      <c r="B4501" s="23" t="s">
        <v>642</v>
      </c>
      <c r="D4501">
        <v>1</v>
      </c>
      <c r="E4501" t="s">
        <v>348</v>
      </c>
      <c r="F4501">
        <v>1</v>
      </c>
      <c r="G4501">
        <v>2010</v>
      </c>
      <c r="I4501">
        <v>4435.8</v>
      </c>
      <c r="J4501" t="s">
        <v>268</v>
      </c>
      <c r="K4501" t="s">
        <v>53</v>
      </c>
      <c r="L4501" t="s">
        <v>642</v>
      </c>
      <c r="O4501">
        <v>0</v>
      </c>
      <c r="P4501">
        <v>0</v>
      </c>
      <c r="Q4501">
        <v>0</v>
      </c>
      <c r="R4501">
        <v>0</v>
      </c>
      <c r="W4501" t="s">
        <v>643</v>
      </c>
      <c r="AA4501">
        <v>2007</v>
      </c>
      <c r="AB4501">
        <v>9999</v>
      </c>
      <c r="AC4501" t="s">
        <v>35</v>
      </c>
    </row>
    <row r="4502" spans="1:29" x14ac:dyDescent="0.25">
      <c r="A4502" s="31" t="s">
        <v>153</v>
      </c>
      <c r="B4502" s="23" t="s">
        <v>644</v>
      </c>
      <c r="D4502">
        <v>1</v>
      </c>
      <c r="E4502" t="s">
        <v>155</v>
      </c>
      <c r="F4502">
        <v>3</v>
      </c>
      <c r="G4502">
        <v>2010</v>
      </c>
      <c r="I4502">
        <v>94.568778656126</v>
      </c>
      <c r="J4502" t="s">
        <v>121</v>
      </c>
      <c r="K4502" t="s">
        <v>53</v>
      </c>
      <c r="L4502" t="s">
        <v>60</v>
      </c>
      <c r="O4502">
        <v>1</v>
      </c>
      <c r="P4502">
        <v>0</v>
      </c>
      <c r="Q4502">
        <v>0</v>
      </c>
      <c r="R4502">
        <v>0</v>
      </c>
      <c r="V4502">
        <v>1</v>
      </c>
      <c r="W4502" t="s">
        <v>645</v>
      </c>
      <c r="AA4502">
        <v>2007</v>
      </c>
      <c r="AB4502">
        <v>9999</v>
      </c>
      <c r="AC4502" t="s">
        <v>35</v>
      </c>
    </row>
    <row r="4503" spans="1:29" x14ac:dyDescent="0.25">
      <c r="A4503" s="31" t="s">
        <v>646</v>
      </c>
      <c r="B4503" s="26" t="s">
        <v>647</v>
      </c>
      <c r="D4503">
        <v>1</v>
      </c>
      <c r="E4503" t="s">
        <v>128</v>
      </c>
      <c r="F4503">
        <v>9</v>
      </c>
      <c r="G4503">
        <v>2010</v>
      </c>
      <c r="H4503" t="s">
        <v>260</v>
      </c>
      <c r="I4503">
        <v>2.75</v>
      </c>
      <c r="J4503" t="s">
        <v>104</v>
      </c>
      <c r="K4503" t="s">
        <v>41</v>
      </c>
      <c r="O4503">
        <v>0</v>
      </c>
      <c r="P4503">
        <v>0</v>
      </c>
      <c r="Q4503">
        <v>0</v>
      </c>
      <c r="R4503">
        <v>0</v>
      </c>
      <c r="W4503" t="s">
        <v>1147</v>
      </c>
      <c r="AA4503">
        <v>2007</v>
      </c>
      <c r="AB4503">
        <v>2018</v>
      </c>
      <c r="AC4503" t="s">
        <v>649</v>
      </c>
    </row>
    <row r="4504" spans="1:29" x14ac:dyDescent="0.25">
      <c r="A4504" s="31" t="s">
        <v>650</v>
      </c>
      <c r="B4504" s="26" t="s">
        <v>651</v>
      </c>
      <c r="D4504">
        <v>1</v>
      </c>
      <c r="E4504" t="s">
        <v>128</v>
      </c>
      <c r="F4504">
        <v>9</v>
      </c>
      <c r="G4504">
        <v>2010</v>
      </c>
      <c r="H4504" t="s">
        <v>431</v>
      </c>
      <c r="I4504">
        <v>1.5</v>
      </c>
      <c r="J4504" t="s">
        <v>104</v>
      </c>
      <c r="K4504" t="s">
        <v>41</v>
      </c>
      <c r="O4504">
        <v>0</v>
      </c>
      <c r="P4504">
        <v>0</v>
      </c>
      <c r="Q4504">
        <v>0</v>
      </c>
      <c r="R4504">
        <v>0</v>
      </c>
      <c r="W4504" t="s">
        <v>1147</v>
      </c>
      <c r="AA4504">
        <v>2007</v>
      </c>
      <c r="AB4504">
        <v>2018</v>
      </c>
      <c r="AC4504" t="s">
        <v>649</v>
      </c>
    </row>
    <row r="4505" spans="1:29" x14ac:dyDescent="0.25">
      <c r="A4505" s="31" t="s">
        <v>652</v>
      </c>
      <c r="B4505" s="26" t="s">
        <v>653</v>
      </c>
      <c r="D4505">
        <v>1</v>
      </c>
      <c r="E4505" t="s">
        <v>128</v>
      </c>
      <c r="F4505">
        <v>9</v>
      </c>
      <c r="G4505">
        <v>2010</v>
      </c>
      <c r="H4505" t="s">
        <v>461</v>
      </c>
      <c r="I4505">
        <v>2.75</v>
      </c>
      <c r="J4505" t="s">
        <v>104</v>
      </c>
      <c r="K4505" t="s">
        <v>41</v>
      </c>
      <c r="O4505">
        <v>0</v>
      </c>
      <c r="P4505">
        <v>0</v>
      </c>
      <c r="Q4505">
        <v>0</v>
      </c>
      <c r="R4505">
        <v>0</v>
      </c>
      <c r="W4505" t="s">
        <v>1147</v>
      </c>
      <c r="AA4505">
        <v>2007</v>
      </c>
      <c r="AB4505">
        <v>2018</v>
      </c>
      <c r="AC4505" t="s">
        <v>649</v>
      </c>
    </row>
    <row r="4506" spans="1:29" x14ac:dyDescent="0.25">
      <c r="A4506" s="31" t="s">
        <v>654</v>
      </c>
      <c r="B4506" s="26" t="s">
        <v>655</v>
      </c>
      <c r="D4506">
        <v>1</v>
      </c>
      <c r="E4506" t="s">
        <v>128</v>
      </c>
      <c r="F4506">
        <v>9</v>
      </c>
      <c r="G4506">
        <v>2010</v>
      </c>
      <c r="H4506" t="s">
        <v>365</v>
      </c>
      <c r="I4506">
        <v>5</v>
      </c>
      <c r="J4506" t="s">
        <v>104</v>
      </c>
      <c r="K4506" t="s">
        <v>41</v>
      </c>
      <c r="O4506">
        <v>0</v>
      </c>
      <c r="P4506">
        <v>0</v>
      </c>
      <c r="Q4506">
        <v>0</v>
      </c>
      <c r="R4506">
        <v>0</v>
      </c>
      <c r="W4506" t="s">
        <v>1147</v>
      </c>
      <c r="AA4506">
        <v>2007</v>
      </c>
      <c r="AB4506">
        <v>2018</v>
      </c>
      <c r="AC4506" t="s">
        <v>649</v>
      </c>
    </row>
    <row r="4507" spans="1:29" x14ac:dyDescent="0.25">
      <c r="A4507" s="31" t="s">
        <v>656</v>
      </c>
      <c r="B4507" s="26" t="s">
        <v>657</v>
      </c>
      <c r="D4507">
        <v>1</v>
      </c>
      <c r="E4507" t="s">
        <v>128</v>
      </c>
      <c r="F4507">
        <v>9</v>
      </c>
      <c r="G4507">
        <v>2010</v>
      </c>
      <c r="H4507" t="s">
        <v>658</v>
      </c>
      <c r="I4507">
        <v>1.5</v>
      </c>
      <c r="J4507" t="s">
        <v>104</v>
      </c>
      <c r="K4507" t="s">
        <v>41</v>
      </c>
      <c r="O4507">
        <v>0</v>
      </c>
      <c r="P4507">
        <v>0</v>
      </c>
      <c r="Q4507">
        <v>0</v>
      </c>
      <c r="R4507">
        <v>0</v>
      </c>
      <c r="W4507" t="s">
        <v>1147</v>
      </c>
      <c r="AA4507">
        <v>2007</v>
      </c>
      <c r="AB4507">
        <v>2018</v>
      </c>
      <c r="AC4507" t="s">
        <v>649</v>
      </c>
    </row>
    <row r="4508" spans="1:29" x14ac:dyDescent="0.25">
      <c r="A4508" s="31" t="s">
        <v>659</v>
      </c>
      <c r="B4508" s="26" t="s">
        <v>660</v>
      </c>
      <c r="D4508">
        <v>1</v>
      </c>
      <c r="E4508" t="s">
        <v>128</v>
      </c>
      <c r="F4508">
        <v>9</v>
      </c>
      <c r="G4508">
        <v>2010</v>
      </c>
      <c r="H4508" t="s">
        <v>661</v>
      </c>
      <c r="I4508">
        <v>2.75</v>
      </c>
      <c r="J4508" t="s">
        <v>104</v>
      </c>
      <c r="K4508" t="s">
        <v>41</v>
      </c>
      <c r="O4508">
        <v>0</v>
      </c>
      <c r="P4508">
        <v>0</v>
      </c>
      <c r="Q4508">
        <v>0</v>
      </c>
      <c r="R4508">
        <v>0</v>
      </c>
      <c r="W4508" t="s">
        <v>1147</v>
      </c>
      <c r="AA4508">
        <v>2007</v>
      </c>
      <c r="AB4508">
        <v>2018</v>
      </c>
      <c r="AC4508" t="s">
        <v>649</v>
      </c>
    </row>
    <row r="4509" spans="1:29" x14ac:dyDescent="0.25">
      <c r="A4509" s="31" t="s">
        <v>199</v>
      </c>
      <c r="B4509" s="25" t="s">
        <v>665</v>
      </c>
      <c r="D4509">
        <v>1</v>
      </c>
      <c r="E4509" t="s">
        <v>45</v>
      </c>
      <c r="F4509">
        <v>4</v>
      </c>
      <c r="G4509">
        <v>2010</v>
      </c>
      <c r="H4509" t="s">
        <v>39</v>
      </c>
      <c r="I4509">
        <v>0.75</v>
      </c>
      <c r="J4509" t="s">
        <v>52</v>
      </c>
      <c r="K4509" t="s">
        <v>41</v>
      </c>
      <c r="O4509">
        <v>0</v>
      </c>
      <c r="P4509">
        <v>0</v>
      </c>
      <c r="Q4509">
        <v>0</v>
      </c>
      <c r="R4509">
        <v>0</v>
      </c>
      <c r="W4509" t="s">
        <v>1148</v>
      </c>
      <c r="AA4509">
        <v>2007</v>
      </c>
      <c r="AB4509">
        <v>9999</v>
      </c>
      <c r="AC4509" t="s">
        <v>35</v>
      </c>
    </row>
    <row r="4510" spans="1:29" x14ac:dyDescent="0.25">
      <c r="A4510" s="31" t="s">
        <v>667</v>
      </c>
      <c r="B4510" s="23" t="s">
        <v>668</v>
      </c>
      <c r="D4510">
        <v>1</v>
      </c>
      <c r="E4510" t="s">
        <v>45</v>
      </c>
      <c r="F4510">
        <v>4</v>
      </c>
      <c r="G4510">
        <v>2010</v>
      </c>
      <c r="I4510">
        <v>19.5</v>
      </c>
      <c r="J4510" t="s">
        <v>121</v>
      </c>
      <c r="K4510" t="s">
        <v>47</v>
      </c>
      <c r="O4510">
        <v>0</v>
      </c>
      <c r="P4510">
        <v>0</v>
      </c>
      <c r="Q4510">
        <v>0</v>
      </c>
      <c r="R4510">
        <v>0</v>
      </c>
      <c r="W4510" t="s">
        <v>1149</v>
      </c>
      <c r="AA4510">
        <v>2007</v>
      </c>
      <c r="AB4510">
        <v>9999</v>
      </c>
      <c r="AC4510" t="s">
        <v>35</v>
      </c>
    </row>
    <row r="4511" spans="1:29" x14ac:dyDescent="0.25">
      <c r="A4511" s="31" t="s">
        <v>670</v>
      </c>
      <c r="B4511" s="23" t="s">
        <v>671</v>
      </c>
      <c r="D4511">
        <v>1</v>
      </c>
      <c r="E4511" t="s">
        <v>80</v>
      </c>
      <c r="F4511">
        <v>8</v>
      </c>
      <c r="G4511">
        <v>2010</v>
      </c>
      <c r="I4511">
        <v>351.9</v>
      </c>
      <c r="J4511" t="s">
        <v>81</v>
      </c>
      <c r="K4511" t="s">
        <v>47</v>
      </c>
      <c r="O4511">
        <v>0</v>
      </c>
      <c r="P4511">
        <v>0</v>
      </c>
      <c r="Q4511">
        <v>0</v>
      </c>
      <c r="R4511">
        <v>0</v>
      </c>
      <c r="W4511" t="s">
        <v>1150</v>
      </c>
      <c r="AA4511">
        <v>2007</v>
      </c>
      <c r="AB4511">
        <v>9999</v>
      </c>
      <c r="AC4511" t="s">
        <v>35</v>
      </c>
    </row>
    <row r="4512" spans="1:29" x14ac:dyDescent="0.25">
      <c r="A4512" s="31" t="s">
        <v>673</v>
      </c>
      <c r="B4512" s="23" t="s">
        <v>1321</v>
      </c>
      <c r="D4512">
        <v>1</v>
      </c>
      <c r="E4512" t="s">
        <v>358</v>
      </c>
      <c r="F4512">
        <v>1</v>
      </c>
      <c r="G4512">
        <v>2010</v>
      </c>
      <c r="I4512">
        <v>530.9</v>
      </c>
      <c r="J4512" t="s">
        <v>81</v>
      </c>
      <c r="K4512" t="s">
        <v>47</v>
      </c>
      <c r="O4512">
        <v>0</v>
      </c>
      <c r="P4512">
        <v>0</v>
      </c>
      <c r="Q4512">
        <v>0</v>
      </c>
      <c r="R4512">
        <v>0</v>
      </c>
      <c r="W4512" t="s">
        <v>1322</v>
      </c>
      <c r="AA4512">
        <v>2007</v>
      </c>
      <c r="AB4512">
        <v>9999</v>
      </c>
      <c r="AC4512" t="s">
        <v>35</v>
      </c>
    </row>
    <row r="4513" spans="1:29" x14ac:dyDescent="0.25">
      <c r="A4513" s="31" t="s">
        <v>676</v>
      </c>
      <c r="B4513" s="23" t="s">
        <v>677</v>
      </c>
      <c r="C4513" t="s">
        <v>678</v>
      </c>
      <c r="D4513">
        <v>1</v>
      </c>
      <c r="E4513" t="s">
        <v>168</v>
      </c>
      <c r="F4513">
        <v>1</v>
      </c>
      <c r="G4513">
        <v>2010</v>
      </c>
      <c r="I4513">
        <v>158.19999999999999</v>
      </c>
      <c r="J4513" t="s">
        <v>52</v>
      </c>
      <c r="K4513" t="s">
        <v>32</v>
      </c>
      <c r="O4513">
        <v>0</v>
      </c>
      <c r="P4513">
        <v>0</v>
      </c>
      <c r="Q4513">
        <v>0</v>
      </c>
      <c r="R4513">
        <v>0</v>
      </c>
      <c r="W4513" t="s">
        <v>1152</v>
      </c>
      <c r="AA4513">
        <v>2007</v>
      </c>
      <c r="AB4513">
        <v>9999</v>
      </c>
      <c r="AC4513" t="s">
        <v>35</v>
      </c>
    </row>
    <row r="4514" spans="1:29" x14ac:dyDescent="0.25">
      <c r="A4514" s="31" t="s">
        <v>472</v>
      </c>
      <c r="B4514" s="23" t="s">
        <v>680</v>
      </c>
      <c r="D4514">
        <v>1</v>
      </c>
      <c r="E4514" t="s">
        <v>681</v>
      </c>
      <c r="F4514">
        <v>3</v>
      </c>
      <c r="G4514">
        <v>2010</v>
      </c>
      <c r="I4514">
        <v>25331.5</v>
      </c>
      <c r="J4514" t="s">
        <v>121</v>
      </c>
      <c r="K4514" t="s">
        <v>76</v>
      </c>
      <c r="O4514">
        <v>0</v>
      </c>
      <c r="P4514">
        <v>0</v>
      </c>
      <c r="Q4514">
        <v>0</v>
      </c>
      <c r="R4514">
        <v>0</v>
      </c>
      <c r="W4514" t="s">
        <v>475</v>
      </c>
      <c r="AA4514">
        <v>2007</v>
      </c>
      <c r="AB4514">
        <v>9999</v>
      </c>
      <c r="AC4514" t="s">
        <v>35</v>
      </c>
    </row>
    <row r="4515" spans="1:29" x14ac:dyDescent="0.25">
      <c r="A4515" s="31" t="s">
        <v>682</v>
      </c>
      <c r="B4515" s="23" t="s">
        <v>683</v>
      </c>
      <c r="D4515">
        <v>1</v>
      </c>
      <c r="E4515" t="s">
        <v>38</v>
      </c>
      <c r="F4515">
        <v>4</v>
      </c>
      <c r="G4515">
        <v>2010</v>
      </c>
      <c r="I4515">
        <v>19</v>
      </c>
      <c r="J4515" t="s">
        <v>89</v>
      </c>
      <c r="K4515" t="s">
        <v>32</v>
      </c>
      <c r="O4515">
        <v>0</v>
      </c>
      <c r="P4515">
        <v>0</v>
      </c>
      <c r="Q4515">
        <v>0</v>
      </c>
      <c r="R4515">
        <v>0</v>
      </c>
      <c r="W4515" t="s">
        <v>1257</v>
      </c>
      <c r="AA4515">
        <v>2007</v>
      </c>
      <c r="AB4515">
        <v>2010</v>
      </c>
      <c r="AC4515" t="s">
        <v>91</v>
      </c>
    </row>
    <row r="4516" spans="1:29" x14ac:dyDescent="0.25">
      <c r="A4516" s="31" t="s">
        <v>685</v>
      </c>
      <c r="B4516" s="23" t="s">
        <v>686</v>
      </c>
      <c r="D4516">
        <v>1</v>
      </c>
      <c r="E4516" t="s">
        <v>80</v>
      </c>
      <c r="F4516">
        <v>8</v>
      </c>
      <c r="G4516">
        <v>2010</v>
      </c>
      <c r="I4516">
        <v>43.7</v>
      </c>
      <c r="J4516" t="s">
        <v>81</v>
      </c>
      <c r="K4516" t="s">
        <v>47</v>
      </c>
      <c r="O4516">
        <v>0</v>
      </c>
      <c r="P4516">
        <v>0</v>
      </c>
      <c r="Q4516">
        <v>0</v>
      </c>
      <c r="R4516">
        <v>0</v>
      </c>
      <c r="W4516" t="s">
        <v>1153</v>
      </c>
      <c r="AA4516">
        <v>2007</v>
      </c>
      <c r="AB4516">
        <v>2017</v>
      </c>
      <c r="AC4516" t="s">
        <v>435</v>
      </c>
    </row>
    <row r="4517" spans="1:29" x14ac:dyDescent="0.25">
      <c r="A4517" s="31" t="s">
        <v>688</v>
      </c>
      <c r="B4517" s="25" t="s">
        <v>689</v>
      </c>
      <c r="D4517">
        <v>1</v>
      </c>
      <c r="E4517" t="s">
        <v>145</v>
      </c>
      <c r="F4517">
        <v>2</v>
      </c>
      <c r="G4517">
        <v>2010</v>
      </c>
      <c r="H4517" t="s">
        <v>146</v>
      </c>
      <c r="I4517">
        <v>2.5000000000000001E-2</v>
      </c>
      <c r="J4517" s="2" t="s">
        <v>147</v>
      </c>
      <c r="K4517" t="s">
        <v>41</v>
      </c>
      <c r="O4517">
        <v>0</v>
      </c>
      <c r="P4517">
        <v>0</v>
      </c>
      <c r="Q4517">
        <v>0</v>
      </c>
      <c r="R4517">
        <v>0</v>
      </c>
      <c r="W4517" t="s">
        <v>1154</v>
      </c>
      <c r="AA4517">
        <v>2007</v>
      </c>
      <c r="AB4517">
        <v>9999</v>
      </c>
      <c r="AC4517" t="s">
        <v>35</v>
      </c>
    </row>
    <row r="4518" spans="1:29" x14ac:dyDescent="0.25">
      <c r="A4518" s="31" t="s">
        <v>691</v>
      </c>
      <c r="B4518" s="23" t="s">
        <v>692</v>
      </c>
      <c r="D4518">
        <v>1</v>
      </c>
      <c r="E4518" t="s">
        <v>625</v>
      </c>
      <c r="F4518">
        <v>4</v>
      </c>
      <c r="G4518">
        <v>2010</v>
      </c>
      <c r="I4518">
        <v>15.1</v>
      </c>
      <c r="J4518" t="s">
        <v>89</v>
      </c>
      <c r="K4518" t="s">
        <v>32</v>
      </c>
      <c r="O4518">
        <v>0</v>
      </c>
      <c r="P4518">
        <v>0</v>
      </c>
      <c r="Q4518">
        <v>0</v>
      </c>
      <c r="R4518">
        <v>0</v>
      </c>
      <c r="W4518" t="s">
        <v>1155</v>
      </c>
      <c r="AA4518">
        <v>2007</v>
      </c>
      <c r="AB4518">
        <v>9999</v>
      </c>
      <c r="AC4518" t="s">
        <v>35</v>
      </c>
    </row>
    <row r="4519" spans="1:29" x14ac:dyDescent="0.25">
      <c r="A4519" s="31" t="s">
        <v>694</v>
      </c>
      <c r="B4519" s="25" t="s">
        <v>695</v>
      </c>
      <c r="C4519" t="s">
        <v>696</v>
      </c>
      <c r="D4519">
        <v>1</v>
      </c>
      <c r="E4519" t="s">
        <v>58</v>
      </c>
      <c r="F4519">
        <v>4</v>
      </c>
      <c r="G4519">
        <v>2010</v>
      </c>
      <c r="I4519">
        <v>141.80000000000001</v>
      </c>
      <c r="J4519" t="s">
        <v>59</v>
      </c>
      <c r="K4519" t="s">
        <v>47</v>
      </c>
      <c r="O4519">
        <v>0</v>
      </c>
      <c r="P4519">
        <v>0</v>
      </c>
      <c r="Q4519">
        <v>0</v>
      </c>
      <c r="R4519">
        <v>0</v>
      </c>
      <c r="W4519" t="s">
        <v>1156</v>
      </c>
      <c r="AA4519">
        <v>2007</v>
      </c>
      <c r="AB4519">
        <v>9999</v>
      </c>
      <c r="AC4519" t="s">
        <v>35</v>
      </c>
    </row>
    <row r="4520" spans="1:29" x14ac:dyDescent="0.25">
      <c r="A4520" s="31" t="s">
        <v>698</v>
      </c>
      <c r="B4520" s="23" t="s">
        <v>699</v>
      </c>
      <c r="D4520">
        <v>1</v>
      </c>
      <c r="E4520" t="s">
        <v>155</v>
      </c>
      <c r="F4520">
        <v>3</v>
      </c>
      <c r="G4520">
        <v>2010</v>
      </c>
      <c r="H4520" t="s">
        <v>700</v>
      </c>
      <c r="I4520">
        <v>7.6264822134379999</v>
      </c>
      <c r="J4520" t="s">
        <v>121</v>
      </c>
      <c r="K4520" t="s">
        <v>47</v>
      </c>
      <c r="O4520">
        <v>0</v>
      </c>
      <c r="P4520">
        <v>0</v>
      </c>
      <c r="Q4520">
        <v>0</v>
      </c>
      <c r="R4520">
        <v>0</v>
      </c>
      <c r="V4520">
        <v>1</v>
      </c>
      <c r="W4520" t="s">
        <v>1157</v>
      </c>
      <c r="AA4520">
        <v>2007</v>
      </c>
      <c r="AB4520">
        <v>9999</v>
      </c>
      <c r="AC4520" t="s">
        <v>35</v>
      </c>
    </row>
    <row r="4521" spans="1:29" x14ac:dyDescent="0.25">
      <c r="A4521" s="31" t="s">
        <v>702</v>
      </c>
      <c r="B4521" s="25" t="s">
        <v>703</v>
      </c>
      <c r="D4521">
        <v>1</v>
      </c>
      <c r="E4521" t="s">
        <v>155</v>
      </c>
      <c r="F4521">
        <v>3</v>
      </c>
      <c r="G4521">
        <v>2010</v>
      </c>
      <c r="H4521" t="s">
        <v>704</v>
      </c>
      <c r="J4521" t="s">
        <v>121</v>
      </c>
      <c r="K4521" t="s">
        <v>41</v>
      </c>
      <c r="O4521">
        <v>0</v>
      </c>
      <c r="P4521">
        <v>0</v>
      </c>
      <c r="Q4521">
        <v>0</v>
      </c>
      <c r="R4521">
        <v>0</v>
      </c>
      <c r="V4521">
        <v>1</v>
      </c>
      <c r="W4521" t="s">
        <v>1158</v>
      </c>
      <c r="AA4521">
        <v>2007</v>
      </c>
      <c r="AB4521">
        <v>9999</v>
      </c>
      <c r="AC4521" t="s">
        <v>35</v>
      </c>
    </row>
    <row r="4522" spans="1:29" x14ac:dyDescent="0.25">
      <c r="A4522" s="31" t="s">
        <v>706</v>
      </c>
      <c r="B4522" s="23" t="s">
        <v>707</v>
      </c>
      <c r="C4522" t="s">
        <v>708</v>
      </c>
      <c r="D4522">
        <v>1</v>
      </c>
      <c r="E4522" t="s">
        <v>155</v>
      </c>
      <c r="F4522">
        <v>3</v>
      </c>
      <c r="G4522">
        <v>2010</v>
      </c>
      <c r="I4522">
        <v>377.2</v>
      </c>
      <c r="J4522" t="s">
        <v>121</v>
      </c>
      <c r="K4522" t="s">
        <v>47</v>
      </c>
      <c r="O4522">
        <v>0</v>
      </c>
      <c r="P4522">
        <v>0</v>
      </c>
      <c r="Q4522">
        <v>0</v>
      </c>
      <c r="R4522">
        <v>0</v>
      </c>
      <c r="W4522" t="s">
        <v>1159</v>
      </c>
      <c r="AA4522">
        <v>2007</v>
      </c>
      <c r="AB4522">
        <v>9999</v>
      </c>
      <c r="AC4522" t="s">
        <v>35</v>
      </c>
    </row>
    <row r="4523" spans="1:29" x14ac:dyDescent="0.25">
      <c r="A4523" s="31" t="s">
        <v>710</v>
      </c>
      <c r="B4523" s="23" t="s">
        <v>711</v>
      </c>
      <c r="D4523">
        <v>1</v>
      </c>
      <c r="E4523" t="s">
        <v>712</v>
      </c>
      <c r="F4523">
        <v>9</v>
      </c>
      <c r="G4523">
        <v>2010</v>
      </c>
      <c r="I4523">
        <v>74.7</v>
      </c>
      <c r="J4523" t="s">
        <v>104</v>
      </c>
      <c r="K4523" t="s">
        <v>32</v>
      </c>
      <c r="O4523">
        <v>0</v>
      </c>
      <c r="P4523">
        <v>0</v>
      </c>
      <c r="Q4523">
        <v>0</v>
      </c>
      <c r="R4523">
        <v>0</v>
      </c>
      <c r="W4523" t="s">
        <v>713</v>
      </c>
      <c r="AA4523">
        <v>2007</v>
      </c>
      <c r="AB4523">
        <v>9999</v>
      </c>
      <c r="AC4523" t="s">
        <v>35</v>
      </c>
    </row>
    <row r="4524" spans="1:29" x14ac:dyDescent="0.25">
      <c r="A4524" s="31" t="s">
        <v>714</v>
      </c>
      <c r="B4524" s="23" t="s">
        <v>715</v>
      </c>
      <c r="D4524">
        <v>1</v>
      </c>
      <c r="E4524" t="s">
        <v>80</v>
      </c>
      <c r="F4524">
        <v>8</v>
      </c>
      <c r="G4524">
        <v>2010</v>
      </c>
      <c r="I4524">
        <v>44</v>
      </c>
      <c r="J4524" t="s">
        <v>151</v>
      </c>
      <c r="K4524" t="s">
        <v>76</v>
      </c>
      <c r="O4524">
        <v>0</v>
      </c>
      <c r="P4524">
        <v>0</v>
      </c>
      <c r="Q4524">
        <v>0</v>
      </c>
      <c r="R4524">
        <v>0</v>
      </c>
      <c r="W4524" t="s">
        <v>1323</v>
      </c>
      <c r="AA4524">
        <v>2007</v>
      </c>
      <c r="AB4524">
        <v>9999</v>
      </c>
      <c r="AC4524" t="s">
        <v>35</v>
      </c>
    </row>
    <row r="4525" spans="1:29" x14ac:dyDescent="0.25">
      <c r="A4525" s="31" t="s">
        <v>717</v>
      </c>
      <c r="B4525" s="25" t="s">
        <v>718</v>
      </c>
      <c r="D4525">
        <v>1</v>
      </c>
      <c r="E4525" t="s">
        <v>51</v>
      </c>
      <c r="F4525">
        <v>1</v>
      </c>
      <c r="G4525">
        <v>2010</v>
      </c>
      <c r="I4525">
        <v>17</v>
      </c>
      <c r="J4525" t="s">
        <v>52</v>
      </c>
      <c r="K4525" t="s">
        <v>53</v>
      </c>
      <c r="L4525" t="s">
        <v>54</v>
      </c>
      <c r="O4525">
        <v>0</v>
      </c>
      <c r="P4525">
        <v>0</v>
      </c>
      <c r="Q4525">
        <v>1</v>
      </c>
      <c r="R4525">
        <v>0</v>
      </c>
      <c r="W4525" t="s">
        <v>55</v>
      </c>
      <c r="AA4525">
        <v>2007</v>
      </c>
      <c r="AB4525">
        <v>9999</v>
      </c>
      <c r="AC4525" t="s">
        <v>35</v>
      </c>
    </row>
    <row r="4526" spans="1:29" x14ac:dyDescent="0.25">
      <c r="A4526" s="31" t="s">
        <v>719</v>
      </c>
      <c r="B4526" s="25" t="s">
        <v>720</v>
      </c>
      <c r="D4526">
        <v>1</v>
      </c>
      <c r="E4526" t="s">
        <v>51</v>
      </c>
      <c r="F4526">
        <v>1</v>
      </c>
      <c r="G4526">
        <v>2010</v>
      </c>
      <c r="I4526">
        <v>32</v>
      </c>
      <c r="J4526" t="s">
        <v>52</v>
      </c>
      <c r="K4526" t="s">
        <v>53</v>
      </c>
      <c r="L4526" t="s">
        <v>54</v>
      </c>
      <c r="O4526">
        <v>0</v>
      </c>
      <c r="P4526">
        <v>0</v>
      </c>
      <c r="Q4526">
        <v>1</v>
      </c>
      <c r="R4526">
        <v>0</v>
      </c>
      <c r="W4526" t="s">
        <v>721</v>
      </c>
      <c r="AA4526">
        <v>2007</v>
      </c>
      <c r="AB4526">
        <v>9999</v>
      </c>
      <c r="AC4526" t="s">
        <v>35</v>
      </c>
    </row>
    <row r="4527" spans="1:29" x14ac:dyDescent="0.25">
      <c r="A4527" s="31" t="s">
        <v>722</v>
      </c>
      <c r="B4527" s="23" t="s">
        <v>723</v>
      </c>
      <c r="D4527">
        <v>1</v>
      </c>
      <c r="E4527" t="s">
        <v>724</v>
      </c>
      <c r="F4527">
        <v>4</v>
      </c>
      <c r="G4527">
        <v>2010</v>
      </c>
      <c r="I4527">
        <v>1115</v>
      </c>
      <c r="J4527" t="s">
        <v>89</v>
      </c>
      <c r="K4527" t="s">
        <v>32</v>
      </c>
      <c r="L4527" t="s">
        <v>33</v>
      </c>
      <c r="O4527">
        <v>0</v>
      </c>
      <c r="P4527">
        <v>0</v>
      </c>
      <c r="Q4527">
        <v>0</v>
      </c>
      <c r="R4527">
        <v>1</v>
      </c>
      <c r="W4527" t="s">
        <v>1161</v>
      </c>
      <c r="AA4527">
        <v>2007</v>
      </c>
      <c r="AB4527">
        <v>9999</v>
      </c>
      <c r="AC4527" t="s">
        <v>35</v>
      </c>
    </row>
    <row r="4528" spans="1:29" x14ac:dyDescent="0.25">
      <c r="A4528" s="31" t="s">
        <v>726</v>
      </c>
      <c r="B4528" s="25" t="s">
        <v>727</v>
      </c>
      <c r="D4528">
        <v>1</v>
      </c>
      <c r="E4528" t="s">
        <v>85</v>
      </c>
      <c r="F4528">
        <v>1</v>
      </c>
      <c r="G4528">
        <v>2010</v>
      </c>
      <c r="H4528" t="s">
        <v>205</v>
      </c>
      <c r="I4528">
        <v>10</v>
      </c>
      <c r="J4528" t="s">
        <v>52</v>
      </c>
      <c r="K4528" t="s">
        <v>41</v>
      </c>
      <c r="O4528">
        <v>0</v>
      </c>
      <c r="P4528">
        <v>0</v>
      </c>
      <c r="Q4528">
        <v>0</v>
      </c>
      <c r="R4528">
        <v>0</v>
      </c>
      <c r="W4528" t="s">
        <v>1162</v>
      </c>
      <c r="AA4528">
        <v>2007</v>
      </c>
      <c r="AB4528">
        <v>9999</v>
      </c>
      <c r="AC4528" t="s">
        <v>35</v>
      </c>
    </row>
    <row r="4529" spans="1:29" x14ac:dyDescent="0.25">
      <c r="A4529" s="31" t="s">
        <v>729</v>
      </c>
      <c r="B4529" s="23" t="s">
        <v>205</v>
      </c>
      <c r="D4529">
        <v>1</v>
      </c>
      <c r="E4529" t="s">
        <v>168</v>
      </c>
      <c r="F4529">
        <v>1</v>
      </c>
      <c r="G4529">
        <v>2010</v>
      </c>
      <c r="I4529">
        <v>9436.7999999999993</v>
      </c>
      <c r="J4529" t="s">
        <v>52</v>
      </c>
      <c r="K4529" t="s">
        <v>47</v>
      </c>
      <c r="O4529">
        <v>0</v>
      </c>
      <c r="P4529">
        <v>0</v>
      </c>
      <c r="Q4529">
        <v>0</v>
      </c>
      <c r="R4529">
        <v>0</v>
      </c>
      <c r="W4529" t="s">
        <v>1163</v>
      </c>
      <c r="AA4529">
        <v>2007</v>
      </c>
      <c r="AB4529">
        <v>9999</v>
      </c>
      <c r="AC4529" t="s">
        <v>35</v>
      </c>
    </row>
    <row r="4530" spans="1:29" x14ac:dyDescent="0.25">
      <c r="A4530" s="31" t="s">
        <v>731</v>
      </c>
      <c r="B4530" s="25" t="s">
        <v>732</v>
      </c>
      <c r="D4530">
        <v>1</v>
      </c>
      <c r="E4530" t="s">
        <v>51</v>
      </c>
      <c r="F4530">
        <v>10</v>
      </c>
      <c r="G4530">
        <v>2010</v>
      </c>
      <c r="H4530" t="s">
        <v>39</v>
      </c>
      <c r="I4530">
        <v>1.1000000000000001</v>
      </c>
      <c r="J4530" t="s">
        <v>52</v>
      </c>
      <c r="K4530" t="s">
        <v>41</v>
      </c>
      <c r="O4530">
        <v>0</v>
      </c>
      <c r="P4530">
        <v>0</v>
      </c>
      <c r="Q4530">
        <v>0</v>
      </c>
      <c r="R4530">
        <v>0</v>
      </c>
      <c r="W4530" t="s">
        <v>1164</v>
      </c>
      <c r="AA4530">
        <v>2007</v>
      </c>
      <c r="AB4530">
        <v>9999</v>
      </c>
      <c r="AC4530" t="s">
        <v>35</v>
      </c>
    </row>
    <row r="4531" spans="1:29" x14ac:dyDescent="0.25">
      <c r="A4531" s="31" t="s">
        <v>734</v>
      </c>
      <c r="B4531" s="23" t="s">
        <v>735</v>
      </c>
      <c r="D4531">
        <v>1</v>
      </c>
      <c r="E4531" t="s">
        <v>736</v>
      </c>
      <c r="F4531">
        <v>4</v>
      </c>
      <c r="G4531">
        <v>2010</v>
      </c>
      <c r="I4531">
        <v>829.8</v>
      </c>
      <c r="J4531" t="s">
        <v>151</v>
      </c>
      <c r="K4531" t="s">
        <v>32</v>
      </c>
      <c r="O4531">
        <v>0</v>
      </c>
      <c r="P4531">
        <v>0</v>
      </c>
      <c r="Q4531">
        <v>0</v>
      </c>
      <c r="R4531">
        <v>0</v>
      </c>
      <c r="W4531" t="s">
        <v>1324</v>
      </c>
      <c r="AA4531">
        <v>2007</v>
      </c>
      <c r="AB4531">
        <v>9999</v>
      </c>
      <c r="AC4531" t="s">
        <v>35</v>
      </c>
    </row>
    <row r="4532" spans="1:29" x14ac:dyDescent="0.25">
      <c r="A4532" s="31" t="s">
        <v>738</v>
      </c>
      <c r="B4532" s="25" t="s">
        <v>739</v>
      </c>
      <c r="D4532">
        <v>1</v>
      </c>
      <c r="E4532" t="s">
        <v>128</v>
      </c>
      <c r="F4532">
        <v>9</v>
      </c>
      <c r="G4532">
        <v>2010</v>
      </c>
      <c r="H4532" t="s">
        <v>1262</v>
      </c>
      <c r="I4532">
        <v>4</v>
      </c>
      <c r="J4532" t="s">
        <v>104</v>
      </c>
      <c r="K4532" t="s">
        <v>41</v>
      </c>
      <c r="O4532">
        <v>0</v>
      </c>
      <c r="P4532">
        <v>0</v>
      </c>
      <c r="Q4532">
        <v>0</v>
      </c>
      <c r="R4532">
        <v>0</v>
      </c>
      <c r="W4532" t="s">
        <v>1166</v>
      </c>
      <c r="AA4532">
        <v>2007</v>
      </c>
      <c r="AB4532">
        <v>9999</v>
      </c>
      <c r="AC4532" t="s">
        <v>35</v>
      </c>
    </row>
    <row r="4533" spans="1:29" x14ac:dyDescent="0.25">
      <c r="A4533" s="31" t="s">
        <v>742</v>
      </c>
      <c r="B4533" s="23" t="s">
        <v>743</v>
      </c>
      <c r="D4533">
        <v>1</v>
      </c>
      <c r="E4533" t="s">
        <v>468</v>
      </c>
      <c r="F4533">
        <v>7</v>
      </c>
      <c r="G4533">
        <v>2010</v>
      </c>
      <c r="I4533">
        <v>284.39999999999998</v>
      </c>
      <c r="J4533" t="s">
        <v>40</v>
      </c>
      <c r="K4533" t="s">
        <v>47</v>
      </c>
      <c r="O4533">
        <v>0</v>
      </c>
      <c r="P4533">
        <v>0</v>
      </c>
      <c r="Q4533">
        <v>0</v>
      </c>
      <c r="R4533">
        <v>0</v>
      </c>
      <c r="W4533" t="s">
        <v>1167</v>
      </c>
      <c r="AA4533">
        <v>2007</v>
      </c>
      <c r="AB4533">
        <v>2013</v>
      </c>
      <c r="AC4533" t="s">
        <v>139</v>
      </c>
    </row>
    <row r="4534" spans="1:29" x14ac:dyDescent="0.25">
      <c r="A4534" s="31" t="s">
        <v>745</v>
      </c>
      <c r="B4534" s="23" t="s">
        <v>746</v>
      </c>
      <c r="D4534">
        <v>1</v>
      </c>
      <c r="E4534" t="s">
        <v>468</v>
      </c>
      <c r="F4534">
        <v>7</v>
      </c>
      <c r="G4534">
        <v>2010</v>
      </c>
      <c r="I4534" s="54">
        <v>890.5</v>
      </c>
      <c r="J4534" t="s">
        <v>40</v>
      </c>
      <c r="K4534" t="s">
        <v>47</v>
      </c>
      <c r="O4534">
        <v>0</v>
      </c>
      <c r="P4534">
        <v>0</v>
      </c>
      <c r="Q4534">
        <v>0</v>
      </c>
      <c r="R4534">
        <v>0</v>
      </c>
      <c r="W4534" t="s">
        <v>1325</v>
      </c>
      <c r="AA4534">
        <v>2007</v>
      </c>
      <c r="AB4534">
        <v>9999</v>
      </c>
      <c r="AC4534" t="s">
        <v>35</v>
      </c>
    </row>
    <row r="4535" spans="1:29" x14ac:dyDescent="0.25">
      <c r="A4535" s="31" t="s">
        <v>1263</v>
      </c>
      <c r="B4535" s="23" t="s">
        <v>1264</v>
      </c>
      <c r="C4535" t="s">
        <v>1265</v>
      </c>
      <c r="D4535">
        <v>1</v>
      </c>
      <c r="E4535" t="s">
        <v>712</v>
      </c>
      <c r="F4535">
        <v>9</v>
      </c>
      <c r="G4535">
        <v>2010</v>
      </c>
      <c r="I4535">
        <v>1046</v>
      </c>
      <c r="J4535" t="s">
        <v>104</v>
      </c>
      <c r="K4535" t="s">
        <v>47</v>
      </c>
      <c r="O4535">
        <v>0</v>
      </c>
      <c r="P4535">
        <v>0</v>
      </c>
      <c r="Q4535">
        <v>0</v>
      </c>
      <c r="R4535">
        <v>0</v>
      </c>
      <c r="W4535" t="s">
        <v>1266</v>
      </c>
      <c r="AA4535">
        <v>2009</v>
      </c>
      <c r="AB4535">
        <v>9999</v>
      </c>
      <c r="AC4535" t="s">
        <v>1239</v>
      </c>
    </row>
    <row r="4536" spans="1:29" x14ac:dyDescent="0.25">
      <c r="A4536" s="31" t="s">
        <v>754</v>
      </c>
      <c r="B4536" s="25" t="s">
        <v>755</v>
      </c>
      <c r="D4536">
        <v>1</v>
      </c>
      <c r="E4536" t="s">
        <v>85</v>
      </c>
      <c r="F4536">
        <v>1</v>
      </c>
      <c r="G4536">
        <v>2010</v>
      </c>
      <c r="H4536" t="s">
        <v>756</v>
      </c>
      <c r="I4536">
        <v>0.03</v>
      </c>
      <c r="J4536" t="s">
        <v>52</v>
      </c>
      <c r="K4536" t="s">
        <v>41</v>
      </c>
      <c r="O4536">
        <v>0</v>
      </c>
      <c r="P4536">
        <v>0</v>
      </c>
      <c r="Q4536">
        <v>0</v>
      </c>
      <c r="R4536">
        <v>0</v>
      </c>
      <c r="W4536" t="s">
        <v>1169</v>
      </c>
      <c r="AA4536">
        <v>2007</v>
      </c>
      <c r="AB4536">
        <v>9999</v>
      </c>
      <c r="AC4536" t="s">
        <v>35</v>
      </c>
    </row>
    <row r="4537" spans="1:29" x14ac:dyDescent="0.25">
      <c r="A4537" s="31" t="s">
        <v>758</v>
      </c>
      <c r="B4537" s="23" t="s">
        <v>759</v>
      </c>
      <c r="D4537">
        <v>1</v>
      </c>
      <c r="E4537" t="s">
        <v>760</v>
      </c>
      <c r="F4537">
        <v>7</v>
      </c>
      <c r="G4537">
        <v>2010</v>
      </c>
      <c r="I4537">
        <v>46.7</v>
      </c>
      <c r="J4537" t="s">
        <v>40</v>
      </c>
      <c r="K4537" t="s">
        <v>47</v>
      </c>
      <c r="O4537">
        <v>0</v>
      </c>
      <c r="P4537">
        <v>0</v>
      </c>
      <c r="Q4537">
        <v>0</v>
      </c>
      <c r="R4537">
        <v>0</v>
      </c>
      <c r="W4537" t="s">
        <v>1170</v>
      </c>
      <c r="AA4537">
        <v>2007</v>
      </c>
      <c r="AB4537">
        <v>9999</v>
      </c>
      <c r="AC4537" t="s">
        <v>35</v>
      </c>
    </row>
    <row r="4538" spans="1:29" x14ac:dyDescent="0.25">
      <c r="A4538" s="31" t="s">
        <v>762</v>
      </c>
      <c r="B4538" s="23" t="s">
        <v>763</v>
      </c>
      <c r="D4538">
        <v>1</v>
      </c>
      <c r="E4538" t="s">
        <v>138</v>
      </c>
      <c r="F4538">
        <v>8</v>
      </c>
      <c r="G4538">
        <v>2010</v>
      </c>
      <c r="I4538">
        <v>7.5</v>
      </c>
      <c r="J4538" t="s">
        <v>81</v>
      </c>
      <c r="K4538" t="s">
        <v>47</v>
      </c>
      <c r="O4538">
        <v>0</v>
      </c>
      <c r="P4538">
        <v>0</v>
      </c>
      <c r="Q4538">
        <v>0</v>
      </c>
      <c r="R4538">
        <v>0</v>
      </c>
      <c r="W4538" t="s">
        <v>1171</v>
      </c>
      <c r="AA4538">
        <v>2007</v>
      </c>
      <c r="AB4538">
        <v>2010</v>
      </c>
      <c r="AC4538" t="s">
        <v>91</v>
      </c>
    </row>
    <row r="4539" spans="1:29" x14ac:dyDescent="0.25">
      <c r="A4539" s="31" t="s">
        <v>765</v>
      </c>
      <c r="B4539" s="23" t="s">
        <v>766</v>
      </c>
      <c r="D4539">
        <v>1</v>
      </c>
      <c r="E4539" t="s">
        <v>115</v>
      </c>
      <c r="F4539">
        <v>6</v>
      </c>
      <c r="G4539">
        <v>2010</v>
      </c>
      <c r="I4539" s="50">
        <v>16</v>
      </c>
      <c r="J4539" t="s">
        <v>52</v>
      </c>
      <c r="K4539" t="s">
        <v>47</v>
      </c>
      <c r="O4539">
        <v>0</v>
      </c>
      <c r="P4539">
        <v>0</v>
      </c>
      <c r="Q4539">
        <v>0</v>
      </c>
      <c r="R4539">
        <v>0</v>
      </c>
      <c r="W4539" t="s">
        <v>1172</v>
      </c>
      <c r="AA4539">
        <v>2007</v>
      </c>
      <c r="AB4539">
        <v>2012</v>
      </c>
      <c r="AC4539" t="s">
        <v>302</v>
      </c>
    </row>
    <row r="4540" spans="1:29" x14ac:dyDescent="0.25">
      <c r="A4540" s="31" t="s">
        <v>768</v>
      </c>
      <c r="B4540" s="23" t="s">
        <v>769</v>
      </c>
      <c r="C4540" t="s">
        <v>770</v>
      </c>
      <c r="D4540">
        <v>1</v>
      </c>
      <c r="E4540" t="s">
        <v>30</v>
      </c>
      <c r="F4540">
        <v>4</v>
      </c>
      <c r="G4540">
        <v>2010</v>
      </c>
      <c r="I4540">
        <v>258</v>
      </c>
      <c r="J4540" t="s">
        <v>89</v>
      </c>
      <c r="K4540" t="s">
        <v>47</v>
      </c>
      <c r="O4540">
        <v>0</v>
      </c>
      <c r="P4540">
        <v>0</v>
      </c>
      <c r="Q4540">
        <v>0</v>
      </c>
      <c r="R4540">
        <v>0</v>
      </c>
      <c r="W4540" t="s">
        <v>1173</v>
      </c>
      <c r="AA4540">
        <v>2007</v>
      </c>
      <c r="AB4540">
        <v>9999</v>
      </c>
      <c r="AC4540" t="s">
        <v>35</v>
      </c>
    </row>
    <row r="4541" spans="1:29" x14ac:dyDescent="0.25">
      <c r="A4541" s="31" t="s">
        <v>772</v>
      </c>
      <c r="B4541" s="23" t="s">
        <v>773</v>
      </c>
      <c r="C4541" t="s">
        <v>774</v>
      </c>
      <c r="D4541">
        <v>1</v>
      </c>
      <c r="E4541" t="s">
        <v>358</v>
      </c>
      <c r="F4541">
        <v>1</v>
      </c>
      <c r="G4541">
        <v>2010</v>
      </c>
      <c r="I4541">
        <v>381.8</v>
      </c>
      <c r="J4541" t="s">
        <v>52</v>
      </c>
      <c r="K4541" t="s">
        <v>32</v>
      </c>
      <c r="O4541">
        <v>0</v>
      </c>
      <c r="P4541">
        <v>0</v>
      </c>
      <c r="Q4541">
        <v>0</v>
      </c>
      <c r="R4541">
        <v>0</v>
      </c>
      <c r="W4541" t="s">
        <v>1174</v>
      </c>
      <c r="AA4541">
        <v>2007</v>
      </c>
      <c r="AB4541">
        <v>9999</v>
      </c>
      <c r="AC4541" t="s">
        <v>35</v>
      </c>
    </row>
    <row r="4542" spans="1:29" x14ac:dyDescent="0.25">
      <c r="A4542" s="31" t="s">
        <v>776</v>
      </c>
      <c r="B4542" s="23" t="s">
        <v>777</v>
      </c>
      <c r="D4542">
        <v>1</v>
      </c>
      <c r="E4542" t="s">
        <v>468</v>
      </c>
      <c r="F4542">
        <v>7</v>
      </c>
      <c r="G4542">
        <v>2010</v>
      </c>
      <c r="I4542">
        <v>138.9</v>
      </c>
      <c r="J4542" t="s">
        <v>40</v>
      </c>
      <c r="K4542" t="s">
        <v>47</v>
      </c>
      <c r="O4542">
        <v>0</v>
      </c>
      <c r="P4542">
        <v>0</v>
      </c>
      <c r="Q4542">
        <v>0</v>
      </c>
      <c r="R4542">
        <v>0</v>
      </c>
      <c r="W4542" t="s">
        <v>1175</v>
      </c>
      <c r="AA4542">
        <v>2007</v>
      </c>
      <c r="AB4542">
        <v>2013</v>
      </c>
      <c r="AC4542" t="s">
        <v>139</v>
      </c>
    </row>
    <row r="4543" spans="1:29" x14ac:dyDescent="0.25">
      <c r="A4543" s="31" t="s">
        <v>779</v>
      </c>
      <c r="B4543" s="23" t="s">
        <v>780</v>
      </c>
      <c r="D4543">
        <v>1</v>
      </c>
      <c r="E4543" t="s">
        <v>80</v>
      </c>
      <c r="F4543">
        <v>8</v>
      </c>
      <c r="G4543">
        <v>2010</v>
      </c>
      <c r="I4543">
        <v>77.5</v>
      </c>
      <c r="J4543" t="s">
        <v>81</v>
      </c>
      <c r="K4543" t="s">
        <v>47</v>
      </c>
      <c r="O4543">
        <v>0</v>
      </c>
      <c r="P4543">
        <v>0</v>
      </c>
      <c r="Q4543">
        <v>0</v>
      </c>
      <c r="R4543">
        <v>0</v>
      </c>
      <c r="W4543" t="s">
        <v>1176</v>
      </c>
      <c r="AA4543">
        <v>2007</v>
      </c>
      <c r="AB4543">
        <v>9999</v>
      </c>
      <c r="AC4543" t="s">
        <v>35</v>
      </c>
    </row>
    <row r="4544" spans="1:29" x14ac:dyDescent="0.25">
      <c r="A4544" s="31" t="s">
        <v>782</v>
      </c>
      <c r="B4544" s="23" t="s">
        <v>783</v>
      </c>
      <c r="D4544">
        <v>1</v>
      </c>
      <c r="E4544" t="s">
        <v>784</v>
      </c>
      <c r="F4544">
        <v>6</v>
      </c>
      <c r="G4544">
        <v>2010</v>
      </c>
      <c r="I4544">
        <v>85.7</v>
      </c>
      <c r="J4544" t="s">
        <v>31</v>
      </c>
      <c r="K4544" t="s">
        <v>47</v>
      </c>
      <c r="O4544">
        <v>0</v>
      </c>
      <c r="P4544">
        <v>0</v>
      </c>
      <c r="Q4544">
        <v>0</v>
      </c>
      <c r="R4544">
        <v>0</v>
      </c>
      <c r="W4544" t="s">
        <v>1326</v>
      </c>
      <c r="AA4544">
        <v>2007</v>
      </c>
      <c r="AB4544">
        <v>9999</v>
      </c>
      <c r="AC4544" t="s">
        <v>35</v>
      </c>
    </row>
    <row r="4545" spans="1:29" x14ac:dyDescent="0.25">
      <c r="A4545" s="31" t="s">
        <v>786</v>
      </c>
      <c r="B4545" s="23" t="s">
        <v>787</v>
      </c>
      <c r="C4545" t="s">
        <v>788</v>
      </c>
      <c r="D4545">
        <v>1</v>
      </c>
      <c r="E4545" t="s">
        <v>120</v>
      </c>
      <c r="F4545">
        <v>3</v>
      </c>
      <c r="G4545">
        <v>2010</v>
      </c>
      <c r="I4545">
        <v>22.9</v>
      </c>
      <c r="J4545" t="s">
        <v>147</v>
      </c>
      <c r="K4545" t="s">
        <v>47</v>
      </c>
      <c r="O4545">
        <v>0</v>
      </c>
      <c r="P4545">
        <v>0</v>
      </c>
      <c r="Q4545">
        <v>0</v>
      </c>
      <c r="R4545">
        <v>0</v>
      </c>
      <c r="W4545" t="s">
        <v>1178</v>
      </c>
      <c r="AA4545">
        <v>2007</v>
      </c>
      <c r="AB4545">
        <v>9999</v>
      </c>
      <c r="AC4545" t="s">
        <v>35</v>
      </c>
    </row>
    <row r="4546" spans="1:29" x14ac:dyDescent="0.25">
      <c r="A4546" s="31" t="s">
        <v>790</v>
      </c>
      <c r="B4546" s="23" t="s">
        <v>791</v>
      </c>
      <c r="D4546">
        <v>1</v>
      </c>
      <c r="E4546" t="s">
        <v>80</v>
      </c>
      <c r="F4546">
        <v>8</v>
      </c>
      <c r="G4546">
        <v>2010</v>
      </c>
      <c r="I4546">
        <v>73.400000000000006</v>
      </c>
      <c r="J4546" t="s">
        <v>81</v>
      </c>
      <c r="K4546" t="s">
        <v>47</v>
      </c>
      <c r="O4546">
        <v>0</v>
      </c>
      <c r="P4546">
        <v>0</v>
      </c>
      <c r="Q4546">
        <v>0</v>
      </c>
      <c r="R4546">
        <v>0</v>
      </c>
      <c r="W4546" t="s">
        <v>1179</v>
      </c>
      <c r="AA4546">
        <v>2007</v>
      </c>
      <c r="AB4546">
        <v>9999</v>
      </c>
      <c r="AC4546" t="s">
        <v>35</v>
      </c>
    </row>
    <row r="4547" spans="1:29" ht="26.25" x14ac:dyDescent="0.25">
      <c r="A4547" s="31" t="s">
        <v>1327</v>
      </c>
      <c r="B4547" s="26" t="s">
        <v>1328</v>
      </c>
      <c r="C4547" t="s">
        <v>1329</v>
      </c>
      <c r="D4547">
        <v>1</v>
      </c>
      <c r="E4547" t="s">
        <v>218</v>
      </c>
      <c r="F4547">
        <v>2</v>
      </c>
      <c r="G4547">
        <v>2010</v>
      </c>
      <c r="I4547">
        <v>4</v>
      </c>
      <c r="J4547" t="s">
        <v>147</v>
      </c>
      <c r="K4547" t="s">
        <v>41</v>
      </c>
      <c r="O4547">
        <v>0</v>
      </c>
      <c r="P4547">
        <v>0</v>
      </c>
      <c r="Q4547">
        <v>0</v>
      </c>
      <c r="R4547">
        <v>0</v>
      </c>
      <c r="W4547" t="s">
        <v>1330</v>
      </c>
      <c r="AA4547">
        <v>2010</v>
      </c>
      <c r="AB4547">
        <v>9999</v>
      </c>
      <c r="AC4547" t="s">
        <v>1292</v>
      </c>
    </row>
    <row r="4548" spans="1:29" x14ac:dyDescent="0.25">
      <c r="A4548" s="31" t="s">
        <v>793</v>
      </c>
      <c r="B4548" s="23" t="s">
        <v>794</v>
      </c>
      <c r="D4548">
        <v>1</v>
      </c>
      <c r="E4548" t="s">
        <v>38</v>
      </c>
      <c r="F4548">
        <v>4</v>
      </c>
      <c r="G4548">
        <v>2010</v>
      </c>
      <c r="I4548">
        <v>30</v>
      </c>
      <c r="J4548" t="s">
        <v>89</v>
      </c>
      <c r="K4548" t="s">
        <v>47</v>
      </c>
      <c r="O4548">
        <v>0</v>
      </c>
      <c r="P4548">
        <v>0</v>
      </c>
      <c r="Q4548">
        <v>0</v>
      </c>
      <c r="R4548">
        <v>0</v>
      </c>
      <c r="W4548" t="s">
        <v>1180</v>
      </c>
      <c r="AA4548">
        <v>2007</v>
      </c>
      <c r="AB4548">
        <v>2010</v>
      </c>
      <c r="AC4548" t="s">
        <v>91</v>
      </c>
    </row>
    <row r="4549" spans="1:29" x14ac:dyDescent="0.25">
      <c r="A4549" s="31" t="s">
        <v>796</v>
      </c>
      <c r="B4549" s="23" t="s">
        <v>797</v>
      </c>
      <c r="C4549" t="s">
        <v>798</v>
      </c>
      <c r="D4549">
        <v>1</v>
      </c>
      <c r="E4549" t="s">
        <v>534</v>
      </c>
      <c r="F4549">
        <v>10</v>
      </c>
      <c r="G4549">
        <v>2010</v>
      </c>
      <c r="I4549">
        <v>2854.6</v>
      </c>
      <c r="J4549" t="s">
        <v>40</v>
      </c>
      <c r="K4549" t="s">
        <v>47</v>
      </c>
      <c r="O4549">
        <v>0</v>
      </c>
      <c r="P4549">
        <v>0</v>
      </c>
      <c r="Q4549">
        <v>0</v>
      </c>
      <c r="R4549">
        <v>0</v>
      </c>
      <c r="W4549" t="s">
        <v>1181</v>
      </c>
      <c r="AA4549">
        <v>2007</v>
      </c>
      <c r="AB4549">
        <v>9999</v>
      </c>
      <c r="AC4549" t="s">
        <v>35</v>
      </c>
    </row>
    <row r="4550" spans="1:29" x14ac:dyDescent="0.25">
      <c r="A4550" s="31" t="s">
        <v>800</v>
      </c>
      <c r="B4550" s="23" t="s">
        <v>801</v>
      </c>
      <c r="C4550" t="s">
        <v>802</v>
      </c>
      <c r="D4550">
        <v>1</v>
      </c>
      <c r="E4550" t="s">
        <v>442</v>
      </c>
      <c r="F4550">
        <v>4</v>
      </c>
      <c r="G4550">
        <v>2010</v>
      </c>
      <c r="I4550">
        <v>1516.6</v>
      </c>
      <c r="J4550" t="s">
        <v>151</v>
      </c>
      <c r="K4550" t="s">
        <v>47</v>
      </c>
      <c r="O4550">
        <v>0</v>
      </c>
      <c r="P4550">
        <v>0</v>
      </c>
      <c r="Q4550">
        <v>0</v>
      </c>
      <c r="R4550">
        <v>0</v>
      </c>
      <c r="W4550" t="s">
        <v>1331</v>
      </c>
      <c r="AA4550">
        <v>2007</v>
      </c>
      <c r="AB4550">
        <v>9999</v>
      </c>
      <c r="AC4550" t="s">
        <v>35</v>
      </c>
    </row>
    <row r="4551" spans="1:29" x14ac:dyDescent="0.25">
      <c r="A4551" s="31" t="s">
        <v>804</v>
      </c>
      <c r="B4551" s="23" t="s">
        <v>805</v>
      </c>
      <c r="D4551">
        <v>1</v>
      </c>
      <c r="E4551" t="s">
        <v>806</v>
      </c>
      <c r="F4551">
        <v>4</v>
      </c>
      <c r="G4551">
        <v>2010</v>
      </c>
      <c r="I4551">
        <v>5.8</v>
      </c>
      <c r="J4551" t="s">
        <v>89</v>
      </c>
      <c r="K4551" t="s">
        <v>32</v>
      </c>
      <c r="O4551">
        <v>0</v>
      </c>
      <c r="P4551">
        <v>0</v>
      </c>
      <c r="Q4551">
        <v>0</v>
      </c>
      <c r="R4551">
        <v>0</v>
      </c>
      <c r="W4551" t="s">
        <v>1183</v>
      </c>
      <c r="AA4551">
        <v>2007</v>
      </c>
      <c r="AB4551">
        <v>2012</v>
      </c>
      <c r="AC4551" t="s">
        <v>302</v>
      </c>
    </row>
    <row r="4552" spans="1:29" x14ac:dyDescent="0.25">
      <c r="A4552" s="31" t="s">
        <v>808</v>
      </c>
      <c r="B4552" s="23" t="s">
        <v>809</v>
      </c>
      <c r="D4552">
        <v>1</v>
      </c>
      <c r="E4552" t="s">
        <v>80</v>
      </c>
      <c r="F4552">
        <v>8</v>
      </c>
      <c r="G4552">
        <v>2010</v>
      </c>
      <c r="I4552">
        <v>13.4</v>
      </c>
      <c r="J4552" t="s">
        <v>81</v>
      </c>
      <c r="K4552" t="s">
        <v>47</v>
      </c>
      <c r="O4552">
        <v>0</v>
      </c>
      <c r="P4552">
        <v>0</v>
      </c>
      <c r="Q4552">
        <v>0</v>
      </c>
      <c r="R4552">
        <v>0</v>
      </c>
      <c r="W4552" t="s">
        <v>1184</v>
      </c>
      <c r="AA4552">
        <v>2007</v>
      </c>
      <c r="AB4552">
        <v>9999</v>
      </c>
      <c r="AC4552" t="s">
        <v>35</v>
      </c>
    </row>
    <row r="4553" spans="1:29" x14ac:dyDescent="0.25">
      <c r="A4553" s="31" t="s">
        <v>472</v>
      </c>
      <c r="B4553" s="23" t="s">
        <v>811</v>
      </c>
      <c r="D4553">
        <v>1</v>
      </c>
      <c r="E4553" t="s">
        <v>681</v>
      </c>
      <c r="F4553">
        <v>3</v>
      </c>
      <c r="G4553">
        <v>2010</v>
      </c>
      <c r="I4553" t="s">
        <v>812</v>
      </c>
      <c r="J4553" t="s">
        <v>121</v>
      </c>
      <c r="K4553" t="s">
        <v>53</v>
      </c>
      <c r="L4553" t="s">
        <v>53</v>
      </c>
      <c r="O4553">
        <v>0</v>
      </c>
      <c r="P4553">
        <v>0</v>
      </c>
      <c r="Q4553">
        <v>0</v>
      </c>
      <c r="R4553">
        <v>0</v>
      </c>
      <c r="W4553" t="s">
        <v>813</v>
      </c>
      <c r="AA4553">
        <v>2007</v>
      </c>
      <c r="AB4553">
        <v>9999</v>
      </c>
      <c r="AC4553" t="s">
        <v>35</v>
      </c>
    </row>
    <row r="4554" spans="1:29" x14ac:dyDescent="0.25">
      <c r="A4554" s="31" t="s">
        <v>814</v>
      </c>
      <c r="B4554" s="23" t="s">
        <v>815</v>
      </c>
      <c r="D4554">
        <v>1</v>
      </c>
      <c r="E4554" t="s">
        <v>80</v>
      </c>
      <c r="F4554">
        <v>8</v>
      </c>
      <c r="G4554">
        <v>2010</v>
      </c>
      <c r="I4554">
        <v>77.599999999999994</v>
      </c>
      <c r="J4554" t="s">
        <v>81</v>
      </c>
      <c r="K4554" t="s">
        <v>32</v>
      </c>
      <c r="O4554">
        <v>0</v>
      </c>
      <c r="P4554">
        <v>0</v>
      </c>
      <c r="Q4554">
        <v>0</v>
      </c>
      <c r="R4554">
        <v>0</v>
      </c>
      <c r="W4554" t="s">
        <v>1185</v>
      </c>
      <c r="AA4554">
        <v>2007</v>
      </c>
      <c r="AB4554">
        <v>9999</v>
      </c>
      <c r="AC4554" t="s">
        <v>35</v>
      </c>
    </row>
    <row r="4555" spans="1:29" x14ac:dyDescent="0.25">
      <c r="A4555" s="31" t="s">
        <v>822</v>
      </c>
      <c r="B4555" s="23" t="s">
        <v>823</v>
      </c>
      <c r="D4555">
        <v>1</v>
      </c>
      <c r="E4555" t="s">
        <v>80</v>
      </c>
      <c r="F4555">
        <v>8</v>
      </c>
      <c r="G4555">
        <v>2010</v>
      </c>
      <c r="I4555">
        <v>194.7</v>
      </c>
      <c r="J4555" t="s">
        <v>81</v>
      </c>
      <c r="K4555" t="s">
        <v>47</v>
      </c>
      <c r="O4555">
        <v>0</v>
      </c>
      <c r="P4555">
        <v>0</v>
      </c>
      <c r="Q4555">
        <v>0</v>
      </c>
      <c r="R4555">
        <v>0</v>
      </c>
      <c r="W4555" t="s">
        <v>1187</v>
      </c>
      <c r="AA4555">
        <v>2007</v>
      </c>
      <c r="AB4555">
        <v>9999</v>
      </c>
      <c r="AC4555" t="s">
        <v>35</v>
      </c>
    </row>
    <row r="4556" spans="1:29" x14ac:dyDescent="0.25">
      <c r="A4556" s="31" t="s">
        <v>825</v>
      </c>
      <c r="B4556" s="23" t="s">
        <v>826</v>
      </c>
      <c r="D4556">
        <v>1</v>
      </c>
      <c r="E4556" t="s">
        <v>80</v>
      </c>
      <c r="F4556">
        <v>8</v>
      </c>
      <c r="G4556">
        <v>2010</v>
      </c>
      <c r="I4556">
        <v>122.8</v>
      </c>
      <c r="J4556" t="s">
        <v>81</v>
      </c>
      <c r="K4556" t="s">
        <v>47</v>
      </c>
      <c r="O4556">
        <v>0</v>
      </c>
      <c r="P4556">
        <v>0</v>
      </c>
      <c r="Q4556">
        <v>0</v>
      </c>
      <c r="R4556">
        <v>0</v>
      </c>
      <c r="W4556" t="s">
        <v>1188</v>
      </c>
      <c r="AA4556">
        <v>2007</v>
      </c>
      <c r="AB4556">
        <v>9999</v>
      </c>
      <c r="AC4556" t="s">
        <v>35</v>
      </c>
    </row>
    <row r="4557" spans="1:29" x14ac:dyDescent="0.25">
      <c r="A4557" s="31" t="s">
        <v>828</v>
      </c>
      <c r="B4557" s="23" t="s">
        <v>829</v>
      </c>
      <c r="D4557">
        <v>1</v>
      </c>
      <c r="E4557" t="s">
        <v>138</v>
      </c>
      <c r="F4557">
        <v>8</v>
      </c>
      <c r="G4557">
        <v>2010</v>
      </c>
      <c r="I4557">
        <v>60</v>
      </c>
      <c r="J4557" t="s">
        <v>81</v>
      </c>
      <c r="K4557" t="s">
        <v>47</v>
      </c>
      <c r="O4557">
        <v>0</v>
      </c>
      <c r="P4557">
        <v>0</v>
      </c>
      <c r="Q4557">
        <v>0</v>
      </c>
      <c r="R4557">
        <v>0</v>
      </c>
      <c r="W4557" t="s">
        <v>1189</v>
      </c>
      <c r="AA4557">
        <v>2007</v>
      </c>
      <c r="AB4557">
        <v>9999</v>
      </c>
      <c r="AC4557" t="s">
        <v>35</v>
      </c>
    </row>
    <row r="4558" spans="1:29" x14ac:dyDescent="0.25">
      <c r="A4558" s="31" t="s">
        <v>831</v>
      </c>
      <c r="B4558" s="25" t="s">
        <v>832</v>
      </c>
      <c r="C4558" t="s">
        <v>833</v>
      </c>
      <c r="D4558">
        <v>1</v>
      </c>
      <c r="E4558" t="s">
        <v>38</v>
      </c>
      <c r="F4558">
        <v>4</v>
      </c>
      <c r="G4558">
        <v>2010</v>
      </c>
      <c r="H4558" t="s">
        <v>906</v>
      </c>
      <c r="I4558">
        <v>0.1</v>
      </c>
      <c r="J4558" t="s">
        <v>59</v>
      </c>
      <c r="K4558" t="s">
        <v>41</v>
      </c>
      <c r="O4558">
        <v>0</v>
      </c>
      <c r="P4558">
        <v>0</v>
      </c>
      <c r="Q4558">
        <v>0</v>
      </c>
      <c r="R4558">
        <v>0</v>
      </c>
      <c r="W4558" t="s">
        <v>1190</v>
      </c>
      <c r="AA4558">
        <v>2007</v>
      </c>
      <c r="AB4558">
        <v>9999</v>
      </c>
      <c r="AC4558" t="s">
        <v>35</v>
      </c>
    </row>
    <row r="4559" spans="1:29" x14ac:dyDescent="0.25">
      <c r="A4559" s="31" t="s">
        <v>836</v>
      </c>
      <c r="B4559" s="23" t="s">
        <v>837</v>
      </c>
      <c r="D4559">
        <v>1</v>
      </c>
      <c r="E4559" t="s">
        <v>64</v>
      </c>
      <c r="F4559">
        <v>1</v>
      </c>
      <c r="G4559">
        <v>2010</v>
      </c>
      <c r="I4559">
        <v>306.89999999999998</v>
      </c>
      <c r="J4559" t="s">
        <v>52</v>
      </c>
      <c r="K4559" t="s">
        <v>32</v>
      </c>
      <c r="O4559">
        <v>0</v>
      </c>
      <c r="P4559">
        <v>0</v>
      </c>
      <c r="Q4559">
        <v>0</v>
      </c>
      <c r="R4559">
        <v>0</v>
      </c>
      <c r="W4559" t="s">
        <v>1191</v>
      </c>
      <c r="AA4559">
        <v>2007</v>
      </c>
      <c r="AB4559">
        <v>9999</v>
      </c>
      <c r="AC4559" t="s">
        <v>35</v>
      </c>
    </row>
    <row r="4560" spans="1:29" x14ac:dyDescent="0.25">
      <c r="A4560" s="31" t="s">
        <v>1194</v>
      </c>
      <c r="B4560" s="23" t="s">
        <v>1195</v>
      </c>
      <c r="D4560">
        <v>1</v>
      </c>
      <c r="E4560" t="s">
        <v>85</v>
      </c>
      <c r="F4560">
        <v>1</v>
      </c>
      <c r="G4560">
        <v>2010</v>
      </c>
      <c r="H4560" t="s">
        <v>39</v>
      </c>
      <c r="I4560">
        <v>1</v>
      </c>
      <c r="J4560" t="s">
        <v>52</v>
      </c>
      <c r="K4560" t="s">
        <v>41</v>
      </c>
      <c r="O4560">
        <v>0</v>
      </c>
      <c r="P4560">
        <v>0</v>
      </c>
      <c r="Q4560">
        <v>0</v>
      </c>
      <c r="R4560">
        <v>0</v>
      </c>
      <c r="W4560" t="s">
        <v>1267</v>
      </c>
      <c r="AA4560">
        <v>2008</v>
      </c>
      <c r="AB4560">
        <v>9999</v>
      </c>
      <c r="AC4560" t="s">
        <v>1054</v>
      </c>
    </row>
    <row r="4561" spans="1:29" x14ac:dyDescent="0.25">
      <c r="A4561" s="31" t="s">
        <v>1268</v>
      </c>
      <c r="B4561" s="26" t="s">
        <v>1262</v>
      </c>
      <c r="D4561">
        <v>1</v>
      </c>
      <c r="E4561" t="s">
        <v>300</v>
      </c>
      <c r="F4561">
        <v>9</v>
      </c>
      <c r="G4561">
        <v>2010</v>
      </c>
      <c r="I4561">
        <v>324.89999999999998</v>
      </c>
      <c r="J4561" t="s">
        <v>104</v>
      </c>
      <c r="K4561" t="s">
        <v>47</v>
      </c>
      <c r="O4561">
        <v>0</v>
      </c>
      <c r="P4561">
        <v>0</v>
      </c>
      <c r="Q4561">
        <v>0</v>
      </c>
      <c r="R4561">
        <v>0</v>
      </c>
      <c r="W4561" t="s">
        <v>1332</v>
      </c>
      <c r="AA4561">
        <v>2009</v>
      </c>
      <c r="AB4561">
        <v>9999</v>
      </c>
      <c r="AC4561" t="s">
        <v>1239</v>
      </c>
    </row>
    <row r="4562" spans="1:29" x14ac:dyDescent="0.25">
      <c r="A4562" s="31" t="s">
        <v>845</v>
      </c>
      <c r="B4562" s="23" t="s">
        <v>846</v>
      </c>
      <c r="C4562" t="s">
        <v>847</v>
      </c>
      <c r="D4562">
        <v>1</v>
      </c>
      <c r="E4562" t="s">
        <v>300</v>
      </c>
      <c r="F4562">
        <v>9</v>
      </c>
      <c r="G4562">
        <v>2010</v>
      </c>
      <c r="I4562">
        <v>350.7</v>
      </c>
      <c r="J4562" t="s">
        <v>104</v>
      </c>
      <c r="K4562" t="s">
        <v>47</v>
      </c>
      <c r="O4562">
        <v>0</v>
      </c>
      <c r="P4562">
        <v>0</v>
      </c>
      <c r="Q4562">
        <v>0</v>
      </c>
      <c r="R4562">
        <v>0</v>
      </c>
      <c r="W4562" t="s">
        <v>1333</v>
      </c>
      <c r="AA4562">
        <v>2007</v>
      </c>
      <c r="AB4562">
        <v>9999</v>
      </c>
      <c r="AC4562" t="s">
        <v>35</v>
      </c>
    </row>
    <row r="4563" spans="1:29" x14ac:dyDescent="0.25">
      <c r="A4563" s="31" t="s">
        <v>852</v>
      </c>
      <c r="B4563" s="25" t="s">
        <v>853</v>
      </c>
      <c r="D4563">
        <v>1</v>
      </c>
      <c r="E4563" t="s">
        <v>85</v>
      </c>
      <c r="F4563">
        <v>1</v>
      </c>
      <c r="G4563">
        <v>2010</v>
      </c>
      <c r="H4563" t="s">
        <v>837</v>
      </c>
      <c r="I4563">
        <v>1</v>
      </c>
      <c r="J4563" t="s">
        <v>52</v>
      </c>
      <c r="K4563" t="s">
        <v>41</v>
      </c>
      <c r="O4563">
        <v>0</v>
      </c>
      <c r="P4563">
        <v>0</v>
      </c>
      <c r="Q4563">
        <v>0</v>
      </c>
      <c r="R4563">
        <v>0</v>
      </c>
      <c r="W4563" t="s">
        <v>1191</v>
      </c>
      <c r="AA4563">
        <v>2007</v>
      </c>
      <c r="AB4563">
        <v>9999</v>
      </c>
      <c r="AC4563" t="s">
        <v>35</v>
      </c>
    </row>
    <row r="4564" spans="1:29" x14ac:dyDescent="0.25">
      <c r="A4564" s="31" t="s">
        <v>857</v>
      </c>
      <c r="B4564" s="25" t="s">
        <v>858</v>
      </c>
      <c r="D4564">
        <v>1</v>
      </c>
      <c r="E4564" t="s">
        <v>859</v>
      </c>
      <c r="F4564">
        <v>5</v>
      </c>
      <c r="G4564">
        <v>2010</v>
      </c>
      <c r="I4564">
        <v>5.9</v>
      </c>
      <c r="J4564" t="s">
        <v>31</v>
      </c>
      <c r="K4564" t="s">
        <v>47</v>
      </c>
      <c r="O4564">
        <v>0</v>
      </c>
      <c r="P4564">
        <v>0</v>
      </c>
      <c r="Q4564">
        <v>0</v>
      </c>
      <c r="R4564">
        <v>0</v>
      </c>
      <c r="W4564" t="s">
        <v>1197</v>
      </c>
      <c r="AA4564">
        <v>2007</v>
      </c>
      <c r="AB4564">
        <v>2015</v>
      </c>
      <c r="AC4564" t="s">
        <v>861</v>
      </c>
    </row>
    <row r="4565" spans="1:29" x14ac:dyDescent="0.25">
      <c r="A4565" s="31" t="s">
        <v>862</v>
      </c>
      <c r="B4565" s="23" t="s">
        <v>863</v>
      </c>
      <c r="C4565" t="s">
        <v>864</v>
      </c>
      <c r="D4565">
        <v>1</v>
      </c>
      <c r="E4565" t="s">
        <v>442</v>
      </c>
      <c r="F4565">
        <v>4</v>
      </c>
      <c r="G4565">
        <v>2010</v>
      </c>
      <c r="I4565">
        <v>403.6</v>
      </c>
      <c r="J4565" t="s">
        <v>151</v>
      </c>
      <c r="K4565" t="s">
        <v>47</v>
      </c>
      <c r="O4565">
        <v>0</v>
      </c>
      <c r="P4565">
        <v>0</v>
      </c>
      <c r="Q4565">
        <v>0</v>
      </c>
      <c r="R4565">
        <v>0</v>
      </c>
      <c r="W4565" t="s">
        <v>1334</v>
      </c>
      <c r="AA4565">
        <v>2007</v>
      </c>
      <c r="AB4565">
        <v>9999</v>
      </c>
      <c r="AC4565" t="s">
        <v>35</v>
      </c>
    </row>
    <row r="4566" spans="1:29" x14ac:dyDescent="0.25">
      <c r="A4566" s="31" t="s">
        <v>866</v>
      </c>
      <c r="B4566" s="23" t="s">
        <v>867</v>
      </c>
      <c r="C4566" t="s">
        <v>868</v>
      </c>
      <c r="D4566">
        <v>1</v>
      </c>
      <c r="E4566" t="s">
        <v>869</v>
      </c>
      <c r="F4566">
        <v>4</v>
      </c>
      <c r="G4566">
        <v>2010</v>
      </c>
      <c r="I4566">
        <v>170.5</v>
      </c>
      <c r="J4566" t="s">
        <v>89</v>
      </c>
      <c r="K4566" t="s">
        <v>32</v>
      </c>
      <c r="O4566">
        <v>0</v>
      </c>
      <c r="P4566">
        <v>0</v>
      </c>
      <c r="Q4566">
        <v>0</v>
      </c>
      <c r="R4566">
        <v>0</v>
      </c>
      <c r="W4566" t="s">
        <v>1199</v>
      </c>
      <c r="AA4566">
        <v>2007</v>
      </c>
      <c r="AB4566">
        <v>9999</v>
      </c>
      <c r="AC4566" t="s">
        <v>35</v>
      </c>
    </row>
    <row r="4567" spans="1:29" x14ac:dyDescent="0.25">
      <c r="A4567" s="31" t="s">
        <v>1023</v>
      </c>
      <c r="B4567" s="25" t="s">
        <v>1200</v>
      </c>
      <c r="D4567">
        <v>1</v>
      </c>
      <c r="E4567" t="s">
        <v>85</v>
      </c>
      <c r="F4567">
        <v>1</v>
      </c>
      <c r="G4567">
        <v>2010</v>
      </c>
      <c r="H4567" t="s">
        <v>39</v>
      </c>
      <c r="I4567">
        <v>4</v>
      </c>
      <c r="J4567" t="s">
        <v>52</v>
      </c>
      <c r="K4567" t="s">
        <v>41</v>
      </c>
      <c r="O4567">
        <v>0</v>
      </c>
      <c r="P4567">
        <v>0</v>
      </c>
      <c r="Q4567">
        <v>0</v>
      </c>
      <c r="R4567">
        <v>0</v>
      </c>
      <c r="W4567" t="s">
        <v>1271</v>
      </c>
      <c r="AA4567">
        <v>2007</v>
      </c>
      <c r="AB4567">
        <v>9999</v>
      </c>
      <c r="AC4567" t="s">
        <v>35</v>
      </c>
    </row>
    <row r="4568" spans="1:29" x14ac:dyDescent="0.25">
      <c r="A4568" s="31" t="s">
        <v>871</v>
      </c>
      <c r="B4568" s="23" t="s">
        <v>872</v>
      </c>
      <c r="C4568" t="s">
        <v>873</v>
      </c>
      <c r="D4568">
        <v>1</v>
      </c>
      <c r="E4568" t="s">
        <v>874</v>
      </c>
      <c r="F4568">
        <v>1</v>
      </c>
      <c r="G4568">
        <v>2010</v>
      </c>
      <c r="I4568">
        <v>1215.9000000000001</v>
      </c>
      <c r="J4568" t="s">
        <v>52</v>
      </c>
      <c r="K4568" t="s">
        <v>47</v>
      </c>
      <c r="O4568">
        <v>0</v>
      </c>
      <c r="P4568">
        <v>0</v>
      </c>
      <c r="Q4568">
        <v>0</v>
      </c>
      <c r="R4568">
        <v>0</v>
      </c>
      <c r="W4568" t="s">
        <v>1201</v>
      </c>
      <c r="AA4568">
        <v>2007</v>
      </c>
      <c r="AB4568">
        <v>9999</v>
      </c>
      <c r="AC4568" t="s">
        <v>35</v>
      </c>
    </row>
    <row r="4569" spans="1:29" x14ac:dyDescent="0.25">
      <c r="A4569" s="31" t="s">
        <v>876</v>
      </c>
      <c r="B4569" s="23" t="s">
        <v>877</v>
      </c>
      <c r="C4569" t="s">
        <v>878</v>
      </c>
      <c r="D4569">
        <v>1</v>
      </c>
      <c r="E4569" t="s">
        <v>168</v>
      </c>
      <c r="F4569">
        <v>1</v>
      </c>
      <c r="G4569">
        <v>2010</v>
      </c>
      <c r="I4569">
        <v>66.5</v>
      </c>
      <c r="J4569" t="s">
        <v>52</v>
      </c>
      <c r="K4569" t="s">
        <v>47</v>
      </c>
      <c r="O4569">
        <v>0</v>
      </c>
      <c r="P4569">
        <v>0</v>
      </c>
      <c r="Q4569">
        <v>0</v>
      </c>
      <c r="R4569">
        <v>0</v>
      </c>
      <c r="W4569" t="s">
        <v>1202</v>
      </c>
      <c r="AA4569">
        <v>2007</v>
      </c>
      <c r="AB4569">
        <v>9999</v>
      </c>
      <c r="AC4569" t="s">
        <v>35</v>
      </c>
    </row>
    <row r="4570" spans="1:29" x14ac:dyDescent="0.25">
      <c r="A4570" s="31" t="s">
        <v>880</v>
      </c>
      <c r="B4570" s="23" t="s">
        <v>881</v>
      </c>
      <c r="C4570" t="s">
        <v>882</v>
      </c>
      <c r="D4570">
        <v>1</v>
      </c>
      <c r="E4570" t="s">
        <v>103</v>
      </c>
      <c r="F4570">
        <v>9</v>
      </c>
      <c r="G4570">
        <v>2010</v>
      </c>
      <c r="I4570">
        <v>3985.2</v>
      </c>
      <c r="J4570" t="s">
        <v>104</v>
      </c>
      <c r="K4570" t="s">
        <v>53</v>
      </c>
      <c r="L4570" t="s">
        <v>105</v>
      </c>
      <c r="O4570">
        <v>0</v>
      </c>
      <c r="P4570">
        <v>1</v>
      </c>
      <c r="Q4570">
        <v>0</v>
      </c>
      <c r="R4570">
        <v>0</v>
      </c>
      <c r="W4570" t="s">
        <v>106</v>
      </c>
      <c r="AA4570">
        <v>2007</v>
      </c>
      <c r="AB4570">
        <v>9999</v>
      </c>
      <c r="AC4570" t="s">
        <v>35</v>
      </c>
    </row>
    <row r="4571" spans="1:29" x14ac:dyDescent="0.25">
      <c r="A4571" s="31" t="s">
        <v>1272</v>
      </c>
      <c r="B4571" s="23" t="s">
        <v>1273</v>
      </c>
      <c r="D4571">
        <v>1</v>
      </c>
      <c r="E4571" t="s">
        <v>1274</v>
      </c>
      <c r="F4571">
        <v>4</v>
      </c>
      <c r="G4571">
        <v>2010</v>
      </c>
      <c r="I4571">
        <v>225.6</v>
      </c>
      <c r="J4571" t="s">
        <v>31</v>
      </c>
      <c r="K4571" t="s">
        <v>47</v>
      </c>
      <c r="O4571">
        <v>0</v>
      </c>
      <c r="P4571">
        <v>0</v>
      </c>
      <c r="Q4571">
        <v>0</v>
      </c>
      <c r="R4571">
        <v>0</v>
      </c>
      <c r="W4571" t="s">
        <v>1275</v>
      </c>
      <c r="AA4571">
        <v>2009</v>
      </c>
      <c r="AB4571">
        <v>9999</v>
      </c>
      <c r="AC4571" t="s">
        <v>1239</v>
      </c>
    </row>
    <row r="4572" spans="1:29" x14ac:dyDescent="0.25">
      <c r="A4572" s="31" t="s">
        <v>883</v>
      </c>
      <c r="B4572" s="23" t="s">
        <v>884</v>
      </c>
      <c r="C4572" t="s">
        <v>885</v>
      </c>
      <c r="D4572">
        <v>1</v>
      </c>
      <c r="E4572" t="s">
        <v>45</v>
      </c>
      <c r="F4572">
        <v>4</v>
      </c>
      <c r="G4572">
        <v>2010</v>
      </c>
      <c r="I4572">
        <v>109.3</v>
      </c>
      <c r="J4572" t="s">
        <v>176</v>
      </c>
      <c r="K4572" t="s">
        <v>47</v>
      </c>
      <c r="O4572">
        <v>0</v>
      </c>
      <c r="P4572">
        <v>0</v>
      </c>
      <c r="Q4572">
        <v>0</v>
      </c>
      <c r="R4572">
        <v>0</v>
      </c>
      <c r="W4572" t="s">
        <v>1335</v>
      </c>
      <c r="AA4572">
        <v>2007</v>
      </c>
      <c r="AB4572">
        <v>9999</v>
      </c>
      <c r="AC4572" t="s">
        <v>35</v>
      </c>
    </row>
    <row r="4573" spans="1:29" x14ac:dyDescent="0.25">
      <c r="A4573" s="31" t="s">
        <v>887</v>
      </c>
      <c r="B4573" s="23" t="s">
        <v>888</v>
      </c>
      <c r="C4573" t="s">
        <v>889</v>
      </c>
      <c r="D4573">
        <v>1</v>
      </c>
      <c r="E4573" t="s">
        <v>335</v>
      </c>
      <c r="F4573">
        <v>1</v>
      </c>
      <c r="G4573">
        <v>2010</v>
      </c>
      <c r="I4573">
        <v>765.1</v>
      </c>
      <c r="J4573" t="s">
        <v>176</v>
      </c>
      <c r="K4573" t="s">
        <v>32</v>
      </c>
      <c r="O4573">
        <v>0</v>
      </c>
      <c r="P4573">
        <v>0</v>
      </c>
      <c r="Q4573">
        <v>0</v>
      </c>
      <c r="R4573">
        <v>0</v>
      </c>
      <c r="W4573" t="s">
        <v>1204</v>
      </c>
      <c r="AA4573">
        <v>2007</v>
      </c>
      <c r="AB4573">
        <v>9999</v>
      </c>
      <c r="AC4573" t="s">
        <v>35</v>
      </c>
    </row>
    <row r="4574" spans="1:29" x14ac:dyDescent="0.25">
      <c r="A4574" s="31" t="s">
        <v>894</v>
      </c>
      <c r="B4574" s="25" t="s">
        <v>895</v>
      </c>
      <c r="D4574">
        <v>1</v>
      </c>
      <c r="E4574" t="s">
        <v>38</v>
      </c>
      <c r="F4574">
        <v>4</v>
      </c>
      <c r="G4574">
        <v>2010</v>
      </c>
      <c r="H4574" t="s">
        <v>715</v>
      </c>
      <c r="I4574">
        <v>0.1</v>
      </c>
      <c r="J4574" t="s">
        <v>151</v>
      </c>
      <c r="K4574" t="s">
        <v>53</v>
      </c>
      <c r="L4574" t="s">
        <v>53</v>
      </c>
      <c r="O4574">
        <v>0</v>
      </c>
      <c r="P4574">
        <v>0</v>
      </c>
      <c r="Q4574">
        <v>0</v>
      </c>
      <c r="R4574">
        <v>0</v>
      </c>
      <c r="W4574" t="s">
        <v>897</v>
      </c>
      <c r="AA4574">
        <v>2007</v>
      </c>
      <c r="AB4574">
        <v>9999</v>
      </c>
      <c r="AC4574" t="s">
        <v>35</v>
      </c>
    </row>
    <row r="4575" spans="1:29" x14ac:dyDescent="0.25">
      <c r="A4575" s="31" t="s">
        <v>900</v>
      </c>
      <c r="B4575" s="25" t="s">
        <v>901</v>
      </c>
      <c r="D4575">
        <v>1</v>
      </c>
      <c r="E4575" t="s">
        <v>38</v>
      </c>
      <c r="F4575">
        <v>4</v>
      </c>
      <c r="G4575">
        <v>2010</v>
      </c>
      <c r="H4575" t="s">
        <v>896</v>
      </c>
      <c r="I4575">
        <v>0.5</v>
      </c>
      <c r="J4575" t="s">
        <v>151</v>
      </c>
      <c r="K4575" t="s">
        <v>53</v>
      </c>
      <c r="L4575" t="s">
        <v>902</v>
      </c>
      <c r="O4575">
        <v>0</v>
      </c>
      <c r="P4575">
        <v>0</v>
      </c>
      <c r="Q4575">
        <v>0</v>
      </c>
      <c r="R4575">
        <v>0</v>
      </c>
      <c r="W4575" t="s">
        <v>903</v>
      </c>
      <c r="AA4575">
        <v>2007</v>
      </c>
      <c r="AB4575">
        <v>9999</v>
      </c>
      <c r="AC4575" t="s">
        <v>35</v>
      </c>
    </row>
    <row r="4576" spans="1:29" x14ac:dyDescent="0.25">
      <c r="A4576" s="31" t="s">
        <v>904</v>
      </c>
      <c r="B4576" s="23" t="s">
        <v>905</v>
      </c>
      <c r="D4576">
        <v>1</v>
      </c>
      <c r="E4576" t="s">
        <v>38</v>
      </c>
      <c r="F4576">
        <v>4</v>
      </c>
      <c r="G4576">
        <v>2010</v>
      </c>
      <c r="H4576" t="s">
        <v>906</v>
      </c>
      <c r="I4576">
        <v>0.5</v>
      </c>
      <c r="J4576" t="s">
        <v>59</v>
      </c>
      <c r="K4576" t="s">
        <v>53</v>
      </c>
      <c r="L4576" t="s">
        <v>902</v>
      </c>
      <c r="O4576">
        <v>0</v>
      </c>
      <c r="P4576">
        <v>0</v>
      </c>
      <c r="Q4576">
        <v>0</v>
      </c>
      <c r="R4576">
        <v>0</v>
      </c>
      <c r="W4576" t="s">
        <v>907</v>
      </c>
      <c r="AA4576">
        <v>2007</v>
      </c>
      <c r="AB4576">
        <v>9999</v>
      </c>
      <c r="AC4576" t="s">
        <v>35</v>
      </c>
    </row>
    <row r="4577" spans="1:29" x14ac:dyDescent="0.25">
      <c r="A4577" s="31" t="s">
        <v>908</v>
      </c>
      <c r="B4577" s="23" t="s">
        <v>909</v>
      </c>
      <c r="C4577" t="s">
        <v>910</v>
      </c>
      <c r="D4577">
        <v>1</v>
      </c>
      <c r="E4577" t="s">
        <v>911</v>
      </c>
      <c r="F4577">
        <v>1</v>
      </c>
      <c r="G4577">
        <v>2010</v>
      </c>
      <c r="I4577">
        <v>85.6</v>
      </c>
      <c r="J4577" t="s">
        <v>176</v>
      </c>
      <c r="K4577" t="s">
        <v>47</v>
      </c>
      <c r="O4577">
        <v>0</v>
      </c>
      <c r="P4577">
        <v>0</v>
      </c>
      <c r="Q4577">
        <v>0</v>
      </c>
      <c r="R4577">
        <v>0</v>
      </c>
      <c r="W4577" t="s">
        <v>1206</v>
      </c>
      <c r="AA4577">
        <v>2007</v>
      </c>
      <c r="AB4577">
        <v>9999</v>
      </c>
      <c r="AC4577" t="s">
        <v>35</v>
      </c>
    </row>
    <row r="4578" spans="1:29" x14ac:dyDescent="0.25">
      <c r="A4578" s="31" t="s">
        <v>913</v>
      </c>
      <c r="B4578" s="23" t="s">
        <v>914</v>
      </c>
      <c r="C4578" t="s">
        <v>915</v>
      </c>
      <c r="D4578">
        <v>1</v>
      </c>
      <c r="E4578" t="s">
        <v>911</v>
      </c>
      <c r="F4578">
        <v>1</v>
      </c>
      <c r="G4578">
        <v>2010</v>
      </c>
      <c r="I4578">
        <v>11.2</v>
      </c>
      <c r="J4578" t="s">
        <v>268</v>
      </c>
      <c r="K4578" t="s">
        <v>47</v>
      </c>
      <c r="O4578">
        <v>0</v>
      </c>
      <c r="P4578">
        <v>0</v>
      </c>
      <c r="Q4578">
        <v>0</v>
      </c>
      <c r="R4578">
        <v>0</v>
      </c>
      <c r="W4578" t="s">
        <v>1276</v>
      </c>
      <c r="AA4578">
        <v>2007</v>
      </c>
      <c r="AB4578">
        <v>9999</v>
      </c>
      <c r="AC4578" t="s">
        <v>35</v>
      </c>
    </row>
    <row r="4579" spans="1:29" x14ac:dyDescent="0.25">
      <c r="B4579" s="23" t="s">
        <v>917</v>
      </c>
      <c r="D4579">
        <v>1</v>
      </c>
      <c r="E4579" t="s">
        <v>38</v>
      </c>
      <c r="F4579">
        <v>4</v>
      </c>
      <c r="G4579">
        <v>2010</v>
      </c>
      <c r="H4579" t="s">
        <v>918</v>
      </c>
      <c r="I4579">
        <v>2</v>
      </c>
      <c r="J4579" t="s">
        <v>176</v>
      </c>
      <c r="K4579" t="s">
        <v>41</v>
      </c>
      <c r="O4579">
        <v>0</v>
      </c>
      <c r="P4579">
        <v>0</v>
      </c>
      <c r="Q4579">
        <v>0</v>
      </c>
      <c r="R4579">
        <v>0</v>
      </c>
      <c r="W4579" t="s">
        <v>1208</v>
      </c>
      <c r="AA4579">
        <v>2007</v>
      </c>
      <c r="AB4579">
        <v>2011</v>
      </c>
      <c r="AC4579" t="s">
        <v>191</v>
      </c>
    </row>
    <row r="4580" spans="1:29" x14ac:dyDescent="0.25">
      <c r="A4580" s="31" t="s">
        <v>97</v>
      </c>
      <c r="B4580" s="23" t="s">
        <v>99</v>
      </c>
      <c r="C4580" t="s">
        <v>923</v>
      </c>
      <c r="D4580">
        <v>1</v>
      </c>
      <c r="E4580" t="s">
        <v>45</v>
      </c>
      <c r="F4580">
        <v>4</v>
      </c>
      <c r="G4580">
        <v>2010</v>
      </c>
      <c r="I4580">
        <v>233.4</v>
      </c>
      <c r="J4580" t="s">
        <v>89</v>
      </c>
      <c r="K4580" t="s">
        <v>47</v>
      </c>
      <c r="O4580">
        <v>0</v>
      </c>
      <c r="P4580">
        <v>0</v>
      </c>
      <c r="Q4580">
        <v>0</v>
      </c>
      <c r="R4580">
        <v>0</v>
      </c>
      <c r="W4580" t="s">
        <v>1277</v>
      </c>
      <c r="AA4580">
        <v>2007</v>
      </c>
      <c r="AB4580">
        <v>9999</v>
      </c>
      <c r="AC4580" t="s">
        <v>35</v>
      </c>
    </row>
    <row r="4581" spans="1:29" x14ac:dyDescent="0.25">
      <c r="A4581" s="31" t="s">
        <v>925</v>
      </c>
      <c r="B4581" s="23" t="s">
        <v>926</v>
      </c>
      <c r="C4581" t="s">
        <v>927</v>
      </c>
      <c r="D4581">
        <v>1</v>
      </c>
      <c r="E4581" t="s">
        <v>103</v>
      </c>
      <c r="F4581">
        <v>9</v>
      </c>
      <c r="G4581">
        <v>2010</v>
      </c>
      <c r="I4581">
        <v>2850.2</v>
      </c>
      <c r="J4581" t="s">
        <v>151</v>
      </c>
      <c r="K4581" t="s">
        <v>53</v>
      </c>
      <c r="L4581" t="s">
        <v>105</v>
      </c>
      <c r="O4581">
        <v>0</v>
      </c>
      <c r="P4581">
        <v>0</v>
      </c>
      <c r="Q4581">
        <v>0</v>
      </c>
      <c r="R4581">
        <v>0</v>
      </c>
      <c r="W4581" t="s">
        <v>928</v>
      </c>
      <c r="AA4581">
        <v>2007</v>
      </c>
      <c r="AB4581">
        <v>9999</v>
      </c>
      <c r="AC4581" t="s">
        <v>35</v>
      </c>
    </row>
    <row r="4582" spans="1:29" x14ac:dyDescent="0.25">
      <c r="A4582" s="31" t="s">
        <v>929</v>
      </c>
      <c r="B4582" s="23" t="s">
        <v>930</v>
      </c>
      <c r="C4582" t="s">
        <v>931</v>
      </c>
      <c r="D4582">
        <v>1</v>
      </c>
      <c r="E4582" t="s">
        <v>45</v>
      </c>
      <c r="F4582">
        <v>4</v>
      </c>
      <c r="G4582">
        <v>2010</v>
      </c>
      <c r="I4582">
        <v>559.29999999999995</v>
      </c>
      <c r="J4582" t="s">
        <v>31</v>
      </c>
      <c r="K4582" t="s">
        <v>47</v>
      </c>
      <c r="O4582">
        <v>0</v>
      </c>
      <c r="P4582">
        <v>0</v>
      </c>
      <c r="Q4582">
        <v>0</v>
      </c>
      <c r="R4582">
        <v>0</v>
      </c>
      <c r="W4582" t="s">
        <v>1336</v>
      </c>
      <c r="AA4582">
        <v>2007</v>
      </c>
      <c r="AB4582">
        <v>9999</v>
      </c>
      <c r="AC4582" t="s">
        <v>35</v>
      </c>
    </row>
    <row r="4583" spans="1:29" x14ac:dyDescent="0.25">
      <c r="A4583" s="31" t="s">
        <v>1212</v>
      </c>
      <c r="B4583" s="23" t="s">
        <v>1213</v>
      </c>
      <c r="D4583">
        <v>1</v>
      </c>
      <c r="E4583" t="s">
        <v>681</v>
      </c>
      <c r="F4583">
        <v>3</v>
      </c>
      <c r="G4583">
        <v>2010</v>
      </c>
      <c r="I4583">
        <v>3.2</v>
      </c>
      <c r="J4583" t="s">
        <v>121</v>
      </c>
      <c r="K4583" t="s">
        <v>41</v>
      </c>
      <c r="O4583">
        <v>0</v>
      </c>
      <c r="P4583">
        <v>0</v>
      </c>
      <c r="Q4583">
        <v>0</v>
      </c>
      <c r="R4583">
        <v>0</v>
      </c>
      <c r="W4583" t="s">
        <v>1278</v>
      </c>
      <c r="AA4583">
        <v>2008</v>
      </c>
      <c r="AB4583">
        <v>9999</v>
      </c>
      <c r="AC4583" t="s">
        <v>1054</v>
      </c>
    </row>
    <row r="4584" spans="1:29" x14ac:dyDescent="0.25">
      <c r="A4584" s="31" t="s">
        <v>933</v>
      </c>
      <c r="B4584" s="25" t="s">
        <v>934</v>
      </c>
      <c r="C4584" t="s">
        <v>935</v>
      </c>
      <c r="D4584">
        <v>1</v>
      </c>
      <c r="E4584" t="s">
        <v>681</v>
      </c>
      <c r="F4584">
        <v>3</v>
      </c>
      <c r="G4584">
        <v>2010</v>
      </c>
      <c r="I4584" t="s">
        <v>812</v>
      </c>
      <c r="J4584" t="s">
        <v>121</v>
      </c>
      <c r="K4584" t="s">
        <v>47</v>
      </c>
      <c r="O4584">
        <v>0</v>
      </c>
      <c r="P4584">
        <v>0</v>
      </c>
      <c r="Q4584">
        <v>0</v>
      </c>
      <c r="R4584">
        <v>0</v>
      </c>
      <c r="W4584" t="s">
        <v>936</v>
      </c>
      <c r="AA4584">
        <v>2007</v>
      </c>
      <c r="AB4584">
        <v>9999</v>
      </c>
      <c r="AC4584" t="s">
        <v>35</v>
      </c>
    </row>
    <row r="4585" spans="1:29" x14ac:dyDescent="0.25">
      <c r="A4585" s="31" t="s">
        <v>937</v>
      </c>
      <c r="B4585" s="23" t="s">
        <v>938</v>
      </c>
      <c r="D4585">
        <v>1</v>
      </c>
      <c r="E4585" t="s">
        <v>103</v>
      </c>
      <c r="F4585">
        <v>9</v>
      </c>
      <c r="G4585">
        <v>2010</v>
      </c>
      <c r="I4585">
        <v>700.6</v>
      </c>
      <c r="J4585" t="s">
        <v>104</v>
      </c>
      <c r="K4585" t="s">
        <v>53</v>
      </c>
      <c r="L4585" t="s">
        <v>105</v>
      </c>
      <c r="O4585">
        <v>0</v>
      </c>
      <c r="P4585">
        <v>1</v>
      </c>
      <c r="Q4585">
        <v>0</v>
      </c>
      <c r="R4585">
        <v>0</v>
      </c>
      <c r="W4585" t="s">
        <v>106</v>
      </c>
      <c r="AA4585">
        <v>2007</v>
      </c>
      <c r="AB4585">
        <v>9999</v>
      </c>
      <c r="AC4585" t="s">
        <v>35</v>
      </c>
    </row>
    <row r="4586" spans="1:29" x14ac:dyDescent="0.25">
      <c r="A4586" s="31" t="s">
        <v>939</v>
      </c>
      <c r="B4586" s="23" t="s">
        <v>940</v>
      </c>
      <c r="D4586">
        <v>1</v>
      </c>
      <c r="E4586" t="s">
        <v>80</v>
      </c>
      <c r="F4586">
        <v>8</v>
      </c>
      <c r="G4586">
        <v>2010</v>
      </c>
      <c r="I4586">
        <v>70.099999999999994</v>
      </c>
      <c r="J4586" s="2" t="s">
        <v>81</v>
      </c>
      <c r="K4586" t="s">
        <v>47</v>
      </c>
      <c r="O4586">
        <v>0</v>
      </c>
      <c r="P4586">
        <v>0</v>
      </c>
      <c r="Q4586">
        <v>0</v>
      </c>
      <c r="R4586">
        <v>0</v>
      </c>
      <c r="W4586" t="s">
        <v>1214</v>
      </c>
      <c r="AA4586">
        <v>2007</v>
      </c>
      <c r="AB4586">
        <v>9999</v>
      </c>
      <c r="AC4586" t="s">
        <v>35</v>
      </c>
    </row>
    <row r="4587" spans="1:29" x14ac:dyDescent="0.25">
      <c r="A4587" s="31" t="s">
        <v>629</v>
      </c>
      <c r="B4587" s="23" t="s">
        <v>942</v>
      </c>
      <c r="D4587">
        <v>1</v>
      </c>
      <c r="E4587" t="s">
        <v>138</v>
      </c>
      <c r="F4587">
        <v>8</v>
      </c>
      <c r="G4587">
        <v>2010</v>
      </c>
      <c r="H4587" t="s">
        <v>630</v>
      </c>
      <c r="I4587">
        <v>2</v>
      </c>
      <c r="J4587" t="s">
        <v>81</v>
      </c>
      <c r="K4587" t="s">
        <v>41</v>
      </c>
      <c r="O4587">
        <v>0</v>
      </c>
      <c r="P4587">
        <v>0</v>
      </c>
      <c r="Q4587">
        <v>0</v>
      </c>
      <c r="R4587">
        <v>0</v>
      </c>
      <c r="W4587" t="s">
        <v>1215</v>
      </c>
      <c r="AA4587">
        <v>2007</v>
      </c>
      <c r="AB4587">
        <v>2014</v>
      </c>
      <c r="AC4587" t="s">
        <v>633</v>
      </c>
    </row>
    <row r="4588" spans="1:29" x14ac:dyDescent="0.25">
      <c r="A4588" s="31" t="s">
        <v>462</v>
      </c>
      <c r="B4588" s="23" t="s">
        <v>1279</v>
      </c>
      <c r="C4588" t="s">
        <v>1280</v>
      </c>
      <c r="D4588">
        <v>1</v>
      </c>
      <c r="E4588" t="s">
        <v>468</v>
      </c>
      <c r="F4588">
        <v>7</v>
      </c>
      <c r="G4588">
        <v>2010</v>
      </c>
      <c r="I4588">
        <v>54</v>
      </c>
      <c r="J4588" t="s">
        <v>40</v>
      </c>
      <c r="K4588" t="s">
        <v>47</v>
      </c>
      <c r="O4588">
        <v>0</v>
      </c>
      <c r="P4588">
        <v>0</v>
      </c>
      <c r="Q4588">
        <v>0</v>
      </c>
      <c r="R4588">
        <v>0</v>
      </c>
      <c r="W4588" t="s">
        <v>1118</v>
      </c>
      <c r="AA4588">
        <v>2007</v>
      </c>
      <c r="AB4588">
        <v>9999</v>
      </c>
      <c r="AC4588" t="s">
        <v>35</v>
      </c>
    </row>
    <row r="4589" spans="1:29" x14ac:dyDescent="0.25">
      <c r="A4589" s="31" t="s">
        <v>944</v>
      </c>
      <c r="B4589" s="23" t="s">
        <v>945</v>
      </c>
      <c r="D4589">
        <v>1</v>
      </c>
      <c r="E4589" s="6" t="s">
        <v>128</v>
      </c>
      <c r="F4589">
        <v>9</v>
      </c>
      <c r="G4589">
        <v>2010</v>
      </c>
      <c r="I4589">
        <v>34.299999999999997</v>
      </c>
      <c r="J4589" t="s">
        <v>104</v>
      </c>
      <c r="K4589" t="s">
        <v>53</v>
      </c>
      <c r="L4589" t="s">
        <v>105</v>
      </c>
      <c r="O4589">
        <v>0</v>
      </c>
      <c r="P4589">
        <v>1</v>
      </c>
      <c r="Q4589">
        <v>0</v>
      </c>
      <c r="R4589">
        <v>0</v>
      </c>
      <c r="W4589" t="s">
        <v>106</v>
      </c>
      <c r="AA4589">
        <v>2007</v>
      </c>
      <c r="AB4589">
        <v>2010</v>
      </c>
      <c r="AC4589" t="s">
        <v>91</v>
      </c>
    </row>
    <row r="4590" spans="1:29" x14ac:dyDescent="0.25">
      <c r="A4590" s="31" t="s">
        <v>1337</v>
      </c>
      <c r="B4590" s="23" t="s">
        <v>1315</v>
      </c>
      <c r="D4590">
        <v>1</v>
      </c>
      <c r="E4590" t="s">
        <v>45</v>
      </c>
      <c r="F4590">
        <v>4</v>
      </c>
      <c r="G4590">
        <v>2010</v>
      </c>
      <c r="I4590">
        <v>293.8</v>
      </c>
      <c r="J4590" t="s">
        <v>89</v>
      </c>
      <c r="K4590" t="s">
        <v>32</v>
      </c>
      <c r="O4590">
        <v>0</v>
      </c>
      <c r="P4590">
        <v>0</v>
      </c>
      <c r="Q4590">
        <v>0</v>
      </c>
      <c r="R4590">
        <v>0</v>
      </c>
      <c r="W4590" t="s">
        <v>1338</v>
      </c>
      <c r="AA4590">
        <v>2010</v>
      </c>
      <c r="AB4590">
        <v>9999</v>
      </c>
      <c r="AC4590" t="s">
        <v>1292</v>
      </c>
    </row>
    <row r="4591" spans="1:29" x14ac:dyDescent="0.25">
      <c r="A4591" s="31" t="s">
        <v>153</v>
      </c>
      <c r="B4591" s="23" t="s">
        <v>946</v>
      </c>
      <c r="D4591">
        <v>48</v>
      </c>
      <c r="E4591" t="s">
        <v>155</v>
      </c>
      <c r="F4591">
        <v>3</v>
      </c>
      <c r="G4591">
        <v>2010</v>
      </c>
      <c r="I4591">
        <v>2522.4318454051217</v>
      </c>
      <c r="J4591" t="s">
        <v>121</v>
      </c>
      <c r="K4591" t="s">
        <v>53</v>
      </c>
      <c r="L4591" t="s">
        <v>60</v>
      </c>
      <c r="O4591">
        <v>1</v>
      </c>
      <c r="P4591">
        <v>0</v>
      </c>
      <c r="Q4591">
        <v>0</v>
      </c>
      <c r="R4591">
        <v>0</v>
      </c>
      <c r="V4591">
        <v>1</v>
      </c>
      <c r="W4591" t="s">
        <v>947</v>
      </c>
      <c r="AA4591">
        <v>2007</v>
      </c>
      <c r="AB4591">
        <v>9999</v>
      </c>
      <c r="AC4591" t="s">
        <v>35</v>
      </c>
    </row>
    <row r="4592" spans="1:29" x14ac:dyDescent="0.25">
      <c r="A4592" s="31" t="s">
        <v>950</v>
      </c>
      <c r="B4592" s="23" t="s">
        <v>951</v>
      </c>
      <c r="C4592" t="s">
        <v>952</v>
      </c>
      <c r="D4592">
        <v>1</v>
      </c>
      <c r="E4592" t="s">
        <v>218</v>
      </c>
      <c r="F4592">
        <v>2</v>
      </c>
      <c r="G4592">
        <v>2010</v>
      </c>
      <c r="I4592">
        <v>850.4</v>
      </c>
      <c r="J4592" t="s">
        <v>147</v>
      </c>
      <c r="K4592" t="s">
        <v>32</v>
      </c>
      <c r="O4592">
        <v>0</v>
      </c>
      <c r="P4592">
        <v>0</v>
      </c>
      <c r="Q4592">
        <v>0</v>
      </c>
      <c r="R4592">
        <v>0</v>
      </c>
      <c r="W4592" t="s">
        <v>1216</v>
      </c>
      <c r="AA4592">
        <v>2007</v>
      </c>
      <c r="AB4592">
        <v>9999</v>
      </c>
      <c r="AC4592" t="s">
        <v>35</v>
      </c>
    </row>
    <row r="4593" spans="1:29" x14ac:dyDescent="0.25">
      <c r="A4593" s="31" t="s">
        <v>954</v>
      </c>
      <c r="B4593" s="23" t="s">
        <v>955</v>
      </c>
      <c r="C4593" t="s">
        <v>956</v>
      </c>
      <c r="D4593">
        <v>1</v>
      </c>
      <c r="E4593" t="s">
        <v>218</v>
      </c>
      <c r="F4593">
        <v>2</v>
      </c>
      <c r="G4593">
        <v>2010</v>
      </c>
      <c r="I4593">
        <v>176.7</v>
      </c>
      <c r="J4593" t="s">
        <v>147</v>
      </c>
      <c r="K4593" t="s">
        <v>47</v>
      </c>
      <c r="O4593">
        <v>0</v>
      </c>
      <c r="P4593">
        <v>0</v>
      </c>
      <c r="Q4593">
        <v>0</v>
      </c>
      <c r="R4593">
        <v>0</v>
      </c>
      <c r="W4593" t="s">
        <v>1217</v>
      </c>
      <c r="AA4593">
        <v>2007</v>
      </c>
      <c r="AB4593">
        <v>9999</v>
      </c>
      <c r="AC4593" t="s">
        <v>35</v>
      </c>
    </row>
    <row r="4594" spans="1:29" x14ac:dyDescent="0.25">
      <c r="A4594" s="31" t="s">
        <v>1281</v>
      </c>
      <c r="B4594" s="23" t="s">
        <v>1282</v>
      </c>
      <c r="D4594">
        <v>1</v>
      </c>
      <c r="E4594" t="s">
        <v>625</v>
      </c>
      <c r="F4594">
        <v>4</v>
      </c>
      <c r="G4594">
        <v>2010</v>
      </c>
      <c r="I4594">
        <v>1421.5</v>
      </c>
      <c r="J4594" t="s">
        <v>89</v>
      </c>
      <c r="K4594" t="s">
        <v>32</v>
      </c>
      <c r="O4594">
        <v>0</v>
      </c>
      <c r="P4594">
        <v>0</v>
      </c>
      <c r="Q4594">
        <v>0</v>
      </c>
      <c r="R4594">
        <v>0</v>
      </c>
      <c r="W4594" t="s">
        <v>1283</v>
      </c>
      <c r="AA4594">
        <v>2009</v>
      </c>
      <c r="AB4594">
        <v>9999</v>
      </c>
      <c r="AC4594" t="s">
        <v>1239</v>
      </c>
    </row>
    <row r="4595" spans="1:29" x14ac:dyDescent="0.25">
      <c r="A4595" s="31" t="s">
        <v>958</v>
      </c>
      <c r="B4595" s="25" t="s">
        <v>959</v>
      </c>
      <c r="D4595">
        <v>1</v>
      </c>
      <c r="E4595" t="s">
        <v>51</v>
      </c>
      <c r="F4595">
        <v>1</v>
      </c>
      <c r="G4595">
        <v>2010</v>
      </c>
      <c r="I4595">
        <v>54</v>
      </c>
      <c r="J4595" t="s">
        <v>52</v>
      </c>
      <c r="K4595" t="s">
        <v>53</v>
      </c>
      <c r="L4595" t="s">
        <v>54</v>
      </c>
      <c r="O4595">
        <v>0</v>
      </c>
      <c r="P4595">
        <v>0</v>
      </c>
      <c r="Q4595">
        <v>1</v>
      </c>
      <c r="R4595">
        <v>0</v>
      </c>
      <c r="W4595" t="s">
        <v>55</v>
      </c>
      <c r="AA4595">
        <v>2007</v>
      </c>
      <c r="AB4595">
        <v>9999</v>
      </c>
      <c r="AC4595" t="s">
        <v>35</v>
      </c>
    </row>
    <row r="4596" spans="1:29" x14ac:dyDescent="0.25">
      <c r="A4596" s="31" t="s">
        <v>960</v>
      </c>
      <c r="B4596" s="23" t="s">
        <v>961</v>
      </c>
      <c r="D4596">
        <v>1</v>
      </c>
      <c r="E4596" t="s">
        <v>168</v>
      </c>
      <c r="F4596">
        <v>1</v>
      </c>
      <c r="G4596">
        <v>2010</v>
      </c>
      <c r="I4596">
        <v>1961.8</v>
      </c>
      <c r="J4596" t="s">
        <v>52</v>
      </c>
      <c r="K4596" t="s">
        <v>47</v>
      </c>
      <c r="O4596">
        <v>0</v>
      </c>
      <c r="P4596">
        <v>0</v>
      </c>
      <c r="Q4596">
        <v>0</v>
      </c>
      <c r="R4596">
        <v>0</v>
      </c>
      <c r="W4596" t="s">
        <v>1218</v>
      </c>
      <c r="AA4596">
        <v>2007</v>
      </c>
      <c r="AB4596">
        <v>9999</v>
      </c>
      <c r="AC4596" t="s">
        <v>35</v>
      </c>
    </row>
    <row r="4597" spans="1:29" x14ac:dyDescent="0.25">
      <c r="A4597" s="31" t="s">
        <v>963</v>
      </c>
      <c r="B4597" s="23" t="s">
        <v>658</v>
      </c>
      <c r="D4597">
        <v>1</v>
      </c>
      <c r="E4597" t="s">
        <v>103</v>
      </c>
      <c r="F4597">
        <v>9</v>
      </c>
      <c r="G4597">
        <v>2010</v>
      </c>
      <c r="I4597">
        <v>3580.9</v>
      </c>
      <c r="J4597" t="s">
        <v>104</v>
      </c>
      <c r="K4597" t="s">
        <v>53</v>
      </c>
      <c r="L4597" t="s">
        <v>105</v>
      </c>
      <c r="O4597">
        <v>0</v>
      </c>
      <c r="P4597">
        <v>1</v>
      </c>
      <c r="Q4597">
        <v>0</v>
      </c>
      <c r="R4597">
        <v>0</v>
      </c>
      <c r="W4597" t="s">
        <v>106</v>
      </c>
      <c r="AA4597">
        <v>2007</v>
      </c>
      <c r="AB4597">
        <v>9999</v>
      </c>
      <c r="AC4597" t="s">
        <v>35</v>
      </c>
    </row>
    <row r="4598" spans="1:29" x14ac:dyDescent="0.25">
      <c r="A4598" s="31" t="s">
        <v>964</v>
      </c>
      <c r="B4598" s="23" t="s">
        <v>965</v>
      </c>
      <c r="D4598">
        <v>1</v>
      </c>
      <c r="E4598" t="s">
        <v>80</v>
      </c>
      <c r="F4598">
        <v>8</v>
      </c>
      <c r="G4598">
        <v>2010</v>
      </c>
      <c r="I4598">
        <v>71.5</v>
      </c>
      <c r="J4598" t="s">
        <v>46</v>
      </c>
      <c r="K4598" t="s">
        <v>47</v>
      </c>
      <c r="O4598">
        <v>0</v>
      </c>
      <c r="P4598">
        <v>0</v>
      </c>
      <c r="Q4598">
        <v>0</v>
      </c>
      <c r="R4598">
        <v>0</v>
      </c>
      <c r="W4598" t="s">
        <v>1219</v>
      </c>
      <c r="AA4598">
        <v>2007</v>
      </c>
      <c r="AB4598">
        <v>9999</v>
      </c>
      <c r="AC4598" t="s">
        <v>35</v>
      </c>
    </row>
    <row r="4599" spans="1:29" x14ac:dyDescent="0.25">
      <c r="A4599" s="31" t="s">
        <v>967</v>
      </c>
      <c r="B4599" s="23" t="s">
        <v>661</v>
      </c>
      <c r="D4599">
        <v>1</v>
      </c>
      <c r="E4599" t="s">
        <v>103</v>
      </c>
      <c r="F4599">
        <v>9</v>
      </c>
      <c r="G4599">
        <v>2010</v>
      </c>
      <c r="I4599">
        <v>4764.8</v>
      </c>
      <c r="J4599" t="s">
        <v>104</v>
      </c>
      <c r="K4599" t="s">
        <v>53</v>
      </c>
      <c r="L4599" t="s">
        <v>105</v>
      </c>
      <c r="O4599">
        <v>0</v>
      </c>
      <c r="P4599">
        <v>1</v>
      </c>
      <c r="Q4599">
        <v>0</v>
      </c>
      <c r="R4599">
        <v>0</v>
      </c>
      <c r="W4599" t="s">
        <v>106</v>
      </c>
      <c r="AA4599">
        <v>2007</v>
      </c>
      <c r="AB4599">
        <v>9999</v>
      </c>
      <c r="AC4599" t="s">
        <v>35</v>
      </c>
    </row>
    <row r="4600" spans="1:29" x14ac:dyDescent="0.25">
      <c r="A4600" s="31" t="s">
        <v>968</v>
      </c>
      <c r="B4600" s="25" t="s">
        <v>969</v>
      </c>
      <c r="D4600">
        <v>1</v>
      </c>
      <c r="E4600" t="s">
        <v>85</v>
      </c>
      <c r="F4600">
        <v>1</v>
      </c>
      <c r="G4600">
        <v>2010</v>
      </c>
      <c r="H4600" t="s">
        <v>970</v>
      </c>
      <c r="I4600">
        <v>0.15</v>
      </c>
      <c r="J4600" t="s">
        <v>176</v>
      </c>
      <c r="K4600" t="s">
        <v>41</v>
      </c>
      <c r="O4600">
        <v>0</v>
      </c>
      <c r="P4600">
        <v>0</v>
      </c>
      <c r="Q4600">
        <v>0</v>
      </c>
      <c r="R4600">
        <v>0</v>
      </c>
      <c r="W4600" t="s">
        <v>971</v>
      </c>
      <c r="AA4600">
        <v>2007</v>
      </c>
      <c r="AB4600">
        <v>9999</v>
      </c>
      <c r="AC4600" t="s">
        <v>35</v>
      </c>
    </row>
    <row r="4601" spans="1:29" x14ac:dyDescent="0.25">
      <c r="A4601" s="31" t="s">
        <v>975</v>
      </c>
      <c r="B4601" s="23" t="s">
        <v>976</v>
      </c>
      <c r="D4601">
        <v>1</v>
      </c>
      <c r="E4601" t="s">
        <v>977</v>
      </c>
      <c r="F4601">
        <v>1</v>
      </c>
      <c r="G4601">
        <v>2010</v>
      </c>
      <c r="I4601">
        <v>11.4</v>
      </c>
      <c r="J4601" t="s">
        <v>121</v>
      </c>
      <c r="K4601" t="s">
        <v>41</v>
      </c>
      <c r="O4601">
        <v>0</v>
      </c>
      <c r="P4601">
        <v>0</v>
      </c>
      <c r="Q4601">
        <v>0</v>
      </c>
      <c r="R4601">
        <v>0</v>
      </c>
      <c r="W4601" t="s">
        <v>1220</v>
      </c>
      <c r="AA4601">
        <v>2007</v>
      </c>
      <c r="AB4601">
        <v>9999</v>
      </c>
      <c r="AC4601" t="s">
        <v>35</v>
      </c>
    </row>
    <row r="4602" spans="1:29" x14ac:dyDescent="0.25">
      <c r="A4602" s="31" t="s">
        <v>982</v>
      </c>
      <c r="B4602" s="23" t="s">
        <v>983</v>
      </c>
      <c r="D4602">
        <v>1</v>
      </c>
      <c r="E4602" t="s">
        <v>300</v>
      </c>
      <c r="F4602">
        <v>9</v>
      </c>
      <c r="G4602">
        <v>2010</v>
      </c>
      <c r="I4602">
        <v>109.7</v>
      </c>
      <c r="J4602" t="s">
        <v>104</v>
      </c>
      <c r="K4602" t="s">
        <v>32</v>
      </c>
      <c r="O4602">
        <v>0</v>
      </c>
      <c r="P4602">
        <v>0</v>
      </c>
      <c r="Q4602">
        <v>0</v>
      </c>
      <c r="R4602">
        <v>0</v>
      </c>
      <c r="W4602" t="s">
        <v>1222</v>
      </c>
      <c r="AA4602">
        <v>2007</v>
      </c>
      <c r="AB4602">
        <v>2012</v>
      </c>
      <c r="AC4602" t="s">
        <v>302</v>
      </c>
    </row>
    <row r="4603" spans="1:29" x14ac:dyDescent="0.25">
      <c r="A4603" s="31" t="s">
        <v>985</v>
      </c>
      <c r="B4603" s="23" t="s">
        <v>986</v>
      </c>
      <c r="C4603" t="s">
        <v>987</v>
      </c>
      <c r="D4603">
        <v>1</v>
      </c>
      <c r="E4603" t="s">
        <v>988</v>
      </c>
      <c r="F4603">
        <v>4</v>
      </c>
      <c r="G4603">
        <v>2010</v>
      </c>
      <c r="I4603">
        <v>197.2</v>
      </c>
      <c r="J4603" t="s">
        <v>89</v>
      </c>
      <c r="K4603" t="s">
        <v>32</v>
      </c>
      <c r="O4603">
        <v>0</v>
      </c>
      <c r="P4603">
        <v>0</v>
      </c>
      <c r="Q4603">
        <v>0</v>
      </c>
      <c r="R4603">
        <v>0</v>
      </c>
      <c r="W4603" t="s">
        <v>1339</v>
      </c>
      <c r="AA4603">
        <v>2007</v>
      </c>
      <c r="AB4603">
        <v>9999</v>
      </c>
      <c r="AC4603" t="s">
        <v>35</v>
      </c>
    </row>
    <row r="4604" spans="1:29" x14ac:dyDescent="0.25">
      <c r="A4604" s="31" t="s">
        <v>993</v>
      </c>
      <c r="B4604" s="23" t="s">
        <v>129</v>
      </c>
      <c r="D4604">
        <v>1</v>
      </c>
      <c r="E4604" t="s">
        <v>994</v>
      </c>
      <c r="F4604">
        <v>1</v>
      </c>
      <c r="G4604">
        <v>2010</v>
      </c>
      <c r="I4604">
        <v>136.69999999999999</v>
      </c>
      <c r="J4604" t="s">
        <v>104</v>
      </c>
      <c r="K4604" t="s">
        <v>32</v>
      </c>
      <c r="O4604">
        <v>0</v>
      </c>
      <c r="P4604">
        <v>0</v>
      </c>
      <c r="Q4604">
        <v>0</v>
      </c>
      <c r="R4604">
        <v>0</v>
      </c>
      <c r="W4604" t="s">
        <v>1340</v>
      </c>
      <c r="AA4604">
        <v>2007</v>
      </c>
      <c r="AB4604">
        <v>9999</v>
      </c>
      <c r="AC4604" t="s">
        <v>35</v>
      </c>
    </row>
    <row r="4605" spans="1:29" x14ac:dyDescent="0.25">
      <c r="A4605" s="31" t="s">
        <v>996</v>
      </c>
      <c r="B4605" s="23" t="s">
        <v>997</v>
      </c>
      <c r="D4605">
        <v>1</v>
      </c>
      <c r="E4605" t="s">
        <v>38</v>
      </c>
      <c r="F4605">
        <v>4</v>
      </c>
      <c r="G4605">
        <v>2010</v>
      </c>
      <c r="H4605" t="s">
        <v>998</v>
      </c>
      <c r="I4605">
        <v>1.25</v>
      </c>
      <c r="J4605" t="s">
        <v>151</v>
      </c>
      <c r="K4605" t="s">
        <v>1226</v>
      </c>
      <c r="O4605">
        <v>0</v>
      </c>
      <c r="P4605">
        <v>0</v>
      </c>
      <c r="Q4605">
        <v>0</v>
      </c>
      <c r="R4605">
        <v>0</v>
      </c>
      <c r="W4605" t="s">
        <v>1341</v>
      </c>
      <c r="AA4605">
        <v>2007</v>
      </c>
      <c r="AB4605">
        <v>9999</v>
      </c>
      <c r="AC4605" t="s">
        <v>35</v>
      </c>
    </row>
    <row r="4606" spans="1:29" x14ac:dyDescent="0.25">
      <c r="A4606" s="31" t="s">
        <v>1000</v>
      </c>
      <c r="B4606" s="23" t="s">
        <v>1001</v>
      </c>
      <c r="D4606">
        <v>1</v>
      </c>
      <c r="E4606" t="s">
        <v>38</v>
      </c>
      <c r="F4606">
        <v>4</v>
      </c>
      <c r="G4606">
        <v>2010</v>
      </c>
      <c r="I4606">
        <v>2838.9</v>
      </c>
      <c r="J4606" t="s">
        <v>89</v>
      </c>
      <c r="K4606" t="s">
        <v>32</v>
      </c>
      <c r="O4606">
        <v>0</v>
      </c>
      <c r="P4606">
        <v>0</v>
      </c>
      <c r="Q4606">
        <v>0</v>
      </c>
      <c r="R4606">
        <v>0</v>
      </c>
      <c r="W4606" t="s">
        <v>1284</v>
      </c>
      <c r="AA4606">
        <v>2007</v>
      </c>
      <c r="AB4606">
        <v>2010</v>
      </c>
      <c r="AC4606" t="s">
        <v>91</v>
      </c>
    </row>
    <row r="4607" spans="1:29" x14ac:dyDescent="0.25">
      <c r="A4607" s="31" t="s">
        <v>1005</v>
      </c>
      <c r="B4607" s="23" t="s">
        <v>1006</v>
      </c>
      <c r="D4607">
        <v>1</v>
      </c>
      <c r="E4607" t="s">
        <v>80</v>
      </c>
      <c r="F4607">
        <v>8</v>
      </c>
      <c r="G4607">
        <v>2010</v>
      </c>
      <c r="I4607">
        <v>7.5</v>
      </c>
      <c r="J4607" t="s">
        <v>104</v>
      </c>
      <c r="K4607" t="s">
        <v>53</v>
      </c>
      <c r="L4607" t="s">
        <v>53</v>
      </c>
      <c r="O4607">
        <v>0</v>
      </c>
      <c r="P4607">
        <v>0</v>
      </c>
      <c r="Q4607">
        <v>0</v>
      </c>
      <c r="R4607">
        <v>0</v>
      </c>
      <c r="W4607" t="s">
        <v>1007</v>
      </c>
      <c r="AA4607">
        <v>2007</v>
      </c>
      <c r="AB4607">
        <v>2016</v>
      </c>
      <c r="AC4607" t="s">
        <v>528</v>
      </c>
    </row>
    <row r="4608" spans="1:29" x14ac:dyDescent="0.25">
      <c r="A4608" s="31" t="s">
        <v>1008</v>
      </c>
      <c r="B4608" s="23" t="s">
        <v>1009</v>
      </c>
      <c r="D4608">
        <v>1</v>
      </c>
      <c r="E4608" t="s">
        <v>155</v>
      </c>
      <c r="F4608">
        <v>3</v>
      </c>
      <c r="G4608">
        <v>2010</v>
      </c>
      <c r="I4608">
        <v>1178.3</v>
      </c>
      <c r="J4608" t="s">
        <v>121</v>
      </c>
      <c r="K4608" t="s">
        <v>47</v>
      </c>
      <c r="O4608">
        <v>0</v>
      </c>
      <c r="P4608">
        <v>0</v>
      </c>
      <c r="Q4608">
        <v>0</v>
      </c>
      <c r="R4608">
        <v>0</v>
      </c>
      <c r="W4608" t="s">
        <v>1228</v>
      </c>
      <c r="AA4608">
        <v>2007</v>
      </c>
      <c r="AB4608">
        <v>9999</v>
      </c>
      <c r="AC4608" t="s">
        <v>35</v>
      </c>
    </row>
    <row r="4609" spans="1:29" x14ac:dyDescent="0.25">
      <c r="A4609" s="31" t="s">
        <v>1011</v>
      </c>
      <c r="B4609" s="23" t="s">
        <v>1012</v>
      </c>
      <c r="D4609">
        <v>1</v>
      </c>
      <c r="E4609" t="s">
        <v>103</v>
      </c>
      <c r="F4609">
        <v>9</v>
      </c>
      <c r="G4609">
        <v>2010</v>
      </c>
      <c r="I4609">
        <v>1003.2</v>
      </c>
      <c r="J4609" t="s">
        <v>104</v>
      </c>
      <c r="K4609" t="s">
        <v>53</v>
      </c>
      <c r="L4609" t="s">
        <v>105</v>
      </c>
      <c r="O4609">
        <v>0</v>
      </c>
      <c r="P4609">
        <v>1</v>
      </c>
      <c r="Q4609">
        <v>0</v>
      </c>
      <c r="R4609">
        <v>0</v>
      </c>
      <c r="W4609" t="s">
        <v>106</v>
      </c>
      <c r="AA4609">
        <v>2007</v>
      </c>
      <c r="AB4609">
        <v>9999</v>
      </c>
      <c r="AC4609" t="s">
        <v>35</v>
      </c>
    </row>
    <row r="4610" spans="1:29" x14ac:dyDescent="0.25">
      <c r="A4610" s="31" t="s">
        <v>1013</v>
      </c>
      <c r="B4610" s="25" t="s">
        <v>1014</v>
      </c>
      <c r="D4610">
        <v>1</v>
      </c>
      <c r="E4610" t="s">
        <v>128</v>
      </c>
      <c r="F4610">
        <v>9</v>
      </c>
      <c r="G4610">
        <v>2010</v>
      </c>
      <c r="H4610" t="s">
        <v>297</v>
      </c>
      <c r="I4610">
        <v>4.2</v>
      </c>
      <c r="J4610" t="s">
        <v>104</v>
      </c>
      <c r="K4610" t="s">
        <v>41</v>
      </c>
      <c r="O4610">
        <v>0</v>
      </c>
      <c r="P4610">
        <v>0</v>
      </c>
      <c r="Q4610">
        <v>0</v>
      </c>
      <c r="R4610">
        <v>0</v>
      </c>
      <c r="W4610" t="s">
        <v>1229</v>
      </c>
      <c r="AA4610">
        <v>2007</v>
      </c>
      <c r="AB4610">
        <v>9999</v>
      </c>
      <c r="AC4610" t="s">
        <v>35</v>
      </c>
    </row>
    <row r="4611" spans="1:29" x14ac:dyDescent="0.25">
      <c r="A4611" s="31" t="s">
        <v>1016</v>
      </c>
      <c r="B4611" s="25" t="s">
        <v>1017</v>
      </c>
      <c r="D4611">
        <v>1</v>
      </c>
      <c r="E4611" t="s">
        <v>396</v>
      </c>
      <c r="F4611">
        <v>3</v>
      </c>
      <c r="G4611">
        <v>2010</v>
      </c>
      <c r="H4611" t="s">
        <v>1018</v>
      </c>
      <c r="I4611">
        <v>0.01</v>
      </c>
      <c r="J4611" t="s">
        <v>121</v>
      </c>
      <c r="K4611" t="s">
        <v>41</v>
      </c>
      <c r="O4611">
        <v>0</v>
      </c>
      <c r="P4611">
        <v>0</v>
      </c>
      <c r="Q4611">
        <v>0</v>
      </c>
      <c r="R4611">
        <v>0</v>
      </c>
      <c r="W4611" t="s">
        <v>1230</v>
      </c>
      <c r="AA4611">
        <v>2007</v>
      </c>
      <c r="AB4611">
        <v>9999</v>
      </c>
      <c r="AC4611" t="s">
        <v>35</v>
      </c>
    </row>
    <row r="4612" spans="1:29" x14ac:dyDescent="0.25">
      <c r="A4612" s="31" t="s">
        <v>1020</v>
      </c>
      <c r="B4612" s="23" t="s">
        <v>1021</v>
      </c>
      <c r="D4612">
        <v>1</v>
      </c>
      <c r="E4612" t="s">
        <v>103</v>
      </c>
      <c r="F4612">
        <v>9</v>
      </c>
      <c r="G4612">
        <v>2010</v>
      </c>
      <c r="I4612">
        <v>15.5</v>
      </c>
      <c r="J4612" t="s">
        <v>104</v>
      </c>
      <c r="K4612" t="s">
        <v>47</v>
      </c>
      <c r="O4612">
        <v>0</v>
      </c>
      <c r="P4612">
        <v>0</v>
      </c>
      <c r="Q4612">
        <v>0</v>
      </c>
      <c r="R4612">
        <v>0</v>
      </c>
      <c r="W4612" t="s">
        <v>1231</v>
      </c>
      <c r="AA4612">
        <v>2007</v>
      </c>
      <c r="AB4612">
        <v>9999</v>
      </c>
      <c r="AC4612" t="s">
        <v>35</v>
      </c>
    </row>
    <row r="4613" spans="1:29" x14ac:dyDescent="0.25">
      <c r="B4613" s="23" t="s">
        <v>1026</v>
      </c>
      <c r="D4613">
        <v>24</v>
      </c>
      <c r="F4613">
        <v>3</v>
      </c>
      <c r="G4613">
        <v>2010</v>
      </c>
      <c r="H4613" t="s">
        <v>392</v>
      </c>
      <c r="I4613" t="s">
        <v>1027</v>
      </c>
      <c r="J4613" t="s">
        <v>121</v>
      </c>
      <c r="K4613" t="s">
        <v>41</v>
      </c>
      <c r="O4613">
        <v>0</v>
      </c>
      <c r="P4613">
        <v>0</v>
      </c>
      <c r="Q4613">
        <v>0</v>
      </c>
      <c r="R4613">
        <v>0</v>
      </c>
      <c r="W4613" t="s">
        <v>1232</v>
      </c>
      <c r="AA4613">
        <v>2007</v>
      </c>
      <c r="AB4613">
        <v>9999</v>
      </c>
      <c r="AC4613" t="s">
        <v>35</v>
      </c>
    </row>
    <row r="4614" spans="1:29" x14ac:dyDescent="0.25">
      <c r="A4614" s="31" t="s">
        <v>28</v>
      </c>
      <c r="B4614" s="23" t="s">
        <v>29</v>
      </c>
      <c r="D4614">
        <v>1</v>
      </c>
      <c r="E4614" t="s">
        <v>30</v>
      </c>
      <c r="F4614">
        <v>4</v>
      </c>
      <c r="G4614">
        <v>2009</v>
      </c>
      <c r="I4614">
        <v>308.7</v>
      </c>
      <c r="J4614" s="2" t="s">
        <v>89</v>
      </c>
      <c r="K4614" t="s">
        <v>32</v>
      </c>
      <c r="L4614" t="s">
        <v>33</v>
      </c>
      <c r="O4614">
        <v>0</v>
      </c>
      <c r="P4614">
        <v>0</v>
      </c>
      <c r="Q4614">
        <v>0</v>
      </c>
      <c r="R4614">
        <v>1</v>
      </c>
      <c r="W4614" t="s">
        <v>1029</v>
      </c>
      <c r="AA4614">
        <v>2007</v>
      </c>
      <c r="AB4614">
        <v>9999</v>
      </c>
      <c r="AC4614" t="s">
        <v>35</v>
      </c>
    </row>
    <row r="4615" spans="1:29" x14ac:dyDescent="0.25">
      <c r="A4615" s="31" t="s">
        <v>36</v>
      </c>
      <c r="B4615" s="23" t="s">
        <v>37</v>
      </c>
      <c r="D4615">
        <v>1</v>
      </c>
      <c r="E4615" t="s">
        <v>38</v>
      </c>
      <c r="F4615">
        <v>4</v>
      </c>
      <c r="G4615">
        <v>2009</v>
      </c>
      <c r="H4615" t="s">
        <v>39</v>
      </c>
      <c r="J4615" s="2" t="s">
        <v>40</v>
      </c>
      <c r="K4615" t="s">
        <v>41</v>
      </c>
      <c r="O4615">
        <v>0</v>
      </c>
      <c r="P4615">
        <v>0</v>
      </c>
      <c r="Q4615">
        <v>0</v>
      </c>
      <c r="R4615">
        <v>0</v>
      </c>
      <c r="W4615" t="s">
        <v>1030</v>
      </c>
      <c r="AA4615">
        <v>2007</v>
      </c>
      <c r="AB4615">
        <v>9999</v>
      </c>
      <c r="AC4615" t="s">
        <v>35</v>
      </c>
    </row>
    <row r="4616" spans="1:29" x14ac:dyDescent="0.25">
      <c r="A4616" s="31" t="s">
        <v>43</v>
      </c>
      <c r="B4616" s="23" t="s">
        <v>44</v>
      </c>
      <c r="D4616">
        <v>1</v>
      </c>
      <c r="E4616" t="s">
        <v>45</v>
      </c>
      <c r="F4616">
        <v>4</v>
      </c>
      <c r="G4616">
        <v>2009</v>
      </c>
      <c r="I4616">
        <v>29.1</v>
      </c>
      <c r="J4616" t="s">
        <v>46</v>
      </c>
      <c r="K4616" t="s">
        <v>47</v>
      </c>
      <c r="O4616">
        <v>0</v>
      </c>
      <c r="P4616">
        <v>0</v>
      </c>
      <c r="Q4616">
        <v>0</v>
      </c>
      <c r="R4616">
        <v>0</v>
      </c>
      <c r="W4616" t="s">
        <v>1031</v>
      </c>
      <c r="AA4616">
        <v>2007</v>
      </c>
      <c r="AB4616">
        <v>9999</v>
      </c>
      <c r="AC4616" t="s">
        <v>35</v>
      </c>
    </row>
    <row r="4617" spans="1:29" x14ac:dyDescent="0.25">
      <c r="A4617" s="31" t="s">
        <v>49</v>
      </c>
      <c r="B4617" s="23" t="s">
        <v>50</v>
      </c>
      <c r="D4617">
        <v>1</v>
      </c>
      <c r="E4617" t="s">
        <v>51</v>
      </c>
      <c r="F4617">
        <v>1</v>
      </c>
      <c r="G4617">
        <v>2009</v>
      </c>
      <c r="I4617">
        <v>55</v>
      </c>
      <c r="J4617" t="s">
        <v>52</v>
      </c>
      <c r="K4617" t="s">
        <v>53</v>
      </c>
      <c r="L4617" t="s">
        <v>54</v>
      </c>
      <c r="O4617">
        <v>0</v>
      </c>
      <c r="P4617">
        <v>0</v>
      </c>
      <c r="Q4617">
        <v>1</v>
      </c>
      <c r="R4617">
        <v>0</v>
      </c>
      <c r="W4617" t="s">
        <v>55</v>
      </c>
      <c r="AA4617">
        <v>2007</v>
      </c>
      <c r="AB4617">
        <v>9999</v>
      </c>
      <c r="AC4617" t="s">
        <v>35</v>
      </c>
    </row>
    <row r="4618" spans="1:29" x14ac:dyDescent="0.25">
      <c r="A4618" s="31" t="s">
        <v>56</v>
      </c>
      <c r="B4618" s="23" t="s">
        <v>57</v>
      </c>
      <c r="D4618">
        <v>1</v>
      </c>
      <c r="E4618" t="s">
        <v>58</v>
      </c>
      <c r="F4618">
        <v>4</v>
      </c>
      <c r="G4618">
        <v>2009</v>
      </c>
      <c r="I4618">
        <v>22.5</v>
      </c>
      <c r="J4618" t="s">
        <v>59</v>
      </c>
      <c r="K4618" t="s">
        <v>53</v>
      </c>
      <c r="L4618" t="s">
        <v>60</v>
      </c>
      <c r="O4618">
        <v>1</v>
      </c>
      <c r="P4618">
        <v>0</v>
      </c>
      <c r="Q4618">
        <v>0</v>
      </c>
      <c r="R4618">
        <v>0</v>
      </c>
      <c r="W4618" t="s">
        <v>61</v>
      </c>
      <c r="AA4618">
        <v>2007</v>
      </c>
      <c r="AB4618">
        <v>9999</v>
      </c>
      <c r="AC4618" t="s">
        <v>35</v>
      </c>
    </row>
    <row r="4619" spans="1:29" x14ac:dyDescent="0.25">
      <c r="A4619" s="31" t="s">
        <v>71</v>
      </c>
      <c r="B4619" s="23" t="s">
        <v>1032</v>
      </c>
      <c r="D4619">
        <v>1</v>
      </c>
      <c r="E4619" t="s">
        <v>309</v>
      </c>
      <c r="F4619">
        <v>10</v>
      </c>
      <c r="G4619">
        <v>2009</v>
      </c>
      <c r="I4619">
        <v>7936.9</v>
      </c>
      <c r="J4619" t="s">
        <v>59</v>
      </c>
      <c r="K4619" t="s">
        <v>32</v>
      </c>
      <c r="O4619">
        <v>0</v>
      </c>
      <c r="P4619">
        <v>0</v>
      </c>
      <c r="Q4619">
        <v>0</v>
      </c>
      <c r="R4619">
        <v>0</v>
      </c>
      <c r="W4619" t="s">
        <v>1033</v>
      </c>
      <c r="AA4619">
        <v>2007</v>
      </c>
      <c r="AB4619">
        <v>9999</v>
      </c>
      <c r="AC4619" t="s">
        <v>35</v>
      </c>
    </row>
    <row r="4620" spans="1:29" x14ac:dyDescent="0.25">
      <c r="A4620" s="31" t="s">
        <v>62</v>
      </c>
      <c r="B4620" s="23" t="s">
        <v>63</v>
      </c>
      <c r="D4620">
        <v>1</v>
      </c>
      <c r="E4620" t="s">
        <v>64</v>
      </c>
      <c r="F4620">
        <v>1</v>
      </c>
      <c r="G4620">
        <v>2009</v>
      </c>
      <c r="I4620">
        <v>64.599999999999994</v>
      </c>
      <c r="J4620" t="s">
        <v>52</v>
      </c>
      <c r="K4620" t="s">
        <v>53</v>
      </c>
      <c r="L4620" t="s">
        <v>65</v>
      </c>
      <c r="O4620">
        <v>0</v>
      </c>
      <c r="P4620">
        <v>0</v>
      </c>
      <c r="Q4620">
        <v>0</v>
      </c>
      <c r="R4620">
        <v>0</v>
      </c>
      <c r="W4620" t="s">
        <v>1034</v>
      </c>
      <c r="AA4620">
        <v>2007</v>
      </c>
      <c r="AB4620">
        <v>9999</v>
      </c>
      <c r="AC4620" t="s">
        <v>35</v>
      </c>
    </row>
    <row r="4621" spans="1:29" x14ac:dyDescent="0.25">
      <c r="A4621" s="31" t="s">
        <v>74</v>
      </c>
      <c r="B4621" s="23" t="s">
        <v>75</v>
      </c>
      <c r="D4621">
        <v>1</v>
      </c>
      <c r="E4621" t="s">
        <v>58</v>
      </c>
      <c r="F4621">
        <v>4</v>
      </c>
      <c r="G4621">
        <v>2009</v>
      </c>
      <c r="I4621">
        <v>520.20000000000005</v>
      </c>
      <c r="J4621" t="s">
        <v>59</v>
      </c>
      <c r="K4621" t="s">
        <v>47</v>
      </c>
      <c r="O4621">
        <v>0</v>
      </c>
      <c r="P4621">
        <v>0</v>
      </c>
      <c r="Q4621">
        <v>0</v>
      </c>
      <c r="R4621">
        <v>0</v>
      </c>
      <c r="W4621" t="s">
        <v>1035</v>
      </c>
      <c r="AA4621">
        <v>2007</v>
      </c>
      <c r="AB4621">
        <v>9999</v>
      </c>
      <c r="AC4621" t="s">
        <v>35</v>
      </c>
    </row>
    <row r="4622" spans="1:29" x14ac:dyDescent="0.25">
      <c r="A4622" s="31" t="s">
        <v>78</v>
      </c>
      <c r="B4622" s="23" t="s">
        <v>79</v>
      </c>
      <c r="D4622">
        <v>1</v>
      </c>
      <c r="E4622" t="s">
        <v>80</v>
      </c>
      <c r="F4622">
        <v>8</v>
      </c>
      <c r="G4622">
        <v>2009</v>
      </c>
      <c r="I4622">
        <v>29.3</v>
      </c>
      <c r="J4622" t="s">
        <v>81</v>
      </c>
      <c r="K4622" t="s">
        <v>47</v>
      </c>
      <c r="O4622">
        <v>0</v>
      </c>
      <c r="P4622">
        <v>0</v>
      </c>
      <c r="Q4622">
        <v>0</v>
      </c>
      <c r="R4622">
        <v>0</v>
      </c>
      <c r="W4622" t="s">
        <v>1036</v>
      </c>
      <c r="AA4622">
        <v>2007</v>
      </c>
      <c r="AB4622">
        <v>9999</v>
      </c>
      <c r="AC4622" t="s">
        <v>35</v>
      </c>
    </row>
    <row r="4623" spans="1:29" x14ac:dyDescent="0.25">
      <c r="A4623" s="31" t="s">
        <v>83</v>
      </c>
      <c r="B4623" s="23" t="s">
        <v>84</v>
      </c>
      <c r="D4623">
        <v>1</v>
      </c>
      <c r="E4623" t="s">
        <v>85</v>
      </c>
      <c r="F4623">
        <v>1</v>
      </c>
      <c r="G4623">
        <v>2009</v>
      </c>
      <c r="H4623" t="s">
        <v>39</v>
      </c>
      <c r="J4623" s="2" t="s">
        <v>40</v>
      </c>
      <c r="K4623" t="s">
        <v>41</v>
      </c>
      <c r="O4623">
        <v>0</v>
      </c>
      <c r="P4623">
        <v>0</v>
      </c>
      <c r="Q4623">
        <v>0</v>
      </c>
      <c r="R4623">
        <v>0</v>
      </c>
      <c r="W4623" t="s">
        <v>86</v>
      </c>
      <c r="AA4623">
        <v>2007</v>
      </c>
      <c r="AB4623">
        <v>9999</v>
      </c>
      <c r="AC4623" t="s">
        <v>35</v>
      </c>
    </row>
    <row r="4624" spans="1:29" x14ac:dyDescent="0.25">
      <c r="A4624" s="31" t="s">
        <v>87</v>
      </c>
      <c r="B4624" s="23" t="s">
        <v>88</v>
      </c>
      <c r="D4624">
        <v>1</v>
      </c>
      <c r="E4624" t="s">
        <v>38</v>
      </c>
      <c r="F4624">
        <v>4</v>
      </c>
      <c r="G4624">
        <v>2009</v>
      </c>
      <c r="I4624">
        <v>6085</v>
      </c>
      <c r="J4624" t="s">
        <v>89</v>
      </c>
      <c r="K4624" t="s">
        <v>32</v>
      </c>
      <c r="O4624">
        <v>0</v>
      </c>
      <c r="P4624">
        <v>0</v>
      </c>
      <c r="Q4624">
        <v>0</v>
      </c>
      <c r="R4624">
        <v>0</v>
      </c>
      <c r="W4624" t="s">
        <v>1037</v>
      </c>
      <c r="AA4624">
        <v>2007</v>
      </c>
      <c r="AB4624">
        <v>2010</v>
      </c>
      <c r="AC4624" t="s">
        <v>91</v>
      </c>
    </row>
    <row r="4625" spans="1:29" x14ac:dyDescent="0.25">
      <c r="A4625" s="31" t="s">
        <v>92</v>
      </c>
      <c r="B4625" s="23" t="s">
        <v>93</v>
      </c>
      <c r="C4625" t="s">
        <v>94</v>
      </c>
      <c r="D4625">
        <v>1</v>
      </c>
      <c r="E4625" t="s">
        <v>95</v>
      </c>
      <c r="F4625">
        <v>10</v>
      </c>
      <c r="G4625">
        <v>2009</v>
      </c>
      <c r="I4625">
        <v>18</v>
      </c>
      <c r="J4625" t="s">
        <v>40</v>
      </c>
      <c r="K4625" t="s">
        <v>47</v>
      </c>
      <c r="O4625">
        <v>0</v>
      </c>
      <c r="P4625">
        <v>0</v>
      </c>
      <c r="Q4625">
        <v>0</v>
      </c>
      <c r="R4625">
        <v>0</v>
      </c>
      <c r="W4625" t="s">
        <v>96</v>
      </c>
      <c r="AA4625">
        <v>2007</v>
      </c>
      <c r="AB4625">
        <v>9999</v>
      </c>
      <c r="AC4625" t="s">
        <v>35</v>
      </c>
    </row>
    <row r="4626" spans="1:29" x14ac:dyDescent="0.25">
      <c r="A4626" s="31" t="s">
        <v>101</v>
      </c>
      <c r="B4626" s="23" t="s">
        <v>102</v>
      </c>
      <c r="D4626">
        <v>1</v>
      </c>
      <c r="E4626" t="s">
        <v>103</v>
      </c>
      <c r="F4626">
        <v>9</v>
      </c>
      <c r="G4626">
        <v>2009</v>
      </c>
      <c r="I4626">
        <v>471.5</v>
      </c>
      <c r="J4626" t="s">
        <v>104</v>
      </c>
      <c r="K4626" t="s">
        <v>53</v>
      </c>
      <c r="L4626" t="s">
        <v>105</v>
      </c>
      <c r="O4626">
        <v>0</v>
      </c>
      <c r="P4626">
        <v>1</v>
      </c>
      <c r="Q4626">
        <v>0</v>
      </c>
      <c r="R4626">
        <v>0</v>
      </c>
      <c r="W4626" t="s">
        <v>106</v>
      </c>
      <c r="AA4626">
        <v>2007</v>
      </c>
      <c r="AB4626">
        <v>9999</v>
      </c>
      <c r="AC4626" t="s">
        <v>35</v>
      </c>
    </row>
    <row r="4627" spans="1:29" x14ac:dyDescent="0.25">
      <c r="A4627" s="31" t="s">
        <v>107</v>
      </c>
      <c r="B4627" s="23" t="s">
        <v>108</v>
      </c>
      <c r="D4627">
        <v>1</v>
      </c>
      <c r="E4627" t="s">
        <v>45</v>
      </c>
      <c r="F4627">
        <v>4</v>
      </c>
      <c r="G4627">
        <v>2009</v>
      </c>
      <c r="I4627">
        <v>8</v>
      </c>
      <c r="J4627" t="s">
        <v>52</v>
      </c>
      <c r="K4627" t="s">
        <v>41</v>
      </c>
      <c r="O4627">
        <v>0</v>
      </c>
      <c r="P4627">
        <v>0</v>
      </c>
      <c r="Q4627">
        <v>0</v>
      </c>
      <c r="R4627">
        <v>0</v>
      </c>
      <c r="W4627" t="s">
        <v>109</v>
      </c>
      <c r="AA4627">
        <v>2007</v>
      </c>
      <c r="AB4627">
        <v>9999</v>
      </c>
      <c r="AC4627" t="s">
        <v>35</v>
      </c>
    </row>
    <row r="4628" spans="1:29" x14ac:dyDescent="0.25">
      <c r="A4628" s="31" t="s">
        <v>110</v>
      </c>
      <c r="B4628" s="23" t="s">
        <v>111</v>
      </c>
      <c r="D4628">
        <v>1</v>
      </c>
      <c r="E4628" t="s">
        <v>45</v>
      </c>
      <c r="F4628">
        <v>4</v>
      </c>
      <c r="G4628">
        <v>2009</v>
      </c>
      <c r="I4628">
        <v>467.6</v>
      </c>
      <c r="J4628" t="s">
        <v>89</v>
      </c>
      <c r="K4628" t="s">
        <v>47</v>
      </c>
      <c r="O4628">
        <v>0</v>
      </c>
      <c r="P4628">
        <v>0</v>
      </c>
      <c r="Q4628">
        <v>0</v>
      </c>
      <c r="R4628">
        <v>0</v>
      </c>
      <c r="W4628" t="s">
        <v>1039</v>
      </c>
      <c r="AA4628">
        <v>2007</v>
      </c>
      <c r="AB4628">
        <v>9999</v>
      </c>
      <c r="AC4628" t="s">
        <v>35</v>
      </c>
    </row>
    <row r="4629" spans="1:29" x14ac:dyDescent="0.25">
      <c r="A4629" s="31" t="s">
        <v>113</v>
      </c>
      <c r="B4629" s="23" t="s">
        <v>114</v>
      </c>
      <c r="D4629">
        <v>1</v>
      </c>
      <c r="E4629" t="s">
        <v>115</v>
      </c>
      <c r="F4629">
        <v>6</v>
      </c>
      <c r="G4629">
        <v>2009</v>
      </c>
      <c r="I4629">
        <v>193.8</v>
      </c>
      <c r="J4629" t="s">
        <v>31</v>
      </c>
      <c r="K4629" t="s">
        <v>47</v>
      </c>
      <c r="O4629">
        <v>0</v>
      </c>
      <c r="P4629">
        <v>0</v>
      </c>
      <c r="Q4629">
        <v>0</v>
      </c>
      <c r="R4629">
        <v>0</v>
      </c>
      <c r="W4629" t="s">
        <v>1040</v>
      </c>
      <c r="AA4629">
        <v>2007</v>
      </c>
      <c r="AB4629">
        <v>9999</v>
      </c>
      <c r="AC4629" t="s">
        <v>35</v>
      </c>
    </row>
    <row r="4630" spans="1:29" x14ac:dyDescent="0.25">
      <c r="A4630" s="31" t="s">
        <v>117</v>
      </c>
      <c r="B4630" s="23" t="s">
        <v>118</v>
      </c>
      <c r="C4630" t="s">
        <v>119</v>
      </c>
      <c r="D4630">
        <v>1</v>
      </c>
      <c r="E4630" t="s">
        <v>120</v>
      </c>
      <c r="F4630">
        <v>3</v>
      </c>
      <c r="G4630">
        <v>2009</v>
      </c>
      <c r="I4630">
        <v>80.2</v>
      </c>
      <c r="J4630" t="s">
        <v>121</v>
      </c>
      <c r="K4630" t="s">
        <v>47</v>
      </c>
      <c r="O4630">
        <v>0</v>
      </c>
      <c r="P4630">
        <v>0</v>
      </c>
      <c r="Q4630">
        <v>0</v>
      </c>
      <c r="R4630">
        <v>0</v>
      </c>
      <c r="W4630" t="s">
        <v>1041</v>
      </c>
      <c r="AA4630">
        <v>2007</v>
      </c>
      <c r="AB4630">
        <v>9999</v>
      </c>
      <c r="AC4630" t="s">
        <v>35</v>
      </c>
    </row>
    <row r="4631" spans="1:29" x14ac:dyDescent="0.25">
      <c r="A4631" s="31" t="s">
        <v>123</v>
      </c>
      <c r="B4631" s="23" t="s">
        <v>124</v>
      </c>
      <c r="D4631">
        <v>1</v>
      </c>
      <c r="E4631" t="s">
        <v>120</v>
      </c>
      <c r="F4631">
        <v>3</v>
      </c>
      <c r="G4631">
        <v>2009</v>
      </c>
      <c r="I4631">
        <v>57.6</v>
      </c>
      <c r="J4631" t="s">
        <v>121</v>
      </c>
      <c r="K4631" t="s">
        <v>47</v>
      </c>
      <c r="O4631">
        <v>0</v>
      </c>
      <c r="P4631">
        <v>0</v>
      </c>
      <c r="Q4631">
        <v>0</v>
      </c>
      <c r="R4631">
        <v>0</v>
      </c>
      <c r="W4631" t="s">
        <v>1042</v>
      </c>
      <c r="AA4631">
        <v>2007</v>
      </c>
      <c r="AB4631">
        <v>9999</v>
      </c>
      <c r="AC4631" t="s">
        <v>35</v>
      </c>
    </row>
    <row r="4632" spans="1:29" x14ac:dyDescent="0.25">
      <c r="A4632" s="31" t="s">
        <v>126</v>
      </c>
      <c r="B4632" s="23" t="s">
        <v>127</v>
      </c>
      <c r="D4632">
        <v>1</v>
      </c>
      <c r="E4632" t="s">
        <v>128</v>
      </c>
      <c r="F4632">
        <v>9</v>
      </c>
      <c r="G4632">
        <v>2009</v>
      </c>
      <c r="H4632" t="s">
        <v>129</v>
      </c>
      <c r="J4632" t="s">
        <v>104</v>
      </c>
      <c r="K4632" t="s">
        <v>41</v>
      </c>
      <c r="O4632">
        <v>0</v>
      </c>
      <c r="P4632">
        <v>0</v>
      </c>
      <c r="Q4632">
        <v>0</v>
      </c>
      <c r="R4632">
        <v>0</v>
      </c>
      <c r="W4632" t="s">
        <v>1043</v>
      </c>
      <c r="AA4632">
        <v>2007</v>
      </c>
      <c r="AB4632">
        <v>9999</v>
      </c>
      <c r="AC4632" t="s">
        <v>35</v>
      </c>
    </row>
    <row r="4633" spans="1:29" x14ac:dyDescent="0.25">
      <c r="A4633" s="31" t="s">
        <v>131</v>
      </c>
      <c r="B4633" s="23" t="s">
        <v>132</v>
      </c>
      <c r="C4633" t="s">
        <v>133</v>
      </c>
      <c r="D4633">
        <v>1</v>
      </c>
      <c r="E4633" t="s">
        <v>134</v>
      </c>
      <c r="F4633">
        <v>9</v>
      </c>
      <c r="G4633">
        <v>2009</v>
      </c>
      <c r="I4633">
        <v>875.3</v>
      </c>
      <c r="J4633" t="s">
        <v>104</v>
      </c>
      <c r="K4633" t="s">
        <v>47</v>
      </c>
      <c r="O4633">
        <v>0</v>
      </c>
      <c r="P4633">
        <v>0</v>
      </c>
      <c r="Q4633">
        <v>0</v>
      </c>
      <c r="R4633">
        <v>0</v>
      </c>
      <c r="W4633" t="s">
        <v>1044</v>
      </c>
      <c r="AA4633">
        <v>2007</v>
      </c>
      <c r="AB4633">
        <v>9999</v>
      </c>
      <c r="AC4633" t="s">
        <v>35</v>
      </c>
    </row>
    <row r="4634" spans="1:29" x14ac:dyDescent="0.25">
      <c r="A4634" s="31" t="s">
        <v>136</v>
      </c>
      <c r="B4634" s="23" t="s">
        <v>137</v>
      </c>
      <c r="D4634">
        <v>1</v>
      </c>
      <c r="E4634" t="s">
        <v>138</v>
      </c>
      <c r="F4634">
        <v>8</v>
      </c>
      <c r="G4634">
        <v>2009</v>
      </c>
      <c r="I4634">
        <v>60.7</v>
      </c>
      <c r="J4634" t="s">
        <v>104</v>
      </c>
      <c r="K4634" t="s">
        <v>53</v>
      </c>
      <c r="L4634" t="s">
        <v>105</v>
      </c>
      <c r="O4634">
        <v>0</v>
      </c>
      <c r="P4634">
        <v>1</v>
      </c>
      <c r="Q4634">
        <v>0</v>
      </c>
      <c r="R4634">
        <v>0</v>
      </c>
      <c r="W4634" t="s">
        <v>106</v>
      </c>
      <c r="AA4634">
        <v>2007</v>
      </c>
      <c r="AB4634">
        <v>2013</v>
      </c>
      <c r="AC4634" t="s">
        <v>139</v>
      </c>
    </row>
    <row r="4635" spans="1:29" x14ac:dyDescent="0.25">
      <c r="A4635" s="31" t="s">
        <v>140</v>
      </c>
      <c r="B4635" s="23" t="s">
        <v>141</v>
      </c>
      <c r="D4635">
        <v>1</v>
      </c>
      <c r="E4635" t="s">
        <v>45</v>
      </c>
      <c r="F4635">
        <v>4</v>
      </c>
      <c r="G4635">
        <v>2009</v>
      </c>
      <c r="I4635">
        <v>39.6</v>
      </c>
      <c r="J4635" t="s">
        <v>121</v>
      </c>
      <c r="K4635" t="s">
        <v>47</v>
      </c>
      <c r="O4635">
        <v>0</v>
      </c>
      <c r="P4635">
        <v>0</v>
      </c>
      <c r="Q4635">
        <v>0</v>
      </c>
      <c r="R4635">
        <v>0</v>
      </c>
      <c r="W4635" t="s">
        <v>1045</v>
      </c>
      <c r="AA4635">
        <v>2007</v>
      </c>
      <c r="AB4635">
        <v>9999</v>
      </c>
      <c r="AC4635" t="s">
        <v>35</v>
      </c>
    </row>
    <row r="4636" spans="1:29" ht="30" x14ac:dyDescent="0.25">
      <c r="A4636" s="31" t="s">
        <v>143</v>
      </c>
      <c r="B4636" s="25" t="s">
        <v>144</v>
      </c>
      <c r="D4636">
        <v>1</v>
      </c>
      <c r="E4636" t="s">
        <v>145</v>
      </c>
      <c r="F4636">
        <v>2</v>
      </c>
      <c r="G4636">
        <v>2009</v>
      </c>
      <c r="H4636" t="s">
        <v>146</v>
      </c>
      <c r="J4636" s="2" t="s">
        <v>147</v>
      </c>
      <c r="K4636" t="s">
        <v>41</v>
      </c>
      <c r="O4636">
        <v>0</v>
      </c>
      <c r="P4636">
        <v>0</v>
      </c>
      <c r="Q4636">
        <v>0</v>
      </c>
      <c r="R4636">
        <v>0</v>
      </c>
      <c r="W4636" t="s">
        <v>1046</v>
      </c>
      <c r="AA4636">
        <v>2007</v>
      </c>
      <c r="AB4636">
        <v>9999</v>
      </c>
      <c r="AC4636" t="s">
        <v>35</v>
      </c>
    </row>
    <row r="4637" spans="1:29" x14ac:dyDescent="0.25">
      <c r="A4637" s="31" t="s">
        <v>353</v>
      </c>
      <c r="B4637" s="23" t="s">
        <v>1233</v>
      </c>
      <c r="C4637" t="s">
        <v>1234</v>
      </c>
      <c r="D4637">
        <v>1</v>
      </c>
      <c r="E4637" t="s">
        <v>58</v>
      </c>
      <c r="F4637">
        <v>4</v>
      </c>
      <c r="G4637">
        <v>2009</v>
      </c>
      <c r="I4637">
        <v>84.7</v>
      </c>
      <c r="J4637" t="s">
        <v>46</v>
      </c>
      <c r="K4637" t="s">
        <v>47</v>
      </c>
      <c r="O4637">
        <v>0</v>
      </c>
      <c r="P4637">
        <v>0</v>
      </c>
      <c r="Q4637">
        <v>0</v>
      </c>
      <c r="R4637">
        <v>0</v>
      </c>
      <c r="W4637" t="s">
        <v>1235</v>
      </c>
      <c r="AA4637">
        <v>2007</v>
      </c>
      <c r="AB4637">
        <v>9999</v>
      </c>
      <c r="AC4637" t="s">
        <v>35</v>
      </c>
    </row>
    <row r="4638" spans="1:29" x14ac:dyDescent="0.25">
      <c r="A4638" s="31" t="s">
        <v>1236</v>
      </c>
      <c r="B4638" s="23" t="s">
        <v>1237</v>
      </c>
      <c r="D4638">
        <v>1</v>
      </c>
      <c r="E4638" t="s">
        <v>155</v>
      </c>
      <c r="F4638">
        <v>3</v>
      </c>
      <c r="G4638">
        <v>2009</v>
      </c>
      <c r="H4638" t="s">
        <v>154</v>
      </c>
      <c r="J4638" t="s">
        <v>121</v>
      </c>
      <c r="K4638" t="s">
        <v>41</v>
      </c>
      <c r="O4638">
        <v>0</v>
      </c>
      <c r="P4638">
        <v>0</v>
      </c>
      <c r="Q4638">
        <v>0</v>
      </c>
      <c r="R4638">
        <v>0</v>
      </c>
      <c r="W4638" t="s">
        <v>1238</v>
      </c>
      <c r="AA4638">
        <v>2009</v>
      </c>
      <c r="AB4638">
        <v>9999</v>
      </c>
      <c r="AC4638" t="s">
        <v>1239</v>
      </c>
    </row>
    <row r="4639" spans="1:29" x14ac:dyDescent="0.25">
      <c r="A4639" s="31" t="s">
        <v>153</v>
      </c>
      <c r="B4639" s="23" t="s">
        <v>154</v>
      </c>
      <c r="D4639">
        <v>1</v>
      </c>
      <c r="E4639" t="s">
        <v>155</v>
      </c>
      <c r="F4639">
        <v>3</v>
      </c>
      <c r="G4639">
        <v>2009</v>
      </c>
      <c r="I4639">
        <v>253.41417126493999</v>
      </c>
      <c r="J4639" t="s">
        <v>121</v>
      </c>
      <c r="K4639" t="s">
        <v>47</v>
      </c>
      <c r="O4639">
        <v>0</v>
      </c>
      <c r="P4639">
        <v>0</v>
      </c>
      <c r="Q4639">
        <v>0</v>
      </c>
      <c r="R4639">
        <v>0</v>
      </c>
      <c r="V4639">
        <v>1</v>
      </c>
      <c r="W4639" t="s">
        <v>1047</v>
      </c>
      <c r="AA4639">
        <v>2007</v>
      </c>
      <c r="AB4639">
        <v>9999</v>
      </c>
      <c r="AC4639" t="s">
        <v>35</v>
      </c>
    </row>
    <row r="4640" spans="1:29" x14ac:dyDescent="0.25">
      <c r="A4640" s="31" t="s">
        <v>157</v>
      </c>
      <c r="B4640" s="23" t="s">
        <v>158</v>
      </c>
      <c r="D4640">
        <v>1</v>
      </c>
      <c r="E4640" t="s">
        <v>128</v>
      </c>
      <c r="F4640">
        <v>9</v>
      </c>
      <c r="G4640">
        <v>2009</v>
      </c>
      <c r="I4640">
        <v>56.4</v>
      </c>
      <c r="J4640" t="s">
        <v>104</v>
      </c>
      <c r="K4640" t="s">
        <v>53</v>
      </c>
      <c r="L4640" t="s">
        <v>105</v>
      </c>
      <c r="O4640">
        <v>0</v>
      </c>
      <c r="P4640">
        <v>1</v>
      </c>
      <c r="Q4640">
        <v>0</v>
      </c>
      <c r="R4640">
        <v>0</v>
      </c>
      <c r="W4640" t="s">
        <v>106</v>
      </c>
      <c r="AA4640">
        <v>2007</v>
      </c>
      <c r="AB4640">
        <v>2010</v>
      </c>
      <c r="AC4640" t="s">
        <v>91</v>
      </c>
    </row>
    <row r="4641" spans="1:29" x14ac:dyDescent="0.25">
      <c r="A4641" s="31" t="s">
        <v>159</v>
      </c>
      <c r="B4641" s="23" t="s">
        <v>160</v>
      </c>
      <c r="D4641">
        <v>1</v>
      </c>
      <c r="E4641" t="s">
        <v>155</v>
      </c>
      <c r="F4641">
        <v>3</v>
      </c>
      <c r="G4641">
        <v>2009</v>
      </c>
      <c r="I4641">
        <v>369.3</v>
      </c>
      <c r="J4641" t="s">
        <v>121</v>
      </c>
      <c r="K4641" t="s">
        <v>47</v>
      </c>
      <c r="O4641">
        <v>0</v>
      </c>
      <c r="P4641">
        <v>0</v>
      </c>
      <c r="Q4641">
        <v>0</v>
      </c>
      <c r="R4641">
        <v>0</v>
      </c>
      <c r="W4641" t="s">
        <v>1048</v>
      </c>
      <c r="AA4641">
        <v>2007</v>
      </c>
      <c r="AB4641">
        <v>9999</v>
      </c>
      <c r="AC4641" t="s">
        <v>35</v>
      </c>
    </row>
    <row r="4642" spans="1:29" x14ac:dyDescent="0.25">
      <c r="A4642" s="31" t="s">
        <v>165</v>
      </c>
      <c r="B4642" s="23" t="s">
        <v>166</v>
      </c>
      <c r="C4642" t="s">
        <v>167</v>
      </c>
      <c r="D4642">
        <v>1</v>
      </c>
      <c r="E4642" t="s">
        <v>168</v>
      </c>
      <c r="F4642">
        <v>1</v>
      </c>
      <c r="G4642">
        <v>2009</v>
      </c>
      <c r="I4642">
        <v>156.1</v>
      </c>
      <c r="J4642" t="s">
        <v>52</v>
      </c>
      <c r="K4642" t="s">
        <v>47</v>
      </c>
      <c r="O4642">
        <v>0</v>
      </c>
      <c r="P4642">
        <v>0</v>
      </c>
      <c r="Q4642">
        <v>0</v>
      </c>
      <c r="R4642">
        <v>0</v>
      </c>
      <c r="W4642" t="s">
        <v>1049</v>
      </c>
      <c r="AA4642">
        <v>2007</v>
      </c>
      <c r="AB4642">
        <v>9999</v>
      </c>
      <c r="AC4642" t="s">
        <v>35</v>
      </c>
    </row>
    <row r="4643" spans="1:29" x14ac:dyDescent="0.25">
      <c r="A4643" s="31" t="s">
        <v>170</v>
      </c>
      <c r="B4643" s="23" t="s">
        <v>171</v>
      </c>
      <c r="D4643">
        <v>1</v>
      </c>
      <c r="E4643" t="s">
        <v>30</v>
      </c>
      <c r="F4643">
        <v>4</v>
      </c>
      <c r="G4643">
        <v>2009</v>
      </c>
      <c r="I4643">
        <v>40</v>
      </c>
      <c r="J4643" t="s">
        <v>89</v>
      </c>
      <c r="K4643" t="s">
        <v>47</v>
      </c>
      <c r="O4643">
        <v>0</v>
      </c>
      <c r="P4643">
        <v>0</v>
      </c>
      <c r="Q4643">
        <v>0</v>
      </c>
      <c r="R4643">
        <v>0</v>
      </c>
      <c r="W4643" t="s">
        <v>1050</v>
      </c>
      <c r="AA4643">
        <v>2007</v>
      </c>
      <c r="AB4643">
        <v>9999</v>
      </c>
      <c r="AC4643" t="s">
        <v>35</v>
      </c>
    </row>
    <row r="4644" spans="1:29" x14ac:dyDescent="0.25">
      <c r="A4644" s="31" t="s">
        <v>1051</v>
      </c>
      <c r="B4644" s="23" t="s">
        <v>1052</v>
      </c>
      <c r="D4644">
        <v>1</v>
      </c>
      <c r="E4644" t="s">
        <v>30</v>
      </c>
      <c r="F4644">
        <v>4</v>
      </c>
      <c r="G4644">
        <v>2009</v>
      </c>
      <c r="I4644">
        <v>74.3</v>
      </c>
      <c r="J4644" t="s">
        <v>89</v>
      </c>
      <c r="K4644" t="s">
        <v>47</v>
      </c>
      <c r="O4644">
        <v>0</v>
      </c>
      <c r="P4644">
        <v>0</v>
      </c>
      <c r="Q4644">
        <v>0</v>
      </c>
      <c r="R4644">
        <v>0</v>
      </c>
      <c r="W4644" t="s">
        <v>1053</v>
      </c>
      <c r="AA4644">
        <v>2008</v>
      </c>
      <c r="AB4644">
        <v>9999</v>
      </c>
      <c r="AC4644" t="s">
        <v>1054</v>
      </c>
    </row>
    <row r="4645" spans="1:29" x14ac:dyDescent="0.25">
      <c r="A4645" s="31" t="s">
        <v>173</v>
      </c>
      <c r="B4645" s="23" t="s">
        <v>174</v>
      </c>
      <c r="C4645" t="s">
        <v>175</v>
      </c>
      <c r="D4645">
        <v>1</v>
      </c>
      <c r="E4645" t="s">
        <v>45</v>
      </c>
      <c r="F4645">
        <v>4</v>
      </c>
      <c r="G4645">
        <v>2009</v>
      </c>
      <c r="I4645">
        <v>130</v>
      </c>
      <c r="J4645" t="s">
        <v>176</v>
      </c>
      <c r="K4645" t="s">
        <v>32</v>
      </c>
      <c r="O4645">
        <v>0</v>
      </c>
      <c r="P4645">
        <v>0</v>
      </c>
      <c r="Q4645">
        <v>0</v>
      </c>
      <c r="R4645">
        <v>0</v>
      </c>
      <c r="W4645" t="s">
        <v>1055</v>
      </c>
      <c r="AA4645">
        <v>2007</v>
      </c>
      <c r="AB4645">
        <v>9999</v>
      </c>
      <c r="AC4645" t="s">
        <v>35</v>
      </c>
    </row>
    <row r="4646" spans="1:29" x14ac:dyDescent="0.25">
      <c r="A4646" s="31" t="s">
        <v>178</v>
      </c>
      <c r="B4646" s="23" t="s">
        <v>179</v>
      </c>
      <c r="D4646">
        <v>1</v>
      </c>
      <c r="E4646" t="s">
        <v>45</v>
      </c>
      <c r="F4646">
        <v>4</v>
      </c>
      <c r="G4646">
        <v>2009</v>
      </c>
      <c r="I4646">
        <v>15.1</v>
      </c>
      <c r="J4646" t="s">
        <v>46</v>
      </c>
      <c r="K4646" t="s">
        <v>47</v>
      </c>
      <c r="O4646">
        <v>0</v>
      </c>
      <c r="P4646">
        <v>0</v>
      </c>
      <c r="Q4646">
        <v>0</v>
      </c>
      <c r="R4646">
        <v>0</v>
      </c>
      <c r="W4646" t="s">
        <v>1240</v>
      </c>
      <c r="AA4646">
        <v>2007</v>
      </c>
      <c r="AB4646">
        <v>9999</v>
      </c>
      <c r="AC4646" t="s">
        <v>35</v>
      </c>
    </row>
    <row r="4647" spans="1:29" x14ac:dyDescent="0.25">
      <c r="A4647" s="31" t="s">
        <v>181</v>
      </c>
      <c r="B4647" s="25" t="s">
        <v>182</v>
      </c>
      <c r="D4647">
        <v>1</v>
      </c>
      <c r="E4647" t="s">
        <v>38</v>
      </c>
      <c r="F4647">
        <v>4</v>
      </c>
      <c r="G4647">
        <v>2009</v>
      </c>
      <c r="H4647" t="s">
        <v>39</v>
      </c>
      <c r="J4647" t="s">
        <v>121</v>
      </c>
      <c r="K4647" t="s">
        <v>41</v>
      </c>
      <c r="O4647">
        <v>0</v>
      </c>
      <c r="P4647">
        <v>0</v>
      </c>
      <c r="Q4647">
        <v>0</v>
      </c>
      <c r="R4647">
        <v>0</v>
      </c>
      <c r="W4647" t="s">
        <v>1057</v>
      </c>
      <c r="AA4647">
        <v>2007</v>
      </c>
      <c r="AB4647">
        <v>9999</v>
      </c>
      <c r="AC4647" t="s">
        <v>35</v>
      </c>
    </row>
    <row r="4648" spans="1:29" x14ac:dyDescent="0.25">
      <c r="A4648" s="31" t="s">
        <v>184</v>
      </c>
      <c r="B4648" s="23" t="s">
        <v>185</v>
      </c>
      <c r="C4648" t="s">
        <v>186</v>
      </c>
      <c r="D4648">
        <v>1</v>
      </c>
      <c r="E4648" t="s">
        <v>45</v>
      </c>
      <c r="F4648">
        <v>4</v>
      </c>
      <c r="G4648">
        <v>2009</v>
      </c>
      <c r="I4648">
        <v>220.6</v>
      </c>
      <c r="J4648" t="s">
        <v>52</v>
      </c>
      <c r="K4648" t="s">
        <v>32</v>
      </c>
      <c r="O4648">
        <v>0</v>
      </c>
      <c r="P4648">
        <v>0</v>
      </c>
      <c r="Q4648">
        <v>0</v>
      </c>
      <c r="R4648">
        <v>0</v>
      </c>
      <c r="W4648" t="s">
        <v>1058</v>
      </c>
      <c r="AA4648">
        <v>2007</v>
      </c>
      <c r="AB4648">
        <v>9999</v>
      </c>
      <c r="AC4648" t="s">
        <v>35</v>
      </c>
    </row>
    <row r="4649" spans="1:29" x14ac:dyDescent="0.25">
      <c r="A4649" s="31" t="s">
        <v>1059</v>
      </c>
      <c r="B4649" s="23" t="s">
        <v>1060</v>
      </c>
      <c r="D4649">
        <v>1</v>
      </c>
      <c r="E4649" t="s">
        <v>874</v>
      </c>
      <c r="F4649">
        <v>1</v>
      </c>
      <c r="G4649">
        <v>2009</v>
      </c>
      <c r="I4649">
        <v>5.7</v>
      </c>
      <c r="J4649" t="s">
        <v>52</v>
      </c>
      <c r="K4649" t="s">
        <v>47</v>
      </c>
      <c r="O4649">
        <v>0</v>
      </c>
      <c r="P4649">
        <v>0</v>
      </c>
      <c r="Q4649">
        <v>0</v>
      </c>
      <c r="R4649">
        <v>0</v>
      </c>
      <c r="W4649" t="s">
        <v>1061</v>
      </c>
      <c r="AA4649">
        <v>2008</v>
      </c>
      <c r="AB4649">
        <v>9999</v>
      </c>
      <c r="AC4649" t="s">
        <v>1054</v>
      </c>
    </row>
    <row r="4650" spans="1:29" x14ac:dyDescent="0.25">
      <c r="A4650" s="31" t="s">
        <v>188</v>
      </c>
      <c r="B4650" s="23" t="s">
        <v>189</v>
      </c>
      <c r="D4650">
        <v>1</v>
      </c>
      <c r="E4650" t="s">
        <v>38</v>
      </c>
      <c r="F4650">
        <v>4</v>
      </c>
      <c r="G4650">
        <v>2009</v>
      </c>
      <c r="I4650">
        <v>362.5</v>
      </c>
      <c r="J4650" t="s">
        <v>151</v>
      </c>
      <c r="K4650" t="s">
        <v>47</v>
      </c>
      <c r="O4650">
        <v>0</v>
      </c>
      <c r="P4650">
        <v>0</v>
      </c>
      <c r="Q4650">
        <v>0</v>
      </c>
      <c r="R4650">
        <v>0</v>
      </c>
      <c r="W4650" t="s">
        <v>1062</v>
      </c>
      <c r="AA4650">
        <v>2007</v>
      </c>
      <c r="AB4650">
        <v>2011</v>
      </c>
      <c r="AC4650" t="s">
        <v>191</v>
      </c>
    </row>
    <row r="4651" spans="1:29" x14ac:dyDescent="0.25">
      <c r="A4651" s="31" t="s">
        <v>192</v>
      </c>
      <c r="B4651" s="25" t="s">
        <v>193</v>
      </c>
      <c r="D4651">
        <v>1</v>
      </c>
      <c r="E4651" t="s">
        <v>51</v>
      </c>
      <c r="F4651">
        <v>1</v>
      </c>
      <c r="G4651">
        <v>2009</v>
      </c>
      <c r="I4651">
        <v>41</v>
      </c>
      <c r="J4651" t="s">
        <v>52</v>
      </c>
      <c r="K4651" t="s">
        <v>53</v>
      </c>
      <c r="L4651" t="s">
        <v>54</v>
      </c>
      <c r="O4651">
        <v>0</v>
      </c>
      <c r="P4651">
        <v>0</v>
      </c>
      <c r="Q4651">
        <v>1</v>
      </c>
      <c r="R4651">
        <v>0</v>
      </c>
      <c r="W4651" t="s">
        <v>55</v>
      </c>
      <c r="AA4651">
        <v>2007</v>
      </c>
      <c r="AB4651">
        <v>9999</v>
      </c>
      <c r="AC4651" t="s">
        <v>35</v>
      </c>
    </row>
    <row r="4652" spans="1:29" x14ac:dyDescent="0.25">
      <c r="A4652" s="31" t="s">
        <v>194</v>
      </c>
      <c r="B4652" s="23" t="s">
        <v>195</v>
      </c>
      <c r="C4652" t="s">
        <v>196</v>
      </c>
      <c r="D4652">
        <v>1</v>
      </c>
      <c r="E4652" t="s">
        <v>197</v>
      </c>
      <c r="F4652">
        <v>2</v>
      </c>
      <c r="G4652">
        <v>2009</v>
      </c>
      <c r="I4652">
        <v>114.4</v>
      </c>
      <c r="J4652" t="s">
        <v>176</v>
      </c>
      <c r="K4652" t="s">
        <v>47</v>
      </c>
      <c r="O4652">
        <v>0</v>
      </c>
      <c r="P4652">
        <v>0</v>
      </c>
      <c r="Q4652">
        <v>0</v>
      </c>
      <c r="R4652">
        <v>0</v>
      </c>
      <c r="W4652" t="s">
        <v>1063</v>
      </c>
      <c r="AA4652">
        <v>2007</v>
      </c>
      <c r="AB4652">
        <v>9999</v>
      </c>
      <c r="AC4652" t="s">
        <v>35</v>
      </c>
    </row>
    <row r="4653" spans="1:29" x14ac:dyDescent="0.25">
      <c r="A4653" s="31" t="s">
        <v>203</v>
      </c>
      <c r="B4653" s="25" t="s">
        <v>204</v>
      </c>
      <c r="D4653">
        <v>1</v>
      </c>
      <c r="E4653" t="s">
        <v>201</v>
      </c>
      <c r="F4653">
        <v>1</v>
      </c>
      <c r="G4653">
        <v>2009</v>
      </c>
      <c r="H4653" t="s">
        <v>205</v>
      </c>
      <c r="J4653" t="s">
        <v>52</v>
      </c>
      <c r="K4653" t="s">
        <v>41</v>
      </c>
      <c r="O4653">
        <v>0</v>
      </c>
      <c r="P4653">
        <v>0</v>
      </c>
      <c r="Q4653">
        <v>0</v>
      </c>
      <c r="R4653">
        <v>0</v>
      </c>
      <c r="W4653" t="s">
        <v>1064</v>
      </c>
      <c r="AA4653">
        <v>2007</v>
      </c>
      <c r="AB4653">
        <v>9999</v>
      </c>
      <c r="AC4653" t="s">
        <v>35</v>
      </c>
    </row>
    <row r="4654" spans="1:29" x14ac:dyDescent="0.25">
      <c r="A4654" s="31" t="s">
        <v>207</v>
      </c>
      <c r="B4654" s="23" t="s">
        <v>208</v>
      </c>
      <c r="C4654" t="s">
        <v>209</v>
      </c>
      <c r="D4654">
        <v>1</v>
      </c>
      <c r="E4654" t="s">
        <v>210</v>
      </c>
      <c r="F4654">
        <v>10</v>
      </c>
      <c r="G4654">
        <v>2009</v>
      </c>
      <c r="I4654">
        <v>22.3</v>
      </c>
      <c r="J4654" t="s">
        <v>40</v>
      </c>
      <c r="K4654" t="s">
        <v>32</v>
      </c>
      <c r="O4654">
        <v>0</v>
      </c>
      <c r="P4654">
        <v>0</v>
      </c>
      <c r="Q4654">
        <v>0</v>
      </c>
      <c r="R4654">
        <v>0</v>
      </c>
      <c r="W4654" t="s">
        <v>1065</v>
      </c>
      <c r="AA4654">
        <v>2007</v>
      </c>
      <c r="AB4654">
        <v>9999</v>
      </c>
      <c r="AC4654" t="s">
        <v>35</v>
      </c>
    </row>
    <row r="4655" spans="1:29" ht="30" x14ac:dyDescent="0.25">
      <c r="A4655" s="31" t="s">
        <v>212</v>
      </c>
      <c r="B4655" s="23" t="s">
        <v>213</v>
      </c>
      <c r="C4655" t="s">
        <v>214</v>
      </c>
      <c r="D4655">
        <v>1</v>
      </c>
      <c r="E4655" s="4">
        <v>550</v>
      </c>
      <c r="F4655">
        <v>5</v>
      </c>
      <c r="G4655">
        <v>2009</v>
      </c>
      <c r="I4655">
        <v>39.9</v>
      </c>
      <c r="J4655" s="2" t="s">
        <v>31</v>
      </c>
      <c r="K4655" t="s">
        <v>47</v>
      </c>
      <c r="O4655">
        <v>0</v>
      </c>
      <c r="P4655">
        <v>0</v>
      </c>
      <c r="Q4655">
        <v>0</v>
      </c>
      <c r="R4655">
        <v>0</v>
      </c>
      <c r="W4655" t="s">
        <v>1066</v>
      </c>
      <c r="AA4655">
        <v>2007</v>
      </c>
      <c r="AB4655">
        <v>9999</v>
      </c>
      <c r="AC4655" t="s">
        <v>35</v>
      </c>
    </row>
    <row r="4656" spans="1:29" x14ac:dyDescent="0.25">
      <c r="A4656" s="31" t="s">
        <v>216</v>
      </c>
      <c r="B4656" s="23" t="s">
        <v>217</v>
      </c>
      <c r="D4656">
        <v>1</v>
      </c>
      <c r="E4656" t="s">
        <v>218</v>
      </c>
      <c r="F4656">
        <v>2</v>
      </c>
      <c r="G4656">
        <v>2009</v>
      </c>
      <c r="I4656">
        <v>644.29999999999995</v>
      </c>
      <c r="J4656" t="s">
        <v>52</v>
      </c>
      <c r="K4656" t="s">
        <v>32</v>
      </c>
      <c r="O4656">
        <v>0</v>
      </c>
      <c r="P4656">
        <v>0</v>
      </c>
      <c r="Q4656">
        <v>0</v>
      </c>
      <c r="R4656">
        <v>0</v>
      </c>
      <c r="W4656" t="s">
        <v>1067</v>
      </c>
      <c r="AA4656">
        <v>2007</v>
      </c>
      <c r="AB4656">
        <v>9999</v>
      </c>
      <c r="AC4656" t="s">
        <v>35</v>
      </c>
    </row>
    <row r="4657" spans="1:29" x14ac:dyDescent="0.25">
      <c r="A4657" s="31" t="s">
        <v>220</v>
      </c>
      <c r="B4657" s="23" t="s">
        <v>221</v>
      </c>
      <c r="D4657">
        <v>1</v>
      </c>
      <c r="E4657" t="s">
        <v>222</v>
      </c>
      <c r="F4657">
        <v>8</v>
      </c>
      <c r="G4657">
        <v>2009</v>
      </c>
      <c r="I4657">
        <v>30.6</v>
      </c>
      <c r="J4657" t="s">
        <v>81</v>
      </c>
      <c r="K4657" t="s">
        <v>47</v>
      </c>
      <c r="O4657">
        <v>0</v>
      </c>
      <c r="P4657">
        <v>0</v>
      </c>
      <c r="Q4657">
        <v>0</v>
      </c>
      <c r="R4657">
        <v>0</v>
      </c>
      <c r="W4657" t="s">
        <v>1068</v>
      </c>
      <c r="AA4657">
        <v>2007</v>
      </c>
      <c r="AB4657">
        <v>9999</v>
      </c>
      <c r="AC4657" t="s">
        <v>35</v>
      </c>
    </row>
    <row r="4658" spans="1:29" x14ac:dyDescent="0.25">
      <c r="A4658" s="31" t="s">
        <v>224</v>
      </c>
      <c r="B4658" s="25" t="s">
        <v>225</v>
      </c>
      <c r="D4658">
        <v>1</v>
      </c>
      <c r="E4658" t="s">
        <v>51</v>
      </c>
      <c r="F4658">
        <v>1</v>
      </c>
      <c r="G4658">
        <v>2009</v>
      </c>
      <c r="I4658">
        <v>65</v>
      </c>
      <c r="J4658" t="s">
        <v>52</v>
      </c>
      <c r="K4658" t="s">
        <v>53</v>
      </c>
      <c r="L4658" t="s">
        <v>54</v>
      </c>
      <c r="O4658">
        <v>0</v>
      </c>
      <c r="P4658">
        <v>0</v>
      </c>
      <c r="Q4658">
        <v>1</v>
      </c>
      <c r="R4658">
        <v>0</v>
      </c>
      <c r="W4658" t="s">
        <v>55</v>
      </c>
      <c r="AA4658">
        <v>2007</v>
      </c>
      <c r="AB4658">
        <v>9999</v>
      </c>
      <c r="AC4658" t="s">
        <v>35</v>
      </c>
    </row>
    <row r="4659" spans="1:29" x14ac:dyDescent="0.25">
      <c r="A4659" s="31" t="s">
        <v>226</v>
      </c>
      <c r="B4659" s="23" t="s">
        <v>227</v>
      </c>
      <c r="C4659" t="s">
        <v>228</v>
      </c>
      <c r="D4659">
        <v>1</v>
      </c>
      <c r="E4659" t="s">
        <v>218</v>
      </c>
      <c r="F4659">
        <v>2</v>
      </c>
      <c r="G4659">
        <v>2009</v>
      </c>
      <c r="I4659">
        <v>1557.2</v>
      </c>
      <c r="J4659" t="s">
        <v>147</v>
      </c>
      <c r="K4659" t="s">
        <v>32</v>
      </c>
      <c r="O4659">
        <v>0</v>
      </c>
      <c r="P4659">
        <v>0</v>
      </c>
      <c r="Q4659">
        <v>0</v>
      </c>
      <c r="R4659">
        <v>0</v>
      </c>
      <c r="W4659" t="s">
        <v>1069</v>
      </c>
      <c r="AA4659">
        <v>2007</v>
      </c>
      <c r="AB4659">
        <v>9999</v>
      </c>
      <c r="AC4659" t="s">
        <v>35</v>
      </c>
    </row>
    <row r="4660" spans="1:29" x14ac:dyDescent="0.25">
      <c r="A4660" s="31" t="s">
        <v>230</v>
      </c>
      <c r="B4660" s="23" t="s">
        <v>231</v>
      </c>
      <c r="C4660" t="s">
        <v>232</v>
      </c>
      <c r="D4660">
        <v>1</v>
      </c>
      <c r="E4660" t="s">
        <v>145</v>
      </c>
      <c r="F4660">
        <v>2</v>
      </c>
      <c r="G4660">
        <v>2009</v>
      </c>
      <c r="J4660" t="s">
        <v>147</v>
      </c>
      <c r="K4660" t="s">
        <v>47</v>
      </c>
      <c r="O4660">
        <v>0</v>
      </c>
      <c r="P4660">
        <v>0</v>
      </c>
      <c r="Q4660">
        <v>0</v>
      </c>
      <c r="R4660">
        <v>0</v>
      </c>
      <c r="W4660" t="s">
        <v>1070</v>
      </c>
      <c r="AA4660">
        <v>2007</v>
      </c>
      <c r="AB4660">
        <v>9999</v>
      </c>
      <c r="AC4660" t="s">
        <v>35</v>
      </c>
    </row>
    <row r="4661" spans="1:29" x14ac:dyDescent="0.25">
      <c r="B4661" s="23" t="s">
        <v>234</v>
      </c>
      <c r="D4661">
        <v>1</v>
      </c>
      <c r="E4661" t="s">
        <v>145</v>
      </c>
      <c r="F4661">
        <v>2</v>
      </c>
      <c r="G4661">
        <v>2009</v>
      </c>
      <c r="H4661" t="s">
        <v>146</v>
      </c>
      <c r="J4661" t="s">
        <v>147</v>
      </c>
      <c r="K4661" t="s">
        <v>41</v>
      </c>
      <c r="O4661">
        <v>0</v>
      </c>
      <c r="P4661">
        <v>0</v>
      </c>
      <c r="Q4661">
        <v>0</v>
      </c>
      <c r="R4661">
        <v>0</v>
      </c>
      <c r="W4661" t="s">
        <v>1071</v>
      </c>
      <c r="AA4661">
        <v>2007</v>
      </c>
      <c r="AB4661">
        <v>2009</v>
      </c>
      <c r="AC4661" t="s">
        <v>236</v>
      </c>
    </row>
    <row r="4662" spans="1:29" x14ac:dyDescent="0.25">
      <c r="A4662" s="31" t="s">
        <v>237</v>
      </c>
      <c r="B4662" s="23" t="s">
        <v>238</v>
      </c>
      <c r="D4662">
        <v>1</v>
      </c>
      <c r="E4662" t="s">
        <v>218</v>
      </c>
      <c r="F4662">
        <v>2</v>
      </c>
      <c r="G4662">
        <v>2009</v>
      </c>
      <c r="I4662">
        <v>325.2</v>
      </c>
      <c r="J4662" t="s">
        <v>104</v>
      </c>
      <c r="K4662" t="s">
        <v>53</v>
      </c>
      <c r="L4662" t="s">
        <v>105</v>
      </c>
      <c r="O4662">
        <v>0</v>
      </c>
      <c r="P4662">
        <v>0</v>
      </c>
      <c r="Q4662">
        <v>0</v>
      </c>
      <c r="R4662">
        <v>0</v>
      </c>
      <c r="W4662" t="s">
        <v>1072</v>
      </c>
      <c r="AA4662">
        <v>2007</v>
      </c>
      <c r="AB4662">
        <v>9999</v>
      </c>
      <c r="AC4662" t="s">
        <v>35</v>
      </c>
    </row>
    <row r="4663" spans="1:29" x14ac:dyDescent="0.25">
      <c r="A4663" s="31" t="s">
        <v>240</v>
      </c>
      <c r="B4663" s="23" t="s">
        <v>241</v>
      </c>
      <c r="D4663">
        <v>1</v>
      </c>
      <c r="E4663" t="s">
        <v>218</v>
      </c>
      <c r="F4663">
        <v>2</v>
      </c>
      <c r="G4663">
        <v>2009</v>
      </c>
      <c r="I4663">
        <v>14419.3</v>
      </c>
      <c r="J4663" t="s">
        <v>147</v>
      </c>
      <c r="K4663" t="s">
        <v>47</v>
      </c>
      <c r="O4663">
        <v>0</v>
      </c>
      <c r="P4663">
        <v>0</v>
      </c>
      <c r="Q4663">
        <v>0</v>
      </c>
      <c r="R4663">
        <v>0</v>
      </c>
      <c r="W4663" t="s">
        <v>1073</v>
      </c>
      <c r="AA4663">
        <v>2007</v>
      </c>
      <c r="AB4663">
        <v>9999</v>
      </c>
      <c r="AC4663" t="s">
        <v>35</v>
      </c>
    </row>
    <row r="4664" spans="1:29" x14ac:dyDescent="0.25">
      <c r="A4664" s="31" t="s">
        <v>243</v>
      </c>
      <c r="B4664" s="23" t="s">
        <v>244</v>
      </c>
      <c r="D4664">
        <v>1</v>
      </c>
      <c r="E4664" t="s">
        <v>210</v>
      </c>
      <c r="F4664">
        <v>10</v>
      </c>
      <c r="G4664">
        <v>2009</v>
      </c>
      <c r="I4664">
        <v>12371.1</v>
      </c>
      <c r="J4664" t="s">
        <v>40</v>
      </c>
      <c r="K4664" t="s">
        <v>32</v>
      </c>
      <c r="O4664">
        <v>0</v>
      </c>
      <c r="P4664">
        <v>0</v>
      </c>
      <c r="Q4664">
        <v>0</v>
      </c>
      <c r="R4664">
        <v>0</v>
      </c>
      <c r="W4664" t="s">
        <v>1074</v>
      </c>
      <c r="AA4664">
        <v>2007</v>
      </c>
      <c r="AB4664">
        <v>9999</v>
      </c>
      <c r="AC4664" t="s">
        <v>35</v>
      </c>
    </row>
    <row r="4665" spans="1:29" x14ac:dyDescent="0.25">
      <c r="A4665" s="31" t="s">
        <v>246</v>
      </c>
      <c r="B4665" s="23" t="s">
        <v>247</v>
      </c>
      <c r="D4665">
        <v>1</v>
      </c>
      <c r="E4665" t="s">
        <v>120</v>
      </c>
      <c r="F4665">
        <v>3</v>
      </c>
      <c r="G4665">
        <v>2009</v>
      </c>
      <c r="H4665" t="s">
        <v>129</v>
      </c>
      <c r="I4665">
        <v>2</v>
      </c>
      <c r="J4665" t="s">
        <v>121</v>
      </c>
      <c r="K4665" t="s">
        <v>41</v>
      </c>
      <c r="O4665">
        <v>0</v>
      </c>
      <c r="P4665">
        <v>0</v>
      </c>
      <c r="Q4665">
        <v>0</v>
      </c>
      <c r="R4665">
        <v>0</v>
      </c>
      <c r="W4665" t="s">
        <v>1075</v>
      </c>
      <c r="AA4665">
        <v>2007</v>
      </c>
      <c r="AB4665">
        <v>9999</v>
      </c>
      <c r="AC4665" t="s">
        <v>35</v>
      </c>
    </row>
    <row r="4666" spans="1:29" x14ac:dyDescent="0.25">
      <c r="A4666" s="31" t="s">
        <v>249</v>
      </c>
      <c r="B4666" s="23" t="s">
        <v>250</v>
      </c>
      <c r="D4666">
        <v>1</v>
      </c>
      <c r="E4666" t="s">
        <v>38</v>
      </c>
      <c r="F4666">
        <v>4</v>
      </c>
      <c r="G4666">
        <v>2009</v>
      </c>
      <c r="I4666">
        <v>25.5</v>
      </c>
      <c r="J4666" t="s">
        <v>89</v>
      </c>
      <c r="K4666" t="s">
        <v>47</v>
      </c>
      <c r="O4666">
        <v>0</v>
      </c>
      <c r="P4666">
        <v>0</v>
      </c>
      <c r="Q4666">
        <v>0</v>
      </c>
      <c r="R4666">
        <v>0</v>
      </c>
      <c r="W4666" t="s">
        <v>1076</v>
      </c>
      <c r="AA4666">
        <v>2007</v>
      </c>
      <c r="AB4666">
        <v>2009</v>
      </c>
      <c r="AC4666" t="s">
        <v>236</v>
      </c>
    </row>
    <row r="4667" spans="1:29" x14ac:dyDescent="0.25">
      <c r="A4667" s="31" t="s">
        <v>252</v>
      </c>
      <c r="B4667" s="23" t="s">
        <v>253</v>
      </c>
      <c r="D4667">
        <v>1</v>
      </c>
      <c r="E4667" t="s">
        <v>145</v>
      </c>
      <c r="F4667">
        <v>2</v>
      </c>
      <c r="G4667">
        <v>2009</v>
      </c>
      <c r="H4667" t="s">
        <v>254</v>
      </c>
      <c r="J4667" s="2" t="s">
        <v>147</v>
      </c>
      <c r="K4667" t="s">
        <v>41</v>
      </c>
      <c r="O4667">
        <v>0</v>
      </c>
      <c r="P4667">
        <v>0</v>
      </c>
      <c r="Q4667">
        <v>0</v>
      </c>
      <c r="R4667">
        <v>0</v>
      </c>
      <c r="W4667" t="s">
        <v>1077</v>
      </c>
      <c r="AA4667">
        <v>2007</v>
      </c>
      <c r="AB4667">
        <v>9999</v>
      </c>
      <c r="AC4667" t="s">
        <v>35</v>
      </c>
    </row>
    <row r="4668" spans="1:29" x14ac:dyDescent="0.25">
      <c r="A4668" s="31" t="s">
        <v>256</v>
      </c>
      <c r="B4668" s="23" t="s">
        <v>257</v>
      </c>
      <c r="D4668">
        <v>1</v>
      </c>
      <c r="E4668" t="s">
        <v>138</v>
      </c>
      <c r="F4668">
        <v>8</v>
      </c>
      <c r="G4668">
        <v>2009</v>
      </c>
      <c r="I4668">
        <v>12</v>
      </c>
      <c r="J4668" t="s">
        <v>81</v>
      </c>
      <c r="K4668" t="s">
        <v>47</v>
      </c>
      <c r="O4668">
        <v>0</v>
      </c>
      <c r="P4668">
        <v>0</v>
      </c>
      <c r="Q4668">
        <v>0</v>
      </c>
      <c r="R4668">
        <v>0</v>
      </c>
      <c r="W4668" t="s">
        <v>1078</v>
      </c>
      <c r="AA4668">
        <v>2007</v>
      </c>
      <c r="AB4668">
        <v>2010</v>
      </c>
      <c r="AC4668" t="s">
        <v>91</v>
      </c>
    </row>
    <row r="4669" spans="1:29" x14ac:dyDescent="0.25">
      <c r="A4669" s="31" t="s">
        <v>259</v>
      </c>
      <c r="B4669" s="23" t="s">
        <v>260</v>
      </c>
      <c r="C4669" t="s">
        <v>261</v>
      </c>
      <c r="D4669">
        <v>1</v>
      </c>
      <c r="E4669" t="s">
        <v>103</v>
      </c>
      <c r="F4669">
        <v>9</v>
      </c>
      <c r="G4669">
        <v>2009</v>
      </c>
      <c r="I4669">
        <v>4794.1000000000004</v>
      </c>
      <c r="J4669" t="s">
        <v>104</v>
      </c>
      <c r="K4669" t="s">
        <v>53</v>
      </c>
      <c r="L4669" t="s">
        <v>105</v>
      </c>
      <c r="O4669">
        <v>0</v>
      </c>
      <c r="P4669">
        <v>1</v>
      </c>
      <c r="Q4669">
        <v>0</v>
      </c>
      <c r="R4669">
        <v>0</v>
      </c>
      <c r="W4669" t="s">
        <v>106</v>
      </c>
      <c r="AA4669">
        <v>2007</v>
      </c>
      <c r="AB4669">
        <v>9999</v>
      </c>
      <c r="AC4669" t="s">
        <v>35</v>
      </c>
    </row>
    <row r="4670" spans="1:29" x14ac:dyDescent="0.25">
      <c r="A4670" s="31" t="s">
        <v>266</v>
      </c>
      <c r="B4670" s="25" t="s">
        <v>267</v>
      </c>
      <c r="D4670">
        <v>1</v>
      </c>
      <c r="E4670" t="s">
        <v>85</v>
      </c>
      <c r="F4670">
        <v>4</v>
      </c>
      <c r="G4670">
        <v>2009</v>
      </c>
      <c r="J4670" t="s">
        <v>268</v>
      </c>
      <c r="K4670" t="s">
        <v>41</v>
      </c>
      <c r="O4670">
        <v>0</v>
      </c>
      <c r="P4670">
        <v>0</v>
      </c>
      <c r="Q4670">
        <v>0</v>
      </c>
      <c r="R4670">
        <v>0</v>
      </c>
      <c r="W4670" t="s">
        <v>1079</v>
      </c>
      <c r="AA4670">
        <v>2007</v>
      </c>
      <c r="AB4670">
        <v>9999</v>
      </c>
      <c r="AC4670" t="s">
        <v>35</v>
      </c>
    </row>
    <row r="4671" spans="1:29" x14ac:dyDescent="0.25">
      <c r="A4671" s="31" t="s">
        <v>153</v>
      </c>
      <c r="B4671" s="23" t="s">
        <v>270</v>
      </c>
      <c r="D4671">
        <v>6</v>
      </c>
      <c r="E4671" t="s">
        <v>155</v>
      </c>
      <c r="F4671">
        <v>3</v>
      </c>
      <c r="G4671">
        <v>2009</v>
      </c>
      <c r="I4671">
        <v>580.40806394421998</v>
      </c>
      <c r="J4671" t="s">
        <v>121</v>
      </c>
      <c r="K4671" t="s">
        <v>53</v>
      </c>
      <c r="L4671" t="s">
        <v>60</v>
      </c>
      <c r="O4671">
        <v>1</v>
      </c>
      <c r="P4671">
        <v>0</v>
      </c>
      <c r="Q4671">
        <v>0</v>
      </c>
      <c r="R4671">
        <v>0</v>
      </c>
      <c r="V4671">
        <v>1</v>
      </c>
      <c r="W4671" t="s">
        <v>271</v>
      </c>
      <c r="AA4671">
        <v>2007</v>
      </c>
      <c r="AB4671">
        <v>9999</v>
      </c>
      <c r="AC4671" t="s">
        <v>35</v>
      </c>
    </row>
    <row r="4672" spans="1:29" x14ac:dyDescent="0.25">
      <c r="A4672" s="31" t="s">
        <v>153</v>
      </c>
      <c r="B4672" s="23" t="s">
        <v>272</v>
      </c>
      <c r="D4672">
        <v>8</v>
      </c>
      <c r="E4672" t="s">
        <v>155</v>
      </c>
      <c r="F4672">
        <v>3</v>
      </c>
      <c r="G4672">
        <v>2009</v>
      </c>
      <c r="I4672">
        <v>88.350639043819996</v>
      </c>
      <c r="J4672" s="2" t="s">
        <v>121</v>
      </c>
      <c r="K4672" t="s">
        <v>53</v>
      </c>
      <c r="L4672" t="s">
        <v>60</v>
      </c>
      <c r="O4672">
        <v>1</v>
      </c>
      <c r="P4672">
        <v>0</v>
      </c>
      <c r="Q4672">
        <v>0</v>
      </c>
      <c r="R4672">
        <v>0</v>
      </c>
      <c r="V4672">
        <v>1</v>
      </c>
      <c r="W4672" t="s">
        <v>273</v>
      </c>
      <c r="AA4672">
        <v>2007</v>
      </c>
      <c r="AB4672">
        <v>9999</v>
      </c>
      <c r="AC4672" t="s">
        <v>35</v>
      </c>
    </row>
    <row r="4673" spans="1:29" x14ac:dyDescent="0.25">
      <c r="A4673" s="31" t="s">
        <v>274</v>
      </c>
      <c r="B4673" s="23" t="s">
        <v>275</v>
      </c>
      <c r="C4673" t="s">
        <v>276</v>
      </c>
      <c r="D4673">
        <v>1</v>
      </c>
      <c r="E4673" t="s">
        <v>51</v>
      </c>
      <c r="F4673">
        <v>10</v>
      </c>
      <c r="G4673">
        <v>2009</v>
      </c>
      <c r="I4673">
        <v>29.6</v>
      </c>
      <c r="J4673" s="2" t="s">
        <v>40</v>
      </c>
      <c r="K4673" t="s">
        <v>41</v>
      </c>
      <c r="O4673">
        <v>0</v>
      </c>
      <c r="P4673">
        <v>0</v>
      </c>
      <c r="Q4673">
        <v>0</v>
      </c>
      <c r="R4673">
        <v>0</v>
      </c>
      <c r="W4673" t="s">
        <v>1080</v>
      </c>
      <c r="AA4673">
        <v>2007</v>
      </c>
      <c r="AB4673">
        <v>9999</v>
      </c>
      <c r="AC4673" t="s">
        <v>35</v>
      </c>
    </row>
    <row r="4674" spans="1:29" x14ac:dyDescent="0.25">
      <c r="A4674" s="31" t="s">
        <v>278</v>
      </c>
      <c r="B4674" s="23" t="s">
        <v>279</v>
      </c>
      <c r="D4674">
        <v>1</v>
      </c>
      <c r="E4674" t="s">
        <v>103</v>
      </c>
      <c r="F4674">
        <v>9</v>
      </c>
      <c r="G4674">
        <v>2009</v>
      </c>
      <c r="I4674">
        <v>566.5</v>
      </c>
      <c r="J4674" t="s">
        <v>104</v>
      </c>
      <c r="K4674" t="s">
        <v>53</v>
      </c>
      <c r="L4674" t="s">
        <v>105</v>
      </c>
      <c r="O4674">
        <v>0</v>
      </c>
      <c r="P4674">
        <v>1</v>
      </c>
      <c r="Q4674">
        <v>0</v>
      </c>
      <c r="R4674">
        <v>0</v>
      </c>
      <c r="W4674" t="s">
        <v>106</v>
      </c>
      <c r="AA4674">
        <v>2007</v>
      </c>
      <c r="AB4674">
        <v>9999</v>
      </c>
      <c r="AC4674" t="s">
        <v>35</v>
      </c>
    </row>
    <row r="4675" spans="1:29" x14ac:dyDescent="0.25">
      <c r="A4675" s="31" t="s">
        <v>280</v>
      </c>
      <c r="B4675" s="23" t="s">
        <v>281</v>
      </c>
      <c r="D4675">
        <v>1</v>
      </c>
      <c r="E4675" t="s">
        <v>103</v>
      </c>
      <c r="F4675">
        <v>9</v>
      </c>
      <c r="G4675">
        <v>2009</v>
      </c>
      <c r="I4675">
        <v>567.9</v>
      </c>
      <c r="J4675" t="s">
        <v>104</v>
      </c>
      <c r="K4675" t="s">
        <v>53</v>
      </c>
      <c r="L4675" t="s">
        <v>105</v>
      </c>
      <c r="O4675">
        <v>0</v>
      </c>
      <c r="P4675">
        <v>1</v>
      </c>
      <c r="Q4675">
        <v>0</v>
      </c>
      <c r="R4675">
        <v>0</v>
      </c>
      <c r="W4675" t="s">
        <v>106</v>
      </c>
      <c r="AA4675">
        <v>2007</v>
      </c>
      <c r="AB4675">
        <v>9999</v>
      </c>
      <c r="AC4675" t="s">
        <v>35</v>
      </c>
    </row>
    <row r="4676" spans="1:29" x14ac:dyDescent="0.25">
      <c r="A4676" s="31" t="s">
        <v>282</v>
      </c>
      <c r="B4676" s="23" t="s">
        <v>283</v>
      </c>
      <c r="D4676">
        <v>1</v>
      </c>
      <c r="E4676" t="s">
        <v>103</v>
      </c>
      <c r="F4676">
        <v>9</v>
      </c>
      <c r="G4676">
        <v>2009</v>
      </c>
      <c r="I4676">
        <v>541.9</v>
      </c>
      <c r="J4676" t="s">
        <v>104</v>
      </c>
      <c r="K4676" t="s">
        <v>53</v>
      </c>
      <c r="L4676" t="s">
        <v>105</v>
      </c>
      <c r="O4676">
        <v>0</v>
      </c>
      <c r="P4676">
        <v>1</v>
      </c>
      <c r="Q4676">
        <v>0</v>
      </c>
      <c r="R4676">
        <v>0</v>
      </c>
      <c r="W4676" t="s">
        <v>106</v>
      </c>
      <c r="AA4676">
        <v>2007</v>
      </c>
      <c r="AB4676">
        <v>9999</v>
      </c>
      <c r="AC4676" t="s">
        <v>35</v>
      </c>
    </row>
    <row r="4677" spans="1:29" x14ac:dyDescent="0.25">
      <c r="A4677" s="31" t="s">
        <v>284</v>
      </c>
      <c r="B4677" s="23" t="s">
        <v>285</v>
      </c>
      <c r="D4677">
        <v>1</v>
      </c>
      <c r="E4677" t="s">
        <v>103</v>
      </c>
      <c r="F4677">
        <v>9</v>
      </c>
      <c r="G4677">
        <v>2009</v>
      </c>
      <c r="I4677">
        <v>493</v>
      </c>
      <c r="J4677" t="s">
        <v>104</v>
      </c>
      <c r="K4677" t="s">
        <v>53</v>
      </c>
      <c r="L4677" t="s">
        <v>105</v>
      </c>
      <c r="O4677">
        <v>0</v>
      </c>
      <c r="P4677">
        <v>1</v>
      </c>
      <c r="Q4677">
        <v>0</v>
      </c>
      <c r="R4677">
        <v>0</v>
      </c>
      <c r="W4677" t="s">
        <v>106</v>
      </c>
      <c r="AA4677">
        <v>2007</v>
      </c>
      <c r="AB4677">
        <v>9999</v>
      </c>
      <c r="AC4677" t="s">
        <v>35</v>
      </c>
    </row>
    <row r="4678" spans="1:29" x14ac:dyDescent="0.25">
      <c r="A4678" s="31" t="s">
        <v>286</v>
      </c>
      <c r="B4678" s="23" t="s">
        <v>287</v>
      </c>
      <c r="D4678">
        <v>1</v>
      </c>
      <c r="E4678" t="s">
        <v>128</v>
      </c>
      <c r="F4678">
        <v>9</v>
      </c>
      <c r="G4678">
        <v>2009</v>
      </c>
      <c r="I4678">
        <v>696.8</v>
      </c>
      <c r="J4678" t="s">
        <v>104</v>
      </c>
      <c r="K4678" t="s">
        <v>53</v>
      </c>
      <c r="L4678" t="s">
        <v>105</v>
      </c>
      <c r="O4678">
        <v>0</v>
      </c>
      <c r="P4678">
        <v>1</v>
      </c>
      <c r="Q4678">
        <v>0</v>
      </c>
      <c r="R4678">
        <v>0</v>
      </c>
      <c r="W4678" t="s">
        <v>106</v>
      </c>
      <c r="AA4678">
        <v>2007</v>
      </c>
      <c r="AB4678">
        <v>2009</v>
      </c>
      <c r="AC4678" t="s">
        <v>236</v>
      </c>
    </row>
    <row r="4679" spans="1:29" x14ac:dyDescent="0.25">
      <c r="A4679" s="31" t="s">
        <v>288</v>
      </c>
      <c r="B4679" s="23" t="s">
        <v>289</v>
      </c>
      <c r="D4679">
        <v>1</v>
      </c>
      <c r="E4679" t="s">
        <v>103</v>
      </c>
      <c r="F4679">
        <v>9</v>
      </c>
      <c r="G4679">
        <v>2009</v>
      </c>
      <c r="I4679">
        <v>415.6</v>
      </c>
      <c r="J4679" t="s">
        <v>104</v>
      </c>
      <c r="K4679" t="s">
        <v>53</v>
      </c>
      <c r="L4679" t="s">
        <v>105</v>
      </c>
      <c r="O4679">
        <v>0</v>
      </c>
      <c r="P4679">
        <v>1</v>
      </c>
      <c r="Q4679">
        <v>0</v>
      </c>
      <c r="R4679">
        <v>0</v>
      </c>
      <c r="W4679" t="s">
        <v>106</v>
      </c>
      <c r="AA4679">
        <v>2007</v>
      </c>
      <c r="AB4679">
        <v>9999</v>
      </c>
      <c r="AC4679" t="s">
        <v>35</v>
      </c>
    </row>
    <row r="4680" spans="1:29" x14ac:dyDescent="0.25">
      <c r="A4680" s="31" t="s">
        <v>288</v>
      </c>
      <c r="B4680" s="23" t="s">
        <v>290</v>
      </c>
      <c r="D4680">
        <v>1</v>
      </c>
      <c r="E4680" t="s">
        <v>103</v>
      </c>
      <c r="F4680">
        <v>9</v>
      </c>
      <c r="G4680">
        <v>2009</v>
      </c>
      <c r="I4680">
        <v>403.1</v>
      </c>
      <c r="J4680" t="s">
        <v>104</v>
      </c>
      <c r="K4680" t="s">
        <v>53</v>
      </c>
      <c r="L4680" t="s">
        <v>105</v>
      </c>
      <c r="O4680">
        <v>0</v>
      </c>
      <c r="P4680">
        <v>1</v>
      </c>
      <c r="Q4680">
        <v>0</v>
      </c>
      <c r="R4680">
        <v>0</v>
      </c>
      <c r="W4680" t="s">
        <v>106</v>
      </c>
      <c r="AA4680">
        <v>2007</v>
      </c>
      <c r="AB4680">
        <v>9999</v>
      </c>
      <c r="AC4680" t="s">
        <v>35</v>
      </c>
    </row>
    <row r="4681" spans="1:29" x14ac:dyDescent="0.25">
      <c r="A4681" s="31" t="s">
        <v>291</v>
      </c>
      <c r="B4681" s="23" t="s">
        <v>292</v>
      </c>
      <c r="D4681">
        <v>1</v>
      </c>
      <c r="E4681" t="s">
        <v>103</v>
      </c>
      <c r="F4681">
        <v>9</v>
      </c>
      <c r="G4681">
        <v>2009</v>
      </c>
      <c r="I4681">
        <v>178.1</v>
      </c>
      <c r="J4681" t="s">
        <v>104</v>
      </c>
      <c r="K4681" t="s">
        <v>53</v>
      </c>
      <c r="L4681" t="s">
        <v>105</v>
      </c>
      <c r="O4681">
        <v>0</v>
      </c>
      <c r="P4681">
        <v>1</v>
      </c>
      <c r="Q4681">
        <v>0</v>
      </c>
      <c r="R4681">
        <v>0</v>
      </c>
      <c r="W4681" t="s">
        <v>106</v>
      </c>
      <c r="AA4681">
        <v>2007</v>
      </c>
      <c r="AB4681">
        <v>2013</v>
      </c>
      <c r="AC4681" t="s">
        <v>139</v>
      </c>
    </row>
    <row r="4682" spans="1:29" x14ac:dyDescent="0.25">
      <c r="A4682" s="31" t="s">
        <v>293</v>
      </c>
      <c r="B4682" s="23" t="s">
        <v>294</v>
      </c>
      <c r="D4682">
        <v>1</v>
      </c>
      <c r="E4682" t="s">
        <v>103</v>
      </c>
      <c r="F4682">
        <v>9</v>
      </c>
      <c r="G4682">
        <v>2009</v>
      </c>
      <c r="I4682">
        <v>433.7</v>
      </c>
      <c r="J4682" t="s">
        <v>104</v>
      </c>
      <c r="K4682" t="s">
        <v>53</v>
      </c>
      <c r="L4682" t="s">
        <v>105</v>
      </c>
      <c r="O4682">
        <v>0</v>
      </c>
      <c r="P4682">
        <v>1</v>
      </c>
      <c r="Q4682">
        <v>0</v>
      </c>
      <c r="R4682">
        <v>0</v>
      </c>
      <c r="W4682" t="s">
        <v>106</v>
      </c>
      <c r="AA4682">
        <v>2007</v>
      </c>
      <c r="AB4682">
        <v>9999</v>
      </c>
      <c r="AC4682" t="s">
        <v>35</v>
      </c>
    </row>
    <row r="4683" spans="1:29" x14ac:dyDescent="0.25">
      <c r="A4683" s="31" t="s">
        <v>295</v>
      </c>
      <c r="B4683" s="25" t="s">
        <v>296</v>
      </c>
      <c r="D4683">
        <v>1</v>
      </c>
      <c r="E4683" t="s">
        <v>128</v>
      </c>
      <c r="F4683">
        <v>9</v>
      </c>
      <c r="G4683">
        <v>2009</v>
      </c>
      <c r="H4683" t="s">
        <v>297</v>
      </c>
      <c r="J4683" t="s">
        <v>104</v>
      </c>
      <c r="K4683" t="s">
        <v>41</v>
      </c>
      <c r="O4683">
        <v>0</v>
      </c>
      <c r="P4683">
        <v>0</v>
      </c>
      <c r="Q4683">
        <v>0</v>
      </c>
      <c r="R4683">
        <v>0</v>
      </c>
      <c r="W4683" t="s">
        <v>1081</v>
      </c>
      <c r="AA4683">
        <v>2007</v>
      </c>
      <c r="AB4683">
        <v>9999</v>
      </c>
      <c r="AC4683" t="s">
        <v>35</v>
      </c>
    </row>
    <row r="4684" spans="1:29" x14ac:dyDescent="0.25">
      <c r="A4684" s="31" t="s">
        <v>299</v>
      </c>
      <c r="B4684" s="23" t="s">
        <v>297</v>
      </c>
      <c r="D4684">
        <v>1</v>
      </c>
      <c r="E4684" t="s">
        <v>300</v>
      </c>
      <c r="F4684">
        <v>9</v>
      </c>
      <c r="G4684">
        <v>2009</v>
      </c>
      <c r="I4684">
        <v>144.9</v>
      </c>
      <c r="J4684" t="s">
        <v>104</v>
      </c>
      <c r="K4684" t="s">
        <v>32</v>
      </c>
      <c r="O4684">
        <v>0</v>
      </c>
      <c r="P4684">
        <v>0</v>
      </c>
      <c r="Q4684">
        <v>0</v>
      </c>
      <c r="R4684">
        <v>0</v>
      </c>
      <c r="W4684" t="s">
        <v>1082</v>
      </c>
      <c r="AA4684">
        <v>2007</v>
      </c>
      <c r="AB4684">
        <v>2012</v>
      </c>
      <c r="AC4684" t="s">
        <v>302</v>
      </c>
    </row>
    <row r="4685" spans="1:29" x14ac:dyDescent="0.25">
      <c r="A4685" s="31" t="s">
        <v>153</v>
      </c>
      <c r="B4685" s="25" t="s">
        <v>303</v>
      </c>
      <c r="D4685">
        <v>1</v>
      </c>
      <c r="E4685" t="s">
        <v>155</v>
      </c>
      <c r="F4685">
        <v>3</v>
      </c>
      <c r="G4685">
        <v>2009</v>
      </c>
      <c r="I4685">
        <v>87.009719472111001</v>
      </c>
      <c r="J4685" t="s">
        <v>121</v>
      </c>
      <c r="K4685" t="s">
        <v>53</v>
      </c>
      <c r="L4685" t="s">
        <v>60</v>
      </c>
      <c r="O4685">
        <v>1</v>
      </c>
      <c r="P4685">
        <v>0</v>
      </c>
      <c r="Q4685">
        <v>0</v>
      </c>
      <c r="R4685">
        <v>0</v>
      </c>
      <c r="V4685">
        <v>1</v>
      </c>
      <c r="W4685" t="s">
        <v>304</v>
      </c>
      <c r="AA4685">
        <v>2007</v>
      </c>
      <c r="AB4685">
        <v>9999</v>
      </c>
      <c r="AC4685" t="s">
        <v>35</v>
      </c>
    </row>
    <row r="4686" spans="1:29" x14ac:dyDescent="0.25">
      <c r="A4686" s="31" t="s">
        <v>305</v>
      </c>
      <c r="B4686" s="23" t="s">
        <v>306</v>
      </c>
      <c r="D4686">
        <v>1</v>
      </c>
      <c r="E4686" t="s">
        <v>103</v>
      </c>
      <c r="F4686">
        <v>9</v>
      </c>
      <c r="G4686">
        <v>2009</v>
      </c>
      <c r="I4686">
        <v>80.900000000000006</v>
      </c>
      <c r="J4686" s="2" t="s">
        <v>104</v>
      </c>
      <c r="K4686" t="s">
        <v>53</v>
      </c>
      <c r="L4686" t="s">
        <v>105</v>
      </c>
      <c r="O4686">
        <v>0</v>
      </c>
      <c r="P4686">
        <v>1</v>
      </c>
      <c r="Q4686">
        <v>0</v>
      </c>
      <c r="R4686">
        <v>0</v>
      </c>
      <c r="W4686" t="s">
        <v>106</v>
      </c>
      <c r="AA4686">
        <v>2007</v>
      </c>
      <c r="AB4686">
        <v>9999</v>
      </c>
      <c r="AC4686" t="s">
        <v>35</v>
      </c>
    </row>
    <row r="4687" spans="1:29" x14ac:dyDescent="0.25">
      <c r="A4687" s="31" t="s">
        <v>307</v>
      </c>
      <c r="B4687" s="23" t="s">
        <v>308</v>
      </c>
      <c r="D4687">
        <v>1</v>
      </c>
      <c r="E4687" t="s">
        <v>309</v>
      </c>
      <c r="F4687">
        <v>10</v>
      </c>
      <c r="G4687">
        <v>2009</v>
      </c>
      <c r="I4687">
        <v>58.8</v>
      </c>
      <c r="J4687" t="s">
        <v>59</v>
      </c>
      <c r="K4687" t="s">
        <v>47</v>
      </c>
      <c r="O4687">
        <v>0</v>
      </c>
      <c r="P4687">
        <v>0</v>
      </c>
      <c r="Q4687">
        <v>0</v>
      </c>
      <c r="R4687">
        <v>0</v>
      </c>
      <c r="W4687" t="s">
        <v>1083</v>
      </c>
      <c r="AA4687">
        <v>2007</v>
      </c>
      <c r="AB4687">
        <v>9999</v>
      </c>
      <c r="AC4687" t="s">
        <v>35</v>
      </c>
    </row>
    <row r="4688" spans="1:29" x14ac:dyDescent="0.25">
      <c r="A4688" s="31" t="s">
        <v>311</v>
      </c>
      <c r="B4688" s="23" t="s">
        <v>312</v>
      </c>
      <c r="C4688" t="s">
        <v>313</v>
      </c>
      <c r="D4688">
        <v>1</v>
      </c>
      <c r="E4688" t="s">
        <v>314</v>
      </c>
      <c r="F4688">
        <v>2</v>
      </c>
      <c r="G4688">
        <v>2009</v>
      </c>
      <c r="I4688">
        <v>20.8</v>
      </c>
      <c r="J4688" t="s">
        <v>176</v>
      </c>
      <c r="K4688" t="s">
        <v>47</v>
      </c>
      <c r="O4688">
        <v>0</v>
      </c>
      <c r="P4688">
        <v>0</v>
      </c>
      <c r="Q4688">
        <v>0</v>
      </c>
      <c r="R4688">
        <v>0</v>
      </c>
      <c r="W4688" t="s">
        <v>1084</v>
      </c>
      <c r="AA4688">
        <v>2007</v>
      </c>
      <c r="AB4688">
        <v>9999</v>
      </c>
      <c r="AC4688" t="s">
        <v>35</v>
      </c>
    </row>
    <row r="4689" spans="1:29" x14ac:dyDescent="0.25">
      <c r="A4689" s="31" t="s">
        <v>316</v>
      </c>
      <c r="B4689" s="23" t="s">
        <v>317</v>
      </c>
      <c r="D4689">
        <v>1</v>
      </c>
      <c r="E4689" t="s">
        <v>318</v>
      </c>
      <c r="F4689">
        <v>4</v>
      </c>
      <c r="G4689">
        <v>2009</v>
      </c>
      <c r="I4689">
        <v>25.5</v>
      </c>
      <c r="J4689" t="s">
        <v>59</v>
      </c>
      <c r="K4689" t="s">
        <v>47</v>
      </c>
      <c r="O4689">
        <v>0</v>
      </c>
      <c r="P4689">
        <v>0</v>
      </c>
      <c r="Q4689">
        <v>0</v>
      </c>
      <c r="R4689">
        <v>0</v>
      </c>
      <c r="W4689" t="s">
        <v>1085</v>
      </c>
      <c r="AA4689">
        <v>2007</v>
      </c>
      <c r="AB4689">
        <v>9999</v>
      </c>
      <c r="AC4689" t="s">
        <v>35</v>
      </c>
    </row>
    <row r="4690" spans="1:29" x14ac:dyDescent="0.25">
      <c r="A4690" s="31" t="s">
        <v>324</v>
      </c>
      <c r="B4690" s="23" t="s">
        <v>325</v>
      </c>
      <c r="D4690">
        <v>1</v>
      </c>
      <c r="E4690" t="s">
        <v>103</v>
      </c>
      <c r="F4690">
        <v>9</v>
      </c>
      <c r="G4690">
        <v>2009</v>
      </c>
      <c r="I4690">
        <v>88.5</v>
      </c>
      <c r="J4690" t="s">
        <v>104</v>
      </c>
      <c r="K4690" t="s">
        <v>47</v>
      </c>
      <c r="O4690">
        <v>0</v>
      </c>
      <c r="P4690">
        <v>0</v>
      </c>
      <c r="Q4690">
        <v>0</v>
      </c>
      <c r="R4690">
        <v>0</v>
      </c>
      <c r="W4690" t="s">
        <v>1086</v>
      </c>
      <c r="AA4690">
        <v>2007</v>
      </c>
      <c r="AB4690">
        <v>9999</v>
      </c>
      <c r="AC4690" t="s">
        <v>35</v>
      </c>
    </row>
    <row r="4691" spans="1:29" x14ac:dyDescent="0.25">
      <c r="A4691" s="31" t="s">
        <v>327</v>
      </c>
      <c r="B4691" s="23" t="s">
        <v>328</v>
      </c>
      <c r="D4691">
        <v>1</v>
      </c>
      <c r="E4691" t="s">
        <v>80</v>
      </c>
      <c r="F4691">
        <v>8</v>
      </c>
      <c r="G4691">
        <v>2009</v>
      </c>
      <c r="I4691">
        <v>78.7</v>
      </c>
      <c r="J4691" t="s">
        <v>81</v>
      </c>
      <c r="K4691" t="s">
        <v>47</v>
      </c>
      <c r="O4691">
        <v>0</v>
      </c>
      <c r="P4691">
        <v>0</v>
      </c>
      <c r="Q4691">
        <v>0</v>
      </c>
      <c r="R4691">
        <v>0</v>
      </c>
      <c r="W4691" t="s">
        <v>1087</v>
      </c>
      <c r="AA4691">
        <v>2007</v>
      </c>
      <c r="AB4691">
        <v>9999</v>
      </c>
      <c r="AC4691" t="s">
        <v>35</v>
      </c>
    </row>
    <row r="4692" spans="1:29" x14ac:dyDescent="0.25">
      <c r="A4692" s="31" t="s">
        <v>330</v>
      </c>
      <c r="B4692" s="23" t="s">
        <v>331</v>
      </c>
      <c r="D4692">
        <v>1</v>
      </c>
      <c r="E4692" t="s">
        <v>38</v>
      </c>
      <c r="F4692">
        <v>4</v>
      </c>
      <c r="G4692">
        <v>2009</v>
      </c>
      <c r="I4692">
        <v>55</v>
      </c>
      <c r="J4692" t="s">
        <v>89</v>
      </c>
      <c r="K4692" t="s">
        <v>47</v>
      </c>
      <c r="O4692">
        <v>0</v>
      </c>
      <c r="P4692">
        <v>0</v>
      </c>
      <c r="Q4692">
        <v>0</v>
      </c>
      <c r="R4692">
        <v>0</v>
      </c>
      <c r="W4692" t="s">
        <v>1088</v>
      </c>
      <c r="AA4692">
        <v>2007</v>
      </c>
      <c r="AB4692">
        <v>2009</v>
      </c>
      <c r="AC4692" t="s">
        <v>236</v>
      </c>
    </row>
    <row r="4693" spans="1:29" ht="30" x14ac:dyDescent="0.25">
      <c r="A4693" s="31" t="s">
        <v>333</v>
      </c>
      <c r="B4693" s="23" t="s">
        <v>334</v>
      </c>
      <c r="D4693">
        <v>1</v>
      </c>
      <c r="E4693" t="s">
        <v>335</v>
      </c>
      <c r="F4693">
        <v>1</v>
      </c>
      <c r="G4693">
        <v>2009</v>
      </c>
      <c r="I4693">
        <v>18.3</v>
      </c>
      <c r="J4693" t="s">
        <v>176</v>
      </c>
      <c r="K4693" t="s">
        <v>47</v>
      </c>
      <c r="O4693">
        <v>0</v>
      </c>
      <c r="P4693">
        <v>0</v>
      </c>
      <c r="Q4693">
        <v>0</v>
      </c>
      <c r="R4693">
        <v>0</v>
      </c>
      <c r="W4693" t="s">
        <v>1089</v>
      </c>
      <c r="AA4693">
        <v>2007</v>
      </c>
      <c r="AB4693">
        <v>2012</v>
      </c>
      <c r="AC4693" t="s">
        <v>302</v>
      </c>
    </row>
    <row r="4694" spans="1:29" ht="30" x14ac:dyDescent="0.25">
      <c r="A4694" s="31" t="s">
        <v>343</v>
      </c>
      <c r="B4694" s="23" t="s">
        <v>344</v>
      </c>
      <c r="D4694">
        <v>1</v>
      </c>
      <c r="E4694" t="s">
        <v>300</v>
      </c>
      <c r="F4694">
        <v>9</v>
      </c>
      <c r="G4694">
        <v>2009</v>
      </c>
      <c r="I4694">
        <v>66.7</v>
      </c>
      <c r="J4694" t="s">
        <v>104</v>
      </c>
      <c r="K4694" t="s">
        <v>47</v>
      </c>
      <c r="O4694">
        <v>0</v>
      </c>
      <c r="P4694">
        <v>0</v>
      </c>
      <c r="Q4694">
        <v>0</v>
      </c>
      <c r="R4694">
        <v>0</v>
      </c>
      <c r="W4694" t="s">
        <v>1090</v>
      </c>
      <c r="AA4694">
        <v>2007</v>
      </c>
      <c r="AB4694">
        <v>2012</v>
      </c>
      <c r="AC4694" t="s">
        <v>302</v>
      </c>
    </row>
    <row r="4695" spans="1:29" x14ac:dyDescent="0.25">
      <c r="A4695" s="31" t="s">
        <v>346</v>
      </c>
      <c r="B4695" s="23" t="s">
        <v>347</v>
      </c>
      <c r="D4695">
        <v>1</v>
      </c>
      <c r="E4695" t="s">
        <v>348</v>
      </c>
      <c r="F4695">
        <v>1</v>
      </c>
      <c r="G4695">
        <v>2009</v>
      </c>
      <c r="I4695">
        <v>26.1</v>
      </c>
      <c r="J4695" t="s">
        <v>121</v>
      </c>
      <c r="K4695" t="s">
        <v>47</v>
      </c>
      <c r="O4695">
        <v>0</v>
      </c>
      <c r="P4695">
        <v>0</v>
      </c>
      <c r="Q4695">
        <v>0</v>
      </c>
      <c r="R4695">
        <v>0</v>
      </c>
      <c r="W4695" t="s">
        <v>349</v>
      </c>
      <c r="AA4695">
        <v>2007</v>
      </c>
      <c r="AB4695">
        <v>9999</v>
      </c>
      <c r="AC4695" t="s">
        <v>35</v>
      </c>
    </row>
    <row r="4696" spans="1:29" x14ac:dyDescent="0.25">
      <c r="A4696" s="31" t="s">
        <v>199</v>
      </c>
      <c r="B4696" s="23" t="s">
        <v>39</v>
      </c>
      <c r="D4696">
        <v>1</v>
      </c>
      <c r="E4696" t="s">
        <v>358</v>
      </c>
      <c r="F4696">
        <v>1</v>
      </c>
      <c r="G4696">
        <v>2009</v>
      </c>
      <c r="I4696">
        <v>185.9</v>
      </c>
      <c r="J4696" t="s">
        <v>52</v>
      </c>
      <c r="K4696" t="s">
        <v>47</v>
      </c>
      <c r="O4696">
        <v>0</v>
      </c>
      <c r="P4696">
        <v>0</v>
      </c>
      <c r="Q4696">
        <v>0</v>
      </c>
      <c r="R4696">
        <v>0</v>
      </c>
      <c r="W4696" t="s">
        <v>1094</v>
      </c>
      <c r="AA4696">
        <v>2007</v>
      </c>
      <c r="AB4696">
        <v>9999</v>
      </c>
      <c r="AC4696" t="s">
        <v>35</v>
      </c>
    </row>
    <row r="4697" spans="1:29" x14ac:dyDescent="0.25">
      <c r="A4697" s="31" t="s">
        <v>153</v>
      </c>
      <c r="B4697" s="23" t="s">
        <v>360</v>
      </c>
      <c r="D4697">
        <v>4</v>
      </c>
      <c r="E4697" t="s">
        <v>155</v>
      </c>
      <c r="F4697">
        <v>3</v>
      </c>
      <c r="G4697">
        <v>2009</v>
      </c>
      <c r="I4697">
        <v>426.84067629481899</v>
      </c>
      <c r="J4697" t="s">
        <v>121</v>
      </c>
      <c r="K4697" t="s">
        <v>53</v>
      </c>
      <c r="L4697" t="s">
        <v>60</v>
      </c>
      <c r="O4697">
        <v>1</v>
      </c>
      <c r="P4697">
        <v>0</v>
      </c>
      <c r="Q4697">
        <v>0</v>
      </c>
      <c r="R4697">
        <v>0</v>
      </c>
      <c r="V4697">
        <v>1</v>
      </c>
      <c r="W4697" t="s">
        <v>361</v>
      </c>
      <c r="AA4697">
        <v>2007</v>
      </c>
      <c r="AB4697">
        <v>9999</v>
      </c>
      <c r="AC4697" t="s">
        <v>35</v>
      </c>
    </row>
    <row r="4698" spans="1:29" x14ac:dyDescent="0.25">
      <c r="A4698" s="31" t="s">
        <v>362</v>
      </c>
      <c r="B4698" s="23" t="s">
        <v>363</v>
      </c>
      <c r="D4698">
        <v>1</v>
      </c>
      <c r="E4698" t="s">
        <v>103</v>
      </c>
      <c r="F4698">
        <v>9</v>
      </c>
      <c r="G4698">
        <v>2009</v>
      </c>
      <c r="I4698">
        <v>954.1</v>
      </c>
      <c r="J4698" t="s">
        <v>104</v>
      </c>
      <c r="K4698" t="s">
        <v>53</v>
      </c>
      <c r="L4698" t="s">
        <v>105</v>
      </c>
      <c r="O4698">
        <v>0</v>
      </c>
      <c r="P4698">
        <v>1</v>
      </c>
      <c r="Q4698">
        <v>0</v>
      </c>
      <c r="R4698">
        <v>0</v>
      </c>
      <c r="W4698" t="s">
        <v>106</v>
      </c>
      <c r="AA4698">
        <v>2007</v>
      </c>
      <c r="AB4698">
        <v>9999</v>
      </c>
      <c r="AC4698" t="s">
        <v>35</v>
      </c>
    </row>
    <row r="4699" spans="1:29" x14ac:dyDescent="0.25">
      <c r="A4699" s="31" t="s">
        <v>364</v>
      </c>
      <c r="B4699" s="23" t="s">
        <v>365</v>
      </c>
      <c r="C4699" t="s">
        <v>366</v>
      </c>
      <c r="D4699">
        <v>1</v>
      </c>
      <c r="E4699" t="s">
        <v>103</v>
      </c>
      <c r="F4699">
        <v>9</v>
      </c>
      <c r="G4699">
        <v>2009</v>
      </c>
      <c r="I4699">
        <v>4006</v>
      </c>
      <c r="J4699" t="s">
        <v>104</v>
      </c>
      <c r="K4699" t="s">
        <v>53</v>
      </c>
      <c r="L4699" t="s">
        <v>105</v>
      </c>
      <c r="O4699">
        <v>0</v>
      </c>
      <c r="P4699">
        <v>1</v>
      </c>
      <c r="Q4699">
        <v>0</v>
      </c>
      <c r="R4699">
        <v>0</v>
      </c>
      <c r="W4699" t="s">
        <v>106</v>
      </c>
      <c r="AA4699">
        <v>2007</v>
      </c>
      <c r="AB4699">
        <v>9999</v>
      </c>
      <c r="AC4699" t="s">
        <v>35</v>
      </c>
    </row>
    <row r="4700" spans="1:29" x14ac:dyDescent="0.25">
      <c r="A4700" s="31" t="s">
        <v>367</v>
      </c>
      <c r="B4700" s="23" t="s">
        <v>368</v>
      </c>
      <c r="C4700" t="s">
        <v>369</v>
      </c>
      <c r="D4700">
        <v>1</v>
      </c>
      <c r="E4700" t="s">
        <v>370</v>
      </c>
      <c r="F4700">
        <v>5</v>
      </c>
      <c r="G4700">
        <v>2009</v>
      </c>
      <c r="I4700">
        <v>185</v>
      </c>
      <c r="J4700" t="s">
        <v>31</v>
      </c>
      <c r="K4700" t="s">
        <v>47</v>
      </c>
      <c r="O4700">
        <v>0</v>
      </c>
      <c r="P4700">
        <v>0</v>
      </c>
      <c r="Q4700">
        <v>0</v>
      </c>
      <c r="R4700">
        <v>0</v>
      </c>
      <c r="W4700" t="s">
        <v>1095</v>
      </c>
      <c r="AA4700">
        <v>2007</v>
      </c>
      <c r="AB4700">
        <v>9999</v>
      </c>
      <c r="AC4700" t="s">
        <v>35</v>
      </c>
    </row>
    <row r="4701" spans="1:29" x14ac:dyDescent="0.25">
      <c r="A4701" s="31" t="s">
        <v>372</v>
      </c>
      <c r="B4701" s="23" t="s">
        <v>373</v>
      </c>
      <c r="D4701">
        <v>1</v>
      </c>
      <c r="E4701" t="s">
        <v>45</v>
      </c>
      <c r="F4701">
        <v>4</v>
      </c>
      <c r="G4701">
        <v>2009</v>
      </c>
      <c r="I4701">
        <v>90.1</v>
      </c>
      <c r="J4701" t="s">
        <v>176</v>
      </c>
      <c r="K4701" t="s">
        <v>47</v>
      </c>
      <c r="O4701">
        <v>0</v>
      </c>
      <c r="P4701">
        <v>0</v>
      </c>
      <c r="Q4701">
        <v>0</v>
      </c>
      <c r="R4701">
        <v>0</v>
      </c>
      <c r="W4701" t="s">
        <v>1096</v>
      </c>
      <c r="AA4701">
        <v>2007</v>
      </c>
      <c r="AB4701">
        <v>9999</v>
      </c>
      <c r="AC4701" t="s">
        <v>35</v>
      </c>
    </row>
    <row r="4702" spans="1:29" x14ac:dyDescent="0.25">
      <c r="A4702" s="31" t="s">
        <v>1241</v>
      </c>
      <c r="B4702" s="23" t="s">
        <v>1242</v>
      </c>
      <c r="D4702">
        <v>1</v>
      </c>
      <c r="E4702" t="s">
        <v>977</v>
      </c>
      <c r="F4702">
        <v>1</v>
      </c>
      <c r="G4702">
        <v>2009</v>
      </c>
      <c r="I4702">
        <v>6.8</v>
      </c>
      <c r="J4702" t="s">
        <v>52</v>
      </c>
      <c r="K4702" t="s">
        <v>47</v>
      </c>
      <c r="O4702">
        <v>0</v>
      </c>
      <c r="P4702">
        <v>0</v>
      </c>
      <c r="Q4702">
        <v>0</v>
      </c>
      <c r="R4702">
        <v>0</v>
      </c>
      <c r="W4702" t="s">
        <v>1243</v>
      </c>
      <c r="AA4702">
        <v>2009</v>
      </c>
      <c r="AB4702">
        <v>2012</v>
      </c>
      <c r="AC4702" t="s">
        <v>1244</v>
      </c>
    </row>
    <row r="4703" spans="1:29" x14ac:dyDescent="0.25">
      <c r="A4703" s="31" t="s">
        <v>375</v>
      </c>
      <c r="B4703" s="23" t="s">
        <v>163</v>
      </c>
      <c r="D4703">
        <v>1</v>
      </c>
      <c r="E4703" t="s">
        <v>168</v>
      </c>
      <c r="F4703">
        <v>1</v>
      </c>
      <c r="G4703">
        <v>2009</v>
      </c>
      <c r="I4703">
        <v>57.3</v>
      </c>
      <c r="J4703" t="s">
        <v>52</v>
      </c>
      <c r="K4703" t="s">
        <v>47</v>
      </c>
      <c r="O4703">
        <v>0</v>
      </c>
      <c r="P4703">
        <v>0</v>
      </c>
      <c r="Q4703">
        <v>0</v>
      </c>
      <c r="R4703">
        <v>0</v>
      </c>
      <c r="W4703" t="s">
        <v>1097</v>
      </c>
      <c r="AA4703">
        <v>2007</v>
      </c>
      <c r="AB4703">
        <v>9999</v>
      </c>
      <c r="AC4703" t="s">
        <v>35</v>
      </c>
    </row>
    <row r="4704" spans="1:29" x14ac:dyDescent="0.25">
      <c r="A4704" s="31" t="s">
        <v>377</v>
      </c>
      <c r="B4704" s="23" t="s">
        <v>378</v>
      </c>
      <c r="D4704">
        <v>1</v>
      </c>
      <c r="E4704" t="s">
        <v>45</v>
      </c>
      <c r="F4704">
        <v>4</v>
      </c>
      <c r="G4704">
        <v>2009</v>
      </c>
      <c r="I4704">
        <v>98.3</v>
      </c>
      <c r="J4704" t="s">
        <v>89</v>
      </c>
      <c r="K4704" t="s">
        <v>47</v>
      </c>
      <c r="O4704">
        <v>0</v>
      </c>
      <c r="P4704">
        <v>0</v>
      </c>
      <c r="Q4704">
        <v>0</v>
      </c>
      <c r="R4704">
        <v>0</v>
      </c>
      <c r="W4704" t="s">
        <v>1098</v>
      </c>
      <c r="AA4704">
        <v>2007</v>
      </c>
      <c r="AB4704">
        <v>9999</v>
      </c>
      <c r="AC4704" t="s">
        <v>35</v>
      </c>
    </row>
    <row r="4705" spans="1:29" x14ac:dyDescent="0.25">
      <c r="A4705" s="31" t="s">
        <v>380</v>
      </c>
      <c r="B4705" s="23" t="s">
        <v>381</v>
      </c>
      <c r="D4705">
        <v>1</v>
      </c>
      <c r="E4705" t="s">
        <v>103</v>
      </c>
      <c r="F4705">
        <v>9</v>
      </c>
      <c r="G4705">
        <v>2009</v>
      </c>
      <c r="I4705">
        <v>134.1</v>
      </c>
      <c r="J4705" t="s">
        <v>104</v>
      </c>
      <c r="K4705" t="s">
        <v>53</v>
      </c>
      <c r="L4705" t="s">
        <v>105</v>
      </c>
      <c r="O4705">
        <v>0</v>
      </c>
      <c r="P4705">
        <v>1</v>
      </c>
      <c r="Q4705">
        <v>0</v>
      </c>
      <c r="R4705">
        <v>0</v>
      </c>
      <c r="W4705" t="s">
        <v>106</v>
      </c>
      <c r="AA4705">
        <v>2007</v>
      </c>
      <c r="AB4705">
        <v>9999</v>
      </c>
      <c r="AC4705" t="s">
        <v>35</v>
      </c>
    </row>
    <row r="4706" spans="1:29" x14ac:dyDescent="0.25">
      <c r="A4706" s="31" t="s">
        <v>382</v>
      </c>
      <c r="B4706" s="23" t="s">
        <v>383</v>
      </c>
      <c r="D4706">
        <v>1</v>
      </c>
      <c r="E4706" t="s">
        <v>80</v>
      </c>
      <c r="F4706">
        <v>8</v>
      </c>
      <c r="G4706">
        <v>2009</v>
      </c>
      <c r="I4706">
        <v>15.5</v>
      </c>
      <c r="J4706" t="s">
        <v>81</v>
      </c>
      <c r="K4706" t="s">
        <v>32</v>
      </c>
      <c r="O4706">
        <v>0</v>
      </c>
      <c r="P4706">
        <v>0</v>
      </c>
      <c r="Q4706">
        <v>0</v>
      </c>
      <c r="R4706">
        <v>0</v>
      </c>
      <c r="W4706" t="s">
        <v>1099</v>
      </c>
      <c r="AA4706">
        <v>2007</v>
      </c>
      <c r="AB4706">
        <v>9999</v>
      </c>
      <c r="AC4706" t="s">
        <v>35</v>
      </c>
    </row>
    <row r="4707" spans="1:29" x14ac:dyDescent="0.25">
      <c r="A4707" s="31" t="s">
        <v>385</v>
      </c>
      <c r="B4707" s="23" t="s">
        <v>386</v>
      </c>
      <c r="D4707">
        <v>1</v>
      </c>
      <c r="E4707" t="s">
        <v>45</v>
      </c>
      <c r="F4707">
        <v>4</v>
      </c>
      <c r="G4707">
        <v>2009</v>
      </c>
      <c r="I4707">
        <v>96.6</v>
      </c>
      <c r="J4707" t="s">
        <v>46</v>
      </c>
      <c r="K4707" t="s">
        <v>47</v>
      </c>
      <c r="O4707">
        <v>0</v>
      </c>
      <c r="P4707">
        <v>0</v>
      </c>
      <c r="Q4707">
        <v>0</v>
      </c>
      <c r="R4707">
        <v>0</v>
      </c>
      <c r="W4707" t="s">
        <v>1100</v>
      </c>
      <c r="AA4707">
        <v>2007</v>
      </c>
      <c r="AB4707">
        <v>9999</v>
      </c>
      <c r="AC4707" t="s">
        <v>35</v>
      </c>
    </row>
    <row r="4708" spans="1:29" x14ac:dyDescent="0.25">
      <c r="A4708" s="31" t="s">
        <v>388</v>
      </c>
      <c r="B4708" s="25" t="s">
        <v>389</v>
      </c>
      <c r="D4708">
        <v>1</v>
      </c>
      <c r="E4708" t="s">
        <v>145</v>
      </c>
      <c r="F4708">
        <v>2</v>
      </c>
      <c r="G4708">
        <v>2009</v>
      </c>
      <c r="H4708" t="s">
        <v>185</v>
      </c>
      <c r="I4708">
        <v>0.1</v>
      </c>
      <c r="J4708" t="s">
        <v>52</v>
      </c>
      <c r="K4708" t="s">
        <v>41</v>
      </c>
      <c r="O4708">
        <v>0</v>
      </c>
      <c r="P4708">
        <v>0</v>
      </c>
      <c r="Q4708">
        <v>0</v>
      </c>
      <c r="R4708">
        <v>0</v>
      </c>
      <c r="W4708" t="s">
        <v>1101</v>
      </c>
      <c r="AA4708">
        <v>2007</v>
      </c>
      <c r="AB4708">
        <v>9999</v>
      </c>
      <c r="AC4708" t="s">
        <v>35</v>
      </c>
    </row>
    <row r="4709" spans="1:29" x14ac:dyDescent="0.25">
      <c r="A4709" s="31" t="s">
        <v>391</v>
      </c>
      <c r="B4709" s="23" t="s">
        <v>392</v>
      </c>
      <c r="D4709">
        <v>1</v>
      </c>
      <c r="E4709" t="s">
        <v>393</v>
      </c>
      <c r="F4709">
        <v>3</v>
      </c>
      <c r="G4709">
        <v>2009</v>
      </c>
      <c r="I4709">
        <v>8921.6</v>
      </c>
      <c r="J4709" t="s">
        <v>121</v>
      </c>
      <c r="K4709" t="s">
        <v>47</v>
      </c>
      <c r="O4709">
        <v>0</v>
      </c>
      <c r="P4709">
        <v>0</v>
      </c>
      <c r="Q4709">
        <v>0</v>
      </c>
      <c r="R4709">
        <v>0</v>
      </c>
      <c r="W4709" t="s">
        <v>1102</v>
      </c>
      <c r="AA4709">
        <v>2007</v>
      </c>
      <c r="AB4709">
        <v>9999</v>
      </c>
      <c r="AC4709" t="s">
        <v>35</v>
      </c>
    </row>
    <row r="4710" spans="1:29" x14ac:dyDescent="0.25">
      <c r="A4710" s="31" t="s">
        <v>391</v>
      </c>
      <c r="B4710" s="23" t="s">
        <v>395</v>
      </c>
      <c r="D4710">
        <v>1</v>
      </c>
      <c r="E4710" t="s">
        <v>396</v>
      </c>
      <c r="F4710">
        <v>3</v>
      </c>
      <c r="G4710">
        <v>2009</v>
      </c>
      <c r="H4710" t="s">
        <v>392</v>
      </c>
      <c r="J4710" t="s">
        <v>121</v>
      </c>
      <c r="K4710" t="s">
        <v>41</v>
      </c>
      <c r="O4710">
        <v>0</v>
      </c>
      <c r="P4710">
        <v>0</v>
      </c>
      <c r="Q4710">
        <v>0</v>
      </c>
      <c r="R4710">
        <v>0</v>
      </c>
      <c r="W4710" t="s">
        <v>1103</v>
      </c>
      <c r="AA4710">
        <v>2007</v>
      </c>
      <c r="AB4710">
        <v>9999</v>
      </c>
      <c r="AC4710" t="s">
        <v>35</v>
      </c>
    </row>
    <row r="4711" spans="1:29" x14ac:dyDescent="0.25">
      <c r="A4711" s="31" t="s">
        <v>401</v>
      </c>
      <c r="B4711" s="23" t="s">
        <v>402</v>
      </c>
      <c r="D4711">
        <v>1</v>
      </c>
      <c r="E4711" t="s">
        <v>155</v>
      </c>
      <c r="F4711">
        <v>3</v>
      </c>
      <c r="G4711">
        <v>2009</v>
      </c>
      <c r="I4711">
        <v>2134</v>
      </c>
      <c r="J4711" t="s">
        <v>52</v>
      </c>
      <c r="K4711" t="s">
        <v>47</v>
      </c>
      <c r="O4711">
        <v>0</v>
      </c>
      <c r="P4711">
        <v>0</v>
      </c>
      <c r="Q4711">
        <v>0</v>
      </c>
      <c r="R4711">
        <v>0</v>
      </c>
      <c r="W4711" t="s">
        <v>1105</v>
      </c>
      <c r="AA4711">
        <v>2007</v>
      </c>
      <c r="AB4711">
        <v>9999</v>
      </c>
      <c r="AC4711" t="s">
        <v>35</v>
      </c>
    </row>
    <row r="4712" spans="1:29" x14ac:dyDescent="0.25">
      <c r="A4712" s="31" t="s">
        <v>404</v>
      </c>
      <c r="B4712" s="23" t="s">
        <v>405</v>
      </c>
      <c r="C4712" t="s">
        <v>406</v>
      </c>
      <c r="D4712">
        <v>1</v>
      </c>
      <c r="E4712" t="s">
        <v>358</v>
      </c>
      <c r="F4712">
        <v>1</v>
      </c>
      <c r="G4712">
        <v>2009</v>
      </c>
      <c r="I4712">
        <v>345.8</v>
      </c>
      <c r="J4712" t="s">
        <v>104</v>
      </c>
      <c r="K4712" t="s">
        <v>47</v>
      </c>
      <c r="O4712">
        <v>0</v>
      </c>
      <c r="P4712">
        <v>0</v>
      </c>
      <c r="Q4712">
        <v>0</v>
      </c>
      <c r="R4712">
        <v>0</v>
      </c>
      <c r="W4712" t="s">
        <v>1245</v>
      </c>
      <c r="AA4712">
        <v>2007</v>
      </c>
      <c r="AB4712">
        <v>9999</v>
      </c>
      <c r="AC4712" t="s">
        <v>35</v>
      </c>
    </row>
    <row r="4713" spans="1:29" x14ac:dyDescent="0.25">
      <c r="A4713" s="31" t="s">
        <v>408</v>
      </c>
      <c r="B4713" s="23" t="s">
        <v>409</v>
      </c>
      <c r="D4713">
        <v>1</v>
      </c>
      <c r="E4713" t="s">
        <v>103</v>
      </c>
      <c r="F4713">
        <v>9</v>
      </c>
      <c r="G4713">
        <v>2009</v>
      </c>
      <c r="I4713">
        <v>48.7</v>
      </c>
      <c r="J4713" t="s">
        <v>104</v>
      </c>
      <c r="K4713" t="s">
        <v>53</v>
      </c>
      <c r="L4713" t="s">
        <v>105</v>
      </c>
      <c r="O4713">
        <v>0</v>
      </c>
      <c r="P4713">
        <v>1</v>
      </c>
      <c r="Q4713">
        <v>0</v>
      </c>
      <c r="R4713">
        <v>0</v>
      </c>
      <c r="W4713" t="s">
        <v>106</v>
      </c>
      <c r="AA4713">
        <v>2007</v>
      </c>
      <c r="AB4713">
        <v>9999</v>
      </c>
      <c r="AC4713" t="s">
        <v>35</v>
      </c>
    </row>
    <row r="4714" spans="1:29" x14ac:dyDescent="0.25">
      <c r="A4714" s="31" t="s">
        <v>410</v>
      </c>
      <c r="B4714" s="23" t="s">
        <v>411</v>
      </c>
      <c r="C4714" t="s">
        <v>412</v>
      </c>
      <c r="D4714">
        <v>1</v>
      </c>
      <c r="E4714" t="s">
        <v>103</v>
      </c>
      <c r="F4714">
        <v>9</v>
      </c>
      <c r="G4714">
        <v>2009</v>
      </c>
      <c r="I4714">
        <v>164</v>
      </c>
      <c r="J4714" t="s">
        <v>104</v>
      </c>
      <c r="K4714" t="s">
        <v>53</v>
      </c>
      <c r="L4714" t="s">
        <v>105</v>
      </c>
      <c r="O4714">
        <v>0</v>
      </c>
      <c r="P4714">
        <v>1</v>
      </c>
      <c r="Q4714">
        <v>0</v>
      </c>
      <c r="R4714">
        <v>0</v>
      </c>
      <c r="W4714" t="s">
        <v>106</v>
      </c>
      <c r="AA4714">
        <v>2007</v>
      </c>
      <c r="AB4714">
        <v>9999</v>
      </c>
      <c r="AC4714" t="s">
        <v>35</v>
      </c>
    </row>
    <row r="4715" spans="1:29" x14ac:dyDescent="0.25">
      <c r="A4715" s="31" t="s">
        <v>413</v>
      </c>
      <c r="B4715" s="23" t="s">
        <v>414</v>
      </c>
      <c r="C4715" t="s">
        <v>415</v>
      </c>
      <c r="D4715">
        <v>1</v>
      </c>
      <c r="E4715" t="s">
        <v>103</v>
      </c>
      <c r="F4715">
        <v>9</v>
      </c>
      <c r="G4715">
        <v>2009</v>
      </c>
      <c r="I4715">
        <v>2856.8</v>
      </c>
      <c r="J4715" t="s">
        <v>104</v>
      </c>
      <c r="K4715" t="s">
        <v>53</v>
      </c>
      <c r="L4715" t="s">
        <v>105</v>
      </c>
      <c r="O4715">
        <v>0</v>
      </c>
      <c r="P4715">
        <v>1</v>
      </c>
      <c r="Q4715">
        <v>0</v>
      </c>
      <c r="R4715">
        <v>0</v>
      </c>
      <c r="W4715" t="s">
        <v>106</v>
      </c>
      <c r="AA4715">
        <v>2007</v>
      </c>
      <c r="AB4715">
        <v>9999</v>
      </c>
      <c r="AC4715" t="s">
        <v>35</v>
      </c>
    </row>
    <row r="4716" spans="1:29" x14ac:dyDescent="0.25">
      <c r="A4716" s="31" t="s">
        <v>416</v>
      </c>
      <c r="B4716" s="23" t="s">
        <v>417</v>
      </c>
      <c r="C4716" t="s">
        <v>418</v>
      </c>
      <c r="D4716">
        <v>1</v>
      </c>
      <c r="E4716" t="s">
        <v>218</v>
      </c>
      <c r="F4716">
        <v>2</v>
      </c>
      <c r="G4716">
        <v>2009</v>
      </c>
      <c r="I4716">
        <v>756.7</v>
      </c>
      <c r="J4716" t="s">
        <v>147</v>
      </c>
      <c r="K4716" t="s">
        <v>47</v>
      </c>
      <c r="O4716">
        <v>0</v>
      </c>
      <c r="P4716">
        <v>0</v>
      </c>
      <c r="Q4716">
        <v>0</v>
      </c>
      <c r="R4716">
        <v>0</v>
      </c>
      <c r="W4716" t="s">
        <v>1107</v>
      </c>
      <c r="AA4716">
        <v>2007</v>
      </c>
      <c r="AB4716">
        <v>9999</v>
      </c>
      <c r="AC4716" t="s">
        <v>35</v>
      </c>
    </row>
    <row r="4717" spans="1:29" x14ac:dyDescent="0.25">
      <c r="A4717" s="31" t="s">
        <v>420</v>
      </c>
      <c r="B4717" s="25" t="s">
        <v>421</v>
      </c>
      <c r="D4717">
        <v>1</v>
      </c>
      <c r="E4717" t="s">
        <v>38</v>
      </c>
      <c r="F4717">
        <v>4</v>
      </c>
      <c r="G4717">
        <v>2009</v>
      </c>
      <c r="H4717" t="s">
        <v>39</v>
      </c>
      <c r="J4717" s="2" t="s">
        <v>31</v>
      </c>
      <c r="K4717" t="s">
        <v>32</v>
      </c>
      <c r="O4717">
        <v>0</v>
      </c>
      <c r="P4717">
        <v>0</v>
      </c>
      <c r="Q4717">
        <v>0</v>
      </c>
      <c r="R4717">
        <v>0</v>
      </c>
      <c r="W4717" t="s">
        <v>1108</v>
      </c>
      <c r="AA4717">
        <v>2007</v>
      </c>
      <c r="AB4717">
        <v>9999</v>
      </c>
      <c r="AC4717" t="s">
        <v>35</v>
      </c>
    </row>
    <row r="4718" spans="1:29" x14ac:dyDescent="0.25">
      <c r="A4718" s="31" t="s">
        <v>423</v>
      </c>
      <c r="B4718" s="25" t="s">
        <v>424</v>
      </c>
      <c r="D4718">
        <v>1</v>
      </c>
      <c r="E4718" t="s">
        <v>85</v>
      </c>
      <c r="F4718">
        <v>1</v>
      </c>
      <c r="G4718">
        <v>2009</v>
      </c>
      <c r="H4718" t="s">
        <v>303</v>
      </c>
      <c r="J4718" t="s">
        <v>121</v>
      </c>
      <c r="K4718" t="s">
        <v>53</v>
      </c>
      <c r="L4718" t="s">
        <v>425</v>
      </c>
      <c r="O4718">
        <v>0</v>
      </c>
      <c r="P4718">
        <v>0</v>
      </c>
      <c r="Q4718">
        <v>0</v>
      </c>
      <c r="R4718">
        <v>0</v>
      </c>
      <c r="W4718" t="s">
        <v>426</v>
      </c>
      <c r="AA4718">
        <v>2007</v>
      </c>
      <c r="AB4718">
        <v>9999</v>
      </c>
      <c r="AC4718" t="s">
        <v>35</v>
      </c>
    </row>
    <row r="4719" spans="1:29" x14ac:dyDescent="0.25">
      <c r="A4719" s="31" t="s">
        <v>427</v>
      </c>
      <c r="B4719" s="23" t="s">
        <v>1246</v>
      </c>
      <c r="D4719">
        <v>1</v>
      </c>
      <c r="E4719" t="s">
        <v>45</v>
      </c>
      <c r="F4719">
        <v>4</v>
      </c>
      <c r="G4719">
        <v>2009</v>
      </c>
      <c r="I4719">
        <v>2183.1</v>
      </c>
      <c r="J4719" t="s">
        <v>31</v>
      </c>
      <c r="K4719" t="s">
        <v>32</v>
      </c>
      <c r="O4719">
        <v>0</v>
      </c>
      <c r="P4719">
        <v>0</v>
      </c>
      <c r="Q4719">
        <v>0</v>
      </c>
      <c r="R4719">
        <v>0</v>
      </c>
      <c r="W4719" t="s">
        <v>1247</v>
      </c>
      <c r="AA4719">
        <v>2007</v>
      </c>
      <c r="AB4719">
        <v>9999</v>
      </c>
      <c r="AC4719" t="s">
        <v>35</v>
      </c>
    </row>
    <row r="4720" spans="1:29" x14ac:dyDescent="0.25">
      <c r="A4720" s="31" t="s">
        <v>430</v>
      </c>
      <c r="B4720" s="23" t="s">
        <v>431</v>
      </c>
      <c r="D4720">
        <v>1</v>
      </c>
      <c r="E4720" t="s">
        <v>45</v>
      </c>
      <c r="F4720">
        <v>9</v>
      </c>
      <c r="G4720">
        <v>2009</v>
      </c>
      <c r="I4720">
        <v>2789.7</v>
      </c>
      <c r="J4720" t="s">
        <v>104</v>
      </c>
      <c r="K4720" t="s">
        <v>53</v>
      </c>
      <c r="L4720" t="s">
        <v>105</v>
      </c>
      <c r="O4720">
        <v>0</v>
      </c>
      <c r="P4720">
        <v>1</v>
      </c>
      <c r="Q4720">
        <v>0</v>
      </c>
      <c r="R4720">
        <v>0</v>
      </c>
      <c r="W4720" t="s">
        <v>106</v>
      </c>
      <c r="AA4720">
        <v>2007</v>
      </c>
      <c r="AB4720">
        <v>9999</v>
      </c>
      <c r="AC4720" t="s">
        <v>35</v>
      </c>
    </row>
    <row r="4721" spans="1:29" ht="30" x14ac:dyDescent="0.25">
      <c r="A4721" s="31" t="s">
        <v>432</v>
      </c>
      <c r="B4721" s="23" t="s">
        <v>433</v>
      </c>
      <c r="D4721">
        <v>1</v>
      </c>
      <c r="E4721" t="s">
        <v>80</v>
      </c>
      <c r="F4721">
        <v>8</v>
      </c>
      <c r="G4721">
        <v>2009</v>
      </c>
      <c r="I4721">
        <v>58.4</v>
      </c>
      <c r="J4721" t="s">
        <v>81</v>
      </c>
      <c r="K4721" t="s">
        <v>47</v>
      </c>
      <c r="O4721">
        <v>0</v>
      </c>
      <c r="P4721">
        <v>0</v>
      </c>
      <c r="Q4721">
        <v>0</v>
      </c>
      <c r="R4721">
        <v>0</v>
      </c>
      <c r="W4721" t="s">
        <v>1111</v>
      </c>
      <c r="AA4721">
        <v>2007</v>
      </c>
      <c r="AB4721">
        <v>2017</v>
      </c>
      <c r="AC4721" t="s">
        <v>435</v>
      </c>
    </row>
    <row r="4722" spans="1:29" x14ac:dyDescent="0.25">
      <c r="A4722" s="31" t="s">
        <v>439</v>
      </c>
      <c r="B4722" s="23" t="s">
        <v>440</v>
      </c>
      <c r="C4722" t="s">
        <v>441</v>
      </c>
      <c r="D4722">
        <v>1</v>
      </c>
      <c r="E4722" t="s">
        <v>442</v>
      </c>
      <c r="F4722">
        <v>4</v>
      </c>
      <c r="G4722">
        <v>2009</v>
      </c>
      <c r="I4722">
        <v>485.1</v>
      </c>
      <c r="J4722" t="s">
        <v>151</v>
      </c>
      <c r="K4722" t="s">
        <v>47</v>
      </c>
      <c r="O4722">
        <v>0</v>
      </c>
      <c r="P4722">
        <v>0</v>
      </c>
      <c r="Q4722">
        <v>0</v>
      </c>
      <c r="R4722">
        <v>0</v>
      </c>
      <c r="W4722" t="s">
        <v>1113</v>
      </c>
      <c r="AA4722">
        <v>2007</v>
      </c>
      <c r="AB4722">
        <v>9999</v>
      </c>
      <c r="AC4722" t="s">
        <v>35</v>
      </c>
    </row>
    <row r="4723" spans="1:29" ht="30" x14ac:dyDescent="0.25">
      <c r="B4723" s="23" t="s">
        <v>444</v>
      </c>
      <c r="C4723" t="s">
        <v>445</v>
      </c>
      <c r="D4723">
        <v>5</v>
      </c>
      <c r="E4723" t="s">
        <v>38</v>
      </c>
      <c r="F4723">
        <v>4</v>
      </c>
      <c r="G4723">
        <v>2009</v>
      </c>
      <c r="I4723">
        <v>0.25</v>
      </c>
      <c r="J4723" t="s">
        <v>31</v>
      </c>
      <c r="K4723" t="s">
        <v>41</v>
      </c>
      <c r="O4723">
        <v>0</v>
      </c>
      <c r="P4723">
        <v>0</v>
      </c>
      <c r="Q4723">
        <v>0</v>
      </c>
      <c r="R4723">
        <v>0</v>
      </c>
      <c r="W4723" t="s">
        <v>1114</v>
      </c>
      <c r="AA4723">
        <v>2007</v>
      </c>
      <c r="AB4723">
        <v>9999</v>
      </c>
      <c r="AC4723" t="s">
        <v>35</v>
      </c>
    </row>
    <row r="4724" spans="1:29" x14ac:dyDescent="0.25">
      <c r="A4724" s="31" t="s">
        <v>447</v>
      </c>
      <c r="B4724" s="23" t="s">
        <v>448</v>
      </c>
      <c r="D4724">
        <v>1</v>
      </c>
      <c r="E4724" t="s">
        <v>45</v>
      </c>
      <c r="F4724">
        <v>4</v>
      </c>
      <c r="G4724">
        <v>2009</v>
      </c>
      <c r="I4724">
        <v>32.6</v>
      </c>
      <c r="J4724" t="s">
        <v>52</v>
      </c>
      <c r="K4724" t="s">
        <v>32</v>
      </c>
      <c r="O4724">
        <v>0</v>
      </c>
      <c r="P4724">
        <v>0</v>
      </c>
      <c r="Q4724">
        <v>0</v>
      </c>
      <c r="R4724">
        <v>0</v>
      </c>
      <c r="W4724" t="s">
        <v>1115</v>
      </c>
      <c r="AA4724">
        <v>2007</v>
      </c>
      <c r="AB4724">
        <v>9999</v>
      </c>
      <c r="AC4724" t="s">
        <v>35</v>
      </c>
    </row>
    <row r="4725" spans="1:29" x14ac:dyDescent="0.25">
      <c r="A4725" s="31" t="s">
        <v>453</v>
      </c>
      <c r="B4725" s="23" t="s">
        <v>454</v>
      </c>
      <c r="C4725" t="s">
        <v>455</v>
      </c>
      <c r="D4725">
        <v>1</v>
      </c>
      <c r="E4725" t="s">
        <v>456</v>
      </c>
      <c r="F4725">
        <v>4</v>
      </c>
      <c r="G4725">
        <v>2009</v>
      </c>
      <c r="I4725">
        <v>3504.5</v>
      </c>
      <c r="J4725" t="s">
        <v>89</v>
      </c>
      <c r="K4725" t="s">
        <v>32</v>
      </c>
      <c r="L4725" t="s">
        <v>33</v>
      </c>
      <c r="O4725">
        <v>0</v>
      </c>
      <c r="P4725">
        <v>0</v>
      </c>
      <c r="Q4725">
        <v>0</v>
      </c>
      <c r="R4725">
        <v>1</v>
      </c>
      <c r="W4725" t="s">
        <v>1117</v>
      </c>
      <c r="AA4725">
        <v>2007</v>
      </c>
      <c r="AB4725">
        <v>9999</v>
      </c>
      <c r="AC4725" t="s">
        <v>35</v>
      </c>
    </row>
    <row r="4726" spans="1:29" x14ac:dyDescent="0.25">
      <c r="A4726" s="31" t="s">
        <v>458</v>
      </c>
      <c r="B4726" s="23" t="s">
        <v>459</v>
      </c>
      <c r="D4726">
        <v>1</v>
      </c>
      <c r="E4726" t="s">
        <v>103</v>
      </c>
      <c r="F4726">
        <v>9</v>
      </c>
      <c r="G4726">
        <v>2009</v>
      </c>
      <c r="I4726">
        <v>1198.0999999999999</v>
      </c>
      <c r="J4726" t="s">
        <v>104</v>
      </c>
      <c r="K4726" t="s">
        <v>53</v>
      </c>
      <c r="L4726" t="s">
        <v>105</v>
      </c>
      <c r="O4726">
        <v>0</v>
      </c>
      <c r="P4726">
        <v>1</v>
      </c>
      <c r="Q4726">
        <v>0</v>
      </c>
      <c r="R4726">
        <v>0</v>
      </c>
      <c r="W4726" t="s">
        <v>106</v>
      </c>
      <c r="AA4726">
        <v>2007</v>
      </c>
      <c r="AB4726">
        <v>9999</v>
      </c>
      <c r="AC4726" t="s">
        <v>35</v>
      </c>
    </row>
    <row r="4727" spans="1:29" x14ac:dyDescent="0.25">
      <c r="A4727" s="31" t="s">
        <v>460</v>
      </c>
      <c r="B4727" s="23" t="s">
        <v>461</v>
      </c>
      <c r="D4727">
        <v>1</v>
      </c>
      <c r="E4727" t="s">
        <v>103</v>
      </c>
      <c r="F4727">
        <v>9</v>
      </c>
      <c r="G4727">
        <v>2009</v>
      </c>
      <c r="I4727">
        <v>5579.6</v>
      </c>
      <c r="J4727" t="s">
        <v>104</v>
      </c>
      <c r="K4727" t="s">
        <v>53</v>
      </c>
      <c r="L4727" t="s">
        <v>105</v>
      </c>
      <c r="O4727">
        <v>0</v>
      </c>
      <c r="P4727">
        <v>1</v>
      </c>
      <c r="Q4727">
        <v>0</v>
      </c>
      <c r="R4727">
        <v>0</v>
      </c>
      <c r="W4727" t="s">
        <v>106</v>
      </c>
      <c r="AA4727">
        <v>2007</v>
      </c>
      <c r="AB4727">
        <v>9999</v>
      </c>
      <c r="AC4727" t="s">
        <v>35</v>
      </c>
    </row>
    <row r="4728" spans="1:29" x14ac:dyDescent="0.25">
      <c r="A4728" s="31" t="s">
        <v>465</v>
      </c>
      <c r="B4728" s="23" t="s">
        <v>466</v>
      </c>
      <c r="C4728" t="s">
        <v>467</v>
      </c>
      <c r="D4728">
        <v>1</v>
      </c>
      <c r="E4728" t="s">
        <v>468</v>
      </c>
      <c r="F4728">
        <v>7</v>
      </c>
      <c r="G4728">
        <v>2009</v>
      </c>
      <c r="I4728">
        <v>510.9</v>
      </c>
      <c r="J4728" t="s">
        <v>40</v>
      </c>
      <c r="K4728" t="s">
        <v>32</v>
      </c>
      <c r="O4728">
        <v>0</v>
      </c>
      <c r="P4728">
        <v>0</v>
      </c>
      <c r="Q4728">
        <v>0</v>
      </c>
      <c r="R4728">
        <v>0</v>
      </c>
      <c r="W4728" t="s">
        <v>1119</v>
      </c>
      <c r="AA4728">
        <v>2007</v>
      </c>
      <c r="AB4728">
        <v>9999</v>
      </c>
      <c r="AC4728" t="s">
        <v>35</v>
      </c>
    </row>
    <row r="4729" spans="1:29" x14ac:dyDescent="0.25">
      <c r="A4729" s="31" t="s">
        <v>472</v>
      </c>
      <c r="B4729" s="23" t="s">
        <v>473</v>
      </c>
      <c r="D4729">
        <v>21</v>
      </c>
      <c r="E4729" t="s">
        <v>396</v>
      </c>
      <c r="F4729">
        <v>3</v>
      </c>
      <c r="G4729">
        <v>2009</v>
      </c>
      <c r="I4729" t="s">
        <v>474</v>
      </c>
      <c r="J4729" t="s">
        <v>121</v>
      </c>
      <c r="K4729" t="s">
        <v>32</v>
      </c>
      <c r="O4729">
        <v>0</v>
      </c>
      <c r="P4729">
        <v>0</v>
      </c>
      <c r="Q4729">
        <v>0</v>
      </c>
      <c r="R4729">
        <v>0</v>
      </c>
      <c r="W4729" t="s">
        <v>475</v>
      </c>
      <c r="AA4729">
        <v>2007</v>
      </c>
      <c r="AB4729">
        <v>9999</v>
      </c>
      <c r="AC4729" t="s">
        <v>35</v>
      </c>
    </row>
    <row r="4730" spans="1:29" x14ac:dyDescent="0.25">
      <c r="A4730" s="31" t="s">
        <v>153</v>
      </c>
      <c r="B4730" s="23" t="s">
        <v>476</v>
      </c>
      <c r="D4730">
        <v>23</v>
      </c>
      <c r="E4730" t="s">
        <v>155</v>
      </c>
      <c r="F4730">
        <v>3</v>
      </c>
      <c r="G4730">
        <v>2009</v>
      </c>
      <c r="I4730">
        <v>1308.435863446206</v>
      </c>
      <c r="J4730" t="s">
        <v>121</v>
      </c>
      <c r="K4730" t="s">
        <v>53</v>
      </c>
      <c r="L4730" t="s">
        <v>60</v>
      </c>
      <c r="O4730">
        <v>1</v>
      </c>
      <c r="P4730">
        <v>0</v>
      </c>
      <c r="Q4730">
        <v>0</v>
      </c>
      <c r="R4730">
        <v>0</v>
      </c>
      <c r="V4730">
        <v>1</v>
      </c>
      <c r="W4730" t="s">
        <v>477</v>
      </c>
      <c r="AA4730">
        <v>2007</v>
      </c>
      <c r="AB4730">
        <v>9999</v>
      </c>
      <c r="AC4730" t="s">
        <v>35</v>
      </c>
    </row>
    <row r="4731" spans="1:29" x14ac:dyDescent="0.25">
      <c r="A4731" s="31" t="s">
        <v>478</v>
      </c>
      <c r="B4731" s="23" t="s">
        <v>479</v>
      </c>
      <c r="D4731">
        <v>1</v>
      </c>
      <c r="E4731" t="s">
        <v>348</v>
      </c>
      <c r="F4731">
        <v>1</v>
      </c>
      <c r="G4731">
        <v>2009</v>
      </c>
      <c r="I4731">
        <v>134.30000000000001</v>
      </c>
      <c r="J4731" t="s">
        <v>52</v>
      </c>
      <c r="K4731" t="s">
        <v>47</v>
      </c>
      <c r="O4731">
        <v>0</v>
      </c>
      <c r="P4731">
        <v>0</v>
      </c>
      <c r="Q4731">
        <v>0</v>
      </c>
      <c r="R4731">
        <v>0</v>
      </c>
      <c r="W4731" t="s">
        <v>1120</v>
      </c>
      <c r="AA4731">
        <v>2007</v>
      </c>
      <c r="AB4731">
        <v>9999</v>
      </c>
      <c r="AC4731" t="s">
        <v>35</v>
      </c>
    </row>
    <row r="4732" spans="1:29" x14ac:dyDescent="0.25">
      <c r="A4732" s="31" t="s">
        <v>481</v>
      </c>
      <c r="B4732" s="23" t="s">
        <v>482</v>
      </c>
      <c r="D4732">
        <v>1</v>
      </c>
      <c r="E4732" t="s">
        <v>348</v>
      </c>
      <c r="F4732">
        <v>1</v>
      </c>
      <c r="G4732">
        <v>2009</v>
      </c>
      <c r="I4732">
        <v>229.2</v>
      </c>
      <c r="J4732" t="s">
        <v>52</v>
      </c>
      <c r="K4732" t="s">
        <v>47</v>
      </c>
      <c r="O4732">
        <v>0</v>
      </c>
      <c r="P4732">
        <v>0</v>
      </c>
      <c r="Q4732">
        <v>0</v>
      </c>
      <c r="R4732">
        <v>0</v>
      </c>
      <c r="W4732" t="s">
        <v>1120</v>
      </c>
      <c r="AA4732">
        <v>2007</v>
      </c>
      <c r="AB4732">
        <v>9999</v>
      </c>
      <c r="AC4732" t="s">
        <v>35</v>
      </c>
    </row>
    <row r="4733" spans="1:29" x14ac:dyDescent="0.25">
      <c r="A4733" s="31" t="s">
        <v>483</v>
      </c>
      <c r="B4733" s="23" t="s">
        <v>484</v>
      </c>
      <c r="D4733">
        <v>1</v>
      </c>
      <c r="E4733" t="s">
        <v>348</v>
      </c>
      <c r="F4733">
        <v>1</v>
      </c>
      <c r="G4733">
        <v>2009</v>
      </c>
      <c r="I4733">
        <v>129.9</v>
      </c>
      <c r="J4733" t="s">
        <v>52</v>
      </c>
      <c r="K4733" t="s">
        <v>47</v>
      </c>
      <c r="O4733">
        <v>0</v>
      </c>
      <c r="P4733">
        <v>0</v>
      </c>
      <c r="Q4733">
        <v>0</v>
      </c>
      <c r="R4733">
        <v>0</v>
      </c>
      <c r="W4733" t="s">
        <v>1120</v>
      </c>
      <c r="AA4733">
        <v>2007</v>
      </c>
      <c r="AB4733">
        <v>9999</v>
      </c>
      <c r="AC4733" t="s">
        <v>35</v>
      </c>
    </row>
    <row r="4734" spans="1:29" x14ac:dyDescent="0.25">
      <c r="A4734" s="31" t="s">
        <v>485</v>
      </c>
      <c r="B4734" s="23" t="s">
        <v>486</v>
      </c>
      <c r="D4734">
        <v>1</v>
      </c>
      <c r="E4734" t="s">
        <v>348</v>
      </c>
      <c r="F4734">
        <v>1</v>
      </c>
      <c r="G4734">
        <v>2009</v>
      </c>
      <c r="I4734">
        <v>216.3</v>
      </c>
      <c r="J4734" t="s">
        <v>52</v>
      </c>
      <c r="K4734" t="s">
        <v>47</v>
      </c>
      <c r="O4734">
        <v>0</v>
      </c>
      <c r="P4734">
        <v>0</v>
      </c>
      <c r="Q4734">
        <v>0</v>
      </c>
      <c r="R4734">
        <v>0</v>
      </c>
      <c r="W4734" t="s">
        <v>1120</v>
      </c>
      <c r="AA4734">
        <v>2007</v>
      </c>
      <c r="AB4734">
        <v>9999</v>
      </c>
      <c r="AC4734" t="s">
        <v>35</v>
      </c>
    </row>
    <row r="4735" spans="1:29" x14ac:dyDescent="0.25">
      <c r="A4735" s="31" t="s">
        <v>487</v>
      </c>
      <c r="B4735" s="23" t="s">
        <v>488</v>
      </c>
      <c r="D4735">
        <v>1</v>
      </c>
      <c r="E4735" t="s">
        <v>348</v>
      </c>
      <c r="F4735">
        <v>1</v>
      </c>
      <c r="G4735">
        <v>2009</v>
      </c>
      <c r="I4735">
        <v>155.80000000000001</v>
      </c>
      <c r="J4735" t="s">
        <v>52</v>
      </c>
      <c r="K4735" t="s">
        <v>47</v>
      </c>
      <c r="O4735">
        <v>0</v>
      </c>
      <c r="P4735">
        <v>0</v>
      </c>
      <c r="Q4735">
        <v>0</v>
      </c>
      <c r="R4735">
        <v>0</v>
      </c>
      <c r="W4735" t="s">
        <v>1120</v>
      </c>
      <c r="AA4735">
        <v>2007</v>
      </c>
      <c r="AB4735">
        <v>9999</v>
      </c>
      <c r="AC4735" t="s">
        <v>35</v>
      </c>
    </row>
    <row r="4736" spans="1:29" x14ac:dyDescent="0.25">
      <c r="A4736" s="31" t="s">
        <v>489</v>
      </c>
      <c r="B4736" s="23" t="s">
        <v>490</v>
      </c>
      <c r="D4736">
        <v>1</v>
      </c>
      <c r="E4736" t="s">
        <v>348</v>
      </c>
      <c r="F4736">
        <v>1</v>
      </c>
      <c r="G4736">
        <v>2009</v>
      </c>
      <c r="I4736">
        <v>226.8</v>
      </c>
      <c r="J4736" t="s">
        <v>52</v>
      </c>
      <c r="K4736" t="s">
        <v>47</v>
      </c>
      <c r="O4736">
        <v>0</v>
      </c>
      <c r="P4736">
        <v>0</v>
      </c>
      <c r="Q4736">
        <v>0</v>
      </c>
      <c r="R4736">
        <v>0</v>
      </c>
      <c r="W4736" t="s">
        <v>1120</v>
      </c>
      <c r="AA4736">
        <v>2007</v>
      </c>
      <c r="AB4736">
        <v>9999</v>
      </c>
      <c r="AC4736" t="s">
        <v>35</v>
      </c>
    </row>
    <row r="4737" spans="1:29" x14ac:dyDescent="0.25">
      <c r="A4737" s="31" t="s">
        <v>491</v>
      </c>
      <c r="B4737" s="23" t="s">
        <v>492</v>
      </c>
      <c r="D4737">
        <v>1</v>
      </c>
      <c r="E4737" t="s">
        <v>348</v>
      </c>
      <c r="F4737">
        <v>1</v>
      </c>
      <c r="G4737">
        <v>2009</v>
      </c>
      <c r="I4737">
        <v>231.9</v>
      </c>
      <c r="J4737" t="s">
        <v>52</v>
      </c>
      <c r="K4737" t="s">
        <v>47</v>
      </c>
      <c r="O4737">
        <v>0</v>
      </c>
      <c r="P4737">
        <v>0</v>
      </c>
      <c r="Q4737">
        <v>0</v>
      </c>
      <c r="R4737">
        <v>0</v>
      </c>
      <c r="W4737" t="s">
        <v>1120</v>
      </c>
      <c r="AA4737">
        <v>2007</v>
      </c>
      <c r="AB4737">
        <v>9999</v>
      </c>
      <c r="AC4737" t="s">
        <v>35</v>
      </c>
    </row>
    <row r="4738" spans="1:29" x14ac:dyDescent="0.25">
      <c r="A4738" s="31" t="s">
        <v>493</v>
      </c>
      <c r="B4738" s="23" t="s">
        <v>494</v>
      </c>
      <c r="D4738">
        <v>1</v>
      </c>
      <c r="E4738" t="s">
        <v>348</v>
      </c>
      <c r="F4738">
        <v>1</v>
      </c>
      <c r="G4738">
        <v>2009</v>
      </c>
      <c r="I4738">
        <v>192</v>
      </c>
      <c r="J4738" t="s">
        <v>52</v>
      </c>
      <c r="K4738" t="s">
        <v>47</v>
      </c>
      <c r="O4738">
        <v>0</v>
      </c>
      <c r="P4738">
        <v>0</v>
      </c>
      <c r="Q4738">
        <v>0</v>
      </c>
      <c r="R4738">
        <v>0</v>
      </c>
      <c r="W4738" t="s">
        <v>1120</v>
      </c>
      <c r="AA4738">
        <v>2007</v>
      </c>
      <c r="AB4738">
        <v>9999</v>
      </c>
      <c r="AC4738" t="s">
        <v>35</v>
      </c>
    </row>
    <row r="4739" spans="1:29" x14ac:dyDescent="0.25">
      <c r="A4739" s="31" t="s">
        <v>495</v>
      </c>
      <c r="B4739" s="23" t="s">
        <v>496</v>
      </c>
      <c r="D4739">
        <v>1</v>
      </c>
      <c r="E4739" t="s">
        <v>348</v>
      </c>
      <c r="F4739">
        <v>1</v>
      </c>
      <c r="G4739">
        <v>2009</v>
      </c>
      <c r="I4739">
        <v>147.19999999999999</v>
      </c>
      <c r="J4739" t="s">
        <v>52</v>
      </c>
      <c r="K4739" t="s">
        <v>47</v>
      </c>
      <c r="O4739">
        <v>0</v>
      </c>
      <c r="P4739">
        <v>0</v>
      </c>
      <c r="Q4739">
        <v>0</v>
      </c>
      <c r="R4739">
        <v>0</v>
      </c>
      <c r="W4739" t="s">
        <v>1120</v>
      </c>
      <c r="AA4739">
        <v>2007</v>
      </c>
      <c r="AB4739">
        <v>9999</v>
      </c>
      <c r="AC4739" t="s">
        <v>35</v>
      </c>
    </row>
    <row r="4740" spans="1:29" x14ac:dyDescent="0.25">
      <c r="A4740" s="31" t="s">
        <v>497</v>
      </c>
      <c r="B4740" s="23" t="s">
        <v>498</v>
      </c>
      <c r="D4740">
        <v>1</v>
      </c>
      <c r="E4740" t="s">
        <v>348</v>
      </c>
      <c r="F4740">
        <v>1</v>
      </c>
      <c r="G4740">
        <v>2009</v>
      </c>
      <c r="I4740">
        <v>252.8</v>
      </c>
      <c r="J4740" t="s">
        <v>52</v>
      </c>
      <c r="K4740" t="s">
        <v>47</v>
      </c>
      <c r="O4740">
        <v>0</v>
      </c>
      <c r="P4740">
        <v>0</v>
      </c>
      <c r="Q4740">
        <v>0</v>
      </c>
      <c r="R4740">
        <v>0</v>
      </c>
      <c r="W4740" t="s">
        <v>1120</v>
      </c>
      <c r="AA4740">
        <v>2007</v>
      </c>
      <c r="AB4740">
        <v>9999</v>
      </c>
      <c r="AC4740" t="s">
        <v>35</v>
      </c>
    </row>
    <row r="4741" spans="1:29" x14ac:dyDescent="0.25">
      <c r="A4741" s="31" t="s">
        <v>499</v>
      </c>
      <c r="B4741" s="23" t="s">
        <v>500</v>
      </c>
      <c r="D4741">
        <v>1</v>
      </c>
      <c r="E4741" t="s">
        <v>348</v>
      </c>
      <c r="F4741">
        <v>1</v>
      </c>
      <c r="G4741">
        <v>2009</v>
      </c>
      <c r="I4741">
        <v>454.8</v>
      </c>
      <c r="J4741" t="s">
        <v>52</v>
      </c>
      <c r="K4741" t="s">
        <v>47</v>
      </c>
      <c r="O4741">
        <v>0</v>
      </c>
      <c r="P4741">
        <v>0</v>
      </c>
      <c r="Q4741">
        <v>0</v>
      </c>
      <c r="R4741">
        <v>0</v>
      </c>
      <c r="W4741" t="s">
        <v>1120</v>
      </c>
      <c r="AA4741">
        <v>2007</v>
      </c>
      <c r="AB4741">
        <v>9999</v>
      </c>
      <c r="AC4741" t="s">
        <v>35</v>
      </c>
    </row>
    <row r="4742" spans="1:29" x14ac:dyDescent="0.25">
      <c r="A4742" s="31" t="s">
        <v>501</v>
      </c>
      <c r="B4742" s="23" t="s">
        <v>502</v>
      </c>
      <c r="D4742">
        <v>1</v>
      </c>
      <c r="E4742" t="s">
        <v>348</v>
      </c>
      <c r="F4742">
        <v>1</v>
      </c>
      <c r="G4742">
        <v>2009</v>
      </c>
      <c r="I4742">
        <v>472.8</v>
      </c>
      <c r="J4742" t="s">
        <v>52</v>
      </c>
      <c r="K4742" t="s">
        <v>47</v>
      </c>
      <c r="O4742">
        <v>0</v>
      </c>
      <c r="P4742">
        <v>0</v>
      </c>
      <c r="Q4742">
        <v>0</v>
      </c>
      <c r="R4742">
        <v>0</v>
      </c>
      <c r="W4742" t="s">
        <v>1120</v>
      </c>
      <c r="AA4742">
        <v>2007</v>
      </c>
      <c r="AB4742">
        <v>9999</v>
      </c>
      <c r="AC4742" t="s">
        <v>35</v>
      </c>
    </row>
    <row r="4743" spans="1:29" x14ac:dyDescent="0.25">
      <c r="A4743" s="31" t="s">
        <v>503</v>
      </c>
      <c r="B4743" s="23" t="s">
        <v>504</v>
      </c>
      <c r="D4743">
        <v>1</v>
      </c>
      <c r="E4743" t="s">
        <v>348</v>
      </c>
      <c r="F4743">
        <v>1</v>
      </c>
      <c r="G4743">
        <v>2009</v>
      </c>
      <c r="I4743">
        <v>182.7</v>
      </c>
      <c r="J4743" t="s">
        <v>52</v>
      </c>
      <c r="K4743" t="s">
        <v>47</v>
      </c>
      <c r="O4743">
        <v>0</v>
      </c>
      <c r="P4743">
        <v>0</v>
      </c>
      <c r="Q4743">
        <v>0</v>
      </c>
      <c r="R4743">
        <v>0</v>
      </c>
      <c r="W4743" t="s">
        <v>1120</v>
      </c>
      <c r="AA4743">
        <v>2007</v>
      </c>
      <c r="AB4743">
        <v>9999</v>
      </c>
      <c r="AC4743" t="s">
        <v>35</v>
      </c>
    </row>
    <row r="4744" spans="1:29" x14ac:dyDescent="0.25">
      <c r="A4744" s="31" t="s">
        <v>505</v>
      </c>
      <c r="B4744" s="23" t="s">
        <v>506</v>
      </c>
      <c r="D4744">
        <v>1</v>
      </c>
      <c r="E4744" t="s">
        <v>348</v>
      </c>
      <c r="F4744">
        <v>1</v>
      </c>
      <c r="G4744">
        <v>2009</v>
      </c>
      <c r="I4744">
        <v>188.6</v>
      </c>
      <c r="J4744" t="s">
        <v>52</v>
      </c>
      <c r="K4744" t="s">
        <v>47</v>
      </c>
      <c r="O4744">
        <v>0</v>
      </c>
      <c r="P4744">
        <v>0</v>
      </c>
      <c r="Q4744">
        <v>0</v>
      </c>
      <c r="R4744">
        <v>0</v>
      </c>
      <c r="W4744" t="s">
        <v>1120</v>
      </c>
      <c r="AA4744">
        <v>2007</v>
      </c>
      <c r="AB4744">
        <v>9999</v>
      </c>
      <c r="AC4744" t="s">
        <v>35</v>
      </c>
    </row>
    <row r="4745" spans="1:29" x14ac:dyDescent="0.25">
      <c r="A4745" s="31" t="s">
        <v>507</v>
      </c>
      <c r="B4745" s="23" t="s">
        <v>508</v>
      </c>
      <c r="D4745">
        <v>1</v>
      </c>
      <c r="E4745" t="s">
        <v>348</v>
      </c>
      <c r="F4745">
        <v>1</v>
      </c>
      <c r="G4745">
        <v>2009</v>
      </c>
      <c r="I4745">
        <v>205.5</v>
      </c>
      <c r="J4745" t="s">
        <v>52</v>
      </c>
      <c r="K4745" t="s">
        <v>47</v>
      </c>
      <c r="O4745">
        <v>0</v>
      </c>
      <c r="P4745">
        <v>0</v>
      </c>
      <c r="Q4745">
        <v>0</v>
      </c>
      <c r="R4745">
        <v>0</v>
      </c>
      <c r="W4745" t="s">
        <v>1120</v>
      </c>
      <c r="AA4745">
        <v>2007</v>
      </c>
      <c r="AB4745">
        <v>9999</v>
      </c>
      <c r="AC4745" t="s">
        <v>35</v>
      </c>
    </row>
    <row r="4746" spans="1:29" x14ac:dyDescent="0.25">
      <c r="A4746" s="31" t="s">
        <v>509</v>
      </c>
      <c r="B4746" s="23" t="s">
        <v>510</v>
      </c>
      <c r="D4746">
        <v>1</v>
      </c>
      <c r="E4746" t="s">
        <v>348</v>
      </c>
      <c r="F4746">
        <v>1</v>
      </c>
      <c r="G4746">
        <v>2009</v>
      </c>
      <c r="I4746">
        <v>229.5</v>
      </c>
      <c r="J4746" t="s">
        <v>52</v>
      </c>
      <c r="K4746" t="s">
        <v>47</v>
      </c>
      <c r="O4746">
        <v>0</v>
      </c>
      <c r="P4746">
        <v>0</v>
      </c>
      <c r="Q4746">
        <v>0</v>
      </c>
      <c r="R4746">
        <v>0</v>
      </c>
      <c r="W4746" t="s">
        <v>1120</v>
      </c>
      <c r="AA4746">
        <v>2007</v>
      </c>
      <c r="AB4746">
        <v>9999</v>
      </c>
      <c r="AC4746" t="s">
        <v>35</v>
      </c>
    </row>
    <row r="4747" spans="1:29" x14ac:dyDescent="0.25">
      <c r="A4747" s="31" t="s">
        <v>511</v>
      </c>
      <c r="B4747" s="23" t="s">
        <v>512</v>
      </c>
      <c r="D4747">
        <v>1</v>
      </c>
      <c r="E4747" t="s">
        <v>348</v>
      </c>
      <c r="F4747">
        <v>1</v>
      </c>
      <c r="G4747">
        <v>2009</v>
      </c>
      <c r="I4747">
        <v>241</v>
      </c>
      <c r="J4747" t="s">
        <v>52</v>
      </c>
      <c r="K4747" t="s">
        <v>47</v>
      </c>
      <c r="O4747">
        <v>0</v>
      </c>
      <c r="P4747">
        <v>0</v>
      </c>
      <c r="Q4747">
        <v>0</v>
      </c>
      <c r="R4747">
        <v>0</v>
      </c>
      <c r="W4747" t="s">
        <v>1120</v>
      </c>
      <c r="AA4747">
        <v>2007</v>
      </c>
      <c r="AB4747">
        <v>9999</v>
      </c>
      <c r="AC4747" t="s">
        <v>35</v>
      </c>
    </row>
    <row r="4748" spans="1:29" x14ac:dyDescent="0.25">
      <c r="A4748" s="31" t="s">
        <v>513</v>
      </c>
      <c r="B4748" s="23" t="s">
        <v>514</v>
      </c>
      <c r="D4748">
        <v>1</v>
      </c>
      <c r="E4748" t="s">
        <v>348</v>
      </c>
      <c r="F4748">
        <v>1</v>
      </c>
      <c r="G4748">
        <v>2009</v>
      </c>
      <c r="I4748">
        <v>177.5</v>
      </c>
      <c r="J4748" t="s">
        <v>52</v>
      </c>
      <c r="K4748" t="s">
        <v>47</v>
      </c>
      <c r="O4748">
        <v>0</v>
      </c>
      <c r="P4748">
        <v>0</v>
      </c>
      <c r="Q4748">
        <v>0</v>
      </c>
      <c r="R4748">
        <v>0</v>
      </c>
      <c r="W4748" t="s">
        <v>1120</v>
      </c>
      <c r="AA4748">
        <v>2007</v>
      </c>
      <c r="AB4748">
        <v>9999</v>
      </c>
      <c r="AC4748" t="s">
        <v>35</v>
      </c>
    </row>
    <row r="4749" spans="1:29" x14ac:dyDescent="0.25">
      <c r="A4749" s="31" t="s">
        <v>515</v>
      </c>
      <c r="B4749" s="23" t="s">
        <v>516</v>
      </c>
      <c r="D4749">
        <v>1</v>
      </c>
      <c r="E4749" t="s">
        <v>348</v>
      </c>
      <c r="F4749">
        <v>1</v>
      </c>
      <c r="G4749">
        <v>2009</v>
      </c>
      <c r="I4749">
        <v>773.9</v>
      </c>
      <c r="J4749" t="s">
        <v>52</v>
      </c>
      <c r="K4749" t="s">
        <v>47</v>
      </c>
      <c r="O4749">
        <v>0</v>
      </c>
      <c r="P4749">
        <v>0</v>
      </c>
      <c r="Q4749">
        <v>0</v>
      </c>
      <c r="R4749">
        <v>0</v>
      </c>
      <c r="W4749" t="s">
        <v>1120</v>
      </c>
      <c r="AA4749">
        <v>2007</v>
      </c>
      <c r="AB4749">
        <v>9999</v>
      </c>
      <c r="AC4749" t="s">
        <v>35</v>
      </c>
    </row>
    <row r="4750" spans="1:29" x14ac:dyDescent="0.25">
      <c r="A4750" s="31" t="s">
        <v>517</v>
      </c>
      <c r="B4750" s="23" t="s">
        <v>518</v>
      </c>
      <c r="D4750">
        <v>1</v>
      </c>
      <c r="E4750" t="s">
        <v>348</v>
      </c>
      <c r="F4750">
        <v>1</v>
      </c>
      <c r="G4750">
        <v>2009</v>
      </c>
      <c r="I4750">
        <v>192.4</v>
      </c>
      <c r="J4750" t="s">
        <v>52</v>
      </c>
      <c r="K4750" t="s">
        <v>47</v>
      </c>
      <c r="O4750">
        <v>0</v>
      </c>
      <c r="P4750">
        <v>0</v>
      </c>
      <c r="Q4750">
        <v>0</v>
      </c>
      <c r="R4750">
        <v>0</v>
      </c>
      <c r="W4750" t="s">
        <v>1120</v>
      </c>
      <c r="AA4750">
        <v>2007</v>
      </c>
      <c r="AB4750">
        <v>9999</v>
      </c>
      <c r="AC4750" t="s">
        <v>35</v>
      </c>
    </row>
    <row r="4751" spans="1:29" x14ac:dyDescent="0.25">
      <c r="A4751" s="31" t="s">
        <v>519</v>
      </c>
      <c r="B4751" s="23" t="s">
        <v>520</v>
      </c>
      <c r="D4751">
        <v>1</v>
      </c>
      <c r="E4751" t="s">
        <v>348</v>
      </c>
      <c r="F4751">
        <v>1</v>
      </c>
      <c r="G4751">
        <v>2009</v>
      </c>
      <c r="I4751">
        <v>243.9</v>
      </c>
      <c r="J4751" t="s">
        <v>52</v>
      </c>
      <c r="K4751" t="s">
        <v>47</v>
      </c>
      <c r="O4751">
        <v>0</v>
      </c>
      <c r="P4751">
        <v>0</v>
      </c>
      <c r="Q4751">
        <v>0</v>
      </c>
      <c r="R4751">
        <v>0</v>
      </c>
      <c r="W4751" t="s">
        <v>1120</v>
      </c>
      <c r="AA4751">
        <v>2007</v>
      </c>
      <c r="AB4751">
        <v>9999</v>
      </c>
      <c r="AC4751" t="s">
        <v>35</v>
      </c>
    </row>
    <row r="4752" spans="1:29" x14ac:dyDescent="0.25">
      <c r="A4752" s="31" t="s">
        <v>523</v>
      </c>
      <c r="B4752" s="23" t="s">
        <v>524</v>
      </c>
      <c r="D4752">
        <v>1</v>
      </c>
      <c r="E4752" t="s">
        <v>103</v>
      </c>
      <c r="F4752">
        <v>9</v>
      </c>
      <c r="G4752">
        <v>2009</v>
      </c>
      <c r="I4752">
        <v>1176.0999999999999</v>
      </c>
      <c r="J4752" t="s">
        <v>104</v>
      </c>
      <c r="K4752" t="s">
        <v>53</v>
      </c>
      <c r="L4752" t="s">
        <v>105</v>
      </c>
      <c r="O4752">
        <v>0</v>
      </c>
      <c r="P4752">
        <v>1</v>
      </c>
      <c r="Q4752">
        <v>0</v>
      </c>
      <c r="R4752">
        <v>0</v>
      </c>
      <c r="W4752" t="s">
        <v>106</v>
      </c>
      <c r="AA4752">
        <v>2007</v>
      </c>
      <c r="AB4752">
        <v>9999</v>
      </c>
      <c r="AC4752" t="s">
        <v>35</v>
      </c>
    </row>
    <row r="4753" spans="1:29" x14ac:dyDescent="0.25">
      <c r="A4753" s="31" t="s">
        <v>525</v>
      </c>
      <c r="B4753" s="23" t="s">
        <v>526</v>
      </c>
      <c r="D4753">
        <v>1</v>
      </c>
      <c r="E4753" t="s">
        <v>45</v>
      </c>
      <c r="F4753">
        <v>4</v>
      </c>
      <c r="G4753">
        <v>2009</v>
      </c>
      <c r="I4753">
        <v>6.8</v>
      </c>
      <c r="J4753" t="s">
        <v>46</v>
      </c>
      <c r="K4753" t="s">
        <v>53</v>
      </c>
      <c r="L4753" t="s">
        <v>60</v>
      </c>
      <c r="O4753">
        <v>1</v>
      </c>
      <c r="P4753">
        <v>0</v>
      </c>
      <c r="Q4753">
        <v>0</v>
      </c>
      <c r="R4753">
        <v>0</v>
      </c>
      <c r="W4753" t="s">
        <v>527</v>
      </c>
      <c r="AA4753">
        <v>2007</v>
      </c>
      <c r="AB4753">
        <v>2016</v>
      </c>
      <c r="AC4753" t="s">
        <v>528</v>
      </c>
    </row>
    <row r="4754" spans="1:29" x14ac:dyDescent="0.25">
      <c r="A4754" s="31" t="s">
        <v>529</v>
      </c>
      <c r="B4754" s="23" t="s">
        <v>530</v>
      </c>
      <c r="D4754">
        <v>1</v>
      </c>
      <c r="E4754" t="s">
        <v>58</v>
      </c>
      <c r="F4754">
        <v>4</v>
      </c>
      <c r="G4754">
        <v>2009</v>
      </c>
      <c r="I4754">
        <v>9</v>
      </c>
      <c r="J4754" t="s">
        <v>59</v>
      </c>
      <c r="K4754" t="s">
        <v>47</v>
      </c>
      <c r="O4754">
        <v>0</v>
      </c>
      <c r="P4754">
        <v>0</v>
      </c>
      <c r="Q4754">
        <v>0</v>
      </c>
      <c r="R4754">
        <v>0</v>
      </c>
      <c r="W4754" t="s">
        <v>1121</v>
      </c>
      <c r="AA4754">
        <v>2007</v>
      </c>
      <c r="AB4754">
        <v>9999</v>
      </c>
      <c r="AC4754" t="s">
        <v>35</v>
      </c>
    </row>
    <row r="4755" spans="1:29" x14ac:dyDescent="0.25">
      <c r="A4755" s="31" t="s">
        <v>532</v>
      </c>
      <c r="B4755" s="23" t="s">
        <v>533</v>
      </c>
      <c r="D4755">
        <v>1</v>
      </c>
      <c r="E4755" t="s">
        <v>534</v>
      </c>
      <c r="F4755">
        <v>10</v>
      </c>
      <c r="G4755">
        <v>2009</v>
      </c>
      <c r="I4755">
        <v>2840.7</v>
      </c>
      <c r="J4755" t="s">
        <v>121</v>
      </c>
      <c r="K4755" t="s">
        <v>47</v>
      </c>
      <c r="O4755">
        <v>0</v>
      </c>
      <c r="P4755">
        <v>0</v>
      </c>
      <c r="Q4755">
        <v>0</v>
      </c>
      <c r="R4755">
        <v>0</v>
      </c>
      <c r="W4755" t="s">
        <v>1122</v>
      </c>
      <c r="AA4755">
        <v>2007</v>
      </c>
      <c r="AB4755">
        <v>9999</v>
      </c>
      <c r="AC4755" t="s">
        <v>35</v>
      </c>
    </row>
    <row r="4756" spans="1:29" x14ac:dyDescent="0.25">
      <c r="A4756" s="31" t="s">
        <v>536</v>
      </c>
      <c r="B4756" s="23" t="s">
        <v>537</v>
      </c>
      <c r="D4756">
        <v>1</v>
      </c>
      <c r="E4756" t="s">
        <v>534</v>
      </c>
      <c r="F4756">
        <v>9</v>
      </c>
      <c r="G4756">
        <v>2009</v>
      </c>
      <c r="I4756">
        <v>781.9</v>
      </c>
      <c r="J4756" t="s">
        <v>104</v>
      </c>
      <c r="K4756" t="s">
        <v>53</v>
      </c>
      <c r="L4756" t="s">
        <v>105</v>
      </c>
      <c r="O4756">
        <v>0</v>
      </c>
      <c r="P4756">
        <v>1</v>
      </c>
      <c r="Q4756">
        <v>0</v>
      </c>
      <c r="R4756">
        <v>0</v>
      </c>
      <c r="W4756" t="s">
        <v>106</v>
      </c>
      <c r="AA4756">
        <v>2007</v>
      </c>
      <c r="AB4756">
        <v>9999</v>
      </c>
      <c r="AC4756" t="s">
        <v>35</v>
      </c>
    </row>
    <row r="4757" spans="1:29" x14ac:dyDescent="0.25">
      <c r="A4757" s="31" t="s">
        <v>538</v>
      </c>
      <c r="B4757" s="23" t="s">
        <v>539</v>
      </c>
      <c r="D4757">
        <v>1</v>
      </c>
      <c r="E4757" t="s">
        <v>80</v>
      </c>
      <c r="F4757">
        <v>8</v>
      </c>
      <c r="G4757">
        <v>2009</v>
      </c>
      <c r="I4757">
        <v>103.5</v>
      </c>
      <c r="J4757" t="s">
        <v>81</v>
      </c>
      <c r="K4757" t="s">
        <v>47</v>
      </c>
      <c r="O4757">
        <v>0</v>
      </c>
      <c r="P4757">
        <v>0</v>
      </c>
      <c r="Q4757">
        <v>0</v>
      </c>
      <c r="R4757">
        <v>0</v>
      </c>
      <c r="W4757" t="s">
        <v>1123</v>
      </c>
      <c r="AA4757">
        <v>2007</v>
      </c>
      <c r="AB4757">
        <v>9999</v>
      </c>
      <c r="AC4757" t="s">
        <v>35</v>
      </c>
    </row>
    <row r="4758" spans="1:29" x14ac:dyDescent="0.25">
      <c r="A4758" s="31" t="s">
        <v>541</v>
      </c>
      <c r="B4758" s="23" t="s">
        <v>542</v>
      </c>
      <c r="D4758">
        <v>1</v>
      </c>
      <c r="E4758" t="s">
        <v>543</v>
      </c>
      <c r="F4758">
        <v>10</v>
      </c>
      <c r="G4758">
        <v>2009</v>
      </c>
      <c r="I4758">
        <v>20.3</v>
      </c>
      <c r="J4758" t="s">
        <v>40</v>
      </c>
      <c r="K4758" t="s">
        <v>47</v>
      </c>
      <c r="O4758">
        <v>0</v>
      </c>
      <c r="P4758">
        <v>0</v>
      </c>
      <c r="Q4758">
        <v>0</v>
      </c>
      <c r="R4758">
        <v>0</v>
      </c>
      <c r="W4758" t="s">
        <v>1124</v>
      </c>
      <c r="AA4758">
        <v>2007</v>
      </c>
      <c r="AB4758">
        <v>9999</v>
      </c>
      <c r="AC4758" t="s">
        <v>35</v>
      </c>
    </row>
    <row r="4759" spans="1:29" x14ac:dyDescent="0.25">
      <c r="A4759" s="31" t="s">
        <v>545</v>
      </c>
      <c r="B4759" s="23" t="s">
        <v>546</v>
      </c>
      <c r="D4759">
        <v>1</v>
      </c>
      <c r="E4759" t="s">
        <v>543</v>
      </c>
      <c r="F4759">
        <v>10</v>
      </c>
      <c r="G4759">
        <v>2009</v>
      </c>
      <c r="I4759">
        <v>10</v>
      </c>
      <c r="J4759" t="s">
        <v>40</v>
      </c>
      <c r="K4759" t="s">
        <v>47</v>
      </c>
      <c r="O4759">
        <v>0</v>
      </c>
      <c r="P4759">
        <v>0</v>
      </c>
      <c r="Q4759">
        <v>0</v>
      </c>
      <c r="R4759">
        <v>0</v>
      </c>
      <c r="W4759" t="s">
        <v>1125</v>
      </c>
      <c r="AA4759">
        <v>2007</v>
      </c>
      <c r="AB4759">
        <v>9999</v>
      </c>
      <c r="AC4759" t="s">
        <v>35</v>
      </c>
    </row>
    <row r="4760" spans="1:29" x14ac:dyDescent="0.25">
      <c r="A4760" s="31" t="s">
        <v>545</v>
      </c>
      <c r="B4760" s="23" t="s">
        <v>548</v>
      </c>
      <c r="D4760">
        <v>1</v>
      </c>
      <c r="E4760" t="s">
        <v>128</v>
      </c>
      <c r="F4760">
        <v>9</v>
      </c>
      <c r="G4760">
        <v>2009</v>
      </c>
      <c r="I4760">
        <v>24.2</v>
      </c>
      <c r="J4760" t="s">
        <v>104</v>
      </c>
      <c r="K4760" t="s">
        <v>76</v>
      </c>
      <c r="O4760">
        <v>0</v>
      </c>
      <c r="P4760">
        <v>0</v>
      </c>
      <c r="Q4760">
        <v>0</v>
      </c>
      <c r="R4760">
        <v>0</v>
      </c>
      <c r="W4760" t="s">
        <v>549</v>
      </c>
      <c r="AA4760">
        <v>2007</v>
      </c>
      <c r="AB4760">
        <v>9999</v>
      </c>
      <c r="AC4760" t="s">
        <v>35</v>
      </c>
    </row>
    <row r="4761" spans="1:29" x14ac:dyDescent="0.25">
      <c r="A4761" s="31" t="s">
        <v>1248</v>
      </c>
      <c r="B4761" s="23" t="s">
        <v>1249</v>
      </c>
      <c r="C4761" t="s">
        <v>1250</v>
      </c>
      <c r="D4761">
        <v>1</v>
      </c>
      <c r="E4761" t="s">
        <v>1251</v>
      </c>
      <c r="F4761">
        <v>2</v>
      </c>
      <c r="G4761">
        <v>2009</v>
      </c>
      <c r="I4761">
        <v>853.3</v>
      </c>
      <c r="J4761" t="s">
        <v>147</v>
      </c>
      <c r="K4761" t="s">
        <v>47</v>
      </c>
      <c r="O4761">
        <v>0</v>
      </c>
      <c r="P4761">
        <v>0</v>
      </c>
      <c r="Q4761">
        <v>0</v>
      </c>
      <c r="R4761">
        <v>0</v>
      </c>
      <c r="W4761" t="s">
        <v>1252</v>
      </c>
      <c r="AA4761">
        <v>2009</v>
      </c>
      <c r="AB4761">
        <v>9999</v>
      </c>
      <c r="AC4761" t="s">
        <v>1239</v>
      </c>
    </row>
    <row r="4762" spans="1:29" x14ac:dyDescent="0.25">
      <c r="A4762" s="31" t="s">
        <v>556</v>
      </c>
      <c r="B4762" s="23" t="s">
        <v>557</v>
      </c>
      <c r="D4762">
        <v>1</v>
      </c>
      <c r="E4762" t="s">
        <v>45</v>
      </c>
      <c r="F4762">
        <v>4</v>
      </c>
      <c r="G4762">
        <v>2009</v>
      </c>
      <c r="I4762">
        <v>34.200000000000003</v>
      </c>
      <c r="J4762" t="s">
        <v>176</v>
      </c>
      <c r="K4762" t="s">
        <v>47</v>
      </c>
      <c r="O4762">
        <v>0</v>
      </c>
      <c r="P4762">
        <v>0</v>
      </c>
      <c r="Q4762">
        <v>0</v>
      </c>
      <c r="R4762">
        <v>0</v>
      </c>
      <c r="W4762" t="s">
        <v>1127</v>
      </c>
      <c r="AA4762">
        <v>2007</v>
      </c>
      <c r="AB4762">
        <v>2012</v>
      </c>
      <c r="AC4762" t="s">
        <v>302</v>
      </c>
    </row>
    <row r="4763" spans="1:29" x14ac:dyDescent="0.25">
      <c r="A4763" s="31" t="s">
        <v>559</v>
      </c>
      <c r="B4763" s="23" t="s">
        <v>560</v>
      </c>
      <c r="C4763" t="s">
        <v>561</v>
      </c>
      <c r="D4763">
        <v>1</v>
      </c>
      <c r="E4763" t="s">
        <v>103</v>
      </c>
      <c r="F4763">
        <v>9</v>
      </c>
      <c r="G4763">
        <v>2009</v>
      </c>
      <c r="I4763">
        <v>789.3</v>
      </c>
      <c r="J4763" t="s">
        <v>104</v>
      </c>
      <c r="K4763" t="s">
        <v>53</v>
      </c>
      <c r="L4763" t="s">
        <v>105</v>
      </c>
      <c r="O4763">
        <v>0</v>
      </c>
      <c r="P4763">
        <v>1</v>
      </c>
      <c r="Q4763">
        <v>0</v>
      </c>
      <c r="R4763">
        <v>0</v>
      </c>
      <c r="W4763" t="s">
        <v>106</v>
      </c>
      <c r="AA4763">
        <v>2007</v>
      </c>
      <c r="AB4763">
        <v>9999</v>
      </c>
      <c r="AC4763" t="s">
        <v>35</v>
      </c>
    </row>
    <row r="4764" spans="1:29" ht="30" x14ac:dyDescent="0.25">
      <c r="A4764" s="31" t="s">
        <v>562</v>
      </c>
      <c r="B4764" s="23" t="s">
        <v>563</v>
      </c>
      <c r="D4764">
        <v>1</v>
      </c>
      <c r="E4764" t="s">
        <v>80</v>
      </c>
      <c r="F4764">
        <v>8</v>
      </c>
      <c r="G4764">
        <v>2009</v>
      </c>
      <c r="I4764">
        <v>152.6</v>
      </c>
      <c r="J4764" t="s">
        <v>81</v>
      </c>
      <c r="K4764" t="s">
        <v>47</v>
      </c>
      <c r="O4764">
        <v>0</v>
      </c>
      <c r="P4764">
        <v>0</v>
      </c>
      <c r="Q4764">
        <v>0</v>
      </c>
      <c r="R4764">
        <v>0</v>
      </c>
      <c r="W4764" t="s">
        <v>1128</v>
      </c>
      <c r="AA4764">
        <v>2007</v>
      </c>
      <c r="AB4764">
        <v>9999</v>
      </c>
      <c r="AC4764" t="s">
        <v>35</v>
      </c>
    </row>
    <row r="4765" spans="1:29" x14ac:dyDescent="0.25">
      <c r="A4765" s="31" t="s">
        <v>568</v>
      </c>
      <c r="B4765" s="23" t="s">
        <v>569</v>
      </c>
      <c r="D4765">
        <v>1</v>
      </c>
      <c r="E4765" t="s">
        <v>80</v>
      </c>
      <c r="F4765">
        <v>8</v>
      </c>
      <c r="G4765">
        <v>2009</v>
      </c>
      <c r="I4765">
        <v>255</v>
      </c>
      <c r="J4765" t="s">
        <v>81</v>
      </c>
      <c r="K4765" t="s">
        <v>47</v>
      </c>
      <c r="O4765">
        <v>0</v>
      </c>
      <c r="P4765">
        <v>0</v>
      </c>
      <c r="Q4765">
        <v>0</v>
      </c>
      <c r="R4765">
        <v>0</v>
      </c>
      <c r="W4765" t="s">
        <v>1129</v>
      </c>
      <c r="AA4765">
        <v>2007</v>
      </c>
      <c r="AB4765">
        <v>9999</v>
      </c>
      <c r="AC4765" t="s">
        <v>35</v>
      </c>
    </row>
    <row r="4766" spans="1:29" x14ac:dyDescent="0.25">
      <c r="A4766" s="31" t="s">
        <v>571</v>
      </c>
      <c r="B4766" s="23" t="s">
        <v>572</v>
      </c>
      <c r="D4766">
        <v>1</v>
      </c>
      <c r="E4766" t="s">
        <v>370</v>
      </c>
      <c r="F4766">
        <v>5</v>
      </c>
      <c r="G4766">
        <v>2009</v>
      </c>
      <c r="I4766">
        <v>455.7</v>
      </c>
      <c r="J4766" t="s">
        <v>31</v>
      </c>
      <c r="K4766" t="s">
        <v>47</v>
      </c>
      <c r="O4766">
        <v>0</v>
      </c>
      <c r="P4766">
        <v>0</v>
      </c>
      <c r="Q4766">
        <v>0</v>
      </c>
      <c r="R4766">
        <v>0</v>
      </c>
      <c r="W4766" t="s">
        <v>1130</v>
      </c>
      <c r="AA4766">
        <v>2007</v>
      </c>
      <c r="AB4766">
        <v>9999</v>
      </c>
      <c r="AC4766" t="s">
        <v>35</v>
      </c>
    </row>
    <row r="4767" spans="1:29" x14ac:dyDescent="0.25">
      <c r="A4767" s="31" t="s">
        <v>574</v>
      </c>
      <c r="B4767" s="23" t="s">
        <v>575</v>
      </c>
      <c r="D4767">
        <v>1</v>
      </c>
      <c r="E4767" t="s">
        <v>222</v>
      </c>
      <c r="F4767">
        <v>1</v>
      </c>
      <c r="G4767">
        <v>2009</v>
      </c>
      <c r="I4767">
        <v>42</v>
      </c>
      <c r="J4767" t="s">
        <v>176</v>
      </c>
      <c r="K4767" t="s">
        <v>47</v>
      </c>
      <c r="O4767">
        <v>0</v>
      </c>
      <c r="P4767">
        <v>0</v>
      </c>
      <c r="Q4767">
        <v>0</v>
      </c>
      <c r="R4767">
        <v>0</v>
      </c>
      <c r="W4767" t="s">
        <v>1131</v>
      </c>
      <c r="AA4767">
        <v>2007</v>
      </c>
      <c r="AB4767">
        <v>9999</v>
      </c>
      <c r="AC4767" t="s">
        <v>35</v>
      </c>
    </row>
    <row r="4768" spans="1:29" x14ac:dyDescent="0.25">
      <c r="A4768" s="31" t="s">
        <v>577</v>
      </c>
      <c r="B4768" s="25" t="s">
        <v>578</v>
      </c>
      <c r="D4768">
        <v>1</v>
      </c>
      <c r="E4768" t="s">
        <v>396</v>
      </c>
      <c r="F4768">
        <v>3</v>
      </c>
      <c r="G4768">
        <v>2009</v>
      </c>
      <c r="H4768" t="s">
        <v>579</v>
      </c>
      <c r="J4768" t="s">
        <v>121</v>
      </c>
      <c r="K4768" t="s">
        <v>41</v>
      </c>
      <c r="O4768">
        <v>0</v>
      </c>
      <c r="P4768">
        <v>0</v>
      </c>
      <c r="Q4768">
        <v>0</v>
      </c>
      <c r="R4768">
        <v>0</v>
      </c>
      <c r="W4768" t="s">
        <v>1132</v>
      </c>
      <c r="AA4768">
        <v>2007</v>
      </c>
      <c r="AB4768">
        <v>9999</v>
      </c>
      <c r="AC4768" t="s">
        <v>35</v>
      </c>
    </row>
    <row r="4769" spans="1:29" x14ac:dyDescent="0.25">
      <c r="A4769" s="31" t="s">
        <v>581</v>
      </c>
      <c r="B4769" s="23" t="s">
        <v>582</v>
      </c>
      <c r="D4769">
        <v>1</v>
      </c>
      <c r="E4769" t="s">
        <v>80</v>
      </c>
      <c r="F4769">
        <v>8</v>
      </c>
      <c r="G4769">
        <v>2009</v>
      </c>
      <c r="H4769" t="s">
        <v>583</v>
      </c>
      <c r="J4769" t="s">
        <v>81</v>
      </c>
      <c r="K4769" t="s">
        <v>41</v>
      </c>
      <c r="O4769">
        <v>0</v>
      </c>
      <c r="P4769">
        <v>0</v>
      </c>
      <c r="Q4769">
        <v>0</v>
      </c>
      <c r="R4769">
        <v>0</v>
      </c>
      <c r="W4769" t="s">
        <v>1133</v>
      </c>
      <c r="AA4769">
        <v>2007</v>
      </c>
      <c r="AB4769">
        <v>9999</v>
      </c>
      <c r="AC4769" t="s">
        <v>35</v>
      </c>
    </row>
    <row r="4770" spans="1:29" x14ac:dyDescent="0.25">
      <c r="A4770" s="31" t="s">
        <v>590</v>
      </c>
      <c r="B4770" s="23" t="s">
        <v>591</v>
      </c>
      <c r="D4770">
        <v>1</v>
      </c>
      <c r="E4770" t="s">
        <v>592</v>
      </c>
      <c r="F4770">
        <v>8</v>
      </c>
      <c r="G4770">
        <v>2009</v>
      </c>
      <c r="I4770">
        <v>3.7</v>
      </c>
      <c r="J4770" t="s">
        <v>81</v>
      </c>
      <c r="K4770" t="s">
        <v>41</v>
      </c>
      <c r="O4770">
        <v>0</v>
      </c>
      <c r="P4770">
        <v>0</v>
      </c>
      <c r="Q4770">
        <v>0</v>
      </c>
      <c r="R4770">
        <v>0</v>
      </c>
      <c r="W4770" t="s">
        <v>1134</v>
      </c>
      <c r="AA4770">
        <v>2007</v>
      </c>
      <c r="AB4770">
        <v>9999</v>
      </c>
      <c r="AC4770" t="s">
        <v>35</v>
      </c>
    </row>
    <row r="4771" spans="1:29" x14ac:dyDescent="0.25">
      <c r="A4771" s="31" t="s">
        <v>594</v>
      </c>
      <c r="B4771" s="25" t="s">
        <v>595</v>
      </c>
      <c r="D4771">
        <v>1</v>
      </c>
      <c r="E4771" t="s">
        <v>38</v>
      </c>
      <c r="F4771">
        <v>4</v>
      </c>
      <c r="G4771">
        <v>2009</v>
      </c>
      <c r="H4771" t="s">
        <v>596</v>
      </c>
      <c r="J4771" t="s">
        <v>59</v>
      </c>
      <c r="K4771" t="s">
        <v>41</v>
      </c>
      <c r="O4771">
        <v>0</v>
      </c>
      <c r="P4771">
        <v>0</v>
      </c>
      <c r="Q4771">
        <v>0</v>
      </c>
      <c r="R4771">
        <v>0</v>
      </c>
      <c r="W4771" t="s">
        <v>1135</v>
      </c>
      <c r="AA4771">
        <v>2007</v>
      </c>
      <c r="AB4771">
        <v>9999</v>
      </c>
      <c r="AC4771" t="s">
        <v>35</v>
      </c>
    </row>
    <row r="4772" spans="1:29" x14ac:dyDescent="0.25">
      <c r="A4772" s="31" t="s">
        <v>1253</v>
      </c>
      <c r="B4772" s="23" t="s">
        <v>598</v>
      </c>
      <c r="D4772">
        <v>1</v>
      </c>
      <c r="E4772" t="s">
        <v>38</v>
      </c>
      <c r="F4772">
        <v>4</v>
      </c>
      <c r="G4772">
        <v>2009</v>
      </c>
      <c r="H4772" t="s">
        <v>39</v>
      </c>
      <c r="J4772" t="s">
        <v>46</v>
      </c>
      <c r="K4772" t="s">
        <v>41</v>
      </c>
      <c r="O4772">
        <v>0</v>
      </c>
      <c r="P4772">
        <v>0</v>
      </c>
      <c r="Q4772">
        <v>0</v>
      </c>
      <c r="R4772">
        <v>0</v>
      </c>
      <c r="W4772" t="s">
        <v>1254</v>
      </c>
      <c r="AA4772">
        <v>2009</v>
      </c>
      <c r="AB4772">
        <v>9999</v>
      </c>
      <c r="AC4772" t="s">
        <v>1239</v>
      </c>
    </row>
    <row r="4773" spans="1:29" x14ac:dyDescent="0.25">
      <c r="A4773" s="31" t="s">
        <v>601</v>
      </c>
      <c r="B4773" s="25" t="s">
        <v>602</v>
      </c>
      <c r="D4773">
        <v>1</v>
      </c>
      <c r="E4773" t="s">
        <v>145</v>
      </c>
      <c r="F4773">
        <v>2</v>
      </c>
      <c r="G4773">
        <v>2009</v>
      </c>
      <c r="H4773" t="s">
        <v>596</v>
      </c>
      <c r="J4773" s="2" t="s">
        <v>89</v>
      </c>
      <c r="K4773" t="s">
        <v>41</v>
      </c>
      <c r="O4773">
        <v>0</v>
      </c>
      <c r="P4773">
        <v>0</v>
      </c>
      <c r="Q4773">
        <v>0</v>
      </c>
      <c r="R4773">
        <v>0</v>
      </c>
      <c r="W4773" t="s">
        <v>1137</v>
      </c>
      <c r="AA4773">
        <v>2007</v>
      </c>
      <c r="AB4773">
        <v>9999</v>
      </c>
      <c r="AC4773" t="s">
        <v>35</v>
      </c>
    </row>
    <row r="4774" spans="1:29" x14ac:dyDescent="0.25">
      <c r="A4774" s="31" t="s">
        <v>611</v>
      </c>
      <c r="B4774" s="23" t="s">
        <v>612</v>
      </c>
      <c r="D4774">
        <v>1</v>
      </c>
      <c r="E4774" t="s">
        <v>103</v>
      </c>
      <c r="F4774">
        <v>9</v>
      </c>
      <c r="G4774">
        <v>2009</v>
      </c>
      <c r="I4774">
        <v>18.600000000000001</v>
      </c>
      <c r="J4774" t="s">
        <v>104</v>
      </c>
      <c r="K4774" t="s">
        <v>53</v>
      </c>
      <c r="L4774" t="s">
        <v>105</v>
      </c>
      <c r="O4774">
        <v>0</v>
      </c>
      <c r="P4774">
        <v>1</v>
      </c>
      <c r="Q4774">
        <v>0</v>
      </c>
      <c r="R4774">
        <v>0</v>
      </c>
      <c r="W4774" t="s">
        <v>106</v>
      </c>
      <c r="AA4774">
        <v>2007</v>
      </c>
      <c r="AB4774">
        <v>2013</v>
      </c>
      <c r="AC4774" t="s">
        <v>139</v>
      </c>
    </row>
    <row r="4775" spans="1:29" x14ac:dyDescent="0.25">
      <c r="A4775" s="31" t="s">
        <v>613</v>
      </c>
      <c r="B4775" s="23" t="s">
        <v>254</v>
      </c>
      <c r="C4775" t="s">
        <v>614</v>
      </c>
      <c r="D4775">
        <v>1</v>
      </c>
      <c r="E4775" t="s">
        <v>45</v>
      </c>
      <c r="F4775">
        <v>4</v>
      </c>
      <c r="G4775">
        <v>2009</v>
      </c>
      <c r="I4775">
        <v>437.3</v>
      </c>
      <c r="J4775" t="s">
        <v>89</v>
      </c>
      <c r="K4775" t="s">
        <v>47</v>
      </c>
      <c r="O4775">
        <v>0</v>
      </c>
      <c r="P4775">
        <v>0</v>
      </c>
      <c r="Q4775">
        <v>0</v>
      </c>
      <c r="R4775">
        <v>0</v>
      </c>
      <c r="W4775" t="s">
        <v>1140</v>
      </c>
      <c r="AA4775">
        <v>2007</v>
      </c>
      <c r="AB4775">
        <v>9999</v>
      </c>
      <c r="AC4775" t="s">
        <v>35</v>
      </c>
    </row>
    <row r="4776" spans="1:29" x14ac:dyDescent="0.25">
      <c r="A4776" s="31" t="s">
        <v>616</v>
      </c>
      <c r="B4776" s="23" t="s">
        <v>617</v>
      </c>
      <c r="D4776">
        <v>1</v>
      </c>
      <c r="E4776" t="s">
        <v>45</v>
      </c>
      <c r="F4776">
        <v>4</v>
      </c>
      <c r="G4776">
        <v>2009</v>
      </c>
      <c r="I4776">
        <v>17.7</v>
      </c>
      <c r="J4776" t="s">
        <v>89</v>
      </c>
      <c r="K4776" t="s">
        <v>53</v>
      </c>
      <c r="L4776" t="s">
        <v>60</v>
      </c>
      <c r="O4776">
        <v>1</v>
      </c>
      <c r="P4776">
        <v>0</v>
      </c>
      <c r="Q4776">
        <v>0</v>
      </c>
      <c r="R4776">
        <v>0</v>
      </c>
      <c r="W4776" t="s">
        <v>618</v>
      </c>
      <c r="AA4776">
        <v>2007</v>
      </c>
      <c r="AB4776">
        <v>2016</v>
      </c>
      <c r="AC4776" t="s">
        <v>528</v>
      </c>
    </row>
    <row r="4777" spans="1:29" x14ac:dyDescent="0.25">
      <c r="A4777" s="31" t="s">
        <v>616</v>
      </c>
      <c r="B4777" s="23" t="s">
        <v>619</v>
      </c>
      <c r="D4777">
        <v>1</v>
      </c>
      <c r="E4777" t="s">
        <v>620</v>
      </c>
      <c r="F4777">
        <v>5</v>
      </c>
      <c r="G4777">
        <v>2009</v>
      </c>
      <c r="I4777">
        <v>18.7</v>
      </c>
      <c r="J4777" t="s">
        <v>104</v>
      </c>
      <c r="K4777" t="s">
        <v>47</v>
      </c>
      <c r="O4777">
        <v>0</v>
      </c>
      <c r="P4777">
        <v>0</v>
      </c>
      <c r="Q4777">
        <v>0</v>
      </c>
      <c r="R4777">
        <v>0</v>
      </c>
      <c r="W4777" t="s">
        <v>1141</v>
      </c>
      <c r="AA4777">
        <v>2007</v>
      </c>
      <c r="AB4777">
        <v>2016</v>
      </c>
      <c r="AC4777" t="s">
        <v>528</v>
      </c>
    </row>
    <row r="4778" spans="1:29" x14ac:dyDescent="0.25">
      <c r="A4778" s="31" t="s">
        <v>622</v>
      </c>
      <c r="B4778" s="23" t="s">
        <v>623</v>
      </c>
      <c r="C4778" t="s">
        <v>624</v>
      </c>
      <c r="D4778">
        <v>1</v>
      </c>
      <c r="E4778" t="s">
        <v>625</v>
      </c>
      <c r="F4778">
        <v>4</v>
      </c>
      <c r="G4778">
        <v>2009</v>
      </c>
      <c r="I4778">
        <v>242.5</v>
      </c>
      <c r="J4778" t="s">
        <v>89</v>
      </c>
      <c r="K4778" t="s">
        <v>32</v>
      </c>
      <c r="O4778">
        <v>0</v>
      </c>
      <c r="P4778">
        <v>0</v>
      </c>
      <c r="Q4778">
        <v>0</v>
      </c>
      <c r="R4778">
        <v>0</v>
      </c>
      <c r="W4778" t="s">
        <v>1142</v>
      </c>
      <c r="AA4778">
        <v>2007</v>
      </c>
      <c r="AB4778">
        <v>9999</v>
      </c>
      <c r="AC4778" t="s">
        <v>35</v>
      </c>
    </row>
    <row r="4779" spans="1:29" x14ac:dyDescent="0.25">
      <c r="A4779" s="31" t="s">
        <v>622</v>
      </c>
      <c r="B4779" s="23" t="s">
        <v>627</v>
      </c>
      <c r="D4779">
        <v>1</v>
      </c>
      <c r="E4779" t="s">
        <v>51</v>
      </c>
      <c r="F4779">
        <v>10</v>
      </c>
      <c r="G4779">
        <v>2009</v>
      </c>
      <c r="I4779">
        <v>185</v>
      </c>
      <c r="J4779" t="s">
        <v>52</v>
      </c>
      <c r="K4779" t="s">
        <v>76</v>
      </c>
      <c r="O4779">
        <v>0</v>
      </c>
      <c r="P4779">
        <v>0</v>
      </c>
      <c r="Q4779">
        <v>0</v>
      </c>
      <c r="R4779">
        <v>0</v>
      </c>
      <c r="W4779" t="s">
        <v>1143</v>
      </c>
      <c r="AA4779">
        <v>2007</v>
      </c>
      <c r="AB4779">
        <v>9999</v>
      </c>
      <c r="AC4779" t="s">
        <v>35</v>
      </c>
    </row>
    <row r="4780" spans="1:29" x14ac:dyDescent="0.25">
      <c r="A4780" s="31" t="s">
        <v>629</v>
      </c>
      <c r="B4780" s="23" t="s">
        <v>630</v>
      </c>
      <c r="D4780">
        <v>1</v>
      </c>
      <c r="E4780" t="s">
        <v>631</v>
      </c>
      <c r="F4780">
        <v>8</v>
      </c>
      <c r="G4780">
        <v>2009</v>
      </c>
      <c r="I4780">
        <v>4.8</v>
      </c>
      <c r="J4780" t="s">
        <v>81</v>
      </c>
      <c r="K4780" t="s">
        <v>41</v>
      </c>
      <c r="O4780">
        <v>0</v>
      </c>
      <c r="P4780">
        <v>0</v>
      </c>
      <c r="Q4780">
        <v>0</v>
      </c>
      <c r="R4780">
        <v>0</v>
      </c>
      <c r="W4780" t="s">
        <v>1144</v>
      </c>
      <c r="AA4780">
        <v>2007</v>
      </c>
      <c r="AB4780">
        <v>2014</v>
      </c>
      <c r="AC4780" t="s">
        <v>633</v>
      </c>
    </row>
    <row r="4781" spans="1:29" x14ac:dyDescent="0.25">
      <c r="A4781" s="31" t="s">
        <v>199</v>
      </c>
      <c r="B4781" s="23" t="s">
        <v>1255</v>
      </c>
      <c r="D4781">
        <v>1</v>
      </c>
      <c r="E4781" t="s">
        <v>38</v>
      </c>
      <c r="F4781">
        <v>4</v>
      </c>
      <c r="G4781">
        <v>2009</v>
      </c>
      <c r="H4781" t="s">
        <v>39</v>
      </c>
      <c r="J4781" t="s">
        <v>52</v>
      </c>
      <c r="K4781" t="s">
        <v>41</v>
      </c>
      <c r="O4781">
        <v>0</v>
      </c>
      <c r="P4781">
        <v>0</v>
      </c>
      <c r="Q4781">
        <v>0</v>
      </c>
      <c r="R4781">
        <v>0</v>
      </c>
      <c r="W4781" t="s">
        <v>1256</v>
      </c>
      <c r="AA4781">
        <v>2007</v>
      </c>
      <c r="AB4781">
        <v>9999</v>
      </c>
      <c r="AC4781" t="s">
        <v>35</v>
      </c>
    </row>
    <row r="4782" spans="1:29" x14ac:dyDescent="0.25">
      <c r="A4782" s="31" t="s">
        <v>634</v>
      </c>
      <c r="B4782" s="23" t="s">
        <v>635</v>
      </c>
      <c r="D4782">
        <v>1</v>
      </c>
      <c r="E4782" t="s">
        <v>138</v>
      </c>
      <c r="F4782">
        <v>8</v>
      </c>
      <c r="G4782">
        <v>2009</v>
      </c>
      <c r="I4782">
        <v>15</v>
      </c>
      <c r="J4782" t="s">
        <v>81</v>
      </c>
      <c r="K4782" t="s">
        <v>47</v>
      </c>
      <c r="O4782">
        <v>0</v>
      </c>
      <c r="P4782">
        <v>0</v>
      </c>
      <c r="Q4782">
        <v>0</v>
      </c>
      <c r="R4782">
        <v>0</v>
      </c>
      <c r="W4782" t="s">
        <v>1145</v>
      </c>
      <c r="AA4782">
        <v>2007</v>
      </c>
      <c r="AB4782">
        <v>2010</v>
      </c>
      <c r="AC4782" t="s">
        <v>91</v>
      </c>
    </row>
    <row r="4783" spans="1:29" x14ac:dyDescent="0.25">
      <c r="A4783" s="31" t="s">
        <v>637</v>
      </c>
      <c r="B4783" s="23" t="s">
        <v>638</v>
      </c>
      <c r="D4783">
        <v>1</v>
      </c>
      <c r="E4783" t="s">
        <v>38</v>
      </c>
      <c r="F4783">
        <v>4</v>
      </c>
      <c r="G4783">
        <v>2009</v>
      </c>
      <c r="H4783" t="s">
        <v>639</v>
      </c>
      <c r="J4783" t="s">
        <v>89</v>
      </c>
      <c r="K4783" t="s">
        <v>41</v>
      </c>
      <c r="O4783">
        <v>0</v>
      </c>
      <c r="P4783">
        <v>0</v>
      </c>
      <c r="Q4783">
        <v>0</v>
      </c>
      <c r="R4783">
        <v>0</v>
      </c>
      <c r="W4783" t="s">
        <v>1146</v>
      </c>
      <c r="AA4783">
        <v>2007</v>
      </c>
      <c r="AB4783">
        <v>2010</v>
      </c>
      <c r="AC4783" t="s">
        <v>91</v>
      </c>
    </row>
    <row r="4784" spans="1:29" x14ac:dyDescent="0.25">
      <c r="A4784" s="31" t="s">
        <v>641</v>
      </c>
      <c r="B4784" s="23" t="s">
        <v>642</v>
      </c>
      <c r="D4784">
        <v>1</v>
      </c>
      <c r="E4784" t="s">
        <v>348</v>
      </c>
      <c r="F4784">
        <v>1</v>
      </c>
      <c r="G4784">
        <v>2009</v>
      </c>
      <c r="I4784">
        <v>4502.8</v>
      </c>
      <c r="J4784" t="s">
        <v>268</v>
      </c>
      <c r="K4784" t="s">
        <v>53</v>
      </c>
      <c r="L4784" t="s">
        <v>642</v>
      </c>
      <c r="O4784">
        <v>0</v>
      </c>
      <c r="P4784">
        <v>0</v>
      </c>
      <c r="Q4784">
        <v>0</v>
      </c>
      <c r="R4784">
        <v>0</v>
      </c>
      <c r="W4784" t="s">
        <v>643</v>
      </c>
      <c r="AA4784">
        <v>2007</v>
      </c>
      <c r="AB4784">
        <v>9999</v>
      </c>
      <c r="AC4784" t="s">
        <v>35</v>
      </c>
    </row>
    <row r="4785" spans="1:29" x14ac:dyDescent="0.25">
      <c r="A4785" s="31" t="s">
        <v>153</v>
      </c>
      <c r="B4785" s="23" t="s">
        <v>644</v>
      </c>
      <c r="D4785">
        <v>1</v>
      </c>
      <c r="E4785" t="s">
        <v>155</v>
      </c>
      <c r="F4785">
        <v>3</v>
      </c>
      <c r="G4785">
        <v>2009</v>
      </c>
      <c r="I4785">
        <v>106.495076444223</v>
      </c>
      <c r="J4785" t="s">
        <v>121</v>
      </c>
      <c r="K4785" t="s">
        <v>53</v>
      </c>
      <c r="L4785" t="s">
        <v>60</v>
      </c>
      <c r="O4785">
        <v>1</v>
      </c>
      <c r="P4785">
        <v>0</v>
      </c>
      <c r="Q4785">
        <v>0</v>
      </c>
      <c r="R4785">
        <v>0</v>
      </c>
      <c r="V4785">
        <v>1</v>
      </c>
      <c r="W4785" t="s">
        <v>645</v>
      </c>
      <c r="AA4785">
        <v>2007</v>
      </c>
      <c r="AB4785">
        <v>9999</v>
      </c>
      <c r="AC4785" t="s">
        <v>35</v>
      </c>
    </row>
    <row r="4786" spans="1:29" x14ac:dyDescent="0.25">
      <c r="A4786" s="31" t="s">
        <v>646</v>
      </c>
      <c r="B4786" s="26" t="s">
        <v>647</v>
      </c>
      <c r="D4786">
        <v>1</v>
      </c>
      <c r="E4786" t="s">
        <v>128</v>
      </c>
      <c r="F4786">
        <v>9</v>
      </c>
      <c r="G4786">
        <v>2009</v>
      </c>
      <c r="H4786" t="s">
        <v>260</v>
      </c>
      <c r="I4786">
        <v>2.75</v>
      </c>
      <c r="J4786" t="s">
        <v>104</v>
      </c>
      <c r="K4786" t="s">
        <v>41</v>
      </c>
      <c r="O4786">
        <v>0</v>
      </c>
      <c r="P4786">
        <v>0</v>
      </c>
      <c r="Q4786">
        <v>0</v>
      </c>
      <c r="R4786">
        <v>0</v>
      </c>
      <c r="W4786" t="s">
        <v>1147</v>
      </c>
      <c r="AA4786">
        <v>2007</v>
      </c>
      <c r="AB4786">
        <v>2018</v>
      </c>
      <c r="AC4786" t="s">
        <v>649</v>
      </c>
    </row>
    <row r="4787" spans="1:29" x14ac:dyDescent="0.25">
      <c r="A4787" s="31" t="s">
        <v>650</v>
      </c>
      <c r="B4787" s="26" t="s">
        <v>651</v>
      </c>
      <c r="D4787">
        <v>1</v>
      </c>
      <c r="E4787" t="s">
        <v>128</v>
      </c>
      <c r="F4787">
        <v>9</v>
      </c>
      <c r="G4787">
        <v>2009</v>
      </c>
      <c r="H4787" t="s">
        <v>431</v>
      </c>
      <c r="I4787">
        <v>1.5</v>
      </c>
      <c r="J4787" t="s">
        <v>104</v>
      </c>
      <c r="K4787" t="s">
        <v>41</v>
      </c>
      <c r="O4787">
        <v>0</v>
      </c>
      <c r="P4787">
        <v>0</v>
      </c>
      <c r="Q4787">
        <v>0</v>
      </c>
      <c r="R4787">
        <v>0</v>
      </c>
      <c r="W4787" t="s">
        <v>1147</v>
      </c>
      <c r="AA4787">
        <v>2007</v>
      </c>
      <c r="AB4787">
        <v>2018</v>
      </c>
      <c r="AC4787" t="s">
        <v>649</v>
      </c>
    </row>
    <row r="4788" spans="1:29" x14ac:dyDescent="0.25">
      <c r="A4788" s="31" t="s">
        <v>652</v>
      </c>
      <c r="B4788" s="26" t="s">
        <v>653</v>
      </c>
      <c r="D4788">
        <v>1</v>
      </c>
      <c r="E4788" t="s">
        <v>128</v>
      </c>
      <c r="F4788">
        <v>9</v>
      </c>
      <c r="G4788">
        <v>2009</v>
      </c>
      <c r="H4788" t="s">
        <v>461</v>
      </c>
      <c r="I4788">
        <v>2.75</v>
      </c>
      <c r="J4788" t="s">
        <v>104</v>
      </c>
      <c r="K4788" t="s">
        <v>41</v>
      </c>
      <c r="O4788">
        <v>0</v>
      </c>
      <c r="P4788">
        <v>0</v>
      </c>
      <c r="Q4788">
        <v>0</v>
      </c>
      <c r="R4788">
        <v>0</v>
      </c>
      <c r="W4788" t="s">
        <v>1147</v>
      </c>
      <c r="AA4788">
        <v>2007</v>
      </c>
      <c r="AB4788">
        <v>2018</v>
      </c>
      <c r="AC4788" t="s">
        <v>649</v>
      </c>
    </row>
    <row r="4789" spans="1:29" x14ac:dyDescent="0.25">
      <c r="A4789" s="31" t="s">
        <v>654</v>
      </c>
      <c r="B4789" s="26" t="s">
        <v>655</v>
      </c>
      <c r="D4789">
        <v>1</v>
      </c>
      <c r="E4789" t="s">
        <v>128</v>
      </c>
      <c r="F4789">
        <v>9</v>
      </c>
      <c r="G4789">
        <v>2009</v>
      </c>
      <c r="H4789" t="s">
        <v>365</v>
      </c>
      <c r="I4789">
        <v>5</v>
      </c>
      <c r="J4789" t="s">
        <v>104</v>
      </c>
      <c r="K4789" t="s">
        <v>41</v>
      </c>
      <c r="O4789">
        <v>0</v>
      </c>
      <c r="P4789">
        <v>0</v>
      </c>
      <c r="Q4789">
        <v>0</v>
      </c>
      <c r="R4789">
        <v>0</v>
      </c>
      <c r="W4789" t="s">
        <v>1147</v>
      </c>
      <c r="AA4789">
        <v>2007</v>
      </c>
      <c r="AB4789">
        <v>2018</v>
      </c>
      <c r="AC4789" t="s">
        <v>649</v>
      </c>
    </row>
    <row r="4790" spans="1:29" x14ac:dyDescent="0.25">
      <c r="A4790" s="31" t="s">
        <v>656</v>
      </c>
      <c r="B4790" s="26" t="s">
        <v>657</v>
      </c>
      <c r="D4790">
        <v>1</v>
      </c>
      <c r="E4790" t="s">
        <v>128</v>
      </c>
      <c r="F4790">
        <v>9</v>
      </c>
      <c r="G4790">
        <v>2009</v>
      </c>
      <c r="H4790" t="s">
        <v>658</v>
      </c>
      <c r="I4790">
        <v>1.5</v>
      </c>
      <c r="J4790" t="s">
        <v>104</v>
      </c>
      <c r="K4790" t="s">
        <v>41</v>
      </c>
      <c r="O4790">
        <v>0</v>
      </c>
      <c r="P4790">
        <v>0</v>
      </c>
      <c r="Q4790">
        <v>0</v>
      </c>
      <c r="R4790">
        <v>0</v>
      </c>
      <c r="W4790" t="s">
        <v>1147</v>
      </c>
      <c r="AA4790">
        <v>2007</v>
      </c>
      <c r="AB4790">
        <v>2018</v>
      </c>
      <c r="AC4790" t="s">
        <v>649</v>
      </c>
    </row>
    <row r="4791" spans="1:29" x14ac:dyDescent="0.25">
      <c r="A4791" s="31" t="s">
        <v>659</v>
      </c>
      <c r="B4791" s="26" t="s">
        <v>660</v>
      </c>
      <c r="D4791">
        <v>1</v>
      </c>
      <c r="E4791" t="s">
        <v>128</v>
      </c>
      <c r="F4791">
        <v>9</v>
      </c>
      <c r="G4791">
        <v>2009</v>
      </c>
      <c r="H4791" t="s">
        <v>661</v>
      </c>
      <c r="I4791">
        <v>2.75</v>
      </c>
      <c r="J4791" t="s">
        <v>104</v>
      </c>
      <c r="K4791" t="s">
        <v>41</v>
      </c>
      <c r="O4791">
        <v>0</v>
      </c>
      <c r="P4791">
        <v>0</v>
      </c>
      <c r="Q4791">
        <v>0</v>
      </c>
      <c r="R4791">
        <v>0</v>
      </c>
      <c r="W4791" t="s">
        <v>1147</v>
      </c>
      <c r="AA4791">
        <v>2007</v>
      </c>
      <c r="AB4791">
        <v>2018</v>
      </c>
      <c r="AC4791" t="s">
        <v>649</v>
      </c>
    </row>
    <row r="4792" spans="1:29" x14ac:dyDescent="0.25">
      <c r="A4792" s="31" t="s">
        <v>199</v>
      </c>
      <c r="B4792" s="25" t="s">
        <v>665</v>
      </c>
      <c r="D4792">
        <v>1</v>
      </c>
      <c r="E4792" t="s">
        <v>45</v>
      </c>
      <c r="F4792">
        <v>4</v>
      </c>
      <c r="G4792">
        <v>2009</v>
      </c>
      <c r="H4792" t="s">
        <v>39</v>
      </c>
      <c r="J4792" t="s">
        <v>52</v>
      </c>
      <c r="K4792" t="s">
        <v>41</v>
      </c>
      <c r="O4792">
        <v>0</v>
      </c>
      <c r="P4792">
        <v>0</v>
      </c>
      <c r="Q4792">
        <v>0</v>
      </c>
      <c r="R4792">
        <v>0</v>
      </c>
      <c r="W4792" t="s">
        <v>1148</v>
      </c>
      <c r="AA4792">
        <v>2007</v>
      </c>
      <c r="AB4792">
        <v>9999</v>
      </c>
      <c r="AC4792" t="s">
        <v>35</v>
      </c>
    </row>
    <row r="4793" spans="1:29" x14ac:dyDescent="0.25">
      <c r="A4793" s="31" t="s">
        <v>667</v>
      </c>
      <c r="B4793" s="23" t="s">
        <v>668</v>
      </c>
      <c r="D4793">
        <v>1</v>
      </c>
      <c r="E4793" t="s">
        <v>45</v>
      </c>
      <c r="F4793">
        <v>4</v>
      </c>
      <c r="G4793">
        <v>2009</v>
      </c>
      <c r="I4793">
        <v>21</v>
      </c>
      <c r="J4793" t="s">
        <v>121</v>
      </c>
      <c r="K4793" t="s">
        <v>47</v>
      </c>
      <c r="O4793">
        <v>0</v>
      </c>
      <c r="P4793">
        <v>0</v>
      </c>
      <c r="Q4793">
        <v>0</v>
      </c>
      <c r="R4793">
        <v>0</v>
      </c>
      <c r="W4793" t="s">
        <v>1149</v>
      </c>
      <c r="AA4793">
        <v>2007</v>
      </c>
      <c r="AB4793">
        <v>9999</v>
      </c>
      <c r="AC4793" t="s">
        <v>35</v>
      </c>
    </row>
    <row r="4794" spans="1:29" x14ac:dyDescent="0.25">
      <c r="A4794" s="31" t="s">
        <v>670</v>
      </c>
      <c r="B4794" s="23" t="s">
        <v>671</v>
      </c>
      <c r="D4794">
        <v>1</v>
      </c>
      <c r="E4794" t="s">
        <v>80</v>
      </c>
      <c r="F4794">
        <v>8</v>
      </c>
      <c r="G4794">
        <v>2009</v>
      </c>
      <c r="I4794">
        <v>367.6</v>
      </c>
      <c r="J4794" t="s">
        <v>81</v>
      </c>
      <c r="K4794" t="s">
        <v>47</v>
      </c>
      <c r="O4794">
        <v>0</v>
      </c>
      <c r="P4794">
        <v>0</v>
      </c>
      <c r="Q4794">
        <v>0</v>
      </c>
      <c r="R4794">
        <v>0</v>
      </c>
      <c r="W4794" t="s">
        <v>1150</v>
      </c>
      <c r="AA4794">
        <v>2007</v>
      </c>
      <c r="AB4794">
        <v>9999</v>
      </c>
      <c r="AC4794" t="s">
        <v>35</v>
      </c>
    </row>
    <row r="4795" spans="1:29" x14ac:dyDescent="0.25">
      <c r="A4795" s="31" t="s">
        <v>673</v>
      </c>
      <c r="B4795" s="23" t="s">
        <v>674</v>
      </c>
      <c r="D4795">
        <v>8</v>
      </c>
      <c r="E4795" t="s">
        <v>358</v>
      </c>
      <c r="F4795">
        <v>1</v>
      </c>
      <c r="G4795">
        <v>2009</v>
      </c>
      <c r="I4795">
        <v>572.5</v>
      </c>
      <c r="J4795" t="s">
        <v>81</v>
      </c>
      <c r="K4795" t="s">
        <v>47</v>
      </c>
      <c r="O4795">
        <v>0</v>
      </c>
      <c r="P4795">
        <v>0</v>
      </c>
      <c r="Q4795">
        <v>0</v>
      </c>
      <c r="R4795">
        <v>0</v>
      </c>
      <c r="W4795" t="s">
        <v>1151</v>
      </c>
      <c r="AA4795">
        <v>2007</v>
      </c>
      <c r="AB4795">
        <v>9999</v>
      </c>
      <c r="AC4795" t="s">
        <v>35</v>
      </c>
    </row>
    <row r="4796" spans="1:29" x14ac:dyDescent="0.25">
      <c r="A4796" s="31" t="s">
        <v>676</v>
      </c>
      <c r="B4796" s="23" t="s">
        <v>677</v>
      </c>
      <c r="C4796" t="s">
        <v>678</v>
      </c>
      <c r="D4796">
        <v>1</v>
      </c>
      <c r="E4796" t="s">
        <v>168</v>
      </c>
      <c r="F4796">
        <v>1</v>
      </c>
      <c r="G4796">
        <v>2009</v>
      </c>
      <c r="I4796">
        <v>143.4</v>
      </c>
      <c r="J4796" t="s">
        <v>52</v>
      </c>
      <c r="K4796" t="s">
        <v>32</v>
      </c>
      <c r="O4796">
        <v>0</v>
      </c>
      <c r="P4796">
        <v>0</v>
      </c>
      <c r="Q4796">
        <v>0</v>
      </c>
      <c r="R4796">
        <v>0</v>
      </c>
      <c r="W4796" t="s">
        <v>1152</v>
      </c>
      <c r="AA4796">
        <v>2007</v>
      </c>
      <c r="AB4796">
        <v>9999</v>
      </c>
      <c r="AC4796" t="s">
        <v>35</v>
      </c>
    </row>
    <row r="4797" spans="1:29" x14ac:dyDescent="0.25">
      <c r="A4797" s="31" t="s">
        <v>472</v>
      </c>
      <c r="B4797" s="23" t="s">
        <v>680</v>
      </c>
      <c r="D4797">
        <v>1</v>
      </c>
      <c r="E4797" t="s">
        <v>681</v>
      </c>
      <c r="F4797">
        <v>3</v>
      </c>
      <c r="G4797">
        <v>2009</v>
      </c>
      <c r="I4797">
        <v>24353.8</v>
      </c>
      <c r="J4797" t="s">
        <v>121</v>
      </c>
      <c r="K4797" t="s">
        <v>76</v>
      </c>
      <c r="O4797">
        <v>0</v>
      </c>
      <c r="P4797">
        <v>0</v>
      </c>
      <c r="Q4797">
        <v>0</v>
      </c>
      <c r="R4797">
        <v>0</v>
      </c>
      <c r="W4797" t="s">
        <v>475</v>
      </c>
      <c r="AA4797">
        <v>2007</v>
      </c>
      <c r="AB4797">
        <v>9999</v>
      </c>
      <c r="AC4797" t="s">
        <v>35</v>
      </c>
    </row>
    <row r="4798" spans="1:29" x14ac:dyDescent="0.25">
      <c r="A4798" s="31" t="s">
        <v>682</v>
      </c>
      <c r="B4798" s="23" t="s">
        <v>683</v>
      </c>
      <c r="D4798">
        <v>1</v>
      </c>
      <c r="E4798" t="s">
        <v>38</v>
      </c>
      <c r="F4798">
        <v>4</v>
      </c>
      <c r="G4798">
        <v>2009</v>
      </c>
      <c r="I4798">
        <v>15</v>
      </c>
      <c r="J4798" t="s">
        <v>89</v>
      </c>
      <c r="K4798" t="s">
        <v>32</v>
      </c>
      <c r="O4798">
        <v>0</v>
      </c>
      <c r="P4798">
        <v>0</v>
      </c>
      <c r="Q4798">
        <v>0</v>
      </c>
      <c r="R4798">
        <v>0</v>
      </c>
      <c r="W4798" t="s">
        <v>1257</v>
      </c>
      <c r="AA4798">
        <v>2007</v>
      </c>
      <c r="AB4798">
        <v>2010</v>
      </c>
      <c r="AC4798" t="s">
        <v>91</v>
      </c>
    </row>
    <row r="4799" spans="1:29" x14ac:dyDescent="0.25">
      <c r="A4799" s="31" t="s">
        <v>685</v>
      </c>
      <c r="B4799" s="23" t="s">
        <v>686</v>
      </c>
      <c r="D4799">
        <v>1</v>
      </c>
      <c r="E4799" t="s">
        <v>80</v>
      </c>
      <c r="F4799">
        <v>8</v>
      </c>
      <c r="G4799">
        <v>2009</v>
      </c>
      <c r="I4799">
        <v>47.6</v>
      </c>
      <c r="J4799" t="s">
        <v>81</v>
      </c>
      <c r="K4799" t="s">
        <v>47</v>
      </c>
      <c r="O4799">
        <v>0</v>
      </c>
      <c r="P4799">
        <v>0</v>
      </c>
      <c r="Q4799">
        <v>0</v>
      </c>
      <c r="R4799">
        <v>0</v>
      </c>
      <c r="W4799" t="s">
        <v>1153</v>
      </c>
      <c r="AA4799">
        <v>2007</v>
      </c>
      <c r="AB4799">
        <v>2017</v>
      </c>
      <c r="AC4799" t="s">
        <v>435</v>
      </c>
    </row>
    <row r="4800" spans="1:29" x14ac:dyDescent="0.25">
      <c r="A4800" s="31" t="s">
        <v>688</v>
      </c>
      <c r="B4800" s="25" t="s">
        <v>689</v>
      </c>
      <c r="D4800">
        <v>1</v>
      </c>
      <c r="E4800" t="s">
        <v>145</v>
      </c>
      <c r="F4800">
        <v>2</v>
      </c>
      <c r="G4800">
        <v>2009</v>
      </c>
      <c r="H4800" t="s">
        <v>146</v>
      </c>
      <c r="J4800" s="2" t="s">
        <v>147</v>
      </c>
      <c r="K4800" t="s">
        <v>41</v>
      </c>
      <c r="O4800">
        <v>0</v>
      </c>
      <c r="P4800">
        <v>0</v>
      </c>
      <c r="Q4800">
        <v>0</v>
      </c>
      <c r="R4800">
        <v>0</v>
      </c>
      <c r="W4800" t="s">
        <v>1154</v>
      </c>
      <c r="AA4800">
        <v>2007</v>
      </c>
      <c r="AB4800">
        <v>9999</v>
      </c>
      <c r="AC4800" t="s">
        <v>35</v>
      </c>
    </row>
    <row r="4801" spans="1:29" x14ac:dyDescent="0.25">
      <c r="A4801" s="31" t="s">
        <v>691</v>
      </c>
      <c r="B4801" s="23" t="s">
        <v>692</v>
      </c>
      <c r="D4801">
        <v>1</v>
      </c>
      <c r="E4801" t="s">
        <v>625</v>
      </c>
      <c r="F4801">
        <v>4</v>
      </c>
      <c r="G4801">
        <v>2009</v>
      </c>
      <c r="I4801" s="54">
        <v>16.899999999999999</v>
      </c>
      <c r="J4801" t="s">
        <v>89</v>
      </c>
      <c r="K4801" t="s">
        <v>32</v>
      </c>
      <c r="O4801">
        <v>0</v>
      </c>
      <c r="P4801">
        <v>0</v>
      </c>
      <c r="Q4801">
        <v>0</v>
      </c>
      <c r="R4801">
        <v>0</v>
      </c>
      <c r="W4801" t="s">
        <v>1155</v>
      </c>
      <c r="AA4801">
        <v>2007</v>
      </c>
      <c r="AB4801">
        <v>9999</v>
      </c>
      <c r="AC4801" t="s">
        <v>35</v>
      </c>
    </row>
    <row r="4802" spans="1:29" x14ac:dyDescent="0.25">
      <c r="A4802" s="31" t="s">
        <v>694</v>
      </c>
      <c r="B4802" s="25" t="s">
        <v>695</v>
      </c>
      <c r="C4802" t="s">
        <v>696</v>
      </c>
      <c r="D4802">
        <v>1</v>
      </c>
      <c r="E4802" t="s">
        <v>58</v>
      </c>
      <c r="F4802">
        <v>4</v>
      </c>
      <c r="G4802">
        <v>2009</v>
      </c>
      <c r="I4802">
        <v>150.5</v>
      </c>
      <c r="J4802" t="s">
        <v>59</v>
      </c>
      <c r="K4802" t="s">
        <v>47</v>
      </c>
      <c r="O4802">
        <v>0</v>
      </c>
      <c r="P4802">
        <v>0</v>
      </c>
      <c r="Q4802">
        <v>0</v>
      </c>
      <c r="R4802">
        <v>0</v>
      </c>
      <c r="W4802" t="s">
        <v>1156</v>
      </c>
      <c r="AA4802">
        <v>2007</v>
      </c>
      <c r="AB4802">
        <v>9999</v>
      </c>
      <c r="AC4802" t="s">
        <v>35</v>
      </c>
    </row>
    <row r="4803" spans="1:29" x14ac:dyDescent="0.25">
      <c r="A4803" s="31" t="s">
        <v>698</v>
      </c>
      <c r="B4803" s="23" t="s">
        <v>699</v>
      </c>
      <c r="D4803">
        <v>1</v>
      </c>
      <c r="E4803" t="s">
        <v>155</v>
      </c>
      <c r="F4803">
        <v>3</v>
      </c>
      <c r="G4803">
        <v>2009</v>
      </c>
      <c r="H4803" t="s">
        <v>700</v>
      </c>
      <c r="I4803">
        <v>7.600925199203</v>
      </c>
      <c r="J4803" t="s">
        <v>121</v>
      </c>
      <c r="K4803" t="s">
        <v>47</v>
      </c>
      <c r="O4803">
        <v>0</v>
      </c>
      <c r="P4803">
        <v>0</v>
      </c>
      <c r="Q4803">
        <v>0</v>
      </c>
      <c r="R4803">
        <v>0</v>
      </c>
      <c r="V4803">
        <v>1</v>
      </c>
      <c r="W4803" t="s">
        <v>1157</v>
      </c>
      <c r="AA4803">
        <v>2007</v>
      </c>
      <c r="AB4803">
        <v>9999</v>
      </c>
      <c r="AC4803" t="s">
        <v>35</v>
      </c>
    </row>
    <row r="4804" spans="1:29" x14ac:dyDescent="0.25">
      <c r="A4804" s="31" t="s">
        <v>702</v>
      </c>
      <c r="B4804" s="25" t="s">
        <v>703</v>
      </c>
      <c r="D4804">
        <v>1</v>
      </c>
      <c r="E4804" t="s">
        <v>155</v>
      </c>
      <c r="F4804">
        <v>3</v>
      </c>
      <c r="G4804">
        <v>2009</v>
      </c>
      <c r="H4804" t="s">
        <v>704</v>
      </c>
      <c r="J4804" t="s">
        <v>121</v>
      </c>
      <c r="K4804" t="s">
        <v>41</v>
      </c>
      <c r="O4804">
        <v>0</v>
      </c>
      <c r="P4804">
        <v>0</v>
      </c>
      <c r="Q4804">
        <v>0</v>
      </c>
      <c r="R4804">
        <v>0</v>
      </c>
      <c r="V4804">
        <v>1</v>
      </c>
      <c r="W4804" t="s">
        <v>1158</v>
      </c>
      <c r="AA4804">
        <v>2007</v>
      </c>
      <c r="AB4804">
        <v>9999</v>
      </c>
      <c r="AC4804" t="s">
        <v>35</v>
      </c>
    </row>
    <row r="4805" spans="1:29" x14ac:dyDescent="0.25">
      <c r="A4805" s="31" t="s">
        <v>706</v>
      </c>
      <c r="B4805" s="23" t="s">
        <v>707</v>
      </c>
      <c r="C4805" t="s">
        <v>708</v>
      </c>
      <c r="D4805">
        <v>1</v>
      </c>
      <c r="E4805" t="s">
        <v>155</v>
      </c>
      <c r="F4805">
        <v>3</v>
      </c>
      <c r="G4805">
        <v>2009</v>
      </c>
      <c r="I4805">
        <v>367.9</v>
      </c>
      <c r="J4805" t="s">
        <v>121</v>
      </c>
      <c r="K4805" t="s">
        <v>47</v>
      </c>
      <c r="O4805">
        <v>0</v>
      </c>
      <c r="P4805">
        <v>0</v>
      </c>
      <c r="Q4805">
        <v>0</v>
      </c>
      <c r="R4805">
        <v>0</v>
      </c>
      <c r="W4805" t="s">
        <v>1159</v>
      </c>
      <c r="AA4805">
        <v>2007</v>
      </c>
      <c r="AB4805">
        <v>9999</v>
      </c>
      <c r="AC4805" t="s">
        <v>35</v>
      </c>
    </row>
    <row r="4806" spans="1:29" x14ac:dyDescent="0.25">
      <c r="A4806" s="31" t="s">
        <v>710</v>
      </c>
      <c r="B4806" s="23" t="s">
        <v>711</v>
      </c>
      <c r="D4806">
        <v>1</v>
      </c>
      <c r="E4806" t="s">
        <v>712</v>
      </c>
      <c r="F4806">
        <v>9</v>
      </c>
      <c r="G4806">
        <v>2009</v>
      </c>
      <c r="I4806">
        <v>76</v>
      </c>
      <c r="J4806" t="s">
        <v>104</v>
      </c>
      <c r="K4806" t="s">
        <v>32</v>
      </c>
      <c r="O4806">
        <v>0</v>
      </c>
      <c r="P4806">
        <v>0</v>
      </c>
      <c r="Q4806">
        <v>0</v>
      </c>
      <c r="R4806">
        <v>0</v>
      </c>
      <c r="W4806" t="s">
        <v>713</v>
      </c>
      <c r="AA4806">
        <v>2007</v>
      </c>
      <c r="AB4806">
        <v>9999</v>
      </c>
      <c r="AC4806" t="s">
        <v>35</v>
      </c>
    </row>
    <row r="4807" spans="1:29" x14ac:dyDescent="0.25">
      <c r="A4807" s="31" t="s">
        <v>714</v>
      </c>
      <c r="B4807" s="23" t="s">
        <v>715</v>
      </c>
      <c r="D4807">
        <v>1</v>
      </c>
      <c r="E4807" t="s">
        <v>80</v>
      </c>
      <c r="F4807">
        <v>8</v>
      </c>
      <c r="G4807">
        <v>2009</v>
      </c>
      <c r="I4807">
        <v>43.2</v>
      </c>
      <c r="J4807" t="s">
        <v>151</v>
      </c>
      <c r="K4807" t="s">
        <v>76</v>
      </c>
      <c r="O4807">
        <v>0</v>
      </c>
      <c r="P4807">
        <v>0</v>
      </c>
      <c r="Q4807">
        <v>0</v>
      </c>
      <c r="R4807">
        <v>0</v>
      </c>
      <c r="W4807" t="s">
        <v>1160</v>
      </c>
      <c r="AA4807">
        <v>2007</v>
      </c>
      <c r="AB4807">
        <v>9999</v>
      </c>
      <c r="AC4807" t="s">
        <v>35</v>
      </c>
    </row>
    <row r="4808" spans="1:29" x14ac:dyDescent="0.25">
      <c r="A4808" s="31" t="s">
        <v>1258</v>
      </c>
      <c r="B4808" s="23" t="s">
        <v>1259</v>
      </c>
      <c r="D4808">
        <v>1</v>
      </c>
      <c r="E4808" s="5" t="s">
        <v>145</v>
      </c>
      <c r="F4808">
        <v>2</v>
      </c>
      <c r="G4808">
        <v>2009</v>
      </c>
      <c r="I4808">
        <v>3</v>
      </c>
      <c r="J4808" t="s">
        <v>147</v>
      </c>
      <c r="K4808" t="s">
        <v>41</v>
      </c>
      <c r="O4808">
        <v>0</v>
      </c>
      <c r="P4808">
        <v>0</v>
      </c>
      <c r="Q4808">
        <v>0</v>
      </c>
      <c r="R4808">
        <v>0</v>
      </c>
      <c r="W4808" t="s">
        <v>1260</v>
      </c>
      <c r="AA4808">
        <v>2009</v>
      </c>
      <c r="AB4808">
        <v>2009</v>
      </c>
      <c r="AC4808" t="s">
        <v>1261</v>
      </c>
    </row>
    <row r="4809" spans="1:29" x14ac:dyDescent="0.25">
      <c r="A4809" s="31" t="s">
        <v>717</v>
      </c>
      <c r="B4809" s="25" t="s">
        <v>718</v>
      </c>
      <c r="D4809">
        <v>1</v>
      </c>
      <c r="E4809" t="s">
        <v>51</v>
      </c>
      <c r="F4809">
        <v>1</v>
      </c>
      <c r="G4809">
        <v>2009</v>
      </c>
      <c r="I4809">
        <v>16</v>
      </c>
      <c r="J4809" t="s">
        <v>52</v>
      </c>
      <c r="K4809" t="s">
        <v>53</v>
      </c>
      <c r="L4809" t="s">
        <v>54</v>
      </c>
      <c r="O4809">
        <v>0</v>
      </c>
      <c r="P4809">
        <v>0</v>
      </c>
      <c r="Q4809">
        <v>1</v>
      </c>
      <c r="R4809">
        <v>0</v>
      </c>
      <c r="W4809" t="s">
        <v>55</v>
      </c>
      <c r="AA4809">
        <v>2007</v>
      </c>
      <c r="AB4809">
        <v>9999</v>
      </c>
      <c r="AC4809" t="s">
        <v>35</v>
      </c>
    </row>
    <row r="4810" spans="1:29" x14ac:dyDescent="0.25">
      <c r="A4810" s="31" t="s">
        <v>719</v>
      </c>
      <c r="B4810" s="25" t="s">
        <v>720</v>
      </c>
      <c r="D4810">
        <v>1</v>
      </c>
      <c r="E4810" t="s">
        <v>51</v>
      </c>
      <c r="F4810">
        <v>1</v>
      </c>
      <c r="G4810">
        <v>2009</v>
      </c>
      <c r="I4810">
        <v>29</v>
      </c>
      <c r="J4810" t="s">
        <v>52</v>
      </c>
      <c r="K4810" t="s">
        <v>53</v>
      </c>
      <c r="L4810" t="s">
        <v>54</v>
      </c>
      <c r="O4810">
        <v>0</v>
      </c>
      <c r="P4810">
        <v>0</v>
      </c>
      <c r="Q4810">
        <v>1</v>
      </c>
      <c r="R4810">
        <v>0</v>
      </c>
      <c r="W4810" t="s">
        <v>721</v>
      </c>
      <c r="AA4810">
        <v>2007</v>
      </c>
      <c r="AB4810">
        <v>9999</v>
      </c>
      <c r="AC4810" t="s">
        <v>35</v>
      </c>
    </row>
    <row r="4811" spans="1:29" x14ac:dyDescent="0.25">
      <c r="A4811" s="31" t="s">
        <v>722</v>
      </c>
      <c r="B4811" s="23" t="s">
        <v>723</v>
      </c>
      <c r="D4811">
        <v>1</v>
      </c>
      <c r="E4811" t="s">
        <v>724</v>
      </c>
      <c r="F4811">
        <v>4</v>
      </c>
      <c r="G4811">
        <v>2009</v>
      </c>
      <c r="I4811">
        <v>1263.9000000000001</v>
      </c>
      <c r="J4811" t="s">
        <v>89</v>
      </c>
      <c r="K4811" t="s">
        <v>32</v>
      </c>
      <c r="L4811" t="s">
        <v>33</v>
      </c>
      <c r="O4811">
        <v>0</v>
      </c>
      <c r="P4811">
        <v>0</v>
      </c>
      <c r="Q4811">
        <v>0</v>
      </c>
      <c r="R4811">
        <v>1</v>
      </c>
      <c r="W4811" t="s">
        <v>1161</v>
      </c>
      <c r="AA4811">
        <v>2007</v>
      </c>
      <c r="AB4811">
        <v>9999</v>
      </c>
      <c r="AC4811" t="s">
        <v>35</v>
      </c>
    </row>
    <row r="4812" spans="1:29" x14ac:dyDescent="0.25">
      <c r="A4812" s="31" t="s">
        <v>726</v>
      </c>
      <c r="B4812" s="25" t="s">
        <v>727</v>
      </c>
      <c r="D4812">
        <v>1</v>
      </c>
      <c r="E4812" t="s">
        <v>85</v>
      </c>
      <c r="F4812">
        <v>1</v>
      </c>
      <c r="G4812">
        <v>2009</v>
      </c>
      <c r="H4812" t="s">
        <v>205</v>
      </c>
      <c r="J4812" t="s">
        <v>52</v>
      </c>
      <c r="K4812" t="s">
        <v>41</v>
      </c>
      <c r="O4812">
        <v>0</v>
      </c>
      <c r="P4812">
        <v>0</v>
      </c>
      <c r="Q4812">
        <v>0</v>
      </c>
      <c r="R4812">
        <v>0</v>
      </c>
      <c r="W4812" t="s">
        <v>1162</v>
      </c>
      <c r="AA4812">
        <v>2007</v>
      </c>
      <c r="AB4812">
        <v>9999</v>
      </c>
      <c r="AC4812" t="s">
        <v>35</v>
      </c>
    </row>
    <row r="4813" spans="1:29" x14ac:dyDescent="0.25">
      <c r="A4813" s="31" t="s">
        <v>729</v>
      </c>
      <c r="B4813" s="23" t="s">
        <v>205</v>
      </c>
      <c r="D4813">
        <v>1</v>
      </c>
      <c r="E4813" t="s">
        <v>168</v>
      </c>
      <c r="F4813">
        <v>1</v>
      </c>
      <c r="G4813">
        <v>2009</v>
      </c>
      <c r="I4813">
        <v>9675.9</v>
      </c>
      <c r="J4813" t="s">
        <v>52</v>
      </c>
      <c r="K4813" t="s">
        <v>47</v>
      </c>
      <c r="O4813">
        <v>0</v>
      </c>
      <c r="P4813">
        <v>0</v>
      </c>
      <c r="Q4813">
        <v>0</v>
      </c>
      <c r="R4813">
        <v>0</v>
      </c>
      <c r="W4813" t="s">
        <v>1163</v>
      </c>
      <c r="AA4813">
        <v>2007</v>
      </c>
      <c r="AB4813">
        <v>9999</v>
      </c>
      <c r="AC4813" t="s">
        <v>35</v>
      </c>
    </row>
    <row r="4814" spans="1:29" x14ac:dyDescent="0.25">
      <c r="A4814" s="31" t="s">
        <v>731</v>
      </c>
      <c r="B4814" s="25" t="s">
        <v>732</v>
      </c>
      <c r="D4814">
        <v>1</v>
      </c>
      <c r="E4814" t="s">
        <v>51</v>
      </c>
      <c r="F4814">
        <v>10</v>
      </c>
      <c r="G4814">
        <v>2009</v>
      </c>
      <c r="H4814" t="s">
        <v>39</v>
      </c>
      <c r="J4814" t="s">
        <v>52</v>
      </c>
      <c r="K4814" t="s">
        <v>41</v>
      </c>
      <c r="O4814">
        <v>0</v>
      </c>
      <c r="P4814">
        <v>0</v>
      </c>
      <c r="Q4814">
        <v>0</v>
      </c>
      <c r="R4814">
        <v>0</v>
      </c>
      <c r="W4814" t="s">
        <v>1164</v>
      </c>
      <c r="AA4814">
        <v>2007</v>
      </c>
      <c r="AB4814">
        <v>9999</v>
      </c>
      <c r="AC4814" t="s">
        <v>35</v>
      </c>
    </row>
    <row r="4815" spans="1:29" x14ac:dyDescent="0.25">
      <c r="A4815" s="31" t="s">
        <v>734</v>
      </c>
      <c r="B4815" s="23" t="s">
        <v>735</v>
      </c>
      <c r="D4815">
        <v>1</v>
      </c>
      <c r="E4815" t="s">
        <v>736</v>
      </c>
      <c r="F4815">
        <v>4</v>
      </c>
      <c r="G4815">
        <v>2009</v>
      </c>
      <c r="I4815">
        <v>893.5</v>
      </c>
      <c r="J4815" t="s">
        <v>151</v>
      </c>
      <c r="K4815" t="s">
        <v>32</v>
      </c>
      <c r="O4815">
        <v>0</v>
      </c>
      <c r="P4815">
        <v>0</v>
      </c>
      <c r="Q4815">
        <v>0</v>
      </c>
      <c r="R4815">
        <v>0</v>
      </c>
      <c r="W4815" t="s">
        <v>1165</v>
      </c>
      <c r="AA4815">
        <v>2007</v>
      </c>
      <c r="AB4815">
        <v>9999</v>
      </c>
      <c r="AC4815" t="s">
        <v>35</v>
      </c>
    </row>
    <row r="4816" spans="1:29" x14ac:dyDescent="0.25">
      <c r="A4816" s="31" t="s">
        <v>738</v>
      </c>
      <c r="B4816" s="25" t="s">
        <v>739</v>
      </c>
      <c r="D4816">
        <v>1</v>
      </c>
      <c r="E4816" t="s">
        <v>128</v>
      </c>
      <c r="F4816">
        <v>9</v>
      </c>
      <c r="G4816">
        <v>2009</v>
      </c>
      <c r="H4816" t="s">
        <v>1262</v>
      </c>
      <c r="J4816" t="s">
        <v>104</v>
      </c>
      <c r="K4816" t="s">
        <v>41</v>
      </c>
      <c r="O4816">
        <v>0</v>
      </c>
      <c r="P4816">
        <v>0</v>
      </c>
      <c r="Q4816">
        <v>0</v>
      </c>
      <c r="R4816">
        <v>0</v>
      </c>
      <c r="W4816" t="s">
        <v>1166</v>
      </c>
      <c r="AA4816">
        <v>2007</v>
      </c>
      <c r="AB4816">
        <v>9999</v>
      </c>
      <c r="AC4816" t="s">
        <v>35</v>
      </c>
    </row>
    <row r="4817" spans="1:29" x14ac:dyDescent="0.25">
      <c r="A4817" s="31" t="s">
        <v>742</v>
      </c>
      <c r="B4817" s="23" t="s">
        <v>743</v>
      </c>
      <c r="D4817">
        <v>1</v>
      </c>
      <c r="E4817" t="s">
        <v>468</v>
      </c>
      <c r="F4817">
        <v>7</v>
      </c>
      <c r="G4817">
        <v>2009</v>
      </c>
      <c r="I4817">
        <v>309.39999999999998</v>
      </c>
      <c r="J4817" t="s">
        <v>40</v>
      </c>
      <c r="K4817" t="s">
        <v>47</v>
      </c>
      <c r="O4817">
        <v>0</v>
      </c>
      <c r="P4817">
        <v>0</v>
      </c>
      <c r="Q4817">
        <v>0</v>
      </c>
      <c r="R4817">
        <v>0</v>
      </c>
      <c r="W4817" t="s">
        <v>1167</v>
      </c>
      <c r="AA4817">
        <v>2007</v>
      </c>
      <c r="AB4817">
        <v>2013</v>
      </c>
      <c r="AC4817" t="s">
        <v>139</v>
      </c>
    </row>
    <row r="4818" spans="1:29" x14ac:dyDescent="0.25">
      <c r="A4818" s="31" t="s">
        <v>745</v>
      </c>
      <c r="B4818" s="23" t="s">
        <v>746</v>
      </c>
      <c r="D4818">
        <v>1</v>
      </c>
      <c r="E4818" t="s">
        <v>468</v>
      </c>
      <c r="F4818">
        <v>7</v>
      </c>
      <c r="G4818">
        <v>2009</v>
      </c>
      <c r="I4818">
        <v>699.4</v>
      </c>
      <c r="J4818" t="s">
        <v>40</v>
      </c>
      <c r="K4818" t="s">
        <v>47</v>
      </c>
      <c r="O4818">
        <v>0</v>
      </c>
      <c r="P4818">
        <v>0</v>
      </c>
      <c r="Q4818">
        <v>0</v>
      </c>
      <c r="R4818">
        <v>0</v>
      </c>
      <c r="W4818" t="s">
        <v>1168</v>
      </c>
      <c r="AA4818">
        <v>2007</v>
      </c>
      <c r="AB4818">
        <v>9999</v>
      </c>
      <c r="AC4818" t="s">
        <v>35</v>
      </c>
    </row>
    <row r="4819" spans="1:29" x14ac:dyDescent="0.25">
      <c r="A4819" s="31" t="s">
        <v>1263</v>
      </c>
      <c r="B4819" s="23" t="s">
        <v>1264</v>
      </c>
      <c r="C4819" t="s">
        <v>1265</v>
      </c>
      <c r="D4819">
        <v>1</v>
      </c>
      <c r="E4819" t="s">
        <v>712</v>
      </c>
      <c r="F4819">
        <v>9</v>
      </c>
      <c r="G4819">
        <v>2009</v>
      </c>
      <c r="I4819">
        <v>1013.1</v>
      </c>
      <c r="J4819" t="s">
        <v>104</v>
      </c>
      <c r="K4819" t="s">
        <v>47</v>
      </c>
      <c r="O4819">
        <v>0</v>
      </c>
      <c r="P4819">
        <v>0</v>
      </c>
      <c r="Q4819">
        <v>0</v>
      </c>
      <c r="R4819">
        <v>0</v>
      </c>
      <c r="W4819" t="s">
        <v>1266</v>
      </c>
      <c r="AA4819">
        <v>2009</v>
      </c>
      <c r="AB4819">
        <v>9999</v>
      </c>
      <c r="AC4819" t="s">
        <v>1239</v>
      </c>
    </row>
    <row r="4820" spans="1:29" x14ac:dyDescent="0.25">
      <c r="A4820" s="31" t="s">
        <v>754</v>
      </c>
      <c r="B4820" s="25" t="s">
        <v>755</v>
      </c>
      <c r="D4820">
        <v>1</v>
      </c>
      <c r="E4820" t="s">
        <v>85</v>
      </c>
      <c r="F4820">
        <v>1</v>
      </c>
      <c r="G4820">
        <v>2009</v>
      </c>
      <c r="H4820" t="s">
        <v>756</v>
      </c>
      <c r="J4820" t="s">
        <v>52</v>
      </c>
      <c r="K4820" t="s">
        <v>41</v>
      </c>
      <c r="O4820">
        <v>0</v>
      </c>
      <c r="P4820">
        <v>0</v>
      </c>
      <c r="Q4820">
        <v>0</v>
      </c>
      <c r="R4820">
        <v>0</v>
      </c>
      <c r="W4820" t="s">
        <v>1169</v>
      </c>
      <c r="AA4820">
        <v>2007</v>
      </c>
      <c r="AB4820">
        <v>9999</v>
      </c>
      <c r="AC4820" t="s">
        <v>35</v>
      </c>
    </row>
    <row r="4821" spans="1:29" x14ac:dyDescent="0.25">
      <c r="A4821" s="31" t="s">
        <v>758</v>
      </c>
      <c r="B4821" s="23" t="s">
        <v>759</v>
      </c>
      <c r="D4821">
        <v>1</v>
      </c>
      <c r="E4821" t="s">
        <v>760</v>
      </c>
      <c r="F4821">
        <v>7</v>
      </c>
      <c r="G4821">
        <v>2009</v>
      </c>
      <c r="I4821">
        <v>39.299999999999997</v>
      </c>
      <c r="J4821" t="s">
        <v>40</v>
      </c>
      <c r="K4821" t="s">
        <v>47</v>
      </c>
      <c r="O4821">
        <v>0</v>
      </c>
      <c r="P4821">
        <v>0</v>
      </c>
      <c r="Q4821">
        <v>0</v>
      </c>
      <c r="R4821">
        <v>0</v>
      </c>
      <c r="W4821" t="s">
        <v>1170</v>
      </c>
      <c r="AA4821">
        <v>2007</v>
      </c>
      <c r="AB4821">
        <v>9999</v>
      </c>
      <c r="AC4821" t="s">
        <v>35</v>
      </c>
    </row>
    <row r="4822" spans="1:29" x14ac:dyDescent="0.25">
      <c r="A4822" s="31" t="s">
        <v>762</v>
      </c>
      <c r="B4822" s="23" t="s">
        <v>763</v>
      </c>
      <c r="D4822">
        <v>1</v>
      </c>
      <c r="E4822" t="s">
        <v>138</v>
      </c>
      <c r="F4822">
        <v>8</v>
      </c>
      <c r="G4822">
        <v>2009</v>
      </c>
      <c r="I4822">
        <v>10.7</v>
      </c>
      <c r="J4822" t="s">
        <v>81</v>
      </c>
      <c r="K4822" t="s">
        <v>47</v>
      </c>
      <c r="O4822">
        <v>0</v>
      </c>
      <c r="P4822">
        <v>0</v>
      </c>
      <c r="Q4822">
        <v>0</v>
      </c>
      <c r="R4822">
        <v>0</v>
      </c>
      <c r="W4822" t="s">
        <v>1171</v>
      </c>
      <c r="AA4822">
        <v>2007</v>
      </c>
      <c r="AB4822">
        <v>2010</v>
      </c>
      <c r="AC4822" t="s">
        <v>91</v>
      </c>
    </row>
    <row r="4823" spans="1:29" x14ac:dyDescent="0.25">
      <c r="A4823" s="31" t="s">
        <v>765</v>
      </c>
      <c r="B4823" s="23" t="s">
        <v>766</v>
      </c>
      <c r="D4823">
        <v>1</v>
      </c>
      <c r="E4823" t="s">
        <v>115</v>
      </c>
      <c r="F4823">
        <v>6</v>
      </c>
      <c r="G4823">
        <v>2009</v>
      </c>
      <c r="I4823">
        <v>15.4</v>
      </c>
      <c r="J4823" t="s">
        <v>52</v>
      </c>
      <c r="K4823" t="s">
        <v>47</v>
      </c>
      <c r="O4823">
        <v>0</v>
      </c>
      <c r="P4823">
        <v>0</v>
      </c>
      <c r="Q4823">
        <v>0</v>
      </c>
      <c r="R4823">
        <v>0</v>
      </c>
      <c r="W4823" t="s">
        <v>1172</v>
      </c>
      <c r="AA4823">
        <v>2007</v>
      </c>
      <c r="AB4823">
        <v>2012</v>
      </c>
      <c r="AC4823" t="s">
        <v>302</v>
      </c>
    </row>
    <row r="4824" spans="1:29" x14ac:dyDescent="0.25">
      <c r="A4824" s="31" t="s">
        <v>768</v>
      </c>
      <c r="B4824" s="23" t="s">
        <v>769</v>
      </c>
      <c r="C4824" t="s">
        <v>770</v>
      </c>
      <c r="D4824">
        <v>1</v>
      </c>
      <c r="E4824" t="s">
        <v>30</v>
      </c>
      <c r="F4824">
        <v>4</v>
      </c>
      <c r="G4824">
        <v>2009</v>
      </c>
      <c r="I4824">
        <v>232.8</v>
      </c>
      <c r="J4824" t="s">
        <v>89</v>
      </c>
      <c r="K4824" t="s">
        <v>47</v>
      </c>
      <c r="O4824">
        <v>0</v>
      </c>
      <c r="P4824">
        <v>0</v>
      </c>
      <c r="Q4824">
        <v>0</v>
      </c>
      <c r="R4824">
        <v>0</v>
      </c>
      <c r="W4824" t="s">
        <v>1173</v>
      </c>
      <c r="AA4824">
        <v>2007</v>
      </c>
      <c r="AB4824">
        <v>9999</v>
      </c>
      <c r="AC4824" t="s">
        <v>35</v>
      </c>
    </row>
    <row r="4825" spans="1:29" x14ac:dyDescent="0.25">
      <c r="A4825" s="31" t="s">
        <v>772</v>
      </c>
      <c r="B4825" s="23" t="s">
        <v>773</v>
      </c>
      <c r="C4825" t="s">
        <v>774</v>
      </c>
      <c r="D4825">
        <v>1</v>
      </c>
      <c r="E4825" t="s">
        <v>358</v>
      </c>
      <c r="F4825">
        <v>1</v>
      </c>
      <c r="G4825">
        <v>2009</v>
      </c>
      <c r="I4825">
        <v>380.6</v>
      </c>
      <c r="J4825" t="s">
        <v>52</v>
      </c>
      <c r="K4825" t="s">
        <v>32</v>
      </c>
      <c r="O4825">
        <v>0</v>
      </c>
      <c r="P4825">
        <v>0</v>
      </c>
      <c r="Q4825">
        <v>0</v>
      </c>
      <c r="R4825">
        <v>0</v>
      </c>
      <c r="W4825" t="s">
        <v>1174</v>
      </c>
      <c r="AA4825">
        <v>2007</v>
      </c>
      <c r="AB4825">
        <v>9999</v>
      </c>
      <c r="AC4825" t="s">
        <v>35</v>
      </c>
    </row>
    <row r="4826" spans="1:29" x14ac:dyDescent="0.25">
      <c r="A4826" s="31" t="s">
        <v>776</v>
      </c>
      <c r="B4826" s="23" t="s">
        <v>777</v>
      </c>
      <c r="D4826">
        <v>1</v>
      </c>
      <c r="E4826" t="s">
        <v>468</v>
      </c>
      <c r="F4826">
        <v>7</v>
      </c>
      <c r="G4826">
        <v>2009</v>
      </c>
      <c r="I4826">
        <v>151.1</v>
      </c>
      <c r="J4826" t="s">
        <v>40</v>
      </c>
      <c r="K4826" t="s">
        <v>47</v>
      </c>
      <c r="O4826">
        <v>0</v>
      </c>
      <c r="P4826">
        <v>0</v>
      </c>
      <c r="Q4826">
        <v>0</v>
      </c>
      <c r="R4826">
        <v>0</v>
      </c>
      <c r="W4826" t="s">
        <v>1175</v>
      </c>
      <c r="AA4826">
        <v>2007</v>
      </c>
      <c r="AB4826">
        <v>2013</v>
      </c>
      <c r="AC4826" t="s">
        <v>139</v>
      </c>
    </row>
    <row r="4827" spans="1:29" x14ac:dyDescent="0.25">
      <c r="A4827" s="31" t="s">
        <v>779</v>
      </c>
      <c r="B4827" s="23" t="s">
        <v>780</v>
      </c>
      <c r="D4827">
        <v>1</v>
      </c>
      <c r="E4827" t="s">
        <v>80</v>
      </c>
      <c r="F4827">
        <v>8</v>
      </c>
      <c r="G4827">
        <v>2009</v>
      </c>
      <c r="I4827">
        <v>80.2</v>
      </c>
      <c r="J4827" t="s">
        <v>81</v>
      </c>
      <c r="K4827" t="s">
        <v>47</v>
      </c>
      <c r="O4827">
        <v>0</v>
      </c>
      <c r="P4827">
        <v>0</v>
      </c>
      <c r="Q4827">
        <v>0</v>
      </c>
      <c r="R4827">
        <v>0</v>
      </c>
      <c r="W4827" t="s">
        <v>1176</v>
      </c>
      <c r="AA4827">
        <v>2007</v>
      </c>
      <c r="AB4827">
        <v>9999</v>
      </c>
      <c r="AC4827" t="s">
        <v>35</v>
      </c>
    </row>
    <row r="4828" spans="1:29" x14ac:dyDescent="0.25">
      <c r="A4828" s="31" t="s">
        <v>782</v>
      </c>
      <c r="B4828" s="23" t="s">
        <v>783</v>
      </c>
      <c r="D4828">
        <v>1</v>
      </c>
      <c r="E4828" t="s">
        <v>784</v>
      </c>
      <c r="F4828">
        <v>6</v>
      </c>
      <c r="G4828">
        <v>2009</v>
      </c>
      <c r="I4828">
        <v>75.7</v>
      </c>
      <c r="J4828" t="s">
        <v>31</v>
      </c>
      <c r="K4828" t="s">
        <v>47</v>
      </c>
      <c r="O4828">
        <v>0</v>
      </c>
      <c r="P4828">
        <v>0</v>
      </c>
      <c r="Q4828">
        <v>0</v>
      </c>
      <c r="R4828">
        <v>0</v>
      </c>
      <c r="W4828" t="s">
        <v>1177</v>
      </c>
      <c r="AA4828">
        <v>2007</v>
      </c>
      <c r="AB4828">
        <v>9999</v>
      </c>
      <c r="AC4828" t="s">
        <v>35</v>
      </c>
    </row>
    <row r="4829" spans="1:29" x14ac:dyDescent="0.25">
      <c r="A4829" s="31" t="s">
        <v>786</v>
      </c>
      <c r="B4829" s="23" t="s">
        <v>787</v>
      </c>
      <c r="C4829" t="s">
        <v>788</v>
      </c>
      <c r="D4829">
        <v>1</v>
      </c>
      <c r="E4829" t="s">
        <v>120</v>
      </c>
      <c r="F4829">
        <v>3</v>
      </c>
      <c r="G4829">
        <v>2009</v>
      </c>
      <c r="I4829">
        <v>20.2</v>
      </c>
      <c r="J4829" t="s">
        <v>147</v>
      </c>
      <c r="K4829" t="s">
        <v>47</v>
      </c>
      <c r="O4829">
        <v>0</v>
      </c>
      <c r="P4829">
        <v>0</v>
      </c>
      <c r="Q4829">
        <v>0</v>
      </c>
      <c r="R4829">
        <v>0</v>
      </c>
      <c r="W4829" t="s">
        <v>1178</v>
      </c>
      <c r="AA4829">
        <v>2007</v>
      </c>
      <c r="AB4829">
        <v>9999</v>
      </c>
      <c r="AC4829" t="s">
        <v>35</v>
      </c>
    </row>
    <row r="4830" spans="1:29" x14ac:dyDescent="0.25">
      <c r="A4830" s="31" t="s">
        <v>790</v>
      </c>
      <c r="B4830" s="23" t="s">
        <v>791</v>
      </c>
      <c r="D4830">
        <v>1</v>
      </c>
      <c r="E4830" t="s">
        <v>80</v>
      </c>
      <c r="F4830">
        <v>8</v>
      </c>
      <c r="G4830">
        <v>2009</v>
      </c>
      <c r="I4830">
        <v>87.2</v>
      </c>
      <c r="J4830" t="s">
        <v>81</v>
      </c>
      <c r="K4830" t="s">
        <v>47</v>
      </c>
      <c r="O4830">
        <v>0</v>
      </c>
      <c r="P4830">
        <v>0</v>
      </c>
      <c r="Q4830">
        <v>0</v>
      </c>
      <c r="R4830">
        <v>0</v>
      </c>
      <c r="W4830" t="s">
        <v>1179</v>
      </c>
      <c r="AA4830">
        <v>2007</v>
      </c>
      <c r="AB4830">
        <v>9999</v>
      </c>
      <c r="AC4830" t="s">
        <v>35</v>
      </c>
    </row>
    <row r="4831" spans="1:29" x14ac:dyDescent="0.25">
      <c r="A4831" s="31" t="s">
        <v>793</v>
      </c>
      <c r="B4831" s="23" t="s">
        <v>794</v>
      </c>
      <c r="D4831">
        <v>1</v>
      </c>
      <c r="E4831" t="s">
        <v>38</v>
      </c>
      <c r="F4831">
        <v>4</v>
      </c>
      <c r="G4831">
        <v>2009</v>
      </c>
      <c r="I4831">
        <v>31.2</v>
      </c>
      <c r="J4831" t="s">
        <v>89</v>
      </c>
      <c r="K4831" t="s">
        <v>47</v>
      </c>
      <c r="O4831">
        <v>0</v>
      </c>
      <c r="P4831">
        <v>0</v>
      </c>
      <c r="Q4831">
        <v>0</v>
      </c>
      <c r="R4831">
        <v>0</v>
      </c>
      <c r="W4831" t="s">
        <v>1180</v>
      </c>
      <c r="AA4831">
        <v>2007</v>
      </c>
      <c r="AB4831">
        <v>2010</v>
      </c>
      <c r="AC4831" t="s">
        <v>91</v>
      </c>
    </row>
    <row r="4832" spans="1:29" x14ac:dyDescent="0.25">
      <c r="A4832" s="31" t="s">
        <v>796</v>
      </c>
      <c r="B4832" s="23" t="s">
        <v>797</v>
      </c>
      <c r="C4832" t="s">
        <v>798</v>
      </c>
      <c r="D4832">
        <v>1</v>
      </c>
      <c r="E4832" t="s">
        <v>534</v>
      </c>
      <c r="F4832">
        <v>10</v>
      </c>
      <c r="G4832">
        <v>2009</v>
      </c>
      <c r="I4832">
        <v>3016.1</v>
      </c>
      <c r="J4832" t="s">
        <v>40</v>
      </c>
      <c r="K4832" t="s">
        <v>47</v>
      </c>
      <c r="O4832">
        <v>0</v>
      </c>
      <c r="P4832">
        <v>0</v>
      </c>
      <c r="Q4832">
        <v>0</v>
      </c>
      <c r="R4832">
        <v>0</v>
      </c>
      <c r="W4832" t="s">
        <v>1181</v>
      </c>
      <c r="AA4832">
        <v>2007</v>
      </c>
      <c r="AB4832">
        <v>9999</v>
      </c>
      <c r="AC4832" t="s">
        <v>35</v>
      </c>
    </row>
    <row r="4833" spans="1:29" x14ac:dyDescent="0.25">
      <c r="A4833" s="31" t="s">
        <v>800</v>
      </c>
      <c r="B4833" s="23" t="s">
        <v>801</v>
      </c>
      <c r="C4833" t="s">
        <v>802</v>
      </c>
      <c r="D4833">
        <v>1</v>
      </c>
      <c r="E4833" t="s">
        <v>442</v>
      </c>
      <c r="F4833">
        <v>4</v>
      </c>
      <c r="G4833">
        <v>2009</v>
      </c>
      <c r="I4833">
        <v>1464.9</v>
      </c>
      <c r="J4833" t="s">
        <v>151</v>
      </c>
      <c r="K4833" t="s">
        <v>47</v>
      </c>
      <c r="O4833">
        <v>0</v>
      </c>
      <c r="P4833">
        <v>0</v>
      </c>
      <c r="Q4833">
        <v>0</v>
      </c>
      <c r="R4833">
        <v>0</v>
      </c>
      <c r="W4833" t="s">
        <v>1182</v>
      </c>
      <c r="AA4833">
        <v>2007</v>
      </c>
      <c r="AB4833">
        <v>9999</v>
      </c>
      <c r="AC4833" t="s">
        <v>35</v>
      </c>
    </row>
    <row r="4834" spans="1:29" x14ac:dyDescent="0.25">
      <c r="A4834" s="31" t="s">
        <v>804</v>
      </c>
      <c r="B4834" s="23" t="s">
        <v>805</v>
      </c>
      <c r="D4834">
        <v>1</v>
      </c>
      <c r="E4834" t="s">
        <v>806</v>
      </c>
      <c r="F4834">
        <v>4</v>
      </c>
      <c r="G4834">
        <v>2009</v>
      </c>
      <c r="I4834">
        <v>5.8</v>
      </c>
      <c r="J4834" t="s">
        <v>89</v>
      </c>
      <c r="K4834" t="s">
        <v>32</v>
      </c>
      <c r="O4834">
        <v>0</v>
      </c>
      <c r="P4834">
        <v>0</v>
      </c>
      <c r="Q4834">
        <v>0</v>
      </c>
      <c r="R4834">
        <v>0</v>
      </c>
      <c r="W4834" t="s">
        <v>1183</v>
      </c>
      <c r="AA4834">
        <v>2007</v>
      </c>
      <c r="AB4834">
        <v>2012</v>
      </c>
      <c r="AC4834" t="s">
        <v>302</v>
      </c>
    </row>
    <row r="4835" spans="1:29" x14ac:dyDescent="0.25">
      <c r="A4835" s="31" t="s">
        <v>808</v>
      </c>
      <c r="B4835" s="23" t="s">
        <v>809</v>
      </c>
      <c r="D4835">
        <v>1</v>
      </c>
      <c r="E4835" t="s">
        <v>80</v>
      </c>
      <c r="F4835">
        <v>8</v>
      </c>
      <c r="G4835">
        <v>2009</v>
      </c>
      <c r="I4835">
        <v>13.6</v>
      </c>
      <c r="J4835" t="s">
        <v>81</v>
      </c>
      <c r="K4835" t="s">
        <v>47</v>
      </c>
      <c r="O4835">
        <v>0</v>
      </c>
      <c r="P4835">
        <v>0</v>
      </c>
      <c r="Q4835">
        <v>0</v>
      </c>
      <c r="R4835">
        <v>0</v>
      </c>
      <c r="W4835" t="s">
        <v>1184</v>
      </c>
      <c r="AA4835">
        <v>2007</v>
      </c>
      <c r="AB4835">
        <v>9999</v>
      </c>
      <c r="AC4835" t="s">
        <v>35</v>
      </c>
    </row>
    <row r="4836" spans="1:29" x14ac:dyDescent="0.25">
      <c r="A4836" s="31" t="s">
        <v>472</v>
      </c>
      <c r="B4836" s="23" t="s">
        <v>811</v>
      </c>
      <c r="D4836">
        <v>1</v>
      </c>
      <c r="E4836" t="s">
        <v>681</v>
      </c>
      <c r="F4836">
        <v>3</v>
      </c>
      <c r="G4836">
        <v>2009</v>
      </c>
      <c r="I4836" t="s">
        <v>812</v>
      </c>
      <c r="J4836" t="s">
        <v>121</v>
      </c>
      <c r="K4836" t="s">
        <v>53</v>
      </c>
      <c r="L4836" t="s">
        <v>53</v>
      </c>
      <c r="O4836">
        <v>0</v>
      </c>
      <c r="P4836">
        <v>0</v>
      </c>
      <c r="Q4836">
        <v>0</v>
      </c>
      <c r="R4836">
        <v>0</v>
      </c>
      <c r="W4836" t="s">
        <v>813</v>
      </c>
      <c r="AA4836">
        <v>2007</v>
      </c>
      <c r="AB4836">
        <v>9999</v>
      </c>
      <c r="AC4836" t="s">
        <v>35</v>
      </c>
    </row>
    <row r="4837" spans="1:29" x14ac:dyDescent="0.25">
      <c r="A4837" s="31" t="s">
        <v>814</v>
      </c>
      <c r="B4837" s="23" t="s">
        <v>815</v>
      </c>
      <c r="D4837">
        <v>1</v>
      </c>
      <c r="E4837" t="s">
        <v>80</v>
      </c>
      <c r="F4837">
        <v>8</v>
      </c>
      <c r="G4837">
        <v>2009</v>
      </c>
      <c r="I4837">
        <v>72.599999999999994</v>
      </c>
      <c r="J4837" t="s">
        <v>81</v>
      </c>
      <c r="K4837" t="s">
        <v>32</v>
      </c>
      <c r="O4837">
        <v>0</v>
      </c>
      <c r="P4837">
        <v>0</v>
      </c>
      <c r="Q4837">
        <v>0</v>
      </c>
      <c r="R4837">
        <v>0</v>
      </c>
      <c r="W4837" t="s">
        <v>1185</v>
      </c>
      <c r="AA4837">
        <v>2007</v>
      </c>
      <c r="AB4837">
        <v>9999</v>
      </c>
      <c r="AC4837" t="s">
        <v>35</v>
      </c>
    </row>
    <row r="4838" spans="1:29" x14ac:dyDescent="0.25">
      <c r="A4838" s="31" t="s">
        <v>822</v>
      </c>
      <c r="B4838" s="23" t="s">
        <v>823</v>
      </c>
      <c r="D4838">
        <v>1</v>
      </c>
      <c r="E4838" t="s">
        <v>80</v>
      </c>
      <c r="F4838">
        <v>8</v>
      </c>
      <c r="G4838">
        <v>2009</v>
      </c>
      <c r="I4838">
        <v>195.3</v>
      </c>
      <c r="J4838" t="s">
        <v>81</v>
      </c>
      <c r="K4838" t="s">
        <v>47</v>
      </c>
      <c r="O4838">
        <v>0</v>
      </c>
      <c r="P4838">
        <v>0</v>
      </c>
      <c r="Q4838">
        <v>0</v>
      </c>
      <c r="R4838">
        <v>0</v>
      </c>
      <c r="W4838" t="s">
        <v>1187</v>
      </c>
      <c r="AA4838">
        <v>2007</v>
      </c>
      <c r="AB4838">
        <v>9999</v>
      </c>
      <c r="AC4838" t="s">
        <v>35</v>
      </c>
    </row>
    <row r="4839" spans="1:29" x14ac:dyDescent="0.25">
      <c r="A4839" s="31" t="s">
        <v>825</v>
      </c>
      <c r="B4839" s="23" t="s">
        <v>826</v>
      </c>
      <c r="D4839">
        <v>1</v>
      </c>
      <c r="E4839" t="s">
        <v>80</v>
      </c>
      <c r="F4839">
        <v>8</v>
      </c>
      <c r="G4839">
        <v>2009</v>
      </c>
      <c r="I4839">
        <v>125.5</v>
      </c>
      <c r="J4839" t="s">
        <v>81</v>
      </c>
      <c r="K4839" t="s">
        <v>47</v>
      </c>
      <c r="O4839">
        <v>0</v>
      </c>
      <c r="P4839">
        <v>0</v>
      </c>
      <c r="Q4839">
        <v>0</v>
      </c>
      <c r="R4839">
        <v>0</v>
      </c>
      <c r="W4839" t="s">
        <v>1188</v>
      </c>
      <c r="AA4839">
        <v>2007</v>
      </c>
      <c r="AB4839">
        <v>9999</v>
      </c>
      <c r="AC4839" t="s">
        <v>35</v>
      </c>
    </row>
    <row r="4840" spans="1:29" x14ac:dyDescent="0.25">
      <c r="A4840" s="31" t="s">
        <v>828</v>
      </c>
      <c r="B4840" s="23" t="s">
        <v>829</v>
      </c>
      <c r="D4840">
        <v>1</v>
      </c>
      <c r="E4840" t="s">
        <v>138</v>
      </c>
      <c r="F4840">
        <v>8</v>
      </c>
      <c r="G4840">
        <v>2009</v>
      </c>
      <c r="I4840">
        <v>56.6</v>
      </c>
      <c r="J4840" t="s">
        <v>81</v>
      </c>
      <c r="K4840" t="s">
        <v>47</v>
      </c>
      <c r="O4840">
        <v>0</v>
      </c>
      <c r="P4840">
        <v>0</v>
      </c>
      <c r="Q4840">
        <v>0</v>
      </c>
      <c r="R4840">
        <v>0</v>
      </c>
      <c r="W4840" t="s">
        <v>1189</v>
      </c>
      <c r="AA4840">
        <v>2007</v>
      </c>
      <c r="AB4840">
        <v>9999</v>
      </c>
      <c r="AC4840" t="s">
        <v>35</v>
      </c>
    </row>
    <row r="4841" spans="1:29" x14ac:dyDescent="0.25">
      <c r="A4841" s="31" t="s">
        <v>831</v>
      </c>
      <c r="B4841" s="25" t="s">
        <v>832</v>
      </c>
      <c r="C4841" t="s">
        <v>833</v>
      </c>
      <c r="D4841">
        <v>1</v>
      </c>
      <c r="E4841" t="s">
        <v>38</v>
      </c>
      <c r="F4841">
        <v>4</v>
      </c>
      <c r="G4841">
        <v>2009</v>
      </c>
      <c r="H4841" t="s">
        <v>834</v>
      </c>
      <c r="J4841" t="s">
        <v>59</v>
      </c>
      <c r="K4841" t="s">
        <v>41</v>
      </c>
      <c r="O4841">
        <v>0</v>
      </c>
      <c r="P4841">
        <v>0</v>
      </c>
      <c r="Q4841">
        <v>0</v>
      </c>
      <c r="R4841">
        <v>0</v>
      </c>
      <c r="W4841" t="s">
        <v>1190</v>
      </c>
      <c r="AA4841">
        <v>2007</v>
      </c>
      <c r="AB4841">
        <v>9999</v>
      </c>
      <c r="AC4841" t="s">
        <v>35</v>
      </c>
    </row>
    <row r="4842" spans="1:29" x14ac:dyDescent="0.25">
      <c r="A4842" s="31" t="s">
        <v>836</v>
      </c>
      <c r="B4842" s="23" t="s">
        <v>837</v>
      </c>
      <c r="D4842">
        <v>1</v>
      </c>
      <c r="E4842" t="s">
        <v>64</v>
      </c>
      <c r="F4842">
        <v>1</v>
      </c>
      <c r="G4842">
        <v>2009</v>
      </c>
      <c r="I4842">
        <v>303.60000000000002</v>
      </c>
      <c r="J4842" t="s">
        <v>52</v>
      </c>
      <c r="K4842" t="s">
        <v>32</v>
      </c>
      <c r="O4842">
        <v>0</v>
      </c>
      <c r="P4842">
        <v>0</v>
      </c>
      <c r="Q4842">
        <v>0</v>
      </c>
      <c r="R4842">
        <v>0</v>
      </c>
      <c r="W4842" t="s">
        <v>1191</v>
      </c>
      <c r="AA4842">
        <v>2007</v>
      </c>
      <c r="AB4842">
        <v>9999</v>
      </c>
      <c r="AC4842" t="s">
        <v>35</v>
      </c>
    </row>
    <row r="4843" spans="1:29" x14ac:dyDescent="0.25">
      <c r="A4843" s="31" t="s">
        <v>1194</v>
      </c>
      <c r="B4843" s="23" t="s">
        <v>1195</v>
      </c>
      <c r="D4843">
        <v>1</v>
      </c>
      <c r="E4843" t="s">
        <v>85</v>
      </c>
      <c r="F4843">
        <v>1</v>
      </c>
      <c r="G4843">
        <v>2009</v>
      </c>
      <c r="H4843" t="s">
        <v>39</v>
      </c>
      <c r="J4843" t="s">
        <v>52</v>
      </c>
      <c r="K4843" t="s">
        <v>41</v>
      </c>
      <c r="O4843">
        <v>0</v>
      </c>
      <c r="P4843">
        <v>0</v>
      </c>
      <c r="Q4843">
        <v>0</v>
      </c>
      <c r="R4843">
        <v>0</v>
      </c>
      <c r="W4843" t="s">
        <v>1267</v>
      </c>
      <c r="AA4843">
        <v>2008</v>
      </c>
      <c r="AB4843">
        <v>9999</v>
      </c>
      <c r="AC4843" t="s">
        <v>1054</v>
      </c>
    </row>
    <row r="4844" spans="1:29" x14ac:dyDescent="0.25">
      <c r="A4844" s="31" t="s">
        <v>1268</v>
      </c>
      <c r="B4844" s="23" t="s">
        <v>1262</v>
      </c>
      <c r="D4844">
        <v>1</v>
      </c>
      <c r="E4844" t="s">
        <v>300</v>
      </c>
      <c r="F4844">
        <v>9</v>
      </c>
      <c r="G4844">
        <v>2009</v>
      </c>
      <c r="I4844">
        <v>281.5</v>
      </c>
      <c r="J4844" t="s">
        <v>104</v>
      </c>
      <c r="K4844" t="s">
        <v>47</v>
      </c>
      <c r="O4844">
        <v>0</v>
      </c>
      <c r="P4844">
        <v>0</v>
      </c>
      <c r="Q4844">
        <v>0</v>
      </c>
      <c r="R4844">
        <v>0</v>
      </c>
      <c r="W4844" t="s">
        <v>1269</v>
      </c>
      <c r="AA4844">
        <v>2009</v>
      </c>
      <c r="AB4844">
        <v>9999</v>
      </c>
      <c r="AC4844" t="s">
        <v>1239</v>
      </c>
    </row>
    <row r="4845" spans="1:29" x14ac:dyDescent="0.25">
      <c r="A4845" s="31" t="s">
        <v>845</v>
      </c>
      <c r="B4845" s="23" t="s">
        <v>846</v>
      </c>
      <c r="C4845" t="s">
        <v>847</v>
      </c>
      <c r="D4845">
        <v>1</v>
      </c>
      <c r="E4845" t="s">
        <v>300</v>
      </c>
      <c r="F4845">
        <v>9</v>
      </c>
      <c r="G4845">
        <v>2009</v>
      </c>
      <c r="I4845">
        <v>272.8</v>
      </c>
      <c r="J4845" t="s">
        <v>104</v>
      </c>
      <c r="K4845" t="s">
        <v>47</v>
      </c>
      <c r="O4845">
        <v>0</v>
      </c>
      <c r="P4845">
        <v>0</v>
      </c>
      <c r="Q4845">
        <v>0</v>
      </c>
      <c r="R4845">
        <v>0</v>
      </c>
      <c r="W4845" t="s">
        <v>1270</v>
      </c>
      <c r="AA4845">
        <v>2007</v>
      </c>
      <c r="AB4845">
        <v>9999</v>
      </c>
      <c r="AC4845" t="s">
        <v>35</v>
      </c>
    </row>
    <row r="4846" spans="1:29" x14ac:dyDescent="0.25">
      <c r="A4846" s="31" t="s">
        <v>852</v>
      </c>
      <c r="B4846" s="25" t="s">
        <v>853</v>
      </c>
      <c r="D4846">
        <v>1</v>
      </c>
      <c r="E4846" t="s">
        <v>85</v>
      </c>
      <c r="F4846">
        <v>1</v>
      </c>
      <c r="G4846">
        <v>2009</v>
      </c>
      <c r="H4846" t="s">
        <v>837</v>
      </c>
      <c r="J4846" t="s">
        <v>52</v>
      </c>
      <c r="K4846" t="s">
        <v>41</v>
      </c>
      <c r="O4846">
        <v>0</v>
      </c>
      <c r="P4846">
        <v>0</v>
      </c>
      <c r="Q4846">
        <v>0</v>
      </c>
      <c r="R4846">
        <v>0</v>
      </c>
      <c r="W4846" t="s">
        <v>1191</v>
      </c>
      <c r="AA4846">
        <v>2007</v>
      </c>
      <c r="AB4846">
        <v>9999</v>
      </c>
      <c r="AC4846" t="s">
        <v>35</v>
      </c>
    </row>
    <row r="4847" spans="1:29" x14ac:dyDescent="0.25">
      <c r="A4847" s="31" t="s">
        <v>854</v>
      </c>
      <c r="B4847" s="23" t="s">
        <v>855</v>
      </c>
      <c r="D4847">
        <v>1</v>
      </c>
      <c r="E4847" t="s">
        <v>85</v>
      </c>
      <c r="F4847">
        <v>1</v>
      </c>
      <c r="G4847">
        <v>2009</v>
      </c>
      <c r="H4847" t="s">
        <v>63</v>
      </c>
      <c r="J4847" t="s">
        <v>52</v>
      </c>
      <c r="K4847" t="s">
        <v>41</v>
      </c>
      <c r="O4847">
        <v>0</v>
      </c>
      <c r="P4847">
        <v>0</v>
      </c>
      <c r="Q4847">
        <v>0</v>
      </c>
      <c r="R4847">
        <v>0</v>
      </c>
      <c r="W4847" t="s">
        <v>1196</v>
      </c>
      <c r="AA4847">
        <v>2007</v>
      </c>
      <c r="AB4847">
        <v>2009</v>
      </c>
      <c r="AC4847" t="s">
        <v>236</v>
      </c>
    </row>
    <row r="4848" spans="1:29" x14ac:dyDescent="0.25">
      <c r="A4848" s="31" t="s">
        <v>857</v>
      </c>
      <c r="B4848" s="25" t="s">
        <v>858</v>
      </c>
      <c r="D4848">
        <v>1</v>
      </c>
      <c r="E4848" t="s">
        <v>859</v>
      </c>
      <c r="F4848">
        <v>5</v>
      </c>
      <c r="G4848">
        <v>2009</v>
      </c>
      <c r="I4848">
        <v>5.9</v>
      </c>
      <c r="J4848" t="s">
        <v>31</v>
      </c>
      <c r="K4848" t="s">
        <v>47</v>
      </c>
      <c r="O4848">
        <v>0</v>
      </c>
      <c r="P4848">
        <v>0</v>
      </c>
      <c r="Q4848">
        <v>0</v>
      </c>
      <c r="R4848">
        <v>0</v>
      </c>
      <c r="W4848" t="s">
        <v>1197</v>
      </c>
      <c r="AA4848">
        <v>2007</v>
      </c>
      <c r="AB4848">
        <v>2015</v>
      </c>
      <c r="AC4848" t="s">
        <v>861</v>
      </c>
    </row>
    <row r="4849" spans="1:29" x14ac:dyDescent="0.25">
      <c r="A4849" s="31" t="s">
        <v>862</v>
      </c>
      <c r="B4849" s="23" t="s">
        <v>863</v>
      </c>
      <c r="C4849" t="s">
        <v>864</v>
      </c>
      <c r="D4849">
        <v>1</v>
      </c>
      <c r="E4849" t="s">
        <v>442</v>
      </c>
      <c r="F4849">
        <v>4</v>
      </c>
      <c r="G4849">
        <v>2009</v>
      </c>
      <c r="I4849">
        <v>381</v>
      </c>
      <c r="J4849" t="s">
        <v>151</v>
      </c>
      <c r="K4849" t="s">
        <v>47</v>
      </c>
      <c r="O4849">
        <v>0</v>
      </c>
      <c r="P4849">
        <v>0</v>
      </c>
      <c r="Q4849">
        <v>0</v>
      </c>
      <c r="R4849">
        <v>0</v>
      </c>
      <c r="W4849" t="s">
        <v>1198</v>
      </c>
      <c r="AA4849">
        <v>2007</v>
      </c>
      <c r="AB4849">
        <v>9999</v>
      </c>
      <c r="AC4849" t="s">
        <v>35</v>
      </c>
    </row>
    <row r="4850" spans="1:29" x14ac:dyDescent="0.25">
      <c r="A4850" s="31" t="s">
        <v>866</v>
      </c>
      <c r="B4850" s="23" t="s">
        <v>867</v>
      </c>
      <c r="C4850" t="s">
        <v>868</v>
      </c>
      <c r="D4850">
        <v>1</v>
      </c>
      <c r="E4850" t="s">
        <v>869</v>
      </c>
      <c r="F4850">
        <v>4</v>
      </c>
      <c r="G4850">
        <v>2009</v>
      </c>
      <c r="I4850">
        <v>161.9</v>
      </c>
      <c r="J4850" t="s">
        <v>89</v>
      </c>
      <c r="K4850" t="s">
        <v>32</v>
      </c>
      <c r="O4850">
        <v>0</v>
      </c>
      <c r="P4850">
        <v>0</v>
      </c>
      <c r="Q4850">
        <v>0</v>
      </c>
      <c r="R4850">
        <v>0</v>
      </c>
      <c r="W4850" t="s">
        <v>1199</v>
      </c>
      <c r="AA4850">
        <v>2007</v>
      </c>
      <c r="AB4850">
        <v>9999</v>
      </c>
      <c r="AC4850" t="s">
        <v>35</v>
      </c>
    </row>
    <row r="4851" spans="1:29" x14ac:dyDescent="0.25">
      <c r="A4851" s="31" t="s">
        <v>1023</v>
      </c>
      <c r="B4851" s="25" t="s">
        <v>1200</v>
      </c>
      <c r="D4851">
        <v>1</v>
      </c>
      <c r="E4851" t="s">
        <v>85</v>
      </c>
      <c r="F4851">
        <v>1</v>
      </c>
      <c r="G4851">
        <v>2009</v>
      </c>
      <c r="H4851" t="s">
        <v>39</v>
      </c>
      <c r="J4851" t="s">
        <v>52</v>
      </c>
      <c r="K4851" t="s">
        <v>41</v>
      </c>
      <c r="O4851">
        <v>0</v>
      </c>
      <c r="P4851">
        <v>0</v>
      </c>
      <c r="Q4851">
        <v>0</v>
      </c>
      <c r="R4851">
        <v>0</v>
      </c>
      <c r="W4851" t="s">
        <v>1271</v>
      </c>
      <c r="AA4851">
        <v>2007</v>
      </c>
      <c r="AB4851">
        <v>9999</v>
      </c>
      <c r="AC4851" t="s">
        <v>35</v>
      </c>
    </row>
    <row r="4852" spans="1:29" x14ac:dyDescent="0.25">
      <c r="A4852" s="31" t="s">
        <v>871</v>
      </c>
      <c r="B4852" s="23" t="s">
        <v>872</v>
      </c>
      <c r="C4852" t="s">
        <v>873</v>
      </c>
      <c r="D4852">
        <v>1</v>
      </c>
      <c r="E4852" t="s">
        <v>874</v>
      </c>
      <c r="F4852">
        <v>1</v>
      </c>
      <c r="G4852">
        <v>2009</v>
      </c>
      <c r="I4852">
        <v>1196</v>
      </c>
      <c r="J4852" t="s">
        <v>52</v>
      </c>
      <c r="K4852" t="s">
        <v>47</v>
      </c>
      <c r="O4852">
        <v>0</v>
      </c>
      <c r="P4852">
        <v>0</v>
      </c>
      <c r="Q4852">
        <v>0</v>
      </c>
      <c r="R4852">
        <v>0</v>
      </c>
      <c r="W4852" t="s">
        <v>1201</v>
      </c>
      <c r="AA4852">
        <v>2007</v>
      </c>
      <c r="AB4852">
        <v>9999</v>
      </c>
      <c r="AC4852" t="s">
        <v>35</v>
      </c>
    </row>
    <row r="4853" spans="1:29" x14ac:dyDescent="0.25">
      <c r="A4853" s="31" t="s">
        <v>876</v>
      </c>
      <c r="B4853" s="23" t="s">
        <v>877</v>
      </c>
      <c r="C4853" t="s">
        <v>878</v>
      </c>
      <c r="D4853">
        <v>1</v>
      </c>
      <c r="E4853" t="s">
        <v>168</v>
      </c>
      <c r="F4853">
        <v>1</v>
      </c>
      <c r="G4853">
        <v>2009</v>
      </c>
      <c r="I4853">
        <v>56.9</v>
      </c>
      <c r="J4853" t="s">
        <v>52</v>
      </c>
      <c r="K4853" t="s">
        <v>47</v>
      </c>
      <c r="O4853">
        <v>0</v>
      </c>
      <c r="P4853">
        <v>0</v>
      </c>
      <c r="Q4853">
        <v>0</v>
      </c>
      <c r="R4853">
        <v>0</v>
      </c>
      <c r="W4853" t="s">
        <v>1202</v>
      </c>
      <c r="AA4853">
        <v>2007</v>
      </c>
      <c r="AB4853">
        <v>9999</v>
      </c>
      <c r="AC4853" t="s">
        <v>35</v>
      </c>
    </row>
    <row r="4854" spans="1:29" x14ac:dyDescent="0.25">
      <c r="A4854" s="31" t="s">
        <v>880</v>
      </c>
      <c r="B4854" s="23" t="s">
        <v>881</v>
      </c>
      <c r="C4854" t="s">
        <v>882</v>
      </c>
      <c r="D4854">
        <v>1</v>
      </c>
      <c r="E4854" t="s">
        <v>103</v>
      </c>
      <c r="F4854">
        <v>9</v>
      </c>
      <c r="G4854">
        <v>2009</v>
      </c>
      <c r="I4854">
        <v>3721.3</v>
      </c>
      <c r="J4854" t="s">
        <v>104</v>
      </c>
      <c r="K4854" t="s">
        <v>53</v>
      </c>
      <c r="L4854" t="s">
        <v>105</v>
      </c>
      <c r="O4854">
        <v>0</v>
      </c>
      <c r="P4854">
        <v>1</v>
      </c>
      <c r="Q4854">
        <v>0</v>
      </c>
      <c r="R4854">
        <v>0</v>
      </c>
      <c r="W4854" t="s">
        <v>106</v>
      </c>
      <c r="AA4854">
        <v>2007</v>
      </c>
      <c r="AB4854">
        <v>9999</v>
      </c>
      <c r="AC4854" t="s">
        <v>35</v>
      </c>
    </row>
    <row r="4855" spans="1:29" x14ac:dyDescent="0.25">
      <c r="A4855" s="31" t="s">
        <v>1272</v>
      </c>
      <c r="B4855" s="23" t="s">
        <v>1273</v>
      </c>
      <c r="D4855">
        <v>1</v>
      </c>
      <c r="E4855" t="s">
        <v>1274</v>
      </c>
      <c r="F4855">
        <v>4</v>
      </c>
      <c r="G4855">
        <v>2009</v>
      </c>
      <c r="I4855">
        <v>201.2</v>
      </c>
      <c r="J4855" t="s">
        <v>31</v>
      </c>
      <c r="K4855" t="s">
        <v>47</v>
      </c>
      <c r="O4855">
        <v>0</v>
      </c>
      <c r="P4855">
        <v>0</v>
      </c>
      <c r="Q4855">
        <v>0</v>
      </c>
      <c r="R4855">
        <v>0</v>
      </c>
      <c r="W4855" t="s">
        <v>1275</v>
      </c>
      <c r="AA4855">
        <v>2009</v>
      </c>
      <c r="AB4855">
        <v>9999</v>
      </c>
      <c r="AC4855" t="s">
        <v>1239</v>
      </c>
    </row>
    <row r="4856" spans="1:29" x14ac:dyDescent="0.25">
      <c r="A4856" s="31" t="s">
        <v>883</v>
      </c>
      <c r="B4856" s="23" t="s">
        <v>884</v>
      </c>
      <c r="C4856" t="s">
        <v>885</v>
      </c>
      <c r="D4856">
        <v>1</v>
      </c>
      <c r="E4856" t="s">
        <v>45</v>
      </c>
      <c r="F4856">
        <v>4</v>
      </c>
      <c r="G4856">
        <v>2009</v>
      </c>
      <c r="I4856">
        <v>105.8</v>
      </c>
      <c r="J4856" t="s">
        <v>176</v>
      </c>
      <c r="K4856" t="s">
        <v>47</v>
      </c>
      <c r="O4856">
        <v>0</v>
      </c>
      <c r="P4856">
        <v>0</v>
      </c>
      <c r="Q4856">
        <v>0</v>
      </c>
      <c r="R4856">
        <v>0</v>
      </c>
      <c r="W4856" t="s">
        <v>1203</v>
      </c>
      <c r="AA4856">
        <v>2007</v>
      </c>
      <c r="AB4856">
        <v>9999</v>
      </c>
      <c r="AC4856" t="s">
        <v>35</v>
      </c>
    </row>
    <row r="4857" spans="1:29" x14ac:dyDescent="0.25">
      <c r="A4857" s="31" t="s">
        <v>887</v>
      </c>
      <c r="B4857" s="23" t="s">
        <v>888</v>
      </c>
      <c r="C4857" t="s">
        <v>889</v>
      </c>
      <c r="D4857">
        <v>1</v>
      </c>
      <c r="E4857" t="s">
        <v>335</v>
      </c>
      <c r="F4857">
        <v>1</v>
      </c>
      <c r="G4857">
        <v>2009</v>
      </c>
      <c r="I4857">
        <v>721.9</v>
      </c>
      <c r="J4857" t="s">
        <v>176</v>
      </c>
      <c r="K4857" t="s">
        <v>32</v>
      </c>
      <c r="O4857">
        <v>0</v>
      </c>
      <c r="P4857">
        <v>0</v>
      </c>
      <c r="Q4857">
        <v>0</v>
      </c>
      <c r="R4857">
        <v>0</v>
      </c>
      <c r="W4857" t="s">
        <v>1204</v>
      </c>
      <c r="AA4857">
        <v>2007</v>
      </c>
      <c r="AB4857">
        <v>9999</v>
      </c>
      <c r="AC4857" t="s">
        <v>35</v>
      </c>
    </row>
    <row r="4858" spans="1:29" x14ac:dyDescent="0.25">
      <c r="A4858" s="31" t="s">
        <v>894</v>
      </c>
      <c r="B4858" s="25" t="s">
        <v>895</v>
      </c>
      <c r="D4858">
        <v>1</v>
      </c>
      <c r="E4858" t="s">
        <v>38</v>
      </c>
      <c r="F4858">
        <v>4</v>
      </c>
      <c r="G4858">
        <v>2009</v>
      </c>
      <c r="H4858" t="s">
        <v>896</v>
      </c>
      <c r="J4858" t="s">
        <v>151</v>
      </c>
      <c r="K4858" t="s">
        <v>53</v>
      </c>
      <c r="L4858" t="s">
        <v>53</v>
      </c>
      <c r="O4858">
        <v>0</v>
      </c>
      <c r="P4858">
        <v>0</v>
      </c>
      <c r="Q4858">
        <v>0</v>
      </c>
      <c r="R4858">
        <v>0</v>
      </c>
      <c r="W4858" t="s">
        <v>897</v>
      </c>
      <c r="AA4858">
        <v>2007</v>
      </c>
      <c r="AB4858">
        <v>9999</v>
      </c>
      <c r="AC4858" t="s">
        <v>35</v>
      </c>
    </row>
    <row r="4859" spans="1:29" x14ac:dyDescent="0.25">
      <c r="A4859" s="31" t="s">
        <v>900</v>
      </c>
      <c r="B4859" s="25" t="s">
        <v>901</v>
      </c>
      <c r="D4859">
        <v>1</v>
      </c>
      <c r="E4859" t="s">
        <v>38</v>
      </c>
      <c r="F4859">
        <v>4</v>
      </c>
      <c r="G4859">
        <v>2009</v>
      </c>
      <c r="H4859" t="s">
        <v>896</v>
      </c>
      <c r="J4859" t="s">
        <v>151</v>
      </c>
      <c r="K4859" t="s">
        <v>53</v>
      </c>
      <c r="L4859" t="s">
        <v>902</v>
      </c>
      <c r="O4859">
        <v>0</v>
      </c>
      <c r="P4859">
        <v>0</v>
      </c>
      <c r="Q4859">
        <v>0</v>
      </c>
      <c r="R4859">
        <v>0</v>
      </c>
      <c r="W4859" t="s">
        <v>903</v>
      </c>
      <c r="AA4859">
        <v>2007</v>
      </c>
      <c r="AB4859">
        <v>9999</v>
      </c>
      <c r="AC4859" t="s">
        <v>35</v>
      </c>
    </row>
    <row r="4860" spans="1:29" x14ac:dyDescent="0.25">
      <c r="A4860" s="31" t="s">
        <v>904</v>
      </c>
      <c r="B4860" s="23" t="s">
        <v>905</v>
      </c>
      <c r="D4860">
        <v>1</v>
      </c>
      <c r="E4860" t="s">
        <v>38</v>
      </c>
      <c r="F4860">
        <v>4</v>
      </c>
      <c r="G4860">
        <v>2009</v>
      </c>
      <c r="H4860" t="s">
        <v>906</v>
      </c>
      <c r="J4860" t="s">
        <v>59</v>
      </c>
      <c r="K4860" t="s">
        <v>53</v>
      </c>
      <c r="L4860" t="s">
        <v>902</v>
      </c>
      <c r="O4860">
        <v>0</v>
      </c>
      <c r="P4860">
        <v>0</v>
      </c>
      <c r="Q4860">
        <v>0</v>
      </c>
      <c r="R4860">
        <v>0</v>
      </c>
      <c r="W4860" t="s">
        <v>907</v>
      </c>
      <c r="AA4860">
        <v>2007</v>
      </c>
      <c r="AB4860">
        <v>9999</v>
      </c>
      <c r="AC4860" t="s">
        <v>35</v>
      </c>
    </row>
    <row r="4861" spans="1:29" x14ac:dyDescent="0.25">
      <c r="A4861" s="31" t="s">
        <v>908</v>
      </c>
      <c r="B4861" s="23" t="s">
        <v>909</v>
      </c>
      <c r="C4861" t="s">
        <v>910</v>
      </c>
      <c r="D4861">
        <v>1</v>
      </c>
      <c r="E4861" t="s">
        <v>911</v>
      </c>
      <c r="F4861">
        <v>1</v>
      </c>
      <c r="G4861">
        <v>2009</v>
      </c>
      <c r="I4861">
        <v>84.9</v>
      </c>
      <c r="J4861" t="s">
        <v>176</v>
      </c>
      <c r="K4861" t="s">
        <v>47</v>
      </c>
      <c r="O4861">
        <v>0</v>
      </c>
      <c r="P4861">
        <v>0</v>
      </c>
      <c r="Q4861">
        <v>0</v>
      </c>
      <c r="R4861">
        <v>0</v>
      </c>
      <c r="W4861" t="s">
        <v>1206</v>
      </c>
      <c r="AA4861">
        <v>2007</v>
      </c>
      <c r="AB4861">
        <v>9999</v>
      </c>
      <c r="AC4861" t="s">
        <v>35</v>
      </c>
    </row>
    <row r="4862" spans="1:29" x14ac:dyDescent="0.25">
      <c r="A4862" s="31" t="s">
        <v>913</v>
      </c>
      <c r="B4862" s="23" t="s">
        <v>914</v>
      </c>
      <c r="C4862" t="s">
        <v>915</v>
      </c>
      <c r="D4862">
        <v>1</v>
      </c>
      <c r="E4862" t="s">
        <v>911</v>
      </c>
      <c r="F4862">
        <v>1</v>
      </c>
      <c r="G4862">
        <v>2009</v>
      </c>
      <c r="I4862">
        <v>10</v>
      </c>
      <c r="J4862" t="s">
        <v>268</v>
      </c>
      <c r="K4862" t="s">
        <v>47</v>
      </c>
      <c r="O4862">
        <v>0</v>
      </c>
      <c r="P4862">
        <v>0</v>
      </c>
      <c r="Q4862">
        <v>0</v>
      </c>
      <c r="R4862">
        <v>0</v>
      </c>
      <c r="W4862" t="s">
        <v>1276</v>
      </c>
      <c r="AA4862">
        <v>2007</v>
      </c>
      <c r="AB4862">
        <v>9999</v>
      </c>
      <c r="AC4862" t="s">
        <v>35</v>
      </c>
    </row>
    <row r="4863" spans="1:29" x14ac:dyDescent="0.25">
      <c r="B4863" s="23" t="s">
        <v>917</v>
      </c>
      <c r="D4863">
        <v>1</v>
      </c>
      <c r="E4863" t="s">
        <v>38</v>
      </c>
      <c r="F4863">
        <v>4</v>
      </c>
      <c r="G4863">
        <v>2009</v>
      </c>
      <c r="H4863" t="s">
        <v>918</v>
      </c>
      <c r="J4863" t="s">
        <v>176</v>
      </c>
      <c r="K4863" t="s">
        <v>41</v>
      </c>
      <c r="O4863">
        <v>0</v>
      </c>
      <c r="P4863">
        <v>0</v>
      </c>
      <c r="Q4863">
        <v>0</v>
      </c>
      <c r="R4863">
        <v>0</v>
      </c>
      <c r="W4863" t="s">
        <v>1208</v>
      </c>
      <c r="AA4863">
        <v>2007</v>
      </c>
      <c r="AB4863">
        <v>2011</v>
      </c>
      <c r="AC4863" t="s">
        <v>191</v>
      </c>
    </row>
    <row r="4864" spans="1:29" x14ac:dyDescent="0.25">
      <c r="A4864" s="31" t="s">
        <v>97</v>
      </c>
      <c r="B4864" s="23" t="s">
        <v>99</v>
      </c>
      <c r="C4864" t="s">
        <v>923</v>
      </c>
      <c r="D4864">
        <v>1</v>
      </c>
      <c r="E4864" t="s">
        <v>45</v>
      </c>
      <c r="F4864">
        <v>4</v>
      </c>
      <c r="G4864">
        <v>2009</v>
      </c>
      <c r="I4864">
        <v>243.2</v>
      </c>
      <c r="J4864" t="s">
        <v>89</v>
      </c>
      <c r="K4864" t="s">
        <v>47</v>
      </c>
      <c r="O4864">
        <v>0</v>
      </c>
      <c r="P4864">
        <v>0</v>
      </c>
      <c r="Q4864">
        <v>0</v>
      </c>
      <c r="R4864">
        <v>0</v>
      </c>
      <c r="W4864" t="s">
        <v>1277</v>
      </c>
      <c r="AA4864">
        <v>2007</v>
      </c>
      <c r="AB4864">
        <v>9999</v>
      </c>
      <c r="AC4864" t="s">
        <v>35</v>
      </c>
    </row>
    <row r="4865" spans="1:29" x14ac:dyDescent="0.25">
      <c r="A4865" s="31" t="s">
        <v>925</v>
      </c>
      <c r="B4865" s="23" t="s">
        <v>926</v>
      </c>
      <c r="C4865" t="s">
        <v>927</v>
      </c>
      <c r="D4865">
        <v>1</v>
      </c>
      <c r="E4865" t="s">
        <v>103</v>
      </c>
      <c r="F4865">
        <v>9</v>
      </c>
      <c r="G4865">
        <v>2009</v>
      </c>
      <c r="I4865">
        <v>2793.8</v>
      </c>
      <c r="J4865" t="s">
        <v>151</v>
      </c>
      <c r="K4865" t="s">
        <v>53</v>
      </c>
      <c r="L4865" t="s">
        <v>105</v>
      </c>
      <c r="O4865">
        <v>0</v>
      </c>
      <c r="P4865">
        <v>0</v>
      </c>
      <c r="Q4865">
        <v>0</v>
      </c>
      <c r="R4865">
        <v>0</v>
      </c>
      <c r="W4865" t="s">
        <v>928</v>
      </c>
      <c r="AA4865">
        <v>2007</v>
      </c>
      <c r="AB4865">
        <v>9999</v>
      </c>
      <c r="AC4865" t="s">
        <v>35</v>
      </c>
    </row>
    <row r="4866" spans="1:29" x14ac:dyDescent="0.25">
      <c r="A4866" s="31" t="s">
        <v>929</v>
      </c>
      <c r="B4866" s="23" t="s">
        <v>930</v>
      </c>
      <c r="C4866" t="s">
        <v>931</v>
      </c>
      <c r="D4866">
        <v>1</v>
      </c>
      <c r="E4866" t="s">
        <v>45</v>
      </c>
      <c r="F4866">
        <v>4</v>
      </c>
      <c r="G4866">
        <v>2009</v>
      </c>
      <c r="I4866">
        <v>547.20000000000005</v>
      </c>
      <c r="J4866" t="s">
        <v>31</v>
      </c>
      <c r="K4866" t="s">
        <v>47</v>
      </c>
      <c r="O4866">
        <v>0</v>
      </c>
      <c r="P4866">
        <v>0</v>
      </c>
      <c r="Q4866">
        <v>0</v>
      </c>
      <c r="R4866">
        <v>0</v>
      </c>
      <c r="W4866" t="s">
        <v>1211</v>
      </c>
      <c r="AA4866">
        <v>2007</v>
      </c>
      <c r="AB4866">
        <v>9999</v>
      </c>
      <c r="AC4866" t="s">
        <v>35</v>
      </c>
    </row>
    <row r="4867" spans="1:29" x14ac:dyDescent="0.25">
      <c r="A4867" s="31" t="s">
        <v>1212</v>
      </c>
      <c r="B4867" s="23" t="s">
        <v>1213</v>
      </c>
      <c r="D4867">
        <v>1</v>
      </c>
      <c r="E4867" t="s">
        <v>681</v>
      </c>
      <c r="F4867">
        <v>3</v>
      </c>
      <c r="G4867">
        <v>2009</v>
      </c>
      <c r="I4867">
        <v>5</v>
      </c>
      <c r="J4867" t="s">
        <v>121</v>
      </c>
      <c r="K4867" t="s">
        <v>41</v>
      </c>
      <c r="O4867">
        <v>0</v>
      </c>
      <c r="P4867">
        <v>0</v>
      </c>
      <c r="Q4867">
        <v>0</v>
      </c>
      <c r="R4867">
        <v>0</v>
      </c>
      <c r="W4867" t="s">
        <v>1278</v>
      </c>
      <c r="AA4867">
        <v>2008</v>
      </c>
      <c r="AB4867">
        <v>9999</v>
      </c>
      <c r="AC4867" t="s">
        <v>1054</v>
      </c>
    </row>
    <row r="4868" spans="1:29" x14ac:dyDescent="0.25">
      <c r="A4868" s="31" t="s">
        <v>933</v>
      </c>
      <c r="B4868" s="25" t="s">
        <v>934</v>
      </c>
      <c r="C4868" t="s">
        <v>935</v>
      </c>
      <c r="D4868">
        <v>1</v>
      </c>
      <c r="E4868" t="s">
        <v>681</v>
      </c>
      <c r="F4868">
        <v>3</v>
      </c>
      <c r="G4868">
        <v>2009</v>
      </c>
      <c r="I4868" t="s">
        <v>812</v>
      </c>
      <c r="J4868" t="s">
        <v>121</v>
      </c>
      <c r="K4868" t="s">
        <v>47</v>
      </c>
      <c r="O4868">
        <v>0</v>
      </c>
      <c r="P4868">
        <v>0</v>
      </c>
      <c r="Q4868">
        <v>0</v>
      </c>
      <c r="R4868">
        <v>0</v>
      </c>
      <c r="W4868" t="s">
        <v>936</v>
      </c>
      <c r="AA4868">
        <v>2007</v>
      </c>
      <c r="AB4868">
        <v>9999</v>
      </c>
      <c r="AC4868" t="s">
        <v>35</v>
      </c>
    </row>
    <row r="4869" spans="1:29" x14ac:dyDescent="0.25">
      <c r="A4869" s="31" t="s">
        <v>937</v>
      </c>
      <c r="B4869" s="23" t="s">
        <v>938</v>
      </c>
      <c r="D4869">
        <v>1</v>
      </c>
      <c r="E4869" t="s">
        <v>103</v>
      </c>
      <c r="F4869">
        <v>9</v>
      </c>
      <c r="G4869">
        <v>2009</v>
      </c>
      <c r="I4869">
        <v>648</v>
      </c>
      <c r="J4869" t="s">
        <v>104</v>
      </c>
      <c r="K4869" t="s">
        <v>53</v>
      </c>
      <c r="L4869" t="s">
        <v>105</v>
      </c>
      <c r="O4869">
        <v>0</v>
      </c>
      <c r="P4869">
        <v>1</v>
      </c>
      <c r="Q4869">
        <v>0</v>
      </c>
      <c r="R4869">
        <v>0</v>
      </c>
      <c r="W4869" t="s">
        <v>106</v>
      </c>
      <c r="AA4869">
        <v>2007</v>
      </c>
      <c r="AB4869">
        <v>9999</v>
      </c>
      <c r="AC4869" t="s">
        <v>35</v>
      </c>
    </row>
    <row r="4870" spans="1:29" x14ac:dyDescent="0.25">
      <c r="A4870" s="31" t="s">
        <v>939</v>
      </c>
      <c r="B4870" s="23" t="s">
        <v>940</v>
      </c>
      <c r="D4870">
        <v>1</v>
      </c>
      <c r="E4870" t="s">
        <v>80</v>
      </c>
      <c r="F4870">
        <v>8</v>
      </c>
      <c r="G4870">
        <v>2009</v>
      </c>
      <c r="I4870">
        <v>73.3</v>
      </c>
      <c r="J4870" s="2" t="s">
        <v>81</v>
      </c>
      <c r="K4870" t="s">
        <v>47</v>
      </c>
      <c r="O4870">
        <v>0</v>
      </c>
      <c r="P4870">
        <v>0</v>
      </c>
      <c r="Q4870">
        <v>0</v>
      </c>
      <c r="R4870">
        <v>0</v>
      </c>
      <c r="W4870" t="s">
        <v>1214</v>
      </c>
      <c r="AA4870">
        <v>2007</v>
      </c>
      <c r="AB4870">
        <v>9999</v>
      </c>
      <c r="AC4870" t="s">
        <v>35</v>
      </c>
    </row>
    <row r="4871" spans="1:29" x14ac:dyDescent="0.25">
      <c r="A4871" s="31" t="s">
        <v>629</v>
      </c>
      <c r="B4871" s="23" t="s">
        <v>942</v>
      </c>
      <c r="D4871">
        <v>1</v>
      </c>
      <c r="E4871" t="s">
        <v>138</v>
      </c>
      <c r="F4871">
        <v>8</v>
      </c>
      <c r="G4871">
        <v>2009</v>
      </c>
      <c r="H4871" t="s">
        <v>630</v>
      </c>
      <c r="J4871" t="s">
        <v>81</v>
      </c>
      <c r="K4871" t="s">
        <v>41</v>
      </c>
      <c r="O4871">
        <v>0</v>
      </c>
      <c r="P4871">
        <v>0</v>
      </c>
      <c r="Q4871">
        <v>0</v>
      </c>
      <c r="R4871">
        <v>0</v>
      </c>
      <c r="W4871" t="s">
        <v>1215</v>
      </c>
      <c r="AA4871">
        <v>2007</v>
      </c>
      <c r="AB4871">
        <v>2014</v>
      </c>
      <c r="AC4871" t="s">
        <v>633</v>
      </c>
    </row>
    <row r="4872" spans="1:29" x14ac:dyDescent="0.25">
      <c r="A4872" s="31" t="s">
        <v>462</v>
      </c>
      <c r="B4872" s="23" t="s">
        <v>1279</v>
      </c>
      <c r="C4872" t="s">
        <v>1280</v>
      </c>
      <c r="D4872">
        <v>1</v>
      </c>
      <c r="E4872" t="s">
        <v>468</v>
      </c>
      <c r="F4872">
        <v>7</v>
      </c>
      <c r="G4872">
        <v>2009</v>
      </c>
      <c r="I4872">
        <v>41.3</v>
      </c>
      <c r="J4872" t="s">
        <v>40</v>
      </c>
      <c r="K4872" t="s">
        <v>47</v>
      </c>
      <c r="O4872">
        <v>0</v>
      </c>
      <c r="P4872">
        <v>0</v>
      </c>
      <c r="Q4872">
        <v>0</v>
      </c>
      <c r="R4872">
        <v>0</v>
      </c>
      <c r="W4872" t="s">
        <v>464</v>
      </c>
      <c r="AA4872">
        <v>2007</v>
      </c>
      <c r="AB4872">
        <v>9999</v>
      </c>
      <c r="AC4872" t="s">
        <v>35</v>
      </c>
    </row>
    <row r="4873" spans="1:29" x14ac:dyDescent="0.25">
      <c r="A4873" s="31" t="s">
        <v>944</v>
      </c>
      <c r="B4873" s="23" t="s">
        <v>945</v>
      </c>
      <c r="D4873">
        <v>1</v>
      </c>
      <c r="E4873" s="6" t="s">
        <v>128</v>
      </c>
      <c r="F4873">
        <v>9</v>
      </c>
      <c r="G4873">
        <v>2009</v>
      </c>
      <c r="I4873">
        <v>31.4</v>
      </c>
      <c r="J4873" t="s">
        <v>104</v>
      </c>
      <c r="K4873" t="s">
        <v>53</v>
      </c>
      <c r="L4873" t="s">
        <v>105</v>
      </c>
      <c r="O4873">
        <v>0</v>
      </c>
      <c r="P4873">
        <v>1</v>
      </c>
      <c r="Q4873">
        <v>0</v>
      </c>
      <c r="R4873">
        <v>0</v>
      </c>
      <c r="W4873" t="s">
        <v>106</v>
      </c>
      <c r="AA4873">
        <v>2007</v>
      </c>
      <c r="AB4873">
        <v>2010</v>
      </c>
      <c r="AC4873" t="s">
        <v>91</v>
      </c>
    </row>
    <row r="4874" spans="1:29" x14ac:dyDescent="0.25">
      <c r="A4874" s="31" t="s">
        <v>153</v>
      </c>
      <c r="B4874" s="23" t="s">
        <v>946</v>
      </c>
      <c r="D4874">
        <v>54</v>
      </c>
      <c r="E4874" t="s">
        <v>155</v>
      </c>
      <c r="F4874">
        <v>3</v>
      </c>
      <c r="G4874">
        <v>2009</v>
      </c>
      <c r="I4874">
        <v>2453.4713569222849</v>
      </c>
      <c r="J4874" t="s">
        <v>121</v>
      </c>
      <c r="K4874" t="s">
        <v>53</v>
      </c>
      <c r="L4874" t="s">
        <v>60</v>
      </c>
      <c r="O4874">
        <v>1</v>
      </c>
      <c r="P4874">
        <v>0</v>
      </c>
      <c r="Q4874">
        <v>0</v>
      </c>
      <c r="R4874">
        <v>0</v>
      </c>
      <c r="V4874">
        <v>1</v>
      </c>
      <c r="W4874" t="s">
        <v>947</v>
      </c>
      <c r="AA4874">
        <v>2007</v>
      </c>
      <c r="AB4874">
        <v>9999</v>
      </c>
      <c r="AC4874" t="s">
        <v>35</v>
      </c>
    </row>
    <row r="4875" spans="1:29" x14ac:dyDescent="0.25">
      <c r="A4875" s="31" t="s">
        <v>950</v>
      </c>
      <c r="B4875" s="23" t="s">
        <v>951</v>
      </c>
      <c r="C4875" t="s">
        <v>952</v>
      </c>
      <c r="D4875">
        <v>1</v>
      </c>
      <c r="E4875" t="s">
        <v>218</v>
      </c>
      <c r="F4875">
        <v>2</v>
      </c>
      <c r="G4875">
        <v>2009</v>
      </c>
      <c r="I4875">
        <v>847.6</v>
      </c>
      <c r="J4875" t="s">
        <v>147</v>
      </c>
      <c r="K4875" t="s">
        <v>32</v>
      </c>
      <c r="O4875">
        <v>0</v>
      </c>
      <c r="P4875">
        <v>0</v>
      </c>
      <c r="Q4875">
        <v>0</v>
      </c>
      <c r="R4875">
        <v>0</v>
      </c>
      <c r="W4875" t="s">
        <v>1216</v>
      </c>
      <c r="AA4875">
        <v>2007</v>
      </c>
      <c r="AB4875">
        <v>9999</v>
      </c>
      <c r="AC4875" t="s">
        <v>35</v>
      </c>
    </row>
    <row r="4876" spans="1:29" x14ac:dyDescent="0.25">
      <c r="A4876" s="31" t="s">
        <v>954</v>
      </c>
      <c r="B4876" s="23" t="s">
        <v>955</v>
      </c>
      <c r="C4876" t="s">
        <v>956</v>
      </c>
      <c r="D4876">
        <v>1</v>
      </c>
      <c r="E4876" t="s">
        <v>218</v>
      </c>
      <c r="F4876">
        <v>2</v>
      </c>
      <c r="G4876">
        <v>2009</v>
      </c>
      <c r="I4876">
        <v>219.2</v>
      </c>
      <c r="J4876" t="s">
        <v>147</v>
      </c>
      <c r="K4876" t="s">
        <v>47</v>
      </c>
      <c r="O4876">
        <v>0</v>
      </c>
      <c r="P4876">
        <v>0</v>
      </c>
      <c r="Q4876">
        <v>0</v>
      </c>
      <c r="R4876">
        <v>0</v>
      </c>
      <c r="W4876" t="s">
        <v>1217</v>
      </c>
      <c r="AA4876">
        <v>2007</v>
      </c>
      <c r="AB4876">
        <v>9999</v>
      </c>
      <c r="AC4876" t="s">
        <v>35</v>
      </c>
    </row>
    <row r="4877" spans="1:29" x14ac:dyDescent="0.25">
      <c r="A4877" s="31" t="s">
        <v>1281</v>
      </c>
      <c r="B4877" s="23" t="s">
        <v>1282</v>
      </c>
      <c r="D4877">
        <v>1</v>
      </c>
      <c r="E4877" t="s">
        <v>625</v>
      </c>
      <c r="F4877">
        <v>4</v>
      </c>
      <c r="G4877">
        <v>2009</v>
      </c>
      <c r="I4877">
        <v>1124.5999999999999</v>
      </c>
      <c r="J4877" t="s">
        <v>89</v>
      </c>
      <c r="K4877" t="s">
        <v>32</v>
      </c>
      <c r="O4877">
        <v>0</v>
      </c>
      <c r="P4877">
        <v>0</v>
      </c>
      <c r="Q4877">
        <v>0</v>
      </c>
      <c r="R4877">
        <v>0</v>
      </c>
      <c r="W4877" t="s">
        <v>1283</v>
      </c>
      <c r="AA4877">
        <v>2009</v>
      </c>
      <c r="AB4877">
        <v>9999</v>
      </c>
      <c r="AC4877" t="s">
        <v>1239</v>
      </c>
    </row>
    <row r="4878" spans="1:29" x14ac:dyDescent="0.25">
      <c r="A4878" s="31" t="s">
        <v>958</v>
      </c>
      <c r="B4878" s="25" t="s">
        <v>959</v>
      </c>
      <c r="D4878">
        <v>1</v>
      </c>
      <c r="E4878" t="s">
        <v>51</v>
      </c>
      <c r="F4878">
        <v>1</v>
      </c>
      <c r="G4878">
        <v>2009</v>
      </c>
      <c r="I4878">
        <v>51</v>
      </c>
      <c r="J4878" t="s">
        <v>52</v>
      </c>
      <c r="K4878" t="s">
        <v>53</v>
      </c>
      <c r="L4878" t="s">
        <v>54</v>
      </c>
      <c r="O4878">
        <v>0</v>
      </c>
      <c r="P4878">
        <v>0</v>
      </c>
      <c r="Q4878">
        <v>1</v>
      </c>
      <c r="R4878">
        <v>0</v>
      </c>
      <c r="W4878" t="s">
        <v>55</v>
      </c>
      <c r="AA4878">
        <v>2007</v>
      </c>
      <c r="AB4878">
        <v>9999</v>
      </c>
      <c r="AC4878" t="s">
        <v>35</v>
      </c>
    </row>
    <row r="4879" spans="1:29" x14ac:dyDescent="0.25">
      <c r="A4879" s="31" t="s">
        <v>960</v>
      </c>
      <c r="B4879" s="23" t="s">
        <v>961</v>
      </c>
      <c r="D4879">
        <v>1</v>
      </c>
      <c r="E4879" t="s">
        <v>168</v>
      </c>
      <c r="F4879">
        <v>1</v>
      </c>
      <c r="G4879">
        <v>2009</v>
      </c>
      <c r="I4879">
        <v>1963.8</v>
      </c>
      <c r="J4879" t="s">
        <v>52</v>
      </c>
      <c r="K4879" t="s">
        <v>47</v>
      </c>
      <c r="O4879">
        <v>0</v>
      </c>
      <c r="P4879">
        <v>0</v>
      </c>
      <c r="Q4879">
        <v>0</v>
      </c>
      <c r="R4879">
        <v>0</v>
      </c>
      <c r="W4879" t="s">
        <v>1218</v>
      </c>
      <c r="AA4879">
        <v>2007</v>
      </c>
      <c r="AB4879">
        <v>9999</v>
      </c>
      <c r="AC4879" t="s">
        <v>35</v>
      </c>
    </row>
    <row r="4880" spans="1:29" x14ac:dyDescent="0.25">
      <c r="A4880" s="31" t="s">
        <v>963</v>
      </c>
      <c r="B4880" s="23" t="s">
        <v>658</v>
      </c>
      <c r="D4880">
        <v>1</v>
      </c>
      <c r="E4880" t="s">
        <v>103</v>
      </c>
      <c r="F4880">
        <v>9</v>
      </c>
      <c r="G4880">
        <v>2009</v>
      </c>
      <c r="I4880">
        <v>3427.8</v>
      </c>
      <c r="J4880" t="s">
        <v>104</v>
      </c>
      <c r="K4880" t="s">
        <v>53</v>
      </c>
      <c r="L4880" t="s">
        <v>105</v>
      </c>
      <c r="O4880">
        <v>0</v>
      </c>
      <c r="P4880">
        <v>1</v>
      </c>
      <c r="Q4880">
        <v>0</v>
      </c>
      <c r="R4880">
        <v>0</v>
      </c>
      <c r="W4880" t="s">
        <v>106</v>
      </c>
      <c r="AA4880">
        <v>2007</v>
      </c>
      <c r="AB4880">
        <v>9999</v>
      </c>
      <c r="AC4880" t="s">
        <v>35</v>
      </c>
    </row>
    <row r="4881" spans="1:29" x14ac:dyDescent="0.25">
      <c r="A4881" s="31" t="s">
        <v>964</v>
      </c>
      <c r="B4881" s="23" t="s">
        <v>965</v>
      </c>
      <c r="D4881">
        <v>1</v>
      </c>
      <c r="E4881" t="s">
        <v>80</v>
      </c>
      <c r="F4881">
        <v>8</v>
      </c>
      <c r="G4881">
        <v>2009</v>
      </c>
      <c r="I4881">
        <v>60.4</v>
      </c>
      <c r="J4881" t="s">
        <v>46</v>
      </c>
      <c r="K4881" t="s">
        <v>47</v>
      </c>
      <c r="O4881">
        <v>0</v>
      </c>
      <c r="P4881">
        <v>0</v>
      </c>
      <c r="Q4881">
        <v>0</v>
      </c>
      <c r="R4881">
        <v>0</v>
      </c>
      <c r="W4881" t="s">
        <v>1219</v>
      </c>
      <c r="AA4881">
        <v>2007</v>
      </c>
      <c r="AB4881">
        <v>9999</v>
      </c>
      <c r="AC4881" t="s">
        <v>35</v>
      </c>
    </row>
    <row r="4882" spans="1:29" x14ac:dyDescent="0.25">
      <c r="A4882" s="31" t="s">
        <v>967</v>
      </c>
      <c r="B4882" s="23" t="s">
        <v>661</v>
      </c>
      <c r="D4882">
        <v>1</v>
      </c>
      <c r="E4882" t="s">
        <v>103</v>
      </c>
      <c r="F4882">
        <v>9</v>
      </c>
      <c r="G4882">
        <v>2009</v>
      </c>
      <c r="I4882">
        <v>4613.6000000000004</v>
      </c>
      <c r="J4882" t="s">
        <v>104</v>
      </c>
      <c r="K4882" t="s">
        <v>53</v>
      </c>
      <c r="L4882" t="s">
        <v>105</v>
      </c>
      <c r="O4882">
        <v>0</v>
      </c>
      <c r="P4882">
        <v>1</v>
      </c>
      <c r="Q4882">
        <v>0</v>
      </c>
      <c r="R4882">
        <v>0</v>
      </c>
      <c r="W4882" t="s">
        <v>106</v>
      </c>
      <c r="AA4882">
        <v>2007</v>
      </c>
      <c r="AB4882">
        <v>9999</v>
      </c>
      <c r="AC4882" t="s">
        <v>35</v>
      </c>
    </row>
    <row r="4883" spans="1:29" x14ac:dyDescent="0.25">
      <c r="A4883" s="31" t="s">
        <v>968</v>
      </c>
      <c r="B4883" s="25" t="s">
        <v>969</v>
      </c>
      <c r="D4883">
        <v>1</v>
      </c>
      <c r="E4883" t="s">
        <v>85</v>
      </c>
      <c r="F4883">
        <v>1</v>
      </c>
      <c r="G4883">
        <v>2009</v>
      </c>
      <c r="H4883" t="s">
        <v>970</v>
      </c>
      <c r="J4883" t="s">
        <v>176</v>
      </c>
      <c r="K4883" t="s">
        <v>41</v>
      </c>
      <c r="O4883">
        <v>0</v>
      </c>
      <c r="P4883">
        <v>0</v>
      </c>
      <c r="Q4883">
        <v>0</v>
      </c>
      <c r="R4883">
        <v>0</v>
      </c>
      <c r="W4883" t="s">
        <v>971</v>
      </c>
      <c r="AA4883">
        <v>2007</v>
      </c>
      <c r="AB4883">
        <v>9999</v>
      </c>
      <c r="AC4883" t="s">
        <v>35</v>
      </c>
    </row>
    <row r="4884" spans="1:29" x14ac:dyDescent="0.25">
      <c r="A4884" s="31" t="s">
        <v>975</v>
      </c>
      <c r="B4884" s="23" t="s">
        <v>976</v>
      </c>
      <c r="D4884">
        <v>1</v>
      </c>
      <c r="E4884" t="s">
        <v>977</v>
      </c>
      <c r="F4884">
        <v>1</v>
      </c>
      <c r="G4884">
        <v>2009</v>
      </c>
      <c r="I4884">
        <v>11.5</v>
      </c>
      <c r="J4884" t="s">
        <v>121</v>
      </c>
      <c r="K4884" t="s">
        <v>41</v>
      </c>
      <c r="O4884">
        <v>0</v>
      </c>
      <c r="P4884">
        <v>0</v>
      </c>
      <c r="Q4884">
        <v>0</v>
      </c>
      <c r="R4884">
        <v>0</v>
      </c>
      <c r="W4884" t="s">
        <v>1220</v>
      </c>
      <c r="AA4884">
        <v>2007</v>
      </c>
      <c r="AB4884">
        <v>9999</v>
      </c>
      <c r="AC4884" t="s">
        <v>35</v>
      </c>
    </row>
    <row r="4885" spans="1:29" x14ac:dyDescent="0.25">
      <c r="A4885" s="31" t="s">
        <v>982</v>
      </c>
      <c r="B4885" s="23" t="s">
        <v>983</v>
      </c>
      <c r="D4885">
        <v>1</v>
      </c>
      <c r="E4885" t="s">
        <v>300</v>
      </c>
      <c r="F4885">
        <v>9</v>
      </c>
      <c r="G4885">
        <v>2009</v>
      </c>
      <c r="I4885">
        <v>114.7</v>
      </c>
      <c r="J4885" t="s">
        <v>104</v>
      </c>
      <c r="K4885" t="s">
        <v>32</v>
      </c>
      <c r="O4885">
        <v>0</v>
      </c>
      <c r="P4885">
        <v>0</v>
      </c>
      <c r="Q4885">
        <v>0</v>
      </c>
      <c r="R4885">
        <v>0</v>
      </c>
      <c r="W4885" t="s">
        <v>1222</v>
      </c>
      <c r="AA4885">
        <v>2007</v>
      </c>
      <c r="AB4885">
        <v>2012</v>
      </c>
      <c r="AC4885" t="s">
        <v>302</v>
      </c>
    </row>
    <row r="4886" spans="1:29" x14ac:dyDescent="0.25">
      <c r="A4886" s="31" t="s">
        <v>985</v>
      </c>
      <c r="B4886" s="23" t="s">
        <v>986</v>
      </c>
      <c r="C4886" t="s">
        <v>987</v>
      </c>
      <c r="D4886">
        <v>1</v>
      </c>
      <c r="E4886" t="s">
        <v>988</v>
      </c>
      <c r="F4886">
        <v>4</v>
      </c>
      <c r="G4886">
        <v>2009</v>
      </c>
      <c r="I4886">
        <v>182.8</v>
      </c>
      <c r="J4886" t="s">
        <v>89</v>
      </c>
      <c r="K4886" t="s">
        <v>32</v>
      </c>
      <c r="O4886">
        <v>0</v>
      </c>
      <c r="P4886">
        <v>0</v>
      </c>
      <c r="Q4886">
        <v>0</v>
      </c>
      <c r="R4886">
        <v>0</v>
      </c>
      <c r="W4886" t="s">
        <v>1223</v>
      </c>
      <c r="AA4886">
        <v>2007</v>
      </c>
      <c r="AB4886">
        <v>9999</v>
      </c>
      <c r="AC4886" t="s">
        <v>35</v>
      </c>
    </row>
    <row r="4887" spans="1:29" x14ac:dyDescent="0.25">
      <c r="A4887" s="31" t="s">
        <v>990</v>
      </c>
      <c r="B4887" s="23" t="s">
        <v>991</v>
      </c>
      <c r="D4887">
        <v>1</v>
      </c>
      <c r="E4887" t="s">
        <v>38</v>
      </c>
      <c r="F4887">
        <v>4</v>
      </c>
      <c r="G4887">
        <v>2009</v>
      </c>
      <c r="I4887">
        <v>292.2</v>
      </c>
      <c r="J4887" t="s">
        <v>89</v>
      </c>
      <c r="K4887" t="s">
        <v>32</v>
      </c>
      <c r="O4887">
        <v>0</v>
      </c>
      <c r="P4887">
        <v>0</v>
      </c>
      <c r="Q4887">
        <v>0</v>
      </c>
      <c r="R4887">
        <v>0</v>
      </c>
      <c r="W4887" t="s">
        <v>1224</v>
      </c>
      <c r="AA4887">
        <v>2007</v>
      </c>
      <c r="AB4887">
        <v>2009</v>
      </c>
      <c r="AC4887" t="s">
        <v>236</v>
      </c>
    </row>
    <row r="4888" spans="1:29" x14ac:dyDescent="0.25">
      <c r="A4888" s="31" t="s">
        <v>993</v>
      </c>
      <c r="B4888" s="23" t="s">
        <v>129</v>
      </c>
      <c r="D4888">
        <v>1</v>
      </c>
      <c r="E4888" t="s">
        <v>994</v>
      </c>
      <c r="F4888">
        <v>1</v>
      </c>
      <c r="G4888">
        <v>2009</v>
      </c>
      <c r="I4888">
        <v>136</v>
      </c>
      <c r="J4888" t="s">
        <v>104</v>
      </c>
      <c r="K4888" t="s">
        <v>32</v>
      </c>
      <c r="O4888">
        <v>0</v>
      </c>
      <c r="P4888">
        <v>0</v>
      </c>
      <c r="Q4888">
        <v>0</v>
      </c>
      <c r="R4888">
        <v>0</v>
      </c>
      <c r="W4888" t="s">
        <v>1225</v>
      </c>
      <c r="AA4888">
        <v>2007</v>
      </c>
      <c r="AB4888">
        <v>9999</v>
      </c>
      <c r="AC4888" t="s">
        <v>35</v>
      </c>
    </row>
    <row r="4889" spans="1:29" x14ac:dyDescent="0.25">
      <c r="A4889" s="31" t="s">
        <v>996</v>
      </c>
      <c r="B4889" s="23" t="s">
        <v>997</v>
      </c>
      <c r="D4889">
        <v>1</v>
      </c>
      <c r="E4889" t="s">
        <v>38</v>
      </c>
      <c r="F4889">
        <v>4</v>
      </c>
      <c r="G4889">
        <v>2009</v>
      </c>
      <c r="H4889" t="s">
        <v>998</v>
      </c>
      <c r="J4889" t="s">
        <v>151</v>
      </c>
      <c r="K4889" t="s">
        <v>1226</v>
      </c>
      <c r="O4889">
        <v>0</v>
      </c>
      <c r="P4889">
        <v>0</v>
      </c>
      <c r="Q4889">
        <v>0</v>
      </c>
      <c r="R4889">
        <v>0</v>
      </c>
      <c r="W4889" t="s">
        <v>999</v>
      </c>
      <c r="AA4889">
        <v>2007</v>
      </c>
      <c r="AB4889">
        <v>9999</v>
      </c>
      <c r="AC4889" t="s">
        <v>35</v>
      </c>
    </row>
    <row r="4890" spans="1:29" x14ac:dyDescent="0.25">
      <c r="A4890" s="31" t="s">
        <v>1000</v>
      </c>
      <c r="B4890" s="23" t="s">
        <v>1001</v>
      </c>
      <c r="D4890">
        <v>1</v>
      </c>
      <c r="E4890" t="s">
        <v>38</v>
      </c>
      <c r="F4890">
        <v>4</v>
      </c>
      <c r="G4890">
        <v>2009</v>
      </c>
      <c r="I4890">
        <v>3432.2</v>
      </c>
      <c r="J4890" t="s">
        <v>89</v>
      </c>
      <c r="K4890" t="s">
        <v>32</v>
      </c>
      <c r="O4890">
        <v>0</v>
      </c>
      <c r="P4890">
        <v>0</v>
      </c>
      <c r="Q4890">
        <v>0</v>
      </c>
      <c r="R4890">
        <v>0</v>
      </c>
      <c r="W4890" t="s">
        <v>1284</v>
      </c>
      <c r="AA4890">
        <v>2007</v>
      </c>
      <c r="AB4890">
        <v>2010</v>
      </c>
      <c r="AC4890" t="s">
        <v>91</v>
      </c>
    </row>
    <row r="4891" spans="1:29" x14ac:dyDescent="0.25">
      <c r="A4891" s="31" t="s">
        <v>1003</v>
      </c>
      <c r="B4891" s="23" t="s">
        <v>1004</v>
      </c>
      <c r="D4891">
        <v>1</v>
      </c>
      <c r="E4891" t="s">
        <v>128</v>
      </c>
      <c r="F4891">
        <v>9</v>
      </c>
      <c r="G4891">
        <v>2009</v>
      </c>
      <c r="I4891">
        <v>924.7</v>
      </c>
      <c r="J4891" t="s">
        <v>104</v>
      </c>
      <c r="K4891" t="s">
        <v>53</v>
      </c>
      <c r="L4891" t="s">
        <v>105</v>
      </c>
      <c r="O4891">
        <v>0</v>
      </c>
      <c r="P4891">
        <v>1</v>
      </c>
      <c r="Q4891">
        <v>0</v>
      </c>
      <c r="R4891">
        <v>0</v>
      </c>
      <c r="W4891" t="s">
        <v>106</v>
      </c>
      <c r="AA4891">
        <v>2007</v>
      </c>
      <c r="AB4891">
        <v>2009</v>
      </c>
      <c r="AC4891" t="s">
        <v>236</v>
      </c>
    </row>
    <row r="4892" spans="1:29" x14ac:dyDescent="0.25">
      <c r="A4892" s="31" t="s">
        <v>1005</v>
      </c>
      <c r="B4892" s="23" t="s">
        <v>1006</v>
      </c>
      <c r="D4892">
        <v>1</v>
      </c>
      <c r="E4892" t="s">
        <v>80</v>
      </c>
      <c r="F4892">
        <v>8</v>
      </c>
      <c r="G4892">
        <v>2009</v>
      </c>
      <c r="I4892">
        <v>7.5</v>
      </c>
      <c r="J4892" t="s">
        <v>104</v>
      </c>
      <c r="K4892" t="s">
        <v>53</v>
      </c>
      <c r="L4892" t="s">
        <v>53</v>
      </c>
      <c r="O4892">
        <v>0</v>
      </c>
      <c r="P4892">
        <v>0</v>
      </c>
      <c r="Q4892">
        <v>0</v>
      </c>
      <c r="R4892">
        <v>0</v>
      </c>
      <c r="W4892" t="s">
        <v>1007</v>
      </c>
      <c r="AA4892">
        <v>2007</v>
      </c>
      <c r="AB4892">
        <v>2016</v>
      </c>
      <c r="AC4892" t="s">
        <v>528</v>
      </c>
    </row>
    <row r="4893" spans="1:29" x14ac:dyDescent="0.25">
      <c r="A4893" s="31" t="s">
        <v>1008</v>
      </c>
      <c r="B4893" s="23" t="s">
        <v>1009</v>
      </c>
      <c r="D4893">
        <v>1</v>
      </c>
      <c r="E4893" t="s">
        <v>155</v>
      </c>
      <c r="F4893">
        <v>3</v>
      </c>
      <c r="G4893">
        <v>2009</v>
      </c>
      <c r="I4893">
        <v>1051.4000000000001</v>
      </c>
      <c r="J4893" t="s">
        <v>121</v>
      </c>
      <c r="K4893" t="s">
        <v>47</v>
      </c>
      <c r="O4893">
        <v>0</v>
      </c>
      <c r="P4893">
        <v>0</v>
      </c>
      <c r="Q4893">
        <v>0</v>
      </c>
      <c r="R4893">
        <v>0</v>
      </c>
      <c r="W4893" t="s">
        <v>1228</v>
      </c>
      <c r="AA4893">
        <v>2007</v>
      </c>
      <c r="AB4893">
        <v>9999</v>
      </c>
      <c r="AC4893" t="s">
        <v>35</v>
      </c>
    </row>
    <row r="4894" spans="1:29" x14ac:dyDescent="0.25">
      <c r="A4894" s="31" t="s">
        <v>1011</v>
      </c>
      <c r="B4894" s="23" t="s">
        <v>1012</v>
      </c>
      <c r="D4894">
        <v>1</v>
      </c>
      <c r="E4894" t="s">
        <v>103</v>
      </c>
      <c r="F4894">
        <v>9</v>
      </c>
      <c r="G4894">
        <v>2009</v>
      </c>
      <c r="I4894">
        <v>1023.9</v>
      </c>
      <c r="J4894" t="s">
        <v>104</v>
      </c>
      <c r="K4894" t="s">
        <v>53</v>
      </c>
      <c r="L4894" t="s">
        <v>105</v>
      </c>
      <c r="O4894">
        <v>0</v>
      </c>
      <c r="P4894">
        <v>1</v>
      </c>
      <c r="Q4894">
        <v>0</v>
      </c>
      <c r="R4894">
        <v>0</v>
      </c>
      <c r="W4894" t="s">
        <v>106</v>
      </c>
      <c r="AA4894">
        <v>2007</v>
      </c>
      <c r="AB4894">
        <v>9999</v>
      </c>
      <c r="AC4894" t="s">
        <v>35</v>
      </c>
    </row>
    <row r="4895" spans="1:29" x14ac:dyDescent="0.25">
      <c r="A4895" s="31" t="s">
        <v>1013</v>
      </c>
      <c r="B4895" s="25" t="s">
        <v>1014</v>
      </c>
      <c r="D4895">
        <v>1</v>
      </c>
      <c r="E4895" t="s">
        <v>128</v>
      </c>
      <c r="F4895">
        <v>9</v>
      </c>
      <c r="G4895">
        <v>2009</v>
      </c>
      <c r="H4895" t="s">
        <v>297</v>
      </c>
      <c r="J4895" t="s">
        <v>104</v>
      </c>
      <c r="K4895" t="s">
        <v>41</v>
      </c>
      <c r="O4895">
        <v>0</v>
      </c>
      <c r="P4895">
        <v>0</v>
      </c>
      <c r="Q4895">
        <v>0</v>
      </c>
      <c r="R4895">
        <v>0</v>
      </c>
      <c r="W4895" t="s">
        <v>1229</v>
      </c>
      <c r="AA4895">
        <v>2007</v>
      </c>
      <c r="AB4895">
        <v>9999</v>
      </c>
      <c r="AC4895" t="s">
        <v>35</v>
      </c>
    </row>
    <row r="4896" spans="1:29" x14ac:dyDescent="0.25">
      <c r="A4896" s="31" t="s">
        <v>1016</v>
      </c>
      <c r="B4896" s="25" t="s">
        <v>1017</v>
      </c>
      <c r="D4896">
        <v>1</v>
      </c>
      <c r="E4896" t="s">
        <v>396</v>
      </c>
      <c r="F4896">
        <v>3</v>
      </c>
      <c r="G4896">
        <v>2009</v>
      </c>
      <c r="H4896" t="s">
        <v>1018</v>
      </c>
      <c r="I4896">
        <v>0.01</v>
      </c>
      <c r="J4896" t="s">
        <v>121</v>
      </c>
      <c r="K4896" t="s">
        <v>41</v>
      </c>
      <c r="O4896">
        <v>0</v>
      </c>
      <c r="P4896">
        <v>0</v>
      </c>
      <c r="Q4896">
        <v>0</v>
      </c>
      <c r="R4896">
        <v>0</v>
      </c>
      <c r="W4896" t="s">
        <v>1230</v>
      </c>
      <c r="AA4896">
        <v>2007</v>
      </c>
      <c r="AB4896">
        <v>9999</v>
      </c>
      <c r="AC4896" t="s">
        <v>35</v>
      </c>
    </row>
    <row r="4897" spans="1:29" x14ac:dyDescent="0.25">
      <c r="A4897" s="31" t="s">
        <v>1020</v>
      </c>
      <c r="B4897" s="23" t="s">
        <v>1021</v>
      </c>
      <c r="D4897">
        <v>1</v>
      </c>
      <c r="E4897" t="s">
        <v>103</v>
      </c>
      <c r="F4897">
        <v>9</v>
      </c>
      <c r="G4897">
        <v>2009</v>
      </c>
      <c r="I4897">
        <v>14.8</v>
      </c>
      <c r="J4897" t="s">
        <v>104</v>
      </c>
      <c r="K4897" t="s">
        <v>47</v>
      </c>
      <c r="O4897">
        <v>0</v>
      </c>
      <c r="P4897">
        <v>0</v>
      </c>
      <c r="Q4897">
        <v>0</v>
      </c>
      <c r="R4897">
        <v>0</v>
      </c>
      <c r="W4897" t="s">
        <v>1231</v>
      </c>
      <c r="AA4897">
        <v>2007</v>
      </c>
      <c r="AB4897">
        <v>9999</v>
      </c>
      <c r="AC4897" t="s">
        <v>35</v>
      </c>
    </row>
    <row r="4898" spans="1:29" x14ac:dyDescent="0.25">
      <c r="B4898" s="23" t="s">
        <v>1026</v>
      </c>
      <c r="D4898">
        <v>24</v>
      </c>
      <c r="F4898">
        <v>3</v>
      </c>
      <c r="G4898">
        <v>2009</v>
      </c>
      <c r="H4898" t="s">
        <v>392</v>
      </c>
      <c r="I4898" t="s">
        <v>1027</v>
      </c>
      <c r="J4898" t="s">
        <v>121</v>
      </c>
      <c r="K4898" t="s">
        <v>41</v>
      </c>
      <c r="O4898">
        <v>0</v>
      </c>
      <c r="P4898">
        <v>0</v>
      </c>
      <c r="Q4898">
        <v>0</v>
      </c>
      <c r="R4898">
        <v>0</v>
      </c>
      <c r="W4898" t="s">
        <v>1232</v>
      </c>
      <c r="AA4898">
        <v>2007</v>
      </c>
      <c r="AB4898">
        <v>9999</v>
      </c>
      <c r="AC4898" t="s">
        <v>35</v>
      </c>
    </row>
    <row r="4899" spans="1:29" x14ac:dyDescent="0.25">
      <c r="A4899" s="31" t="s">
        <v>28</v>
      </c>
      <c r="B4899" s="23" t="s">
        <v>29</v>
      </c>
      <c r="D4899">
        <v>1</v>
      </c>
      <c r="E4899" t="s">
        <v>30</v>
      </c>
      <c r="F4899">
        <v>4</v>
      </c>
      <c r="G4899">
        <v>2008</v>
      </c>
      <c r="I4899">
        <v>295.89999999999998</v>
      </c>
      <c r="J4899" s="2" t="s">
        <v>89</v>
      </c>
      <c r="K4899" t="s">
        <v>32</v>
      </c>
      <c r="L4899" t="s">
        <v>33</v>
      </c>
      <c r="O4899">
        <v>0</v>
      </c>
      <c r="P4899">
        <v>0</v>
      </c>
      <c r="Q4899">
        <v>0</v>
      </c>
      <c r="R4899">
        <v>1</v>
      </c>
      <c r="W4899" t="s">
        <v>1029</v>
      </c>
      <c r="AA4899">
        <v>2007</v>
      </c>
      <c r="AB4899">
        <v>9999</v>
      </c>
      <c r="AC4899" t="s">
        <v>35</v>
      </c>
    </row>
    <row r="4900" spans="1:29" x14ac:dyDescent="0.25">
      <c r="A4900" s="31" t="s">
        <v>36</v>
      </c>
      <c r="B4900" s="23" t="s">
        <v>37</v>
      </c>
      <c r="D4900">
        <v>1</v>
      </c>
      <c r="E4900" t="s">
        <v>38</v>
      </c>
      <c r="F4900">
        <v>4</v>
      </c>
      <c r="G4900">
        <v>2008</v>
      </c>
      <c r="H4900" t="s">
        <v>39</v>
      </c>
      <c r="J4900" s="2" t="s">
        <v>40</v>
      </c>
      <c r="K4900" t="s">
        <v>41</v>
      </c>
      <c r="O4900">
        <v>0</v>
      </c>
      <c r="P4900">
        <v>0</v>
      </c>
      <c r="Q4900">
        <v>0</v>
      </c>
      <c r="R4900">
        <v>0</v>
      </c>
      <c r="W4900" t="s">
        <v>1030</v>
      </c>
      <c r="AA4900">
        <v>2007</v>
      </c>
      <c r="AB4900">
        <v>9999</v>
      </c>
      <c r="AC4900" t="s">
        <v>35</v>
      </c>
    </row>
    <row r="4901" spans="1:29" x14ac:dyDescent="0.25">
      <c r="A4901" s="31" t="s">
        <v>43</v>
      </c>
      <c r="B4901" s="23" t="s">
        <v>44</v>
      </c>
      <c r="D4901">
        <v>1</v>
      </c>
      <c r="E4901" t="s">
        <v>45</v>
      </c>
      <c r="F4901">
        <v>4</v>
      </c>
      <c r="G4901">
        <v>2008</v>
      </c>
      <c r="I4901">
        <v>32</v>
      </c>
      <c r="J4901" t="s">
        <v>46</v>
      </c>
      <c r="K4901" t="s">
        <v>47</v>
      </c>
      <c r="O4901">
        <v>0</v>
      </c>
      <c r="P4901">
        <v>0</v>
      </c>
      <c r="Q4901">
        <v>0</v>
      </c>
      <c r="R4901">
        <v>0</v>
      </c>
      <c r="W4901" t="s">
        <v>1031</v>
      </c>
      <c r="AA4901">
        <v>2007</v>
      </c>
      <c r="AB4901">
        <v>9999</v>
      </c>
      <c r="AC4901" t="s">
        <v>35</v>
      </c>
    </row>
    <row r="4902" spans="1:29" x14ac:dyDescent="0.25">
      <c r="A4902" s="31" t="s">
        <v>49</v>
      </c>
      <c r="B4902" s="23" t="s">
        <v>50</v>
      </c>
      <c r="D4902">
        <v>1</v>
      </c>
      <c r="E4902" t="s">
        <v>51</v>
      </c>
      <c r="F4902">
        <v>1</v>
      </c>
      <c r="G4902">
        <v>2008</v>
      </c>
      <c r="I4902">
        <v>52</v>
      </c>
      <c r="J4902" t="s">
        <v>52</v>
      </c>
      <c r="K4902" t="s">
        <v>53</v>
      </c>
      <c r="L4902" t="s">
        <v>54</v>
      </c>
      <c r="O4902">
        <v>0</v>
      </c>
      <c r="P4902">
        <v>0</v>
      </c>
      <c r="Q4902">
        <v>1</v>
      </c>
      <c r="R4902">
        <v>0</v>
      </c>
      <c r="W4902" t="s">
        <v>55</v>
      </c>
      <c r="AA4902">
        <v>2007</v>
      </c>
      <c r="AB4902">
        <v>9999</v>
      </c>
      <c r="AC4902" t="s">
        <v>35</v>
      </c>
    </row>
    <row r="4903" spans="1:29" x14ac:dyDescent="0.25">
      <c r="A4903" s="31" t="s">
        <v>56</v>
      </c>
      <c r="B4903" s="23" t="s">
        <v>57</v>
      </c>
      <c r="D4903">
        <v>1</v>
      </c>
      <c r="E4903" t="s">
        <v>58</v>
      </c>
      <c r="F4903">
        <v>4</v>
      </c>
      <c r="G4903">
        <v>2008</v>
      </c>
      <c r="I4903">
        <v>20.9</v>
      </c>
      <c r="J4903" t="s">
        <v>59</v>
      </c>
      <c r="K4903" t="s">
        <v>53</v>
      </c>
      <c r="L4903" t="s">
        <v>60</v>
      </c>
      <c r="O4903">
        <v>1</v>
      </c>
      <c r="P4903">
        <v>0</v>
      </c>
      <c r="Q4903">
        <v>0</v>
      </c>
      <c r="R4903">
        <v>0</v>
      </c>
      <c r="W4903" t="s">
        <v>61</v>
      </c>
      <c r="AA4903">
        <v>2007</v>
      </c>
      <c r="AB4903">
        <v>9999</v>
      </c>
      <c r="AC4903" t="s">
        <v>35</v>
      </c>
    </row>
    <row r="4904" spans="1:29" x14ac:dyDescent="0.25">
      <c r="A4904" s="31" t="s">
        <v>71</v>
      </c>
      <c r="B4904" s="23" t="s">
        <v>1032</v>
      </c>
      <c r="D4904">
        <v>1</v>
      </c>
      <c r="E4904" t="s">
        <v>309</v>
      </c>
      <c r="F4904">
        <v>10</v>
      </c>
      <c r="G4904">
        <v>2008</v>
      </c>
      <c r="I4904">
        <v>8563.5</v>
      </c>
      <c r="J4904" t="s">
        <v>59</v>
      </c>
      <c r="K4904" t="s">
        <v>32</v>
      </c>
      <c r="O4904">
        <v>0</v>
      </c>
      <c r="P4904">
        <v>0</v>
      </c>
      <c r="Q4904">
        <v>0</v>
      </c>
      <c r="R4904">
        <v>0</v>
      </c>
      <c r="W4904" t="s">
        <v>1033</v>
      </c>
      <c r="AA4904">
        <v>2007</v>
      </c>
      <c r="AB4904">
        <v>9999</v>
      </c>
      <c r="AC4904" t="s">
        <v>35</v>
      </c>
    </row>
    <row r="4905" spans="1:29" x14ac:dyDescent="0.25">
      <c r="A4905" s="31" t="s">
        <v>62</v>
      </c>
      <c r="B4905" s="23" t="s">
        <v>63</v>
      </c>
      <c r="D4905">
        <v>1</v>
      </c>
      <c r="E4905" t="s">
        <v>64</v>
      </c>
      <c r="F4905">
        <v>1</v>
      </c>
      <c r="G4905">
        <v>2008</v>
      </c>
      <c r="I4905">
        <v>60.1</v>
      </c>
      <c r="J4905" t="s">
        <v>52</v>
      </c>
      <c r="K4905" t="s">
        <v>53</v>
      </c>
      <c r="L4905" t="s">
        <v>65</v>
      </c>
      <c r="O4905">
        <v>0</v>
      </c>
      <c r="P4905">
        <v>0</v>
      </c>
      <c r="Q4905">
        <v>0</v>
      </c>
      <c r="R4905">
        <v>0</v>
      </c>
      <c r="W4905" t="s">
        <v>1034</v>
      </c>
      <c r="AA4905">
        <v>2007</v>
      </c>
      <c r="AB4905">
        <v>9999</v>
      </c>
      <c r="AC4905" t="s">
        <v>35</v>
      </c>
    </row>
    <row r="4906" spans="1:29" x14ac:dyDescent="0.25">
      <c r="A4906" s="31" t="s">
        <v>74</v>
      </c>
      <c r="B4906" s="23" t="s">
        <v>75</v>
      </c>
      <c r="D4906">
        <v>1</v>
      </c>
      <c r="E4906" t="s">
        <v>58</v>
      </c>
      <c r="F4906">
        <v>4</v>
      </c>
      <c r="G4906">
        <v>2008</v>
      </c>
      <c r="I4906">
        <v>636.5</v>
      </c>
      <c r="J4906" t="s">
        <v>59</v>
      </c>
      <c r="K4906" t="s">
        <v>47</v>
      </c>
      <c r="O4906">
        <v>0</v>
      </c>
      <c r="P4906">
        <v>0</v>
      </c>
      <c r="Q4906">
        <v>0</v>
      </c>
      <c r="R4906">
        <v>0</v>
      </c>
      <c r="W4906" t="s">
        <v>1035</v>
      </c>
      <c r="AA4906">
        <v>2007</v>
      </c>
      <c r="AB4906">
        <v>9999</v>
      </c>
      <c r="AC4906" t="s">
        <v>35</v>
      </c>
    </row>
    <row r="4907" spans="1:29" x14ac:dyDescent="0.25">
      <c r="A4907" s="31" t="s">
        <v>78</v>
      </c>
      <c r="B4907" s="23" t="s">
        <v>79</v>
      </c>
      <c r="D4907">
        <v>1</v>
      </c>
      <c r="E4907" t="s">
        <v>80</v>
      </c>
      <c r="F4907">
        <v>8</v>
      </c>
      <c r="G4907">
        <v>2008</v>
      </c>
      <c r="I4907">
        <v>39.4</v>
      </c>
      <c r="J4907" t="s">
        <v>81</v>
      </c>
      <c r="K4907" t="s">
        <v>47</v>
      </c>
      <c r="O4907">
        <v>0</v>
      </c>
      <c r="P4907">
        <v>0</v>
      </c>
      <c r="Q4907">
        <v>0</v>
      </c>
      <c r="R4907">
        <v>0</v>
      </c>
      <c r="W4907" t="s">
        <v>1036</v>
      </c>
      <c r="AA4907">
        <v>2007</v>
      </c>
      <c r="AB4907">
        <v>9999</v>
      </c>
      <c r="AC4907" t="s">
        <v>35</v>
      </c>
    </row>
    <row r="4908" spans="1:29" x14ac:dyDescent="0.25">
      <c r="A4908" s="31" t="s">
        <v>83</v>
      </c>
      <c r="B4908" s="23" t="s">
        <v>84</v>
      </c>
      <c r="D4908">
        <v>1</v>
      </c>
      <c r="E4908" t="s">
        <v>85</v>
      </c>
      <c r="F4908">
        <v>1</v>
      </c>
      <c r="G4908">
        <v>2008</v>
      </c>
      <c r="H4908" t="s">
        <v>39</v>
      </c>
      <c r="J4908" s="2" t="s">
        <v>40</v>
      </c>
      <c r="K4908" t="s">
        <v>41</v>
      </c>
      <c r="O4908">
        <v>0</v>
      </c>
      <c r="P4908">
        <v>0</v>
      </c>
      <c r="Q4908">
        <v>0</v>
      </c>
      <c r="R4908">
        <v>0</v>
      </c>
      <c r="W4908" t="s">
        <v>86</v>
      </c>
      <c r="AA4908">
        <v>2007</v>
      </c>
      <c r="AB4908">
        <v>9999</v>
      </c>
      <c r="AC4908" t="s">
        <v>35</v>
      </c>
    </row>
    <row r="4909" spans="1:29" x14ac:dyDescent="0.25">
      <c r="A4909" s="31" t="s">
        <v>87</v>
      </c>
      <c r="B4909" s="23" t="s">
        <v>88</v>
      </c>
      <c r="D4909">
        <v>1</v>
      </c>
      <c r="E4909" t="s">
        <v>38</v>
      </c>
      <c r="F4909">
        <v>4</v>
      </c>
      <c r="G4909">
        <v>2008</v>
      </c>
      <c r="I4909">
        <v>6395.5</v>
      </c>
      <c r="J4909" t="s">
        <v>89</v>
      </c>
      <c r="K4909" t="s">
        <v>32</v>
      </c>
      <c r="O4909">
        <v>0</v>
      </c>
      <c r="P4909">
        <v>0</v>
      </c>
      <c r="Q4909">
        <v>0</v>
      </c>
      <c r="R4909">
        <v>0</v>
      </c>
      <c r="W4909" t="s">
        <v>1037</v>
      </c>
      <c r="AA4909">
        <v>2007</v>
      </c>
      <c r="AB4909">
        <v>2010</v>
      </c>
      <c r="AC4909" t="s">
        <v>91</v>
      </c>
    </row>
    <row r="4910" spans="1:29" x14ac:dyDescent="0.25">
      <c r="A4910" s="31" t="s">
        <v>92</v>
      </c>
      <c r="B4910" s="23" t="s">
        <v>93</v>
      </c>
      <c r="C4910" t="s">
        <v>94</v>
      </c>
      <c r="D4910">
        <v>1</v>
      </c>
      <c r="E4910" t="s">
        <v>95</v>
      </c>
      <c r="F4910">
        <v>10</v>
      </c>
      <c r="G4910">
        <v>2008</v>
      </c>
      <c r="I4910">
        <v>23.8</v>
      </c>
      <c r="J4910" t="s">
        <v>40</v>
      </c>
      <c r="K4910" t="s">
        <v>47</v>
      </c>
      <c r="O4910">
        <v>0</v>
      </c>
      <c r="P4910">
        <v>0</v>
      </c>
      <c r="Q4910">
        <v>0</v>
      </c>
      <c r="R4910">
        <v>0</v>
      </c>
      <c r="W4910" t="s">
        <v>96</v>
      </c>
      <c r="AA4910">
        <v>2007</v>
      </c>
      <c r="AB4910">
        <v>9999</v>
      </c>
      <c r="AC4910" t="s">
        <v>35</v>
      </c>
    </row>
    <row r="4911" spans="1:29" x14ac:dyDescent="0.25">
      <c r="A4911" s="31" t="s">
        <v>97</v>
      </c>
      <c r="B4911" s="23" t="s">
        <v>98</v>
      </c>
      <c r="D4911">
        <v>1</v>
      </c>
      <c r="E4911" t="s">
        <v>38</v>
      </c>
      <c r="F4911">
        <v>4</v>
      </c>
      <c r="G4911">
        <v>2008</v>
      </c>
      <c r="H4911" t="s">
        <v>99</v>
      </c>
      <c r="J4911" t="s">
        <v>89</v>
      </c>
      <c r="K4911" t="s">
        <v>47</v>
      </c>
      <c r="O4911">
        <v>0</v>
      </c>
      <c r="P4911">
        <v>0</v>
      </c>
      <c r="Q4911">
        <v>0</v>
      </c>
      <c r="R4911">
        <v>0</v>
      </c>
      <c r="W4911" t="s">
        <v>1038</v>
      </c>
      <c r="AA4911">
        <v>2007</v>
      </c>
      <c r="AB4911">
        <v>9999</v>
      </c>
      <c r="AC4911" t="s">
        <v>35</v>
      </c>
    </row>
    <row r="4912" spans="1:29" x14ac:dyDescent="0.25">
      <c r="A4912" s="31" t="s">
        <v>101</v>
      </c>
      <c r="B4912" s="23" t="s">
        <v>102</v>
      </c>
      <c r="D4912">
        <v>1</v>
      </c>
      <c r="E4912" t="s">
        <v>103</v>
      </c>
      <c r="F4912">
        <v>9</v>
      </c>
      <c r="G4912">
        <v>2008</v>
      </c>
      <c r="I4912">
        <v>468.8</v>
      </c>
      <c r="J4912" t="s">
        <v>104</v>
      </c>
      <c r="K4912" t="s">
        <v>53</v>
      </c>
      <c r="L4912" t="s">
        <v>105</v>
      </c>
      <c r="O4912">
        <v>0</v>
      </c>
      <c r="P4912">
        <v>1</v>
      </c>
      <c r="Q4912">
        <v>0</v>
      </c>
      <c r="R4912">
        <v>0</v>
      </c>
      <c r="W4912" t="s">
        <v>106</v>
      </c>
      <c r="AA4912">
        <v>2007</v>
      </c>
      <c r="AB4912">
        <v>9999</v>
      </c>
      <c r="AC4912" t="s">
        <v>35</v>
      </c>
    </row>
    <row r="4913" spans="1:29" x14ac:dyDescent="0.25">
      <c r="A4913" s="31" t="s">
        <v>107</v>
      </c>
      <c r="B4913" s="23" t="s">
        <v>108</v>
      </c>
      <c r="D4913">
        <v>1</v>
      </c>
      <c r="E4913" t="s">
        <v>45</v>
      </c>
      <c r="F4913">
        <v>4</v>
      </c>
      <c r="G4913">
        <v>2008</v>
      </c>
      <c r="I4913">
        <v>5.9</v>
      </c>
      <c r="J4913" t="s">
        <v>52</v>
      </c>
      <c r="K4913" t="s">
        <v>41</v>
      </c>
      <c r="O4913">
        <v>0</v>
      </c>
      <c r="P4913">
        <v>0</v>
      </c>
      <c r="Q4913">
        <v>0</v>
      </c>
      <c r="R4913">
        <v>0</v>
      </c>
      <c r="W4913" t="s">
        <v>109</v>
      </c>
      <c r="AA4913">
        <v>2007</v>
      </c>
      <c r="AB4913">
        <v>9999</v>
      </c>
      <c r="AC4913" t="s">
        <v>35</v>
      </c>
    </row>
    <row r="4914" spans="1:29" x14ac:dyDescent="0.25">
      <c r="A4914" s="31" t="s">
        <v>110</v>
      </c>
      <c r="B4914" s="23" t="s">
        <v>111</v>
      </c>
      <c r="D4914">
        <v>1</v>
      </c>
      <c r="E4914" t="s">
        <v>45</v>
      </c>
      <c r="F4914">
        <v>4</v>
      </c>
      <c r="G4914">
        <v>2008</v>
      </c>
      <c r="I4914">
        <v>460.9</v>
      </c>
      <c r="J4914" t="s">
        <v>89</v>
      </c>
      <c r="K4914" t="s">
        <v>47</v>
      </c>
      <c r="O4914">
        <v>0</v>
      </c>
      <c r="P4914">
        <v>0</v>
      </c>
      <c r="Q4914">
        <v>0</v>
      </c>
      <c r="R4914">
        <v>0</v>
      </c>
      <c r="W4914" t="s">
        <v>1039</v>
      </c>
      <c r="AA4914">
        <v>2007</v>
      </c>
      <c r="AB4914">
        <v>9999</v>
      </c>
      <c r="AC4914" t="s">
        <v>35</v>
      </c>
    </row>
    <row r="4915" spans="1:29" x14ac:dyDescent="0.25">
      <c r="A4915" s="31" t="s">
        <v>113</v>
      </c>
      <c r="B4915" s="23" t="s">
        <v>114</v>
      </c>
      <c r="D4915">
        <v>1</v>
      </c>
      <c r="E4915" t="s">
        <v>115</v>
      </c>
      <c r="F4915">
        <v>6</v>
      </c>
      <c r="G4915">
        <v>2008</v>
      </c>
      <c r="I4915">
        <v>192.4</v>
      </c>
      <c r="J4915" t="s">
        <v>31</v>
      </c>
      <c r="K4915" t="s">
        <v>47</v>
      </c>
      <c r="O4915">
        <v>0</v>
      </c>
      <c r="P4915">
        <v>0</v>
      </c>
      <c r="Q4915">
        <v>0</v>
      </c>
      <c r="R4915">
        <v>0</v>
      </c>
      <c r="W4915" t="s">
        <v>1040</v>
      </c>
      <c r="AA4915">
        <v>2007</v>
      </c>
      <c r="AB4915">
        <v>9999</v>
      </c>
      <c r="AC4915" t="s">
        <v>35</v>
      </c>
    </row>
    <row r="4916" spans="1:29" x14ac:dyDescent="0.25">
      <c r="A4916" s="31" t="s">
        <v>117</v>
      </c>
      <c r="B4916" s="23" t="s">
        <v>118</v>
      </c>
      <c r="C4916" t="s">
        <v>119</v>
      </c>
      <c r="D4916">
        <v>1</v>
      </c>
      <c r="E4916" t="s">
        <v>120</v>
      </c>
      <c r="F4916">
        <v>3</v>
      </c>
      <c r="G4916">
        <v>2008</v>
      </c>
      <c r="I4916">
        <v>86.8</v>
      </c>
      <c r="J4916" t="s">
        <v>121</v>
      </c>
      <c r="K4916" t="s">
        <v>47</v>
      </c>
      <c r="O4916">
        <v>0</v>
      </c>
      <c r="P4916">
        <v>0</v>
      </c>
      <c r="Q4916">
        <v>0</v>
      </c>
      <c r="R4916">
        <v>0</v>
      </c>
      <c r="W4916" t="s">
        <v>1041</v>
      </c>
      <c r="AA4916">
        <v>2007</v>
      </c>
      <c r="AB4916">
        <v>9999</v>
      </c>
      <c r="AC4916" t="s">
        <v>35</v>
      </c>
    </row>
    <row r="4917" spans="1:29" x14ac:dyDescent="0.25">
      <c r="A4917" s="31" t="s">
        <v>123</v>
      </c>
      <c r="B4917" s="23" t="s">
        <v>124</v>
      </c>
      <c r="D4917">
        <v>1</v>
      </c>
      <c r="E4917" t="s">
        <v>120</v>
      </c>
      <c r="F4917">
        <v>3</v>
      </c>
      <c r="G4917">
        <v>2008</v>
      </c>
      <c r="I4917">
        <v>48.8</v>
      </c>
      <c r="J4917" t="s">
        <v>121</v>
      </c>
      <c r="K4917" t="s">
        <v>47</v>
      </c>
      <c r="O4917">
        <v>0</v>
      </c>
      <c r="P4917">
        <v>0</v>
      </c>
      <c r="Q4917">
        <v>0</v>
      </c>
      <c r="R4917">
        <v>0</v>
      </c>
      <c r="W4917" t="s">
        <v>1042</v>
      </c>
      <c r="AA4917">
        <v>2007</v>
      </c>
      <c r="AB4917">
        <v>9999</v>
      </c>
      <c r="AC4917" t="s">
        <v>35</v>
      </c>
    </row>
    <row r="4918" spans="1:29" x14ac:dyDescent="0.25">
      <c r="A4918" s="31" t="s">
        <v>126</v>
      </c>
      <c r="B4918" s="23" t="s">
        <v>127</v>
      </c>
      <c r="D4918">
        <v>1</v>
      </c>
      <c r="E4918" t="s">
        <v>128</v>
      </c>
      <c r="F4918">
        <v>9</v>
      </c>
      <c r="G4918">
        <v>2008</v>
      </c>
      <c r="H4918" t="s">
        <v>129</v>
      </c>
      <c r="J4918" t="s">
        <v>104</v>
      </c>
      <c r="K4918" t="s">
        <v>41</v>
      </c>
      <c r="O4918">
        <v>0</v>
      </c>
      <c r="P4918">
        <v>0</v>
      </c>
      <c r="Q4918">
        <v>0</v>
      </c>
      <c r="R4918">
        <v>0</v>
      </c>
      <c r="W4918" t="s">
        <v>1043</v>
      </c>
      <c r="AA4918">
        <v>2007</v>
      </c>
      <c r="AB4918">
        <v>9999</v>
      </c>
      <c r="AC4918" t="s">
        <v>35</v>
      </c>
    </row>
    <row r="4919" spans="1:29" x14ac:dyDescent="0.25">
      <c r="A4919" s="31" t="s">
        <v>131</v>
      </c>
      <c r="B4919" s="23" t="s">
        <v>132</v>
      </c>
      <c r="C4919" t="s">
        <v>133</v>
      </c>
      <c r="D4919">
        <v>1</v>
      </c>
      <c r="E4919" t="s">
        <v>134</v>
      </c>
      <c r="F4919">
        <v>9</v>
      </c>
      <c r="G4919">
        <v>2008</v>
      </c>
      <c r="I4919">
        <v>866.5</v>
      </c>
      <c r="J4919" t="s">
        <v>104</v>
      </c>
      <c r="K4919" t="s">
        <v>47</v>
      </c>
      <c r="O4919">
        <v>0</v>
      </c>
      <c r="P4919">
        <v>0</v>
      </c>
      <c r="Q4919">
        <v>0</v>
      </c>
      <c r="R4919">
        <v>0</v>
      </c>
      <c r="W4919" t="s">
        <v>1044</v>
      </c>
      <c r="AA4919">
        <v>2007</v>
      </c>
      <c r="AB4919">
        <v>9999</v>
      </c>
      <c r="AC4919" t="s">
        <v>35</v>
      </c>
    </row>
    <row r="4920" spans="1:29" x14ac:dyDescent="0.25">
      <c r="A4920" s="31" t="s">
        <v>136</v>
      </c>
      <c r="B4920" s="23" t="s">
        <v>137</v>
      </c>
      <c r="D4920">
        <v>1</v>
      </c>
      <c r="E4920" t="s">
        <v>138</v>
      </c>
      <c r="F4920">
        <v>8</v>
      </c>
      <c r="G4920">
        <v>2008</v>
      </c>
      <c r="I4920">
        <v>60.1</v>
      </c>
      <c r="J4920" t="s">
        <v>104</v>
      </c>
      <c r="K4920" t="s">
        <v>53</v>
      </c>
      <c r="L4920" t="s">
        <v>105</v>
      </c>
      <c r="O4920">
        <v>0</v>
      </c>
      <c r="P4920">
        <v>1</v>
      </c>
      <c r="Q4920">
        <v>0</v>
      </c>
      <c r="R4920">
        <v>0</v>
      </c>
      <c r="W4920" t="s">
        <v>106</v>
      </c>
      <c r="AA4920">
        <v>2007</v>
      </c>
      <c r="AB4920">
        <v>2013</v>
      </c>
      <c r="AC4920" t="s">
        <v>139</v>
      </c>
    </row>
    <row r="4921" spans="1:29" x14ac:dyDescent="0.25">
      <c r="A4921" s="31" t="s">
        <v>140</v>
      </c>
      <c r="B4921" s="23" t="s">
        <v>141</v>
      </c>
      <c r="D4921">
        <v>1</v>
      </c>
      <c r="E4921" t="s">
        <v>45</v>
      </c>
      <c r="F4921">
        <v>4</v>
      </c>
      <c r="G4921">
        <v>2008</v>
      </c>
      <c r="I4921">
        <v>38.299999999999997</v>
      </c>
      <c r="J4921" t="s">
        <v>121</v>
      </c>
      <c r="K4921" t="s">
        <v>47</v>
      </c>
      <c r="O4921">
        <v>0</v>
      </c>
      <c r="P4921">
        <v>0</v>
      </c>
      <c r="Q4921">
        <v>0</v>
      </c>
      <c r="R4921">
        <v>0</v>
      </c>
      <c r="W4921" t="s">
        <v>1045</v>
      </c>
      <c r="AA4921">
        <v>2007</v>
      </c>
      <c r="AB4921">
        <v>9999</v>
      </c>
      <c r="AC4921" t="s">
        <v>35</v>
      </c>
    </row>
    <row r="4922" spans="1:29" ht="30" x14ac:dyDescent="0.25">
      <c r="A4922" s="31" t="s">
        <v>143</v>
      </c>
      <c r="B4922" s="25" t="s">
        <v>144</v>
      </c>
      <c r="D4922">
        <v>1</v>
      </c>
      <c r="E4922" t="s">
        <v>145</v>
      </c>
      <c r="F4922">
        <v>2</v>
      </c>
      <c r="G4922">
        <v>2008</v>
      </c>
      <c r="H4922" t="s">
        <v>146</v>
      </c>
      <c r="J4922" s="2" t="s">
        <v>147</v>
      </c>
      <c r="K4922" t="s">
        <v>41</v>
      </c>
      <c r="O4922">
        <v>0</v>
      </c>
      <c r="P4922">
        <v>0</v>
      </c>
      <c r="Q4922">
        <v>0</v>
      </c>
      <c r="R4922">
        <v>0</v>
      </c>
      <c r="W4922" t="s">
        <v>1046</v>
      </c>
      <c r="AA4922">
        <v>2007</v>
      </c>
      <c r="AB4922">
        <v>9999</v>
      </c>
      <c r="AC4922" t="s">
        <v>35</v>
      </c>
    </row>
    <row r="4923" spans="1:29" x14ac:dyDescent="0.25">
      <c r="A4923" s="31" t="s">
        <v>153</v>
      </c>
      <c r="B4923" s="23" t="s">
        <v>154</v>
      </c>
      <c r="D4923">
        <v>1</v>
      </c>
      <c r="E4923" t="s">
        <v>155</v>
      </c>
      <c r="F4923">
        <v>3</v>
      </c>
      <c r="G4923">
        <v>2008</v>
      </c>
      <c r="I4923">
        <v>219</v>
      </c>
      <c r="J4923" t="s">
        <v>121</v>
      </c>
      <c r="K4923" t="s">
        <v>47</v>
      </c>
      <c r="O4923">
        <v>0</v>
      </c>
      <c r="P4923">
        <v>0</v>
      </c>
      <c r="Q4923">
        <v>0</v>
      </c>
      <c r="R4923">
        <v>0</v>
      </c>
      <c r="V4923">
        <v>1</v>
      </c>
      <c r="W4923" t="s">
        <v>1047</v>
      </c>
      <c r="AA4923">
        <v>2007</v>
      </c>
      <c r="AB4923">
        <v>9999</v>
      </c>
      <c r="AC4923" t="s">
        <v>35</v>
      </c>
    </row>
    <row r="4924" spans="1:29" x14ac:dyDescent="0.25">
      <c r="A4924" s="31" t="s">
        <v>157</v>
      </c>
      <c r="B4924" s="23" t="s">
        <v>158</v>
      </c>
      <c r="D4924">
        <v>1</v>
      </c>
      <c r="E4924" t="s">
        <v>128</v>
      </c>
      <c r="F4924">
        <v>9</v>
      </c>
      <c r="G4924">
        <v>2008</v>
      </c>
      <c r="I4924">
        <v>61.9</v>
      </c>
      <c r="J4924" t="s">
        <v>104</v>
      </c>
      <c r="K4924" t="s">
        <v>53</v>
      </c>
      <c r="L4924" t="s">
        <v>105</v>
      </c>
      <c r="O4924">
        <v>0</v>
      </c>
      <c r="P4924">
        <v>1</v>
      </c>
      <c r="Q4924">
        <v>0</v>
      </c>
      <c r="R4924">
        <v>0</v>
      </c>
      <c r="W4924" t="s">
        <v>106</v>
      </c>
      <c r="AA4924">
        <v>2007</v>
      </c>
      <c r="AB4924">
        <v>2010</v>
      </c>
      <c r="AC4924" t="s">
        <v>91</v>
      </c>
    </row>
    <row r="4925" spans="1:29" x14ac:dyDescent="0.25">
      <c r="A4925" s="31" t="s">
        <v>159</v>
      </c>
      <c r="B4925" s="23" t="s">
        <v>160</v>
      </c>
      <c r="D4925">
        <v>1</v>
      </c>
      <c r="E4925" t="s">
        <v>155</v>
      </c>
      <c r="F4925">
        <v>3</v>
      </c>
      <c r="G4925">
        <v>2008</v>
      </c>
      <c r="I4925">
        <v>397.9</v>
      </c>
      <c r="J4925" t="s">
        <v>121</v>
      </c>
      <c r="K4925" t="s">
        <v>47</v>
      </c>
      <c r="O4925">
        <v>0</v>
      </c>
      <c r="P4925">
        <v>0</v>
      </c>
      <c r="Q4925">
        <v>0</v>
      </c>
      <c r="R4925">
        <v>0</v>
      </c>
      <c r="W4925" t="s">
        <v>1048</v>
      </c>
      <c r="AA4925">
        <v>2007</v>
      </c>
      <c r="AB4925">
        <v>9999</v>
      </c>
      <c r="AC4925" t="s">
        <v>35</v>
      </c>
    </row>
    <row r="4926" spans="1:29" x14ac:dyDescent="0.25">
      <c r="A4926" s="31" t="s">
        <v>165</v>
      </c>
      <c r="B4926" s="23" t="s">
        <v>166</v>
      </c>
      <c r="C4926" t="s">
        <v>167</v>
      </c>
      <c r="D4926">
        <v>1</v>
      </c>
      <c r="E4926" t="s">
        <v>168</v>
      </c>
      <c r="F4926">
        <v>1</v>
      </c>
      <c r="G4926">
        <v>2008</v>
      </c>
      <c r="I4926">
        <v>150.19999999999999</v>
      </c>
      <c r="J4926" t="s">
        <v>52</v>
      </c>
      <c r="K4926" t="s">
        <v>47</v>
      </c>
      <c r="O4926">
        <v>0</v>
      </c>
      <c r="P4926">
        <v>0</v>
      </c>
      <c r="Q4926">
        <v>0</v>
      </c>
      <c r="R4926">
        <v>0</v>
      </c>
      <c r="W4926" t="s">
        <v>1049</v>
      </c>
      <c r="AA4926">
        <v>2007</v>
      </c>
      <c r="AB4926">
        <v>9999</v>
      </c>
      <c r="AC4926" t="s">
        <v>35</v>
      </c>
    </row>
    <row r="4927" spans="1:29" x14ac:dyDescent="0.25">
      <c r="A4927" s="31" t="s">
        <v>170</v>
      </c>
      <c r="B4927" s="23" t="s">
        <v>171</v>
      </c>
      <c r="D4927">
        <v>1</v>
      </c>
      <c r="E4927" t="s">
        <v>30</v>
      </c>
      <c r="F4927">
        <v>4</v>
      </c>
      <c r="G4927">
        <v>2008</v>
      </c>
      <c r="I4927">
        <v>38.299999999999997</v>
      </c>
      <c r="J4927" t="s">
        <v>89</v>
      </c>
      <c r="K4927" t="s">
        <v>47</v>
      </c>
      <c r="O4927">
        <v>0</v>
      </c>
      <c r="P4927">
        <v>0</v>
      </c>
      <c r="Q4927">
        <v>0</v>
      </c>
      <c r="R4927">
        <v>0</v>
      </c>
      <c r="W4927" t="s">
        <v>1050</v>
      </c>
      <c r="AA4927">
        <v>2007</v>
      </c>
      <c r="AB4927">
        <v>9999</v>
      </c>
      <c r="AC4927" t="s">
        <v>35</v>
      </c>
    </row>
    <row r="4928" spans="1:29" x14ac:dyDescent="0.25">
      <c r="A4928" s="31" t="s">
        <v>1051</v>
      </c>
      <c r="B4928" s="23" t="s">
        <v>1052</v>
      </c>
      <c r="D4928">
        <v>1</v>
      </c>
      <c r="E4928" t="s">
        <v>30</v>
      </c>
      <c r="F4928">
        <v>4</v>
      </c>
      <c r="G4928">
        <v>2008</v>
      </c>
      <c r="I4928">
        <v>63.8</v>
      </c>
      <c r="J4928" t="s">
        <v>89</v>
      </c>
      <c r="K4928" t="s">
        <v>47</v>
      </c>
      <c r="O4928">
        <v>0</v>
      </c>
      <c r="P4928">
        <v>0</v>
      </c>
      <c r="Q4928">
        <v>0</v>
      </c>
      <c r="R4928">
        <v>0</v>
      </c>
      <c r="W4928" t="s">
        <v>1053</v>
      </c>
      <c r="AA4928">
        <v>2008</v>
      </c>
      <c r="AB4928">
        <v>9999</v>
      </c>
      <c r="AC4928" t="s">
        <v>1054</v>
      </c>
    </row>
    <row r="4929" spans="1:29" x14ac:dyDescent="0.25">
      <c r="A4929" s="31" t="s">
        <v>173</v>
      </c>
      <c r="B4929" s="23" t="s">
        <v>174</v>
      </c>
      <c r="C4929" t="s">
        <v>175</v>
      </c>
      <c r="D4929">
        <v>1</v>
      </c>
      <c r="E4929" t="s">
        <v>45</v>
      </c>
      <c r="F4929">
        <v>4</v>
      </c>
      <c r="G4929">
        <v>2008</v>
      </c>
      <c r="I4929">
        <v>106.3</v>
      </c>
      <c r="J4929" t="s">
        <v>176</v>
      </c>
      <c r="K4929" t="s">
        <v>32</v>
      </c>
      <c r="O4929">
        <v>0</v>
      </c>
      <c r="P4929">
        <v>0</v>
      </c>
      <c r="Q4929">
        <v>0</v>
      </c>
      <c r="R4929">
        <v>0</v>
      </c>
      <c r="W4929" t="s">
        <v>1055</v>
      </c>
      <c r="AA4929">
        <v>2007</v>
      </c>
      <c r="AB4929">
        <v>9999</v>
      </c>
      <c r="AC4929" t="s">
        <v>35</v>
      </c>
    </row>
    <row r="4930" spans="1:29" x14ac:dyDescent="0.25">
      <c r="A4930" s="31" t="s">
        <v>178</v>
      </c>
      <c r="B4930" s="23" t="s">
        <v>179</v>
      </c>
      <c r="D4930">
        <v>1</v>
      </c>
      <c r="E4930" t="s">
        <v>45</v>
      </c>
      <c r="F4930">
        <v>4</v>
      </c>
      <c r="G4930">
        <v>2008</v>
      </c>
      <c r="I4930">
        <v>17</v>
      </c>
      <c r="J4930" t="s">
        <v>46</v>
      </c>
      <c r="K4930" t="s">
        <v>47</v>
      </c>
      <c r="O4930">
        <v>0</v>
      </c>
      <c r="P4930">
        <v>0</v>
      </c>
      <c r="Q4930">
        <v>0</v>
      </c>
      <c r="R4930">
        <v>0</v>
      </c>
      <c r="W4930" t="s">
        <v>1056</v>
      </c>
      <c r="AA4930">
        <v>2007</v>
      </c>
      <c r="AB4930">
        <v>9999</v>
      </c>
      <c r="AC4930" t="s">
        <v>35</v>
      </c>
    </row>
    <row r="4931" spans="1:29" x14ac:dyDescent="0.25">
      <c r="A4931" s="31" t="s">
        <v>181</v>
      </c>
      <c r="B4931" s="25" t="s">
        <v>182</v>
      </c>
      <c r="D4931">
        <v>1</v>
      </c>
      <c r="E4931" t="s">
        <v>38</v>
      </c>
      <c r="F4931">
        <v>4</v>
      </c>
      <c r="G4931">
        <v>2008</v>
      </c>
      <c r="H4931" t="s">
        <v>39</v>
      </c>
      <c r="J4931" t="s">
        <v>121</v>
      </c>
      <c r="K4931" t="s">
        <v>41</v>
      </c>
      <c r="O4931">
        <v>0</v>
      </c>
      <c r="P4931">
        <v>0</v>
      </c>
      <c r="Q4931">
        <v>0</v>
      </c>
      <c r="R4931">
        <v>0</v>
      </c>
      <c r="W4931" t="s">
        <v>1057</v>
      </c>
      <c r="AA4931">
        <v>2007</v>
      </c>
      <c r="AB4931">
        <v>9999</v>
      </c>
      <c r="AC4931" t="s">
        <v>35</v>
      </c>
    </row>
    <row r="4932" spans="1:29" x14ac:dyDescent="0.25">
      <c r="A4932" s="31" t="s">
        <v>184</v>
      </c>
      <c r="B4932" s="23" t="s">
        <v>185</v>
      </c>
      <c r="C4932" t="s">
        <v>186</v>
      </c>
      <c r="D4932">
        <v>1</v>
      </c>
      <c r="E4932" t="s">
        <v>45</v>
      </c>
      <c r="F4932">
        <v>4</v>
      </c>
      <c r="G4932">
        <v>2008</v>
      </c>
      <c r="I4932">
        <v>220.7</v>
      </c>
      <c r="J4932" t="s">
        <v>52</v>
      </c>
      <c r="K4932" t="s">
        <v>32</v>
      </c>
      <c r="O4932">
        <v>0</v>
      </c>
      <c r="P4932">
        <v>0</v>
      </c>
      <c r="Q4932">
        <v>0</v>
      </c>
      <c r="R4932">
        <v>0</v>
      </c>
      <c r="W4932" t="s">
        <v>1058</v>
      </c>
      <c r="AA4932">
        <v>2007</v>
      </c>
      <c r="AB4932">
        <v>9999</v>
      </c>
      <c r="AC4932" t="s">
        <v>35</v>
      </c>
    </row>
    <row r="4933" spans="1:29" x14ac:dyDescent="0.25">
      <c r="A4933" s="31" t="s">
        <v>1059</v>
      </c>
      <c r="B4933" s="23" t="s">
        <v>1060</v>
      </c>
      <c r="D4933">
        <v>1</v>
      </c>
      <c r="E4933" t="s">
        <v>874</v>
      </c>
      <c r="F4933">
        <v>1</v>
      </c>
      <c r="G4933">
        <v>2008</v>
      </c>
      <c r="I4933">
        <v>2</v>
      </c>
      <c r="J4933" t="s">
        <v>52</v>
      </c>
      <c r="K4933" t="s">
        <v>47</v>
      </c>
      <c r="O4933">
        <v>0</v>
      </c>
      <c r="P4933">
        <v>0</v>
      </c>
      <c r="Q4933">
        <v>0</v>
      </c>
      <c r="R4933">
        <v>0</v>
      </c>
      <c r="W4933" t="s">
        <v>1061</v>
      </c>
      <c r="AA4933">
        <v>2008</v>
      </c>
      <c r="AB4933">
        <v>9999</v>
      </c>
      <c r="AC4933" t="s">
        <v>1054</v>
      </c>
    </row>
    <row r="4934" spans="1:29" x14ac:dyDescent="0.25">
      <c r="A4934" s="31" t="s">
        <v>188</v>
      </c>
      <c r="B4934" s="23" t="s">
        <v>189</v>
      </c>
      <c r="D4934">
        <v>1</v>
      </c>
      <c r="E4934" t="s">
        <v>38</v>
      </c>
      <c r="F4934">
        <v>4</v>
      </c>
      <c r="G4934">
        <v>2008</v>
      </c>
      <c r="I4934">
        <v>322.39999999999998</v>
      </c>
      <c r="J4934" t="s">
        <v>151</v>
      </c>
      <c r="K4934" t="s">
        <v>47</v>
      </c>
      <c r="O4934">
        <v>0</v>
      </c>
      <c r="P4934">
        <v>0</v>
      </c>
      <c r="Q4934">
        <v>0</v>
      </c>
      <c r="R4934">
        <v>0</v>
      </c>
      <c r="W4934" t="s">
        <v>1062</v>
      </c>
      <c r="AA4934">
        <v>2007</v>
      </c>
      <c r="AB4934">
        <v>2011</v>
      </c>
      <c r="AC4934" t="s">
        <v>191</v>
      </c>
    </row>
    <row r="4935" spans="1:29" x14ac:dyDescent="0.25">
      <c r="A4935" s="31" t="s">
        <v>192</v>
      </c>
      <c r="B4935" s="25" t="s">
        <v>193</v>
      </c>
      <c r="D4935">
        <v>1</v>
      </c>
      <c r="E4935" t="s">
        <v>51</v>
      </c>
      <c r="F4935">
        <v>1</v>
      </c>
      <c r="G4935">
        <v>2008</v>
      </c>
      <c r="I4935">
        <v>42</v>
      </c>
      <c r="J4935" t="s">
        <v>52</v>
      </c>
      <c r="K4935" t="s">
        <v>53</v>
      </c>
      <c r="L4935" t="s">
        <v>54</v>
      </c>
      <c r="O4935">
        <v>0</v>
      </c>
      <c r="P4935">
        <v>0</v>
      </c>
      <c r="Q4935">
        <v>1</v>
      </c>
      <c r="R4935">
        <v>0</v>
      </c>
      <c r="W4935" t="s">
        <v>55</v>
      </c>
      <c r="AA4935">
        <v>2007</v>
      </c>
      <c r="AB4935">
        <v>9999</v>
      </c>
      <c r="AC4935" t="s">
        <v>35</v>
      </c>
    </row>
    <row r="4936" spans="1:29" x14ac:dyDescent="0.25">
      <c r="A4936" s="31" t="s">
        <v>194</v>
      </c>
      <c r="B4936" s="23" t="s">
        <v>195</v>
      </c>
      <c r="C4936" t="s">
        <v>196</v>
      </c>
      <c r="D4936">
        <v>1</v>
      </c>
      <c r="E4936" t="s">
        <v>197</v>
      </c>
      <c r="F4936">
        <v>2</v>
      </c>
      <c r="G4936">
        <v>2008</v>
      </c>
      <c r="I4936">
        <v>75.2</v>
      </c>
      <c r="J4936" t="s">
        <v>176</v>
      </c>
      <c r="K4936" t="s">
        <v>47</v>
      </c>
      <c r="O4936">
        <v>0</v>
      </c>
      <c r="P4936">
        <v>0</v>
      </c>
      <c r="Q4936">
        <v>0</v>
      </c>
      <c r="R4936">
        <v>0</v>
      </c>
      <c r="W4936" t="s">
        <v>1063</v>
      </c>
      <c r="AA4936">
        <v>2007</v>
      </c>
      <c r="AB4936">
        <v>9999</v>
      </c>
      <c r="AC4936" t="s">
        <v>35</v>
      </c>
    </row>
    <row r="4937" spans="1:29" x14ac:dyDescent="0.25">
      <c r="A4937" s="31" t="s">
        <v>199</v>
      </c>
      <c r="B4937" s="23" t="s">
        <v>200</v>
      </c>
      <c r="D4937">
        <v>1</v>
      </c>
      <c r="E4937" t="s">
        <v>201</v>
      </c>
      <c r="F4937">
        <v>6</v>
      </c>
      <c r="G4937">
        <v>2008</v>
      </c>
      <c r="H4937" t="s">
        <v>39</v>
      </c>
      <c r="J4937" t="s">
        <v>31</v>
      </c>
      <c r="K4937" t="s">
        <v>41</v>
      </c>
      <c r="O4937">
        <v>0</v>
      </c>
      <c r="P4937">
        <v>0</v>
      </c>
      <c r="Q4937">
        <v>0</v>
      </c>
      <c r="R4937">
        <v>0</v>
      </c>
      <c r="W4937" t="s">
        <v>202</v>
      </c>
      <c r="AA4937">
        <v>2007</v>
      </c>
      <c r="AB4937">
        <v>9999</v>
      </c>
      <c r="AC4937" t="s">
        <v>35</v>
      </c>
    </row>
    <row r="4938" spans="1:29" x14ac:dyDescent="0.25">
      <c r="A4938" s="31" t="s">
        <v>203</v>
      </c>
      <c r="B4938" s="25" t="s">
        <v>204</v>
      </c>
      <c r="D4938">
        <v>1</v>
      </c>
      <c r="E4938" t="s">
        <v>201</v>
      </c>
      <c r="F4938">
        <v>1</v>
      </c>
      <c r="G4938">
        <v>2008</v>
      </c>
      <c r="H4938" t="s">
        <v>205</v>
      </c>
      <c r="J4938" t="s">
        <v>52</v>
      </c>
      <c r="K4938" t="s">
        <v>41</v>
      </c>
      <c r="O4938">
        <v>0</v>
      </c>
      <c r="P4938">
        <v>0</v>
      </c>
      <c r="Q4938">
        <v>0</v>
      </c>
      <c r="R4938">
        <v>0</v>
      </c>
      <c r="W4938" t="s">
        <v>1064</v>
      </c>
      <c r="AA4938">
        <v>2007</v>
      </c>
      <c r="AB4938">
        <v>9999</v>
      </c>
      <c r="AC4938" t="s">
        <v>35</v>
      </c>
    </row>
    <row r="4939" spans="1:29" x14ac:dyDescent="0.25">
      <c r="A4939" s="31" t="s">
        <v>207</v>
      </c>
      <c r="B4939" s="23" t="s">
        <v>208</v>
      </c>
      <c r="C4939" t="s">
        <v>209</v>
      </c>
      <c r="D4939">
        <v>1</v>
      </c>
      <c r="E4939" t="s">
        <v>210</v>
      </c>
      <c r="F4939">
        <v>10</v>
      </c>
      <c r="G4939">
        <v>2008</v>
      </c>
      <c r="I4939">
        <v>23.6</v>
      </c>
      <c r="J4939" t="s">
        <v>40</v>
      </c>
      <c r="K4939" t="s">
        <v>32</v>
      </c>
      <c r="O4939">
        <v>0</v>
      </c>
      <c r="P4939">
        <v>0</v>
      </c>
      <c r="Q4939">
        <v>0</v>
      </c>
      <c r="R4939">
        <v>0</v>
      </c>
      <c r="W4939" t="s">
        <v>1065</v>
      </c>
      <c r="AA4939">
        <v>2007</v>
      </c>
      <c r="AB4939">
        <v>9999</v>
      </c>
      <c r="AC4939" t="s">
        <v>35</v>
      </c>
    </row>
    <row r="4940" spans="1:29" ht="30" x14ac:dyDescent="0.25">
      <c r="A4940" s="31" t="s">
        <v>212</v>
      </c>
      <c r="B4940" s="23" t="s">
        <v>213</v>
      </c>
      <c r="C4940" t="s">
        <v>214</v>
      </c>
      <c r="D4940">
        <v>1</v>
      </c>
      <c r="E4940" s="4">
        <v>550</v>
      </c>
      <c r="F4940">
        <v>5</v>
      </c>
      <c r="G4940">
        <v>2008</v>
      </c>
      <c r="I4940">
        <v>41.2</v>
      </c>
      <c r="J4940" s="2" t="s">
        <v>31</v>
      </c>
      <c r="K4940" t="s">
        <v>47</v>
      </c>
      <c r="O4940">
        <v>0</v>
      </c>
      <c r="P4940">
        <v>0</v>
      </c>
      <c r="Q4940">
        <v>0</v>
      </c>
      <c r="R4940">
        <v>0</v>
      </c>
      <c r="W4940" t="s">
        <v>1066</v>
      </c>
      <c r="AA4940">
        <v>2007</v>
      </c>
      <c r="AB4940">
        <v>9999</v>
      </c>
      <c r="AC4940" t="s">
        <v>35</v>
      </c>
    </row>
    <row r="4941" spans="1:29" x14ac:dyDescent="0.25">
      <c r="A4941" s="31" t="s">
        <v>216</v>
      </c>
      <c r="B4941" s="23" t="s">
        <v>217</v>
      </c>
      <c r="D4941">
        <v>1</v>
      </c>
      <c r="E4941" t="s">
        <v>218</v>
      </c>
      <c r="F4941">
        <v>2</v>
      </c>
      <c r="G4941">
        <v>2008</v>
      </c>
      <c r="I4941">
        <v>685.1</v>
      </c>
      <c r="J4941" t="s">
        <v>52</v>
      </c>
      <c r="K4941" t="s">
        <v>32</v>
      </c>
      <c r="O4941">
        <v>0</v>
      </c>
      <c r="P4941">
        <v>0</v>
      </c>
      <c r="Q4941">
        <v>0</v>
      </c>
      <c r="R4941">
        <v>0</v>
      </c>
      <c r="W4941" t="s">
        <v>1067</v>
      </c>
      <c r="AA4941">
        <v>2007</v>
      </c>
      <c r="AB4941">
        <v>9999</v>
      </c>
      <c r="AC4941" t="s">
        <v>35</v>
      </c>
    </row>
    <row r="4942" spans="1:29" x14ac:dyDescent="0.25">
      <c r="A4942" s="31" t="s">
        <v>220</v>
      </c>
      <c r="B4942" s="23" t="s">
        <v>221</v>
      </c>
      <c r="D4942">
        <v>1</v>
      </c>
      <c r="E4942" t="s">
        <v>222</v>
      </c>
      <c r="F4942">
        <v>8</v>
      </c>
      <c r="G4942">
        <v>2008</v>
      </c>
      <c r="I4942">
        <v>29.2</v>
      </c>
      <c r="J4942" t="s">
        <v>81</v>
      </c>
      <c r="K4942" t="s">
        <v>47</v>
      </c>
      <c r="O4942">
        <v>0</v>
      </c>
      <c r="P4942">
        <v>0</v>
      </c>
      <c r="Q4942">
        <v>0</v>
      </c>
      <c r="R4942">
        <v>0</v>
      </c>
      <c r="W4942" t="s">
        <v>1068</v>
      </c>
      <c r="AA4942">
        <v>2007</v>
      </c>
      <c r="AB4942">
        <v>9999</v>
      </c>
      <c r="AC4942" t="s">
        <v>35</v>
      </c>
    </row>
    <row r="4943" spans="1:29" x14ac:dyDescent="0.25">
      <c r="A4943" s="31" t="s">
        <v>224</v>
      </c>
      <c r="B4943" s="25" t="s">
        <v>225</v>
      </c>
      <c r="D4943">
        <v>1</v>
      </c>
      <c r="E4943" t="s">
        <v>51</v>
      </c>
      <c r="F4943">
        <v>1</v>
      </c>
      <c r="G4943">
        <v>2008</v>
      </c>
      <c r="I4943">
        <v>63</v>
      </c>
      <c r="J4943" t="s">
        <v>52</v>
      </c>
      <c r="K4943" t="s">
        <v>53</v>
      </c>
      <c r="L4943" t="s">
        <v>54</v>
      </c>
      <c r="O4943">
        <v>0</v>
      </c>
      <c r="P4943">
        <v>0</v>
      </c>
      <c r="Q4943">
        <v>1</v>
      </c>
      <c r="R4943">
        <v>0</v>
      </c>
      <c r="W4943" t="s">
        <v>55</v>
      </c>
      <c r="AA4943">
        <v>2007</v>
      </c>
      <c r="AB4943">
        <v>9999</v>
      </c>
      <c r="AC4943" t="s">
        <v>35</v>
      </c>
    </row>
    <row r="4944" spans="1:29" x14ac:dyDescent="0.25">
      <c r="A4944" s="31" t="s">
        <v>226</v>
      </c>
      <c r="B4944" s="23" t="s">
        <v>227</v>
      </c>
      <c r="C4944" t="s">
        <v>228</v>
      </c>
      <c r="D4944">
        <v>1</v>
      </c>
      <c r="E4944" t="s">
        <v>218</v>
      </c>
      <c r="F4944">
        <v>2</v>
      </c>
      <c r="G4944">
        <v>2008</v>
      </c>
      <c r="I4944">
        <v>1530.8</v>
      </c>
      <c r="J4944" t="s">
        <v>147</v>
      </c>
      <c r="K4944" t="s">
        <v>32</v>
      </c>
      <c r="O4944">
        <v>0</v>
      </c>
      <c r="P4944">
        <v>0</v>
      </c>
      <c r="Q4944">
        <v>0</v>
      </c>
      <c r="R4944">
        <v>0</v>
      </c>
      <c r="W4944" t="s">
        <v>1069</v>
      </c>
      <c r="AA4944">
        <v>2007</v>
      </c>
      <c r="AB4944">
        <v>9999</v>
      </c>
      <c r="AC4944" t="s">
        <v>35</v>
      </c>
    </row>
    <row r="4945" spans="1:29" x14ac:dyDescent="0.25">
      <c r="A4945" s="31" t="s">
        <v>230</v>
      </c>
      <c r="B4945" s="23" t="s">
        <v>231</v>
      </c>
      <c r="C4945" t="s">
        <v>232</v>
      </c>
      <c r="D4945">
        <v>1</v>
      </c>
      <c r="E4945" t="s">
        <v>145</v>
      </c>
      <c r="F4945">
        <v>2</v>
      </c>
      <c r="G4945">
        <v>2008</v>
      </c>
      <c r="J4945" t="s">
        <v>147</v>
      </c>
      <c r="K4945" t="s">
        <v>47</v>
      </c>
      <c r="O4945">
        <v>0</v>
      </c>
      <c r="P4945">
        <v>0</v>
      </c>
      <c r="Q4945">
        <v>0</v>
      </c>
      <c r="R4945">
        <v>0</v>
      </c>
      <c r="W4945" t="s">
        <v>1070</v>
      </c>
      <c r="AA4945">
        <v>2007</v>
      </c>
      <c r="AB4945">
        <v>9999</v>
      </c>
      <c r="AC4945" t="s">
        <v>35</v>
      </c>
    </row>
    <row r="4946" spans="1:29" x14ac:dyDescent="0.25">
      <c r="B4946" s="23" t="s">
        <v>234</v>
      </c>
      <c r="D4946">
        <v>1</v>
      </c>
      <c r="E4946" t="s">
        <v>145</v>
      </c>
      <c r="F4946">
        <v>2</v>
      </c>
      <c r="G4946">
        <v>2008</v>
      </c>
      <c r="H4946" t="s">
        <v>146</v>
      </c>
      <c r="J4946" t="s">
        <v>147</v>
      </c>
      <c r="K4946" t="s">
        <v>41</v>
      </c>
      <c r="O4946">
        <v>0</v>
      </c>
      <c r="P4946">
        <v>0</v>
      </c>
      <c r="Q4946">
        <v>0</v>
      </c>
      <c r="R4946">
        <v>0</v>
      </c>
      <c r="W4946" t="s">
        <v>1071</v>
      </c>
      <c r="AA4946">
        <v>2007</v>
      </c>
      <c r="AB4946">
        <v>2009</v>
      </c>
      <c r="AC4946" t="s">
        <v>236</v>
      </c>
    </row>
    <row r="4947" spans="1:29" x14ac:dyDescent="0.25">
      <c r="A4947" s="31" t="s">
        <v>237</v>
      </c>
      <c r="B4947" s="23" t="s">
        <v>238</v>
      </c>
      <c r="D4947">
        <v>1</v>
      </c>
      <c r="E4947" t="s">
        <v>218</v>
      </c>
      <c r="F4947">
        <v>2</v>
      </c>
      <c r="G4947">
        <v>2008</v>
      </c>
      <c r="I4947">
        <v>282</v>
      </c>
      <c r="J4947" t="s">
        <v>104</v>
      </c>
      <c r="K4947" t="s">
        <v>53</v>
      </c>
      <c r="L4947" t="s">
        <v>105</v>
      </c>
      <c r="O4947">
        <v>0</v>
      </c>
      <c r="P4947">
        <v>0</v>
      </c>
      <c r="Q4947">
        <v>0</v>
      </c>
      <c r="R4947">
        <v>0</v>
      </c>
      <c r="W4947" t="s">
        <v>1072</v>
      </c>
      <c r="AA4947">
        <v>2007</v>
      </c>
      <c r="AB4947">
        <v>9999</v>
      </c>
      <c r="AC4947" t="s">
        <v>35</v>
      </c>
    </row>
    <row r="4948" spans="1:29" x14ac:dyDescent="0.25">
      <c r="A4948" s="31" t="s">
        <v>240</v>
      </c>
      <c r="B4948" s="23" t="s">
        <v>241</v>
      </c>
      <c r="D4948">
        <v>1</v>
      </c>
      <c r="E4948" t="s">
        <v>218</v>
      </c>
      <c r="F4948">
        <v>2</v>
      </c>
      <c r="G4948">
        <v>2008</v>
      </c>
      <c r="I4948">
        <v>14899.3</v>
      </c>
      <c r="J4948" t="s">
        <v>147</v>
      </c>
      <c r="K4948" t="s">
        <v>47</v>
      </c>
      <c r="O4948">
        <v>0</v>
      </c>
      <c r="P4948">
        <v>0</v>
      </c>
      <c r="Q4948">
        <v>0</v>
      </c>
      <c r="R4948">
        <v>0</v>
      </c>
      <c r="W4948" t="s">
        <v>1073</v>
      </c>
      <c r="AA4948">
        <v>2007</v>
      </c>
      <c r="AB4948">
        <v>9999</v>
      </c>
      <c r="AC4948" t="s">
        <v>35</v>
      </c>
    </row>
    <row r="4949" spans="1:29" x14ac:dyDescent="0.25">
      <c r="A4949" s="31" t="s">
        <v>243</v>
      </c>
      <c r="B4949" s="23" t="s">
        <v>244</v>
      </c>
      <c r="D4949">
        <v>1</v>
      </c>
      <c r="E4949" t="s">
        <v>210</v>
      </c>
      <c r="F4949">
        <v>10</v>
      </c>
      <c r="G4949">
        <v>2008</v>
      </c>
      <c r="I4949">
        <v>12857.8</v>
      </c>
      <c r="J4949" t="s">
        <v>40</v>
      </c>
      <c r="K4949" t="s">
        <v>32</v>
      </c>
      <c r="O4949">
        <v>0</v>
      </c>
      <c r="P4949">
        <v>0</v>
      </c>
      <c r="Q4949">
        <v>0</v>
      </c>
      <c r="R4949">
        <v>0</v>
      </c>
      <c r="W4949" t="s">
        <v>1074</v>
      </c>
      <c r="AA4949">
        <v>2007</v>
      </c>
      <c r="AB4949">
        <v>9999</v>
      </c>
      <c r="AC4949" t="s">
        <v>35</v>
      </c>
    </row>
    <row r="4950" spans="1:29" x14ac:dyDescent="0.25">
      <c r="A4950" s="31" t="s">
        <v>246</v>
      </c>
      <c r="B4950" s="23" t="s">
        <v>247</v>
      </c>
      <c r="D4950">
        <v>1</v>
      </c>
      <c r="E4950" t="s">
        <v>120</v>
      </c>
      <c r="F4950">
        <v>3</v>
      </c>
      <c r="G4950">
        <v>2008</v>
      </c>
      <c r="H4950" t="s">
        <v>129</v>
      </c>
      <c r="I4950">
        <v>2.2999999999999998</v>
      </c>
      <c r="J4950" t="s">
        <v>121</v>
      </c>
      <c r="K4950" t="s">
        <v>41</v>
      </c>
      <c r="O4950">
        <v>0</v>
      </c>
      <c r="P4950">
        <v>0</v>
      </c>
      <c r="Q4950">
        <v>0</v>
      </c>
      <c r="R4950">
        <v>0</v>
      </c>
      <c r="W4950" t="s">
        <v>1075</v>
      </c>
      <c r="AA4950">
        <v>2007</v>
      </c>
      <c r="AB4950">
        <v>9999</v>
      </c>
      <c r="AC4950" t="s">
        <v>35</v>
      </c>
    </row>
    <row r="4951" spans="1:29" x14ac:dyDescent="0.25">
      <c r="A4951" s="31" t="s">
        <v>249</v>
      </c>
      <c r="B4951" s="23" t="s">
        <v>250</v>
      </c>
      <c r="D4951">
        <v>1</v>
      </c>
      <c r="E4951" t="s">
        <v>38</v>
      </c>
      <c r="F4951">
        <v>4</v>
      </c>
      <c r="G4951">
        <v>2008</v>
      </c>
      <c r="I4951">
        <v>30.1</v>
      </c>
      <c r="J4951" t="s">
        <v>89</v>
      </c>
      <c r="K4951" t="s">
        <v>47</v>
      </c>
      <c r="O4951">
        <v>0</v>
      </c>
      <c r="P4951">
        <v>0</v>
      </c>
      <c r="Q4951">
        <v>0</v>
      </c>
      <c r="R4951">
        <v>0</v>
      </c>
      <c r="W4951" t="s">
        <v>1076</v>
      </c>
      <c r="AA4951">
        <v>2007</v>
      </c>
      <c r="AB4951">
        <v>2009</v>
      </c>
      <c r="AC4951" t="s">
        <v>236</v>
      </c>
    </row>
    <row r="4952" spans="1:29" x14ac:dyDescent="0.25">
      <c r="A4952" s="31" t="s">
        <v>252</v>
      </c>
      <c r="B4952" s="23" t="s">
        <v>253</v>
      </c>
      <c r="D4952">
        <v>1</v>
      </c>
      <c r="E4952" t="s">
        <v>145</v>
      </c>
      <c r="F4952">
        <v>2</v>
      </c>
      <c r="G4952">
        <v>2008</v>
      </c>
      <c r="H4952" t="s">
        <v>254</v>
      </c>
      <c r="J4952" s="2" t="s">
        <v>147</v>
      </c>
      <c r="K4952" t="s">
        <v>41</v>
      </c>
      <c r="O4952">
        <v>0</v>
      </c>
      <c r="P4952">
        <v>0</v>
      </c>
      <c r="Q4952">
        <v>0</v>
      </c>
      <c r="R4952">
        <v>0</v>
      </c>
      <c r="W4952" t="s">
        <v>1077</v>
      </c>
      <c r="AA4952">
        <v>2007</v>
      </c>
      <c r="AB4952">
        <v>9999</v>
      </c>
      <c r="AC4952" t="s">
        <v>35</v>
      </c>
    </row>
    <row r="4953" spans="1:29" x14ac:dyDescent="0.25">
      <c r="A4953" s="31" t="s">
        <v>256</v>
      </c>
      <c r="B4953" s="23" t="s">
        <v>257</v>
      </c>
      <c r="D4953">
        <v>1</v>
      </c>
      <c r="E4953" t="s">
        <v>138</v>
      </c>
      <c r="F4953">
        <v>8</v>
      </c>
      <c r="G4953">
        <v>2008</v>
      </c>
      <c r="I4953">
        <v>10.6</v>
      </c>
      <c r="J4953" t="s">
        <v>81</v>
      </c>
      <c r="K4953" t="s">
        <v>47</v>
      </c>
      <c r="O4953">
        <v>0</v>
      </c>
      <c r="P4953">
        <v>0</v>
      </c>
      <c r="Q4953">
        <v>0</v>
      </c>
      <c r="R4953">
        <v>0</v>
      </c>
      <c r="W4953" t="s">
        <v>1078</v>
      </c>
      <c r="AA4953">
        <v>2007</v>
      </c>
      <c r="AB4953">
        <v>2010</v>
      </c>
      <c r="AC4953" t="s">
        <v>91</v>
      </c>
    </row>
    <row r="4954" spans="1:29" x14ac:dyDescent="0.25">
      <c r="A4954" s="31" t="s">
        <v>259</v>
      </c>
      <c r="B4954" s="23" t="s">
        <v>260</v>
      </c>
      <c r="C4954" t="s">
        <v>261</v>
      </c>
      <c r="D4954">
        <v>1</v>
      </c>
      <c r="E4954" t="s">
        <v>103</v>
      </c>
      <c r="F4954">
        <v>9</v>
      </c>
      <c r="G4954">
        <v>2008</v>
      </c>
      <c r="I4954">
        <v>4641.6000000000004</v>
      </c>
      <c r="J4954" t="s">
        <v>104</v>
      </c>
      <c r="K4954" t="s">
        <v>53</v>
      </c>
      <c r="L4954" t="s">
        <v>105</v>
      </c>
      <c r="O4954">
        <v>0</v>
      </c>
      <c r="P4954">
        <v>1</v>
      </c>
      <c r="Q4954">
        <v>0</v>
      </c>
      <c r="R4954">
        <v>0</v>
      </c>
      <c r="W4954" t="s">
        <v>106</v>
      </c>
      <c r="AA4954">
        <v>2007</v>
      </c>
      <c r="AB4954">
        <v>9999</v>
      </c>
      <c r="AC4954" t="s">
        <v>35</v>
      </c>
    </row>
    <row r="4955" spans="1:29" x14ac:dyDescent="0.25">
      <c r="A4955" s="31" t="s">
        <v>262</v>
      </c>
      <c r="B4955" s="23" t="s">
        <v>263</v>
      </c>
      <c r="D4955">
        <v>1</v>
      </c>
      <c r="E4955" t="s">
        <v>51</v>
      </c>
      <c r="F4955">
        <v>10</v>
      </c>
      <c r="G4955">
        <v>2008</v>
      </c>
      <c r="I4955">
        <v>11.3</v>
      </c>
      <c r="J4955" t="s">
        <v>46</v>
      </c>
      <c r="K4955" t="s">
        <v>47</v>
      </c>
      <c r="O4955">
        <v>0</v>
      </c>
      <c r="P4955">
        <v>0</v>
      </c>
      <c r="Q4955">
        <v>0</v>
      </c>
      <c r="R4955">
        <v>0</v>
      </c>
      <c r="W4955" t="s">
        <v>264</v>
      </c>
      <c r="AA4955">
        <v>2007</v>
      </c>
      <c r="AB4955">
        <v>2008</v>
      </c>
      <c r="AC4955" t="s">
        <v>265</v>
      </c>
    </row>
    <row r="4956" spans="1:29" x14ac:dyDescent="0.25">
      <c r="A4956" s="31" t="s">
        <v>266</v>
      </c>
      <c r="B4956" s="25" t="s">
        <v>267</v>
      </c>
      <c r="D4956">
        <v>1</v>
      </c>
      <c r="E4956" t="s">
        <v>85</v>
      </c>
      <c r="F4956">
        <v>4</v>
      </c>
      <c r="G4956">
        <v>2008</v>
      </c>
      <c r="J4956" t="s">
        <v>268</v>
      </c>
      <c r="K4956" t="s">
        <v>41</v>
      </c>
      <c r="O4956">
        <v>0</v>
      </c>
      <c r="P4956">
        <v>0</v>
      </c>
      <c r="Q4956">
        <v>0</v>
      </c>
      <c r="R4956">
        <v>0</v>
      </c>
      <c r="W4956" t="s">
        <v>1079</v>
      </c>
      <c r="AA4956">
        <v>2007</v>
      </c>
      <c r="AB4956">
        <v>9999</v>
      </c>
      <c r="AC4956" t="s">
        <v>35</v>
      </c>
    </row>
    <row r="4957" spans="1:29" x14ac:dyDescent="0.25">
      <c r="A4957" s="31" t="s">
        <v>153</v>
      </c>
      <c r="B4957" s="23" t="s">
        <v>270</v>
      </c>
      <c r="D4957">
        <v>6</v>
      </c>
      <c r="E4957" t="s">
        <v>155</v>
      </c>
      <c r="F4957">
        <v>3</v>
      </c>
      <c r="G4957">
        <v>2008</v>
      </c>
      <c r="I4957">
        <v>598.10325863095102</v>
      </c>
      <c r="J4957" t="s">
        <v>121</v>
      </c>
      <c r="K4957" t="s">
        <v>53</v>
      </c>
      <c r="L4957" t="s">
        <v>60</v>
      </c>
      <c r="O4957">
        <v>1</v>
      </c>
      <c r="P4957">
        <v>0</v>
      </c>
      <c r="Q4957">
        <v>0</v>
      </c>
      <c r="R4957">
        <v>0</v>
      </c>
      <c r="V4957">
        <v>1</v>
      </c>
      <c r="W4957" t="s">
        <v>271</v>
      </c>
      <c r="AA4957">
        <v>2007</v>
      </c>
      <c r="AB4957">
        <v>9999</v>
      </c>
      <c r="AC4957" t="s">
        <v>35</v>
      </c>
    </row>
    <row r="4958" spans="1:29" x14ac:dyDescent="0.25">
      <c r="A4958" s="31" t="s">
        <v>153</v>
      </c>
      <c r="B4958" s="23" t="s">
        <v>272</v>
      </c>
      <c r="D4958">
        <v>8</v>
      </c>
      <c r="E4958" t="s">
        <v>155</v>
      </c>
      <c r="F4958">
        <v>3</v>
      </c>
      <c r="G4958">
        <v>2008</v>
      </c>
      <c r="I4958">
        <v>90.681247519837981</v>
      </c>
      <c r="J4958" s="2" t="s">
        <v>121</v>
      </c>
      <c r="K4958" t="s">
        <v>53</v>
      </c>
      <c r="L4958" t="s">
        <v>60</v>
      </c>
      <c r="O4958">
        <v>1</v>
      </c>
      <c r="P4958">
        <v>0</v>
      </c>
      <c r="Q4958">
        <v>0</v>
      </c>
      <c r="R4958">
        <v>0</v>
      </c>
      <c r="V4958">
        <v>1</v>
      </c>
      <c r="W4958" t="s">
        <v>273</v>
      </c>
      <c r="AA4958">
        <v>2007</v>
      </c>
      <c r="AB4958">
        <v>9999</v>
      </c>
      <c r="AC4958" t="s">
        <v>35</v>
      </c>
    </row>
    <row r="4959" spans="1:29" x14ac:dyDescent="0.25">
      <c r="A4959" s="31" t="s">
        <v>274</v>
      </c>
      <c r="B4959" s="23" t="s">
        <v>275</v>
      </c>
      <c r="C4959" t="s">
        <v>276</v>
      </c>
      <c r="D4959">
        <v>1</v>
      </c>
      <c r="E4959" t="s">
        <v>51</v>
      </c>
      <c r="F4959">
        <v>10</v>
      </c>
      <c r="G4959">
        <v>2008</v>
      </c>
      <c r="I4959">
        <v>31.7</v>
      </c>
      <c r="J4959" s="2" t="s">
        <v>40</v>
      </c>
      <c r="K4959" t="s">
        <v>41</v>
      </c>
      <c r="O4959">
        <v>0</v>
      </c>
      <c r="P4959">
        <v>0</v>
      </c>
      <c r="Q4959">
        <v>0</v>
      </c>
      <c r="R4959">
        <v>0</v>
      </c>
      <c r="W4959" t="s">
        <v>1080</v>
      </c>
      <c r="AA4959">
        <v>2007</v>
      </c>
      <c r="AB4959">
        <v>9999</v>
      </c>
      <c r="AC4959" t="s">
        <v>35</v>
      </c>
    </row>
    <row r="4960" spans="1:29" x14ac:dyDescent="0.25">
      <c r="A4960" s="31" t="s">
        <v>278</v>
      </c>
      <c r="B4960" s="23" t="s">
        <v>279</v>
      </c>
      <c r="D4960">
        <v>1</v>
      </c>
      <c r="E4960" t="s">
        <v>103</v>
      </c>
      <c r="F4960">
        <v>9</v>
      </c>
      <c r="G4960">
        <v>2008</v>
      </c>
      <c r="I4960">
        <v>536.1</v>
      </c>
      <c r="J4960" t="s">
        <v>104</v>
      </c>
      <c r="K4960" t="s">
        <v>53</v>
      </c>
      <c r="L4960" t="s">
        <v>105</v>
      </c>
      <c r="O4960">
        <v>0</v>
      </c>
      <c r="P4960">
        <v>1</v>
      </c>
      <c r="Q4960">
        <v>0</v>
      </c>
      <c r="R4960">
        <v>0</v>
      </c>
      <c r="W4960" t="s">
        <v>106</v>
      </c>
      <c r="AA4960">
        <v>2007</v>
      </c>
      <c r="AB4960">
        <v>9999</v>
      </c>
      <c r="AC4960" t="s">
        <v>35</v>
      </c>
    </row>
    <row r="4961" spans="1:29" x14ac:dyDescent="0.25">
      <c r="A4961" s="31" t="s">
        <v>280</v>
      </c>
      <c r="B4961" s="23" t="s">
        <v>281</v>
      </c>
      <c r="D4961">
        <v>1</v>
      </c>
      <c r="E4961" t="s">
        <v>103</v>
      </c>
      <c r="F4961">
        <v>9</v>
      </c>
      <c r="G4961">
        <v>2008</v>
      </c>
      <c r="I4961">
        <v>553.9</v>
      </c>
      <c r="J4961" t="s">
        <v>104</v>
      </c>
      <c r="K4961" t="s">
        <v>53</v>
      </c>
      <c r="L4961" t="s">
        <v>105</v>
      </c>
      <c r="O4961">
        <v>0</v>
      </c>
      <c r="P4961">
        <v>1</v>
      </c>
      <c r="Q4961">
        <v>0</v>
      </c>
      <c r="R4961">
        <v>0</v>
      </c>
      <c r="W4961" t="s">
        <v>106</v>
      </c>
      <c r="AA4961">
        <v>2007</v>
      </c>
      <c r="AB4961">
        <v>9999</v>
      </c>
      <c r="AC4961" t="s">
        <v>35</v>
      </c>
    </row>
    <row r="4962" spans="1:29" x14ac:dyDescent="0.25">
      <c r="A4962" s="31" t="s">
        <v>282</v>
      </c>
      <c r="B4962" s="23" t="s">
        <v>283</v>
      </c>
      <c r="D4962">
        <v>1</v>
      </c>
      <c r="E4962" t="s">
        <v>103</v>
      </c>
      <c r="F4962">
        <v>9</v>
      </c>
      <c r="G4962">
        <v>2008</v>
      </c>
      <c r="I4962">
        <v>567.9</v>
      </c>
      <c r="J4962" t="s">
        <v>104</v>
      </c>
      <c r="K4962" t="s">
        <v>53</v>
      </c>
      <c r="L4962" t="s">
        <v>105</v>
      </c>
      <c r="O4962">
        <v>0</v>
      </c>
      <c r="P4962">
        <v>1</v>
      </c>
      <c r="Q4962">
        <v>0</v>
      </c>
      <c r="R4962">
        <v>0</v>
      </c>
      <c r="W4962" t="s">
        <v>106</v>
      </c>
      <c r="AA4962">
        <v>2007</v>
      </c>
      <c r="AB4962">
        <v>9999</v>
      </c>
      <c r="AC4962" t="s">
        <v>35</v>
      </c>
    </row>
    <row r="4963" spans="1:29" x14ac:dyDescent="0.25">
      <c r="A4963" s="31" t="s">
        <v>284</v>
      </c>
      <c r="B4963" s="23" t="s">
        <v>285</v>
      </c>
      <c r="D4963">
        <v>1</v>
      </c>
      <c r="E4963" t="s">
        <v>103</v>
      </c>
      <c r="F4963">
        <v>9</v>
      </c>
      <c r="G4963">
        <v>2008</v>
      </c>
      <c r="I4963">
        <v>472.5</v>
      </c>
      <c r="J4963" t="s">
        <v>104</v>
      </c>
      <c r="K4963" t="s">
        <v>53</v>
      </c>
      <c r="L4963" t="s">
        <v>105</v>
      </c>
      <c r="O4963">
        <v>0</v>
      </c>
      <c r="P4963">
        <v>1</v>
      </c>
      <c r="Q4963">
        <v>0</v>
      </c>
      <c r="R4963">
        <v>0</v>
      </c>
      <c r="W4963" t="s">
        <v>106</v>
      </c>
      <c r="AA4963">
        <v>2007</v>
      </c>
      <c r="AB4963">
        <v>9999</v>
      </c>
      <c r="AC4963" t="s">
        <v>35</v>
      </c>
    </row>
    <row r="4964" spans="1:29" x14ac:dyDescent="0.25">
      <c r="A4964" s="31" t="s">
        <v>286</v>
      </c>
      <c r="B4964" s="23" t="s">
        <v>287</v>
      </c>
      <c r="D4964">
        <v>1</v>
      </c>
      <c r="E4964" t="s">
        <v>128</v>
      </c>
      <c r="F4964">
        <v>9</v>
      </c>
      <c r="G4964">
        <v>2008</v>
      </c>
      <c r="I4964">
        <v>708.5</v>
      </c>
      <c r="J4964" t="s">
        <v>104</v>
      </c>
      <c r="K4964" t="s">
        <v>53</v>
      </c>
      <c r="L4964" t="s">
        <v>105</v>
      </c>
      <c r="O4964">
        <v>0</v>
      </c>
      <c r="P4964">
        <v>1</v>
      </c>
      <c r="Q4964">
        <v>0</v>
      </c>
      <c r="R4964">
        <v>0</v>
      </c>
      <c r="W4964" t="s">
        <v>106</v>
      </c>
      <c r="AA4964">
        <v>2007</v>
      </c>
      <c r="AB4964">
        <v>2009</v>
      </c>
      <c r="AC4964" t="s">
        <v>236</v>
      </c>
    </row>
    <row r="4965" spans="1:29" x14ac:dyDescent="0.25">
      <c r="A4965" s="31" t="s">
        <v>288</v>
      </c>
      <c r="B4965" s="23" t="s">
        <v>289</v>
      </c>
      <c r="D4965">
        <v>1</v>
      </c>
      <c r="E4965" t="s">
        <v>103</v>
      </c>
      <c r="F4965">
        <v>9</v>
      </c>
      <c r="G4965">
        <v>2008</v>
      </c>
      <c r="I4965">
        <v>417.4</v>
      </c>
      <c r="J4965" t="s">
        <v>104</v>
      </c>
      <c r="K4965" t="s">
        <v>53</v>
      </c>
      <c r="L4965" t="s">
        <v>105</v>
      </c>
      <c r="O4965">
        <v>0</v>
      </c>
      <c r="P4965">
        <v>1</v>
      </c>
      <c r="Q4965">
        <v>0</v>
      </c>
      <c r="R4965">
        <v>0</v>
      </c>
      <c r="W4965" t="s">
        <v>106</v>
      </c>
      <c r="AA4965">
        <v>2007</v>
      </c>
      <c r="AB4965">
        <v>9999</v>
      </c>
      <c r="AC4965" t="s">
        <v>35</v>
      </c>
    </row>
    <row r="4966" spans="1:29" x14ac:dyDescent="0.25">
      <c r="A4966" s="31" t="s">
        <v>288</v>
      </c>
      <c r="B4966" s="23" t="s">
        <v>290</v>
      </c>
      <c r="D4966">
        <v>1</v>
      </c>
      <c r="E4966" t="s">
        <v>103</v>
      </c>
      <c r="F4966">
        <v>9</v>
      </c>
      <c r="G4966">
        <v>2008</v>
      </c>
      <c r="I4966">
        <v>418.9</v>
      </c>
      <c r="J4966" t="s">
        <v>104</v>
      </c>
      <c r="K4966" t="s">
        <v>53</v>
      </c>
      <c r="L4966" t="s">
        <v>105</v>
      </c>
      <c r="O4966">
        <v>0</v>
      </c>
      <c r="P4966">
        <v>1</v>
      </c>
      <c r="Q4966">
        <v>0</v>
      </c>
      <c r="R4966">
        <v>0</v>
      </c>
      <c r="W4966" t="s">
        <v>106</v>
      </c>
      <c r="AA4966">
        <v>2007</v>
      </c>
      <c r="AB4966">
        <v>9999</v>
      </c>
      <c r="AC4966" t="s">
        <v>35</v>
      </c>
    </row>
    <row r="4967" spans="1:29" x14ac:dyDescent="0.25">
      <c r="A4967" s="31" t="s">
        <v>291</v>
      </c>
      <c r="B4967" s="23" t="s">
        <v>292</v>
      </c>
      <c r="D4967">
        <v>1</v>
      </c>
      <c r="E4967" t="s">
        <v>103</v>
      </c>
      <c r="F4967">
        <v>9</v>
      </c>
      <c r="G4967">
        <v>2008</v>
      </c>
      <c r="I4967">
        <v>176.9</v>
      </c>
      <c r="J4967" t="s">
        <v>104</v>
      </c>
      <c r="K4967" t="s">
        <v>53</v>
      </c>
      <c r="L4967" t="s">
        <v>105</v>
      </c>
      <c r="O4967">
        <v>0</v>
      </c>
      <c r="P4967">
        <v>1</v>
      </c>
      <c r="Q4967">
        <v>0</v>
      </c>
      <c r="R4967">
        <v>0</v>
      </c>
      <c r="W4967" t="s">
        <v>106</v>
      </c>
      <c r="AA4967">
        <v>2007</v>
      </c>
      <c r="AB4967">
        <v>2013</v>
      </c>
      <c r="AC4967" t="s">
        <v>139</v>
      </c>
    </row>
    <row r="4968" spans="1:29" x14ac:dyDescent="0.25">
      <c r="A4968" s="31" t="s">
        <v>293</v>
      </c>
      <c r="B4968" s="23" t="s">
        <v>294</v>
      </c>
      <c r="D4968">
        <v>1</v>
      </c>
      <c r="E4968" t="s">
        <v>103</v>
      </c>
      <c r="F4968">
        <v>9</v>
      </c>
      <c r="G4968">
        <v>2008</v>
      </c>
      <c r="I4968">
        <v>419.2</v>
      </c>
      <c r="J4968" t="s">
        <v>104</v>
      </c>
      <c r="K4968" t="s">
        <v>53</v>
      </c>
      <c r="L4968" t="s">
        <v>105</v>
      </c>
      <c r="O4968">
        <v>0</v>
      </c>
      <c r="P4968">
        <v>1</v>
      </c>
      <c r="Q4968">
        <v>0</v>
      </c>
      <c r="R4968">
        <v>0</v>
      </c>
      <c r="W4968" t="s">
        <v>106</v>
      </c>
      <c r="AA4968">
        <v>2007</v>
      </c>
      <c r="AB4968">
        <v>9999</v>
      </c>
      <c r="AC4968" t="s">
        <v>35</v>
      </c>
    </row>
    <row r="4969" spans="1:29" x14ac:dyDescent="0.25">
      <c r="A4969" s="31" t="s">
        <v>295</v>
      </c>
      <c r="B4969" s="25" t="s">
        <v>296</v>
      </c>
      <c r="D4969">
        <v>1</v>
      </c>
      <c r="E4969" t="s">
        <v>128</v>
      </c>
      <c r="F4969">
        <v>9</v>
      </c>
      <c r="G4969">
        <v>2008</v>
      </c>
      <c r="H4969" t="s">
        <v>297</v>
      </c>
      <c r="J4969" t="s">
        <v>104</v>
      </c>
      <c r="K4969" t="s">
        <v>41</v>
      </c>
      <c r="O4969">
        <v>0</v>
      </c>
      <c r="P4969">
        <v>0</v>
      </c>
      <c r="Q4969">
        <v>0</v>
      </c>
      <c r="R4969">
        <v>0</v>
      </c>
      <c r="W4969" t="s">
        <v>1081</v>
      </c>
      <c r="AA4969">
        <v>2007</v>
      </c>
      <c r="AB4969">
        <v>9999</v>
      </c>
      <c r="AC4969" t="s">
        <v>35</v>
      </c>
    </row>
    <row r="4970" spans="1:29" x14ac:dyDescent="0.25">
      <c r="A4970" s="31" t="s">
        <v>299</v>
      </c>
      <c r="B4970" s="23" t="s">
        <v>297</v>
      </c>
      <c r="D4970">
        <v>1</v>
      </c>
      <c r="E4970" t="s">
        <v>300</v>
      </c>
      <c r="F4970">
        <v>9</v>
      </c>
      <c r="G4970">
        <v>2008</v>
      </c>
      <c r="I4970">
        <v>140.4</v>
      </c>
      <c r="J4970" t="s">
        <v>104</v>
      </c>
      <c r="K4970" t="s">
        <v>32</v>
      </c>
      <c r="O4970">
        <v>0</v>
      </c>
      <c r="P4970">
        <v>0</v>
      </c>
      <c r="Q4970">
        <v>0</v>
      </c>
      <c r="R4970">
        <v>0</v>
      </c>
      <c r="W4970" t="s">
        <v>1082</v>
      </c>
      <c r="AA4970">
        <v>2007</v>
      </c>
      <c r="AB4970">
        <v>2012</v>
      </c>
      <c r="AC4970" t="s">
        <v>302</v>
      </c>
    </row>
    <row r="4971" spans="1:29" x14ac:dyDescent="0.25">
      <c r="A4971" s="31" t="s">
        <v>153</v>
      </c>
      <c r="B4971" s="25" t="s">
        <v>303</v>
      </c>
      <c r="D4971">
        <v>1</v>
      </c>
      <c r="E4971" t="s">
        <v>155</v>
      </c>
      <c r="F4971">
        <v>3</v>
      </c>
      <c r="G4971">
        <v>2008</v>
      </c>
      <c r="I4971">
        <v>83.965965575395998</v>
      </c>
      <c r="J4971" t="s">
        <v>121</v>
      </c>
      <c r="K4971" t="s">
        <v>53</v>
      </c>
      <c r="L4971" t="s">
        <v>60</v>
      </c>
      <c r="O4971">
        <v>1</v>
      </c>
      <c r="P4971">
        <v>0</v>
      </c>
      <c r="Q4971">
        <v>0</v>
      </c>
      <c r="R4971">
        <v>0</v>
      </c>
      <c r="V4971">
        <v>1</v>
      </c>
      <c r="W4971" t="s">
        <v>304</v>
      </c>
      <c r="AA4971">
        <v>2007</v>
      </c>
      <c r="AB4971">
        <v>9999</v>
      </c>
      <c r="AC4971" t="s">
        <v>35</v>
      </c>
    </row>
    <row r="4972" spans="1:29" x14ac:dyDescent="0.25">
      <c r="A4972" s="31" t="s">
        <v>305</v>
      </c>
      <c r="B4972" s="23" t="s">
        <v>306</v>
      </c>
      <c r="D4972">
        <v>1</v>
      </c>
      <c r="E4972" t="s">
        <v>103</v>
      </c>
      <c r="F4972">
        <v>9</v>
      </c>
      <c r="G4972">
        <v>2008</v>
      </c>
      <c r="I4972">
        <v>81.900000000000006</v>
      </c>
      <c r="J4972" s="2" t="s">
        <v>104</v>
      </c>
      <c r="K4972" t="s">
        <v>53</v>
      </c>
      <c r="L4972" t="s">
        <v>105</v>
      </c>
      <c r="O4972">
        <v>0</v>
      </c>
      <c r="P4972">
        <v>1</v>
      </c>
      <c r="Q4972">
        <v>0</v>
      </c>
      <c r="R4972">
        <v>0</v>
      </c>
      <c r="W4972" t="s">
        <v>106</v>
      </c>
      <c r="AA4972">
        <v>2007</v>
      </c>
      <c r="AB4972">
        <v>9999</v>
      </c>
      <c r="AC4972" t="s">
        <v>35</v>
      </c>
    </row>
    <row r="4973" spans="1:29" x14ac:dyDescent="0.25">
      <c r="A4973" s="31" t="s">
        <v>307</v>
      </c>
      <c r="B4973" s="23" t="s">
        <v>308</v>
      </c>
      <c r="D4973">
        <v>1</v>
      </c>
      <c r="E4973" t="s">
        <v>309</v>
      </c>
      <c r="F4973">
        <v>10</v>
      </c>
      <c r="G4973">
        <v>2008</v>
      </c>
      <c r="I4973">
        <v>56.2</v>
      </c>
      <c r="J4973" t="s">
        <v>59</v>
      </c>
      <c r="K4973" t="s">
        <v>47</v>
      </c>
      <c r="O4973">
        <v>0</v>
      </c>
      <c r="P4973">
        <v>0</v>
      </c>
      <c r="Q4973">
        <v>0</v>
      </c>
      <c r="R4973">
        <v>0</v>
      </c>
      <c r="W4973" t="s">
        <v>1083</v>
      </c>
      <c r="AA4973">
        <v>2007</v>
      </c>
      <c r="AB4973">
        <v>9999</v>
      </c>
      <c r="AC4973" t="s">
        <v>35</v>
      </c>
    </row>
    <row r="4974" spans="1:29" x14ac:dyDescent="0.25">
      <c r="A4974" s="31" t="s">
        <v>311</v>
      </c>
      <c r="B4974" s="23" t="s">
        <v>312</v>
      </c>
      <c r="C4974" t="s">
        <v>313</v>
      </c>
      <c r="D4974">
        <v>1</v>
      </c>
      <c r="E4974" t="s">
        <v>314</v>
      </c>
      <c r="F4974">
        <v>2</v>
      </c>
      <c r="G4974">
        <v>2008</v>
      </c>
      <c r="I4974">
        <v>20.100000000000001</v>
      </c>
      <c r="J4974" t="s">
        <v>176</v>
      </c>
      <c r="K4974" t="s">
        <v>47</v>
      </c>
      <c r="O4974">
        <v>0</v>
      </c>
      <c r="P4974">
        <v>0</v>
      </c>
      <c r="Q4974">
        <v>0</v>
      </c>
      <c r="R4974">
        <v>0</v>
      </c>
      <c r="W4974" t="s">
        <v>1084</v>
      </c>
      <c r="AA4974">
        <v>2007</v>
      </c>
      <c r="AB4974">
        <v>9999</v>
      </c>
      <c r="AC4974" t="s">
        <v>35</v>
      </c>
    </row>
    <row r="4975" spans="1:29" x14ac:dyDescent="0.25">
      <c r="A4975" s="31" t="s">
        <v>316</v>
      </c>
      <c r="B4975" s="23" t="s">
        <v>317</v>
      </c>
      <c r="D4975">
        <v>1</v>
      </c>
      <c r="E4975" t="s">
        <v>318</v>
      </c>
      <c r="F4975">
        <v>4</v>
      </c>
      <c r="G4975">
        <v>2008</v>
      </c>
      <c r="I4975">
        <v>28.7</v>
      </c>
      <c r="J4975" t="s">
        <v>59</v>
      </c>
      <c r="K4975" t="s">
        <v>47</v>
      </c>
      <c r="O4975">
        <v>0</v>
      </c>
      <c r="P4975">
        <v>0</v>
      </c>
      <c r="Q4975">
        <v>0</v>
      </c>
      <c r="R4975">
        <v>0</v>
      </c>
      <c r="W4975" t="s">
        <v>1085</v>
      </c>
      <c r="AA4975">
        <v>2007</v>
      </c>
      <c r="AB4975">
        <v>9999</v>
      </c>
      <c r="AC4975" t="s">
        <v>35</v>
      </c>
    </row>
    <row r="4976" spans="1:29" x14ac:dyDescent="0.25">
      <c r="A4976" s="31" t="s">
        <v>324</v>
      </c>
      <c r="B4976" s="23" t="s">
        <v>325</v>
      </c>
      <c r="D4976">
        <v>1</v>
      </c>
      <c r="E4976" t="s">
        <v>103</v>
      </c>
      <c r="F4976">
        <v>9</v>
      </c>
      <c r="G4976">
        <v>2008</v>
      </c>
      <c r="I4976">
        <v>99</v>
      </c>
      <c r="J4976" t="s">
        <v>104</v>
      </c>
      <c r="K4976" t="s">
        <v>47</v>
      </c>
      <c r="O4976">
        <v>0</v>
      </c>
      <c r="P4976">
        <v>0</v>
      </c>
      <c r="Q4976">
        <v>0</v>
      </c>
      <c r="R4976">
        <v>0</v>
      </c>
      <c r="W4976" t="s">
        <v>1086</v>
      </c>
      <c r="AA4976">
        <v>2007</v>
      </c>
      <c r="AB4976">
        <v>9999</v>
      </c>
      <c r="AC4976" t="s">
        <v>35</v>
      </c>
    </row>
    <row r="4977" spans="1:29" x14ac:dyDescent="0.25">
      <c r="A4977" s="31" t="s">
        <v>327</v>
      </c>
      <c r="B4977" s="23" t="s">
        <v>328</v>
      </c>
      <c r="D4977">
        <v>1</v>
      </c>
      <c r="E4977" t="s">
        <v>80</v>
      </c>
      <c r="F4977">
        <v>8</v>
      </c>
      <c r="G4977">
        <v>2008</v>
      </c>
      <c r="I4977">
        <v>82.1</v>
      </c>
      <c r="J4977" t="s">
        <v>81</v>
      </c>
      <c r="K4977" t="s">
        <v>47</v>
      </c>
      <c r="O4977">
        <v>0</v>
      </c>
      <c r="P4977">
        <v>0</v>
      </c>
      <c r="Q4977">
        <v>0</v>
      </c>
      <c r="R4977">
        <v>0</v>
      </c>
      <c r="W4977" t="s">
        <v>1087</v>
      </c>
      <c r="AA4977">
        <v>2007</v>
      </c>
      <c r="AB4977">
        <v>9999</v>
      </c>
      <c r="AC4977" t="s">
        <v>35</v>
      </c>
    </row>
    <row r="4978" spans="1:29" x14ac:dyDescent="0.25">
      <c r="A4978" s="31" t="s">
        <v>330</v>
      </c>
      <c r="B4978" s="23" t="s">
        <v>331</v>
      </c>
      <c r="D4978">
        <v>1</v>
      </c>
      <c r="E4978" t="s">
        <v>38</v>
      </c>
      <c r="F4978">
        <v>4</v>
      </c>
      <c r="G4978">
        <v>2008</v>
      </c>
      <c r="I4978">
        <v>57.5</v>
      </c>
      <c r="J4978" t="s">
        <v>89</v>
      </c>
      <c r="K4978" t="s">
        <v>47</v>
      </c>
      <c r="O4978">
        <v>0</v>
      </c>
      <c r="P4978">
        <v>0</v>
      </c>
      <c r="Q4978">
        <v>0</v>
      </c>
      <c r="R4978">
        <v>0</v>
      </c>
      <c r="W4978" t="s">
        <v>1088</v>
      </c>
      <c r="AA4978">
        <v>2007</v>
      </c>
      <c r="AB4978">
        <v>2009</v>
      </c>
      <c r="AC4978" t="s">
        <v>236</v>
      </c>
    </row>
    <row r="4979" spans="1:29" ht="30" x14ac:dyDescent="0.25">
      <c r="A4979" s="31" t="s">
        <v>333</v>
      </c>
      <c r="B4979" s="23" t="s">
        <v>334</v>
      </c>
      <c r="D4979">
        <v>1</v>
      </c>
      <c r="E4979" t="s">
        <v>335</v>
      </c>
      <c r="F4979">
        <v>1</v>
      </c>
      <c r="G4979">
        <v>2008</v>
      </c>
      <c r="I4979">
        <v>20.9</v>
      </c>
      <c r="J4979" t="s">
        <v>176</v>
      </c>
      <c r="K4979" t="s">
        <v>47</v>
      </c>
      <c r="O4979">
        <v>0</v>
      </c>
      <c r="P4979">
        <v>0</v>
      </c>
      <c r="Q4979">
        <v>0</v>
      </c>
      <c r="R4979">
        <v>0</v>
      </c>
      <c r="W4979" t="s">
        <v>1089</v>
      </c>
      <c r="AA4979">
        <v>2007</v>
      </c>
      <c r="AB4979">
        <v>2012</v>
      </c>
      <c r="AC4979" t="s">
        <v>302</v>
      </c>
    </row>
    <row r="4980" spans="1:29" ht="30" x14ac:dyDescent="0.25">
      <c r="A4980" s="31" t="s">
        <v>343</v>
      </c>
      <c r="B4980" s="23" t="s">
        <v>344</v>
      </c>
      <c r="D4980">
        <v>1</v>
      </c>
      <c r="E4980" t="s">
        <v>300</v>
      </c>
      <c r="F4980">
        <v>9</v>
      </c>
      <c r="G4980">
        <v>2008</v>
      </c>
      <c r="I4980">
        <v>58.1</v>
      </c>
      <c r="J4980" t="s">
        <v>104</v>
      </c>
      <c r="K4980" t="s">
        <v>47</v>
      </c>
      <c r="O4980">
        <v>0</v>
      </c>
      <c r="P4980">
        <v>0</v>
      </c>
      <c r="Q4980">
        <v>0</v>
      </c>
      <c r="R4980">
        <v>0</v>
      </c>
      <c r="W4980" t="s">
        <v>1090</v>
      </c>
      <c r="AA4980">
        <v>2007</v>
      </c>
      <c r="AB4980">
        <v>2012</v>
      </c>
      <c r="AC4980" t="s">
        <v>302</v>
      </c>
    </row>
    <row r="4981" spans="1:29" x14ac:dyDescent="0.25">
      <c r="A4981" s="31" t="s">
        <v>346</v>
      </c>
      <c r="B4981" s="23" t="s">
        <v>347</v>
      </c>
      <c r="D4981">
        <v>1</v>
      </c>
      <c r="E4981" t="s">
        <v>348</v>
      </c>
      <c r="F4981">
        <v>1</v>
      </c>
      <c r="G4981">
        <v>2008</v>
      </c>
      <c r="I4981">
        <v>25</v>
      </c>
      <c r="J4981" t="s">
        <v>121</v>
      </c>
      <c r="K4981" t="s">
        <v>47</v>
      </c>
      <c r="O4981">
        <v>0</v>
      </c>
      <c r="P4981">
        <v>0</v>
      </c>
      <c r="Q4981">
        <v>0</v>
      </c>
      <c r="R4981">
        <v>0</v>
      </c>
      <c r="W4981" t="s">
        <v>349</v>
      </c>
      <c r="AA4981">
        <v>2007</v>
      </c>
      <c r="AB4981">
        <v>9999</v>
      </c>
      <c r="AC4981" t="s">
        <v>35</v>
      </c>
    </row>
    <row r="4982" spans="1:29" x14ac:dyDescent="0.25">
      <c r="B4982" s="23" t="s">
        <v>350</v>
      </c>
      <c r="D4982">
        <v>1</v>
      </c>
      <c r="E4982" t="s">
        <v>38</v>
      </c>
      <c r="F4982">
        <v>4</v>
      </c>
      <c r="G4982">
        <v>2008</v>
      </c>
      <c r="H4982" t="s">
        <v>351</v>
      </c>
      <c r="J4982" t="s">
        <v>46</v>
      </c>
      <c r="K4982" t="s">
        <v>41</v>
      </c>
      <c r="O4982">
        <v>0</v>
      </c>
      <c r="P4982">
        <v>0</v>
      </c>
      <c r="Q4982">
        <v>0</v>
      </c>
      <c r="R4982">
        <v>0</v>
      </c>
      <c r="W4982" t="s">
        <v>1091</v>
      </c>
      <c r="AA4982">
        <v>2007</v>
      </c>
      <c r="AB4982">
        <v>2008</v>
      </c>
      <c r="AC4982" t="s">
        <v>265</v>
      </c>
    </row>
    <row r="4983" spans="1:29" x14ac:dyDescent="0.25">
      <c r="A4983" s="31" t="s">
        <v>353</v>
      </c>
      <c r="B4983" s="23" t="s">
        <v>351</v>
      </c>
      <c r="D4983">
        <v>1</v>
      </c>
      <c r="E4983" t="s">
        <v>38</v>
      </c>
      <c r="F4983">
        <v>4</v>
      </c>
      <c r="G4983">
        <v>2008</v>
      </c>
      <c r="I4983">
        <v>33.799999999999997</v>
      </c>
      <c r="J4983" t="s">
        <v>46</v>
      </c>
      <c r="K4983" t="s">
        <v>47</v>
      </c>
      <c r="O4983">
        <v>0</v>
      </c>
      <c r="P4983">
        <v>0</v>
      </c>
      <c r="Q4983">
        <v>0</v>
      </c>
      <c r="R4983">
        <v>0</v>
      </c>
      <c r="W4983" t="s">
        <v>1092</v>
      </c>
      <c r="AA4983">
        <v>2007</v>
      </c>
      <c r="AB4983">
        <v>9999</v>
      </c>
      <c r="AC4983" t="s">
        <v>35</v>
      </c>
    </row>
    <row r="4984" spans="1:29" x14ac:dyDescent="0.25">
      <c r="A4984" s="31" t="s">
        <v>355</v>
      </c>
      <c r="B4984" s="23" t="s">
        <v>356</v>
      </c>
      <c r="D4984">
        <v>1</v>
      </c>
      <c r="E4984" t="s">
        <v>38</v>
      </c>
      <c r="F4984">
        <v>4</v>
      </c>
      <c r="G4984">
        <v>2008</v>
      </c>
      <c r="I4984">
        <v>54.2</v>
      </c>
      <c r="J4984" t="s">
        <v>89</v>
      </c>
      <c r="K4984" t="s">
        <v>47</v>
      </c>
      <c r="O4984">
        <v>0</v>
      </c>
      <c r="P4984">
        <v>0</v>
      </c>
      <c r="Q4984">
        <v>0</v>
      </c>
      <c r="R4984">
        <v>0</v>
      </c>
      <c r="W4984" t="s">
        <v>1093</v>
      </c>
      <c r="AA4984">
        <v>2007</v>
      </c>
      <c r="AB4984">
        <v>2008</v>
      </c>
      <c r="AC4984" t="s">
        <v>265</v>
      </c>
    </row>
    <row r="4985" spans="1:29" x14ac:dyDescent="0.25">
      <c r="A4985" s="31" t="s">
        <v>199</v>
      </c>
      <c r="B4985" s="23" t="s">
        <v>39</v>
      </c>
      <c r="D4985">
        <v>1</v>
      </c>
      <c r="E4985" t="s">
        <v>358</v>
      </c>
      <c r="F4985">
        <v>1</v>
      </c>
      <c r="G4985">
        <v>2008</v>
      </c>
      <c r="I4985">
        <v>164.7</v>
      </c>
      <c r="J4985" t="s">
        <v>52</v>
      </c>
      <c r="K4985" t="s">
        <v>47</v>
      </c>
      <c r="O4985">
        <v>0</v>
      </c>
      <c r="P4985">
        <v>0</v>
      </c>
      <c r="Q4985">
        <v>0</v>
      </c>
      <c r="R4985">
        <v>0</v>
      </c>
      <c r="W4985" t="s">
        <v>1094</v>
      </c>
      <c r="AA4985">
        <v>2007</v>
      </c>
      <c r="AB4985">
        <v>9999</v>
      </c>
      <c r="AC4985" t="s">
        <v>35</v>
      </c>
    </row>
    <row r="4986" spans="1:29" x14ac:dyDescent="0.25">
      <c r="A4986" s="31" t="s">
        <v>153</v>
      </c>
      <c r="B4986" s="23" t="s">
        <v>360</v>
      </c>
      <c r="D4986">
        <v>4</v>
      </c>
      <c r="E4986" t="s">
        <v>155</v>
      </c>
      <c r="F4986">
        <v>3</v>
      </c>
      <c r="G4986">
        <v>2008</v>
      </c>
      <c r="I4986">
        <v>424.51192435515804</v>
      </c>
      <c r="J4986" t="s">
        <v>121</v>
      </c>
      <c r="K4986" t="s">
        <v>53</v>
      </c>
      <c r="L4986" t="s">
        <v>60</v>
      </c>
      <c r="O4986">
        <v>1</v>
      </c>
      <c r="P4986">
        <v>0</v>
      </c>
      <c r="Q4986">
        <v>0</v>
      </c>
      <c r="R4986">
        <v>0</v>
      </c>
      <c r="V4986">
        <v>1</v>
      </c>
      <c r="W4986" t="s">
        <v>361</v>
      </c>
      <c r="AA4986">
        <v>2007</v>
      </c>
      <c r="AB4986">
        <v>9999</v>
      </c>
      <c r="AC4986" t="s">
        <v>35</v>
      </c>
    </row>
    <row r="4987" spans="1:29" x14ac:dyDescent="0.25">
      <c r="A4987" s="31" t="s">
        <v>362</v>
      </c>
      <c r="B4987" s="23" t="s">
        <v>363</v>
      </c>
      <c r="D4987">
        <v>1</v>
      </c>
      <c r="E4987" t="s">
        <v>103</v>
      </c>
      <c r="F4987">
        <v>9</v>
      </c>
      <c r="G4987">
        <v>2008</v>
      </c>
      <c r="I4987">
        <v>962.6</v>
      </c>
      <c r="J4987" t="s">
        <v>104</v>
      </c>
      <c r="K4987" t="s">
        <v>53</v>
      </c>
      <c r="L4987" t="s">
        <v>105</v>
      </c>
      <c r="O4987">
        <v>0</v>
      </c>
      <c r="P4987">
        <v>1</v>
      </c>
      <c r="Q4987">
        <v>0</v>
      </c>
      <c r="R4987">
        <v>0</v>
      </c>
      <c r="W4987" t="s">
        <v>106</v>
      </c>
      <c r="AA4987">
        <v>2007</v>
      </c>
      <c r="AB4987">
        <v>9999</v>
      </c>
      <c r="AC4987" t="s">
        <v>35</v>
      </c>
    </row>
    <row r="4988" spans="1:29" x14ac:dyDescent="0.25">
      <c r="A4988" s="31" t="s">
        <v>364</v>
      </c>
      <c r="B4988" s="23" t="s">
        <v>365</v>
      </c>
      <c r="C4988" t="s">
        <v>366</v>
      </c>
      <c r="D4988">
        <v>1</v>
      </c>
      <c r="E4988" t="s">
        <v>103</v>
      </c>
      <c r="F4988">
        <v>9</v>
      </c>
      <c r="G4988">
        <v>2008</v>
      </c>
      <c r="I4988">
        <v>3707.8</v>
      </c>
      <c r="J4988" t="s">
        <v>104</v>
      </c>
      <c r="K4988" t="s">
        <v>53</v>
      </c>
      <c r="L4988" t="s">
        <v>105</v>
      </c>
      <c r="O4988">
        <v>0</v>
      </c>
      <c r="P4988">
        <v>1</v>
      </c>
      <c r="Q4988">
        <v>0</v>
      </c>
      <c r="R4988">
        <v>0</v>
      </c>
      <c r="W4988" t="s">
        <v>106</v>
      </c>
      <c r="AA4988">
        <v>2007</v>
      </c>
      <c r="AB4988">
        <v>9999</v>
      </c>
      <c r="AC4988" t="s">
        <v>35</v>
      </c>
    </row>
    <row r="4989" spans="1:29" x14ac:dyDescent="0.25">
      <c r="A4989" s="31" t="s">
        <v>367</v>
      </c>
      <c r="B4989" s="23" t="s">
        <v>368</v>
      </c>
      <c r="C4989" t="s">
        <v>369</v>
      </c>
      <c r="D4989">
        <v>1</v>
      </c>
      <c r="E4989" t="s">
        <v>370</v>
      </c>
      <c r="F4989">
        <v>5</v>
      </c>
      <c r="G4989">
        <v>2008</v>
      </c>
      <c r="I4989">
        <v>191.4</v>
      </c>
      <c r="J4989" t="s">
        <v>31</v>
      </c>
      <c r="K4989" t="s">
        <v>47</v>
      </c>
      <c r="O4989">
        <v>0</v>
      </c>
      <c r="P4989">
        <v>0</v>
      </c>
      <c r="Q4989">
        <v>0</v>
      </c>
      <c r="R4989">
        <v>0</v>
      </c>
      <c r="W4989" t="s">
        <v>1095</v>
      </c>
      <c r="AA4989">
        <v>2007</v>
      </c>
      <c r="AB4989">
        <v>9999</v>
      </c>
      <c r="AC4989" t="s">
        <v>35</v>
      </c>
    </row>
    <row r="4990" spans="1:29" x14ac:dyDescent="0.25">
      <c r="A4990" s="31" t="s">
        <v>372</v>
      </c>
      <c r="B4990" s="23" t="s">
        <v>373</v>
      </c>
      <c r="D4990">
        <v>1</v>
      </c>
      <c r="E4990" t="s">
        <v>45</v>
      </c>
      <c r="F4990">
        <v>4</v>
      </c>
      <c r="G4990">
        <v>2008</v>
      </c>
      <c r="I4990">
        <v>92</v>
      </c>
      <c r="J4990" t="s">
        <v>176</v>
      </c>
      <c r="K4990" t="s">
        <v>47</v>
      </c>
      <c r="O4990">
        <v>0</v>
      </c>
      <c r="P4990">
        <v>0</v>
      </c>
      <c r="Q4990">
        <v>0</v>
      </c>
      <c r="R4990">
        <v>0</v>
      </c>
      <c r="W4990" t="s">
        <v>1096</v>
      </c>
      <c r="AA4990">
        <v>2007</v>
      </c>
      <c r="AB4990">
        <v>9999</v>
      </c>
      <c r="AC4990" t="s">
        <v>35</v>
      </c>
    </row>
    <row r="4991" spans="1:29" x14ac:dyDescent="0.25">
      <c r="A4991" s="31" t="s">
        <v>375</v>
      </c>
      <c r="B4991" s="23" t="s">
        <v>163</v>
      </c>
      <c r="D4991">
        <v>1</v>
      </c>
      <c r="E4991" t="s">
        <v>168</v>
      </c>
      <c r="F4991">
        <v>1</v>
      </c>
      <c r="G4991">
        <v>2008</v>
      </c>
      <c r="I4991">
        <v>61.4</v>
      </c>
      <c r="J4991" t="s">
        <v>52</v>
      </c>
      <c r="K4991" t="s">
        <v>47</v>
      </c>
      <c r="O4991">
        <v>0</v>
      </c>
      <c r="P4991">
        <v>0</v>
      </c>
      <c r="Q4991">
        <v>0</v>
      </c>
      <c r="R4991">
        <v>0</v>
      </c>
      <c r="W4991" t="s">
        <v>1097</v>
      </c>
      <c r="AA4991">
        <v>2007</v>
      </c>
      <c r="AB4991">
        <v>9999</v>
      </c>
      <c r="AC4991" t="s">
        <v>35</v>
      </c>
    </row>
    <row r="4992" spans="1:29" x14ac:dyDescent="0.25">
      <c r="A4992" s="31" t="s">
        <v>377</v>
      </c>
      <c r="B4992" s="23" t="s">
        <v>378</v>
      </c>
      <c r="D4992">
        <v>1</v>
      </c>
      <c r="E4992" t="s">
        <v>45</v>
      </c>
      <c r="F4992">
        <v>4</v>
      </c>
      <c r="G4992">
        <v>2008</v>
      </c>
      <c r="I4992">
        <v>90.7</v>
      </c>
      <c r="J4992" t="s">
        <v>89</v>
      </c>
      <c r="K4992" t="s">
        <v>47</v>
      </c>
      <c r="O4992">
        <v>0</v>
      </c>
      <c r="P4992">
        <v>0</v>
      </c>
      <c r="Q4992">
        <v>0</v>
      </c>
      <c r="R4992">
        <v>0</v>
      </c>
      <c r="W4992" t="s">
        <v>1098</v>
      </c>
      <c r="AA4992">
        <v>2007</v>
      </c>
      <c r="AB4992">
        <v>9999</v>
      </c>
      <c r="AC4992" t="s">
        <v>35</v>
      </c>
    </row>
    <row r="4993" spans="1:29" x14ac:dyDescent="0.25">
      <c r="A4993" s="31" t="s">
        <v>380</v>
      </c>
      <c r="B4993" s="23" t="s">
        <v>381</v>
      </c>
      <c r="D4993">
        <v>1</v>
      </c>
      <c r="E4993" t="s">
        <v>103</v>
      </c>
      <c r="F4993">
        <v>9</v>
      </c>
      <c r="G4993">
        <v>2008</v>
      </c>
      <c r="I4993">
        <v>140.6</v>
      </c>
      <c r="J4993" t="s">
        <v>104</v>
      </c>
      <c r="K4993" t="s">
        <v>53</v>
      </c>
      <c r="L4993" t="s">
        <v>105</v>
      </c>
      <c r="O4993">
        <v>0</v>
      </c>
      <c r="P4993">
        <v>1</v>
      </c>
      <c r="Q4993">
        <v>0</v>
      </c>
      <c r="R4993">
        <v>0</v>
      </c>
      <c r="W4993" t="s">
        <v>106</v>
      </c>
      <c r="AA4993">
        <v>2007</v>
      </c>
      <c r="AB4993">
        <v>9999</v>
      </c>
      <c r="AC4993" t="s">
        <v>35</v>
      </c>
    </row>
    <row r="4994" spans="1:29" x14ac:dyDescent="0.25">
      <c r="A4994" s="31" t="s">
        <v>382</v>
      </c>
      <c r="B4994" s="23" t="s">
        <v>383</v>
      </c>
      <c r="D4994">
        <v>1</v>
      </c>
      <c r="E4994" t="s">
        <v>80</v>
      </c>
      <c r="F4994">
        <v>8</v>
      </c>
      <c r="G4994">
        <v>2008</v>
      </c>
      <c r="I4994">
        <v>14.8</v>
      </c>
      <c r="J4994" t="s">
        <v>81</v>
      </c>
      <c r="K4994" t="s">
        <v>32</v>
      </c>
      <c r="O4994">
        <v>0</v>
      </c>
      <c r="P4994">
        <v>0</v>
      </c>
      <c r="Q4994">
        <v>0</v>
      </c>
      <c r="R4994">
        <v>0</v>
      </c>
      <c r="W4994" t="s">
        <v>1099</v>
      </c>
      <c r="AA4994">
        <v>2007</v>
      </c>
      <c r="AB4994">
        <v>9999</v>
      </c>
      <c r="AC4994" t="s">
        <v>35</v>
      </c>
    </row>
    <row r="4995" spans="1:29" x14ac:dyDescent="0.25">
      <c r="A4995" s="31" t="s">
        <v>385</v>
      </c>
      <c r="B4995" s="23" t="s">
        <v>386</v>
      </c>
      <c r="D4995">
        <v>1</v>
      </c>
      <c r="E4995" t="s">
        <v>45</v>
      </c>
      <c r="F4995">
        <v>4</v>
      </c>
      <c r="G4995">
        <v>2008</v>
      </c>
      <c r="I4995">
        <v>101.4</v>
      </c>
      <c r="J4995" t="s">
        <v>46</v>
      </c>
      <c r="K4995" t="s">
        <v>47</v>
      </c>
      <c r="O4995">
        <v>0</v>
      </c>
      <c r="P4995">
        <v>0</v>
      </c>
      <c r="Q4995">
        <v>0</v>
      </c>
      <c r="R4995">
        <v>0</v>
      </c>
      <c r="W4995" t="s">
        <v>1100</v>
      </c>
      <c r="AA4995">
        <v>2007</v>
      </c>
      <c r="AB4995">
        <v>9999</v>
      </c>
      <c r="AC4995" t="s">
        <v>35</v>
      </c>
    </row>
    <row r="4996" spans="1:29" x14ac:dyDescent="0.25">
      <c r="A4996" s="31" t="s">
        <v>388</v>
      </c>
      <c r="B4996" s="25" t="s">
        <v>389</v>
      </c>
      <c r="D4996">
        <v>1</v>
      </c>
      <c r="E4996" t="s">
        <v>145</v>
      </c>
      <c r="F4996">
        <v>2</v>
      </c>
      <c r="G4996">
        <v>2008</v>
      </c>
      <c r="H4996" t="s">
        <v>185</v>
      </c>
      <c r="I4996">
        <v>0.1</v>
      </c>
      <c r="J4996" t="s">
        <v>52</v>
      </c>
      <c r="K4996" t="s">
        <v>41</v>
      </c>
      <c r="O4996">
        <v>0</v>
      </c>
      <c r="P4996">
        <v>0</v>
      </c>
      <c r="Q4996">
        <v>0</v>
      </c>
      <c r="R4996">
        <v>0</v>
      </c>
      <c r="W4996" t="s">
        <v>1101</v>
      </c>
      <c r="AA4996">
        <v>2007</v>
      </c>
      <c r="AB4996">
        <v>9999</v>
      </c>
      <c r="AC4996" t="s">
        <v>35</v>
      </c>
    </row>
    <row r="4997" spans="1:29" x14ac:dyDescent="0.25">
      <c r="A4997" s="31" t="s">
        <v>391</v>
      </c>
      <c r="B4997" s="23" t="s">
        <v>392</v>
      </c>
      <c r="D4997">
        <v>1</v>
      </c>
      <c r="E4997" t="s">
        <v>393</v>
      </c>
      <c r="F4997">
        <v>3</v>
      </c>
      <c r="G4997">
        <v>2008</v>
      </c>
      <c r="I4997">
        <v>8569.1</v>
      </c>
      <c r="J4997" t="s">
        <v>121</v>
      </c>
      <c r="K4997" t="s">
        <v>47</v>
      </c>
      <c r="O4997">
        <v>0</v>
      </c>
      <c r="P4997">
        <v>0</v>
      </c>
      <c r="Q4997">
        <v>0</v>
      </c>
      <c r="R4997">
        <v>0</v>
      </c>
      <c r="W4997" t="s">
        <v>1102</v>
      </c>
      <c r="AA4997">
        <v>2007</v>
      </c>
      <c r="AB4997">
        <v>9999</v>
      </c>
      <c r="AC4997" t="s">
        <v>35</v>
      </c>
    </row>
    <row r="4998" spans="1:29" x14ac:dyDescent="0.25">
      <c r="A4998" s="31" t="s">
        <v>391</v>
      </c>
      <c r="B4998" s="23" t="s">
        <v>395</v>
      </c>
      <c r="D4998">
        <v>1</v>
      </c>
      <c r="E4998" t="s">
        <v>396</v>
      </c>
      <c r="F4998">
        <v>3</v>
      </c>
      <c r="G4998">
        <v>2008</v>
      </c>
      <c r="H4998" t="s">
        <v>392</v>
      </c>
      <c r="J4998" t="s">
        <v>121</v>
      </c>
      <c r="K4998" t="s">
        <v>41</v>
      </c>
      <c r="O4998">
        <v>0</v>
      </c>
      <c r="P4998">
        <v>0</v>
      </c>
      <c r="Q4998">
        <v>0</v>
      </c>
      <c r="R4998">
        <v>0</v>
      </c>
      <c r="W4998" t="s">
        <v>1103</v>
      </c>
      <c r="AA4998">
        <v>2007</v>
      </c>
      <c r="AB4998">
        <v>9999</v>
      </c>
      <c r="AC4998" t="s">
        <v>35</v>
      </c>
    </row>
    <row r="4999" spans="1:29" x14ac:dyDescent="0.25">
      <c r="A4999" s="31" t="s">
        <v>398</v>
      </c>
      <c r="B4999" s="23" t="s">
        <v>399</v>
      </c>
      <c r="D4999">
        <v>1</v>
      </c>
      <c r="E4999" t="s">
        <v>145</v>
      </c>
      <c r="F4999">
        <v>2</v>
      </c>
      <c r="G4999">
        <v>2008</v>
      </c>
      <c r="I4999">
        <v>215.8</v>
      </c>
      <c r="J4999" t="s">
        <v>147</v>
      </c>
      <c r="K4999" t="s">
        <v>47</v>
      </c>
      <c r="O4999">
        <v>0</v>
      </c>
      <c r="P4999">
        <v>0</v>
      </c>
      <c r="Q4999">
        <v>0</v>
      </c>
      <c r="R4999">
        <v>0</v>
      </c>
      <c r="W4999" t="s">
        <v>1104</v>
      </c>
      <c r="AA4999">
        <v>2007</v>
      </c>
      <c r="AB4999">
        <v>2008</v>
      </c>
      <c r="AC4999" t="s">
        <v>265</v>
      </c>
    </row>
    <row r="5000" spans="1:29" x14ac:dyDescent="0.25">
      <c r="A5000" s="31" t="s">
        <v>401</v>
      </c>
      <c r="B5000" s="23" t="s">
        <v>402</v>
      </c>
      <c r="D5000">
        <v>1</v>
      </c>
      <c r="E5000" t="s">
        <v>155</v>
      </c>
      <c r="F5000">
        <v>3</v>
      </c>
      <c r="G5000">
        <v>2008</v>
      </c>
      <c r="I5000">
        <v>2311.1999999999998</v>
      </c>
      <c r="J5000" t="s">
        <v>52</v>
      </c>
      <c r="K5000" t="s">
        <v>47</v>
      </c>
      <c r="O5000">
        <v>0</v>
      </c>
      <c r="P5000">
        <v>0</v>
      </c>
      <c r="Q5000">
        <v>0</v>
      </c>
      <c r="R5000">
        <v>0</v>
      </c>
      <c r="W5000" t="s">
        <v>1105</v>
      </c>
      <c r="AA5000">
        <v>2007</v>
      </c>
      <c r="AB5000">
        <v>9999</v>
      </c>
      <c r="AC5000" t="s">
        <v>35</v>
      </c>
    </row>
    <row r="5001" spans="1:29" x14ac:dyDescent="0.25">
      <c r="A5001" s="31" t="s">
        <v>404</v>
      </c>
      <c r="B5001" s="23" t="s">
        <v>405</v>
      </c>
      <c r="C5001" t="s">
        <v>406</v>
      </c>
      <c r="D5001">
        <v>1</v>
      </c>
      <c r="E5001" t="s">
        <v>358</v>
      </c>
      <c r="F5001">
        <v>1</v>
      </c>
      <c r="G5001">
        <v>2008</v>
      </c>
      <c r="I5001">
        <v>278.5</v>
      </c>
      <c r="J5001" t="s">
        <v>104</v>
      </c>
      <c r="K5001" t="s">
        <v>47</v>
      </c>
      <c r="O5001">
        <v>0</v>
      </c>
      <c r="P5001">
        <v>0</v>
      </c>
      <c r="Q5001">
        <v>0</v>
      </c>
      <c r="R5001">
        <v>0</v>
      </c>
      <c r="W5001" t="s">
        <v>1106</v>
      </c>
      <c r="AA5001">
        <v>2007</v>
      </c>
      <c r="AB5001">
        <v>9999</v>
      </c>
      <c r="AC5001" t="s">
        <v>35</v>
      </c>
    </row>
    <row r="5002" spans="1:29" x14ac:dyDescent="0.25">
      <c r="A5002" s="31" t="s">
        <v>408</v>
      </c>
      <c r="B5002" s="23" t="s">
        <v>409</v>
      </c>
      <c r="D5002">
        <v>1</v>
      </c>
      <c r="E5002" t="s">
        <v>103</v>
      </c>
      <c r="F5002">
        <v>9</v>
      </c>
      <c r="G5002">
        <v>2008</v>
      </c>
      <c r="I5002">
        <v>47.2</v>
      </c>
      <c r="J5002" t="s">
        <v>104</v>
      </c>
      <c r="K5002" t="s">
        <v>53</v>
      </c>
      <c r="L5002" t="s">
        <v>105</v>
      </c>
      <c r="O5002">
        <v>0</v>
      </c>
      <c r="P5002">
        <v>1</v>
      </c>
      <c r="Q5002">
        <v>0</v>
      </c>
      <c r="R5002">
        <v>0</v>
      </c>
      <c r="W5002" t="s">
        <v>106</v>
      </c>
      <c r="AA5002">
        <v>2007</v>
      </c>
      <c r="AB5002">
        <v>9999</v>
      </c>
      <c r="AC5002" t="s">
        <v>35</v>
      </c>
    </row>
    <row r="5003" spans="1:29" x14ac:dyDescent="0.25">
      <c r="A5003" s="31" t="s">
        <v>410</v>
      </c>
      <c r="B5003" s="23" t="s">
        <v>411</v>
      </c>
      <c r="C5003" t="s">
        <v>412</v>
      </c>
      <c r="D5003">
        <v>1</v>
      </c>
      <c r="E5003" t="s">
        <v>103</v>
      </c>
      <c r="F5003">
        <v>9</v>
      </c>
      <c r="G5003">
        <v>2008</v>
      </c>
      <c r="I5003">
        <v>165.8</v>
      </c>
      <c r="J5003" t="s">
        <v>104</v>
      </c>
      <c r="K5003" t="s">
        <v>53</v>
      </c>
      <c r="L5003" t="s">
        <v>105</v>
      </c>
      <c r="O5003">
        <v>0</v>
      </c>
      <c r="P5003">
        <v>1</v>
      </c>
      <c r="Q5003">
        <v>0</v>
      </c>
      <c r="R5003">
        <v>0</v>
      </c>
      <c r="W5003" t="s">
        <v>106</v>
      </c>
      <c r="AA5003">
        <v>2007</v>
      </c>
      <c r="AB5003">
        <v>9999</v>
      </c>
      <c r="AC5003" t="s">
        <v>35</v>
      </c>
    </row>
    <row r="5004" spans="1:29" x14ac:dyDescent="0.25">
      <c r="A5004" s="31" t="s">
        <v>413</v>
      </c>
      <c r="B5004" s="23" t="s">
        <v>414</v>
      </c>
      <c r="C5004" t="s">
        <v>415</v>
      </c>
      <c r="D5004">
        <v>1</v>
      </c>
      <c r="E5004" t="s">
        <v>103</v>
      </c>
      <c r="F5004">
        <v>9</v>
      </c>
      <c r="G5004">
        <v>2008</v>
      </c>
      <c r="I5004">
        <v>2870</v>
      </c>
      <c r="J5004" t="s">
        <v>104</v>
      </c>
      <c r="K5004" t="s">
        <v>53</v>
      </c>
      <c r="L5004" t="s">
        <v>105</v>
      </c>
      <c r="O5004">
        <v>0</v>
      </c>
      <c r="P5004">
        <v>1</v>
      </c>
      <c r="Q5004">
        <v>0</v>
      </c>
      <c r="R5004">
        <v>0</v>
      </c>
      <c r="W5004" t="s">
        <v>106</v>
      </c>
      <c r="AA5004">
        <v>2007</v>
      </c>
      <c r="AB5004">
        <v>9999</v>
      </c>
      <c r="AC5004" t="s">
        <v>35</v>
      </c>
    </row>
    <row r="5005" spans="1:29" x14ac:dyDescent="0.25">
      <c r="A5005" s="31" t="s">
        <v>416</v>
      </c>
      <c r="B5005" s="23" t="s">
        <v>417</v>
      </c>
      <c r="C5005" t="s">
        <v>418</v>
      </c>
      <c r="D5005">
        <v>1</v>
      </c>
      <c r="E5005" t="s">
        <v>218</v>
      </c>
      <c r="F5005">
        <v>2</v>
      </c>
      <c r="G5005">
        <v>2008</v>
      </c>
      <c r="I5005">
        <v>739.7</v>
      </c>
      <c r="J5005" t="s">
        <v>147</v>
      </c>
      <c r="K5005" t="s">
        <v>47</v>
      </c>
      <c r="O5005">
        <v>0</v>
      </c>
      <c r="P5005">
        <v>0</v>
      </c>
      <c r="Q5005">
        <v>0</v>
      </c>
      <c r="R5005">
        <v>0</v>
      </c>
      <c r="W5005" t="s">
        <v>1107</v>
      </c>
      <c r="AA5005">
        <v>2007</v>
      </c>
      <c r="AB5005">
        <v>9999</v>
      </c>
      <c r="AC5005" t="s">
        <v>35</v>
      </c>
    </row>
    <row r="5006" spans="1:29" x14ac:dyDescent="0.25">
      <c r="A5006" s="31" t="s">
        <v>420</v>
      </c>
      <c r="B5006" s="25" t="s">
        <v>421</v>
      </c>
      <c r="D5006">
        <v>1</v>
      </c>
      <c r="E5006" t="s">
        <v>38</v>
      </c>
      <c r="F5006">
        <v>4</v>
      </c>
      <c r="G5006">
        <v>2008</v>
      </c>
      <c r="H5006" t="s">
        <v>39</v>
      </c>
      <c r="J5006" s="2" t="s">
        <v>31</v>
      </c>
      <c r="K5006" t="s">
        <v>32</v>
      </c>
      <c r="O5006">
        <v>0</v>
      </c>
      <c r="P5006">
        <v>0</v>
      </c>
      <c r="Q5006">
        <v>0</v>
      </c>
      <c r="R5006">
        <v>0</v>
      </c>
      <c r="W5006" t="s">
        <v>1108</v>
      </c>
      <c r="AA5006">
        <v>2007</v>
      </c>
      <c r="AB5006">
        <v>9999</v>
      </c>
      <c r="AC5006" t="s">
        <v>35</v>
      </c>
    </row>
    <row r="5007" spans="1:29" x14ac:dyDescent="0.25">
      <c r="A5007" s="31" t="s">
        <v>423</v>
      </c>
      <c r="B5007" s="25" t="s">
        <v>424</v>
      </c>
      <c r="D5007">
        <v>1</v>
      </c>
      <c r="E5007" t="s">
        <v>85</v>
      </c>
      <c r="F5007">
        <v>1</v>
      </c>
      <c r="G5007">
        <v>2008</v>
      </c>
      <c r="H5007" t="s">
        <v>303</v>
      </c>
      <c r="J5007" t="s">
        <v>121</v>
      </c>
      <c r="K5007" t="s">
        <v>53</v>
      </c>
      <c r="L5007" t="s">
        <v>425</v>
      </c>
      <c r="O5007">
        <v>0</v>
      </c>
      <c r="P5007">
        <v>0</v>
      </c>
      <c r="Q5007">
        <v>0</v>
      </c>
      <c r="R5007">
        <v>0</v>
      </c>
      <c r="W5007" t="s">
        <v>426</v>
      </c>
      <c r="AA5007">
        <v>2007</v>
      </c>
      <c r="AB5007">
        <v>9999</v>
      </c>
      <c r="AC5007" t="s">
        <v>35</v>
      </c>
    </row>
    <row r="5008" spans="1:29" x14ac:dyDescent="0.25">
      <c r="A5008" s="31" t="s">
        <v>427</v>
      </c>
      <c r="B5008" s="23" t="s">
        <v>1109</v>
      </c>
      <c r="D5008">
        <v>22</v>
      </c>
      <c r="E5008" t="s">
        <v>38</v>
      </c>
      <c r="F5008">
        <v>4</v>
      </c>
      <c r="G5008">
        <v>2008</v>
      </c>
      <c r="I5008">
        <v>2022.1</v>
      </c>
      <c r="J5008" t="s">
        <v>31</v>
      </c>
      <c r="K5008" t="s">
        <v>32</v>
      </c>
      <c r="O5008">
        <v>0</v>
      </c>
      <c r="P5008">
        <v>0</v>
      </c>
      <c r="Q5008">
        <v>0</v>
      </c>
      <c r="R5008">
        <v>0</v>
      </c>
      <c r="W5008" t="s">
        <v>1110</v>
      </c>
      <c r="AA5008">
        <v>2007</v>
      </c>
      <c r="AB5008">
        <v>9999</v>
      </c>
      <c r="AC5008" t="s">
        <v>35</v>
      </c>
    </row>
    <row r="5009" spans="1:29" x14ac:dyDescent="0.25">
      <c r="A5009" s="31" t="s">
        <v>430</v>
      </c>
      <c r="B5009" s="23" t="s">
        <v>431</v>
      </c>
      <c r="D5009">
        <v>1</v>
      </c>
      <c r="E5009" t="s">
        <v>103</v>
      </c>
      <c r="F5009">
        <v>9</v>
      </c>
      <c r="G5009">
        <v>2008</v>
      </c>
      <c r="I5009">
        <v>2860.9</v>
      </c>
      <c r="J5009" t="s">
        <v>104</v>
      </c>
      <c r="K5009" t="s">
        <v>53</v>
      </c>
      <c r="L5009" t="s">
        <v>105</v>
      </c>
      <c r="O5009">
        <v>0</v>
      </c>
      <c r="P5009">
        <v>1</v>
      </c>
      <c r="Q5009">
        <v>0</v>
      </c>
      <c r="R5009">
        <v>0</v>
      </c>
      <c r="W5009" t="s">
        <v>106</v>
      </c>
      <c r="AA5009">
        <v>2007</v>
      </c>
      <c r="AB5009">
        <v>9999</v>
      </c>
      <c r="AC5009" t="s">
        <v>35</v>
      </c>
    </row>
    <row r="5010" spans="1:29" ht="30" x14ac:dyDescent="0.25">
      <c r="A5010" s="31" t="s">
        <v>432</v>
      </c>
      <c r="B5010" s="23" t="s">
        <v>433</v>
      </c>
      <c r="D5010">
        <v>1</v>
      </c>
      <c r="E5010" t="s">
        <v>80</v>
      </c>
      <c r="F5010">
        <v>8</v>
      </c>
      <c r="G5010">
        <v>2008</v>
      </c>
      <c r="I5010">
        <v>58.9</v>
      </c>
      <c r="J5010" t="s">
        <v>81</v>
      </c>
      <c r="K5010" t="s">
        <v>47</v>
      </c>
      <c r="O5010">
        <v>0</v>
      </c>
      <c r="P5010">
        <v>0</v>
      </c>
      <c r="Q5010">
        <v>0</v>
      </c>
      <c r="R5010">
        <v>0</v>
      </c>
      <c r="W5010" t="s">
        <v>1111</v>
      </c>
      <c r="AA5010">
        <v>2007</v>
      </c>
      <c r="AB5010">
        <v>2017</v>
      </c>
      <c r="AC5010" t="s">
        <v>435</v>
      </c>
    </row>
    <row r="5011" spans="1:29" x14ac:dyDescent="0.25">
      <c r="A5011" s="31" t="s">
        <v>436</v>
      </c>
      <c r="B5011" s="23" t="s">
        <v>437</v>
      </c>
      <c r="D5011">
        <v>1</v>
      </c>
      <c r="E5011" t="s">
        <v>38</v>
      </c>
      <c r="F5011">
        <v>4</v>
      </c>
      <c r="G5011">
        <v>2008</v>
      </c>
      <c r="I5011">
        <v>12.3</v>
      </c>
      <c r="J5011" t="s">
        <v>151</v>
      </c>
      <c r="K5011" t="s">
        <v>47</v>
      </c>
      <c r="O5011">
        <v>0</v>
      </c>
      <c r="P5011">
        <v>0</v>
      </c>
      <c r="Q5011">
        <v>0</v>
      </c>
      <c r="R5011">
        <v>0</v>
      </c>
      <c r="W5011" t="s">
        <v>1112</v>
      </c>
      <c r="AA5011">
        <v>2007</v>
      </c>
      <c r="AB5011">
        <v>2008</v>
      </c>
      <c r="AC5011" t="s">
        <v>265</v>
      </c>
    </row>
    <row r="5012" spans="1:29" x14ac:dyDescent="0.25">
      <c r="A5012" s="31" t="s">
        <v>439</v>
      </c>
      <c r="B5012" s="23" t="s">
        <v>440</v>
      </c>
      <c r="C5012" t="s">
        <v>441</v>
      </c>
      <c r="D5012">
        <v>1</v>
      </c>
      <c r="E5012" t="s">
        <v>442</v>
      </c>
      <c r="F5012">
        <v>4</v>
      </c>
      <c r="G5012">
        <v>2008</v>
      </c>
      <c r="I5012">
        <v>485.8</v>
      </c>
      <c r="J5012" t="s">
        <v>151</v>
      </c>
      <c r="K5012" t="s">
        <v>47</v>
      </c>
      <c r="O5012">
        <v>0</v>
      </c>
      <c r="P5012">
        <v>0</v>
      </c>
      <c r="Q5012">
        <v>0</v>
      </c>
      <c r="R5012">
        <v>0</v>
      </c>
      <c r="W5012" t="s">
        <v>1113</v>
      </c>
      <c r="AA5012">
        <v>2007</v>
      </c>
      <c r="AB5012">
        <v>9999</v>
      </c>
      <c r="AC5012" t="s">
        <v>35</v>
      </c>
    </row>
    <row r="5013" spans="1:29" ht="30" x14ac:dyDescent="0.25">
      <c r="B5013" s="23" t="s">
        <v>444</v>
      </c>
      <c r="C5013" t="s">
        <v>445</v>
      </c>
      <c r="D5013">
        <v>5</v>
      </c>
      <c r="E5013" t="s">
        <v>38</v>
      </c>
      <c r="F5013">
        <v>4</v>
      </c>
      <c r="G5013">
        <v>2008</v>
      </c>
      <c r="I5013">
        <v>0.25</v>
      </c>
      <c r="J5013" t="s">
        <v>31</v>
      </c>
      <c r="K5013" t="s">
        <v>41</v>
      </c>
      <c r="O5013">
        <v>0</v>
      </c>
      <c r="P5013">
        <v>0</v>
      </c>
      <c r="Q5013">
        <v>0</v>
      </c>
      <c r="R5013">
        <v>0</v>
      </c>
      <c r="W5013" t="s">
        <v>1114</v>
      </c>
      <c r="AA5013">
        <v>2007</v>
      </c>
      <c r="AB5013">
        <v>9999</v>
      </c>
      <c r="AC5013" t="s">
        <v>35</v>
      </c>
    </row>
    <row r="5014" spans="1:29" x14ac:dyDescent="0.25">
      <c r="A5014" s="31" t="s">
        <v>447</v>
      </c>
      <c r="B5014" s="23" t="s">
        <v>448</v>
      </c>
      <c r="D5014">
        <v>1</v>
      </c>
      <c r="E5014" t="s">
        <v>45</v>
      </c>
      <c r="F5014">
        <v>4</v>
      </c>
      <c r="G5014">
        <v>2008</v>
      </c>
      <c r="I5014">
        <v>32.9</v>
      </c>
      <c r="J5014" t="s">
        <v>52</v>
      </c>
      <c r="K5014" t="s">
        <v>32</v>
      </c>
      <c r="O5014">
        <v>0</v>
      </c>
      <c r="P5014">
        <v>0</v>
      </c>
      <c r="Q5014">
        <v>0</v>
      </c>
      <c r="R5014">
        <v>0</v>
      </c>
      <c r="W5014" t="s">
        <v>1115</v>
      </c>
      <c r="AA5014">
        <v>2007</v>
      </c>
      <c r="AB5014">
        <v>9999</v>
      </c>
      <c r="AC5014" t="s">
        <v>35</v>
      </c>
    </row>
    <row r="5015" spans="1:29" x14ac:dyDescent="0.25">
      <c r="A5015" s="31" t="s">
        <v>450</v>
      </c>
      <c r="B5015" s="23" t="s">
        <v>451</v>
      </c>
      <c r="D5015">
        <v>1</v>
      </c>
      <c r="E5015" t="s">
        <v>38</v>
      </c>
      <c r="F5015">
        <v>4</v>
      </c>
      <c r="G5015">
        <v>2008</v>
      </c>
      <c r="I5015">
        <v>258.10000000000002</v>
      </c>
      <c r="J5015" t="s">
        <v>89</v>
      </c>
      <c r="K5015" t="s">
        <v>47</v>
      </c>
      <c r="O5015">
        <v>0</v>
      </c>
      <c r="P5015">
        <v>0</v>
      </c>
      <c r="Q5015">
        <v>0</v>
      </c>
      <c r="R5015">
        <v>0</v>
      </c>
      <c r="W5015" t="s">
        <v>1116</v>
      </c>
      <c r="AA5015">
        <v>2007</v>
      </c>
      <c r="AB5015">
        <v>2008</v>
      </c>
      <c r="AC5015" t="s">
        <v>265</v>
      </c>
    </row>
    <row r="5016" spans="1:29" x14ac:dyDescent="0.25">
      <c r="A5016" s="31" t="s">
        <v>453</v>
      </c>
      <c r="B5016" s="23" t="s">
        <v>454</v>
      </c>
      <c r="C5016" t="s">
        <v>455</v>
      </c>
      <c r="D5016">
        <v>1</v>
      </c>
      <c r="E5016" t="s">
        <v>456</v>
      </c>
      <c r="F5016">
        <v>4</v>
      </c>
      <c r="G5016">
        <v>2008</v>
      </c>
      <c r="I5016">
        <v>3535.6</v>
      </c>
      <c r="J5016" t="s">
        <v>89</v>
      </c>
      <c r="K5016" t="s">
        <v>32</v>
      </c>
      <c r="L5016" t="s">
        <v>33</v>
      </c>
      <c r="O5016">
        <v>0</v>
      </c>
      <c r="P5016">
        <v>0</v>
      </c>
      <c r="Q5016">
        <v>0</v>
      </c>
      <c r="R5016">
        <v>1</v>
      </c>
      <c r="W5016" t="s">
        <v>1117</v>
      </c>
      <c r="AA5016">
        <v>2007</v>
      </c>
      <c r="AB5016">
        <v>9999</v>
      </c>
      <c r="AC5016" t="s">
        <v>35</v>
      </c>
    </row>
    <row r="5017" spans="1:29" x14ac:dyDescent="0.25">
      <c r="A5017" s="31" t="s">
        <v>458</v>
      </c>
      <c r="B5017" s="23" t="s">
        <v>459</v>
      </c>
      <c r="D5017">
        <v>1</v>
      </c>
      <c r="E5017" t="s">
        <v>103</v>
      </c>
      <c r="F5017">
        <v>9</v>
      </c>
      <c r="G5017">
        <v>2008</v>
      </c>
      <c r="I5017">
        <v>1216.4000000000001</v>
      </c>
      <c r="J5017" t="s">
        <v>104</v>
      </c>
      <c r="K5017" t="s">
        <v>53</v>
      </c>
      <c r="L5017" t="s">
        <v>105</v>
      </c>
      <c r="O5017">
        <v>0</v>
      </c>
      <c r="P5017">
        <v>1</v>
      </c>
      <c r="Q5017">
        <v>0</v>
      </c>
      <c r="R5017">
        <v>0</v>
      </c>
      <c r="W5017" t="s">
        <v>106</v>
      </c>
      <c r="AA5017">
        <v>2007</v>
      </c>
      <c r="AB5017">
        <v>9999</v>
      </c>
      <c r="AC5017" t="s">
        <v>35</v>
      </c>
    </row>
    <row r="5018" spans="1:29" x14ac:dyDescent="0.25">
      <c r="A5018" s="31" t="s">
        <v>460</v>
      </c>
      <c r="B5018" s="23" t="s">
        <v>461</v>
      </c>
      <c r="D5018">
        <v>1</v>
      </c>
      <c r="E5018" t="s">
        <v>103</v>
      </c>
      <c r="F5018">
        <v>9</v>
      </c>
      <c r="G5018">
        <v>2008</v>
      </c>
      <c r="I5018">
        <v>5457.9</v>
      </c>
      <c r="J5018" t="s">
        <v>104</v>
      </c>
      <c r="K5018" t="s">
        <v>53</v>
      </c>
      <c r="L5018" t="s">
        <v>105</v>
      </c>
      <c r="O5018">
        <v>0</v>
      </c>
      <c r="P5018">
        <v>1</v>
      </c>
      <c r="Q5018">
        <v>0</v>
      </c>
      <c r="R5018">
        <v>0</v>
      </c>
      <c r="W5018" t="s">
        <v>106</v>
      </c>
      <c r="AA5018">
        <v>2007</v>
      </c>
      <c r="AB5018">
        <v>9999</v>
      </c>
      <c r="AC5018" t="s">
        <v>35</v>
      </c>
    </row>
    <row r="5019" spans="1:29" x14ac:dyDescent="0.25">
      <c r="A5019" s="31" t="s">
        <v>462</v>
      </c>
      <c r="B5019" s="23" t="s">
        <v>463</v>
      </c>
      <c r="D5019">
        <v>1</v>
      </c>
      <c r="E5019" t="s">
        <v>322</v>
      </c>
      <c r="F5019">
        <v>7</v>
      </c>
      <c r="G5019">
        <v>2008</v>
      </c>
      <c r="I5019">
        <v>33</v>
      </c>
      <c r="J5019" t="s">
        <v>40</v>
      </c>
      <c r="K5019" t="s">
        <v>47</v>
      </c>
      <c r="O5019">
        <v>0</v>
      </c>
      <c r="P5019">
        <v>0</v>
      </c>
      <c r="Q5019">
        <v>0</v>
      </c>
      <c r="R5019">
        <v>0</v>
      </c>
      <c r="W5019" t="s">
        <v>1118</v>
      </c>
      <c r="AA5019">
        <v>2007</v>
      </c>
      <c r="AB5019">
        <v>9999</v>
      </c>
      <c r="AC5019" t="s">
        <v>35</v>
      </c>
    </row>
    <row r="5020" spans="1:29" x14ac:dyDescent="0.25">
      <c r="A5020" s="31" t="s">
        <v>465</v>
      </c>
      <c r="B5020" s="23" t="s">
        <v>466</v>
      </c>
      <c r="C5020" t="s">
        <v>467</v>
      </c>
      <c r="D5020">
        <v>1</v>
      </c>
      <c r="E5020" t="s">
        <v>468</v>
      </c>
      <c r="F5020">
        <v>7</v>
      </c>
      <c r="G5020">
        <v>2008</v>
      </c>
      <c r="I5020">
        <v>453.5</v>
      </c>
      <c r="J5020" t="s">
        <v>40</v>
      </c>
      <c r="K5020" t="s">
        <v>32</v>
      </c>
      <c r="O5020">
        <v>0</v>
      </c>
      <c r="P5020">
        <v>0</v>
      </c>
      <c r="Q5020">
        <v>0</v>
      </c>
      <c r="R5020">
        <v>0</v>
      </c>
      <c r="W5020" t="s">
        <v>1119</v>
      </c>
      <c r="AA5020">
        <v>2007</v>
      </c>
      <c r="AB5020">
        <v>9999</v>
      </c>
      <c r="AC5020" t="s">
        <v>35</v>
      </c>
    </row>
    <row r="5021" spans="1:29" x14ac:dyDescent="0.25">
      <c r="A5021" s="31" t="s">
        <v>472</v>
      </c>
      <c r="B5021" s="23" t="s">
        <v>473</v>
      </c>
      <c r="D5021">
        <v>21</v>
      </c>
      <c r="E5021" t="s">
        <v>396</v>
      </c>
      <c r="F5021">
        <v>3</v>
      </c>
      <c r="G5021">
        <v>2008</v>
      </c>
      <c r="I5021" t="s">
        <v>474</v>
      </c>
      <c r="J5021" t="s">
        <v>121</v>
      </c>
      <c r="K5021" t="s">
        <v>32</v>
      </c>
      <c r="O5021">
        <v>0</v>
      </c>
      <c r="P5021">
        <v>0</v>
      </c>
      <c r="Q5021">
        <v>0</v>
      </c>
      <c r="R5021">
        <v>0</v>
      </c>
      <c r="W5021" t="s">
        <v>475</v>
      </c>
      <c r="AA5021">
        <v>2007</v>
      </c>
      <c r="AB5021">
        <v>9999</v>
      </c>
      <c r="AC5021" t="s">
        <v>35</v>
      </c>
    </row>
    <row r="5022" spans="1:29" x14ac:dyDescent="0.25">
      <c r="A5022" s="31" t="s">
        <v>153</v>
      </c>
      <c r="B5022" s="23" t="s">
        <v>476</v>
      </c>
      <c r="D5022">
        <v>23</v>
      </c>
      <c r="E5022" t="s">
        <v>155</v>
      </c>
      <c r="F5022">
        <v>3</v>
      </c>
      <c r="G5022">
        <v>2008</v>
      </c>
      <c r="I5022">
        <v>1284.751066517847</v>
      </c>
      <c r="J5022" t="s">
        <v>121</v>
      </c>
      <c r="K5022" t="s">
        <v>53</v>
      </c>
      <c r="L5022" t="s">
        <v>60</v>
      </c>
      <c r="O5022">
        <v>1</v>
      </c>
      <c r="P5022">
        <v>0</v>
      </c>
      <c r="Q5022">
        <v>0</v>
      </c>
      <c r="R5022">
        <v>0</v>
      </c>
      <c r="V5022">
        <v>1</v>
      </c>
      <c r="W5022" t="s">
        <v>477</v>
      </c>
      <c r="AA5022">
        <v>2007</v>
      </c>
      <c r="AB5022">
        <v>9999</v>
      </c>
      <c r="AC5022" t="s">
        <v>35</v>
      </c>
    </row>
    <row r="5023" spans="1:29" x14ac:dyDescent="0.25">
      <c r="A5023" s="31" t="s">
        <v>478</v>
      </c>
      <c r="B5023" s="23" t="s">
        <v>479</v>
      </c>
      <c r="D5023">
        <v>1</v>
      </c>
      <c r="E5023" t="s">
        <v>348</v>
      </c>
      <c r="F5023">
        <v>1</v>
      </c>
      <c r="G5023">
        <v>2008</v>
      </c>
      <c r="I5023">
        <v>153.80000000000001</v>
      </c>
      <c r="J5023" t="s">
        <v>52</v>
      </c>
      <c r="K5023" t="s">
        <v>47</v>
      </c>
      <c r="O5023">
        <v>0</v>
      </c>
      <c r="P5023">
        <v>0</v>
      </c>
      <c r="Q5023">
        <v>0</v>
      </c>
      <c r="R5023">
        <v>0</v>
      </c>
      <c r="W5023" t="s">
        <v>1120</v>
      </c>
      <c r="AA5023">
        <v>2007</v>
      </c>
      <c r="AB5023">
        <v>9999</v>
      </c>
      <c r="AC5023" t="s">
        <v>35</v>
      </c>
    </row>
    <row r="5024" spans="1:29" x14ac:dyDescent="0.25">
      <c r="A5024" s="31" t="s">
        <v>481</v>
      </c>
      <c r="B5024" s="23" t="s">
        <v>482</v>
      </c>
      <c r="D5024">
        <v>1</v>
      </c>
      <c r="E5024" t="s">
        <v>348</v>
      </c>
      <c r="F5024">
        <v>1</v>
      </c>
      <c r="G5024">
        <v>2008</v>
      </c>
      <c r="I5024">
        <v>212.8</v>
      </c>
      <c r="J5024" t="s">
        <v>52</v>
      </c>
      <c r="K5024" t="s">
        <v>47</v>
      </c>
      <c r="O5024">
        <v>0</v>
      </c>
      <c r="P5024">
        <v>0</v>
      </c>
      <c r="Q5024">
        <v>0</v>
      </c>
      <c r="R5024">
        <v>0</v>
      </c>
      <c r="W5024" t="s">
        <v>1120</v>
      </c>
      <c r="AA5024">
        <v>2007</v>
      </c>
      <c r="AB5024">
        <v>9999</v>
      </c>
      <c r="AC5024" t="s">
        <v>35</v>
      </c>
    </row>
    <row r="5025" spans="1:29" x14ac:dyDescent="0.25">
      <c r="A5025" s="31" t="s">
        <v>483</v>
      </c>
      <c r="B5025" s="23" t="s">
        <v>484</v>
      </c>
      <c r="D5025">
        <v>1</v>
      </c>
      <c r="E5025" t="s">
        <v>348</v>
      </c>
      <c r="F5025">
        <v>1</v>
      </c>
      <c r="G5025">
        <v>2008</v>
      </c>
      <c r="I5025">
        <v>141.19999999999999</v>
      </c>
      <c r="J5025" t="s">
        <v>52</v>
      </c>
      <c r="K5025" t="s">
        <v>47</v>
      </c>
      <c r="O5025">
        <v>0</v>
      </c>
      <c r="P5025">
        <v>0</v>
      </c>
      <c r="Q5025">
        <v>0</v>
      </c>
      <c r="R5025">
        <v>0</v>
      </c>
      <c r="W5025" t="s">
        <v>1120</v>
      </c>
      <c r="AA5025">
        <v>2007</v>
      </c>
      <c r="AB5025">
        <v>9999</v>
      </c>
      <c r="AC5025" t="s">
        <v>35</v>
      </c>
    </row>
    <row r="5026" spans="1:29" x14ac:dyDescent="0.25">
      <c r="A5026" s="31" t="s">
        <v>485</v>
      </c>
      <c r="B5026" s="23" t="s">
        <v>486</v>
      </c>
      <c r="D5026">
        <v>1</v>
      </c>
      <c r="E5026" t="s">
        <v>348</v>
      </c>
      <c r="F5026">
        <v>1</v>
      </c>
      <c r="G5026">
        <v>2008</v>
      </c>
      <c r="I5026">
        <v>224.6</v>
      </c>
      <c r="J5026" t="s">
        <v>52</v>
      </c>
      <c r="K5026" t="s">
        <v>47</v>
      </c>
      <c r="O5026">
        <v>0</v>
      </c>
      <c r="P5026">
        <v>0</v>
      </c>
      <c r="Q5026">
        <v>0</v>
      </c>
      <c r="R5026">
        <v>0</v>
      </c>
      <c r="W5026" t="s">
        <v>1120</v>
      </c>
      <c r="AA5026">
        <v>2007</v>
      </c>
      <c r="AB5026">
        <v>9999</v>
      </c>
      <c r="AC5026" t="s">
        <v>35</v>
      </c>
    </row>
    <row r="5027" spans="1:29" x14ac:dyDescent="0.25">
      <c r="A5027" s="31" t="s">
        <v>487</v>
      </c>
      <c r="B5027" s="23" t="s">
        <v>488</v>
      </c>
      <c r="D5027">
        <v>1</v>
      </c>
      <c r="E5027" t="s">
        <v>348</v>
      </c>
      <c r="F5027">
        <v>1</v>
      </c>
      <c r="G5027">
        <v>2008</v>
      </c>
      <c r="I5027">
        <v>162.30000000000001</v>
      </c>
      <c r="J5027" t="s">
        <v>52</v>
      </c>
      <c r="K5027" t="s">
        <v>47</v>
      </c>
      <c r="O5027">
        <v>0</v>
      </c>
      <c r="P5027">
        <v>0</v>
      </c>
      <c r="Q5027">
        <v>0</v>
      </c>
      <c r="R5027">
        <v>0</v>
      </c>
      <c r="W5027" t="s">
        <v>1120</v>
      </c>
      <c r="AA5027">
        <v>2007</v>
      </c>
      <c r="AB5027">
        <v>9999</v>
      </c>
      <c r="AC5027" t="s">
        <v>35</v>
      </c>
    </row>
    <row r="5028" spans="1:29" x14ac:dyDescent="0.25">
      <c r="A5028" s="31" t="s">
        <v>489</v>
      </c>
      <c r="B5028" s="23" t="s">
        <v>490</v>
      </c>
      <c r="D5028">
        <v>1</v>
      </c>
      <c r="E5028" t="s">
        <v>348</v>
      </c>
      <c r="F5028">
        <v>1</v>
      </c>
      <c r="G5028">
        <v>2008</v>
      </c>
      <c r="I5028">
        <v>231.5</v>
      </c>
      <c r="J5028" t="s">
        <v>52</v>
      </c>
      <c r="K5028" t="s">
        <v>47</v>
      </c>
      <c r="O5028">
        <v>0</v>
      </c>
      <c r="P5028">
        <v>0</v>
      </c>
      <c r="Q5028">
        <v>0</v>
      </c>
      <c r="R5028">
        <v>0</v>
      </c>
      <c r="W5028" t="s">
        <v>1120</v>
      </c>
      <c r="AA5028">
        <v>2007</v>
      </c>
      <c r="AB5028">
        <v>9999</v>
      </c>
      <c r="AC5028" t="s">
        <v>35</v>
      </c>
    </row>
    <row r="5029" spans="1:29" x14ac:dyDescent="0.25">
      <c r="A5029" s="31" t="s">
        <v>491</v>
      </c>
      <c r="B5029" s="23" t="s">
        <v>492</v>
      </c>
      <c r="D5029">
        <v>1</v>
      </c>
      <c r="E5029" t="s">
        <v>348</v>
      </c>
      <c r="F5029">
        <v>1</v>
      </c>
      <c r="G5029">
        <v>2008</v>
      </c>
      <c r="I5029">
        <v>240.6</v>
      </c>
      <c r="J5029" t="s">
        <v>52</v>
      </c>
      <c r="K5029" t="s">
        <v>47</v>
      </c>
      <c r="O5029">
        <v>0</v>
      </c>
      <c r="P5029">
        <v>0</v>
      </c>
      <c r="Q5029">
        <v>0</v>
      </c>
      <c r="R5029">
        <v>0</v>
      </c>
      <c r="W5029" t="s">
        <v>1120</v>
      </c>
      <c r="AA5029">
        <v>2007</v>
      </c>
      <c r="AB5029">
        <v>9999</v>
      </c>
      <c r="AC5029" t="s">
        <v>35</v>
      </c>
    </row>
    <row r="5030" spans="1:29" x14ac:dyDescent="0.25">
      <c r="A5030" s="31" t="s">
        <v>493</v>
      </c>
      <c r="B5030" s="23" t="s">
        <v>494</v>
      </c>
      <c r="D5030">
        <v>1</v>
      </c>
      <c r="E5030" t="s">
        <v>348</v>
      </c>
      <c r="F5030">
        <v>1</v>
      </c>
      <c r="G5030">
        <v>2008</v>
      </c>
      <c r="I5030">
        <v>204.1</v>
      </c>
      <c r="J5030" t="s">
        <v>52</v>
      </c>
      <c r="K5030" t="s">
        <v>47</v>
      </c>
      <c r="O5030">
        <v>0</v>
      </c>
      <c r="P5030">
        <v>0</v>
      </c>
      <c r="Q5030">
        <v>0</v>
      </c>
      <c r="R5030">
        <v>0</v>
      </c>
      <c r="W5030" t="s">
        <v>1120</v>
      </c>
      <c r="AA5030">
        <v>2007</v>
      </c>
      <c r="AB5030">
        <v>9999</v>
      </c>
      <c r="AC5030" t="s">
        <v>35</v>
      </c>
    </row>
    <row r="5031" spans="1:29" x14ac:dyDescent="0.25">
      <c r="A5031" s="31" t="s">
        <v>495</v>
      </c>
      <c r="B5031" s="23" t="s">
        <v>496</v>
      </c>
      <c r="D5031">
        <v>1</v>
      </c>
      <c r="E5031" t="s">
        <v>348</v>
      </c>
      <c r="F5031">
        <v>1</v>
      </c>
      <c r="G5031">
        <v>2008</v>
      </c>
      <c r="I5031">
        <v>150.6</v>
      </c>
      <c r="J5031" t="s">
        <v>52</v>
      </c>
      <c r="K5031" t="s">
        <v>47</v>
      </c>
      <c r="O5031">
        <v>0</v>
      </c>
      <c r="P5031">
        <v>0</v>
      </c>
      <c r="Q5031">
        <v>0</v>
      </c>
      <c r="R5031">
        <v>0</v>
      </c>
      <c r="W5031" t="s">
        <v>1120</v>
      </c>
      <c r="AA5031">
        <v>2007</v>
      </c>
      <c r="AB5031">
        <v>9999</v>
      </c>
      <c r="AC5031" t="s">
        <v>35</v>
      </c>
    </row>
    <row r="5032" spans="1:29" x14ac:dyDescent="0.25">
      <c r="A5032" s="31" t="s">
        <v>497</v>
      </c>
      <c r="B5032" s="23" t="s">
        <v>498</v>
      </c>
      <c r="D5032">
        <v>1</v>
      </c>
      <c r="E5032" t="s">
        <v>348</v>
      </c>
      <c r="F5032">
        <v>1</v>
      </c>
      <c r="G5032">
        <v>2008</v>
      </c>
      <c r="I5032">
        <v>247.4</v>
      </c>
      <c r="J5032" t="s">
        <v>52</v>
      </c>
      <c r="K5032" t="s">
        <v>47</v>
      </c>
      <c r="O5032">
        <v>0</v>
      </c>
      <c r="P5032">
        <v>0</v>
      </c>
      <c r="Q5032">
        <v>0</v>
      </c>
      <c r="R5032">
        <v>0</v>
      </c>
      <c r="W5032" t="s">
        <v>1120</v>
      </c>
      <c r="AA5032">
        <v>2007</v>
      </c>
      <c r="AB5032">
        <v>9999</v>
      </c>
      <c r="AC5032" t="s">
        <v>35</v>
      </c>
    </row>
    <row r="5033" spans="1:29" x14ac:dyDescent="0.25">
      <c r="A5033" s="31" t="s">
        <v>499</v>
      </c>
      <c r="B5033" s="23" t="s">
        <v>500</v>
      </c>
      <c r="D5033">
        <v>1</v>
      </c>
      <c r="E5033" t="s">
        <v>348</v>
      </c>
      <c r="F5033">
        <v>1</v>
      </c>
      <c r="G5033">
        <v>2008</v>
      </c>
      <c r="I5033">
        <v>434.9</v>
      </c>
      <c r="J5033" t="s">
        <v>52</v>
      </c>
      <c r="K5033" t="s">
        <v>47</v>
      </c>
      <c r="O5033">
        <v>0</v>
      </c>
      <c r="P5033">
        <v>0</v>
      </c>
      <c r="Q5033">
        <v>0</v>
      </c>
      <c r="R5033">
        <v>0</v>
      </c>
      <c r="W5033" t="s">
        <v>1120</v>
      </c>
      <c r="AA5033">
        <v>2007</v>
      </c>
      <c r="AB5033">
        <v>9999</v>
      </c>
      <c r="AC5033" t="s">
        <v>35</v>
      </c>
    </row>
    <row r="5034" spans="1:29" x14ac:dyDescent="0.25">
      <c r="A5034" s="31" t="s">
        <v>501</v>
      </c>
      <c r="B5034" s="23" t="s">
        <v>502</v>
      </c>
      <c r="D5034">
        <v>1</v>
      </c>
      <c r="E5034" t="s">
        <v>348</v>
      </c>
      <c r="F5034">
        <v>1</v>
      </c>
      <c r="G5034">
        <v>2008</v>
      </c>
      <c r="I5034">
        <v>426.3</v>
      </c>
      <c r="J5034" t="s">
        <v>52</v>
      </c>
      <c r="K5034" t="s">
        <v>47</v>
      </c>
      <c r="O5034">
        <v>0</v>
      </c>
      <c r="P5034">
        <v>0</v>
      </c>
      <c r="Q5034">
        <v>0</v>
      </c>
      <c r="R5034">
        <v>0</v>
      </c>
      <c r="W5034" t="s">
        <v>1120</v>
      </c>
      <c r="AA5034">
        <v>2007</v>
      </c>
      <c r="AB5034">
        <v>9999</v>
      </c>
      <c r="AC5034" t="s">
        <v>35</v>
      </c>
    </row>
    <row r="5035" spans="1:29" x14ac:dyDescent="0.25">
      <c r="A5035" s="31" t="s">
        <v>503</v>
      </c>
      <c r="B5035" s="23" t="s">
        <v>504</v>
      </c>
      <c r="D5035">
        <v>1</v>
      </c>
      <c r="E5035" t="s">
        <v>348</v>
      </c>
      <c r="F5035">
        <v>1</v>
      </c>
      <c r="G5035">
        <v>2008</v>
      </c>
      <c r="I5035">
        <v>175.4</v>
      </c>
      <c r="J5035" t="s">
        <v>52</v>
      </c>
      <c r="K5035" t="s">
        <v>47</v>
      </c>
      <c r="O5035">
        <v>0</v>
      </c>
      <c r="P5035">
        <v>0</v>
      </c>
      <c r="Q5035">
        <v>0</v>
      </c>
      <c r="R5035">
        <v>0</v>
      </c>
      <c r="W5035" t="s">
        <v>1120</v>
      </c>
      <c r="AA5035">
        <v>2007</v>
      </c>
      <c r="AB5035">
        <v>9999</v>
      </c>
      <c r="AC5035" t="s">
        <v>35</v>
      </c>
    </row>
    <row r="5036" spans="1:29" x14ac:dyDescent="0.25">
      <c r="A5036" s="31" t="s">
        <v>505</v>
      </c>
      <c r="B5036" s="23" t="s">
        <v>506</v>
      </c>
      <c r="D5036">
        <v>1</v>
      </c>
      <c r="E5036" t="s">
        <v>348</v>
      </c>
      <c r="F5036">
        <v>1</v>
      </c>
      <c r="G5036">
        <v>2008</v>
      </c>
      <c r="I5036">
        <v>185.1</v>
      </c>
      <c r="J5036" t="s">
        <v>52</v>
      </c>
      <c r="K5036" t="s">
        <v>47</v>
      </c>
      <c r="O5036">
        <v>0</v>
      </c>
      <c r="P5036">
        <v>0</v>
      </c>
      <c r="Q5036">
        <v>0</v>
      </c>
      <c r="R5036">
        <v>0</v>
      </c>
      <c r="W5036" t="s">
        <v>1120</v>
      </c>
      <c r="AA5036">
        <v>2007</v>
      </c>
      <c r="AB5036">
        <v>9999</v>
      </c>
      <c r="AC5036" t="s">
        <v>35</v>
      </c>
    </row>
    <row r="5037" spans="1:29" x14ac:dyDescent="0.25">
      <c r="A5037" s="31" t="s">
        <v>507</v>
      </c>
      <c r="B5037" s="23" t="s">
        <v>508</v>
      </c>
      <c r="D5037">
        <v>1</v>
      </c>
      <c r="E5037" t="s">
        <v>348</v>
      </c>
      <c r="F5037">
        <v>1</v>
      </c>
      <c r="G5037">
        <v>2008</v>
      </c>
      <c r="I5037">
        <v>200.9</v>
      </c>
      <c r="J5037" t="s">
        <v>52</v>
      </c>
      <c r="K5037" t="s">
        <v>47</v>
      </c>
      <c r="O5037">
        <v>0</v>
      </c>
      <c r="P5037">
        <v>0</v>
      </c>
      <c r="Q5037">
        <v>0</v>
      </c>
      <c r="R5037">
        <v>0</v>
      </c>
      <c r="W5037" t="s">
        <v>1120</v>
      </c>
      <c r="AA5037">
        <v>2007</v>
      </c>
      <c r="AB5037">
        <v>9999</v>
      </c>
      <c r="AC5037" t="s">
        <v>35</v>
      </c>
    </row>
    <row r="5038" spans="1:29" x14ac:dyDescent="0.25">
      <c r="A5038" s="31" t="s">
        <v>509</v>
      </c>
      <c r="B5038" s="23" t="s">
        <v>510</v>
      </c>
      <c r="D5038">
        <v>1</v>
      </c>
      <c r="E5038" t="s">
        <v>348</v>
      </c>
      <c r="F5038">
        <v>1</v>
      </c>
      <c r="G5038">
        <v>2008</v>
      </c>
      <c r="I5038">
        <v>235.3</v>
      </c>
      <c r="J5038" t="s">
        <v>52</v>
      </c>
      <c r="K5038" t="s">
        <v>47</v>
      </c>
      <c r="O5038">
        <v>0</v>
      </c>
      <c r="P5038">
        <v>0</v>
      </c>
      <c r="Q5038">
        <v>0</v>
      </c>
      <c r="R5038">
        <v>0</v>
      </c>
      <c r="W5038" t="s">
        <v>1120</v>
      </c>
      <c r="AA5038">
        <v>2007</v>
      </c>
      <c r="AB5038">
        <v>9999</v>
      </c>
      <c r="AC5038" t="s">
        <v>35</v>
      </c>
    </row>
    <row r="5039" spans="1:29" x14ac:dyDescent="0.25">
      <c r="A5039" s="31" t="s">
        <v>511</v>
      </c>
      <c r="B5039" s="23" t="s">
        <v>512</v>
      </c>
      <c r="D5039">
        <v>1</v>
      </c>
      <c r="E5039" t="s">
        <v>348</v>
      </c>
      <c r="F5039">
        <v>1</v>
      </c>
      <c r="G5039">
        <v>2008</v>
      </c>
      <c r="I5039">
        <v>228.8</v>
      </c>
      <c r="J5039" t="s">
        <v>52</v>
      </c>
      <c r="K5039" t="s">
        <v>47</v>
      </c>
      <c r="O5039">
        <v>0</v>
      </c>
      <c r="P5039">
        <v>0</v>
      </c>
      <c r="Q5039">
        <v>0</v>
      </c>
      <c r="R5039">
        <v>0</v>
      </c>
      <c r="W5039" t="s">
        <v>1120</v>
      </c>
      <c r="AA5039">
        <v>2007</v>
      </c>
      <c r="AB5039">
        <v>9999</v>
      </c>
      <c r="AC5039" t="s">
        <v>35</v>
      </c>
    </row>
    <row r="5040" spans="1:29" x14ac:dyDescent="0.25">
      <c r="A5040" s="31" t="s">
        <v>513</v>
      </c>
      <c r="B5040" s="23" t="s">
        <v>514</v>
      </c>
      <c r="D5040">
        <v>1</v>
      </c>
      <c r="E5040" t="s">
        <v>348</v>
      </c>
      <c r="F5040">
        <v>1</v>
      </c>
      <c r="G5040">
        <v>2008</v>
      </c>
      <c r="I5040">
        <v>160.69999999999999</v>
      </c>
      <c r="J5040" t="s">
        <v>52</v>
      </c>
      <c r="K5040" t="s">
        <v>47</v>
      </c>
      <c r="O5040">
        <v>0</v>
      </c>
      <c r="P5040">
        <v>0</v>
      </c>
      <c r="Q5040">
        <v>0</v>
      </c>
      <c r="R5040">
        <v>0</v>
      </c>
      <c r="W5040" t="s">
        <v>1120</v>
      </c>
      <c r="AA5040">
        <v>2007</v>
      </c>
      <c r="AB5040">
        <v>9999</v>
      </c>
      <c r="AC5040" t="s">
        <v>35</v>
      </c>
    </row>
    <row r="5041" spans="1:29" x14ac:dyDescent="0.25">
      <c r="A5041" s="31" t="s">
        <v>515</v>
      </c>
      <c r="B5041" s="23" t="s">
        <v>516</v>
      </c>
      <c r="D5041">
        <v>1</v>
      </c>
      <c r="E5041" t="s">
        <v>348</v>
      </c>
      <c r="F5041">
        <v>1</v>
      </c>
      <c r="G5041">
        <v>2008</v>
      </c>
      <c r="I5041">
        <v>629.5</v>
      </c>
      <c r="J5041" t="s">
        <v>52</v>
      </c>
      <c r="K5041" t="s">
        <v>47</v>
      </c>
      <c r="O5041">
        <v>0</v>
      </c>
      <c r="P5041">
        <v>0</v>
      </c>
      <c r="Q5041">
        <v>0</v>
      </c>
      <c r="R5041">
        <v>0</v>
      </c>
      <c r="W5041" t="s">
        <v>1120</v>
      </c>
      <c r="AA5041">
        <v>2007</v>
      </c>
      <c r="AB5041">
        <v>9999</v>
      </c>
      <c r="AC5041" t="s">
        <v>35</v>
      </c>
    </row>
    <row r="5042" spans="1:29" x14ac:dyDescent="0.25">
      <c r="A5042" s="31" t="s">
        <v>517</v>
      </c>
      <c r="B5042" s="23" t="s">
        <v>518</v>
      </c>
      <c r="D5042">
        <v>1</v>
      </c>
      <c r="E5042" t="s">
        <v>348</v>
      </c>
      <c r="F5042">
        <v>1</v>
      </c>
      <c r="G5042">
        <v>2008</v>
      </c>
      <c r="I5042">
        <v>180.8</v>
      </c>
      <c r="J5042" t="s">
        <v>52</v>
      </c>
      <c r="K5042" t="s">
        <v>47</v>
      </c>
      <c r="O5042">
        <v>0</v>
      </c>
      <c r="P5042">
        <v>0</v>
      </c>
      <c r="Q5042">
        <v>0</v>
      </c>
      <c r="R5042">
        <v>0</v>
      </c>
      <c r="W5042" t="s">
        <v>1120</v>
      </c>
      <c r="AA5042">
        <v>2007</v>
      </c>
      <c r="AB5042">
        <v>9999</v>
      </c>
      <c r="AC5042" t="s">
        <v>35</v>
      </c>
    </row>
    <row r="5043" spans="1:29" x14ac:dyDescent="0.25">
      <c r="A5043" s="31" t="s">
        <v>519</v>
      </c>
      <c r="B5043" s="23" t="s">
        <v>520</v>
      </c>
      <c r="D5043">
        <v>1</v>
      </c>
      <c r="E5043" t="s">
        <v>348</v>
      </c>
      <c r="F5043">
        <v>1</v>
      </c>
      <c r="G5043">
        <v>2008</v>
      </c>
      <c r="I5043">
        <v>224.1</v>
      </c>
      <c r="J5043" t="s">
        <v>52</v>
      </c>
      <c r="K5043" t="s">
        <v>47</v>
      </c>
      <c r="O5043">
        <v>0</v>
      </c>
      <c r="P5043">
        <v>0</v>
      </c>
      <c r="Q5043">
        <v>0</v>
      </c>
      <c r="R5043">
        <v>0</v>
      </c>
      <c r="W5043" t="s">
        <v>1120</v>
      </c>
      <c r="AA5043">
        <v>2007</v>
      </c>
      <c r="AB5043">
        <v>9999</v>
      </c>
      <c r="AC5043" t="s">
        <v>35</v>
      </c>
    </row>
    <row r="5044" spans="1:29" x14ac:dyDescent="0.25">
      <c r="A5044" s="31" t="s">
        <v>523</v>
      </c>
      <c r="B5044" s="23" t="s">
        <v>524</v>
      </c>
      <c r="D5044">
        <v>1</v>
      </c>
      <c r="E5044" t="s">
        <v>103</v>
      </c>
      <c r="F5044">
        <v>9</v>
      </c>
      <c r="G5044">
        <v>2008</v>
      </c>
      <c r="I5044">
        <v>1181.3</v>
      </c>
      <c r="J5044" t="s">
        <v>104</v>
      </c>
      <c r="K5044" t="s">
        <v>53</v>
      </c>
      <c r="L5044" t="s">
        <v>105</v>
      </c>
      <c r="O5044">
        <v>0</v>
      </c>
      <c r="P5044">
        <v>1</v>
      </c>
      <c r="Q5044">
        <v>0</v>
      </c>
      <c r="R5044">
        <v>0</v>
      </c>
      <c r="W5044" t="s">
        <v>106</v>
      </c>
      <c r="AA5044">
        <v>2007</v>
      </c>
      <c r="AB5044">
        <v>9999</v>
      </c>
      <c r="AC5044" t="s">
        <v>35</v>
      </c>
    </row>
    <row r="5045" spans="1:29" x14ac:dyDescent="0.25">
      <c r="A5045" s="31" t="s">
        <v>525</v>
      </c>
      <c r="B5045" s="23" t="s">
        <v>526</v>
      </c>
      <c r="D5045">
        <v>1</v>
      </c>
      <c r="E5045" t="s">
        <v>45</v>
      </c>
      <c r="F5045">
        <v>4</v>
      </c>
      <c r="G5045">
        <v>2008</v>
      </c>
      <c r="I5045">
        <v>7</v>
      </c>
      <c r="J5045" t="s">
        <v>46</v>
      </c>
      <c r="K5045" t="s">
        <v>53</v>
      </c>
      <c r="L5045" t="s">
        <v>60</v>
      </c>
      <c r="O5045">
        <v>1</v>
      </c>
      <c r="P5045">
        <v>0</v>
      </c>
      <c r="Q5045">
        <v>0</v>
      </c>
      <c r="R5045">
        <v>0</v>
      </c>
      <c r="W5045" t="s">
        <v>527</v>
      </c>
      <c r="AA5045">
        <v>2007</v>
      </c>
      <c r="AB5045">
        <v>2016</v>
      </c>
      <c r="AC5045" t="s">
        <v>528</v>
      </c>
    </row>
    <row r="5046" spans="1:29" x14ac:dyDescent="0.25">
      <c r="A5046" s="31" t="s">
        <v>529</v>
      </c>
      <c r="B5046" s="23" t="s">
        <v>530</v>
      </c>
      <c r="D5046">
        <v>1</v>
      </c>
      <c r="E5046" t="s">
        <v>58</v>
      </c>
      <c r="F5046">
        <v>4</v>
      </c>
      <c r="G5046">
        <v>2008</v>
      </c>
      <c r="I5046">
        <v>11.7</v>
      </c>
      <c r="J5046" t="s">
        <v>59</v>
      </c>
      <c r="K5046" t="s">
        <v>47</v>
      </c>
      <c r="O5046">
        <v>0</v>
      </c>
      <c r="P5046">
        <v>0</v>
      </c>
      <c r="Q5046">
        <v>0</v>
      </c>
      <c r="R5046">
        <v>0</v>
      </c>
      <c r="W5046" t="s">
        <v>1121</v>
      </c>
      <c r="AA5046">
        <v>2007</v>
      </c>
      <c r="AB5046">
        <v>9999</v>
      </c>
      <c r="AC5046" t="s">
        <v>35</v>
      </c>
    </row>
    <row r="5047" spans="1:29" x14ac:dyDescent="0.25">
      <c r="A5047" s="31" t="s">
        <v>532</v>
      </c>
      <c r="B5047" s="23" t="s">
        <v>533</v>
      </c>
      <c r="D5047">
        <v>1</v>
      </c>
      <c r="E5047" t="s">
        <v>534</v>
      </c>
      <c r="F5047">
        <v>10</v>
      </c>
      <c r="G5047">
        <v>2008</v>
      </c>
      <c r="I5047">
        <v>2796.1</v>
      </c>
      <c r="J5047" t="s">
        <v>121</v>
      </c>
      <c r="K5047" t="s">
        <v>47</v>
      </c>
      <c r="O5047">
        <v>0</v>
      </c>
      <c r="P5047">
        <v>0</v>
      </c>
      <c r="Q5047">
        <v>0</v>
      </c>
      <c r="R5047">
        <v>0</v>
      </c>
      <c r="W5047" t="s">
        <v>1122</v>
      </c>
      <c r="AA5047">
        <v>2007</v>
      </c>
      <c r="AB5047">
        <v>9999</v>
      </c>
      <c r="AC5047" t="s">
        <v>35</v>
      </c>
    </row>
    <row r="5048" spans="1:29" x14ac:dyDescent="0.25">
      <c r="A5048" s="31" t="s">
        <v>536</v>
      </c>
      <c r="B5048" s="23" t="s">
        <v>537</v>
      </c>
      <c r="D5048">
        <v>1</v>
      </c>
      <c r="E5048" t="s">
        <v>534</v>
      </c>
      <c r="F5048">
        <v>9</v>
      </c>
      <c r="G5048">
        <v>2008</v>
      </c>
      <c r="I5048">
        <v>780.3</v>
      </c>
      <c r="J5048" t="s">
        <v>104</v>
      </c>
      <c r="K5048" t="s">
        <v>53</v>
      </c>
      <c r="L5048" t="s">
        <v>105</v>
      </c>
      <c r="O5048">
        <v>0</v>
      </c>
      <c r="P5048">
        <v>1</v>
      </c>
      <c r="Q5048">
        <v>0</v>
      </c>
      <c r="R5048">
        <v>0</v>
      </c>
      <c r="W5048" t="s">
        <v>106</v>
      </c>
      <c r="AA5048">
        <v>2007</v>
      </c>
      <c r="AB5048">
        <v>9999</v>
      </c>
      <c r="AC5048" t="s">
        <v>35</v>
      </c>
    </row>
    <row r="5049" spans="1:29" x14ac:dyDescent="0.25">
      <c r="A5049" s="31" t="s">
        <v>538</v>
      </c>
      <c r="B5049" s="23" t="s">
        <v>539</v>
      </c>
      <c r="D5049">
        <v>1</v>
      </c>
      <c r="E5049" t="s">
        <v>80</v>
      </c>
      <c r="F5049">
        <v>8</v>
      </c>
      <c r="G5049">
        <v>2008</v>
      </c>
      <c r="I5049">
        <v>119.5</v>
      </c>
      <c r="J5049" t="s">
        <v>81</v>
      </c>
      <c r="K5049" t="s">
        <v>47</v>
      </c>
      <c r="O5049">
        <v>0</v>
      </c>
      <c r="P5049">
        <v>0</v>
      </c>
      <c r="Q5049">
        <v>0</v>
      </c>
      <c r="R5049">
        <v>0</v>
      </c>
      <c r="W5049" t="s">
        <v>1123</v>
      </c>
      <c r="AA5049">
        <v>2007</v>
      </c>
      <c r="AB5049">
        <v>9999</v>
      </c>
      <c r="AC5049" t="s">
        <v>35</v>
      </c>
    </row>
    <row r="5050" spans="1:29" x14ac:dyDescent="0.25">
      <c r="A5050" s="31" t="s">
        <v>541</v>
      </c>
      <c r="B5050" s="23" t="s">
        <v>542</v>
      </c>
      <c r="D5050">
        <v>1</v>
      </c>
      <c r="E5050" t="s">
        <v>543</v>
      </c>
      <c r="F5050">
        <v>10</v>
      </c>
      <c r="G5050">
        <v>2008</v>
      </c>
      <c r="I5050">
        <v>14.9</v>
      </c>
      <c r="J5050" t="s">
        <v>40</v>
      </c>
      <c r="K5050" t="s">
        <v>47</v>
      </c>
      <c r="O5050">
        <v>0</v>
      </c>
      <c r="P5050">
        <v>0</v>
      </c>
      <c r="Q5050">
        <v>0</v>
      </c>
      <c r="R5050">
        <v>0</v>
      </c>
      <c r="W5050" t="s">
        <v>1124</v>
      </c>
      <c r="AA5050">
        <v>2007</v>
      </c>
      <c r="AB5050">
        <v>9999</v>
      </c>
      <c r="AC5050" t="s">
        <v>35</v>
      </c>
    </row>
    <row r="5051" spans="1:29" x14ac:dyDescent="0.25">
      <c r="A5051" s="31" t="s">
        <v>545</v>
      </c>
      <c r="B5051" s="23" t="s">
        <v>546</v>
      </c>
      <c r="D5051">
        <v>1</v>
      </c>
      <c r="E5051" t="s">
        <v>543</v>
      </c>
      <c r="F5051">
        <v>10</v>
      </c>
      <c r="G5051">
        <v>2008</v>
      </c>
      <c r="I5051">
        <v>10</v>
      </c>
      <c r="J5051" t="s">
        <v>40</v>
      </c>
      <c r="K5051" t="s">
        <v>47</v>
      </c>
      <c r="O5051">
        <v>0</v>
      </c>
      <c r="P5051">
        <v>0</v>
      </c>
      <c r="Q5051">
        <v>0</v>
      </c>
      <c r="R5051">
        <v>0</v>
      </c>
      <c r="W5051" t="s">
        <v>1125</v>
      </c>
      <c r="AA5051">
        <v>2007</v>
      </c>
      <c r="AB5051">
        <v>9999</v>
      </c>
      <c r="AC5051" t="s">
        <v>35</v>
      </c>
    </row>
    <row r="5052" spans="1:29" x14ac:dyDescent="0.25">
      <c r="A5052" s="31" t="s">
        <v>545</v>
      </c>
      <c r="B5052" s="23" t="s">
        <v>548</v>
      </c>
      <c r="D5052">
        <v>1</v>
      </c>
      <c r="E5052" t="s">
        <v>128</v>
      </c>
      <c r="F5052">
        <v>9</v>
      </c>
      <c r="G5052">
        <v>2008</v>
      </c>
      <c r="I5052">
        <v>24.8</v>
      </c>
      <c r="J5052" t="s">
        <v>104</v>
      </c>
      <c r="K5052" t="s">
        <v>76</v>
      </c>
      <c r="O5052">
        <v>0</v>
      </c>
      <c r="P5052">
        <v>0</v>
      </c>
      <c r="Q5052">
        <v>0</v>
      </c>
      <c r="R5052">
        <v>0</v>
      </c>
      <c r="W5052" t="s">
        <v>549</v>
      </c>
      <c r="AA5052">
        <v>2007</v>
      </c>
      <c r="AB5052">
        <v>9999</v>
      </c>
      <c r="AC5052" t="s">
        <v>35</v>
      </c>
    </row>
    <row r="5053" spans="1:29" ht="30" x14ac:dyDescent="0.25">
      <c r="A5053" s="31" t="s">
        <v>550</v>
      </c>
      <c r="B5053" s="23" t="s">
        <v>551</v>
      </c>
      <c r="D5053">
        <v>1</v>
      </c>
      <c r="E5053" t="s">
        <v>128</v>
      </c>
      <c r="F5053">
        <v>9</v>
      </c>
      <c r="G5053">
        <v>2008</v>
      </c>
      <c r="I5053">
        <v>14.5</v>
      </c>
      <c r="J5053" t="s">
        <v>104</v>
      </c>
      <c r="K5053" t="s">
        <v>32</v>
      </c>
      <c r="O5053">
        <v>0</v>
      </c>
      <c r="P5053">
        <v>0</v>
      </c>
      <c r="Q5053">
        <v>0</v>
      </c>
      <c r="R5053">
        <v>0</v>
      </c>
      <c r="W5053" t="s">
        <v>1126</v>
      </c>
      <c r="AA5053">
        <v>2007</v>
      </c>
      <c r="AB5053">
        <v>2008</v>
      </c>
      <c r="AC5053" t="s">
        <v>265</v>
      </c>
    </row>
    <row r="5054" spans="1:29" x14ac:dyDescent="0.25">
      <c r="A5054" s="31" t="s">
        <v>553</v>
      </c>
      <c r="B5054" s="23" t="s">
        <v>554</v>
      </c>
      <c r="D5054">
        <v>1</v>
      </c>
      <c r="E5054" t="s">
        <v>128</v>
      </c>
      <c r="F5054">
        <v>9</v>
      </c>
      <c r="G5054">
        <v>2008</v>
      </c>
      <c r="I5054">
        <v>132.30000000000001</v>
      </c>
      <c r="J5054" t="s">
        <v>104</v>
      </c>
      <c r="K5054" t="s">
        <v>76</v>
      </c>
      <c r="O5054">
        <v>0</v>
      </c>
      <c r="P5054">
        <v>0</v>
      </c>
      <c r="Q5054">
        <v>0</v>
      </c>
      <c r="R5054">
        <v>0</v>
      </c>
      <c r="W5054" t="s">
        <v>555</v>
      </c>
      <c r="AA5054">
        <v>2007</v>
      </c>
      <c r="AB5054">
        <v>2008</v>
      </c>
      <c r="AC5054" t="s">
        <v>265</v>
      </c>
    </row>
    <row r="5055" spans="1:29" x14ac:dyDescent="0.25">
      <c r="A5055" s="31" t="s">
        <v>556</v>
      </c>
      <c r="B5055" s="23" t="s">
        <v>557</v>
      </c>
      <c r="D5055">
        <v>1</v>
      </c>
      <c r="E5055" t="s">
        <v>45</v>
      </c>
      <c r="F5055">
        <v>4</v>
      </c>
      <c r="G5055">
        <v>2008</v>
      </c>
      <c r="I5055">
        <v>36.4</v>
      </c>
      <c r="J5055" t="s">
        <v>176</v>
      </c>
      <c r="K5055" t="s">
        <v>47</v>
      </c>
      <c r="O5055">
        <v>0</v>
      </c>
      <c r="P5055">
        <v>0</v>
      </c>
      <c r="Q5055">
        <v>0</v>
      </c>
      <c r="R5055">
        <v>0</v>
      </c>
      <c r="W5055" t="s">
        <v>1127</v>
      </c>
      <c r="AA5055">
        <v>2007</v>
      </c>
      <c r="AB5055">
        <v>2012</v>
      </c>
      <c r="AC5055" t="s">
        <v>302</v>
      </c>
    </row>
    <row r="5056" spans="1:29" x14ac:dyDescent="0.25">
      <c r="A5056" s="31" t="s">
        <v>559</v>
      </c>
      <c r="B5056" s="23" t="s">
        <v>560</v>
      </c>
      <c r="C5056" t="s">
        <v>561</v>
      </c>
      <c r="D5056">
        <v>1</v>
      </c>
      <c r="E5056" t="s">
        <v>103</v>
      </c>
      <c r="F5056">
        <v>9</v>
      </c>
      <c r="G5056">
        <v>2008</v>
      </c>
      <c r="I5056">
        <v>838.8</v>
      </c>
      <c r="J5056" t="s">
        <v>104</v>
      </c>
      <c r="K5056" t="s">
        <v>53</v>
      </c>
      <c r="L5056" t="s">
        <v>105</v>
      </c>
      <c r="O5056">
        <v>0</v>
      </c>
      <c r="P5056">
        <v>1</v>
      </c>
      <c r="Q5056">
        <v>0</v>
      </c>
      <c r="R5056">
        <v>0</v>
      </c>
      <c r="W5056" t="s">
        <v>106</v>
      </c>
      <c r="AA5056">
        <v>2007</v>
      </c>
      <c r="AB5056">
        <v>9999</v>
      </c>
      <c r="AC5056" t="s">
        <v>35</v>
      </c>
    </row>
    <row r="5057" spans="1:29" ht="30" x14ac:dyDescent="0.25">
      <c r="A5057" s="31" t="s">
        <v>562</v>
      </c>
      <c r="B5057" s="23" t="s">
        <v>563</v>
      </c>
      <c r="D5057">
        <v>1</v>
      </c>
      <c r="E5057" t="s">
        <v>80</v>
      </c>
      <c r="F5057">
        <v>8</v>
      </c>
      <c r="G5057">
        <v>2008</v>
      </c>
      <c r="I5057">
        <v>159</v>
      </c>
      <c r="J5057" t="s">
        <v>81</v>
      </c>
      <c r="K5057" t="s">
        <v>47</v>
      </c>
      <c r="O5057">
        <v>0</v>
      </c>
      <c r="P5057">
        <v>0</v>
      </c>
      <c r="Q5057">
        <v>0</v>
      </c>
      <c r="R5057">
        <v>0</v>
      </c>
      <c r="W5057" t="s">
        <v>1128</v>
      </c>
      <c r="AA5057">
        <v>2007</v>
      </c>
      <c r="AB5057">
        <v>9999</v>
      </c>
      <c r="AC5057" t="s">
        <v>35</v>
      </c>
    </row>
    <row r="5058" spans="1:29" x14ac:dyDescent="0.25">
      <c r="A5058" s="31" t="s">
        <v>565</v>
      </c>
      <c r="B5058" s="23" t="s">
        <v>566</v>
      </c>
      <c r="D5058">
        <v>1</v>
      </c>
      <c r="E5058" t="s">
        <v>128</v>
      </c>
      <c r="F5058">
        <v>9</v>
      </c>
      <c r="G5058">
        <v>2008</v>
      </c>
      <c r="I5058">
        <v>80.2</v>
      </c>
      <c r="J5058" t="s">
        <v>104</v>
      </c>
      <c r="K5058" t="s">
        <v>76</v>
      </c>
      <c r="O5058">
        <v>0</v>
      </c>
      <c r="P5058">
        <v>0</v>
      </c>
      <c r="Q5058">
        <v>0</v>
      </c>
      <c r="R5058">
        <v>0</v>
      </c>
      <c r="W5058" t="s">
        <v>567</v>
      </c>
      <c r="AA5058">
        <v>2007</v>
      </c>
      <c r="AB5058">
        <v>2008</v>
      </c>
      <c r="AC5058" t="s">
        <v>265</v>
      </c>
    </row>
    <row r="5059" spans="1:29" x14ac:dyDescent="0.25">
      <c r="A5059" s="31" t="s">
        <v>568</v>
      </c>
      <c r="B5059" s="23" t="s">
        <v>569</v>
      </c>
      <c r="D5059">
        <v>1</v>
      </c>
      <c r="E5059" t="s">
        <v>80</v>
      </c>
      <c r="F5059">
        <v>8</v>
      </c>
      <c r="G5059">
        <v>2008</v>
      </c>
      <c r="I5059">
        <v>250</v>
      </c>
      <c r="J5059" t="s">
        <v>81</v>
      </c>
      <c r="K5059" t="s">
        <v>47</v>
      </c>
      <c r="O5059">
        <v>0</v>
      </c>
      <c r="P5059">
        <v>0</v>
      </c>
      <c r="Q5059">
        <v>0</v>
      </c>
      <c r="R5059">
        <v>0</v>
      </c>
      <c r="W5059" t="s">
        <v>1129</v>
      </c>
      <c r="AA5059">
        <v>2007</v>
      </c>
      <c r="AB5059">
        <v>9999</v>
      </c>
      <c r="AC5059" t="s">
        <v>35</v>
      </c>
    </row>
    <row r="5060" spans="1:29" x14ac:dyDescent="0.25">
      <c r="A5060" s="31" t="s">
        <v>571</v>
      </c>
      <c r="B5060" s="23" t="s">
        <v>572</v>
      </c>
      <c r="D5060">
        <v>1</v>
      </c>
      <c r="E5060" t="s">
        <v>370</v>
      </c>
      <c r="F5060">
        <v>5</v>
      </c>
      <c r="G5060">
        <v>2008</v>
      </c>
      <c r="I5060">
        <v>471.8</v>
      </c>
      <c r="J5060" t="s">
        <v>31</v>
      </c>
      <c r="K5060" t="s">
        <v>47</v>
      </c>
      <c r="O5060">
        <v>0</v>
      </c>
      <c r="P5060">
        <v>0</v>
      </c>
      <c r="Q5060">
        <v>0</v>
      </c>
      <c r="R5060">
        <v>0</v>
      </c>
      <c r="W5060" t="s">
        <v>1130</v>
      </c>
      <c r="AA5060">
        <v>2007</v>
      </c>
      <c r="AB5060">
        <v>9999</v>
      </c>
      <c r="AC5060" t="s">
        <v>35</v>
      </c>
    </row>
    <row r="5061" spans="1:29" x14ac:dyDescent="0.25">
      <c r="A5061" s="31" t="s">
        <v>574</v>
      </c>
      <c r="B5061" s="23" t="s">
        <v>575</v>
      </c>
      <c r="D5061">
        <v>1</v>
      </c>
      <c r="E5061" t="s">
        <v>222</v>
      </c>
      <c r="F5061">
        <v>1</v>
      </c>
      <c r="G5061">
        <v>2008</v>
      </c>
      <c r="I5061">
        <v>50</v>
      </c>
      <c r="J5061" t="s">
        <v>176</v>
      </c>
      <c r="K5061" t="s">
        <v>47</v>
      </c>
      <c r="O5061">
        <v>0</v>
      </c>
      <c r="P5061">
        <v>0</v>
      </c>
      <c r="Q5061">
        <v>0</v>
      </c>
      <c r="R5061">
        <v>0</v>
      </c>
      <c r="W5061" t="s">
        <v>1131</v>
      </c>
      <c r="AA5061">
        <v>2007</v>
      </c>
      <c r="AB5061">
        <v>9999</v>
      </c>
      <c r="AC5061" t="s">
        <v>35</v>
      </c>
    </row>
    <row r="5062" spans="1:29" x14ac:dyDescent="0.25">
      <c r="A5062" s="31" t="s">
        <v>577</v>
      </c>
      <c r="B5062" s="25" t="s">
        <v>578</v>
      </c>
      <c r="D5062">
        <v>1</v>
      </c>
      <c r="E5062" t="s">
        <v>396</v>
      </c>
      <c r="F5062">
        <v>3</v>
      </c>
      <c r="G5062">
        <v>2008</v>
      </c>
      <c r="H5062" t="s">
        <v>579</v>
      </c>
      <c r="J5062" t="s">
        <v>121</v>
      </c>
      <c r="K5062" t="s">
        <v>41</v>
      </c>
      <c r="O5062">
        <v>0</v>
      </c>
      <c r="P5062">
        <v>0</v>
      </c>
      <c r="Q5062">
        <v>0</v>
      </c>
      <c r="R5062">
        <v>0</v>
      </c>
      <c r="W5062" t="s">
        <v>1132</v>
      </c>
      <c r="AA5062">
        <v>2007</v>
      </c>
      <c r="AB5062">
        <v>9999</v>
      </c>
      <c r="AC5062" t="s">
        <v>35</v>
      </c>
    </row>
    <row r="5063" spans="1:29" x14ac:dyDescent="0.25">
      <c r="A5063" s="31" t="s">
        <v>581</v>
      </c>
      <c r="B5063" s="23" t="s">
        <v>582</v>
      </c>
      <c r="D5063">
        <v>1</v>
      </c>
      <c r="E5063" t="s">
        <v>80</v>
      </c>
      <c r="F5063">
        <v>8</v>
      </c>
      <c r="G5063">
        <v>2008</v>
      </c>
      <c r="H5063" t="s">
        <v>583</v>
      </c>
      <c r="J5063" t="s">
        <v>81</v>
      </c>
      <c r="K5063" t="s">
        <v>41</v>
      </c>
      <c r="O5063">
        <v>0</v>
      </c>
      <c r="P5063">
        <v>0</v>
      </c>
      <c r="Q5063">
        <v>0</v>
      </c>
      <c r="R5063">
        <v>0</v>
      </c>
      <c r="W5063" t="s">
        <v>1133</v>
      </c>
      <c r="AA5063">
        <v>2007</v>
      </c>
      <c r="AB5063">
        <v>9999</v>
      </c>
      <c r="AC5063" t="s">
        <v>35</v>
      </c>
    </row>
    <row r="5064" spans="1:29" x14ac:dyDescent="0.25">
      <c r="B5064" s="23" t="s">
        <v>588</v>
      </c>
      <c r="D5064">
        <v>1</v>
      </c>
      <c r="E5064" t="s">
        <v>128</v>
      </c>
      <c r="F5064">
        <v>9</v>
      </c>
      <c r="G5064">
        <v>2008</v>
      </c>
      <c r="H5064" t="s">
        <v>542</v>
      </c>
      <c r="J5064" t="s">
        <v>104</v>
      </c>
      <c r="K5064" t="s">
        <v>41</v>
      </c>
      <c r="O5064">
        <v>0</v>
      </c>
      <c r="P5064">
        <v>0</v>
      </c>
      <c r="Q5064">
        <v>0</v>
      </c>
      <c r="R5064">
        <v>0</v>
      </c>
      <c r="W5064" t="s">
        <v>589</v>
      </c>
      <c r="AA5064">
        <v>2007</v>
      </c>
      <c r="AB5064">
        <v>2008</v>
      </c>
      <c r="AC5064" t="s">
        <v>265</v>
      </c>
    </row>
    <row r="5065" spans="1:29" x14ac:dyDescent="0.25">
      <c r="A5065" s="31" t="s">
        <v>590</v>
      </c>
      <c r="B5065" s="23" t="s">
        <v>591</v>
      </c>
      <c r="D5065">
        <v>1</v>
      </c>
      <c r="E5065" t="s">
        <v>592</v>
      </c>
      <c r="F5065">
        <v>8</v>
      </c>
      <c r="G5065">
        <v>2008</v>
      </c>
      <c r="I5065">
        <v>3.7</v>
      </c>
      <c r="J5065" t="s">
        <v>81</v>
      </c>
      <c r="K5065" t="s">
        <v>41</v>
      </c>
      <c r="O5065">
        <v>0</v>
      </c>
      <c r="P5065">
        <v>0</v>
      </c>
      <c r="Q5065">
        <v>0</v>
      </c>
      <c r="R5065">
        <v>0</v>
      </c>
      <c r="W5065" t="s">
        <v>1134</v>
      </c>
      <c r="AA5065">
        <v>2007</v>
      </c>
      <c r="AB5065">
        <v>9999</v>
      </c>
      <c r="AC5065" t="s">
        <v>35</v>
      </c>
    </row>
    <row r="5066" spans="1:29" x14ac:dyDescent="0.25">
      <c r="A5066" s="31" t="s">
        <v>594</v>
      </c>
      <c r="B5066" s="25" t="s">
        <v>595</v>
      </c>
      <c r="D5066">
        <v>1</v>
      </c>
      <c r="E5066" t="s">
        <v>38</v>
      </c>
      <c r="F5066">
        <v>4</v>
      </c>
      <c r="G5066">
        <v>2008</v>
      </c>
      <c r="H5066" t="s">
        <v>596</v>
      </c>
      <c r="J5066" t="s">
        <v>59</v>
      </c>
      <c r="K5066" t="s">
        <v>41</v>
      </c>
      <c r="O5066">
        <v>0</v>
      </c>
      <c r="P5066">
        <v>0</v>
      </c>
      <c r="Q5066">
        <v>0</v>
      </c>
      <c r="R5066">
        <v>0</v>
      </c>
      <c r="W5066" t="s">
        <v>1135</v>
      </c>
      <c r="AA5066">
        <v>2007</v>
      </c>
      <c r="AB5066">
        <v>9999</v>
      </c>
      <c r="AC5066" t="s">
        <v>35</v>
      </c>
    </row>
    <row r="5067" spans="1:29" x14ac:dyDescent="0.25">
      <c r="B5067" s="23" t="s">
        <v>598</v>
      </c>
      <c r="D5067">
        <v>1</v>
      </c>
      <c r="E5067" t="s">
        <v>38</v>
      </c>
      <c r="F5067">
        <v>4</v>
      </c>
      <c r="G5067">
        <v>2008</v>
      </c>
      <c r="H5067" t="s">
        <v>599</v>
      </c>
      <c r="J5067" t="s">
        <v>46</v>
      </c>
      <c r="K5067" t="s">
        <v>41</v>
      </c>
      <c r="O5067">
        <v>0</v>
      </c>
      <c r="P5067">
        <v>0</v>
      </c>
      <c r="Q5067">
        <v>0</v>
      </c>
      <c r="R5067">
        <v>0</v>
      </c>
      <c r="W5067" t="s">
        <v>1136</v>
      </c>
      <c r="AA5067">
        <v>2007</v>
      </c>
      <c r="AB5067">
        <v>2008</v>
      </c>
      <c r="AC5067" t="s">
        <v>265</v>
      </c>
    </row>
    <row r="5068" spans="1:29" x14ac:dyDescent="0.25">
      <c r="A5068" s="31" t="s">
        <v>601</v>
      </c>
      <c r="B5068" s="25" t="s">
        <v>602</v>
      </c>
      <c r="D5068">
        <v>1</v>
      </c>
      <c r="E5068" t="s">
        <v>145</v>
      </c>
      <c r="F5068">
        <v>2</v>
      </c>
      <c r="G5068">
        <v>2008</v>
      </c>
      <c r="H5068" t="s">
        <v>596</v>
      </c>
      <c r="J5068" s="2" t="s">
        <v>89</v>
      </c>
      <c r="K5068" t="s">
        <v>41</v>
      </c>
      <c r="O5068">
        <v>0</v>
      </c>
      <c r="P5068">
        <v>0</v>
      </c>
      <c r="Q5068">
        <v>0</v>
      </c>
      <c r="R5068">
        <v>0</v>
      </c>
      <c r="W5068" t="s">
        <v>1137</v>
      </c>
      <c r="AA5068">
        <v>2007</v>
      </c>
      <c r="AB5068">
        <v>9999</v>
      </c>
      <c r="AC5068" t="s">
        <v>35</v>
      </c>
    </row>
    <row r="5069" spans="1:29" ht="30" x14ac:dyDescent="0.25">
      <c r="A5069" s="31" t="s">
        <v>605</v>
      </c>
      <c r="B5069" s="23" t="s">
        <v>606</v>
      </c>
      <c r="D5069">
        <v>1</v>
      </c>
      <c r="E5069" t="s">
        <v>38</v>
      </c>
      <c r="F5069">
        <v>4</v>
      </c>
      <c r="G5069">
        <v>2008</v>
      </c>
      <c r="I5069">
        <v>7.7</v>
      </c>
      <c r="J5069" t="s">
        <v>46</v>
      </c>
      <c r="K5069" t="s">
        <v>47</v>
      </c>
      <c r="O5069">
        <v>0</v>
      </c>
      <c r="P5069">
        <v>0</v>
      </c>
      <c r="Q5069">
        <v>0</v>
      </c>
      <c r="R5069">
        <v>0</v>
      </c>
      <c r="W5069" t="s">
        <v>1138</v>
      </c>
      <c r="AA5069">
        <v>2007</v>
      </c>
      <c r="AB5069">
        <v>2008</v>
      </c>
      <c r="AC5069" t="s">
        <v>265</v>
      </c>
    </row>
    <row r="5070" spans="1:29" x14ac:dyDescent="0.25">
      <c r="A5070" s="31" t="s">
        <v>608</v>
      </c>
      <c r="B5070" s="23" t="s">
        <v>609</v>
      </c>
      <c r="D5070">
        <v>1</v>
      </c>
      <c r="E5070" t="s">
        <v>38</v>
      </c>
      <c r="F5070">
        <v>4</v>
      </c>
      <c r="G5070">
        <v>2008</v>
      </c>
      <c r="I5070">
        <v>40.6</v>
      </c>
      <c r="J5070" t="s">
        <v>46</v>
      </c>
      <c r="K5070" t="s">
        <v>47</v>
      </c>
      <c r="O5070">
        <v>0</v>
      </c>
      <c r="P5070">
        <v>0</v>
      </c>
      <c r="Q5070">
        <v>0</v>
      </c>
      <c r="R5070">
        <v>0</v>
      </c>
      <c r="W5070" t="s">
        <v>1139</v>
      </c>
      <c r="AA5070">
        <v>2007</v>
      </c>
      <c r="AB5070">
        <v>2008</v>
      </c>
      <c r="AC5070" t="s">
        <v>265</v>
      </c>
    </row>
    <row r="5071" spans="1:29" x14ac:dyDescent="0.25">
      <c r="A5071" s="31" t="s">
        <v>611</v>
      </c>
      <c r="B5071" s="23" t="s">
        <v>612</v>
      </c>
      <c r="D5071">
        <v>1</v>
      </c>
      <c r="E5071" t="s">
        <v>103</v>
      </c>
      <c r="F5071">
        <v>9</v>
      </c>
      <c r="G5071">
        <v>2008</v>
      </c>
      <c r="I5071">
        <v>19.399999999999999</v>
      </c>
      <c r="J5071" t="s">
        <v>104</v>
      </c>
      <c r="K5071" t="s">
        <v>53</v>
      </c>
      <c r="L5071" t="s">
        <v>105</v>
      </c>
      <c r="O5071">
        <v>0</v>
      </c>
      <c r="P5071">
        <v>1</v>
      </c>
      <c r="Q5071">
        <v>0</v>
      </c>
      <c r="R5071">
        <v>0</v>
      </c>
      <c r="W5071" t="s">
        <v>106</v>
      </c>
      <c r="AA5071">
        <v>2007</v>
      </c>
      <c r="AB5071">
        <v>2013</v>
      </c>
      <c r="AC5071" t="s">
        <v>139</v>
      </c>
    </row>
    <row r="5072" spans="1:29" x14ac:dyDescent="0.25">
      <c r="A5072" s="31" t="s">
        <v>613</v>
      </c>
      <c r="B5072" s="23" t="s">
        <v>254</v>
      </c>
      <c r="C5072" t="s">
        <v>614</v>
      </c>
      <c r="D5072">
        <v>1</v>
      </c>
      <c r="E5072" t="s">
        <v>45</v>
      </c>
      <c r="F5072">
        <v>4</v>
      </c>
      <c r="G5072">
        <v>2008</v>
      </c>
      <c r="I5072">
        <v>410.3</v>
      </c>
      <c r="J5072" t="s">
        <v>89</v>
      </c>
      <c r="K5072" t="s">
        <v>47</v>
      </c>
      <c r="O5072">
        <v>0</v>
      </c>
      <c r="P5072">
        <v>0</v>
      </c>
      <c r="Q5072">
        <v>0</v>
      </c>
      <c r="R5072">
        <v>0</v>
      </c>
      <c r="W5072" t="s">
        <v>1140</v>
      </c>
      <c r="AA5072">
        <v>2007</v>
      </c>
      <c r="AB5072">
        <v>9999</v>
      </c>
      <c r="AC5072" t="s">
        <v>35</v>
      </c>
    </row>
    <row r="5073" spans="1:29" x14ac:dyDescent="0.25">
      <c r="A5073" s="31" t="s">
        <v>616</v>
      </c>
      <c r="B5073" s="23" t="s">
        <v>617</v>
      </c>
      <c r="D5073">
        <v>1</v>
      </c>
      <c r="E5073" t="s">
        <v>45</v>
      </c>
      <c r="F5073">
        <v>4</v>
      </c>
      <c r="G5073">
        <v>2008</v>
      </c>
      <c r="I5073">
        <v>15.7</v>
      </c>
      <c r="J5073" t="s">
        <v>89</v>
      </c>
      <c r="K5073" t="s">
        <v>53</v>
      </c>
      <c r="L5073" t="s">
        <v>60</v>
      </c>
      <c r="O5073">
        <v>1</v>
      </c>
      <c r="P5073">
        <v>0</v>
      </c>
      <c r="Q5073">
        <v>0</v>
      </c>
      <c r="R5073">
        <v>0</v>
      </c>
      <c r="W5073" t="s">
        <v>618</v>
      </c>
      <c r="AA5073">
        <v>2007</v>
      </c>
      <c r="AB5073">
        <v>2016</v>
      </c>
      <c r="AC5073" t="s">
        <v>528</v>
      </c>
    </row>
    <row r="5074" spans="1:29" x14ac:dyDescent="0.25">
      <c r="A5074" s="31" t="s">
        <v>616</v>
      </c>
      <c r="B5074" s="23" t="s">
        <v>619</v>
      </c>
      <c r="D5074">
        <v>1</v>
      </c>
      <c r="E5074" t="s">
        <v>620</v>
      </c>
      <c r="F5074">
        <v>5</v>
      </c>
      <c r="G5074">
        <v>2008</v>
      </c>
      <c r="I5074">
        <v>18.100000000000001</v>
      </c>
      <c r="J5074" t="s">
        <v>104</v>
      </c>
      <c r="K5074" t="s">
        <v>47</v>
      </c>
      <c r="O5074">
        <v>0</v>
      </c>
      <c r="P5074">
        <v>0</v>
      </c>
      <c r="Q5074">
        <v>0</v>
      </c>
      <c r="R5074">
        <v>0</v>
      </c>
      <c r="W5074" t="s">
        <v>1141</v>
      </c>
      <c r="AA5074">
        <v>2007</v>
      </c>
      <c r="AB5074">
        <v>2016</v>
      </c>
      <c r="AC5074" t="s">
        <v>528</v>
      </c>
    </row>
    <row r="5075" spans="1:29" x14ac:dyDescent="0.25">
      <c r="A5075" s="31" t="s">
        <v>622</v>
      </c>
      <c r="B5075" s="23" t="s">
        <v>623</v>
      </c>
      <c r="C5075" t="s">
        <v>624</v>
      </c>
      <c r="D5075">
        <v>1</v>
      </c>
      <c r="E5075" t="s">
        <v>625</v>
      </c>
      <c r="F5075">
        <v>4</v>
      </c>
      <c r="G5075">
        <v>2008</v>
      </c>
      <c r="I5075">
        <v>234</v>
      </c>
      <c r="J5075" t="s">
        <v>89</v>
      </c>
      <c r="K5075" t="s">
        <v>32</v>
      </c>
      <c r="O5075">
        <v>0</v>
      </c>
      <c r="P5075">
        <v>0</v>
      </c>
      <c r="Q5075">
        <v>0</v>
      </c>
      <c r="R5075">
        <v>0</v>
      </c>
      <c r="W5075" t="s">
        <v>1142</v>
      </c>
      <c r="AA5075">
        <v>2007</v>
      </c>
      <c r="AB5075">
        <v>9999</v>
      </c>
      <c r="AC5075" t="s">
        <v>35</v>
      </c>
    </row>
    <row r="5076" spans="1:29" x14ac:dyDescent="0.25">
      <c r="A5076" s="31" t="s">
        <v>622</v>
      </c>
      <c r="B5076" s="23" t="s">
        <v>627</v>
      </c>
      <c r="D5076">
        <v>1</v>
      </c>
      <c r="E5076" t="s">
        <v>51</v>
      </c>
      <c r="F5076">
        <v>10</v>
      </c>
      <c r="G5076">
        <v>2008</v>
      </c>
      <c r="I5076">
        <v>184</v>
      </c>
      <c r="J5076" t="s">
        <v>52</v>
      </c>
      <c r="K5076" t="s">
        <v>76</v>
      </c>
      <c r="O5076">
        <v>0</v>
      </c>
      <c r="P5076">
        <v>0</v>
      </c>
      <c r="Q5076">
        <v>0</v>
      </c>
      <c r="R5076">
        <v>0</v>
      </c>
      <c r="W5076" t="s">
        <v>1143</v>
      </c>
      <c r="AA5076">
        <v>2007</v>
      </c>
      <c r="AB5076">
        <v>9999</v>
      </c>
      <c r="AC5076" t="s">
        <v>35</v>
      </c>
    </row>
    <row r="5077" spans="1:29" x14ac:dyDescent="0.25">
      <c r="A5077" s="31" t="s">
        <v>629</v>
      </c>
      <c r="B5077" s="23" t="s">
        <v>630</v>
      </c>
      <c r="D5077">
        <v>1</v>
      </c>
      <c r="E5077" t="s">
        <v>631</v>
      </c>
      <c r="F5077">
        <v>8</v>
      </c>
      <c r="G5077">
        <v>2008</v>
      </c>
      <c r="I5077">
        <v>4.8</v>
      </c>
      <c r="J5077" t="s">
        <v>81</v>
      </c>
      <c r="K5077" t="s">
        <v>41</v>
      </c>
      <c r="O5077">
        <v>0</v>
      </c>
      <c r="P5077">
        <v>0</v>
      </c>
      <c r="Q5077">
        <v>0</v>
      </c>
      <c r="R5077">
        <v>0</v>
      </c>
      <c r="W5077" t="s">
        <v>1144</v>
      </c>
      <c r="AA5077">
        <v>2007</v>
      </c>
      <c r="AB5077">
        <v>2014</v>
      </c>
      <c r="AC5077" t="s">
        <v>633</v>
      </c>
    </row>
    <row r="5078" spans="1:29" x14ac:dyDescent="0.25">
      <c r="A5078" s="31" t="s">
        <v>634</v>
      </c>
      <c r="B5078" s="23" t="s">
        <v>635</v>
      </c>
      <c r="D5078">
        <v>1</v>
      </c>
      <c r="E5078" t="s">
        <v>138</v>
      </c>
      <c r="F5078">
        <v>8</v>
      </c>
      <c r="G5078">
        <v>2008</v>
      </c>
      <c r="I5078">
        <v>14</v>
      </c>
      <c r="J5078" t="s">
        <v>81</v>
      </c>
      <c r="K5078" t="s">
        <v>47</v>
      </c>
      <c r="O5078">
        <v>0</v>
      </c>
      <c r="P5078">
        <v>0</v>
      </c>
      <c r="Q5078">
        <v>0</v>
      </c>
      <c r="R5078">
        <v>0</v>
      </c>
      <c r="W5078" t="s">
        <v>1145</v>
      </c>
      <c r="AA5078">
        <v>2007</v>
      </c>
      <c r="AB5078">
        <v>2010</v>
      </c>
      <c r="AC5078" t="s">
        <v>91</v>
      </c>
    </row>
    <row r="5079" spans="1:29" x14ac:dyDescent="0.25">
      <c r="A5079" s="31" t="s">
        <v>637</v>
      </c>
      <c r="B5079" s="23" t="s">
        <v>638</v>
      </c>
      <c r="D5079">
        <v>1</v>
      </c>
      <c r="E5079" t="s">
        <v>38</v>
      </c>
      <c r="F5079">
        <v>4</v>
      </c>
      <c r="G5079">
        <v>2008</v>
      </c>
      <c r="H5079" t="s">
        <v>639</v>
      </c>
      <c r="J5079" t="s">
        <v>89</v>
      </c>
      <c r="K5079" t="s">
        <v>41</v>
      </c>
      <c r="O5079">
        <v>0</v>
      </c>
      <c r="P5079">
        <v>0</v>
      </c>
      <c r="Q5079">
        <v>0</v>
      </c>
      <c r="R5079">
        <v>0</v>
      </c>
      <c r="W5079" t="s">
        <v>1146</v>
      </c>
      <c r="AA5079">
        <v>2007</v>
      </c>
      <c r="AB5079">
        <v>2010</v>
      </c>
      <c r="AC5079" t="s">
        <v>91</v>
      </c>
    </row>
    <row r="5080" spans="1:29" x14ac:dyDescent="0.25">
      <c r="A5080" s="31" t="s">
        <v>641</v>
      </c>
      <c r="B5080" s="23" t="s">
        <v>642</v>
      </c>
      <c r="D5080">
        <v>1</v>
      </c>
      <c r="E5080" t="s">
        <v>348</v>
      </c>
      <c r="F5080">
        <v>1</v>
      </c>
      <c r="G5080">
        <v>2008</v>
      </c>
      <c r="I5080">
        <v>4292.3999999999996</v>
      </c>
      <c r="J5080" t="s">
        <v>268</v>
      </c>
      <c r="K5080" t="s">
        <v>53</v>
      </c>
      <c r="L5080" t="s">
        <v>642</v>
      </c>
      <c r="O5080">
        <v>0</v>
      </c>
      <c r="P5080">
        <v>0</v>
      </c>
      <c r="Q5080">
        <v>0</v>
      </c>
      <c r="R5080">
        <v>0</v>
      </c>
      <c r="W5080" t="s">
        <v>643</v>
      </c>
      <c r="AA5080">
        <v>2007</v>
      </c>
      <c r="AB5080">
        <v>9999</v>
      </c>
      <c r="AC5080" t="s">
        <v>35</v>
      </c>
    </row>
    <row r="5081" spans="1:29" x14ac:dyDescent="0.25">
      <c r="A5081" s="31" t="s">
        <v>153</v>
      </c>
      <c r="B5081" s="23" t="s">
        <v>644</v>
      </c>
      <c r="D5081">
        <v>1</v>
      </c>
      <c r="E5081" t="s">
        <v>155</v>
      </c>
      <c r="F5081">
        <v>3</v>
      </c>
      <c r="G5081">
        <v>2008</v>
      </c>
      <c r="I5081">
        <v>103.657296875</v>
      </c>
      <c r="J5081" t="s">
        <v>121</v>
      </c>
      <c r="K5081" t="s">
        <v>53</v>
      </c>
      <c r="L5081" t="s">
        <v>60</v>
      </c>
      <c r="O5081">
        <v>1</v>
      </c>
      <c r="P5081">
        <v>0</v>
      </c>
      <c r="Q5081">
        <v>0</v>
      </c>
      <c r="R5081">
        <v>0</v>
      </c>
      <c r="V5081">
        <v>1</v>
      </c>
      <c r="W5081" t="s">
        <v>645</v>
      </c>
      <c r="AA5081">
        <v>2007</v>
      </c>
      <c r="AB5081">
        <v>9999</v>
      </c>
      <c r="AC5081" t="s">
        <v>35</v>
      </c>
    </row>
    <row r="5082" spans="1:29" x14ac:dyDescent="0.25">
      <c r="A5082" s="31" t="s">
        <v>646</v>
      </c>
      <c r="B5082" s="26" t="s">
        <v>647</v>
      </c>
      <c r="D5082">
        <v>1</v>
      </c>
      <c r="E5082" t="s">
        <v>128</v>
      </c>
      <c r="F5082">
        <v>9</v>
      </c>
      <c r="G5082">
        <v>2008</v>
      </c>
      <c r="H5082" t="s">
        <v>260</v>
      </c>
      <c r="I5082">
        <v>2.75</v>
      </c>
      <c r="J5082" t="s">
        <v>104</v>
      </c>
      <c r="K5082" t="s">
        <v>41</v>
      </c>
      <c r="O5082">
        <v>0</v>
      </c>
      <c r="P5082">
        <v>0</v>
      </c>
      <c r="Q5082">
        <v>0</v>
      </c>
      <c r="R5082">
        <v>0</v>
      </c>
      <c r="W5082" t="s">
        <v>1147</v>
      </c>
      <c r="AA5082">
        <v>2007</v>
      </c>
      <c r="AB5082">
        <v>2018</v>
      </c>
      <c r="AC5082" t="s">
        <v>649</v>
      </c>
    </row>
    <row r="5083" spans="1:29" x14ac:dyDescent="0.25">
      <c r="A5083" s="31" t="s">
        <v>650</v>
      </c>
      <c r="B5083" s="26" t="s">
        <v>651</v>
      </c>
      <c r="D5083">
        <v>1</v>
      </c>
      <c r="E5083" t="s">
        <v>128</v>
      </c>
      <c r="F5083">
        <v>9</v>
      </c>
      <c r="G5083">
        <v>2008</v>
      </c>
      <c r="H5083" t="s">
        <v>431</v>
      </c>
      <c r="I5083">
        <v>1.5</v>
      </c>
      <c r="J5083" t="s">
        <v>104</v>
      </c>
      <c r="K5083" t="s">
        <v>41</v>
      </c>
      <c r="O5083">
        <v>0</v>
      </c>
      <c r="P5083">
        <v>0</v>
      </c>
      <c r="Q5083">
        <v>0</v>
      </c>
      <c r="R5083">
        <v>0</v>
      </c>
      <c r="W5083" t="s">
        <v>1147</v>
      </c>
      <c r="AA5083">
        <v>2007</v>
      </c>
      <c r="AB5083">
        <v>2018</v>
      </c>
      <c r="AC5083" t="s">
        <v>649</v>
      </c>
    </row>
    <row r="5084" spans="1:29" x14ac:dyDescent="0.25">
      <c r="A5084" s="31" t="s">
        <v>652</v>
      </c>
      <c r="B5084" s="26" t="s">
        <v>653</v>
      </c>
      <c r="D5084">
        <v>1</v>
      </c>
      <c r="E5084" t="s">
        <v>128</v>
      </c>
      <c r="F5084">
        <v>9</v>
      </c>
      <c r="G5084">
        <v>2008</v>
      </c>
      <c r="H5084" t="s">
        <v>461</v>
      </c>
      <c r="I5084">
        <v>2.75</v>
      </c>
      <c r="J5084" t="s">
        <v>104</v>
      </c>
      <c r="K5084" t="s">
        <v>41</v>
      </c>
      <c r="O5084">
        <v>0</v>
      </c>
      <c r="P5084">
        <v>0</v>
      </c>
      <c r="Q5084">
        <v>0</v>
      </c>
      <c r="R5084">
        <v>0</v>
      </c>
      <c r="W5084" t="s">
        <v>1147</v>
      </c>
      <c r="AA5084">
        <v>2007</v>
      </c>
      <c r="AB5084">
        <v>2018</v>
      </c>
      <c r="AC5084" t="s">
        <v>649</v>
      </c>
    </row>
    <row r="5085" spans="1:29" x14ac:dyDescent="0.25">
      <c r="A5085" s="31" t="s">
        <v>654</v>
      </c>
      <c r="B5085" s="26" t="s">
        <v>655</v>
      </c>
      <c r="D5085">
        <v>1</v>
      </c>
      <c r="E5085" t="s">
        <v>128</v>
      </c>
      <c r="F5085">
        <v>9</v>
      </c>
      <c r="G5085">
        <v>2008</v>
      </c>
      <c r="H5085" t="s">
        <v>365</v>
      </c>
      <c r="I5085">
        <v>5</v>
      </c>
      <c r="J5085" t="s">
        <v>104</v>
      </c>
      <c r="K5085" t="s">
        <v>41</v>
      </c>
      <c r="O5085">
        <v>0</v>
      </c>
      <c r="P5085">
        <v>0</v>
      </c>
      <c r="Q5085">
        <v>0</v>
      </c>
      <c r="R5085">
        <v>0</v>
      </c>
      <c r="W5085" t="s">
        <v>1147</v>
      </c>
      <c r="AA5085">
        <v>2007</v>
      </c>
      <c r="AB5085">
        <v>2018</v>
      </c>
      <c r="AC5085" t="s">
        <v>649</v>
      </c>
    </row>
    <row r="5086" spans="1:29" x14ac:dyDescent="0.25">
      <c r="A5086" s="31" t="s">
        <v>656</v>
      </c>
      <c r="B5086" s="26" t="s">
        <v>657</v>
      </c>
      <c r="D5086">
        <v>1</v>
      </c>
      <c r="E5086" t="s">
        <v>128</v>
      </c>
      <c r="F5086">
        <v>9</v>
      </c>
      <c r="G5086">
        <v>2008</v>
      </c>
      <c r="H5086" t="s">
        <v>658</v>
      </c>
      <c r="I5086">
        <v>1.5</v>
      </c>
      <c r="J5086" t="s">
        <v>104</v>
      </c>
      <c r="K5086" t="s">
        <v>41</v>
      </c>
      <c r="O5086">
        <v>0</v>
      </c>
      <c r="P5086">
        <v>0</v>
      </c>
      <c r="Q5086">
        <v>0</v>
      </c>
      <c r="R5086">
        <v>0</v>
      </c>
      <c r="W5086" t="s">
        <v>1147</v>
      </c>
      <c r="AA5086">
        <v>2007</v>
      </c>
      <c r="AB5086">
        <v>2018</v>
      </c>
      <c r="AC5086" t="s">
        <v>649</v>
      </c>
    </row>
    <row r="5087" spans="1:29" x14ac:dyDescent="0.25">
      <c r="A5087" s="31" t="s">
        <v>659</v>
      </c>
      <c r="B5087" s="26" t="s">
        <v>660</v>
      </c>
      <c r="D5087">
        <v>1</v>
      </c>
      <c r="E5087" t="s">
        <v>128</v>
      </c>
      <c r="F5087">
        <v>9</v>
      </c>
      <c r="G5087">
        <v>2008</v>
      </c>
      <c r="H5087" t="s">
        <v>661</v>
      </c>
      <c r="I5087">
        <v>2.75</v>
      </c>
      <c r="J5087" t="s">
        <v>104</v>
      </c>
      <c r="K5087" t="s">
        <v>41</v>
      </c>
      <c r="O5087">
        <v>0</v>
      </c>
      <c r="P5087">
        <v>0</v>
      </c>
      <c r="Q5087">
        <v>0</v>
      </c>
      <c r="R5087">
        <v>0</v>
      </c>
      <c r="W5087" t="s">
        <v>1147</v>
      </c>
      <c r="AA5087">
        <v>2007</v>
      </c>
      <c r="AB5087">
        <v>2018</v>
      </c>
      <c r="AC5087" t="s">
        <v>649</v>
      </c>
    </row>
    <row r="5088" spans="1:29" x14ac:dyDescent="0.25">
      <c r="A5088" s="31" t="s">
        <v>199</v>
      </c>
      <c r="B5088" s="25" t="s">
        <v>665</v>
      </c>
      <c r="D5088">
        <v>1</v>
      </c>
      <c r="E5088" t="s">
        <v>45</v>
      </c>
      <c r="F5088">
        <v>4</v>
      </c>
      <c r="G5088">
        <v>2008</v>
      </c>
      <c r="H5088" t="s">
        <v>39</v>
      </c>
      <c r="J5088" t="s">
        <v>52</v>
      </c>
      <c r="K5088" t="s">
        <v>41</v>
      </c>
      <c r="O5088">
        <v>0</v>
      </c>
      <c r="P5088">
        <v>0</v>
      </c>
      <c r="Q5088">
        <v>0</v>
      </c>
      <c r="R5088">
        <v>0</v>
      </c>
      <c r="W5088" t="s">
        <v>1148</v>
      </c>
      <c r="AA5088">
        <v>2007</v>
      </c>
      <c r="AB5088">
        <v>9999</v>
      </c>
      <c r="AC5088" t="s">
        <v>35</v>
      </c>
    </row>
    <row r="5089" spans="1:29" x14ac:dyDescent="0.25">
      <c r="A5089" s="31" t="s">
        <v>667</v>
      </c>
      <c r="B5089" s="23" t="s">
        <v>668</v>
      </c>
      <c r="D5089">
        <v>1</v>
      </c>
      <c r="E5089" t="s">
        <v>45</v>
      </c>
      <c r="F5089">
        <v>4</v>
      </c>
      <c r="G5089">
        <v>2008</v>
      </c>
      <c r="I5089">
        <v>20.8</v>
      </c>
      <c r="J5089" t="s">
        <v>121</v>
      </c>
      <c r="K5089" t="s">
        <v>47</v>
      </c>
      <c r="O5089">
        <v>0</v>
      </c>
      <c r="P5089">
        <v>0</v>
      </c>
      <c r="Q5089">
        <v>0</v>
      </c>
      <c r="R5089">
        <v>0</v>
      </c>
      <c r="W5089" t="s">
        <v>1149</v>
      </c>
      <c r="AA5089">
        <v>2007</v>
      </c>
      <c r="AB5089">
        <v>9999</v>
      </c>
      <c r="AC5089" t="s">
        <v>35</v>
      </c>
    </row>
    <row r="5090" spans="1:29" x14ac:dyDescent="0.25">
      <c r="A5090" s="31" t="s">
        <v>670</v>
      </c>
      <c r="B5090" s="23" t="s">
        <v>671</v>
      </c>
      <c r="D5090">
        <v>1</v>
      </c>
      <c r="E5090" t="s">
        <v>80</v>
      </c>
      <c r="F5090">
        <v>8</v>
      </c>
      <c r="G5090">
        <v>2008</v>
      </c>
      <c r="I5090">
        <v>416</v>
      </c>
      <c r="J5090" t="s">
        <v>81</v>
      </c>
      <c r="K5090" t="s">
        <v>47</v>
      </c>
      <c r="O5090">
        <v>0</v>
      </c>
      <c r="P5090">
        <v>0</v>
      </c>
      <c r="Q5090">
        <v>0</v>
      </c>
      <c r="R5090">
        <v>0</v>
      </c>
      <c r="W5090" t="s">
        <v>1150</v>
      </c>
      <c r="AA5090">
        <v>2007</v>
      </c>
      <c r="AB5090">
        <v>9999</v>
      </c>
      <c r="AC5090" t="s">
        <v>35</v>
      </c>
    </row>
    <row r="5091" spans="1:29" x14ac:dyDescent="0.25">
      <c r="A5091" s="31" t="s">
        <v>673</v>
      </c>
      <c r="B5091" s="23" t="s">
        <v>674</v>
      </c>
      <c r="D5091">
        <v>8</v>
      </c>
      <c r="E5091" t="s">
        <v>358</v>
      </c>
      <c r="F5091">
        <v>1</v>
      </c>
      <c r="G5091">
        <v>2008</v>
      </c>
      <c r="I5091">
        <v>616.5</v>
      </c>
      <c r="J5091" t="s">
        <v>81</v>
      </c>
      <c r="K5091" t="s">
        <v>47</v>
      </c>
      <c r="O5091">
        <v>0</v>
      </c>
      <c r="P5091">
        <v>0</v>
      </c>
      <c r="Q5091">
        <v>0</v>
      </c>
      <c r="R5091">
        <v>0</v>
      </c>
      <c r="W5091" t="s">
        <v>1151</v>
      </c>
      <c r="AA5091">
        <v>2007</v>
      </c>
      <c r="AB5091">
        <v>9999</v>
      </c>
      <c r="AC5091" t="s">
        <v>35</v>
      </c>
    </row>
    <row r="5092" spans="1:29" x14ac:dyDescent="0.25">
      <c r="A5092" s="31" t="s">
        <v>676</v>
      </c>
      <c r="B5092" s="23" t="s">
        <v>677</v>
      </c>
      <c r="C5092" t="s">
        <v>678</v>
      </c>
      <c r="D5092">
        <v>1</v>
      </c>
      <c r="E5092" t="s">
        <v>168</v>
      </c>
      <c r="F5092">
        <v>1</v>
      </c>
      <c r="G5092">
        <v>2008</v>
      </c>
      <c r="I5092">
        <v>136.1</v>
      </c>
      <c r="J5092" t="s">
        <v>52</v>
      </c>
      <c r="K5092" t="s">
        <v>32</v>
      </c>
      <c r="O5092">
        <v>0</v>
      </c>
      <c r="P5092">
        <v>0</v>
      </c>
      <c r="Q5092">
        <v>0</v>
      </c>
      <c r="R5092">
        <v>0</v>
      </c>
      <c r="W5092" t="s">
        <v>1152</v>
      </c>
      <c r="AA5092">
        <v>2007</v>
      </c>
      <c r="AB5092">
        <v>9999</v>
      </c>
      <c r="AC5092" t="s">
        <v>35</v>
      </c>
    </row>
    <row r="5093" spans="1:29" x14ac:dyDescent="0.25">
      <c r="A5093" s="31" t="s">
        <v>472</v>
      </c>
      <c r="B5093" s="23" t="s">
        <v>680</v>
      </c>
      <c r="D5093">
        <v>1</v>
      </c>
      <c r="E5093" t="s">
        <v>681</v>
      </c>
      <c r="F5093">
        <v>3</v>
      </c>
      <c r="G5093">
        <v>2008</v>
      </c>
      <c r="I5093">
        <v>24094.400000000001</v>
      </c>
      <c r="J5093" t="s">
        <v>121</v>
      </c>
      <c r="K5093" t="s">
        <v>76</v>
      </c>
      <c r="O5093">
        <v>0</v>
      </c>
      <c r="P5093">
        <v>0</v>
      </c>
      <c r="Q5093">
        <v>0</v>
      </c>
      <c r="R5093">
        <v>0</v>
      </c>
      <c r="W5093" t="s">
        <v>475</v>
      </c>
      <c r="AA5093">
        <v>2007</v>
      </c>
      <c r="AB5093">
        <v>9999</v>
      </c>
      <c r="AC5093" t="s">
        <v>35</v>
      </c>
    </row>
    <row r="5094" spans="1:29" x14ac:dyDescent="0.25">
      <c r="A5094" s="31" t="s">
        <v>682</v>
      </c>
      <c r="B5094" s="23" t="s">
        <v>683</v>
      </c>
      <c r="D5094">
        <v>1</v>
      </c>
      <c r="E5094" t="s">
        <v>38</v>
      </c>
      <c r="F5094">
        <v>4</v>
      </c>
      <c r="G5094">
        <v>2008</v>
      </c>
      <c r="I5094">
        <v>16.899999999999999</v>
      </c>
      <c r="J5094" t="s">
        <v>89</v>
      </c>
      <c r="K5094" t="s">
        <v>32</v>
      </c>
      <c r="O5094">
        <v>0</v>
      </c>
      <c r="P5094">
        <v>0</v>
      </c>
      <c r="Q5094">
        <v>0</v>
      </c>
      <c r="R5094">
        <v>0</v>
      </c>
      <c r="W5094" t="s">
        <v>684</v>
      </c>
      <c r="AA5094">
        <v>2007</v>
      </c>
      <c r="AB5094">
        <v>2010</v>
      </c>
      <c r="AC5094" t="s">
        <v>91</v>
      </c>
    </row>
    <row r="5095" spans="1:29" x14ac:dyDescent="0.25">
      <c r="A5095" s="31" t="s">
        <v>685</v>
      </c>
      <c r="B5095" s="23" t="s">
        <v>686</v>
      </c>
      <c r="D5095">
        <v>1</v>
      </c>
      <c r="E5095" t="s">
        <v>80</v>
      </c>
      <c r="F5095">
        <v>8</v>
      </c>
      <c r="G5095">
        <v>2008</v>
      </c>
      <c r="I5095">
        <v>46.1</v>
      </c>
      <c r="J5095" t="s">
        <v>81</v>
      </c>
      <c r="K5095" t="s">
        <v>47</v>
      </c>
      <c r="O5095">
        <v>0</v>
      </c>
      <c r="P5095">
        <v>0</v>
      </c>
      <c r="Q5095">
        <v>0</v>
      </c>
      <c r="R5095">
        <v>0</v>
      </c>
      <c r="W5095" t="s">
        <v>1153</v>
      </c>
      <c r="AA5095">
        <v>2007</v>
      </c>
      <c r="AB5095">
        <v>2017</v>
      </c>
      <c r="AC5095" t="s">
        <v>435</v>
      </c>
    </row>
    <row r="5096" spans="1:29" x14ac:dyDescent="0.25">
      <c r="A5096" s="31" t="s">
        <v>688</v>
      </c>
      <c r="B5096" s="25" t="s">
        <v>689</v>
      </c>
      <c r="D5096">
        <v>1</v>
      </c>
      <c r="E5096" t="s">
        <v>145</v>
      </c>
      <c r="F5096">
        <v>2</v>
      </c>
      <c r="G5096">
        <v>2008</v>
      </c>
      <c r="H5096" t="s">
        <v>146</v>
      </c>
      <c r="J5096" s="2" t="s">
        <v>147</v>
      </c>
      <c r="K5096" t="s">
        <v>41</v>
      </c>
      <c r="O5096">
        <v>0</v>
      </c>
      <c r="P5096">
        <v>0</v>
      </c>
      <c r="Q5096">
        <v>0</v>
      </c>
      <c r="R5096">
        <v>0</v>
      </c>
      <c r="W5096" t="s">
        <v>1154</v>
      </c>
      <c r="AA5096">
        <v>2007</v>
      </c>
      <c r="AB5096">
        <v>9999</v>
      </c>
      <c r="AC5096" t="s">
        <v>35</v>
      </c>
    </row>
    <row r="5097" spans="1:29" x14ac:dyDescent="0.25">
      <c r="A5097" s="31" t="s">
        <v>691</v>
      </c>
      <c r="B5097" s="23" t="s">
        <v>692</v>
      </c>
      <c r="D5097">
        <v>1</v>
      </c>
      <c r="E5097" t="s">
        <v>625</v>
      </c>
      <c r="F5097">
        <v>4</v>
      </c>
      <c r="G5097">
        <v>2008</v>
      </c>
      <c r="I5097">
        <v>15.1</v>
      </c>
      <c r="J5097" t="s">
        <v>89</v>
      </c>
      <c r="K5097" t="s">
        <v>32</v>
      </c>
      <c r="O5097">
        <v>0</v>
      </c>
      <c r="P5097">
        <v>0</v>
      </c>
      <c r="Q5097">
        <v>0</v>
      </c>
      <c r="R5097">
        <v>0</v>
      </c>
      <c r="W5097" t="s">
        <v>1155</v>
      </c>
      <c r="AA5097">
        <v>2007</v>
      </c>
      <c r="AB5097">
        <v>9999</v>
      </c>
      <c r="AC5097" t="s">
        <v>35</v>
      </c>
    </row>
    <row r="5098" spans="1:29" x14ac:dyDescent="0.25">
      <c r="A5098" s="31" t="s">
        <v>694</v>
      </c>
      <c r="B5098" s="25" t="s">
        <v>695</v>
      </c>
      <c r="C5098" t="s">
        <v>696</v>
      </c>
      <c r="D5098">
        <v>1</v>
      </c>
      <c r="E5098" t="s">
        <v>58</v>
      </c>
      <c r="F5098">
        <v>4</v>
      </c>
      <c r="G5098">
        <v>2008</v>
      </c>
      <c r="I5098">
        <v>179.8</v>
      </c>
      <c r="J5098" t="s">
        <v>59</v>
      </c>
      <c r="K5098" t="s">
        <v>47</v>
      </c>
      <c r="O5098">
        <v>0</v>
      </c>
      <c r="P5098">
        <v>0</v>
      </c>
      <c r="Q5098">
        <v>0</v>
      </c>
      <c r="R5098">
        <v>0</v>
      </c>
      <c r="W5098" t="s">
        <v>1156</v>
      </c>
      <c r="AA5098">
        <v>2007</v>
      </c>
      <c r="AB5098">
        <v>9999</v>
      </c>
      <c r="AC5098" t="s">
        <v>35</v>
      </c>
    </row>
    <row r="5099" spans="1:29" x14ac:dyDescent="0.25">
      <c r="A5099" s="31" t="s">
        <v>698</v>
      </c>
      <c r="B5099" s="23" t="s">
        <v>699</v>
      </c>
      <c r="D5099">
        <v>1</v>
      </c>
      <c r="E5099" t="s">
        <v>155</v>
      </c>
      <c r="F5099">
        <v>3</v>
      </c>
      <c r="G5099">
        <v>2008</v>
      </c>
      <c r="H5099" t="s">
        <v>700</v>
      </c>
      <c r="I5099">
        <v>7.8469192460309998</v>
      </c>
      <c r="J5099" t="s">
        <v>121</v>
      </c>
      <c r="K5099" t="s">
        <v>47</v>
      </c>
      <c r="O5099">
        <v>0</v>
      </c>
      <c r="P5099">
        <v>0</v>
      </c>
      <c r="Q5099">
        <v>0</v>
      </c>
      <c r="R5099">
        <v>0</v>
      </c>
      <c r="V5099">
        <v>1</v>
      </c>
      <c r="W5099" t="s">
        <v>1157</v>
      </c>
      <c r="AA5099">
        <v>2007</v>
      </c>
      <c r="AB5099">
        <v>9999</v>
      </c>
      <c r="AC5099" t="s">
        <v>35</v>
      </c>
    </row>
    <row r="5100" spans="1:29" x14ac:dyDescent="0.25">
      <c r="A5100" s="31" t="s">
        <v>702</v>
      </c>
      <c r="B5100" s="25" t="s">
        <v>703</v>
      </c>
      <c r="D5100">
        <v>1</v>
      </c>
      <c r="E5100" t="s">
        <v>155</v>
      </c>
      <c r="F5100">
        <v>3</v>
      </c>
      <c r="G5100">
        <v>2008</v>
      </c>
      <c r="H5100" t="s">
        <v>704</v>
      </c>
      <c r="J5100" t="s">
        <v>121</v>
      </c>
      <c r="K5100" t="s">
        <v>41</v>
      </c>
      <c r="O5100">
        <v>0</v>
      </c>
      <c r="P5100">
        <v>0</v>
      </c>
      <c r="Q5100">
        <v>0</v>
      </c>
      <c r="R5100">
        <v>0</v>
      </c>
      <c r="V5100">
        <v>1</v>
      </c>
      <c r="W5100" t="s">
        <v>1158</v>
      </c>
      <c r="AA5100">
        <v>2007</v>
      </c>
      <c r="AB5100">
        <v>9999</v>
      </c>
      <c r="AC5100" t="s">
        <v>35</v>
      </c>
    </row>
    <row r="5101" spans="1:29" x14ac:dyDescent="0.25">
      <c r="A5101" s="31" t="s">
        <v>706</v>
      </c>
      <c r="B5101" s="23" t="s">
        <v>707</v>
      </c>
      <c r="C5101" t="s">
        <v>708</v>
      </c>
      <c r="D5101">
        <v>1</v>
      </c>
      <c r="E5101" t="s">
        <v>155</v>
      </c>
      <c r="F5101">
        <v>3</v>
      </c>
      <c r="G5101">
        <v>2008</v>
      </c>
      <c r="I5101">
        <v>357.1</v>
      </c>
      <c r="J5101" t="s">
        <v>121</v>
      </c>
      <c r="K5101" t="s">
        <v>47</v>
      </c>
      <c r="O5101">
        <v>0</v>
      </c>
      <c r="P5101">
        <v>0</v>
      </c>
      <c r="Q5101">
        <v>0</v>
      </c>
      <c r="R5101">
        <v>0</v>
      </c>
      <c r="W5101" t="s">
        <v>1159</v>
      </c>
      <c r="AA5101">
        <v>2007</v>
      </c>
      <c r="AB5101">
        <v>9999</v>
      </c>
      <c r="AC5101" t="s">
        <v>35</v>
      </c>
    </row>
    <row r="5102" spans="1:29" x14ac:dyDescent="0.25">
      <c r="A5102" s="31" t="s">
        <v>710</v>
      </c>
      <c r="B5102" s="23" t="s">
        <v>711</v>
      </c>
      <c r="D5102">
        <v>1</v>
      </c>
      <c r="E5102" t="s">
        <v>712</v>
      </c>
      <c r="F5102">
        <v>9</v>
      </c>
      <c r="G5102">
        <v>2008</v>
      </c>
      <c r="I5102">
        <v>78.7</v>
      </c>
      <c r="J5102" t="s">
        <v>104</v>
      </c>
      <c r="K5102" t="s">
        <v>32</v>
      </c>
      <c r="O5102">
        <v>0</v>
      </c>
      <c r="P5102">
        <v>0</v>
      </c>
      <c r="Q5102">
        <v>0</v>
      </c>
      <c r="R5102">
        <v>0</v>
      </c>
      <c r="W5102" t="s">
        <v>713</v>
      </c>
      <c r="AA5102">
        <v>2007</v>
      </c>
      <c r="AB5102">
        <v>9999</v>
      </c>
      <c r="AC5102" t="s">
        <v>35</v>
      </c>
    </row>
    <row r="5103" spans="1:29" x14ac:dyDescent="0.25">
      <c r="A5103" s="31" t="s">
        <v>714</v>
      </c>
      <c r="B5103" s="23" t="s">
        <v>715</v>
      </c>
      <c r="D5103">
        <v>1</v>
      </c>
      <c r="E5103" t="s">
        <v>80</v>
      </c>
      <c r="F5103">
        <v>8</v>
      </c>
      <c r="G5103">
        <v>2008</v>
      </c>
      <c r="I5103">
        <v>39.299999999999997</v>
      </c>
      <c r="J5103" t="s">
        <v>151</v>
      </c>
      <c r="K5103" t="s">
        <v>76</v>
      </c>
      <c r="O5103">
        <v>0</v>
      </c>
      <c r="P5103">
        <v>0</v>
      </c>
      <c r="Q5103">
        <v>0</v>
      </c>
      <c r="R5103">
        <v>0</v>
      </c>
      <c r="W5103" t="s">
        <v>1160</v>
      </c>
      <c r="AA5103">
        <v>2007</v>
      </c>
      <c r="AB5103">
        <v>9999</v>
      </c>
      <c r="AC5103" t="s">
        <v>35</v>
      </c>
    </row>
    <row r="5104" spans="1:29" x14ac:dyDescent="0.25">
      <c r="A5104" s="31" t="s">
        <v>717</v>
      </c>
      <c r="B5104" s="25" t="s">
        <v>718</v>
      </c>
      <c r="D5104">
        <v>1</v>
      </c>
      <c r="E5104" t="s">
        <v>51</v>
      </c>
      <c r="F5104">
        <v>1</v>
      </c>
      <c r="G5104">
        <v>2008</v>
      </c>
      <c r="I5104">
        <v>17</v>
      </c>
      <c r="J5104" t="s">
        <v>52</v>
      </c>
      <c r="K5104" t="s">
        <v>53</v>
      </c>
      <c r="L5104" t="s">
        <v>54</v>
      </c>
      <c r="O5104">
        <v>0</v>
      </c>
      <c r="P5104">
        <v>0</v>
      </c>
      <c r="Q5104">
        <v>1</v>
      </c>
      <c r="R5104">
        <v>0</v>
      </c>
      <c r="W5104" t="s">
        <v>55</v>
      </c>
      <c r="AA5104">
        <v>2007</v>
      </c>
      <c r="AB5104">
        <v>9999</v>
      </c>
      <c r="AC5104" t="s">
        <v>35</v>
      </c>
    </row>
    <row r="5105" spans="1:29" x14ac:dyDescent="0.25">
      <c r="A5105" s="31" t="s">
        <v>719</v>
      </c>
      <c r="B5105" s="25" t="s">
        <v>720</v>
      </c>
      <c r="D5105">
        <v>1</v>
      </c>
      <c r="E5105" t="s">
        <v>51</v>
      </c>
      <c r="F5105">
        <v>1</v>
      </c>
      <c r="G5105">
        <v>2008</v>
      </c>
      <c r="I5105">
        <v>28</v>
      </c>
      <c r="J5105" t="s">
        <v>52</v>
      </c>
      <c r="K5105" t="s">
        <v>53</v>
      </c>
      <c r="L5105" t="s">
        <v>54</v>
      </c>
      <c r="O5105">
        <v>0</v>
      </c>
      <c r="P5105">
        <v>0</v>
      </c>
      <c r="Q5105">
        <v>1</v>
      </c>
      <c r="R5105">
        <v>0</v>
      </c>
      <c r="W5105" t="s">
        <v>721</v>
      </c>
      <c r="AA5105">
        <v>2007</v>
      </c>
      <c r="AB5105">
        <v>9999</v>
      </c>
      <c r="AC5105" t="s">
        <v>35</v>
      </c>
    </row>
    <row r="5106" spans="1:29" x14ac:dyDescent="0.25">
      <c r="A5106" s="31" t="s">
        <v>722</v>
      </c>
      <c r="B5106" s="23" t="s">
        <v>723</v>
      </c>
      <c r="D5106">
        <v>1</v>
      </c>
      <c r="E5106" t="s">
        <v>724</v>
      </c>
      <c r="F5106">
        <v>4</v>
      </c>
      <c r="G5106">
        <v>2008</v>
      </c>
      <c r="I5106">
        <v>1278.3</v>
      </c>
      <c r="J5106" t="s">
        <v>89</v>
      </c>
      <c r="K5106" t="s">
        <v>32</v>
      </c>
      <c r="L5106" t="s">
        <v>33</v>
      </c>
      <c r="O5106">
        <v>0</v>
      </c>
      <c r="P5106">
        <v>0</v>
      </c>
      <c r="Q5106">
        <v>0</v>
      </c>
      <c r="R5106">
        <v>1</v>
      </c>
      <c r="W5106" t="s">
        <v>1161</v>
      </c>
      <c r="AA5106">
        <v>2007</v>
      </c>
      <c r="AB5106">
        <v>9999</v>
      </c>
      <c r="AC5106" t="s">
        <v>35</v>
      </c>
    </row>
    <row r="5107" spans="1:29" x14ac:dyDescent="0.25">
      <c r="A5107" s="31" t="s">
        <v>726</v>
      </c>
      <c r="B5107" s="25" t="s">
        <v>727</v>
      </c>
      <c r="D5107">
        <v>1</v>
      </c>
      <c r="E5107" t="s">
        <v>85</v>
      </c>
      <c r="F5107">
        <v>1</v>
      </c>
      <c r="G5107">
        <v>2008</v>
      </c>
      <c r="H5107" t="s">
        <v>205</v>
      </c>
      <c r="J5107" t="s">
        <v>52</v>
      </c>
      <c r="K5107" t="s">
        <v>41</v>
      </c>
      <c r="O5107">
        <v>0</v>
      </c>
      <c r="P5107">
        <v>0</v>
      </c>
      <c r="Q5107">
        <v>0</v>
      </c>
      <c r="R5107">
        <v>0</v>
      </c>
      <c r="W5107" t="s">
        <v>1162</v>
      </c>
      <c r="AA5107">
        <v>2007</v>
      </c>
      <c r="AB5107">
        <v>9999</v>
      </c>
      <c r="AC5107" t="s">
        <v>35</v>
      </c>
    </row>
    <row r="5108" spans="1:29" x14ac:dyDescent="0.25">
      <c r="A5108" s="31" t="s">
        <v>729</v>
      </c>
      <c r="B5108" s="23" t="s">
        <v>205</v>
      </c>
      <c r="D5108">
        <v>1</v>
      </c>
      <c r="E5108" t="s">
        <v>168</v>
      </c>
      <c r="F5108">
        <v>1</v>
      </c>
      <c r="G5108">
        <v>2008</v>
      </c>
      <c r="I5108">
        <v>10237.200000000001</v>
      </c>
      <c r="J5108" t="s">
        <v>52</v>
      </c>
      <c r="K5108" t="s">
        <v>47</v>
      </c>
      <c r="O5108">
        <v>0</v>
      </c>
      <c r="P5108">
        <v>0</v>
      </c>
      <c r="Q5108">
        <v>0</v>
      </c>
      <c r="R5108">
        <v>0</v>
      </c>
      <c r="W5108" t="s">
        <v>1163</v>
      </c>
      <c r="AA5108">
        <v>2007</v>
      </c>
      <c r="AB5108">
        <v>9999</v>
      </c>
      <c r="AC5108" t="s">
        <v>35</v>
      </c>
    </row>
    <row r="5109" spans="1:29" x14ac:dyDescent="0.25">
      <c r="A5109" s="31" t="s">
        <v>731</v>
      </c>
      <c r="B5109" s="25" t="s">
        <v>732</v>
      </c>
      <c r="D5109">
        <v>1</v>
      </c>
      <c r="E5109" t="s">
        <v>51</v>
      </c>
      <c r="F5109">
        <v>10</v>
      </c>
      <c r="G5109">
        <v>2008</v>
      </c>
      <c r="H5109" t="s">
        <v>39</v>
      </c>
      <c r="J5109" t="s">
        <v>52</v>
      </c>
      <c r="K5109" t="s">
        <v>41</v>
      </c>
      <c r="O5109">
        <v>0</v>
      </c>
      <c r="P5109">
        <v>0</v>
      </c>
      <c r="Q5109">
        <v>0</v>
      </c>
      <c r="R5109">
        <v>0</v>
      </c>
      <c r="W5109" t="s">
        <v>1164</v>
      </c>
      <c r="AA5109">
        <v>2007</v>
      </c>
      <c r="AB5109">
        <v>9999</v>
      </c>
      <c r="AC5109" t="s">
        <v>35</v>
      </c>
    </row>
    <row r="5110" spans="1:29" x14ac:dyDescent="0.25">
      <c r="A5110" s="31" t="s">
        <v>734</v>
      </c>
      <c r="B5110" s="23" t="s">
        <v>735</v>
      </c>
      <c r="D5110">
        <v>1</v>
      </c>
      <c r="E5110" t="s">
        <v>736</v>
      </c>
      <c r="F5110">
        <v>4</v>
      </c>
      <c r="G5110">
        <v>2008</v>
      </c>
      <c r="I5110">
        <v>1204.9000000000001</v>
      </c>
      <c r="J5110" t="s">
        <v>151</v>
      </c>
      <c r="K5110" t="s">
        <v>32</v>
      </c>
      <c r="O5110">
        <v>0</v>
      </c>
      <c r="P5110">
        <v>0</v>
      </c>
      <c r="Q5110">
        <v>0</v>
      </c>
      <c r="R5110">
        <v>0</v>
      </c>
      <c r="W5110" t="s">
        <v>1165</v>
      </c>
      <c r="AA5110">
        <v>2007</v>
      </c>
      <c r="AB5110">
        <v>9999</v>
      </c>
      <c r="AC5110" t="s">
        <v>35</v>
      </c>
    </row>
    <row r="5111" spans="1:29" x14ac:dyDescent="0.25">
      <c r="A5111" s="31" t="s">
        <v>738</v>
      </c>
      <c r="B5111" s="25" t="s">
        <v>739</v>
      </c>
      <c r="D5111">
        <v>1</v>
      </c>
      <c r="E5111" t="s">
        <v>128</v>
      </c>
      <c r="F5111">
        <v>9</v>
      </c>
      <c r="G5111">
        <v>2008</v>
      </c>
      <c r="H5111" t="s">
        <v>740</v>
      </c>
      <c r="J5111" t="s">
        <v>104</v>
      </c>
      <c r="K5111" t="s">
        <v>41</v>
      </c>
      <c r="O5111">
        <v>0</v>
      </c>
      <c r="P5111">
        <v>0</v>
      </c>
      <c r="Q5111">
        <v>0</v>
      </c>
      <c r="R5111">
        <v>0</v>
      </c>
      <c r="W5111" t="s">
        <v>1166</v>
      </c>
      <c r="AA5111">
        <v>2007</v>
      </c>
      <c r="AB5111">
        <v>9999</v>
      </c>
      <c r="AC5111" t="s">
        <v>35</v>
      </c>
    </row>
    <row r="5112" spans="1:29" x14ac:dyDescent="0.25">
      <c r="A5112" s="31" t="s">
        <v>742</v>
      </c>
      <c r="B5112" s="23" t="s">
        <v>743</v>
      </c>
      <c r="D5112">
        <v>1</v>
      </c>
      <c r="E5112" t="s">
        <v>468</v>
      </c>
      <c r="F5112">
        <v>7</v>
      </c>
      <c r="G5112">
        <v>2008</v>
      </c>
      <c r="I5112">
        <v>294.8</v>
      </c>
      <c r="J5112" t="s">
        <v>40</v>
      </c>
      <c r="K5112" t="s">
        <v>47</v>
      </c>
      <c r="O5112">
        <v>0</v>
      </c>
      <c r="P5112">
        <v>0</v>
      </c>
      <c r="Q5112">
        <v>0</v>
      </c>
      <c r="R5112">
        <v>0</v>
      </c>
      <c r="W5112" t="s">
        <v>1167</v>
      </c>
      <c r="AA5112">
        <v>2007</v>
      </c>
      <c r="AB5112">
        <v>2013</v>
      </c>
      <c r="AC5112" t="s">
        <v>139</v>
      </c>
    </row>
    <row r="5113" spans="1:29" x14ac:dyDescent="0.25">
      <c r="A5113" s="31" t="s">
        <v>745</v>
      </c>
      <c r="B5113" s="23" t="s">
        <v>746</v>
      </c>
      <c r="D5113">
        <v>1</v>
      </c>
      <c r="E5113" t="s">
        <v>468</v>
      </c>
      <c r="F5113">
        <v>7</v>
      </c>
      <c r="G5113">
        <v>2008</v>
      </c>
      <c r="I5113">
        <v>658.9</v>
      </c>
      <c r="J5113" t="s">
        <v>40</v>
      </c>
      <c r="K5113" t="s">
        <v>47</v>
      </c>
      <c r="O5113">
        <v>0</v>
      </c>
      <c r="P5113">
        <v>0</v>
      </c>
      <c r="Q5113">
        <v>0</v>
      </c>
      <c r="R5113">
        <v>0</v>
      </c>
      <c r="W5113" t="s">
        <v>1168</v>
      </c>
      <c r="AA5113">
        <v>2007</v>
      </c>
      <c r="AB5113">
        <v>9999</v>
      </c>
      <c r="AC5113" t="s">
        <v>35</v>
      </c>
    </row>
    <row r="5114" spans="1:29" x14ac:dyDescent="0.25">
      <c r="A5114" s="31" t="s">
        <v>748</v>
      </c>
      <c r="B5114" s="23" t="s">
        <v>749</v>
      </c>
      <c r="D5114">
        <v>1</v>
      </c>
      <c r="E5114" t="s">
        <v>128</v>
      </c>
      <c r="F5114">
        <v>9</v>
      </c>
      <c r="G5114">
        <v>2008</v>
      </c>
      <c r="I5114">
        <v>487.8</v>
      </c>
      <c r="J5114" t="s">
        <v>104</v>
      </c>
      <c r="K5114" t="s">
        <v>76</v>
      </c>
      <c r="O5114">
        <v>0</v>
      </c>
      <c r="P5114">
        <v>0</v>
      </c>
      <c r="Q5114">
        <v>0</v>
      </c>
      <c r="R5114">
        <v>0</v>
      </c>
      <c r="W5114" t="s">
        <v>750</v>
      </c>
      <c r="AA5114">
        <v>2007</v>
      </c>
      <c r="AB5114">
        <v>2008</v>
      </c>
      <c r="AC5114" t="s">
        <v>265</v>
      </c>
    </row>
    <row r="5115" spans="1:29" x14ac:dyDescent="0.25">
      <c r="A5115" s="31" t="s">
        <v>751</v>
      </c>
      <c r="B5115" s="23" t="s">
        <v>752</v>
      </c>
      <c r="D5115">
        <v>1</v>
      </c>
      <c r="E5115" t="s">
        <v>128</v>
      </c>
      <c r="F5115">
        <v>9</v>
      </c>
      <c r="G5115">
        <v>2008</v>
      </c>
      <c r="I5115">
        <v>621.29999999999995</v>
      </c>
      <c r="J5115" t="s">
        <v>104</v>
      </c>
      <c r="K5115" t="s">
        <v>76</v>
      </c>
      <c r="O5115">
        <v>0</v>
      </c>
      <c r="P5115">
        <v>0</v>
      </c>
      <c r="Q5115">
        <v>0</v>
      </c>
      <c r="R5115">
        <v>0</v>
      </c>
      <c r="W5115" t="s">
        <v>753</v>
      </c>
      <c r="AA5115">
        <v>2007</v>
      </c>
      <c r="AB5115">
        <v>2008</v>
      </c>
      <c r="AC5115" t="s">
        <v>265</v>
      </c>
    </row>
    <row r="5116" spans="1:29" x14ac:dyDescent="0.25">
      <c r="A5116" s="31" t="s">
        <v>754</v>
      </c>
      <c r="B5116" s="25" t="s">
        <v>755</v>
      </c>
      <c r="D5116">
        <v>1</v>
      </c>
      <c r="E5116" t="s">
        <v>85</v>
      </c>
      <c r="F5116">
        <v>1</v>
      </c>
      <c r="G5116">
        <v>2008</v>
      </c>
      <c r="H5116" t="s">
        <v>756</v>
      </c>
      <c r="J5116" t="s">
        <v>52</v>
      </c>
      <c r="K5116" t="s">
        <v>41</v>
      </c>
      <c r="O5116">
        <v>0</v>
      </c>
      <c r="P5116">
        <v>0</v>
      </c>
      <c r="Q5116">
        <v>0</v>
      </c>
      <c r="R5116">
        <v>0</v>
      </c>
      <c r="W5116" t="s">
        <v>1169</v>
      </c>
      <c r="AA5116">
        <v>2007</v>
      </c>
      <c r="AB5116">
        <v>9999</v>
      </c>
      <c r="AC5116" t="s">
        <v>35</v>
      </c>
    </row>
    <row r="5117" spans="1:29" x14ac:dyDescent="0.25">
      <c r="A5117" s="31" t="s">
        <v>758</v>
      </c>
      <c r="B5117" s="23" t="s">
        <v>759</v>
      </c>
      <c r="D5117">
        <v>1</v>
      </c>
      <c r="E5117" t="s">
        <v>760</v>
      </c>
      <c r="F5117">
        <v>7</v>
      </c>
      <c r="G5117">
        <v>2008</v>
      </c>
      <c r="I5117">
        <v>37.4</v>
      </c>
      <c r="J5117" t="s">
        <v>40</v>
      </c>
      <c r="K5117" t="s">
        <v>47</v>
      </c>
      <c r="O5117">
        <v>0</v>
      </c>
      <c r="P5117">
        <v>0</v>
      </c>
      <c r="Q5117">
        <v>0</v>
      </c>
      <c r="R5117">
        <v>0</v>
      </c>
      <c r="W5117" t="s">
        <v>1170</v>
      </c>
      <c r="AA5117">
        <v>2007</v>
      </c>
      <c r="AB5117">
        <v>9999</v>
      </c>
      <c r="AC5117" t="s">
        <v>35</v>
      </c>
    </row>
    <row r="5118" spans="1:29" x14ac:dyDescent="0.25">
      <c r="A5118" s="31" t="s">
        <v>762</v>
      </c>
      <c r="B5118" s="23" t="s">
        <v>763</v>
      </c>
      <c r="D5118">
        <v>1</v>
      </c>
      <c r="E5118" t="s">
        <v>138</v>
      </c>
      <c r="F5118">
        <v>8</v>
      </c>
      <c r="G5118">
        <v>2008</v>
      </c>
      <c r="I5118">
        <v>10.199999999999999</v>
      </c>
      <c r="J5118" t="s">
        <v>81</v>
      </c>
      <c r="K5118" t="s">
        <v>47</v>
      </c>
      <c r="O5118">
        <v>0</v>
      </c>
      <c r="P5118">
        <v>0</v>
      </c>
      <c r="Q5118">
        <v>0</v>
      </c>
      <c r="R5118">
        <v>0</v>
      </c>
      <c r="W5118" t="s">
        <v>1171</v>
      </c>
      <c r="AA5118">
        <v>2007</v>
      </c>
      <c r="AB5118">
        <v>2010</v>
      </c>
      <c r="AC5118" t="s">
        <v>91</v>
      </c>
    </row>
    <row r="5119" spans="1:29" x14ac:dyDescent="0.25">
      <c r="A5119" s="31" t="s">
        <v>765</v>
      </c>
      <c r="B5119" s="23" t="s">
        <v>766</v>
      </c>
      <c r="D5119">
        <v>1</v>
      </c>
      <c r="E5119" t="s">
        <v>115</v>
      </c>
      <c r="F5119">
        <v>6</v>
      </c>
      <c r="G5119">
        <v>2008</v>
      </c>
      <c r="I5119">
        <v>13</v>
      </c>
      <c r="J5119" t="s">
        <v>52</v>
      </c>
      <c r="K5119" t="s">
        <v>47</v>
      </c>
      <c r="O5119">
        <v>0</v>
      </c>
      <c r="P5119">
        <v>0</v>
      </c>
      <c r="Q5119">
        <v>0</v>
      </c>
      <c r="R5119">
        <v>0</v>
      </c>
      <c r="W5119" t="s">
        <v>1172</v>
      </c>
      <c r="AA5119">
        <v>2007</v>
      </c>
      <c r="AB5119">
        <v>2012</v>
      </c>
      <c r="AC5119" t="s">
        <v>302</v>
      </c>
    </row>
    <row r="5120" spans="1:29" x14ac:dyDescent="0.25">
      <c r="A5120" s="31" t="s">
        <v>768</v>
      </c>
      <c r="B5120" s="23" t="s">
        <v>769</v>
      </c>
      <c r="C5120" t="s">
        <v>770</v>
      </c>
      <c r="D5120">
        <v>1</v>
      </c>
      <c r="E5120" t="s">
        <v>30</v>
      </c>
      <c r="F5120">
        <v>4</v>
      </c>
      <c r="G5120">
        <v>2008</v>
      </c>
      <c r="I5120">
        <v>219.1</v>
      </c>
      <c r="J5120" t="s">
        <v>89</v>
      </c>
      <c r="K5120" t="s">
        <v>47</v>
      </c>
      <c r="O5120">
        <v>0</v>
      </c>
      <c r="P5120">
        <v>0</v>
      </c>
      <c r="Q5120">
        <v>0</v>
      </c>
      <c r="R5120">
        <v>0</v>
      </c>
      <c r="W5120" t="s">
        <v>1173</v>
      </c>
      <c r="AA5120">
        <v>2007</v>
      </c>
      <c r="AB5120">
        <v>9999</v>
      </c>
      <c r="AC5120" t="s">
        <v>35</v>
      </c>
    </row>
    <row r="5121" spans="1:29" x14ac:dyDescent="0.25">
      <c r="A5121" s="31" t="s">
        <v>772</v>
      </c>
      <c r="B5121" s="23" t="s">
        <v>773</v>
      </c>
      <c r="C5121" t="s">
        <v>774</v>
      </c>
      <c r="D5121">
        <v>1</v>
      </c>
      <c r="E5121" t="s">
        <v>358</v>
      </c>
      <c r="F5121">
        <v>1</v>
      </c>
      <c r="G5121">
        <v>2008</v>
      </c>
      <c r="I5121">
        <v>368</v>
      </c>
      <c r="J5121" t="s">
        <v>52</v>
      </c>
      <c r="K5121" t="s">
        <v>32</v>
      </c>
      <c r="O5121">
        <v>0</v>
      </c>
      <c r="P5121">
        <v>0</v>
      </c>
      <c r="Q5121">
        <v>0</v>
      </c>
      <c r="R5121">
        <v>0</v>
      </c>
      <c r="W5121" t="s">
        <v>1174</v>
      </c>
      <c r="AA5121">
        <v>2007</v>
      </c>
      <c r="AB5121">
        <v>9999</v>
      </c>
      <c r="AC5121" t="s">
        <v>35</v>
      </c>
    </row>
    <row r="5122" spans="1:29" x14ac:dyDescent="0.25">
      <c r="A5122" s="31" t="s">
        <v>776</v>
      </c>
      <c r="B5122" s="23" t="s">
        <v>777</v>
      </c>
      <c r="D5122">
        <v>1</v>
      </c>
      <c r="E5122" t="s">
        <v>468</v>
      </c>
      <c r="F5122">
        <v>7</v>
      </c>
      <c r="G5122">
        <v>2008</v>
      </c>
      <c r="I5122">
        <v>131.19999999999999</v>
      </c>
      <c r="J5122" t="s">
        <v>40</v>
      </c>
      <c r="K5122" t="s">
        <v>47</v>
      </c>
      <c r="O5122">
        <v>0</v>
      </c>
      <c r="P5122">
        <v>0</v>
      </c>
      <c r="Q5122">
        <v>0</v>
      </c>
      <c r="R5122">
        <v>0</v>
      </c>
      <c r="W5122" t="s">
        <v>1175</v>
      </c>
      <c r="AA5122">
        <v>2007</v>
      </c>
      <c r="AB5122">
        <v>2013</v>
      </c>
      <c r="AC5122" t="s">
        <v>139</v>
      </c>
    </row>
    <row r="5123" spans="1:29" x14ac:dyDescent="0.25">
      <c r="A5123" s="31" t="s">
        <v>779</v>
      </c>
      <c r="B5123" s="23" t="s">
        <v>780</v>
      </c>
      <c r="D5123">
        <v>1</v>
      </c>
      <c r="E5123" t="s">
        <v>80</v>
      </c>
      <c r="F5123">
        <v>8</v>
      </c>
      <c r="G5123">
        <v>2008</v>
      </c>
      <c r="I5123">
        <v>71.599999999999994</v>
      </c>
      <c r="J5123" t="s">
        <v>81</v>
      </c>
      <c r="K5123" t="s">
        <v>47</v>
      </c>
      <c r="O5123">
        <v>0</v>
      </c>
      <c r="P5123">
        <v>0</v>
      </c>
      <c r="Q5123">
        <v>0</v>
      </c>
      <c r="R5123">
        <v>0</v>
      </c>
      <c r="W5123" t="s">
        <v>1176</v>
      </c>
      <c r="AA5123">
        <v>2007</v>
      </c>
      <c r="AB5123">
        <v>9999</v>
      </c>
      <c r="AC5123" t="s">
        <v>35</v>
      </c>
    </row>
    <row r="5124" spans="1:29" x14ac:dyDescent="0.25">
      <c r="A5124" s="31" t="s">
        <v>782</v>
      </c>
      <c r="B5124" s="23" t="s">
        <v>783</v>
      </c>
      <c r="D5124">
        <v>1</v>
      </c>
      <c r="E5124" t="s">
        <v>784</v>
      </c>
      <c r="F5124">
        <v>6</v>
      </c>
      <c r="G5124">
        <v>2008</v>
      </c>
      <c r="I5124">
        <v>77.099999999999994</v>
      </c>
      <c r="J5124" t="s">
        <v>31</v>
      </c>
      <c r="K5124" t="s">
        <v>47</v>
      </c>
      <c r="O5124">
        <v>0</v>
      </c>
      <c r="P5124">
        <v>0</v>
      </c>
      <c r="Q5124">
        <v>0</v>
      </c>
      <c r="R5124">
        <v>0</v>
      </c>
      <c r="W5124" t="s">
        <v>1177</v>
      </c>
      <c r="AA5124">
        <v>2007</v>
      </c>
      <c r="AB5124">
        <v>9999</v>
      </c>
      <c r="AC5124" t="s">
        <v>35</v>
      </c>
    </row>
    <row r="5125" spans="1:29" x14ac:dyDescent="0.25">
      <c r="A5125" s="31" t="s">
        <v>786</v>
      </c>
      <c r="B5125" s="23" t="s">
        <v>787</v>
      </c>
      <c r="C5125" t="s">
        <v>788</v>
      </c>
      <c r="D5125">
        <v>1</v>
      </c>
      <c r="E5125" t="s">
        <v>120</v>
      </c>
      <c r="F5125">
        <v>3</v>
      </c>
      <c r="G5125">
        <v>2008</v>
      </c>
      <c r="I5125">
        <v>20.9</v>
      </c>
      <c r="J5125" t="s">
        <v>147</v>
      </c>
      <c r="K5125" t="s">
        <v>47</v>
      </c>
      <c r="O5125">
        <v>0</v>
      </c>
      <c r="P5125">
        <v>0</v>
      </c>
      <c r="Q5125">
        <v>0</v>
      </c>
      <c r="R5125">
        <v>0</v>
      </c>
      <c r="W5125" t="s">
        <v>1178</v>
      </c>
      <c r="AA5125">
        <v>2007</v>
      </c>
      <c r="AB5125">
        <v>9999</v>
      </c>
      <c r="AC5125" t="s">
        <v>35</v>
      </c>
    </row>
    <row r="5126" spans="1:29" x14ac:dyDescent="0.25">
      <c r="A5126" s="31" t="s">
        <v>790</v>
      </c>
      <c r="B5126" s="23" t="s">
        <v>791</v>
      </c>
      <c r="D5126">
        <v>1</v>
      </c>
      <c r="E5126" t="s">
        <v>80</v>
      </c>
      <c r="F5126">
        <v>8</v>
      </c>
      <c r="G5126">
        <v>2008</v>
      </c>
      <c r="I5126">
        <v>84.6</v>
      </c>
      <c r="J5126" t="s">
        <v>81</v>
      </c>
      <c r="K5126" t="s">
        <v>47</v>
      </c>
      <c r="O5126">
        <v>0</v>
      </c>
      <c r="P5126">
        <v>0</v>
      </c>
      <c r="Q5126">
        <v>0</v>
      </c>
      <c r="R5126">
        <v>0</v>
      </c>
      <c r="W5126" t="s">
        <v>1179</v>
      </c>
      <c r="AA5126">
        <v>2007</v>
      </c>
      <c r="AB5126">
        <v>9999</v>
      </c>
      <c r="AC5126" t="s">
        <v>35</v>
      </c>
    </row>
    <row r="5127" spans="1:29" x14ac:dyDescent="0.25">
      <c r="A5127" s="31" t="s">
        <v>793</v>
      </c>
      <c r="B5127" s="23" t="s">
        <v>794</v>
      </c>
      <c r="D5127">
        <v>1</v>
      </c>
      <c r="E5127" t="s">
        <v>38</v>
      </c>
      <c r="F5127">
        <v>4</v>
      </c>
      <c r="G5127">
        <v>2008</v>
      </c>
      <c r="I5127">
        <v>29</v>
      </c>
      <c r="J5127" t="s">
        <v>89</v>
      </c>
      <c r="K5127" t="s">
        <v>47</v>
      </c>
      <c r="O5127">
        <v>0</v>
      </c>
      <c r="P5127">
        <v>0</v>
      </c>
      <c r="Q5127">
        <v>0</v>
      </c>
      <c r="R5127">
        <v>0</v>
      </c>
      <c r="W5127" t="s">
        <v>1180</v>
      </c>
      <c r="AA5127">
        <v>2007</v>
      </c>
      <c r="AB5127">
        <v>2010</v>
      </c>
      <c r="AC5127" t="s">
        <v>91</v>
      </c>
    </row>
    <row r="5128" spans="1:29" x14ac:dyDescent="0.25">
      <c r="A5128" s="31" t="s">
        <v>796</v>
      </c>
      <c r="B5128" s="23" t="s">
        <v>797</v>
      </c>
      <c r="C5128" t="s">
        <v>798</v>
      </c>
      <c r="D5128">
        <v>1</v>
      </c>
      <c r="E5128" t="s">
        <v>534</v>
      </c>
      <c r="F5128">
        <v>10</v>
      </c>
      <c r="G5128">
        <v>2008</v>
      </c>
      <c r="I5128">
        <v>2982</v>
      </c>
      <c r="J5128" t="s">
        <v>40</v>
      </c>
      <c r="K5128" t="s">
        <v>47</v>
      </c>
      <c r="O5128">
        <v>0</v>
      </c>
      <c r="P5128">
        <v>0</v>
      </c>
      <c r="Q5128">
        <v>0</v>
      </c>
      <c r="R5128">
        <v>0</v>
      </c>
      <c r="W5128" t="s">
        <v>1181</v>
      </c>
      <c r="AA5128">
        <v>2007</v>
      </c>
      <c r="AB5128">
        <v>9999</v>
      </c>
      <c r="AC5128" t="s">
        <v>35</v>
      </c>
    </row>
    <row r="5129" spans="1:29" x14ac:dyDescent="0.25">
      <c r="A5129" s="31" t="s">
        <v>800</v>
      </c>
      <c r="B5129" s="23" t="s">
        <v>801</v>
      </c>
      <c r="C5129" t="s">
        <v>802</v>
      </c>
      <c r="D5129">
        <v>1</v>
      </c>
      <c r="E5129" t="s">
        <v>442</v>
      </c>
      <c r="F5129">
        <v>4</v>
      </c>
      <c r="G5129">
        <v>2008</v>
      </c>
      <c r="I5129">
        <v>1354.3</v>
      </c>
      <c r="J5129" t="s">
        <v>151</v>
      </c>
      <c r="K5129" t="s">
        <v>47</v>
      </c>
      <c r="O5129">
        <v>0</v>
      </c>
      <c r="P5129">
        <v>0</v>
      </c>
      <c r="Q5129">
        <v>0</v>
      </c>
      <c r="R5129">
        <v>0</v>
      </c>
      <c r="W5129" t="s">
        <v>1182</v>
      </c>
      <c r="AA5129">
        <v>2007</v>
      </c>
      <c r="AB5129">
        <v>9999</v>
      </c>
      <c r="AC5129" t="s">
        <v>35</v>
      </c>
    </row>
    <row r="5130" spans="1:29" x14ac:dyDescent="0.25">
      <c r="A5130" s="31" t="s">
        <v>804</v>
      </c>
      <c r="B5130" s="23" t="s">
        <v>805</v>
      </c>
      <c r="D5130">
        <v>1</v>
      </c>
      <c r="E5130" t="s">
        <v>806</v>
      </c>
      <c r="F5130">
        <v>4</v>
      </c>
      <c r="G5130">
        <v>2008</v>
      </c>
      <c r="I5130">
        <v>5.8</v>
      </c>
      <c r="J5130" t="s">
        <v>89</v>
      </c>
      <c r="K5130" t="s">
        <v>32</v>
      </c>
      <c r="O5130">
        <v>0</v>
      </c>
      <c r="P5130">
        <v>0</v>
      </c>
      <c r="Q5130">
        <v>0</v>
      </c>
      <c r="R5130">
        <v>0</v>
      </c>
      <c r="W5130" t="s">
        <v>1183</v>
      </c>
      <c r="AA5130">
        <v>2007</v>
      </c>
      <c r="AB5130">
        <v>2012</v>
      </c>
      <c r="AC5130" t="s">
        <v>302</v>
      </c>
    </row>
    <row r="5131" spans="1:29" x14ac:dyDescent="0.25">
      <c r="A5131" s="31" t="s">
        <v>808</v>
      </c>
      <c r="B5131" s="23" t="s">
        <v>809</v>
      </c>
      <c r="D5131">
        <v>1</v>
      </c>
      <c r="E5131" t="s">
        <v>80</v>
      </c>
      <c r="F5131">
        <v>8</v>
      </c>
      <c r="G5131">
        <v>2008</v>
      </c>
      <c r="I5131">
        <v>12</v>
      </c>
      <c r="J5131" t="s">
        <v>81</v>
      </c>
      <c r="K5131" t="s">
        <v>47</v>
      </c>
      <c r="O5131">
        <v>0</v>
      </c>
      <c r="P5131">
        <v>0</v>
      </c>
      <c r="Q5131">
        <v>0</v>
      </c>
      <c r="R5131">
        <v>0</v>
      </c>
      <c r="W5131" t="s">
        <v>1184</v>
      </c>
      <c r="AA5131">
        <v>2007</v>
      </c>
      <c r="AB5131">
        <v>9999</v>
      </c>
      <c r="AC5131" t="s">
        <v>35</v>
      </c>
    </row>
    <row r="5132" spans="1:29" x14ac:dyDescent="0.25">
      <c r="A5132" s="31" t="s">
        <v>472</v>
      </c>
      <c r="B5132" s="23" t="s">
        <v>811</v>
      </c>
      <c r="D5132">
        <v>1</v>
      </c>
      <c r="E5132" t="s">
        <v>681</v>
      </c>
      <c r="F5132">
        <v>3</v>
      </c>
      <c r="G5132">
        <v>2008</v>
      </c>
      <c r="I5132" t="s">
        <v>812</v>
      </c>
      <c r="J5132" t="s">
        <v>121</v>
      </c>
      <c r="K5132" t="s">
        <v>53</v>
      </c>
      <c r="L5132" t="s">
        <v>53</v>
      </c>
      <c r="O5132">
        <v>0</v>
      </c>
      <c r="P5132">
        <v>0</v>
      </c>
      <c r="Q5132">
        <v>0</v>
      </c>
      <c r="R5132">
        <v>0</v>
      </c>
      <c r="W5132" t="s">
        <v>813</v>
      </c>
      <c r="AA5132">
        <v>2007</v>
      </c>
      <c r="AB5132">
        <v>9999</v>
      </c>
      <c r="AC5132" t="s">
        <v>35</v>
      </c>
    </row>
    <row r="5133" spans="1:29" x14ac:dyDescent="0.25">
      <c r="A5133" s="31" t="s">
        <v>814</v>
      </c>
      <c r="B5133" s="23" t="s">
        <v>815</v>
      </c>
      <c r="D5133">
        <v>1</v>
      </c>
      <c r="E5133" t="s">
        <v>80</v>
      </c>
      <c r="F5133">
        <v>8</v>
      </c>
      <c r="G5133">
        <v>2008</v>
      </c>
      <c r="I5133">
        <v>73</v>
      </c>
      <c r="J5133" t="s">
        <v>81</v>
      </c>
      <c r="K5133" t="s">
        <v>32</v>
      </c>
      <c r="O5133">
        <v>0</v>
      </c>
      <c r="P5133">
        <v>0</v>
      </c>
      <c r="Q5133">
        <v>0</v>
      </c>
      <c r="R5133">
        <v>0</v>
      </c>
      <c r="W5133" t="s">
        <v>1185</v>
      </c>
      <c r="AA5133">
        <v>2007</v>
      </c>
      <c r="AB5133">
        <v>9999</v>
      </c>
      <c r="AC5133" t="s">
        <v>35</v>
      </c>
    </row>
    <row r="5134" spans="1:29" x14ac:dyDescent="0.25">
      <c r="A5134" s="31" t="s">
        <v>817</v>
      </c>
      <c r="B5134" s="23" t="s">
        <v>818</v>
      </c>
      <c r="D5134">
        <v>1</v>
      </c>
      <c r="E5134" t="s">
        <v>38</v>
      </c>
      <c r="F5134">
        <v>4</v>
      </c>
      <c r="G5134">
        <v>2008</v>
      </c>
      <c r="I5134">
        <v>117.3</v>
      </c>
      <c r="J5134" t="s">
        <v>31</v>
      </c>
      <c r="K5134" t="s">
        <v>76</v>
      </c>
      <c r="O5134">
        <v>0</v>
      </c>
      <c r="P5134">
        <v>0</v>
      </c>
      <c r="Q5134">
        <v>0</v>
      </c>
      <c r="R5134">
        <v>0</v>
      </c>
      <c r="W5134" t="s">
        <v>819</v>
      </c>
      <c r="AA5134">
        <v>2007</v>
      </c>
      <c r="AB5134">
        <v>2008</v>
      </c>
      <c r="AC5134" t="s">
        <v>265</v>
      </c>
    </row>
    <row r="5135" spans="1:29" x14ac:dyDescent="0.25">
      <c r="B5135" s="23" t="s">
        <v>820</v>
      </c>
      <c r="D5135">
        <v>1</v>
      </c>
      <c r="E5135" t="s">
        <v>138</v>
      </c>
      <c r="F5135">
        <v>8</v>
      </c>
      <c r="G5135">
        <v>2008</v>
      </c>
      <c r="I5135">
        <v>71.900000000000006</v>
      </c>
      <c r="J5135" t="s">
        <v>104</v>
      </c>
      <c r="K5135" t="s">
        <v>47</v>
      </c>
      <c r="O5135">
        <v>0</v>
      </c>
      <c r="P5135">
        <v>0</v>
      </c>
      <c r="Q5135">
        <v>0</v>
      </c>
      <c r="R5135">
        <v>0</v>
      </c>
      <c r="W5135" t="s">
        <v>1186</v>
      </c>
      <c r="AA5135">
        <v>2007</v>
      </c>
      <c r="AB5135">
        <v>2008</v>
      </c>
      <c r="AC5135" t="s">
        <v>265</v>
      </c>
    </row>
    <row r="5136" spans="1:29" x14ac:dyDescent="0.25">
      <c r="A5136" s="31" t="s">
        <v>822</v>
      </c>
      <c r="B5136" s="23" t="s">
        <v>823</v>
      </c>
      <c r="D5136">
        <v>1</v>
      </c>
      <c r="E5136" t="s">
        <v>80</v>
      </c>
      <c r="F5136">
        <v>8</v>
      </c>
      <c r="G5136">
        <v>2008</v>
      </c>
      <c r="I5136">
        <v>185.2</v>
      </c>
      <c r="J5136" t="s">
        <v>81</v>
      </c>
      <c r="K5136" t="s">
        <v>47</v>
      </c>
      <c r="O5136">
        <v>0</v>
      </c>
      <c r="P5136">
        <v>0</v>
      </c>
      <c r="Q5136">
        <v>0</v>
      </c>
      <c r="R5136">
        <v>0</v>
      </c>
      <c r="W5136" t="s">
        <v>1187</v>
      </c>
      <c r="AA5136">
        <v>2007</v>
      </c>
      <c r="AB5136">
        <v>9999</v>
      </c>
      <c r="AC5136" t="s">
        <v>35</v>
      </c>
    </row>
    <row r="5137" spans="1:29" x14ac:dyDescent="0.25">
      <c r="A5137" s="31" t="s">
        <v>825</v>
      </c>
      <c r="B5137" s="23" t="s">
        <v>826</v>
      </c>
      <c r="D5137">
        <v>1</v>
      </c>
      <c r="E5137" t="s">
        <v>80</v>
      </c>
      <c r="F5137">
        <v>8</v>
      </c>
      <c r="G5137">
        <v>2008</v>
      </c>
      <c r="I5137">
        <v>143.9</v>
      </c>
      <c r="J5137" t="s">
        <v>81</v>
      </c>
      <c r="K5137" t="s">
        <v>47</v>
      </c>
      <c r="O5137">
        <v>0</v>
      </c>
      <c r="P5137">
        <v>0</v>
      </c>
      <c r="Q5137">
        <v>0</v>
      </c>
      <c r="R5137">
        <v>0</v>
      </c>
      <c r="W5137" t="s">
        <v>1188</v>
      </c>
      <c r="AA5137">
        <v>2007</v>
      </c>
      <c r="AB5137">
        <v>9999</v>
      </c>
      <c r="AC5137" t="s">
        <v>35</v>
      </c>
    </row>
    <row r="5138" spans="1:29" x14ac:dyDescent="0.25">
      <c r="A5138" s="31" t="s">
        <v>828</v>
      </c>
      <c r="B5138" s="23" t="s">
        <v>829</v>
      </c>
      <c r="D5138">
        <v>1</v>
      </c>
      <c r="E5138" t="s">
        <v>138</v>
      </c>
      <c r="F5138">
        <v>8</v>
      </c>
      <c r="G5138">
        <v>2008</v>
      </c>
      <c r="I5138">
        <v>59.1</v>
      </c>
      <c r="J5138" t="s">
        <v>81</v>
      </c>
      <c r="K5138" t="s">
        <v>47</v>
      </c>
      <c r="O5138">
        <v>0</v>
      </c>
      <c r="P5138">
        <v>0</v>
      </c>
      <c r="Q5138">
        <v>0</v>
      </c>
      <c r="R5138">
        <v>0</v>
      </c>
      <c r="W5138" t="s">
        <v>1189</v>
      </c>
      <c r="AA5138">
        <v>2007</v>
      </c>
      <c r="AB5138">
        <v>9999</v>
      </c>
      <c r="AC5138" t="s">
        <v>35</v>
      </c>
    </row>
    <row r="5139" spans="1:29" x14ac:dyDescent="0.25">
      <c r="A5139" s="31" t="s">
        <v>831</v>
      </c>
      <c r="B5139" s="25" t="s">
        <v>832</v>
      </c>
      <c r="C5139" t="s">
        <v>833</v>
      </c>
      <c r="D5139">
        <v>1</v>
      </c>
      <c r="E5139" t="s">
        <v>38</v>
      </c>
      <c r="F5139">
        <v>4</v>
      </c>
      <c r="G5139">
        <v>2008</v>
      </c>
      <c r="H5139" t="s">
        <v>834</v>
      </c>
      <c r="J5139" t="s">
        <v>59</v>
      </c>
      <c r="K5139" t="s">
        <v>41</v>
      </c>
      <c r="O5139">
        <v>0</v>
      </c>
      <c r="P5139">
        <v>0</v>
      </c>
      <c r="Q5139">
        <v>0</v>
      </c>
      <c r="R5139">
        <v>0</v>
      </c>
      <c r="W5139" t="s">
        <v>1190</v>
      </c>
      <c r="AA5139">
        <v>2007</v>
      </c>
      <c r="AB5139">
        <v>9999</v>
      </c>
      <c r="AC5139" t="s">
        <v>35</v>
      </c>
    </row>
    <row r="5140" spans="1:29" x14ac:dyDescent="0.25">
      <c r="A5140" s="31" t="s">
        <v>836</v>
      </c>
      <c r="B5140" s="23" t="s">
        <v>837</v>
      </c>
      <c r="D5140">
        <v>1</v>
      </c>
      <c r="E5140" t="s">
        <v>64</v>
      </c>
      <c r="F5140">
        <v>1</v>
      </c>
      <c r="G5140">
        <v>2008</v>
      </c>
      <c r="I5140">
        <v>377.8</v>
      </c>
      <c r="J5140" t="s">
        <v>52</v>
      </c>
      <c r="K5140" t="s">
        <v>32</v>
      </c>
      <c r="O5140">
        <v>0</v>
      </c>
      <c r="P5140">
        <v>0</v>
      </c>
      <c r="Q5140">
        <v>0</v>
      </c>
      <c r="R5140">
        <v>0</v>
      </c>
      <c r="W5140" t="s">
        <v>1191</v>
      </c>
      <c r="AA5140">
        <v>2007</v>
      </c>
      <c r="AB5140">
        <v>9999</v>
      </c>
      <c r="AC5140" t="s">
        <v>35</v>
      </c>
    </row>
    <row r="5141" spans="1:29" x14ac:dyDescent="0.25">
      <c r="A5141" s="31" t="s">
        <v>839</v>
      </c>
      <c r="B5141" s="23" t="s">
        <v>840</v>
      </c>
      <c r="D5141">
        <v>1</v>
      </c>
      <c r="E5141" t="s">
        <v>85</v>
      </c>
      <c r="F5141">
        <v>1</v>
      </c>
      <c r="G5141">
        <v>2008</v>
      </c>
      <c r="H5141" t="s">
        <v>205</v>
      </c>
      <c r="J5141" t="s">
        <v>52</v>
      </c>
      <c r="K5141" t="s">
        <v>41</v>
      </c>
      <c r="O5141">
        <v>0</v>
      </c>
      <c r="P5141">
        <v>0</v>
      </c>
      <c r="Q5141">
        <v>0</v>
      </c>
      <c r="R5141">
        <v>0</v>
      </c>
      <c r="W5141" t="s">
        <v>1192</v>
      </c>
      <c r="AA5141">
        <v>2007</v>
      </c>
      <c r="AB5141">
        <v>2008</v>
      </c>
      <c r="AC5141" t="s">
        <v>265</v>
      </c>
    </row>
    <row r="5142" spans="1:29" x14ac:dyDescent="0.25">
      <c r="A5142" s="31" t="s">
        <v>842</v>
      </c>
      <c r="B5142" s="23" t="s">
        <v>843</v>
      </c>
      <c r="D5142">
        <v>1</v>
      </c>
      <c r="E5142" t="s">
        <v>145</v>
      </c>
      <c r="F5142">
        <v>2</v>
      </c>
      <c r="G5142">
        <v>2008</v>
      </c>
      <c r="I5142">
        <v>865</v>
      </c>
      <c r="J5142" t="s">
        <v>147</v>
      </c>
      <c r="K5142" t="s">
        <v>47</v>
      </c>
      <c r="O5142">
        <v>0</v>
      </c>
      <c r="P5142">
        <v>0</v>
      </c>
      <c r="Q5142">
        <v>0</v>
      </c>
      <c r="R5142">
        <v>0</v>
      </c>
      <c r="W5142" t="s">
        <v>1193</v>
      </c>
      <c r="AA5142">
        <v>2007</v>
      </c>
      <c r="AB5142">
        <v>2008</v>
      </c>
      <c r="AC5142" t="s">
        <v>265</v>
      </c>
    </row>
    <row r="5143" spans="1:29" x14ac:dyDescent="0.25">
      <c r="A5143" s="31" t="s">
        <v>1194</v>
      </c>
      <c r="B5143" s="23" t="s">
        <v>1195</v>
      </c>
      <c r="D5143">
        <v>1</v>
      </c>
      <c r="E5143" t="s">
        <v>85</v>
      </c>
      <c r="F5143">
        <v>1</v>
      </c>
      <c r="G5143">
        <v>2008</v>
      </c>
      <c r="H5143" t="s">
        <v>39</v>
      </c>
      <c r="J5143" t="s">
        <v>52</v>
      </c>
      <c r="K5143" t="s">
        <v>41</v>
      </c>
      <c r="O5143">
        <v>0</v>
      </c>
      <c r="P5143">
        <v>0</v>
      </c>
      <c r="Q5143">
        <v>0</v>
      </c>
      <c r="R5143">
        <v>0</v>
      </c>
      <c r="W5143" t="s">
        <v>359</v>
      </c>
      <c r="AA5143">
        <v>2008</v>
      </c>
      <c r="AB5143">
        <v>9999</v>
      </c>
      <c r="AC5143" t="s">
        <v>1054</v>
      </c>
    </row>
    <row r="5144" spans="1:29" x14ac:dyDescent="0.25">
      <c r="A5144" s="31" t="s">
        <v>845</v>
      </c>
      <c r="B5144" s="23" t="s">
        <v>846</v>
      </c>
      <c r="C5144" t="s">
        <v>847</v>
      </c>
      <c r="D5144">
        <v>1</v>
      </c>
      <c r="E5144" t="s">
        <v>300</v>
      </c>
      <c r="F5144">
        <v>9</v>
      </c>
      <c r="G5144">
        <v>2008</v>
      </c>
      <c r="I5144">
        <v>394.4</v>
      </c>
      <c r="J5144" t="s">
        <v>104</v>
      </c>
      <c r="K5144" t="s">
        <v>76</v>
      </c>
      <c r="O5144">
        <v>0</v>
      </c>
      <c r="P5144">
        <v>0</v>
      </c>
      <c r="Q5144">
        <v>0</v>
      </c>
      <c r="R5144">
        <v>0</v>
      </c>
      <c r="W5144" t="s">
        <v>848</v>
      </c>
      <c r="AA5144">
        <v>2007</v>
      </c>
      <c r="AB5144">
        <v>9999</v>
      </c>
      <c r="AC5144" t="s">
        <v>35</v>
      </c>
    </row>
    <row r="5145" spans="1:29" x14ac:dyDescent="0.25">
      <c r="A5145" s="31" t="s">
        <v>849</v>
      </c>
      <c r="B5145" s="23" t="s">
        <v>850</v>
      </c>
      <c r="D5145">
        <v>1</v>
      </c>
      <c r="E5145" t="s">
        <v>38</v>
      </c>
      <c r="F5145">
        <v>4</v>
      </c>
      <c r="G5145">
        <v>2008</v>
      </c>
      <c r="I5145">
        <v>109</v>
      </c>
      <c r="J5145" t="s">
        <v>31</v>
      </c>
      <c r="K5145" t="s">
        <v>76</v>
      </c>
      <c r="O5145">
        <v>0</v>
      </c>
      <c r="P5145">
        <v>0</v>
      </c>
      <c r="Q5145">
        <v>0</v>
      </c>
      <c r="R5145">
        <v>0</v>
      </c>
      <c r="W5145" t="s">
        <v>851</v>
      </c>
      <c r="AA5145">
        <v>2007</v>
      </c>
      <c r="AB5145">
        <v>2008</v>
      </c>
      <c r="AC5145" t="s">
        <v>265</v>
      </c>
    </row>
    <row r="5146" spans="1:29" x14ac:dyDescent="0.25">
      <c r="A5146" s="31" t="s">
        <v>852</v>
      </c>
      <c r="B5146" s="25" t="s">
        <v>853</v>
      </c>
      <c r="D5146">
        <v>1</v>
      </c>
      <c r="E5146" t="s">
        <v>85</v>
      </c>
      <c r="F5146">
        <v>1</v>
      </c>
      <c r="G5146">
        <v>2008</v>
      </c>
      <c r="H5146" t="s">
        <v>837</v>
      </c>
      <c r="J5146" t="s">
        <v>52</v>
      </c>
      <c r="K5146" t="s">
        <v>41</v>
      </c>
      <c r="O5146">
        <v>0</v>
      </c>
      <c r="P5146">
        <v>0</v>
      </c>
      <c r="Q5146">
        <v>0</v>
      </c>
      <c r="R5146">
        <v>0</v>
      </c>
      <c r="W5146" t="s">
        <v>1191</v>
      </c>
      <c r="AA5146">
        <v>2007</v>
      </c>
      <c r="AB5146">
        <v>9999</v>
      </c>
      <c r="AC5146" t="s">
        <v>35</v>
      </c>
    </row>
    <row r="5147" spans="1:29" x14ac:dyDescent="0.25">
      <c r="A5147" s="31" t="s">
        <v>854</v>
      </c>
      <c r="B5147" s="23" t="s">
        <v>855</v>
      </c>
      <c r="D5147">
        <v>1</v>
      </c>
      <c r="E5147" t="s">
        <v>85</v>
      </c>
      <c r="F5147">
        <v>1</v>
      </c>
      <c r="G5147">
        <v>2008</v>
      </c>
      <c r="H5147" t="s">
        <v>63</v>
      </c>
      <c r="J5147" t="s">
        <v>52</v>
      </c>
      <c r="K5147" t="s">
        <v>41</v>
      </c>
      <c r="O5147">
        <v>0</v>
      </c>
      <c r="P5147">
        <v>0</v>
      </c>
      <c r="Q5147">
        <v>0</v>
      </c>
      <c r="R5147">
        <v>0</v>
      </c>
      <c r="W5147" t="s">
        <v>1196</v>
      </c>
      <c r="AA5147">
        <v>2007</v>
      </c>
      <c r="AB5147">
        <v>2009</v>
      </c>
      <c r="AC5147" t="s">
        <v>236</v>
      </c>
    </row>
    <row r="5148" spans="1:29" x14ac:dyDescent="0.25">
      <c r="A5148" s="31" t="s">
        <v>857</v>
      </c>
      <c r="B5148" s="25" t="s">
        <v>858</v>
      </c>
      <c r="D5148">
        <v>1</v>
      </c>
      <c r="E5148" t="s">
        <v>859</v>
      </c>
      <c r="F5148">
        <v>5</v>
      </c>
      <c r="G5148">
        <v>2008</v>
      </c>
      <c r="I5148">
        <v>5.9</v>
      </c>
      <c r="J5148" t="s">
        <v>31</v>
      </c>
      <c r="K5148" t="s">
        <v>47</v>
      </c>
      <c r="O5148">
        <v>0</v>
      </c>
      <c r="P5148">
        <v>0</v>
      </c>
      <c r="Q5148">
        <v>0</v>
      </c>
      <c r="R5148">
        <v>0</v>
      </c>
      <c r="W5148" t="s">
        <v>1197</v>
      </c>
      <c r="AA5148">
        <v>2007</v>
      </c>
      <c r="AB5148">
        <v>2015</v>
      </c>
      <c r="AC5148" t="s">
        <v>861</v>
      </c>
    </row>
    <row r="5149" spans="1:29" x14ac:dyDescent="0.25">
      <c r="A5149" s="31" t="s">
        <v>862</v>
      </c>
      <c r="B5149" s="23" t="s">
        <v>863</v>
      </c>
      <c r="C5149" t="s">
        <v>864</v>
      </c>
      <c r="D5149">
        <v>1</v>
      </c>
      <c r="E5149" t="s">
        <v>442</v>
      </c>
      <c r="F5149">
        <v>4</v>
      </c>
      <c r="G5149">
        <v>2008</v>
      </c>
      <c r="I5149">
        <v>386.6</v>
      </c>
      <c r="J5149" t="s">
        <v>151</v>
      </c>
      <c r="K5149" t="s">
        <v>47</v>
      </c>
      <c r="O5149">
        <v>0</v>
      </c>
      <c r="P5149">
        <v>0</v>
      </c>
      <c r="Q5149">
        <v>0</v>
      </c>
      <c r="R5149">
        <v>0</v>
      </c>
      <c r="W5149" t="s">
        <v>1198</v>
      </c>
      <c r="AA5149">
        <v>2007</v>
      </c>
      <c r="AB5149">
        <v>9999</v>
      </c>
      <c r="AC5149" t="s">
        <v>35</v>
      </c>
    </row>
    <row r="5150" spans="1:29" x14ac:dyDescent="0.25">
      <c r="A5150" s="31" t="s">
        <v>866</v>
      </c>
      <c r="B5150" s="23" t="s">
        <v>867</v>
      </c>
      <c r="C5150" t="s">
        <v>868</v>
      </c>
      <c r="D5150">
        <v>1</v>
      </c>
      <c r="E5150" t="s">
        <v>869</v>
      </c>
      <c r="F5150">
        <v>4</v>
      </c>
      <c r="G5150">
        <v>2008</v>
      </c>
      <c r="I5150">
        <v>162.80000000000001</v>
      </c>
      <c r="J5150" t="s">
        <v>89</v>
      </c>
      <c r="K5150" t="s">
        <v>32</v>
      </c>
      <c r="O5150">
        <v>0</v>
      </c>
      <c r="P5150">
        <v>0</v>
      </c>
      <c r="Q5150">
        <v>0</v>
      </c>
      <c r="R5150">
        <v>0</v>
      </c>
      <c r="W5150" t="s">
        <v>1199</v>
      </c>
      <c r="AA5150">
        <v>2007</v>
      </c>
      <c r="AB5150">
        <v>9999</v>
      </c>
      <c r="AC5150" t="s">
        <v>35</v>
      </c>
    </row>
    <row r="5151" spans="1:29" x14ac:dyDescent="0.25">
      <c r="A5151" s="31" t="s">
        <v>1023</v>
      </c>
      <c r="B5151" s="25" t="s">
        <v>1200</v>
      </c>
      <c r="D5151">
        <v>1</v>
      </c>
      <c r="E5151" t="s">
        <v>85</v>
      </c>
      <c r="F5151">
        <v>1</v>
      </c>
      <c r="G5151">
        <v>2008</v>
      </c>
      <c r="H5151" t="s">
        <v>39</v>
      </c>
      <c r="J5151" t="s">
        <v>52</v>
      </c>
      <c r="K5151" t="s">
        <v>41</v>
      </c>
      <c r="O5151">
        <v>0</v>
      </c>
      <c r="P5151">
        <v>0</v>
      </c>
      <c r="Q5151">
        <v>0</v>
      </c>
      <c r="R5151">
        <v>0</v>
      </c>
      <c r="W5151" t="s">
        <v>1025</v>
      </c>
      <c r="AA5151">
        <v>2007</v>
      </c>
      <c r="AB5151">
        <v>9999</v>
      </c>
      <c r="AC5151" t="s">
        <v>35</v>
      </c>
    </row>
    <row r="5152" spans="1:29" x14ac:dyDescent="0.25">
      <c r="A5152" s="31" t="s">
        <v>871</v>
      </c>
      <c r="B5152" s="23" t="s">
        <v>872</v>
      </c>
      <c r="C5152" t="s">
        <v>873</v>
      </c>
      <c r="D5152">
        <v>1</v>
      </c>
      <c r="E5152" t="s">
        <v>874</v>
      </c>
      <c r="F5152">
        <v>1</v>
      </c>
      <c r="G5152">
        <v>2008</v>
      </c>
      <c r="I5152">
        <v>1214.4000000000001</v>
      </c>
      <c r="J5152" t="s">
        <v>52</v>
      </c>
      <c r="K5152" t="s">
        <v>47</v>
      </c>
      <c r="O5152">
        <v>0</v>
      </c>
      <c r="P5152">
        <v>0</v>
      </c>
      <c r="Q5152">
        <v>0</v>
      </c>
      <c r="R5152">
        <v>0</v>
      </c>
      <c r="W5152" t="s">
        <v>1201</v>
      </c>
      <c r="AA5152">
        <v>2007</v>
      </c>
      <c r="AB5152">
        <v>9999</v>
      </c>
      <c r="AC5152" t="s">
        <v>35</v>
      </c>
    </row>
    <row r="5153" spans="1:29" x14ac:dyDescent="0.25">
      <c r="A5153" s="31" t="s">
        <v>876</v>
      </c>
      <c r="B5153" s="23" t="s">
        <v>877</v>
      </c>
      <c r="C5153" t="s">
        <v>878</v>
      </c>
      <c r="D5153">
        <v>1</v>
      </c>
      <c r="E5153" t="s">
        <v>168</v>
      </c>
      <c r="F5153">
        <v>1</v>
      </c>
      <c r="G5153">
        <v>2008</v>
      </c>
      <c r="I5153">
        <v>44.5</v>
      </c>
      <c r="J5153" t="s">
        <v>52</v>
      </c>
      <c r="K5153" t="s">
        <v>47</v>
      </c>
      <c r="O5153">
        <v>0</v>
      </c>
      <c r="P5153">
        <v>0</v>
      </c>
      <c r="Q5153">
        <v>0</v>
      </c>
      <c r="R5153">
        <v>0</v>
      </c>
      <c r="W5153" t="s">
        <v>1202</v>
      </c>
      <c r="AA5153">
        <v>2007</v>
      </c>
      <c r="AB5153">
        <v>9999</v>
      </c>
      <c r="AC5153" t="s">
        <v>35</v>
      </c>
    </row>
    <row r="5154" spans="1:29" x14ac:dyDescent="0.25">
      <c r="A5154" s="31" t="s">
        <v>880</v>
      </c>
      <c r="B5154" s="23" t="s">
        <v>881</v>
      </c>
      <c r="C5154" t="s">
        <v>882</v>
      </c>
      <c r="D5154">
        <v>1</v>
      </c>
      <c r="E5154" t="s">
        <v>103</v>
      </c>
      <c r="F5154">
        <v>9</v>
      </c>
      <c r="G5154">
        <v>2008</v>
      </c>
      <c r="I5154">
        <v>3871.5</v>
      </c>
      <c r="J5154" t="s">
        <v>104</v>
      </c>
      <c r="K5154" t="s">
        <v>53</v>
      </c>
      <c r="L5154" t="s">
        <v>105</v>
      </c>
      <c r="O5154">
        <v>0</v>
      </c>
      <c r="P5154">
        <v>1</v>
      </c>
      <c r="Q5154">
        <v>0</v>
      </c>
      <c r="R5154">
        <v>0</v>
      </c>
      <c r="W5154" t="s">
        <v>106</v>
      </c>
      <c r="AA5154">
        <v>2007</v>
      </c>
      <c r="AB5154">
        <v>9999</v>
      </c>
      <c r="AC5154" t="s">
        <v>35</v>
      </c>
    </row>
    <row r="5155" spans="1:29" x14ac:dyDescent="0.25">
      <c r="A5155" s="31" t="s">
        <v>883</v>
      </c>
      <c r="B5155" s="23" t="s">
        <v>884</v>
      </c>
      <c r="C5155" t="s">
        <v>885</v>
      </c>
      <c r="D5155">
        <v>1</v>
      </c>
      <c r="E5155" t="s">
        <v>45</v>
      </c>
      <c r="F5155">
        <v>4</v>
      </c>
      <c r="G5155">
        <v>2008</v>
      </c>
      <c r="I5155">
        <v>103.7</v>
      </c>
      <c r="J5155" t="s">
        <v>176</v>
      </c>
      <c r="K5155" t="s">
        <v>47</v>
      </c>
      <c r="O5155">
        <v>0</v>
      </c>
      <c r="P5155">
        <v>0</v>
      </c>
      <c r="Q5155">
        <v>0</v>
      </c>
      <c r="R5155">
        <v>0</v>
      </c>
      <c r="W5155" t="s">
        <v>1203</v>
      </c>
      <c r="AA5155">
        <v>2007</v>
      </c>
      <c r="AB5155">
        <v>9999</v>
      </c>
      <c r="AC5155" t="s">
        <v>35</v>
      </c>
    </row>
    <row r="5156" spans="1:29" x14ac:dyDescent="0.25">
      <c r="A5156" s="31" t="s">
        <v>887</v>
      </c>
      <c r="B5156" s="23" t="s">
        <v>888</v>
      </c>
      <c r="C5156" t="s">
        <v>889</v>
      </c>
      <c r="D5156">
        <v>1</v>
      </c>
      <c r="E5156" t="s">
        <v>335</v>
      </c>
      <c r="F5156">
        <v>1</v>
      </c>
      <c r="G5156">
        <v>2008</v>
      </c>
      <c r="I5156">
        <v>689.8</v>
      </c>
      <c r="J5156" t="s">
        <v>176</v>
      </c>
      <c r="K5156" t="s">
        <v>32</v>
      </c>
      <c r="O5156">
        <v>0</v>
      </c>
      <c r="P5156">
        <v>0</v>
      </c>
      <c r="Q5156">
        <v>0</v>
      </c>
      <c r="R5156">
        <v>0</v>
      </c>
      <c r="W5156" t="s">
        <v>1204</v>
      </c>
      <c r="AA5156">
        <v>2007</v>
      </c>
      <c r="AB5156">
        <v>9999</v>
      </c>
      <c r="AC5156" t="s">
        <v>35</v>
      </c>
    </row>
    <row r="5157" spans="1:29" x14ac:dyDescent="0.25">
      <c r="A5157" s="31" t="s">
        <v>891</v>
      </c>
      <c r="B5157" s="23" t="s">
        <v>892</v>
      </c>
      <c r="D5157">
        <v>1</v>
      </c>
      <c r="E5157" t="s">
        <v>145</v>
      </c>
      <c r="F5157">
        <v>2</v>
      </c>
      <c r="G5157">
        <v>2008</v>
      </c>
      <c r="I5157">
        <v>9.8000000000000007</v>
      </c>
      <c r="J5157" t="s">
        <v>147</v>
      </c>
      <c r="K5157" t="s">
        <v>47</v>
      </c>
      <c r="O5157">
        <v>0</v>
      </c>
      <c r="P5157">
        <v>0</v>
      </c>
      <c r="Q5157">
        <v>0</v>
      </c>
      <c r="R5157">
        <v>0</v>
      </c>
      <c r="W5157" t="s">
        <v>1205</v>
      </c>
      <c r="AA5157">
        <v>2007</v>
      </c>
      <c r="AB5157">
        <v>2008</v>
      </c>
      <c r="AC5157" t="s">
        <v>265</v>
      </c>
    </row>
    <row r="5158" spans="1:29" x14ac:dyDescent="0.25">
      <c r="A5158" s="31" t="s">
        <v>894</v>
      </c>
      <c r="B5158" s="25" t="s">
        <v>895</v>
      </c>
      <c r="D5158">
        <v>1</v>
      </c>
      <c r="E5158" t="s">
        <v>38</v>
      </c>
      <c r="F5158">
        <v>4</v>
      </c>
      <c r="G5158">
        <v>2008</v>
      </c>
      <c r="H5158" t="s">
        <v>896</v>
      </c>
      <c r="J5158" t="s">
        <v>151</v>
      </c>
      <c r="K5158" t="s">
        <v>53</v>
      </c>
      <c r="L5158" t="s">
        <v>53</v>
      </c>
      <c r="O5158">
        <v>0</v>
      </c>
      <c r="P5158">
        <v>0</v>
      </c>
      <c r="Q5158">
        <v>0</v>
      </c>
      <c r="R5158">
        <v>0</v>
      </c>
      <c r="W5158" t="s">
        <v>897</v>
      </c>
      <c r="AA5158">
        <v>2007</v>
      </c>
      <c r="AB5158">
        <v>9999</v>
      </c>
      <c r="AC5158" t="s">
        <v>35</v>
      </c>
    </row>
    <row r="5159" spans="1:29" x14ac:dyDescent="0.25">
      <c r="B5159" s="26" t="s">
        <v>898</v>
      </c>
      <c r="D5159">
        <v>1</v>
      </c>
      <c r="E5159" t="s">
        <v>38</v>
      </c>
      <c r="F5159">
        <v>4</v>
      </c>
      <c r="G5159">
        <v>2008</v>
      </c>
      <c r="H5159" t="s">
        <v>596</v>
      </c>
      <c r="J5159" t="s">
        <v>89</v>
      </c>
      <c r="K5159" t="s">
        <v>41</v>
      </c>
      <c r="O5159">
        <v>0</v>
      </c>
      <c r="P5159">
        <v>0</v>
      </c>
      <c r="Q5159">
        <v>0</v>
      </c>
      <c r="R5159">
        <v>0</v>
      </c>
      <c r="W5159" t="s">
        <v>899</v>
      </c>
      <c r="AA5159">
        <v>2007</v>
      </c>
      <c r="AB5159">
        <v>2008</v>
      </c>
      <c r="AC5159" t="s">
        <v>265</v>
      </c>
    </row>
    <row r="5160" spans="1:29" x14ac:dyDescent="0.25">
      <c r="A5160" s="31" t="s">
        <v>900</v>
      </c>
      <c r="B5160" s="25" t="s">
        <v>901</v>
      </c>
      <c r="D5160">
        <v>1</v>
      </c>
      <c r="E5160" t="s">
        <v>38</v>
      </c>
      <c r="F5160">
        <v>4</v>
      </c>
      <c r="G5160">
        <v>2008</v>
      </c>
      <c r="H5160" t="s">
        <v>896</v>
      </c>
      <c r="J5160" t="s">
        <v>151</v>
      </c>
      <c r="K5160" t="s">
        <v>53</v>
      </c>
      <c r="L5160" t="s">
        <v>902</v>
      </c>
      <c r="O5160">
        <v>0</v>
      </c>
      <c r="P5160">
        <v>0</v>
      </c>
      <c r="Q5160">
        <v>0</v>
      </c>
      <c r="R5160">
        <v>0</v>
      </c>
      <c r="W5160" t="s">
        <v>903</v>
      </c>
      <c r="AA5160">
        <v>2007</v>
      </c>
      <c r="AB5160">
        <v>9999</v>
      </c>
      <c r="AC5160" t="s">
        <v>35</v>
      </c>
    </row>
    <row r="5161" spans="1:29" x14ac:dyDescent="0.25">
      <c r="A5161" s="31" t="s">
        <v>904</v>
      </c>
      <c r="B5161" s="23" t="s">
        <v>905</v>
      </c>
      <c r="D5161">
        <v>1</v>
      </c>
      <c r="E5161" t="s">
        <v>38</v>
      </c>
      <c r="F5161">
        <v>4</v>
      </c>
      <c r="G5161">
        <v>2008</v>
      </c>
      <c r="H5161" t="s">
        <v>906</v>
      </c>
      <c r="J5161" t="s">
        <v>59</v>
      </c>
      <c r="K5161" t="s">
        <v>53</v>
      </c>
      <c r="L5161" t="s">
        <v>902</v>
      </c>
      <c r="O5161">
        <v>0</v>
      </c>
      <c r="P5161">
        <v>0</v>
      </c>
      <c r="Q5161">
        <v>0</v>
      </c>
      <c r="R5161">
        <v>0</v>
      </c>
      <c r="W5161" t="s">
        <v>907</v>
      </c>
      <c r="AA5161">
        <v>2007</v>
      </c>
      <c r="AB5161">
        <v>9999</v>
      </c>
      <c r="AC5161" t="s">
        <v>35</v>
      </c>
    </row>
    <row r="5162" spans="1:29" x14ac:dyDescent="0.25">
      <c r="A5162" s="31" t="s">
        <v>908</v>
      </c>
      <c r="B5162" s="23" t="s">
        <v>909</v>
      </c>
      <c r="C5162" t="s">
        <v>910</v>
      </c>
      <c r="D5162">
        <v>1</v>
      </c>
      <c r="E5162" t="s">
        <v>911</v>
      </c>
      <c r="F5162">
        <v>1</v>
      </c>
      <c r="G5162">
        <v>2008</v>
      </c>
      <c r="I5162">
        <v>83.6</v>
      </c>
      <c r="J5162" t="s">
        <v>176</v>
      </c>
      <c r="K5162" t="s">
        <v>47</v>
      </c>
      <c r="O5162">
        <v>0</v>
      </c>
      <c r="P5162">
        <v>0</v>
      </c>
      <c r="Q5162">
        <v>0</v>
      </c>
      <c r="R5162">
        <v>0</v>
      </c>
      <c r="W5162" t="s">
        <v>1206</v>
      </c>
      <c r="AA5162">
        <v>2007</v>
      </c>
      <c r="AB5162">
        <v>9999</v>
      </c>
      <c r="AC5162" t="s">
        <v>35</v>
      </c>
    </row>
    <row r="5163" spans="1:29" x14ac:dyDescent="0.25">
      <c r="A5163" s="31" t="s">
        <v>913</v>
      </c>
      <c r="B5163" s="23" t="s">
        <v>914</v>
      </c>
      <c r="C5163" t="s">
        <v>915</v>
      </c>
      <c r="D5163">
        <v>1</v>
      </c>
      <c r="E5163" t="s">
        <v>911</v>
      </c>
      <c r="F5163">
        <v>1</v>
      </c>
      <c r="G5163">
        <v>2008</v>
      </c>
      <c r="I5163">
        <v>10</v>
      </c>
      <c r="J5163" t="s">
        <v>268</v>
      </c>
      <c r="K5163" t="s">
        <v>41</v>
      </c>
      <c r="O5163">
        <v>0</v>
      </c>
      <c r="P5163">
        <v>0</v>
      </c>
      <c r="Q5163">
        <v>0</v>
      </c>
      <c r="R5163">
        <v>0</v>
      </c>
      <c r="W5163" t="s">
        <v>1207</v>
      </c>
      <c r="AA5163">
        <v>2007</v>
      </c>
      <c r="AB5163">
        <v>9999</v>
      </c>
      <c r="AC5163" t="s">
        <v>35</v>
      </c>
    </row>
    <row r="5164" spans="1:29" x14ac:dyDescent="0.25">
      <c r="B5164" s="23" t="s">
        <v>917</v>
      </c>
      <c r="D5164">
        <v>1</v>
      </c>
      <c r="E5164" t="s">
        <v>38</v>
      </c>
      <c r="F5164">
        <v>4</v>
      </c>
      <c r="G5164">
        <v>2008</v>
      </c>
      <c r="H5164" t="s">
        <v>918</v>
      </c>
      <c r="J5164" t="s">
        <v>176</v>
      </c>
      <c r="K5164" t="s">
        <v>41</v>
      </c>
      <c r="O5164">
        <v>0</v>
      </c>
      <c r="P5164">
        <v>0</v>
      </c>
      <c r="Q5164">
        <v>0</v>
      </c>
      <c r="R5164">
        <v>0</v>
      </c>
      <c r="W5164" t="s">
        <v>1208</v>
      </c>
      <c r="AA5164">
        <v>2007</v>
      </c>
      <c r="AB5164">
        <v>2011</v>
      </c>
      <c r="AC5164" t="s">
        <v>191</v>
      </c>
    </row>
    <row r="5165" spans="1:29" x14ac:dyDescent="0.25">
      <c r="A5165" s="31" t="s">
        <v>920</v>
      </c>
      <c r="B5165" s="23" t="s">
        <v>921</v>
      </c>
      <c r="D5165">
        <v>1</v>
      </c>
      <c r="E5165" t="s">
        <v>138</v>
      </c>
      <c r="F5165">
        <v>8</v>
      </c>
      <c r="G5165">
        <v>2008</v>
      </c>
      <c r="I5165">
        <v>5.3</v>
      </c>
      <c r="J5165" t="s">
        <v>81</v>
      </c>
      <c r="K5165" t="s">
        <v>47</v>
      </c>
      <c r="O5165">
        <v>0</v>
      </c>
      <c r="P5165">
        <v>0</v>
      </c>
      <c r="Q5165">
        <v>0</v>
      </c>
      <c r="R5165">
        <v>0</v>
      </c>
      <c r="W5165" t="s">
        <v>1209</v>
      </c>
      <c r="AA5165">
        <v>2007</v>
      </c>
      <c r="AB5165">
        <v>2008</v>
      </c>
      <c r="AC5165" t="s">
        <v>265</v>
      </c>
    </row>
    <row r="5166" spans="1:29" x14ac:dyDescent="0.25">
      <c r="A5166" s="31" t="s">
        <v>97</v>
      </c>
      <c r="B5166" s="23" t="s">
        <v>99</v>
      </c>
      <c r="C5166" t="s">
        <v>923</v>
      </c>
      <c r="D5166">
        <v>1</v>
      </c>
      <c r="E5166" t="s">
        <v>45</v>
      </c>
      <c r="F5166">
        <v>4</v>
      </c>
      <c r="G5166">
        <v>2008</v>
      </c>
      <c r="I5166">
        <v>252.6</v>
      </c>
      <c r="J5166" t="s">
        <v>89</v>
      </c>
      <c r="K5166" t="s">
        <v>47</v>
      </c>
      <c r="O5166">
        <v>0</v>
      </c>
      <c r="P5166">
        <v>0</v>
      </c>
      <c r="Q5166">
        <v>0</v>
      </c>
      <c r="R5166">
        <v>0</v>
      </c>
      <c r="W5166" t="s">
        <v>1210</v>
      </c>
      <c r="AA5166">
        <v>2007</v>
      </c>
      <c r="AB5166">
        <v>9999</v>
      </c>
      <c r="AC5166" t="s">
        <v>35</v>
      </c>
    </row>
    <row r="5167" spans="1:29" x14ac:dyDescent="0.25">
      <c r="A5167" s="31" t="s">
        <v>925</v>
      </c>
      <c r="B5167" s="23" t="s">
        <v>926</v>
      </c>
      <c r="C5167" t="s">
        <v>927</v>
      </c>
      <c r="D5167">
        <v>1</v>
      </c>
      <c r="E5167" t="s">
        <v>103</v>
      </c>
      <c r="F5167">
        <v>9</v>
      </c>
      <c r="G5167">
        <v>2008</v>
      </c>
      <c r="I5167">
        <v>2609.1</v>
      </c>
      <c r="J5167" t="s">
        <v>151</v>
      </c>
      <c r="K5167" t="s">
        <v>53</v>
      </c>
      <c r="L5167" t="s">
        <v>105</v>
      </c>
      <c r="O5167">
        <v>0</v>
      </c>
      <c r="P5167">
        <v>0</v>
      </c>
      <c r="Q5167">
        <v>0</v>
      </c>
      <c r="R5167">
        <v>0</v>
      </c>
      <c r="W5167" t="s">
        <v>928</v>
      </c>
      <c r="AA5167">
        <v>2007</v>
      </c>
      <c r="AB5167">
        <v>9999</v>
      </c>
      <c r="AC5167" t="s">
        <v>35</v>
      </c>
    </row>
    <row r="5168" spans="1:29" x14ac:dyDescent="0.25">
      <c r="A5168" s="31" t="s">
        <v>929</v>
      </c>
      <c r="B5168" s="23" t="s">
        <v>930</v>
      </c>
      <c r="C5168" t="s">
        <v>931</v>
      </c>
      <c r="D5168">
        <v>1</v>
      </c>
      <c r="E5168" t="s">
        <v>45</v>
      </c>
      <c r="F5168">
        <v>4</v>
      </c>
      <c r="G5168">
        <v>2008</v>
      </c>
      <c r="I5168">
        <v>535.70000000000005</v>
      </c>
      <c r="J5168" t="s">
        <v>31</v>
      </c>
      <c r="K5168" t="s">
        <v>47</v>
      </c>
      <c r="O5168">
        <v>0</v>
      </c>
      <c r="P5168">
        <v>0</v>
      </c>
      <c r="Q5168">
        <v>0</v>
      </c>
      <c r="R5168">
        <v>0</v>
      </c>
      <c r="W5168" t="s">
        <v>1211</v>
      </c>
      <c r="AA5168">
        <v>2007</v>
      </c>
      <c r="AB5168">
        <v>9999</v>
      </c>
      <c r="AC5168" t="s">
        <v>35</v>
      </c>
    </row>
    <row r="5169" spans="1:29" x14ac:dyDescent="0.25">
      <c r="A5169" s="31" t="s">
        <v>1212</v>
      </c>
      <c r="B5169" s="23" t="s">
        <v>1213</v>
      </c>
      <c r="D5169">
        <v>1</v>
      </c>
      <c r="E5169" t="s">
        <v>681</v>
      </c>
      <c r="F5169">
        <v>3</v>
      </c>
      <c r="G5169">
        <v>2008</v>
      </c>
      <c r="I5169">
        <v>3</v>
      </c>
      <c r="J5169" t="s">
        <v>121</v>
      </c>
      <c r="K5169" t="s">
        <v>41</v>
      </c>
      <c r="O5169">
        <v>0</v>
      </c>
      <c r="P5169">
        <v>0</v>
      </c>
      <c r="Q5169">
        <v>0</v>
      </c>
      <c r="R5169">
        <v>0</v>
      </c>
      <c r="W5169" t="s">
        <v>664</v>
      </c>
      <c r="AA5169">
        <v>2008</v>
      </c>
      <c r="AB5169">
        <v>9999</v>
      </c>
      <c r="AC5169" t="s">
        <v>1054</v>
      </c>
    </row>
    <row r="5170" spans="1:29" x14ac:dyDescent="0.25">
      <c r="A5170" s="31" t="s">
        <v>933</v>
      </c>
      <c r="B5170" s="25" t="s">
        <v>934</v>
      </c>
      <c r="C5170" t="s">
        <v>935</v>
      </c>
      <c r="D5170">
        <v>1</v>
      </c>
      <c r="E5170" t="s">
        <v>681</v>
      </c>
      <c r="F5170">
        <v>3</v>
      </c>
      <c r="G5170">
        <v>2008</v>
      </c>
      <c r="I5170" t="s">
        <v>812</v>
      </c>
      <c r="J5170" t="s">
        <v>121</v>
      </c>
      <c r="K5170" t="s">
        <v>47</v>
      </c>
      <c r="O5170">
        <v>0</v>
      </c>
      <c r="P5170">
        <v>0</v>
      </c>
      <c r="Q5170">
        <v>0</v>
      </c>
      <c r="R5170">
        <v>0</v>
      </c>
      <c r="W5170" t="s">
        <v>936</v>
      </c>
      <c r="AA5170">
        <v>2007</v>
      </c>
      <c r="AB5170">
        <v>9999</v>
      </c>
      <c r="AC5170" t="s">
        <v>35</v>
      </c>
    </row>
    <row r="5171" spans="1:29" x14ac:dyDescent="0.25">
      <c r="A5171" s="31" t="s">
        <v>937</v>
      </c>
      <c r="B5171" s="23" t="s">
        <v>938</v>
      </c>
      <c r="D5171">
        <v>1</v>
      </c>
      <c r="E5171" t="s">
        <v>103</v>
      </c>
      <c r="F5171">
        <v>9</v>
      </c>
      <c r="G5171">
        <v>2008</v>
      </c>
      <c r="I5171">
        <v>621</v>
      </c>
      <c r="J5171" t="s">
        <v>104</v>
      </c>
      <c r="K5171" t="s">
        <v>53</v>
      </c>
      <c r="L5171" t="s">
        <v>105</v>
      </c>
      <c r="O5171">
        <v>0</v>
      </c>
      <c r="P5171">
        <v>1</v>
      </c>
      <c r="Q5171">
        <v>0</v>
      </c>
      <c r="R5171">
        <v>0</v>
      </c>
      <c r="W5171" t="s">
        <v>106</v>
      </c>
      <c r="AA5171">
        <v>2007</v>
      </c>
      <c r="AB5171">
        <v>9999</v>
      </c>
      <c r="AC5171" t="s">
        <v>35</v>
      </c>
    </row>
    <row r="5172" spans="1:29" x14ac:dyDescent="0.25">
      <c r="A5172" s="31" t="s">
        <v>939</v>
      </c>
      <c r="B5172" s="23" t="s">
        <v>940</v>
      </c>
      <c r="D5172">
        <v>1</v>
      </c>
      <c r="E5172" t="s">
        <v>80</v>
      </c>
      <c r="F5172">
        <v>8</v>
      </c>
      <c r="G5172">
        <v>2008</v>
      </c>
      <c r="I5172">
        <v>76.2</v>
      </c>
      <c r="J5172" s="2" t="s">
        <v>81</v>
      </c>
      <c r="K5172" t="s">
        <v>47</v>
      </c>
      <c r="O5172">
        <v>0</v>
      </c>
      <c r="P5172">
        <v>0</v>
      </c>
      <c r="Q5172">
        <v>0</v>
      </c>
      <c r="R5172">
        <v>0</v>
      </c>
      <c r="W5172" t="s">
        <v>1214</v>
      </c>
      <c r="AA5172">
        <v>2007</v>
      </c>
      <c r="AB5172">
        <v>9999</v>
      </c>
      <c r="AC5172" t="s">
        <v>35</v>
      </c>
    </row>
    <row r="5173" spans="1:29" x14ac:dyDescent="0.25">
      <c r="A5173" s="31" t="s">
        <v>629</v>
      </c>
      <c r="B5173" s="23" t="s">
        <v>942</v>
      </c>
      <c r="D5173">
        <v>1</v>
      </c>
      <c r="E5173" t="s">
        <v>138</v>
      </c>
      <c r="F5173">
        <v>8</v>
      </c>
      <c r="G5173">
        <v>2008</v>
      </c>
      <c r="H5173" t="s">
        <v>630</v>
      </c>
      <c r="J5173" t="s">
        <v>81</v>
      </c>
      <c r="K5173" t="s">
        <v>41</v>
      </c>
      <c r="O5173">
        <v>0</v>
      </c>
      <c r="P5173">
        <v>0</v>
      </c>
      <c r="Q5173">
        <v>0</v>
      </c>
      <c r="R5173">
        <v>0</v>
      </c>
      <c r="W5173" t="s">
        <v>1215</v>
      </c>
      <c r="AA5173">
        <v>2007</v>
      </c>
      <c r="AB5173">
        <v>2014</v>
      </c>
      <c r="AC5173" t="s">
        <v>633</v>
      </c>
    </row>
    <row r="5174" spans="1:29" x14ac:dyDescent="0.25">
      <c r="A5174" s="31" t="s">
        <v>944</v>
      </c>
      <c r="B5174" s="23" t="s">
        <v>945</v>
      </c>
      <c r="D5174">
        <v>1</v>
      </c>
      <c r="E5174" s="6" t="s">
        <v>128</v>
      </c>
      <c r="F5174">
        <v>9</v>
      </c>
      <c r="G5174">
        <v>2008</v>
      </c>
      <c r="I5174">
        <v>33.200000000000003</v>
      </c>
      <c r="J5174" t="s">
        <v>104</v>
      </c>
      <c r="K5174" t="s">
        <v>53</v>
      </c>
      <c r="L5174" t="s">
        <v>105</v>
      </c>
      <c r="O5174">
        <v>0</v>
      </c>
      <c r="P5174">
        <v>1</v>
      </c>
      <c r="Q5174">
        <v>0</v>
      </c>
      <c r="R5174">
        <v>0</v>
      </c>
      <c r="W5174" t="s">
        <v>106</v>
      </c>
      <c r="AA5174">
        <v>2007</v>
      </c>
      <c r="AB5174">
        <v>2010</v>
      </c>
      <c r="AC5174" t="s">
        <v>91</v>
      </c>
    </row>
    <row r="5175" spans="1:29" x14ac:dyDescent="0.25">
      <c r="A5175" s="31" t="s">
        <v>153</v>
      </c>
      <c r="B5175" s="23" t="s">
        <v>946</v>
      </c>
      <c r="D5175">
        <v>54</v>
      </c>
      <c r="E5175" t="s">
        <v>155</v>
      </c>
      <c r="F5175">
        <v>3</v>
      </c>
      <c r="G5175">
        <v>2008</v>
      </c>
      <c r="I5175">
        <v>2531.6005375991858</v>
      </c>
      <c r="J5175" t="s">
        <v>121</v>
      </c>
      <c r="K5175" t="s">
        <v>53</v>
      </c>
      <c r="L5175" t="s">
        <v>60</v>
      </c>
      <c r="O5175">
        <v>1</v>
      </c>
      <c r="P5175">
        <v>0</v>
      </c>
      <c r="Q5175">
        <v>0</v>
      </c>
      <c r="R5175">
        <v>0</v>
      </c>
      <c r="V5175">
        <v>1</v>
      </c>
      <c r="W5175" t="s">
        <v>947</v>
      </c>
      <c r="AA5175">
        <v>2007</v>
      </c>
      <c r="AB5175">
        <v>9999</v>
      </c>
      <c r="AC5175" t="s">
        <v>35</v>
      </c>
    </row>
    <row r="5176" spans="1:29" x14ac:dyDescent="0.25">
      <c r="A5176" s="31" t="s">
        <v>153</v>
      </c>
      <c r="B5176" s="23" t="s">
        <v>948</v>
      </c>
      <c r="D5176">
        <v>1</v>
      </c>
      <c r="E5176" t="s">
        <v>155</v>
      </c>
      <c r="F5176">
        <v>3</v>
      </c>
      <c r="G5176">
        <v>2008</v>
      </c>
      <c r="H5176" t="s">
        <v>154</v>
      </c>
      <c r="J5176" t="s">
        <v>121</v>
      </c>
      <c r="K5176" t="s">
        <v>41</v>
      </c>
      <c r="O5176">
        <v>0</v>
      </c>
      <c r="P5176">
        <v>0</v>
      </c>
      <c r="Q5176">
        <v>0</v>
      </c>
      <c r="R5176">
        <v>0</v>
      </c>
      <c r="W5176" t="s">
        <v>949</v>
      </c>
      <c r="AA5176">
        <v>2007</v>
      </c>
      <c r="AB5176">
        <v>9999</v>
      </c>
      <c r="AC5176" t="s">
        <v>35</v>
      </c>
    </row>
    <row r="5177" spans="1:29" x14ac:dyDescent="0.25">
      <c r="A5177" s="31" t="s">
        <v>950</v>
      </c>
      <c r="B5177" s="23" t="s">
        <v>951</v>
      </c>
      <c r="C5177" t="s">
        <v>952</v>
      </c>
      <c r="D5177">
        <v>1</v>
      </c>
      <c r="E5177" t="s">
        <v>218</v>
      </c>
      <c r="F5177">
        <v>2</v>
      </c>
      <c r="G5177">
        <v>2008</v>
      </c>
      <c r="I5177">
        <v>897.4</v>
      </c>
      <c r="J5177" t="s">
        <v>147</v>
      </c>
      <c r="K5177" t="s">
        <v>32</v>
      </c>
      <c r="O5177">
        <v>0</v>
      </c>
      <c r="P5177">
        <v>0</v>
      </c>
      <c r="Q5177">
        <v>0</v>
      </c>
      <c r="R5177">
        <v>0</v>
      </c>
      <c r="W5177" t="s">
        <v>1216</v>
      </c>
      <c r="AA5177">
        <v>2007</v>
      </c>
      <c r="AB5177">
        <v>9999</v>
      </c>
      <c r="AC5177" t="s">
        <v>35</v>
      </c>
    </row>
    <row r="5178" spans="1:29" x14ac:dyDescent="0.25">
      <c r="A5178" s="31" t="s">
        <v>954</v>
      </c>
      <c r="B5178" s="23" t="s">
        <v>955</v>
      </c>
      <c r="C5178" t="s">
        <v>956</v>
      </c>
      <c r="D5178">
        <v>1</v>
      </c>
      <c r="E5178" t="s">
        <v>218</v>
      </c>
      <c r="F5178">
        <v>2</v>
      </c>
      <c r="G5178">
        <v>2008</v>
      </c>
      <c r="I5178">
        <v>249.9</v>
      </c>
      <c r="J5178" t="s">
        <v>147</v>
      </c>
      <c r="K5178" t="s">
        <v>47</v>
      </c>
      <c r="O5178">
        <v>0</v>
      </c>
      <c r="P5178">
        <v>0</v>
      </c>
      <c r="Q5178">
        <v>0</v>
      </c>
      <c r="R5178">
        <v>0</v>
      </c>
      <c r="W5178" t="s">
        <v>1217</v>
      </c>
      <c r="AA5178">
        <v>2007</v>
      </c>
      <c r="AB5178">
        <v>9999</v>
      </c>
      <c r="AC5178" t="s">
        <v>35</v>
      </c>
    </row>
    <row r="5179" spans="1:29" x14ac:dyDescent="0.25">
      <c r="A5179" s="31" t="s">
        <v>958</v>
      </c>
      <c r="B5179" s="25" t="s">
        <v>959</v>
      </c>
      <c r="D5179">
        <v>1</v>
      </c>
      <c r="E5179" t="s">
        <v>51</v>
      </c>
      <c r="F5179">
        <v>1</v>
      </c>
      <c r="G5179">
        <v>2008</v>
      </c>
      <c r="I5179">
        <v>50</v>
      </c>
      <c r="J5179" t="s">
        <v>52</v>
      </c>
      <c r="K5179" t="s">
        <v>53</v>
      </c>
      <c r="L5179" t="s">
        <v>54</v>
      </c>
      <c r="O5179">
        <v>0</v>
      </c>
      <c r="P5179">
        <v>0</v>
      </c>
      <c r="Q5179">
        <v>1</v>
      </c>
      <c r="R5179">
        <v>0</v>
      </c>
      <c r="W5179" t="s">
        <v>55</v>
      </c>
      <c r="AA5179">
        <v>2007</v>
      </c>
      <c r="AB5179">
        <v>9999</v>
      </c>
      <c r="AC5179" t="s">
        <v>35</v>
      </c>
    </row>
    <row r="5180" spans="1:29" x14ac:dyDescent="0.25">
      <c r="A5180" s="31" t="s">
        <v>960</v>
      </c>
      <c r="B5180" s="23" t="s">
        <v>961</v>
      </c>
      <c r="D5180">
        <v>1</v>
      </c>
      <c r="E5180" t="s">
        <v>168</v>
      </c>
      <c r="F5180">
        <v>1</v>
      </c>
      <c r="G5180">
        <v>2008</v>
      </c>
      <c r="I5180">
        <v>2083.4</v>
      </c>
      <c r="J5180" t="s">
        <v>52</v>
      </c>
      <c r="K5180" t="s">
        <v>47</v>
      </c>
      <c r="O5180">
        <v>0</v>
      </c>
      <c r="P5180">
        <v>0</v>
      </c>
      <c r="Q5180">
        <v>0</v>
      </c>
      <c r="R5180">
        <v>0</v>
      </c>
      <c r="W5180" t="s">
        <v>1218</v>
      </c>
      <c r="AA5180">
        <v>2007</v>
      </c>
      <c r="AB5180">
        <v>9999</v>
      </c>
      <c r="AC5180" t="s">
        <v>35</v>
      </c>
    </row>
    <row r="5181" spans="1:29" x14ac:dyDescent="0.25">
      <c r="A5181" s="31" t="s">
        <v>963</v>
      </c>
      <c r="B5181" s="23" t="s">
        <v>658</v>
      </c>
      <c r="D5181">
        <v>1</v>
      </c>
      <c r="E5181" t="s">
        <v>103</v>
      </c>
      <c r="F5181">
        <v>9</v>
      </c>
      <c r="G5181">
        <v>2008</v>
      </c>
      <c r="I5181">
        <v>3389.1</v>
      </c>
      <c r="J5181" t="s">
        <v>104</v>
      </c>
      <c r="K5181" t="s">
        <v>53</v>
      </c>
      <c r="L5181" t="s">
        <v>105</v>
      </c>
      <c r="O5181">
        <v>0</v>
      </c>
      <c r="P5181">
        <v>1</v>
      </c>
      <c r="Q5181">
        <v>0</v>
      </c>
      <c r="R5181">
        <v>0</v>
      </c>
      <c r="W5181" t="s">
        <v>106</v>
      </c>
      <c r="AA5181">
        <v>2007</v>
      </c>
      <c r="AB5181">
        <v>9999</v>
      </c>
      <c r="AC5181" t="s">
        <v>35</v>
      </c>
    </row>
    <row r="5182" spans="1:29" x14ac:dyDescent="0.25">
      <c r="A5182" s="31" t="s">
        <v>964</v>
      </c>
      <c r="B5182" s="23" t="s">
        <v>965</v>
      </c>
      <c r="D5182">
        <v>1</v>
      </c>
      <c r="E5182" t="s">
        <v>80</v>
      </c>
      <c r="F5182">
        <v>8</v>
      </c>
      <c r="G5182">
        <v>2008</v>
      </c>
      <c r="I5182">
        <v>48.2</v>
      </c>
      <c r="J5182" t="s">
        <v>46</v>
      </c>
      <c r="K5182" t="s">
        <v>47</v>
      </c>
      <c r="O5182">
        <v>0</v>
      </c>
      <c r="P5182">
        <v>0</v>
      </c>
      <c r="Q5182">
        <v>0</v>
      </c>
      <c r="R5182">
        <v>0</v>
      </c>
      <c r="W5182" t="s">
        <v>1219</v>
      </c>
      <c r="AA5182">
        <v>2007</v>
      </c>
      <c r="AB5182">
        <v>9999</v>
      </c>
      <c r="AC5182" t="s">
        <v>35</v>
      </c>
    </row>
    <row r="5183" spans="1:29" x14ac:dyDescent="0.25">
      <c r="A5183" s="31" t="s">
        <v>967</v>
      </c>
      <c r="B5183" s="23" t="s">
        <v>661</v>
      </c>
      <c r="D5183">
        <v>1</v>
      </c>
      <c r="E5183" t="s">
        <v>103</v>
      </c>
      <c r="F5183">
        <v>9</v>
      </c>
      <c r="G5183">
        <v>2008</v>
      </c>
      <c r="I5183">
        <v>4598.3</v>
      </c>
      <c r="J5183" t="s">
        <v>104</v>
      </c>
      <c r="K5183" t="s">
        <v>53</v>
      </c>
      <c r="L5183" t="s">
        <v>105</v>
      </c>
      <c r="O5183">
        <v>0</v>
      </c>
      <c r="P5183">
        <v>1</v>
      </c>
      <c r="Q5183">
        <v>0</v>
      </c>
      <c r="R5183">
        <v>0</v>
      </c>
      <c r="W5183" t="s">
        <v>106</v>
      </c>
      <c r="AA5183">
        <v>2007</v>
      </c>
      <c r="AB5183">
        <v>9999</v>
      </c>
      <c r="AC5183" t="s">
        <v>35</v>
      </c>
    </row>
    <row r="5184" spans="1:29" x14ac:dyDescent="0.25">
      <c r="A5184" s="31" t="s">
        <v>968</v>
      </c>
      <c r="B5184" s="25" t="s">
        <v>969</v>
      </c>
      <c r="D5184">
        <v>1</v>
      </c>
      <c r="E5184" t="s">
        <v>85</v>
      </c>
      <c r="F5184">
        <v>1</v>
      </c>
      <c r="G5184">
        <v>2008</v>
      </c>
      <c r="H5184" t="s">
        <v>970</v>
      </c>
      <c r="J5184" t="s">
        <v>176</v>
      </c>
      <c r="K5184" t="s">
        <v>41</v>
      </c>
      <c r="O5184">
        <v>0</v>
      </c>
      <c r="P5184">
        <v>0</v>
      </c>
      <c r="Q5184">
        <v>0</v>
      </c>
      <c r="R5184">
        <v>0</v>
      </c>
      <c r="W5184" t="s">
        <v>971</v>
      </c>
      <c r="AA5184">
        <v>2007</v>
      </c>
      <c r="AB5184">
        <v>9999</v>
      </c>
      <c r="AC5184" t="s">
        <v>35</v>
      </c>
    </row>
    <row r="5185" spans="1:29" x14ac:dyDescent="0.25">
      <c r="A5185" s="31" t="s">
        <v>975</v>
      </c>
      <c r="B5185" s="23" t="s">
        <v>976</v>
      </c>
      <c r="D5185">
        <v>1</v>
      </c>
      <c r="E5185" t="s">
        <v>977</v>
      </c>
      <c r="F5185">
        <v>1</v>
      </c>
      <c r="G5185">
        <v>2008</v>
      </c>
      <c r="I5185">
        <v>12.6</v>
      </c>
      <c r="J5185" t="s">
        <v>121</v>
      </c>
      <c r="K5185" t="s">
        <v>41</v>
      </c>
      <c r="O5185">
        <v>0</v>
      </c>
      <c r="P5185">
        <v>0</v>
      </c>
      <c r="Q5185">
        <v>0</v>
      </c>
      <c r="R5185">
        <v>0</v>
      </c>
      <c r="W5185" t="s">
        <v>1220</v>
      </c>
      <c r="AA5185">
        <v>2007</v>
      </c>
      <c r="AB5185">
        <v>9999</v>
      </c>
      <c r="AC5185" t="s">
        <v>35</v>
      </c>
    </row>
    <row r="5186" spans="1:29" x14ac:dyDescent="0.25">
      <c r="A5186" s="31" t="s">
        <v>979</v>
      </c>
      <c r="B5186" s="23" t="s">
        <v>980</v>
      </c>
      <c r="D5186">
        <v>1</v>
      </c>
      <c r="E5186" t="s">
        <v>85</v>
      </c>
      <c r="F5186">
        <v>1</v>
      </c>
      <c r="G5186">
        <v>2008</v>
      </c>
      <c r="I5186">
        <v>83.6</v>
      </c>
      <c r="J5186" t="s">
        <v>52</v>
      </c>
      <c r="K5186" t="s">
        <v>47</v>
      </c>
      <c r="O5186">
        <v>0</v>
      </c>
      <c r="P5186">
        <v>0</v>
      </c>
      <c r="Q5186">
        <v>0</v>
      </c>
      <c r="R5186">
        <v>0</v>
      </c>
      <c r="W5186" t="s">
        <v>1221</v>
      </c>
      <c r="AA5186">
        <v>2007</v>
      </c>
      <c r="AB5186">
        <v>2008</v>
      </c>
      <c r="AC5186" t="s">
        <v>265</v>
      </c>
    </row>
    <row r="5187" spans="1:29" x14ac:dyDescent="0.25">
      <c r="A5187" s="31" t="s">
        <v>982</v>
      </c>
      <c r="B5187" s="23" t="s">
        <v>983</v>
      </c>
      <c r="D5187">
        <v>1</v>
      </c>
      <c r="E5187" t="s">
        <v>300</v>
      </c>
      <c r="F5187">
        <v>9</v>
      </c>
      <c r="G5187">
        <v>2008</v>
      </c>
      <c r="I5187">
        <v>105.2</v>
      </c>
      <c r="J5187" t="s">
        <v>104</v>
      </c>
      <c r="K5187" t="s">
        <v>32</v>
      </c>
      <c r="O5187">
        <v>0</v>
      </c>
      <c r="P5187">
        <v>0</v>
      </c>
      <c r="Q5187">
        <v>0</v>
      </c>
      <c r="R5187">
        <v>0</v>
      </c>
      <c r="W5187" t="s">
        <v>1222</v>
      </c>
      <c r="AA5187">
        <v>2007</v>
      </c>
      <c r="AB5187">
        <v>2012</v>
      </c>
      <c r="AC5187" t="s">
        <v>302</v>
      </c>
    </row>
    <row r="5188" spans="1:29" x14ac:dyDescent="0.25">
      <c r="A5188" s="31" t="s">
        <v>985</v>
      </c>
      <c r="B5188" s="23" t="s">
        <v>986</v>
      </c>
      <c r="C5188" t="s">
        <v>987</v>
      </c>
      <c r="D5188">
        <v>1</v>
      </c>
      <c r="E5188" t="s">
        <v>988</v>
      </c>
      <c r="F5188">
        <v>4</v>
      </c>
      <c r="G5188">
        <v>2008</v>
      </c>
      <c r="I5188">
        <v>190.4</v>
      </c>
      <c r="J5188" t="s">
        <v>89</v>
      </c>
      <c r="K5188" t="s">
        <v>32</v>
      </c>
      <c r="O5188">
        <v>0</v>
      </c>
      <c r="P5188">
        <v>0</v>
      </c>
      <c r="Q5188">
        <v>0</v>
      </c>
      <c r="R5188">
        <v>0</v>
      </c>
      <c r="W5188" t="s">
        <v>1223</v>
      </c>
      <c r="AA5188">
        <v>2007</v>
      </c>
      <c r="AB5188">
        <v>9999</v>
      </c>
      <c r="AC5188" t="s">
        <v>35</v>
      </c>
    </row>
    <row r="5189" spans="1:29" x14ac:dyDescent="0.25">
      <c r="A5189" s="31" t="s">
        <v>990</v>
      </c>
      <c r="B5189" s="23" t="s">
        <v>991</v>
      </c>
      <c r="D5189">
        <v>1</v>
      </c>
      <c r="E5189" t="s">
        <v>38</v>
      </c>
      <c r="F5189">
        <v>4</v>
      </c>
      <c r="G5189">
        <v>2008</v>
      </c>
      <c r="I5189">
        <v>274.7</v>
      </c>
      <c r="J5189" t="s">
        <v>89</v>
      </c>
      <c r="K5189" t="s">
        <v>32</v>
      </c>
      <c r="O5189">
        <v>0</v>
      </c>
      <c r="P5189">
        <v>0</v>
      </c>
      <c r="Q5189">
        <v>0</v>
      </c>
      <c r="R5189">
        <v>0</v>
      </c>
      <c r="W5189" t="s">
        <v>1224</v>
      </c>
      <c r="AA5189">
        <v>2007</v>
      </c>
      <c r="AB5189">
        <v>2009</v>
      </c>
      <c r="AC5189" t="s">
        <v>236</v>
      </c>
    </row>
    <row r="5190" spans="1:29" x14ac:dyDescent="0.25">
      <c r="A5190" s="31" t="s">
        <v>993</v>
      </c>
      <c r="B5190" s="23" t="s">
        <v>129</v>
      </c>
      <c r="D5190">
        <v>1</v>
      </c>
      <c r="E5190" t="s">
        <v>994</v>
      </c>
      <c r="F5190">
        <v>1</v>
      </c>
      <c r="G5190">
        <v>2008</v>
      </c>
      <c r="I5190">
        <v>149.9</v>
      </c>
      <c r="J5190" t="s">
        <v>104</v>
      </c>
      <c r="K5190" t="s">
        <v>32</v>
      </c>
      <c r="O5190">
        <v>0</v>
      </c>
      <c r="P5190">
        <v>0</v>
      </c>
      <c r="Q5190">
        <v>0</v>
      </c>
      <c r="R5190">
        <v>0</v>
      </c>
      <c r="W5190" t="s">
        <v>1225</v>
      </c>
      <c r="AA5190">
        <v>2007</v>
      </c>
      <c r="AB5190">
        <v>9999</v>
      </c>
      <c r="AC5190" t="s">
        <v>35</v>
      </c>
    </row>
    <row r="5191" spans="1:29" x14ac:dyDescent="0.25">
      <c r="A5191" s="31" t="s">
        <v>996</v>
      </c>
      <c r="B5191" s="23" t="s">
        <v>997</v>
      </c>
      <c r="D5191">
        <v>1</v>
      </c>
      <c r="E5191" t="s">
        <v>38</v>
      </c>
      <c r="F5191">
        <v>4</v>
      </c>
      <c r="G5191">
        <v>2008</v>
      </c>
      <c r="H5191" t="s">
        <v>998</v>
      </c>
      <c r="J5191" t="s">
        <v>151</v>
      </c>
      <c r="K5191" t="s">
        <v>1226</v>
      </c>
      <c r="O5191">
        <v>0</v>
      </c>
      <c r="P5191">
        <v>0</v>
      </c>
      <c r="Q5191">
        <v>0</v>
      </c>
      <c r="R5191">
        <v>0</v>
      </c>
      <c r="W5191" t="s">
        <v>999</v>
      </c>
      <c r="AA5191">
        <v>2007</v>
      </c>
      <c r="AB5191">
        <v>9999</v>
      </c>
      <c r="AC5191" t="s">
        <v>35</v>
      </c>
    </row>
    <row r="5192" spans="1:29" x14ac:dyDescent="0.25">
      <c r="A5192" s="31" t="s">
        <v>1000</v>
      </c>
      <c r="B5192" s="23" t="s">
        <v>1001</v>
      </c>
      <c r="D5192">
        <v>1</v>
      </c>
      <c r="E5192" t="s">
        <v>38</v>
      </c>
      <c r="F5192">
        <v>4</v>
      </c>
      <c r="G5192">
        <v>2008</v>
      </c>
      <c r="I5192">
        <v>6621</v>
      </c>
      <c r="J5192" t="s">
        <v>89</v>
      </c>
      <c r="K5192" t="s">
        <v>32</v>
      </c>
      <c r="O5192">
        <v>0</v>
      </c>
      <c r="P5192">
        <v>0</v>
      </c>
      <c r="Q5192">
        <v>0</v>
      </c>
      <c r="R5192">
        <v>0</v>
      </c>
      <c r="W5192" t="s">
        <v>1227</v>
      </c>
      <c r="AA5192">
        <v>2007</v>
      </c>
      <c r="AB5192">
        <v>2010</v>
      </c>
      <c r="AC5192" t="s">
        <v>91</v>
      </c>
    </row>
    <row r="5193" spans="1:29" x14ac:dyDescent="0.25">
      <c r="A5193" s="31" t="s">
        <v>1003</v>
      </c>
      <c r="B5193" s="23" t="s">
        <v>1004</v>
      </c>
      <c r="D5193">
        <v>1</v>
      </c>
      <c r="E5193" t="s">
        <v>128</v>
      </c>
      <c r="F5193">
        <v>9</v>
      </c>
      <c r="G5193">
        <v>2008</v>
      </c>
      <c r="I5193">
        <v>883.8</v>
      </c>
      <c r="J5193" t="s">
        <v>104</v>
      </c>
      <c r="K5193" t="s">
        <v>53</v>
      </c>
      <c r="L5193" t="s">
        <v>105</v>
      </c>
      <c r="O5193">
        <v>0</v>
      </c>
      <c r="P5193">
        <v>1</v>
      </c>
      <c r="Q5193">
        <v>0</v>
      </c>
      <c r="R5193">
        <v>0</v>
      </c>
      <c r="W5193" t="s">
        <v>106</v>
      </c>
      <c r="AA5193">
        <v>2007</v>
      </c>
      <c r="AB5193">
        <v>2009</v>
      </c>
      <c r="AC5193" t="s">
        <v>236</v>
      </c>
    </row>
    <row r="5194" spans="1:29" x14ac:dyDescent="0.25">
      <c r="A5194" s="31" t="s">
        <v>1005</v>
      </c>
      <c r="B5194" s="23" t="s">
        <v>1006</v>
      </c>
      <c r="D5194">
        <v>1</v>
      </c>
      <c r="E5194" t="s">
        <v>80</v>
      </c>
      <c r="F5194">
        <v>8</v>
      </c>
      <c r="G5194">
        <v>2008</v>
      </c>
      <c r="I5194">
        <v>7.5</v>
      </c>
      <c r="J5194" t="s">
        <v>104</v>
      </c>
      <c r="K5194" t="s">
        <v>53</v>
      </c>
      <c r="L5194" t="s">
        <v>53</v>
      </c>
      <c r="O5194">
        <v>0</v>
      </c>
      <c r="P5194">
        <v>0</v>
      </c>
      <c r="Q5194">
        <v>0</v>
      </c>
      <c r="R5194">
        <v>0</v>
      </c>
      <c r="W5194" t="s">
        <v>1007</v>
      </c>
      <c r="AA5194">
        <v>2007</v>
      </c>
      <c r="AB5194">
        <v>2016</v>
      </c>
      <c r="AC5194" t="s">
        <v>528</v>
      </c>
    </row>
    <row r="5195" spans="1:29" x14ac:dyDescent="0.25">
      <c r="A5195" s="31" t="s">
        <v>1008</v>
      </c>
      <c r="B5195" s="23" t="s">
        <v>1009</v>
      </c>
      <c r="D5195">
        <v>1</v>
      </c>
      <c r="E5195" t="s">
        <v>155</v>
      </c>
      <c r="F5195">
        <v>3</v>
      </c>
      <c r="G5195">
        <v>2008</v>
      </c>
      <c r="I5195">
        <v>1076.0999999999999</v>
      </c>
      <c r="J5195" t="s">
        <v>121</v>
      </c>
      <c r="K5195" t="s">
        <v>47</v>
      </c>
      <c r="O5195">
        <v>0</v>
      </c>
      <c r="P5195">
        <v>0</v>
      </c>
      <c r="Q5195">
        <v>0</v>
      </c>
      <c r="R5195">
        <v>0</v>
      </c>
      <c r="W5195" t="s">
        <v>1228</v>
      </c>
      <c r="AA5195">
        <v>2007</v>
      </c>
      <c r="AB5195">
        <v>9999</v>
      </c>
      <c r="AC5195" t="s">
        <v>35</v>
      </c>
    </row>
    <row r="5196" spans="1:29" x14ac:dyDescent="0.25">
      <c r="A5196" s="31" t="s">
        <v>1011</v>
      </c>
      <c r="B5196" s="23" t="s">
        <v>1012</v>
      </c>
      <c r="D5196">
        <v>1</v>
      </c>
      <c r="E5196" t="s">
        <v>103</v>
      </c>
      <c r="F5196">
        <v>9</v>
      </c>
      <c r="G5196">
        <v>2008</v>
      </c>
      <c r="I5196">
        <v>999.5</v>
      </c>
      <c r="J5196" t="s">
        <v>104</v>
      </c>
      <c r="K5196" t="s">
        <v>53</v>
      </c>
      <c r="L5196" t="s">
        <v>105</v>
      </c>
      <c r="O5196">
        <v>0</v>
      </c>
      <c r="P5196">
        <v>1</v>
      </c>
      <c r="Q5196">
        <v>0</v>
      </c>
      <c r="R5196">
        <v>0</v>
      </c>
      <c r="W5196" t="s">
        <v>106</v>
      </c>
      <c r="AA5196">
        <v>2007</v>
      </c>
      <c r="AB5196">
        <v>9999</v>
      </c>
      <c r="AC5196" t="s">
        <v>35</v>
      </c>
    </row>
    <row r="5197" spans="1:29" x14ac:dyDescent="0.25">
      <c r="A5197" s="31" t="s">
        <v>1013</v>
      </c>
      <c r="B5197" s="25" t="s">
        <v>1014</v>
      </c>
      <c r="D5197">
        <v>1</v>
      </c>
      <c r="E5197" t="s">
        <v>128</v>
      </c>
      <c r="F5197">
        <v>9</v>
      </c>
      <c r="G5197">
        <v>2008</v>
      </c>
      <c r="H5197" t="s">
        <v>297</v>
      </c>
      <c r="J5197" t="s">
        <v>104</v>
      </c>
      <c r="K5197" t="s">
        <v>41</v>
      </c>
      <c r="O5197">
        <v>0</v>
      </c>
      <c r="P5197">
        <v>0</v>
      </c>
      <c r="Q5197">
        <v>0</v>
      </c>
      <c r="R5197">
        <v>0</v>
      </c>
      <c r="W5197" t="s">
        <v>1229</v>
      </c>
      <c r="AA5197">
        <v>2007</v>
      </c>
      <c r="AB5197">
        <v>9999</v>
      </c>
      <c r="AC5197" t="s">
        <v>35</v>
      </c>
    </row>
    <row r="5198" spans="1:29" x14ac:dyDescent="0.25">
      <c r="A5198" s="31" t="s">
        <v>1016</v>
      </c>
      <c r="B5198" s="25" t="s">
        <v>1017</v>
      </c>
      <c r="D5198">
        <v>1</v>
      </c>
      <c r="E5198" t="s">
        <v>396</v>
      </c>
      <c r="F5198">
        <v>3</v>
      </c>
      <c r="G5198">
        <v>2008</v>
      </c>
      <c r="H5198" t="s">
        <v>1018</v>
      </c>
      <c r="I5198">
        <v>0.01</v>
      </c>
      <c r="J5198" t="s">
        <v>121</v>
      </c>
      <c r="K5198" t="s">
        <v>41</v>
      </c>
      <c r="O5198">
        <v>0</v>
      </c>
      <c r="P5198">
        <v>0</v>
      </c>
      <c r="Q5198">
        <v>0</v>
      </c>
      <c r="R5198">
        <v>0</v>
      </c>
      <c r="W5198" t="s">
        <v>1230</v>
      </c>
      <c r="AA5198">
        <v>2007</v>
      </c>
      <c r="AB5198">
        <v>9999</v>
      </c>
      <c r="AC5198" t="s">
        <v>35</v>
      </c>
    </row>
    <row r="5199" spans="1:29" x14ac:dyDescent="0.25">
      <c r="A5199" s="31" t="s">
        <v>1020</v>
      </c>
      <c r="B5199" s="23" t="s">
        <v>1021</v>
      </c>
      <c r="D5199">
        <v>1</v>
      </c>
      <c r="E5199" t="s">
        <v>103</v>
      </c>
      <c r="F5199">
        <v>9</v>
      </c>
      <c r="G5199">
        <v>2008</v>
      </c>
      <c r="I5199">
        <v>14.5</v>
      </c>
      <c r="J5199" t="s">
        <v>104</v>
      </c>
      <c r="K5199" t="s">
        <v>47</v>
      </c>
      <c r="O5199">
        <v>0</v>
      </c>
      <c r="P5199">
        <v>0</v>
      </c>
      <c r="Q5199">
        <v>0</v>
      </c>
      <c r="R5199">
        <v>0</v>
      </c>
      <c r="W5199" t="s">
        <v>1231</v>
      </c>
      <c r="AA5199">
        <v>2007</v>
      </c>
      <c r="AB5199">
        <v>9999</v>
      </c>
      <c r="AC5199" t="s">
        <v>35</v>
      </c>
    </row>
    <row r="5200" spans="1:29" x14ac:dyDescent="0.25">
      <c r="B5200" s="23" t="s">
        <v>1026</v>
      </c>
      <c r="D5200">
        <v>24</v>
      </c>
      <c r="F5200">
        <v>3</v>
      </c>
      <c r="G5200">
        <v>2008</v>
      </c>
      <c r="H5200" t="s">
        <v>392</v>
      </c>
      <c r="I5200" t="s">
        <v>1027</v>
      </c>
      <c r="J5200" t="s">
        <v>121</v>
      </c>
      <c r="K5200" t="s">
        <v>41</v>
      </c>
      <c r="O5200">
        <v>0</v>
      </c>
      <c r="P5200">
        <v>0</v>
      </c>
      <c r="Q5200">
        <v>0</v>
      </c>
      <c r="R5200">
        <v>0</v>
      </c>
      <c r="W5200" t="s">
        <v>1232</v>
      </c>
      <c r="AA5200">
        <v>2007</v>
      </c>
      <c r="AB5200">
        <v>9999</v>
      </c>
      <c r="AC5200" t="s">
        <v>35</v>
      </c>
    </row>
    <row r="5201" spans="1:29" x14ac:dyDescent="0.25">
      <c r="A5201" s="31" t="s">
        <v>28</v>
      </c>
      <c r="B5201" s="23" t="s">
        <v>29</v>
      </c>
      <c r="D5201">
        <v>1</v>
      </c>
      <c r="E5201" t="s">
        <v>30</v>
      </c>
      <c r="F5201">
        <v>4</v>
      </c>
      <c r="G5201">
        <v>2007</v>
      </c>
      <c r="I5201">
        <v>290</v>
      </c>
      <c r="J5201" t="s">
        <v>31</v>
      </c>
      <c r="K5201" t="s">
        <v>32</v>
      </c>
      <c r="L5201" t="s">
        <v>33</v>
      </c>
      <c r="O5201">
        <v>0</v>
      </c>
      <c r="P5201">
        <v>0</v>
      </c>
      <c r="Q5201">
        <v>0</v>
      </c>
      <c r="R5201">
        <v>1</v>
      </c>
      <c r="W5201" t="s">
        <v>34</v>
      </c>
      <c r="AA5201">
        <v>2007</v>
      </c>
      <c r="AB5201">
        <v>9999</v>
      </c>
      <c r="AC5201" t="s">
        <v>35</v>
      </c>
    </row>
    <row r="5202" spans="1:29" x14ac:dyDescent="0.25">
      <c r="A5202" s="31" t="s">
        <v>36</v>
      </c>
      <c r="B5202" s="23" t="s">
        <v>37</v>
      </c>
      <c r="D5202">
        <v>1</v>
      </c>
      <c r="E5202" t="s">
        <v>38</v>
      </c>
      <c r="F5202">
        <v>4</v>
      </c>
      <c r="G5202">
        <v>2007</v>
      </c>
      <c r="H5202" t="s">
        <v>39</v>
      </c>
      <c r="I5202">
        <v>0.1</v>
      </c>
      <c r="J5202" s="2" t="s">
        <v>40</v>
      </c>
      <c r="K5202" t="s">
        <v>41</v>
      </c>
      <c r="O5202">
        <v>0</v>
      </c>
      <c r="P5202">
        <v>0</v>
      </c>
      <c r="Q5202">
        <v>0</v>
      </c>
      <c r="R5202">
        <v>0</v>
      </c>
      <c r="W5202" t="s">
        <v>42</v>
      </c>
      <c r="AA5202">
        <v>2007</v>
      </c>
      <c r="AB5202">
        <v>9999</v>
      </c>
      <c r="AC5202" t="s">
        <v>35</v>
      </c>
    </row>
    <row r="5203" spans="1:29" x14ac:dyDescent="0.25">
      <c r="A5203" s="31" t="s">
        <v>43</v>
      </c>
      <c r="B5203" s="23" t="s">
        <v>44</v>
      </c>
      <c r="D5203">
        <v>1</v>
      </c>
      <c r="E5203" t="s">
        <v>45</v>
      </c>
      <c r="F5203">
        <v>4</v>
      </c>
      <c r="G5203">
        <v>2007</v>
      </c>
      <c r="I5203">
        <v>33</v>
      </c>
      <c r="J5203" t="s">
        <v>46</v>
      </c>
      <c r="K5203" t="s">
        <v>47</v>
      </c>
      <c r="O5203">
        <v>0</v>
      </c>
      <c r="P5203">
        <v>0</v>
      </c>
      <c r="Q5203">
        <v>0</v>
      </c>
      <c r="R5203">
        <v>0</v>
      </c>
      <c r="W5203" t="s">
        <v>48</v>
      </c>
      <c r="AA5203">
        <v>2007</v>
      </c>
      <c r="AB5203">
        <v>9999</v>
      </c>
      <c r="AC5203" t="s">
        <v>35</v>
      </c>
    </row>
    <row r="5204" spans="1:29" x14ac:dyDescent="0.25">
      <c r="A5204" s="31" t="s">
        <v>49</v>
      </c>
      <c r="B5204" s="23" t="s">
        <v>50</v>
      </c>
      <c r="D5204">
        <v>1</v>
      </c>
      <c r="E5204" t="s">
        <v>51</v>
      </c>
      <c r="F5204">
        <v>1</v>
      </c>
      <c r="G5204">
        <v>2007</v>
      </c>
      <c r="I5204">
        <v>52</v>
      </c>
      <c r="J5204" t="s">
        <v>52</v>
      </c>
      <c r="K5204" t="s">
        <v>53</v>
      </c>
      <c r="L5204" t="s">
        <v>54</v>
      </c>
      <c r="O5204">
        <v>0</v>
      </c>
      <c r="P5204">
        <v>0</v>
      </c>
      <c r="Q5204">
        <v>1</v>
      </c>
      <c r="R5204">
        <v>0</v>
      </c>
      <c r="W5204" t="s">
        <v>55</v>
      </c>
      <c r="AA5204">
        <v>2007</v>
      </c>
      <c r="AB5204">
        <v>9999</v>
      </c>
      <c r="AC5204" t="s">
        <v>35</v>
      </c>
    </row>
    <row r="5205" spans="1:29" x14ac:dyDescent="0.25">
      <c r="A5205" s="31" t="s">
        <v>56</v>
      </c>
      <c r="B5205" s="23" t="s">
        <v>57</v>
      </c>
      <c r="D5205">
        <v>1</v>
      </c>
      <c r="E5205" t="s">
        <v>58</v>
      </c>
      <c r="F5205">
        <v>4</v>
      </c>
      <c r="G5205">
        <v>2007</v>
      </c>
      <c r="I5205">
        <v>21</v>
      </c>
      <c r="J5205" t="s">
        <v>59</v>
      </c>
      <c r="K5205" t="s">
        <v>53</v>
      </c>
      <c r="L5205" t="s">
        <v>60</v>
      </c>
      <c r="O5205">
        <v>1</v>
      </c>
      <c r="P5205">
        <v>0</v>
      </c>
      <c r="Q5205">
        <v>0</v>
      </c>
      <c r="R5205">
        <v>0</v>
      </c>
      <c r="W5205" t="s">
        <v>61</v>
      </c>
      <c r="AA5205">
        <v>2007</v>
      </c>
      <c r="AB5205">
        <v>9999</v>
      </c>
      <c r="AC5205" t="s">
        <v>35</v>
      </c>
    </row>
    <row r="5206" spans="1:29" x14ac:dyDescent="0.25">
      <c r="A5206" s="31" t="s">
        <v>62</v>
      </c>
      <c r="B5206" s="23" t="s">
        <v>63</v>
      </c>
      <c r="D5206">
        <v>1</v>
      </c>
      <c r="E5206" t="s">
        <v>64</v>
      </c>
      <c r="F5206">
        <v>1</v>
      </c>
      <c r="G5206">
        <v>2007</v>
      </c>
      <c r="I5206">
        <v>60</v>
      </c>
      <c r="J5206" t="s">
        <v>52</v>
      </c>
      <c r="K5206" t="s">
        <v>53</v>
      </c>
      <c r="L5206" t="s">
        <v>65</v>
      </c>
      <c r="O5206">
        <v>0</v>
      </c>
      <c r="P5206">
        <v>0</v>
      </c>
      <c r="Q5206">
        <v>0</v>
      </c>
      <c r="R5206">
        <v>0</v>
      </c>
      <c r="W5206" t="s">
        <v>66</v>
      </c>
      <c r="AA5206">
        <v>2007</v>
      </c>
      <c r="AB5206">
        <v>9999</v>
      </c>
      <c r="AC5206" t="s">
        <v>35</v>
      </c>
    </row>
    <row r="5207" spans="1:29" x14ac:dyDescent="0.25">
      <c r="A5207" s="31" t="s">
        <v>67</v>
      </c>
      <c r="B5207" s="23" t="s">
        <v>68</v>
      </c>
      <c r="D5207">
        <v>1</v>
      </c>
      <c r="E5207" t="s">
        <v>51</v>
      </c>
      <c r="F5207">
        <v>10</v>
      </c>
      <c r="G5207">
        <v>2007</v>
      </c>
      <c r="I5207">
        <v>327</v>
      </c>
      <c r="J5207" t="s">
        <v>59</v>
      </c>
      <c r="K5207" t="s">
        <v>47</v>
      </c>
      <c r="O5207">
        <v>0</v>
      </c>
      <c r="P5207">
        <v>0</v>
      </c>
      <c r="Q5207">
        <v>0</v>
      </c>
      <c r="R5207">
        <v>0</v>
      </c>
      <c r="W5207" t="s">
        <v>69</v>
      </c>
      <c r="AA5207">
        <v>2007</v>
      </c>
      <c r="AB5207">
        <v>2007</v>
      </c>
      <c r="AC5207" t="s">
        <v>70</v>
      </c>
    </row>
    <row r="5208" spans="1:29" x14ac:dyDescent="0.25">
      <c r="A5208" s="31" t="s">
        <v>71</v>
      </c>
      <c r="B5208" s="23" t="s">
        <v>72</v>
      </c>
      <c r="D5208">
        <v>1</v>
      </c>
      <c r="E5208" t="s">
        <v>51</v>
      </c>
      <c r="F5208">
        <v>10</v>
      </c>
      <c r="G5208">
        <v>2007</v>
      </c>
      <c r="I5208">
        <v>9417</v>
      </c>
      <c r="J5208" t="s">
        <v>59</v>
      </c>
      <c r="K5208" t="s">
        <v>32</v>
      </c>
      <c r="O5208">
        <v>0</v>
      </c>
      <c r="P5208">
        <v>0</v>
      </c>
      <c r="Q5208">
        <v>0</v>
      </c>
      <c r="R5208">
        <v>0</v>
      </c>
      <c r="W5208" t="s">
        <v>73</v>
      </c>
      <c r="AA5208">
        <v>2007</v>
      </c>
      <c r="AB5208">
        <v>9999</v>
      </c>
      <c r="AC5208" t="s">
        <v>35</v>
      </c>
    </row>
    <row r="5209" spans="1:29" x14ac:dyDescent="0.25">
      <c r="A5209" s="31" t="s">
        <v>74</v>
      </c>
      <c r="B5209" s="23" t="s">
        <v>75</v>
      </c>
      <c r="D5209">
        <v>1</v>
      </c>
      <c r="E5209" t="s">
        <v>58</v>
      </c>
      <c r="F5209">
        <v>4</v>
      </c>
      <c r="G5209">
        <v>2007</v>
      </c>
      <c r="I5209">
        <v>769</v>
      </c>
      <c r="J5209" t="s">
        <v>59</v>
      </c>
      <c r="K5209" t="s">
        <v>76</v>
      </c>
      <c r="O5209">
        <v>0</v>
      </c>
      <c r="P5209">
        <v>0</v>
      </c>
      <c r="Q5209">
        <v>0</v>
      </c>
      <c r="R5209">
        <v>0</v>
      </c>
      <c r="W5209" t="s">
        <v>77</v>
      </c>
      <c r="AA5209">
        <v>2007</v>
      </c>
      <c r="AB5209">
        <v>9999</v>
      </c>
      <c r="AC5209" t="s">
        <v>35</v>
      </c>
    </row>
    <row r="5210" spans="1:29" x14ac:dyDescent="0.25">
      <c r="A5210" s="31" t="s">
        <v>78</v>
      </c>
      <c r="B5210" s="23" t="s">
        <v>79</v>
      </c>
      <c r="D5210">
        <v>1</v>
      </c>
      <c r="E5210" t="s">
        <v>80</v>
      </c>
      <c r="F5210">
        <v>8</v>
      </c>
      <c r="G5210">
        <v>2007</v>
      </c>
      <c r="I5210">
        <v>37</v>
      </c>
      <c r="J5210" t="s">
        <v>81</v>
      </c>
      <c r="K5210" t="s">
        <v>76</v>
      </c>
      <c r="O5210">
        <v>0</v>
      </c>
      <c r="P5210">
        <v>0</v>
      </c>
      <c r="Q5210">
        <v>0</v>
      </c>
      <c r="R5210">
        <v>0</v>
      </c>
      <c r="W5210" t="s">
        <v>82</v>
      </c>
      <c r="AA5210">
        <v>2007</v>
      </c>
      <c r="AB5210">
        <v>9999</v>
      </c>
      <c r="AC5210" t="s">
        <v>35</v>
      </c>
    </row>
    <row r="5211" spans="1:29" x14ac:dyDescent="0.25">
      <c r="A5211" s="31" t="s">
        <v>83</v>
      </c>
      <c r="B5211" s="23" t="s">
        <v>84</v>
      </c>
      <c r="D5211">
        <v>1</v>
      </c>
      <c r="E5211" t="s">
        <v>85</v>
      </c>
      <c r="F5211">
        <v>1</v>
      </c>
      <c r="G5211">
        <v>2007</v>
      </c>
      <c r="H5211" t="s">
        <v>39</v>
      </c>
      <c r="I5211">
        <v>13</v>
      </c>
      <c r="J5211" s="2" t="s">
        <v>40</v>
      </c>
      <c r="K5211" t="s">
        <v>41</v>
      </c>
      <c r="O5211">
        <v>0</v>
      </c>
      <c r="P5211">
        <v>0</v>
      </c>
      <c r="Q5211">
        <v>0</v>
      </c>
      <c r="R5211">
        <v>0</v>
      </c>
      <c r="W5211" t="s">
        <v>86</v>
      </c>
      <c r="AA5211">
        <v>2007</v>
      </c>
      <c r="AB5211">
        <v>9999</v>
      </c>
      <c r="AC5211" t="s">
        <v>35</v>
      </c>
    </row>
    <row r="5212" spans="1:29" x14ac:dyDescent="0.25">
      <c r="A5212" s="31" t="s">
        <v>87</v>
      </c>
      <c r="B5212" s="23" t="s">
        <v>88</v>
      </c>
      <c r="D5212">
        <v>1</v>
      </c>
      <c r="E5212" t="s">
        <v>38</v>
      </c>
      <c r="F5212">
        <v>4</v>
      </c>
      <c r="G5212">
        <v>2007</v>
      </c>
      <c r="I5212">
        <v>6427</v>
      </c>
      <c r="J5212" t="s">
        <v>89</v>
      </c>
      <c r="K5212" t="s">
        <v>32</v>
      </c>
      <c r="O5212">
        <v>0</v>
      </c>
      <c r="P5212">
        <v>0</v>
      </c>
      <c r="Q5212">
        <v>0</v>
      </c>
      <c r="R5212">
        <v>0</v>
      </c>
      <c r="W5212" t="s">
        <v>90</v>
      </c>
      <c r="AA5212">
        <v>2007</v>
      </c>
      <c r="AB5212">
        <v>2010</v>
      </c>
      <c r="AC5212" t="s">
        <v>91</v>
      </c>
    </row>
    <row r="5213" spans="1:29" x14ac:dyDescent="0.25">
      <c r="A5213" s="31" t="s">
        <v>92</v>
      </c>
      <c r="B5213" s="23" t="s">
        <v>93</v>
      </c>
      <c r="C5213" t="s">
        <v>94</v>
      </c>
      <c r="D5213">
        <v>1</v>
      </c>
      <c r="E5213" t="s">
        <v>95</v>
      </c>
      <c r="F5213">
        <v>10</v>
      </c>
      <c r="G5213">
        <v>2007</v>
      </c>
      <c r="I5213">
        <v>23</v>
      </c>
      <c r="J5213" t="s">
        <v>40</v>
      </c>
      <c r="K5213" t="s">
        <v>47</v>
      </c>
      <c r="O5213">
        <v>0</v>
      </c>
      <c r="P5213">
        <v>0</v>
      </c>
      <c r="Q5213">
        <v>0</v>
      </c>
      <c r="R5213">
        <v>0</v>
      </c>
      <c r="W5213" t="s">
        <v>96</v>
      </c>
      <c r="AA5213">
        <v>2007</v>
      </c>
      <c r="AB5213">
        <v>9999</v>
      </c>
      <c r="AC5213" t="s">
        <v>35</v>
      </c>
    </row>
    <row r="5214" spans="1:29" x14ac:dyDescent="0.25">
      <c r="A5214" s="31" t="s">
        <v>97</v>
      </c>
      <c r="B5214" s="23" t="s">
        <v>98</v>
      </c>
      <c r="D5214">
        <v>1</v>
      </c>
      <c r="E5214" t="s">
        <v>38</v>
      </c>
      <c r="F5214">
        <v>4</v>
      </c>
      <c r="G5214">
        <v>2007</v>
      </c>
      <c r="H5214" t="s">
        <v>99</v>
      </c>
      <c r="I5214">
        <v>8</v>
      </c>
      <c r="J5214" t="s">
        <v>89</v>
      </c>
      <c r="K5214" t="s">
        <v>53</v>
      </c>
      <c r="L5214" t="s">
        <v>53</v>
      </c>
      <c r="O5214">
        <v>0</v>
      </c>
      <c r="P5214">
        <v>0</v>
      </c>
      <c r="Q5214">
        <v>0</v>
      </c>
      <c r="R5214">
        <v>0</v>
      </c>
      <c r="W5214" t="s">
        <v>100</v>
      </c>
      <c r="AA5214">
        <v>2007</v>
      </c>
      <c r="AB5214">
        <v>9999</v>
      </c>
      <c r="AC5214" t="s">
        <v>35</v>
      </c>
    </row>
    <row r="5215" spans="1:29" x14ac:dyDescent="0.25">
      <c r="A5215" s="31" t="s">
        <v>101</v>
      </c>
      <c r="B5215" s="23" t="s">
        <v>102</v>
      </c>
      <c r="D5215">
        <v>1</v>
      </c>
      <c r="E5215" t="s">
        <v>103</v>
      </c>
      <c r="F5215">
        <v>9</v>
      </c>
      <c r="G5215">
        <v>2007</v>
      </c>
      <c r="I5215">
        <v>444</v>
      </c>
      <c r="J5215" t="s">
        <v>104</v>
      </c>
      <c r="K5215" t="s">
        <v>53</v>
      </c>
      <c r="L5215" t="s">
        <v>105</v>
      </c>
      <c r="O5215">
        <v>0</v>
      </c>
      <c r="P5215">
        <v>1</v>
      </c>
      <c r="Q5215">
        <v>0</v>
      </c>
      <c r="R5215">
        <v>0</v>
      </c>
      <c r="W5215" t="s">
        <v>106</v>
      </c>
      <c r="AA5215">
        <v>2007</v>
      </c>
      <c r="AB5215">
        <v>9999</v>
      </c>
      <c r="AC5215" t="s">
        <v>35</v>
      </c>
    </row>
    <row r="5216" spans="1:29" x14ac:dyDescent="0.25">
      <c r="A5216" s="31" t="s">
        <v>107</v>
      </c>
      <c r="B5216" s="23" t="s">
        <v>108</v>
      </c>
      <c r="D5216">
        <v>1</v>
      </c>
      <c r="E5216" t="s">
        <v>45</v>
      </c>
      <c r="F5216">
        <v>4</v>
      </c>
      <c r="G5216">
        <v>2007</v>
      </c>
      <c r="I5216">
        <v>6</v>
      </c>
      <c r="J5216" t="s">
        <v>52</v>
      </c>
      <c r="K5216" t="s">
        <v>41</v>
      </c>
      <c r="O5216">
        <v>0</v>
      </c>
      <c r="P5216">
        <v>0</v>
      </c>
      <c r="Q5216">
        <v>0</v>
      </c>
      <c r="R5216">
        <v>0</v>
      </c>
      <c r="W5216" t="s">
        <v>109</v>
      </c>
      <c r="AA5216">
        <v>2007</v>
      </c>
      <c r="AB5216">
        <v>9999</v>
      </c>
      <c r="AC5216" t="s">
        <v>35</v>
      </c>
    </row>
    <row r="5217" spans="1:29" x14ac:dyDescent="0.25">
      <c r="A5217" s="31" t="s">
        <v>110</v>
      </c>
      <c r="B5217" s="23" t="s">
        <v>111</v>
      </c>
      <c r="D5217">
        <v>1</v>
      </c>
      <c r="E5217" t="s">
        <v>45</v>
      </c>
      <c r="F5217">
        <v>4</v>
      </c>
      <c r="G5217">
        <v>2007</v>
      </c>
      <c r="I5217">
        <v>452</v>
      </c>
      <c r="J5217" t="s">
        <v>89</v>
      </c>
      <c r="K5217" t="s">
        <v>47</v>
      </c>
      <c r="O5217">
        <v>0</v>
      </c>
      <c r="P5217">
        <v>0</v>
      </c>
      <c r="Q5217">
        <v>0</v>
      </c>
      <c r="R5217">
        <v>0</v>
      </c>
      <c r="W5217" t="s">
        <v>112</v>
      </c>
      <c r="AA5217">
        <v>2007</v>
      </c>
      <c r="AB5217">
        <v>9999</v>
      </c>
      <c r="AC5217" t="s">
        <v>35</v>
      </c>
    </row>
    <row r="5218" spans="1:29" x14ac:dyDescent="0.25">
      <c r="A5218" s="31" t="s">
        <v>113</v>
      </c>
      <c r="B5218" s="23" t="s">
        <v>114</v>
      </c>
      <c r="D5218">
        <v>1</v>
      </c>
      <c r="E5218" t="s">
        <v>115</v>
      </c>
      <c r="F5218">
        <v>6</v>
      </c>
      <c r="G5218">
        <v>2007</v>
      </c>
      <c r="I5218">
        <v>187</v>
      </c>
      <c r="J5218" t="s">
        <v>31</v>
      </c>
      <c r="K5218" t="s">
        <v>76</v>
      </c>
      <c r="O5218">
        <v>0</v>
      </c>
      <c r="P5218">
        <v>0</v>
      </c>
      <c r="Q5218">
        <v>0</v>
      </c>
      <c r="R5218">
        <v>0</v>
      </c>
      <c r="W5218" t="s">
        <v>116</v>
      </c>
      <c r="AA5218">
        <v>2007</v>
      </c>
      <c r="AB5218">
        <v>9999</v>
      </c>
      <c r="AC5218" t="s">
        <v>35</v>
      </c>
    </row>
    <row r="5219" spans="1:29" x14ac:dyDescent="0.25">
      <c r="A5219" s="31" t="s">
        <v>117</v>
      </c>
      <c r="B5219" s="23" t="s">
        <v>118</v>
      </c>
      <c r="C5219" t="s">
        <v>119</v>
      </c>
      <c r="D5219">
        <v>1</v>
      </c>
      <c r="E5219" t="s">
        <v>120</v>
      </c>
      <c r="F5219">
        <v>3</v>
      </c>
      <c r="G5219">
        <v>2007</v>
      </c>
      <c r="I5219">
        <v>77</v>
      </c>
      <c r="J5219" t="s">
        <v>121</v>
      </c>
      <c r="K5219" t="s">
        <v>47</v>
      </c>
      <c r="O5219">
        <v>0</v>
      </c>
      <c r="P5219">
        <v>0</v>
      </c>
      <c r="Q5219">
        <v>0</v>
      </c>
      <c r="R5219">
        <v>0</v>
      </c>
      <c r="W5219" t="s">
        <v>122</v>
      </c>
      <c r="AA5219">
        <v>2007</v>
      </c>
      <c r="AB5219">
        <v>9999</v>
      </c>
      <c r="AC5219" t="s">
        <v>35</v>
      </c>
    </row>
    <row r="5220" spans="1:29" x14ac:dyDescent="0.25">
      <c r="A5220" s="31" t="s">
        <v>123</v>
      </c>
      <c r="B5220" s="23" t="s">
        <v>124</v>
      </c>
      <c r="D5220">
        <v>1</v>
      </c>
      <c r="E5220" t="s">
        <v>120</v>
      </c>
      <c r="F5220">
        <v>3</v>
      </c>
      <c r="G5220">
        <v>2007</v>
      </c>
      <c r="I5220">
        <v>52</v>
      </c>
      <c r="J5220" t="s">
        <v>121</v>
      </c>
      <c r="K5220" t="s">
        <v>47</v>
      </c>
      <c r="O5220">
        <v>0</v>
      </c>
      <c r="P5220">
        <v>0</v>
      </c>
      <c r="Q5220">
        <v>0</v>
      </c>
      <c r="R5220">
        <v>0</v>
      </c>
      <c r="W5220" t="s">
        <v>125</v>
      </c>
      <c r="AA5220">
        <v>2007</v>
      </c>
      <c r="AB5220">
        <v>9999</v>
      </c>
      <c r="AC5220" t="s">
        <v>35</v>
      </c>
    </row>
    <row r="5221" spans="1:29" x14ac:dyDescent="0.25">
      <c r="A5221" s="31" t="s">
        <v>126</v>
      </c>
      <c r="B5221" s="23" t="s">
        <v>127</v>
      </c>
      <c r="D5221">
        <v>1</v>
      </c>
      <c r="E5221" t="s">
        <v>128</v>
      </c>
      <c r="F5221">
        <v>9</v>
      </c>
      <c r="G5221">
        <v>2007</v>
      </c>
      <c r="H5221" t="s">
        <v>129</v>
      </c>
      <c r="I5221">
        <v>3.2</v>
      </c>
      <c r="J5221" t="s">
        <v>104</v>
      </c>
      <c r="K5221" t="s">
        <v>41</v>
      </c>
      <c r="O5221">
        <v>0</v>
      </c>
      <c r="P5221">
        <v>0</v>
      </c>
      <c r="Q5221">
        <v>0</v>
      </c>
      <c r="R5221">
        <v>0</v>
      </c>
      <c r="W5221" t="s">
        <v>130</v>
      </c>
      <c r="AA5221">
        <v>2007</v>
      </c>
      <c r="AB5221">
        <v>9999</v>
      </c>
      <c r="AC5221" t="s">
        <v>35</v>
      </c>
    </row>
    <row r="5222" spans="1:29" x14ac:dyDescent="0.25">
      <c r="A5222" s="31" t="s">
        <v>131</v>
      </c>
      <c r="B5222" s="23" t="s">
        <v>132</v>
      </c>
      <c r="C5222" t="s">
        <v>133</v>
      </c>
      <c r="D5222">
        <v>1</v>
      </c>
      <c r="E5222" t="s">
        <v>134</v>
      </c>
      <c r="F5222">
        <v>9</v>
      </c>
      <c r="G5222">
        <v>2007</v>
      </c>
      <c r="I5222">
        <v>894</v>
      </c>
      <c r="J5222" t="s">
        <v>104</v>
      </c>
      <c r="K5222" t="s">
        <v>76</v>
      </c>
      <c r="O5222">
        <v>0</v>
      </c>
      <c r="P5222">
        <v>0</v>
      </c>
      <c r="Q5222">
        <v>0</v>
      </c>
      <c r="R5222">
        <v>0</v>
      </c>
      <c r="W5222" t="s">
        <v>135</v>
      </c>
      <c r="AA5222">
        <v>2007</v>
      </c>
      <c r="AB5222">
        <v>9999</v>
      </c>
      <c r="AC5222" t="s">
        <v>35</v>
      </c>
    </row>
    <row r="5223" spans="1:29" x14ac:dyDescent="0.25">
      <c r="A5223" s="31" t="s">
        <v>136</v>
      </c>
      <c r="B5223" s="23" t="s">
        <v>137</v>
      </c>
      <c r="D5223">
        <v>1</v>
      </c>
      <c r="E5223" t="s">
        <v>138</v>
      </c>
      <c r="F5223">
        <v>8</v>
      </c>
      <c r="G5223">
        <v>2007</v>
      </c>
      <c r="I5223">
        <v>54</v>
      </c>
      <c r="J5223" t="s">
        <v>104</v>
      </c>
      <c r="K5223" t="s">
        <v>53</v>
      </c>
      <c r="L5223" t="s">
        <v>105</v>
      </c>
      <c r="O5223">
        <v>0</v>
      </c>
      <c r="P5223">
        <v>1</v>
      </c>
      <c r="Q5223">
        <v>0</v>
      </c>
      <c r="R5223">
        <v>0</v>
      </c>
      <c r="W5223" t="s">
        <v>106</v>
      </c>
      <c r="AA5223">
        <v>2007</v>
      </c>
      <c r="AB5223">
        <v>2013</v>
      </c>
      <c r="AC5223" t="s">
        <v>139</v>
      </c>
    </row>
    <row r="5224" spans="1:29" x14ac:dyDescent="0.25">
      <c r="A5224" s="31" t="s">
        <v>140</v>
      </c>
      <c r="B5224" s="23" t="s">
        <v>141</v>
      </c>
      <c r="D5224">
        <v>1</v>
      </c>
      <c r="E5224" t="s">
        <v>45</v>
      </c>
      <c r="F5224">
        <v>4</v>
      </c>
      <c r="G5224">
        <v>2007</v>
      </c>
      <c r="I5224">
        <v>38</v>
      </c>
      <c r="J5224" t="s">
        <v>121</v>
      </c>
      <c r="K5224" t="s">
        <v>76</v>
      </c>
      <c r="O5224">
        <v>0</v>
      </c>
      <c r="P5224">
        <v>0</v>
      </c>
      <c r="Q5224">
        <v>0</v>
      </c>
      <c r="R5224">
        <v>0</v>
      </c>
      <c r="W5224" t="s">
        <v>142</v>
      </c>
      <c r="AA5224">
        <v>2007</v>
      </c>
      <c r="AB5224">
        <v>9999</v>
      </c>
      <c r="AC5224" t="s">
        <v>35</v>
      </c>
    </row>
    <row r="5225" spans="1:29" ht="30" x14ac:dyDescent="0.25">
      <c r="A5225" s="31" t="s">
        <v>143</v>
      </c>
      <c r="B5225" s="25" t="s">
        <v>144</v>
      </c>
      <c r="D5225">
        <v>1</v>
      </c>
      <c r="E5225" t="s">
        <v>145</v>
      </c>
      <c r="F5225">
        <v>2</v>
      </c>
      <c r="G5225">
        <v>2007</v>
      </c>
      <c r="H5225" t="s">
        <v>146</v>
      </c>
      <c r="I5225">
        <v>0.2</v>
      </c>
      <c r="J5225" s="2" t="s">
        <v>147</v>
      </c>
      <c r="K5225" t="s">
        <v>41</v>
      </c>
      <c r="O5225">
        <v>0</v>
      </c>
      <c r="P5225">
        <v>0</v>
      </c>
      <c r="Q5225">
        <v>0</v>
      </c>
      <c r="R5225">
        <v>0</v>
      </c>
      <c r="W5225" t="s">
        <v>148</v>
      </c>
      <c r="AA5225">
        <v>2007</v>
      </c>
      <c r="AB5225">
        <v>9999</v>
      </c>
      <c r="AC5225" t="s">
        <v>35</v>
      </c>
    </row>
    <row r="5226" spans="1:29" x14ac:dyDescent="0.25">
      <c r="A5226" s="31" t="s">
        <v>149</v>
      </c>
      <c r="B5226" s="23" t="s">
        <v>150</v>
      </c>
      <c r="D5226">
        <v>1</v>
      </c>
      <c r="E5226" t="s">
        <v>38</v>
      </c>
      <c r="F5226">
        <v>4</v>
      </c>
      <c r="G5226">
        <v>2007</v>
      </c>
      <c r="I5226">
        <v>66</v>
      </c>
      <c r="J5226" t="s">
        <v>151</v>
      </c>
      <c r="K5226" t="s">
        <v>32</v>
      </c>
      <c r="O5226">
        <v>0</v>
      </c>
      <c r="P5226">
        <v>0</v>
      </c>
      <c r="Q5226">
        <v>0</v>
      </c>
      <c r="R5226">
        <v>0</v>
      </c>
      <c r="W5226" t="s">
        <v>152</v>
      </c>
      <c r="AA5226">
        <v>2007</v>
      </c>
      <c r="AB5226">
        <v>2007</v>
      </c>
      <c r="AC5226" t="s">
        <v>70</v>
      </c>
    </row>
    <row r="5227" spans="1:29" x14ac:dyDescent="0.25">
      <c r="A5227" s="31" t="s">
        <v>153</v>
      </c>
      <c r="B5227" s="23" t="s">
        <v>154</v>
      </c>
      <c r="D5227">
        <v>1</v>
      </c>
      <c r="E5227" t="s">
        <v>155</v>
      </c>
      <c r="F5227">
        <v>3</v>
      </c>
      <c r="G5227">
        <v>2007</v>
      </c>
      <c r="I5227">
        <v>187</v>
      </c>
      <c r="J5227" t="s">
        <v>121</v>
      </c>
      <c r="K5227" t="s">
        <v>76</v>
      </c>
      <c r="O5227">
        <v>0</v>
      </c>
      <c r="P5227">
        <v>0</v>
      </c>
      <c r="Q5227">
        <v>0</v>
      </c>
      <c r="R5227">
        <v>0</v>
      </c>
      <c r="V5227">
        <v>1</v>
      </c>
      <c r="W5227" t="s">
        <v>156</v>
      </c>
      <c r="AA5227">
        <v>2007</v>
      </c>
      <c r="AB5227">
        <v>9999</v>
      </c>
      <c r="AC5227" t="s">
        <v>35</v>
      </c>
    </row>
    <row r="5228" spans="1:29" x14ac:dyDescent="0.25">
      <c r="A5228" s="31" t="s">
        <v>157</v>
      </c>
      <c r="B5228" s="23" t="s">
        <v>158</v>
      </c>
      <c r="D5228">
        <v>1</v>
      </c>
      <c r="E5228" t="s">
        <v>128</v>
      </c>
      <c r="F5228">
        <v>9</v>
      </c>
      <c r="G5228">
        <v>2007</v>
      </c>
      <c r="I5228">
        <v>56</v>
      </c>
      <c r="J5228" t="s">
        <v>104</v>
      </c>
      <c r="K5228" t="s">
        <v>53</v>
      </c>
      <c r="L5228" t="s">
        <v>105</v>
      </c>
      <c r="O5228">
        <v>0</v>
      </c>
      <c r="P5228">
        <v>1</v>
      </c>
      <c r="Q5228">
        <v>0</v>
      </c>
      <c r="R5228">
        <v>0</v>
      </c>
      <c r="W5228" t="s">
        <v>106</v>
      </c>
      <c r="AA5228">
        <v>2007</v>
      </c>
      <c r="AB5228">
        <v>2010</v>
      </c>
      <c r="AC5228" t="s">
        <v>91</v>
      </c>
    </row>
    <row r="5229" spans="1:29" x14ac:dyDescent="0.25">
      <c r="A5229" s="31" t="s">
        <v>159</v>
      </c>
      <c r="B5229" s="23" t="s">
        <v>160</v>
      </c>
      <c r="D5229">
        <v>1</v>
      </c>
      <c r="E5229" t="s">
        <v>155</v>
      </c>
      <c r="F5229">
        <v>3</v>
      </c>
      <c r="G5229">
        <v>2007</v>
      </c>
      <c r="I5229">
        <v>380</v>
      </c>
      <c r="J5229" t="s">
        <v>121</v>
      </c>
      <c r="K5229" t="s">
        <v>47</v>
      </c>
      <c r="O5229">
        <v>0</v>
      </c>
      <c r="P5229">
        <v>0</v>
      </c>
      <c r="Q5229">
        <v>0</v>
      </c>
      <c r="R5229">
        <v>0</v>
      </c>
      <c r="W5229" t="s">
        <v>161</v>
      </c>
      <c r="AA5229">
        <v>2007</v>
      </c>
      <c r="AB5229">
        <v>9999</v>
      </c>
      <c r="AC5229" t="s">
        <v>35</v>
      </c>
    </row>
    <row r="5230" spans="1:29" x14ac:dyDescent="0.25">
      <c r="B5230" s="23" t="s">
        <v>162</v>
      </c>
      <c r="D5230">
        <v>1</v>
      </c>
      <c r="E5230" t="s">
        <v>85</v>
      </c>
      <c r="F5230">
        <v>1</v>
      </c>
      <c r="G5230">
        <v>2007</v>
      </c>
      <c r="H5230" t="s">
        <v>163</v>
      </c>
      <c r="I5230">
        <v>0.2</v>
      </c>
      <c r="J5230" t="s">
        <v>52</v>
      </c>
      <c r="K5230" t="s">
        <v>53</v>
      </c>
      <c r="L5230" t="s">
        <v>53</v>
      </c>
      <c r="O5230">
        <v>0</v>
      </c>
      <c r="P5230">
        <v>0</v>
      </c>
      <c r="Q5230">
        <v>0</v>
      </c>
      <c r="R5230">
        <v>0</v>
      </c>
      <c r="W5230" t="s">
        <v>164</v>
      </c>
      <c r="AA5230">
        <v>2007</v>
      </c>
      <c r="AB5230">
        <v>2007</v>
      </c>
      <c r="AC5230" t="s">
        <v>70</v>
      </c>
    </row>
    <row r="5231" spans="1:29" x14ac:dyDescent="0.25">
      <c r="A5231" s="31" t="s">
        <v>165</v>
      </c>
      <c r="B5231" s="23" t="s">
        <v>166</v>
      </c>
      <c r="C5231" t="s">
        <v>167</v>
      </c>
      <c r="D5231">
        <v>1</v>
      </c>
      <c r="E5231" t="s">
        <v>168</v>
      </c>
      <c r="F5231">
        <v>1</v>
      </c>
      <c r="G5231">
        <v>2007</v>
      </c>
      <c r="I5231">
        <v>149</v>
      </c>
      <c r="J5231" t="s">
        <v>52</v>
      </c>
      <c r="K5231" t="s">
        <v>47</v>
      </c>
      <c r="O5231">
        <v>0</v>
      </c>
      <c r="P5231">
        <v>0</v>
      </c>
      <c r="Q5231">
        <v>0</v>
      </c>
      <c r="R5231">
        <v>0</v>
      </c>
      <c r="W5231" t="s">
        <v>169</v>
      </c>
      <c r="AA5231">
        <v>2007</v>
      </c>
      <c r="AB5231">
        <v>9999</v>
      </c>
      <c r="AC5231" t="s">
        <v>35</v>
      </c>
    </row>
    <row r="5232" spans="1:29" x14ac:dyDescent="0.25">
      <c r="A5232" s="31" t="s">
        <v>170</v>
      </c>
      <c r="B5232" s="23" t="s">
        <v>171</v>
      </c>
      <c r="D5232">
        <v>1</v>
      </c>
      <c r="E5232" t="s">
        <v>30</v>
      </c>
      <c r="F5232">
        <v>4</v>
      </c>
      <c r="G5232">
        <v>2007</v>
      </c>
      <c r="I5232">
        <v>40</v>
      </c>
      <c r="J5232" t="s">
        <v>89</v>
      </c>
      <c r="K5232" t="s">
        <v>47</v>
      </c>
      <c r="O5232">
        <v>0</v>
      </c>
      <c r="P5232">
        <v>0</v>
      </c>
      <c r="Q5232">
        <v>0</v>
      </c>
      <c r="R5232">
        <v>0</v>
      </c>
      <c r="W5232" t="s">
        <v>172</v>
      </c>
      <c r="AA5232">
        <v>2007</v>
      </c>
      <c r="AB5232">
        <v>9999</v>
      </c>
      <c r="AC5232" t="s">
        <v>35</v>
      </c>
    </row>
    <row r="5233" spans="1:29" x14ac:dyDescent="0.25">
      <c r="A5233" s="31" t="s">
        <v>173</v>
      </c>
      <c r="B5233" s="23" t="s">
        <v>174</v>
      </c>
      <c r="C5233" t="s">
        <v>175</v>
      </c>
      <c r="D5233">
        <v>1</v>
      </c>
      <c r="E5233" t="s">
        <v>45</v>
      </c>
      <c r="F5233">
        <v>4</v>
      </c>
      <c r="G5233">
        <v>2007</v>
      </c>
      <c r="I5233">
        <v>100</v>
      </c>
      <c r="J5233" t="s">
        <v>176</v>
      </c>
      <c r="K5233" t="s">
        <v>32</v>
      </c>
      <c r="O5233">
        <v>0</v>
      </c>
      <c r="P5233">
        <v>0</v>
      </c>
      <c r="Q5233">
        <v>0</v>
      </c>
      <c r="R5233">
        <v>0</v>
      </c>
      <c r="W5233" t="s">
        <v>177</v>
      </c>
      <c r="AA5233">
        <v>2007</v>
      </c>
      <c r="AB5233">
        <v>9999</v>
      </c>
      <c r="AC5233" t="s">
        <v>35</v>
      </c>
    </row>
    <row r="5234" spans="1:29" x14ac:dyDescent="0.25">
      <c r="A5234" s="31" t="s">
        <v>178</v>
      </c>
      <c r="B5234" s="23" t="s">
        <v>179</v>
      </c>
      <c r="D5234">
        <v>1</v>
      </c>
      <c r="E5234" t="s">
        <v>45</v>
      </c>
      <c r="F5234">
        <v>4</v>
      </c>
      <c r="G5234">
        <v>2007</v>
      </c>
      <c r="I5234">
        <v>13</v>
      </c>
      <c r="J5234" t="s">
        <v>46</v>
      </c>
      <c r="K5234" t="s">
        <v>47</v>
      </c>
      <c r="O5234">
        <v>0</v>
      </c>
      <c r="P5234">
        <v>0</v>
      </c>
      <c r="Q5234">
        <v>0</v>
      </c>
      <c r="R5234">
        <v>0</v>
      </c>
      <c r="W5234" t="s">
        <v>180</v>
      </c>
      <c r="AA5234">
        <v>2007</v>
      </c>
      <c r="AB5234">
        <v>9999</v>
      </c>
      <c r="AC5234" t="s">
        <v>35</v>
      </c>
    </row>
    <row r="5235" spans="1:29" x14ac:dyDescent="0.25">
      <c r="A5235" s="31" t="s">
        <v>181</v>
      </c>
      <c r="B5235" s="25" t="s">
        <v>182</v>
      </c>
      <c r="D5235">
        <v>1</v>
      </c>
      <c r="E5235" t="s">
        <v>38</v>
      </c>
      <c r="F5235">
        <v>4</v>
      </c>
      <c r="G5235">
        <v>2007</v>
      </c>
      <c r="H5235" t="s">
        <v>39</v>
      </c>
      <c r="I5235">
        <v>0.7</v>
      </c>
      <c r="J5235" t="s">
        <v>121</v>
      </c>
      <c r="K5235" t="s">
        <v>41</v>
      </c>
      <c r="O5235">
        <v>0</v>
      </c>
      <c r="P5235">
        <v>0</v>
      </c>
      <c r="Q5235">
        <v>0</v>
      </c>
      <c r="R5235">
        <v>0</v>
      </c>
      <c r="W5235" t="s">
        <v>183</v>
      </c>
      <c r="AA5235">
        <v>2007</v>
      </c>
      <c r="AB5235">
        <v>9999</v>
      </c>
      <c r="AC5235" t="s">
        <v>35</v>
      </c>
    </row>
    <row r="5236" spans="1:29" x14ac:dyDescent="0.25">
      <c r="A5236" s="31" t="s">
        <v>184</v>
      </c>
      <c r="B5236" s="23" t="s">
        <v>185</v>
      </c>
      <c r="C5236" t="s">
        <v>186</v>
      </c>
      <c r="D5236">
        <v>1</v>
      </c>
      <c r="E5236" t="s">
        <v>45</v>
      </c>
      <c r="F5236">
        <v>4</v>
      </c>
      <c r="G5236">
        <v>2007</v>
      </c>
      <c r="I5236">
        <v>219</v>
      </c>
      <c r="J5236" t="s">
        <v>52</v>
      </c>
      <c r="K5236" t="s">
        <v>32</v>
      </c>
      <c r="O5236">
        <v>0</v>
      </c>
      <c r="P5236">
        <v>0</v>
      </c>
      <c r="Q5236">
        <v>0</v>
      </c>
      <c r="R5236">
        <v>0</v>
      </c>
      <c r="W5236" t="s">
        <v>187</v>
      </c>
      <c r="AA5236">
        <v>2007</v>
      </c>
      <c r="AB5236">
        <v>9999</v>
      </c>
      <c r="AC5236" t="s">
        <v>35</v>
      </c>
    </row>
    <row r="5237" spans="1:29" x14ac:dyDescent="0.25">
      <c r="A5237" s="31" t="s">
        <v>188</v>
      </c>
      <c r="B5237" s="23" t="s">
        <v>189</v>
      </c>
      <c r="D5237">
        <v>1</v>
      </c>
      <c r="E5237" t="s">
        <v>38</v>
      </c>
      <c r="F5237">
        <v>4</v>
      </c>
      <c r="G5237">
        <v>2007</v>
      </c>
      <c r="I5237">
        <v>301</v>
      </c>
      <c r="J5237" t="s">
        <v>151</v>
      </c>
      <c r="K5237" t="s">
        <v>76</v>
      </c>
      <c r="O5237">
        <v>0</v>
      </c>
      <c r="P5237">
        <v>0</v>
      </c>
      <c r="Q5237">
        <v>0</v>
      </c>
      <c r="R5237">
        <v>0</v>
      </c>
      <c r="W5237" t="s">
        <v>190</v>
      </c>
      <c r="AA5237">
        <v>2007</v>
      </c>
      <c r="AB5237">
        <v>2011</v>
      </c>
      <c r="AC5237" t="s">
        <v>191</v>
      </c>
    </row>
    <row r="5238" spans="1:29" x14ac:dyDescent="0.25">
      <c r="A5238" s="31" t="s">
        <v>192</v>
      </c>
      <c r="B5238" s="25" t="s">
        <v>193</v>
      </c>
      <c r="D5238">
        <v>1</v>
      </c>
      <c r="E5238" t="s">
        <v>51</v>
      </c>
      <c r="F5238">
        <v>1</v>
      </c>
      <c r="G5238">
        <v>2007</v>
      </c>
      <c r="I5238">
        <v>44</v>
      </c>
      <c r="J5238" t="s">
        <v>52</v>
      </c>
      <c r="K5238" t="s">
        <v>53</v>
      </c>
      <c r="L5238" t="s">
        <v>54</v>
      </c>
      <c r="O5238">
        <v>0</v>
      </c>
      <c r="P5238">
        <v>0</v>
      </c>
      <c r="Q5238">
        <v>1</v>
      </c>
      <c r="R5238">
        <v>0</v>
      </c>
      <c r="W5238" t="s">
        <v>55</v>
      </c>
      <c r="AA5238">
        <v>2007</v>
      </c>
      <c r="AB5238">
        <v>9999</v>
      </c>
      <c r="AC5238" t="s">
        <v>35</v>
      </c>
    </row>
    <row r="5239" spans="1:29" x14ac:dyDescent="0.25">
      <c r="A5239" s="31" t="s">
        <v>194</v>
      </c>
      <c r="B5239" s="23" t="s">
        <v>195</v>
      </c>
      <c r="C5239" t="s">
        <v>196</v>
      </c>
      <c r="D5239">
        <v>1</v>
      </c>
      <c r="E5239" t="s">
        <v>197</v>
      </c>
      <c r="F5239">
        <v>2</v>
      </c>
      <c r="G5239">
        <v>2007</v>
      </c>
      <c r="I5239">
        <v>33</v>
      </c>
      <c r="J5239" t="s">
        <v>176</v>
      </c>
      <c r="K5239" t="s">
        <v>47</v>
      </c>
      <c r="O5239">
        <v>0</v>
      </c>
      <c r="P5239">
        <v>0</v>
      </c>
      <c r="Q5239">
        <v>0</v>
      </c>
      <c r="R5239">
        <v>0</v>
      </c>
      <c r="W5239" t="s">
        <v>198</v>
      </c>
      <c r="AA5239">
        <v>2007</v>
      </c>
      <c r="AB5239">
        <v>9999</v>
      </c>
      <c r="AC5239" t="s">
        <v>35</v>
      </c>
    </row>
    <row r="5240" spans="1:29" x14ac:dyDescent="0.25">
      <c r="A5240" s="31" t="s">
        <v>199</v>
      </c>
      <c r="B5240" s="23" t="s">
        <v>200</v>
      </c>
      <c r="D5240">
        <v>1</v>
      </c>
      <c r="E5240" t="s">
        <v>201</v>
      </c>
      <c r="F5240">
        <v>6</v>
      </c>
      <c r="G5240">
        <v>2007</v>
      </c>
      <c r="H5240" t="s">
        <v>39</v>
      </c>
      <c r="I5240">
        <v>5.7</v>
      </c>
      <c r="J5240" t="s">
        <v>31</v>
      </c>
      <c r="K5240" t="s">
        <v>41</v>
      </c>
      <c r="O5240">
        <v>0</v>
      </c>
      <c r="P5240">
        <v>0</v>
      </c>
      <c r="Q5240">
        <v>0</v>
      </c>
      <c r="R5240">
        <v>0</v>
      </c>
      <c r="W5240" t="s">
        <v>202</v>
      </c>
      <c r="AA5240">
        <v>2007</v>
      </c>
      <c r="AB5240">
        <v>9999</v>
      </c>
      <c r="AC5240" t="s">
        <v>35</v>
      </c>
    </row>
    <row r="5241" spans="1:29" x14ac:dyDescent="0.25">
      <c r="A5241" s="31" t="s">
        <v>203</v>
      </c>
      <c r="B5241" s="25" t="s">
        <v>204</v>
      </c>
      <c r="D5241">
        <v>1</v>
      </c>
      <c r="E5241" t="s">
        <v>201</v>
      </c>
      <c r="F5241">
        <v>1</v>
      </c>
      <c r="G5241">
        <v>2007</v>
      </c>
      <c r="H5241" t="s">
        <v>205</v>
      </c>
      <c r="I5241">
        <v>2</v>
      </c>
      <c r="J5241" t="s">
        <v>52</v>
      </c>
      <c r="K5241" t="s">
        <v>41</v>
      </c>
      <c r="O5241">
        <v>0</v>
      </c>
      <c r="P5241">
        <v>0</v>
      </c>
      <c r="Q5241">
        <v>0</v>
      </c>
      <c r="R5241">
        <v>0</v>
      </c>
      <c r="W5241" t="s">
        <v>206</v>
      </c>
      <c r="AA5241">
        <v>2007</v>
      </c>
      <c r="AB5241">
        <v>9999</v>
      </c>
      <c r="AC5241" t="s">
        <v>35</v>
      </c>
    </row>
    <row r="5242" spans="1:29" x14ac:dyDescent="0.25">
      <c r="A5242" s="31" t="s">
        <v>207</v>
      </c>
      <c r="B5242" s="23" t="s">
        <v>208</v>
      </c>
      <c r="C5242" t="s">
        <v>209</v>
      </c>
      <c r="D5242">
        <v>1</v>
      </c>
      <c r="E5242" t="s">
        <v>210</v>
      </c>
      <c r="F5242">
        <v>10</v>
      </c>
      <c r="G5242">
        <v>2007</v>
      </c>
      <c r="I5242">
        <v>24</v>
      </c>
      <c r="J5242" t="s">
        <v>40</v>
      </c>
      <c r="K5242" t="s">
        <v>32</v>
      </c>
      <c r="O5242">
        <v>0</v>
      </c>
      <c r="P5242">
        <v>0</v>
      </c>
      <c r="Q5242">
        <v>0</v>
      </c>
      <c r="R5242">
        <v>0</v>
      </c>
      <c r="W5242" t="s">
        <v>211</v>
      </c>
      <c r="AA5242">
        <v>2007</v>
      </c>
      <c r="AB5242">
        <v>9999</v>
      </c>
      <c r="AC5242" t="s">
        <v>35</v>
      </c>
    </row>
    <row r="5243" spans="1:29" ht="30" x14ac:dyDescent="0.25">
      <c r="A5243" s="31" t="s">
        <v>212</v>
      </c>
      <c r="B5243" s="23" t="s">
        <v>213</v>
      </c>
      <c r="C5243" t="s">
        <v>214</v>
      </c>
      <c r="D5243">
        <v>1</v>
      </c>
      <c r="E5243" s="4">
        <v>550</v>
      </c>
      <c r="F5243">
        <v>5</v>
      </c>
      <c r="G5243">
        <v>2007</v>
      </c>
      <c r="I5243">
        <v>40</v>
      </c>
      <c r="J5243" s="2" t="s">
        <v>31</v>
      </c>
      <c r="K5243" t="s">
        <v>47</v>
      </c>
      <c r="O5243">
        <v>0</v>
      </c>
      <c r="P5243">
        <v>0</v>
      </c>
      <c r="Q5243">
        <v>0</v>
      </c>
      <c r="R5243">
        <v>0</v>
      </c>
      <c r="W5243" t="s">
        <v>215</v>
      </c>
      <c r="AA5243">
        <v>2007</v>
      </c>
      <c r="AB5243">
        <v>9999</v>
      </c>
      <c r="AC5243" t="s">
        <v>35</v>
      </c>
    </row>
    <row r="5244" spans="1:29" x14ac:dyDescent="0.25">
      <c r="A5244" s="31" t="s">
        <v>216</v>
      </c>
      <c r="B5244" s="23" t="s">
        <v>217</v>
      </c>
      <c r="D5244">
        <v>1</v>
      </c>
      <c r="E5244" t="s">
        <v>218</v>
      </c>
      <c r="F5244">
        <v>2</v>
      </c>
      <c r="G5244">
        <v>2007</v>
      </c>
      <c r="I5244">
        <v>665</v>
      </c>
      <c r="J5244" t="s">
        <v>52</v>
      </c>
      <c r="K5244" t="s">
        <v>32</v>
      </c>
      <c r="O5244">
        <v>0</v>
      </c>
      <c r="P5244">
        <v>0</v>
      </c>
      <c r="Q5244">
        <v>0</v>
      </c>
      <c r="R5244">
        <v>0</v>
      </c>
      <c r="W5244" t="s">
        <v>219</v>
      </c>
      <c r="AA5244">
        <v>2007</v>
      </c>
      <c r="AB5244">
        <v>9999</v>
      </c>
      <c r="AC5244" t="s">
        <v>35</v>
      </c>
    </row>
    <row r="5245" spans="1:29" x14ac:dyDescent="0.25">
      <c r="A5245" s="31" t="s">
        <v>220</v>
      </c>
      <c r="B5245" s="23" t="s">
        <v>221</v>
      </c>
      <c r="D5245">
        <v>1</v>
      </c>
      <c r="E5245" t="s">
        <v>222</v>
      </c>
      <c r="F5245">
        <v>8</v>
      </c>
      <c r="G5245">
        <v>2007</v>
      </c>
      <c r="I5245">
        <v>26</v>
      </c>
      <c r="J5245" t="s">
        <v>81</v>
      </c>
      <c r="K5245" t="s">
        <v>76</v>
      </c>
      <c r="O5245">
        <v>0</v>
      </c>
      <c r="P5245">
        <v>0</v>
      </c>
      <c r="Q5245">
        <v>0</v>
      </c>
      <c r="R5245">
        <v>0</v>
      </c>
      <c r="W5245" t="s">
        <v>223</v>
      </c>
      <c r="AA5245">
        <v>2007</v>
      </c>
      <c r="AB5245">
        <v>9999</v>
      </c>
      <c r="AC5245" t="s">
        <v>35</v>
      </c>
    </row>
    <row r="5246" spans="1:29" x14ac:dyDescent="0.25">
      <c r="A5246" s="31" t="s">
        <v>224</v>
      </c>
      <c r="B5246" s="25" t="s">
        <v>225</v>
      </c>
      <c r="D5246">
        <v>1</v>
      </c>
      <c r="E5246" t="s">
        <v>51</v>
      </c>
      <c r="F5246">
        <v>1</v>
      </c>
      <c r="G5246">
        <v>2007</v>
      </c>
      <c r="I5246">
        <v>64</v>
      </c>
      <c r="J5246" t="s">
        <v>52</v>
      </c>
      <c r="K5246" t="s">
        <v>53</v>
      </c>
      <c r="L5246" t="s">
        <v>54</v>
      </c>
      <c r="O5246">
        <v>0</v>
      </c>
      <c r="P5246">
        <v>0</v>
      </c>
      <c r="Q5246">
        <v>1</v>
      </c>
      <c r="R5246">
        <v>0</v>
      </c>
      <c r="W5246" t="s">
        <v>55</v>
      </c>
      <c r="AA5246">
        <v>2007</v>
      </c>
      <c r="AB5246">
        <v>9999</v>
      </c>
      <c r="AC5246" t="s">
        <v>35</v>
      </c>
    </row>
    <row r="5247" spans="1:29" x14ac:dyDescent="0.25">
      <c r="A5247" s="31" t="s">
        <v>226</v>
      </c>
      <c r="B5247" s="23" t="s">
        <v>227</v>
      </c>
      <c r="C5247" t="s">
        <v>228</v>
      </c>
      <c r="D5247">
        <v>1</v>
      </c>
      <c r="E5247" t="s">
        <v>218</v>
      </c>
      <c r="F5247">
        <v>2</v>
      </c>
      <c r="G5247">
        <v>2007</v>
      </c>
      <c r="I5247">
        <v>1682</v>
      </c>
      <c r="J5247" t="s">
        <v>147</v>
      </c>
      <c r="K5247" t="s">
        <v>32</v>
      </c>
      <c r="O5247">
        <v>0</v>
      </c>
      <c r="P5247">
        <v>0</v>
      </c>
      <c r="Q5247">
        <v>0</v>
      </c>
      <c r="R5247">
        <v>0</v>
      </c>
      <c r="W5247" t="s">
        <v>229</v>
      </c>
      <c r="AA5247">
        <v>2007</v>
      </c>
      <c r="AB5247">
        <v>9999</v>
      </c>
      <c r="AC5247" t="s">
        <v>35</v>
      </c>
    </row>
    <row r="5248" spans="1:29" x14ac:dyDescent="0.25">
      <c r="A5248" s="31" t="s">
        <v>230</v>
      </c>
      <c r="B5248" s="23" t="s">
        <v>231</v>
      </c>
      <c r="C5248" t="s">
        <v>232</v>
      </c>
      <c r="D5248">
        <v>1</v>
      </c>
      <c r="E5248" t="s">
        <v>145</v>
      </c>
      <c r="F5248">
        <v>2</v>
      </c>
      <c r="G5248">
        <v>2007</v>
      </c>
      <c r="J5248" t="s">
        <v>147</v>
      </c>
      <c r="K5248" t="s">
        <v>47</v>
      </c>
      <c r="O5248">
        <v>0</v>
      </c>
      <c r="P5248">
        <v>0</v>
      </c>
      <c r="Q5248">
        <v>0</v>
      </c>
      <c r="R5248">
        <v>0</v>
      </c>
      <c r="W5248" t="s">
        <v>233</v>
      </c>
      <c r="AA5248">
        <v>2007</v>
      </c>
      <c r="AB5248">
        <v>9999</v>
      </c>
      <c r="AC5248" t="s">
        <v>35</v>
      </c>
    </row>
    <row r="5249" spans="1:29" x14ac:dyDescent="0.25">
      <c r="B5249" s="23" t="s">
        <v>234</v>
      </c>
      <c r="D5249">
        <v>1</v>
      </c>
      <c r="E5249" t="s">
        <v>145</v>
      </c>
      <c r="F5249">
        <v>2</v>
      </c>
      <c r="G5249">
        <v>2007</v>
      </c>
      <c r="H5249" t="s">
        <v>146</v>
      </c>
      <c r="J5249" t="s">
        <v>147</v>
      </c>
      <c r="K5249" t="s">
        <v>41</v>
      </c>
      <c r="O5249">
        <v>0</v>
      </c>
      <c r="P5249">
        <v>0</v>
      </c>
      <c r="Q5249">
        <v>0</v>
      </c>
      <c r="R5249">
        <v>0</v>
      </c>
      <c r="W5249" t="s">
        <v>235</v>
      </c>
      <c r="AA5249">
        <v>2007</v>
      </c>
      <c r="AB5249">
        <v>2009</v>
      </c>
      <c r="AC5249" t="s">
        <v>236</v>
      </c>
    </row>
    <row r="5250" spans="1:29" x14ac:dyDescent="0.25">
      <c r="A5250" s="31" t="s">
        <v>237</v>
      </c>
      <c r="B5250" s="23" t="s">
        <v>238</v>
      </c>
      <c r="D5250">
        <v>1</v>
      </c>
      <c r="E5250" t="s">
        <v>218</v>
      </c>
      <c r="F5250">
        <v>2</v>
      </c>
      <c r="G5250">
        <v>2007</v>
      </c>
      <c r="I5250">
        <v>267</v>
      </c>
      <c r="J5250" t="s">
        <v>147</v>
      </c>
      <c r="K5250" t="s">
        <v>53</v>
      </c>
      <c r="L5250" t="s">
        <v>105</v>
      </c>
      <c r="O5250">
        <v>0</v>
      </c>
      <c r="P5250">
        <v>0</v>
      </c>
      <c r="Q5250">
        <v>0</v>
      </c>
      <c r="R5250">
        <v>0</v>
      </c>
      <c r="W5250" t="s">
        <v>239</v>
      </c>
      <c r="AA5250">
        <v>2007</v>
      </c>
      <c r="AB5250">
        <v>9999</v>
      </c>
      <c r="AC5250" t="s">
        <v>35</v>
      </c>
    </row>
    <row r="5251" spans="1:29" x14ac:dyDescent="0.25">
      <c r="A5251" s="31" t="s">
        <v>240</v>
      </c>
      <c r="B5251" s="23" t="s">
        <v>241</v>
      </c>
      <c r="D5251">
        <v>1</v>
      </c>
      <c r="E5251" t="s">
        <v>218</v>
      </c>
      <c r="F5251">
        <v>2</v>
      </c>
      <c r="G5251">
        <v>2007</v>
      </c>
      <c r="I5251">
        <v>15527</v>
      </c>
      <c r="J5251" t="s">
        <v>147</v>
      </c>
      <c r="K5251" t="s">
        <v>47</v>
      </c>
      <c r="O5251">
        <v>0</v>
      </c>
      <c r="P5251">
        <v>0</v>
      </c>
      <c r="Q5251">
        <v>0</v>
      </c>
      <c r="R5251">
        <v>0</v>
      </c>
      <c r="W5251" t="s">
        <v>242</v>
      </c>
      <c r="AA5251">
        <v>2007</v>
      </c>
      <c r="AB5251">
        <v>9999</v>
      </c>
      <c r="AC5251" t="s">
        <v>35</v>
      </c>
    </row>
    <row r="5252" spans="1:29" x14ac:dyDescent="0.25">
      <c r="A5252" s="31" t="s">
        <v>243</v>
      </c>
      <c r="B5252" s="23" t="s">
        <v>244</v>
      </c>
      <c r="D5252">
        <v>1</v>
      </c>
      <c r="E5252" t="s">
        <v>210</v>
      </c>
      <c r="F5252">
        <v>10</v>
      </c>
      <c r="G5252">
        <v>2007</v>
      </c>
      <c r="I5252">
        <v>14694</v>
      </c>
      <c r="J5252" t="s">
        <v>40</v>
      </c>
      <c r="K5252" t="s">
        <v>32</v>
      </c>
      <c r="O5252">
        <v>0</v>
      </c>
      <c r="P5252">
        <v>0</v>
      </c>
      <c r="Q5252">
        <v>0</v>
      </c>
      <c r="R5252">
        <v>0</v>
      </c>
      <c r="W5252" t="s">
        <v>245</v>
      </c>
      <c r="AA5252">
        <v>2007</v>
      </c>
      <c r="AB5252">
        <v>9999</v>
      </c>
      <c r="AC5252" t="s">
        <v>35</v>
      </c>
    </row>
    <row r="5253" spans="1:29" x14ac:dyDescent="0.25">
      <c r="A5253" s="31" t="s">
        <v>246</v>
      </c>
      <c r="B5253" s="23" t="s">
        <v>247</v>
      </c>
      <c r="D5253">
        <v>1</v>
      </c>
      <c r="E5253" t="s">
        <v>120</v>
      </c>
      <c r="F5253">
        <v>3</v>
      </c>
      <c r="G5253">
        <v>2007</v>
      </c>
      <c r="H5253" t="s">
        <v>129</v>
      </c>
      <c r="I5253">
        <v>1</v>
      </c>
      <c r="J5253" t="s">
        <v>121</v>
      </c>
      <c r="K5253" t="s">
        <v>41</v>
      </c>
      <c r="O5253">
        <v>0</v>
      </c>
      <c r="P5253">
        <v>0</v>
      </c>
      <c r="Q5253">
        <v>0</v>
      </c>
      <c r="R5253">
        <v>0</v>
      </c>
      <c r="W5253" t="s">
        <v>248</v>
      </c>
      <c r="AA5253">
        <v>2007</v>
      </c>
      <c r="AB5253">
        <v>9999</v>
      </c>
      <c r="AC5253" t="s">
        <v>35</v>
      </c>
    </row>
    <row r="5254" spans="1:29" x14ac:dyDescent="0.25">
      <c r="A5254" s="31" t="s">
        <v>249</v>
      </c>
      <c r="B5254" s="23" t="s">
        <v>250</v>
      </c>
      <c r="D5254">
        <v>1</v>
      </c>
      <c r="E5254" t="s">
        <v>38</v>
      </c>
      <c r="F5254">
        <v>4</v>
      </c>
      <c r="G5254">
        <v>2007</v>
      </c>
      <c r="I5254">
        <v>29</v>
      </c>
      <c r="J5254" t="s">
        <v>89</v>
      </c>
      <c r="K5254" t="s">
        <v>76</v>
      </c>
      <c r="O5254">
        <v>0</v>
      </c>
      <c r="P5254">
        <v>0</v>
      </c>
      <c r="Q5254">
        <v>0</v>
      </c>
      <c r="R5254">
        <v>0</v>
      </c>
      <c r="W5254" t="s">
        <v>251</v>
      </c>
      <c r="AA5254">
        <v>2007</v>
      </c>
      <c r="AB5254">
        <v>2009</v>
      </c>
      <c r="AC5254" t="s">
        <v>236</v>
      </c>
    </row>
    <row r="5255" spans="1:29" x14ac:dyDescent="0.25">
      <c r="A5255" s="31" t="s">
        <v>252</v>
      </c>
      <c r="B5255" s="23" t="s">
        <v>253</v>
      </c>
      <c r="D5255">
        <v>1</v>
      </c>
      <c r="E5255" t="s">
        <v>145</v>
      </c>
      <c r="F5255">
        <v>2</v>
      </c>
      <c r="G5255">
        <v>2007</v>
      </c>
      <c r="H5255" t="s">
        <v>254</v>
      </c>
      <c r="I5255">
        <v>0.05</v>
      </c>
      <c r="J5255" s="2" t="s">
        <v>147</v>
      </c>
      <c r="K5255" t="s">
        <v>41</v>
      </c>
      <c r="O5255">
        <v>0</v>
      </c>
      <c r="P5255">
        <v>0</v>
      </c>
      <c r="Q5255">
        <v>0</v>
      </c>
      <c r="R5255">
        <v>0</v>
      </c>
      <c r="W5255" t="s">
        <v>255</v>
      </c>
      <c r="AA5255">
        <v>2007</v>
      </c>
      <c r="AB5255">
        <v>9999</v>
      </c>
      <c r="AC5255" t="s">
        <v>35</v>
      </c>
    </row>
    <row r="5256" spans="1:29" x14ac:dyDescent="0.25">
      <c r="A5256" s="31" t="s">
        <v>256</v>
      </c>
      <c r="B5256" s="23" t="s">
        <v>257</v>
      </c>
      <c r="D5256">
        <v>1</v>
      </c>
      <c r="E5256" t="s">
        <v>138</v>
      </c>
      <c r="F5256">
        <v>8</v>
      </c>
      <c r="G5256">
        <v>2007</v>
      </c>
      <c r="I5256">
        <v>12</v>
      </c>
      <c r="J5256" t="s">
        <v>81</v>
      </c>
      <c r="K5256" t="s">
        <v>47</v>
      </c>
      <c r="O5256">
        <v>0</v>
      </c>
      <c r="P5256">
        <v>0</v>
      </c>
      <c r="Q5256">
        <v>0</v>
      </c>
      <c r="R5256">
        <v>0</v>
      </c>
      <c r="W5256" t="s">
        <v>258</v>
      </c>
      <c r="AA5256">
        <v>2007</v>
      </c>
      <c r="AB5256">
        <v>2010</v>
      </c>
      <c r="AC5256" t="s">
        <v>91</v>
      </c>
    </row>
    <row r="5257" spans="1:29" x14ac:dyDescent="0.25">
      <c r="A5257" s="31" t="s">
        <v>259</v>
      </c>
      <c r="B5257" s="23" t="s">
        <v>260</v>
      </c>
      <c r="C5257" t="s">
        <v>261</v>
      </c>
      <c r="D5257">
        <v>1</v>
      </c>
      <c r="E5257" t="s">
        <v>103</v>
      </c>
      <c r="F5257">
        <v>9</v>
      </c>
      <c r="G5257">
        <v>2007</v>
      </c>
      <c r="I5257">
        <v>4633</v>
      </c>
      <c r="J5257" t="s">
        <v>104</v>
      </c>
      <c r="K5257" t="s">
        <v>53</v>
      </c>
      <c r="L5257" t="s">
        <v>105</v>
      </c>
      <c r="O5257">
        <v>0</v>
      </c>
      <c r="P5257">
        <v>1</v>
      </c>
      <c r="Q5257">
        <v>0</v>
      </c>
      <c r="R5257">
        <v>0</v>
      </c>
      <c r="W5257" t="s">
        <v>106</v>
      </c>
      <c r="AA5257">
        <v>2007</v>
      </c>
      <c r="AB5257">
        <v>9999</v>
      </c>
      <c r="AC5257" t="s">
        <v>35</v>
      </c>
    </row>
    <row r="5258" spans="1:29" x14ac:dyDescent="0.25">
      <c r="A5258" s="31" t="s">
        <v>262</v>
      </c>
      <c r="B5258" s="23" t="s">
        <v>263</v>
      </c>
      <c r="D5258">
        <v>1</v>
      </c>
      <c r="E5258" t="s">
        <v>51</v>
      </c>
      <c r="F5258">
        <v>10</v>
      </c>
      <c r="G5258">
        <v>2007</v>
      </c>
      <c r="I5258">
        <v>13</v>
      </c>
      <c r="J5258" t="s">
        <v>46</v>
      </c>
      <c r="K5258" t="s">
        <v>47</v>
      </c>
      <c r="O5258">
        <v>0</v>
      </c>
      <c r="P5258">
        <v>0</v>
      </c>
      <c r="Q5258">
        <v>0</v>
      </c>
      <c r="R5258">
        <v>0</v>
      </c>
      <c r="W5258" t="s">
        <v>264</v>
      </c>
      <c r="AA5258">
        <v>2007</v>
      </c>
      <c r="AB5258">
        <v>2008</v>
      </c>
      <c r="AC5258" t="s">
        <v>265</v>
      </c>
    </row>
    <row r="5259" spans="1:29" x14ac:dyDescent="0.25">
      <c r="A5259" s="31" t="s">
        <v>266</v>
      </c>
      <c r="B5259" s="25" t="s">
        <v>267</v>
      </c>
      <c r="D5259">
        <v>1</v>
      </c>
      <c r="E5259" t="s">
        <v>85</v>
      </c>
      <c r="F5259">
        <v>4</v>
      </c>
      <c r="G5259">
        <v>2007</v>
      </c>
      <c r="J5259" t="s">
        <v>268</v>
      </c>
      <c r="K5259" t="s">
        <v>41</v>
      </c>
      <c r="O5259">
        <v>0</v>
      </c>
      <c r="P5259">
        <v>0</v>
      </c>
      <c r="Q5259">
        <v>0</v>
      </c>
      <c r="R5259">
        <v>0</v>
      </c>
      <c r="W5259" t="s">
        <v>269</v>
      </c>
      <c r="AA5259">
        <v>2007</v>
      </c>
      <c r="AB5259">
        <v>9999</v>
      </c>
      <c r="AC5259" t="s">
        <v>35</v>
      </c>
    </row>
    <row r="5260" spans="1:29" x14ac:dyDescent="0.25">
      <c r="A5260" s="31" t="s">
        <v>153</v>
      </c>
      <c r="B5260" s="23" t="s">
        <v>270</v>
      </c>
      <c r="D5260">
        <v>6</v>
      </c>
      <c r="E5260" t="s">
        <v>155</v>
      </c>
      <c r="F5260">
        <v>3</v>
      </c>
      <c r="G5260">
        <v>2007</v>
      </c>
      <c r="I5260">
        <v>570.62579779999999</v>
      </c>
      <c r="J5260" t="s">
        <v>121</v>
      </c>
      <c r="K5260" t="s">
        <v>53</v>
      </c>
      <c r="L5260" t="s">
        <v>60</v>
      </c>
      <c r="O5260">
        <v>1</v>
      </c>
      <c r="P5260">
        <v>0</v>
      </c>
      <c r="Q5260">
        <v>0</v>
      </c>
      <c r="R5260">
        <v>0</v>
      </c>
      <c r="V5260">
        <v>1</v>
      </c>
      <c r="W5260" t="s">
        <v>271</v>
      </c>
      <c r="AA5260">
        <v>2007</v>
      </c>
      <c r="AB5260">
        <v>9999</v>
      </c>
      <c r="AC5260" t="s">
        <v>35</v>
      </c>
    </row>
    <row r="5261" spans="1:29" x14ac:dyDescent="0.25">
      <c r="A5261" s="31" t="s">
        <v>153</v>
      </c>
      <c r="B5261" s="23" t="s">
        <v>272</v>
      </c>
      <c r="D5261">
        <v>8</v>
      </c>
      <c r="E5261" t="s">
        <v>155</v>
      </c>
      <c r="F5261">
        <v>3</v>
      </c>
      <c r="G5261">
        <v>2007</v>
      </c>
      <c r="I5261">
        <v>89.210259999999991</v>
      </c>
      <c r="J5261" s="2" t="s">
        <v>121</v>
      </c>
      <c r="K5261" t="s">
        <v>53</v>
      </c>
      <c r="L5261" t="s">
        <v>60</v>
      </c>
      <c r="O5261">
        <v>1</v>
      </c>
      <c r="P5261">
        <v>0</v>
      </c>
      <c r="Q5261">
        <v>0</v>
      </c>
      <c r="R5261">
        <v>0</v>
      </c>
      <c r="V5261">
        <v>1</v>
      </c>
      <c r="W5261" t="s">
        <v>273</v>
      </c>
      <c r="AA5261">
        <v>2007</v>
      </c>
      <c r="AB5261">
        <v>9999</v>
      </c>
      <c r="AC5261" t="s">
        <v>35</v>
      </c>
    </row>
    <row r="5262" spans="1:29" x14ac:dyDescent="0.25">
      <c r="A5262" s="31" t="s">
        <v>274</v>
      </c>
      <c r="B5262" s="23" t="s">
        <v>275</v>
      </c>
      <c r="C5262" t="s">
        <v>276</v>
      </c>
      <c r="D5262">
        <v>1</v>
      </c>
      <c r="E5262" t="s">
        <v>51</v>
      </c>
      <c r="F5262">
        <v>10</v>
      </c>
      <c r="G5262">
        <v>2007</v>
      </c>
      <c r="I5262">
        <v>31</v>
      </c>
      <c r="J5262" s="2" t="s">
        <v>40</v>
      </c>
      <c r="K5262" t="s">
        <v>41</v>
      </c>
      <c r="O5262">
        <v>0</v>
      </c>
      <c r="P5262">
        <v>0</v>
      </c>
      <c r="Q5262">
        <v>0</v>
      </c>
      <c r="R5262">
        <v>0</v>
      </c>
      <c r="W5262" t="s">
        <v>277</v>
      </c>
      <c r="AA5262">
        <v>2007</v>
      </c>
      <c r="AB5262">
        <v>9999</v>
      </c>
      <c r="AC5262" t="s">
        <v>35</v>
      </c>
    </row>
    <row r="5263" spans="1:29" x14ac:dyDescent="0.25">
      <c r="A5263" s="31" t="s">
        <v>278</v>
      </c>
      <c r="B5263" s="23" t="s">
        <v>279</v>
      </c>
      <c r="D5263">
        <v>1</v>
      </c>
      <c r="E5263" t="s">
        <v>103</v>
      </c>
      <c r="F5263">
        <v>9</v>
      </c>
      <c r="G5263">
        <v>2007</v>
      </c>
      <c r="I5263">
        <v>560</v>
      </c>
      <c r="J5263" t="s">
        <v>104</v>
      </c>
      <c r="K5263" t="s">
        <v>53</v>
      </c>
      <c r="L5263" t="s">
        <v>105</v>
      </c>
      <c r="O5263">
        <v>0</v>
      </c>
      <c r="P5263">
        <v>1</v>
      </c>
      <c r="Q5263">
        <v>0</v>
      </c>
      <c r="R5263">
        <v>0</v>
      </c>
      <c r="W5263" t="s">
        <v>106</v>
      </c>
      <c r="AA5263">
        <v>2007</v>
      </c>
      <c r="AB5263">
        <v>9999</v>
      </c>
      <c r="AC5263" t="s">
        <v>35</v>
      </c>
    </row>
    <row r="5264" spans="1:29" x14ac:dyDescent="0.25">
      <c r="A5264" s="31" t="s">
        <v>280</v>
      </c>
      <c r="B5264" s="23" t="s">
        <v>281</v>
      </c>
      <c r="D5264">
        <v>1</v>
      </c>
      <c r="E5264" t="s">
        <v>103</v>
      </c>
      <c r="F5264">
        <v>9</v>
      </c>
      <c r="G5264">
        <v>2007</v>
      </c>
      <c r="I5264">
        <v>550</v>
      </c>
      <c r="J5264" t="s">
        <v>104</v>
      </c>
      <c r="K5264" t="s">
        <v>53</v>
      </c>
      <c r="L5264" t="s">
        <v>105</v>
      </c>
      <c r="O5264">
        <v>0</v>
      </c>
      <c r="P5264">
        <v>1</v>
      </c>
      <c r="Q5264">
        <v>0</v>
      </c>
      <c r="R5264">
        <v>0</v>
      </c>
      <c r="W5264" t="s">
        <v>106</v>
      </c>
      <c r="AA5264">
        <v>2007</v>
      </c>
      <c r="AB5264">
        <v>9999</v>
      </c>
      <c r="AC5264" t="s">
        <v>35</v>
      </c>
    </row>
    <row r="5265" spans="1:29" x14ac:dyDescent="0.25">
      <c r="A5265" s="31" t="s">
        <v>282</v>
      </c>
      <c r="B5265" s="23" t="s">
        <v>283</v>
      </c>
      <c r="D5265">
        <v>1</v>
      </c>
      <c r="E5265" t="s">
        <v>103</v>
      </c>
      <c r="F5265">
        <v>9</v>
      </c>
      <c r="G5265">
        <v>2007</v>
      </c>
      <c r="I5265">
        <v>572</v>
      </c>
      <c r="J5265" t="s">
        <v>104</v>
      </c>
      <c r="K5265" t="s">
        <v>53</v>
      </c>
      <c r="L5265" t="s">
        <v>105</v>
      </c>
      <c r="O5265">
        <v>0</v>
      </c>
      <c r="P5265">
        <v>1</v>
      </c>
      <c r="Q5265">
        <v>0</v>
      </c>
      <c r="R5265">
        <v>0</v>
      </c>
      <c r="W5265" t="s">
        <v>106</v>
      </c>
      <c r="AA5265">
        <v>2007</v>
      </c>
      <c r="AB5265">
        <v>9999</v>
      </c>
      <c r="AC5265" t="s">
        <v>35</v>
      </c>
    </row>
    <row r="5266" spans="1:29" x14ac:dyDescent="0.25">
      <c r="A5266" s="31" t="s">
        <v>284</v>
      </c>
      <c r="B5266" s="23" t="s">
        <v>285</v>
      </c>
      <c r="D5266">
        <v>1</v>
      </c>
      <c r="E5266" t="s">
        <v>103</v>
      </c>
      <c r="F5266">
        <v>9</v>
      </c>
      <c r="G5266">
        <v>2007</v>
      </c>
      <c r="I5266">
        <v>451</v>
      </c>
      <c r="J5266" t="s">
        <v>104</v>
      </c>
      <c r="K5266" t="s">
        <v>53</v>
      </c>
      <c r="L5266" t="s">
        <v>105</v>
      </c>
      <c r="O5266">
        <v>0</v>
      </c>
      <c r="P5266">
        <v>1</v>
      </c>
      <c r="Q5266">
        <v>0</v>
      </c>
      <c r="R5266">
        <v>0</v>
      </c>
      <c r="W5266" t="s">
        <v>106</v>
      </c>
      <c r="AA5266">
        <v>2007</v>
      </c>
      <c r="AB5266">
        <v>9999</v>
      </c>
      <c r="AC5266" t="s">
        <v>35</v>
      </c>
    </row>
    <row r="5267" spans="1:29" x14ac:dyDescent="0.25">
      <c r="A5267" s="31" t="s">
        <v>286</v>
      </c>
      <c r="B5267" s="23" t="s">
        <v>287</v>
      </c>
      <c r="D5267">
        <v>1</v>
      </c>
      <c r="E5267" t="s">
        <v>128</v>
      </c>
      <c r="F5267">
        <v>9</v>
      </c>
      <c r="G5267">
        <v>2007</v>
      </c>
      <c r="I5267">
        <v>750</v>
      </c>
      <c r="J5267" t="s">
        <v>104</v>
      </c>
      <c r="K5267" t="s">
        <v>53</v>
      </c>
      <c r="L5267" t="s">
        <v>105</v>
      </c>
      <c r="O5267">
        <v>0</v>
      </c>
      <c r="P5267">
        <v>1</v>
      </c>
      <c r="Q5267">
        <v>0</v>
      </c>
      <c r="R5267">
        <v>0</v>
      </c>
      <c r="W5267" t="s">
        <v>106</v>
      </c>
      <c r="AA5267">
        <v>2007</v>
      </c>
      <c r="AB5267">
        <v>2009</v>
      </c>
      <c r="AC5267" t="s">
        <v>236</v>
      </c>
    </row>
    <row r="5268" spans="1:29" x14ac:dyDescent="0.25">
      <c r="A5268" s="31" t="s">
        <v>288</v>
      </c>
      <c r="B5268" s="23" t="s">
        <v>289</v>
      </c>
      <c r="D5268">
        <v>1</v>
      </c>
      <c r="E5268" t="s">
        <v>103</v>
      </c>
      <c r="F5268">
        <v>9</v>
      </c>
      <c r="G5268">
        <v>2007</v>
      </c>
      <c r="I5268">
        <v>457</v>
      </c>
      <c r="J5268" t="s">
        <v>104</v>
      </c>
      <c r="K5268" t="s">
        <v>53</v>
      </c>
      <c r="L5268" t="s">
        <v>105</v>
      </c>
      <c r="O5268">
        <v>0</v>
      </c>
      <c r="P5268">
        <v>1</v>
      </c>
      <c r="Q5268">
        <v>0</v>
      </c>
      <c r="R5268">
        <v>0</v>
      </c>
      <c r="W5268" t="s">
        <v>106</v>
      </c>
      <c r="AA5268">
        <v>2007</v>
      </c>
      <c r="AB5268">
        <v>9999</v>
      </c>
      <c r="AC5268" t="s">
        <v>35</v>
      </c>
    </row>
    <row r="5269" spans="1:29" x14ac:dyDescent="0.25">
      <c r="A5269" s="31" t="s">
        <v>288</v>
      </c>
      <c r="B5269" s="23" t="s">
        <v>290</v>
      </c>
      <c r="D5269">
        <v>1</v>
      </c>
      <c r="E5269" t="s">
        <v>103</v>
      </c>
      <c r="F5269">
        <v>9</v>
      </c>
      <c r="G5269">
        <v>2007</v>
      </c>
      <c r="I5269">
        <v>458</v>
      </c>
      <c r="J5269" t="s">
        <v>104</v>
      </c>
      <c r="K5269" t="s">
        <v>53</v>
      </c>
      <c r="L5269" t="s">
        <v>105</v>
      </c>
      <c r="O5269">
        <v>0</v>
      </c>
      <c r="P5269">
        <v>1</v>
      </c>
      <c r="Q5269">
        <v>0</v>
      </c>
      <c r="R5269">
        <v>0</v>
      </c>
      <c r="W5269" t="s">
        <v>106</v>
      </c>
      <c r="AA5269">
        <v>2007</v>
      </c>
      <c r="AB5269">
        <v>9999</v>
      </c>
      <c r="AC5269" t="s">
        <v>35</v>
      </c>
    </row>
    <row r="5270" spans="1:29" x14ac:dyDescent="0.25">
      <c r="A5270" s="31" t="s">
        <v>291</v>
      </c>
      <c r="B5270" s="23" t="s">
        <v>292</v>
      </c>
      <c r="D5270">
        <v>1</v>
      </c>
      <c r="E5270" t="s">
        <v>103</v>
      </c>
      <c r="F5270">
        <v>9</v>
      </c>
      <c r="G5270">
        <v>2007</v>
      </c>
      <c r="I5270">
        <v>159</v>
      </c>
      <c r="J5270" t="s">
        <v>104</v>
      </c>
      <c r="K5270" t="s">
        <v>53</v>
      </c>
      <c r="L5270" t="s">
        <v>105</v>
      </c>
      <c r="O5270">
        <v>0</v>
      </c>
      <c r="P5270">
        <v>1</v>
      </c>
      <c r="Q5270">
        <v>0</v>
      </c>
      <c r="R5270">
        <v>0</v>
      </c>
      <c r="W5270" t="s">
        <v>106</v>
      </c>
      <c r="AA5270">
        <v>2007</v>
      </c>
      <c r="AB5270">
        <v>2013</v>
      </c>
      <c r="AC5270" t="s">
        <v>139</v>
      </c>
    </row>
    <row r="5271" spans="1:29" x14ac:dyDescent="0.25">
      <c r="A5271" s="31" t="s">
        <v>293</v>
      </c>
      <c r="B5271" s="23" t="s">
        <v>294</v>
      </c>
      <c r="D5271">
        <v>1</v>
      </c>
      <c r="E5271" t="s">
        <v>103</v>
      </c>
      <c r="F5271">
        <v>9</v>
      </c>
      <c r="G5271">
        <v>2007</v>
      </c>
      <c r="I5271">
        <v>436</v>
      </c>
      <c r="J5271" t="s">
        <v>104</v>
      </c>
      <c r="K5271" t="s">
        <v>53</v>
      </c>
      <c r="L5271" t="s">
        <v>105</v>
      </c>
      <c r="O5271">
        <v>0</v>
      </c>
      <c r="P5271">
        <v>1</v>
      </c>
      <c r="Q5271">
        <v>0</v>
      </c>
      <c r="R5271">
        <v>0</v>
      </c>
      <c r="W5271" t="s">
        <v>106</v>
      </c>
      <c r="AA5271">
        <v>2007</v>
      </c>
      <c r="AB5271">
        <v>9999</v>
      </c>
      <c r="AC5271" t="s">
        <v>35</v>
      </c>
    </row>
    <row r="5272" spans="1:29" x14ac:dyDescent="0.25">
      <c r="A5272" s="31" t="s">
        <v>295</v>
      </c>
      <c r="B5272" s="25" t="s">
        <v>296</v>
      </c>
      <c r="D5272">
        <v>1</v>
      </c>
      <c r="E5272" t="s">
        <v>128</v>
      </c>
      <c r="F5272">
        <v>9</v>
      </c>
      <c r="G5272">
        <v>2007</v>
      </c>
      <c r="H5272" t="s">
        <v>297</v>
      </c>
      <c r="I5272">
        <v>0.2</v>
      </c>
      <c r="J5272" t="s">
        <v>104</v>
      </c>
      <c r="K5272" t="s">
        <v>41</v>
      </c>
      <c r="O5272">
        <v>0</v>
      </c>
      <c r="P5272">
        <v>0</v>
      </c>
      <c r="Q5272">
        <v>0</v>
      </c>
      <c r="R5272">
        <v>0</v>
      </c>
      <c r="W5272" t="s">
        <v>298</v>
      </c>
      <c r="AA5272">
        <v>2007</v>
      </c>
      <c r="AB5272">
        <v>9999</v>
      </c>
      <c r="AC5272" t="s">
        <v>35</v>
      </c>
    </row>
    <row r="5273" spans="1:29" x14ac:dyDescent="0.25">
      <c r="A5273" s="31" t="s">
        <v>299</v>
      </c>
      <c r="B5273" s="23" t="s">
        <v>297</v>
      </c>
      <c r="D5273">
        <v>1</v>
      </c>
      <c r="E5273" t="s">
        <v>300</v>
      </c>
      <c r="F5273">
        <v>9</v>
      </c>
      <c r="G5273">
        <v>2007</v>
      </c>
      <c r="I5273">
        <v>140</v>
      </c>
      <c r="J5273" t="s">
        <v>104</v>
      </c>
      <c r="K5273" t="s">
        <v>76</v>
      </c>
      <c r="O5273">
        <v>0</v>
      </c>
      <c r="P5273">
        <v>0</v>
      </c>
      <c r="Q5273">
        <v>0</v>
      </c>
      <c r="R5273">
        <v>0</v>
      </c>
      <c r="W5273" s="5" t="s">
        <v>301</v>
      </c>
      <c r="AA5273">
        <v>2007</v>
      </c>
      <c r="AB5273">
        <v>2012</v>
      </c>
      <c r="AC5273" t="s">
        <v>302</v>
      </c>
    </row>
    <row r="5274" spans="1:29" x14ac:dyDescent="0.25">
      <c r="A5274" s="31" t="s">
        <v>153</v>
      </c>
      <c r="B5274" s="25" t="s">
        <v>303</v>
      </c>
      <c r="D5274">
        <v>1</v>
      </c>
      <c r="E5274" t="s">
        <v>155</v>
      </c>
      <c r="F5274">
        <v>3</v>
      </c>
      <c r="G5274">
        <v>2007</v>
      </c>
      <c r="I5274">
        <v>84.243386599999994</v>
      </c>
      <c r="J5274" t="s">
        <v>121</v>
      </c>
      <c r="K5274" t="s">
        <v>53</v>
      </c>
      <c r="L5274" t="s">
        <v>60</v>
      </c>
      <c r="O5274">
        <v>1</v>
      </c>
      <c r="P5274">
        <v>0</v>
      </c>
      <c r="Q5274">
        <v>0</v>
      </c>
      <c r="R5274">
        <v>0</v>
      </c>
      <c r="V5274">
        <v>1</v>
      </c>
      <c r="W5274" t="s">
        <v>304</v>
      </c>
      <c r="AA5274">
        <v>2007</v>
      </c>
      <c r="AB5274">
        <v>9999</v>
      </c>
      <c r="AC5274" t="s">
        <v>35</v>
      </c>
    </row>
    <row r="5275" spans="1:29" x14ac:dyDescent="0.25">
      <c r="A5275" s="31" t="s">
        <v>305</v>
      </c>
      <c r="B5275" s="23" t="s">
        <v>306</v>
      </c>
      <c r="D5275">
        <v>1</v>
      </c>
      <c r="E5275" t="s">
        <v>103</v>
      </c>
      <c r="F5275">
        <v>9</v>
      </c>
      <c r="G5275">
        <v>2007</v>
      </c>
      <c r="I5275">
        <v>83</v>
      </c>
      <c r="J5275" s="2" t="s">
        <v>104</v>
      </c>
      <c r="K5275" t="s">
        <v>53</v>
      </c>
      <c r="L5275" t="s">
        <v>105</v>
      </c>
      <c r="O5275">
        <v>0</v>
      </c>
      <c r="P5275">
        <v>1</v>
      </c>
      <c r="Q5275">
        <v>0</v>
      </c>
      <c r="R5275">
        <v>0</v>
      </c>
      <c r="W5275" t="s">
        <v>106</v>
      </c>
      <c r="AA5275">
        <v>2007</v>
      </c>
      <c r="AB5275">
        <v>9999</v>
      </c>
      <c r="AC5275" t="s">
        <v>35</v>
      </c>
    </row>
    <row r="5276" spans="1:29" x14ac:dyDescent="0.25">
      <c r="A5276" s="31" t="s">
        <v>307</v>
      </c>
      <c r="B5276" s="23" t="s">
        <v>308</v>
      </c>
      <c r="D5276">
        <v>1</v>
      </c>
      <c r="E5276" t="s">
        <v>309</v>
      </c>
      <c r="F5276">
        <v>10</v>
      </c>
      <c r="G5276">
        <v>2007</v>
      </c>
      <c r="I5276">
        <v>59</v>
      </c>
      <c r="J5276" t="s">
        <v>59</v>
      </c>
      <c r="K5276" t="s">
        <v>47</v>
      </c>
      <c r="O5276">
        <v>0</v>
      </c>
      <c r="P5276">
        <v>0</v>
      </c>
      <c r="Q5276">
        <v>0</v>
      </c>
      <c r="R5276">
        <v>0</v>
      </c>
      <c r="W5276" t="s">
        <v>310</v>
      </c>
      <c r="AA5276">
        <v>2007</v>
      </c>
      <c r="AB5276">
        <v>9999</v>
      </c>
      <c r="AC5276" t="s">
        <v>35</v>
      </c>
    </row>
    <row r="5277" spans="1:29" x14ac:dyDescent="0.25">
      <c r="A5277" s="31" t="s">
        <v>311</v>
      </c>
      <c r="B5277" s="23" t="s">
        <v>312</v>
      </c>
      <c r="C5277" t="s">
        <v>313</v>
      </c>
      <c r="D5277">
        <v>1</v>
      </c>
      <c r="E5277" t="s">
        <v>314</v>
      </c>
      <c r="F5277">
        <v>2</v>
      </c>
      <c r="G5277">
        <v>2007</v>
      </c>
      <c r="I5277">
        <v>18</v>
      </c>
      <c r="J5277" t="s">
        <v>176</v>
      </c>
      <c r="K5277" t="s">
        <v>47</v>
      </c>
      <c r="O5277">
        <v>0</v>
      </c>
      <c r="P5277">
        <v>0</v>
      </c>
      <c r="Q5277">
        <v>0</v>
      </c>
      <c r="R5277">
        <v>0</v>
      </c>
      <c r="W5277" t="s">
        <v>315</v>
      </c>
      <c r="AA5277">
        <v>2007</v>
      </c>
      <c r="AB5277">
        <v>9999</v>
      </c>
      <c r="AC5277" t="s">
        <v>35</v>
      </c>
    </row>
    <row r="5278" spans="1:29" x14ac:dyDescent="0.25">
      <c r="A5278" s="31" t="s">
        <v>316</v>
      </c>
      <c r="B5278" s="23" t="s">
        <v>317</v>
      </c>
      <c r="D5278">
        <v>1</v>
      </c>
      <c r="E5278" t="s">
        <v>318</v>
      </c>
      <c r="F5278">
        <v>4</v>
      </c>
      <c r="G5278">
        <v>2007</v>
      </c>
      <c r="I5278">
        <v>28</v>
      </c>
      <c r="J5278" t="s">
        <v>59</v>
      </c>
      <c r="K5278" t="s">
        <v>47</v>
      </c>
      <c r="O5278">
        <v>0</v>
      </c>
      <c r="P5278">
        <v>0</v>
      </c>
      <c r="Q5278">
        <v>0</v>
      </c>
      <c r="R5278">
        <v>0</v>
      </c>
      <c r="W5278" t="s">
        <v>319</v>
      </c>
      <c r="AA5278">
        <v>2007</v>
      </c>
      <c r="AB5278">
        <v>9999</v>
      </c>
      <c r="AC5278" t="s">
        <v>35</v>
      </c>
    </row>
    <row r="5279" spans="1:29" x14ac:dyDescent="0.25">
      <c r="A5279" s="31" t="s">
        <v>320</v>
      </c>
      <c r="B5279" s="23" t="s">
        <v>321</v>
      </c>
      <c r="D5279">
        <v>1</v>
      </c>
      <c r="E5279" t="s">
        <v>322</v>
      </c>
      <c r="F5279">
        <v>7</v>
      </c>
      <c r="G5279">
        <v>2007</v>
      </c>
      <c r="I5279">
        <v>28</v>
      </c>
      <c r="J5279" t="s">
        <v>40</v>
      </c>
      <c r="K5279" t="s">
        <v>32</v>
      </c>
      <c r="O5279">
        <v>0</v>
      </c>
      <c r="P5279">
        <v>0</v>
      </c>
      <c r="Q5279">
        <v>0</v>
      </c>
      <c r="R5279">
        <v>0</v>
      </c>
      <c r="W5279" t="s">
        <v>323</v>
      </c>
      <c r="AA5279">
        <v>2007</v>
      </c>
      <c r="AB5279">
        <v>2007</v>
      </c>
      <c r="AC5279" t="s">
        <v>70</v>
      </c>
    </row>
    <row r="5280" spans="1:29" x14ac:dyDescent="0.25">
      <c r="A5280" s="31" t="s">
        <v>324</v>
      </c>
      <c r="B5280" s="23" t="s">
        <v>325</v>
      </c>
      <c r="D5280">
        <v>1</v>
      </c>
      <c r="E5280" t="s">
        <v>103</v>
      </c>
      <c r="F5280">
        <v>9</v>
      </c>
      <c r="G5280">
        <v>2007</v>
      </c>
      <c r="I5280">
        <v>100</v>
      </c>
      <c r="J5280" t="s">
        <v>104</v>
      </c>
      <c r="K5280" t="s">
        <v>76</v>
      </c>
      <c r="O5280">
        <v>0</v>
      </c>
      <c r="P5280">
        <v>0</v>
      </c>
      <c r="Q5280">
        <v>0</v>
      </c>
      <c r="R5280">
        <v>0</v>
      </c>
      <c r="W5280" t="s">
        <v>326</v>
      </c>
      <c r="AA5280">
        <v>2007</v>
      </c>
      <c r="AB5280">
        <v>9999</v>
      </c>
      <c r="AC5280" t="s">
        <v>35</v>
      </c>
    </row>
    <row r="5281" spans="1:29" x14ac:dyDescent="0.25">
      <c r="A5281" s="31" t="s">
        <v>327</v>
      </c>
      <c r="B5281" s="23" t="s">
        <v>328</v>
      </c>
      <c r="D5281">
        <v>1</v>
      </c>
      <c r="E5281" t="s">
        <v>80</v>
      </c>
      <c r="F5281">
        <v>8</v>
      </c>
      <c r="G5281">
        <v>2007</v>
      </c>
      <c r="I5281">
        <v>78</v>
      </c>
      <c r="J5281" t="s">
        <v>81</v>
      </c>
      <c r="K5281" t="s">
        <v>76</v>
      </c>
      <c r="O5281">
        <v>0</v>
      </c>
      <c r="P5281">
        <v>0</v>
      </c>
      <c r="Q5281">
        <v>0</v>
      </c>
      <c r="R5281">
        <v>0</v>
      </c>
      <c r="W5281" t="s">
        <v>329</v>
      </c>
      <c r="AA5281">
        <v>2007</v>
      </c>
      <c r="AB5281">
        <v>9999</v>
      </c>
      <c r="AC5281" t="s">
        <v>35</v>
      </c>
    </row>
    <row r="5282" spans="1:29" x14ac:dyDescent="0.25">
      <c r="A5282" s="31" t="s">
        <v>330</v>
      </c>
      <c r="B5282" s="23" t="s">
        <v>331</v>
      </c>
      <c r="D5282">
        <v>1</v>
      </c>
      <c r="E5282" t="s">
        <v>38</v>
      </c>
      <c r="F5282">
        <v>4</v>
      </c>
      <c r="G5282">
        <v>2007</v>
      </c>
      <c r="I5282">
        <v>49</v>
      </c>
      <c r="J5282" t="s">
        <v>89</v>
      </c>
      <c r="K5282" t="s">
        <v>76</v>
      </c>
      <c r="O5282">
        <v>0</v>
      </c>
      <c r="P5282">
        <v>0</v>
      </c>
      <c r="Q5282">
        <v>0</v>
      </c>
      <c r="R5282">
        <v>0</v>
      </c>
      <c r="W5282" t="s">
        <v>332</v>
      </c>
      <c r="AA5282">
        <v>2007</v>
      </c>
      <c r="AB5282">
        <v>2009</v>
      </c>
      <c r="AC5282" t="s">
        <v>236</v>
      </c>
    </row>
    <row r="5283" spans="1:29" ht="30" x14ac:dyDescent="0.25">
      <c r="A5283" s="31" t="s">
        <v>333</v>
      </c>
      <c r="B5283" s="23" t="s">
        <v>334</v>
      </c>
      <c r="D5283">
        <v>1</v>
      </c>
      <c r="E5283" t="s">
        <v>335</v>
      </c>
      <c r="F5283">
        <v>1</v>
      </c>
      <c r="G5283">
        <v>2007</v>
      </c>
      <c r="I5283">
        <v>13</v>
      </c>
      <c r="J5283" t="s">
        <v>176</v>
      </c>
      <c r="K5283" t="s">
        <v>76</v>
      </c>
      <c r="O5283">
        <v>0</v>
      </c>
      <c r="P5283">
        <v>0</v>
      </c>
      <c r="Q5283">
        <v>0</v>
      </c>
      <c r="R5283">
        <v>0</v>
      </c>
      <c r="W5283" t="s">
        <v>336</v>
      </c>
      <c r="AA5283">
        <v>2007</v>
      </c>
      <c r="AB5283">
        <v>2012</v>
      </c>
      <c r="AC5283" t="s">
        <v>302</v>
      </c>
    </row>
    <row r="5284" spans="1:29" x14ac:dyDescent="0.25">
      <c r="A5284" s="31" t="s">
        <v>337</v>
      </c>
      <c r="B5284" s="23" t="s">
        <v>338</v>
      </c>
      <c r="D5284">
        <v>1</v>
      </c>
      <c r="E5284" t="s">
        <v>85</v>
      </c>
      <c r="F5284">
        <v>1</v>
      </c>
      <c r="G5284">
        <v>2007</v>
      </c>
      <c r="I5284">
        <v>7</v>
      </c>
      <c r="J5284" t="s">
        <v>52</v>
      </c>
      <c r="K5284" t="s">
        <v>41</v>
      </c>
      <c r="O5284">
        <v>0</v>
      </c>
      <c r="P5284">
        <v>0</v>
      </c>
      <c r="Q5284">
        <v>0</v>
      </c>
      <c r="R5284">
        <v>0</v>
      </c>
      <c r="W5284" t="s">
        <v>339</v>
      </c>
      <c r="AA5284">
        <v>2007</v>
      </c>
      <c r="AB5284">
        <v>2007</v>
      </c>
      <c r="AC5284" t="s">
        <v>70</v>
      </c>
    </row>
    <row r="5285" spans="1:29" x14ac:dyDescent="0.25">
      <c r="A5285" s="31" t="s">
        <v>340</v>
      </c>
      <c r="B5285" s="23" t="s">
        <v>341</v>
      </c>
      <c r="D5285">
        <v>1</v>
      </c>
      <c r="E5285" t="s">
        <v>51</v>
      </c>
      <c r="F5285">
        <v>10</v>
      </c>
      <c r="G5285">
        <v>2007</v>
      </c>
      <c r="I5285">
        <v>99</v>
      </c>
      <c r="J5285" t="s">
        <v>46</v>
      </c>
      <c r="K5285" t="s">
        <v>47</v>
      </c>
      <c r="O5285">
        <v>0</v>
      </c>
      <c r="P5285">
        <v>0</v>
      </c>
      <c r="Q5285">
        <v>0</v>
      </c>
      <c r="R5285">
        <v>0</v>
      </c>
      <c r="W5285" t="s">
        <v>342</v>
      </c>
      <c r="AA5285">
        <v>2007</v>
      </c>
      <c r="AB5285">
        <v>2007</v>
      </c>
      <c r="AC5285" t="s">
        <v>70</v>
      </c>
    </row>
    <row r="5286" spans="1:29" ht="30" x14ac:dyDescent="0.25">
      <c r="A5286" s="31" t="s">
        <v>343</v>
      </c>
      <c r="B5286" s="23" t="s">
        <v>344</v>
      </c>
      <c r="D5286">
        <v>1</v>
      </c>
      <c r="E5286" t="s">
        <v>300</v>
      </c>
      <c r="F5286">
        <v>9</v>
      </c>
      <c r="G5286">
        <v>2007</v>
      </c>
      <c r="I5286">
        <v>52</v>
      </c>
      <c r="J5286" t="s">
        <v>104</v>
      </c>
      <c r="K5286" t="s">
        <v>32</v>
      </c>
      <c r="O5286">
        <v>0</v>
      </c>
      <c r="P5286">
        <v>0</v>
      </c>
      <c r="Q5286">
        <v>0</v>
      </c>
      <c r="R5286">
        <v>0</v>
      </c>
      <c r="W5286" t="s">
        <v>345</v>
      </c>
      <c r="AA5286">
        <v>2007</v>
      </c>
      <c r="AB5286">
        <v>2012</v>
      </c>
      <c r="AC5286" t="s">
        <v>302</v>
      </c>
    </row>
    <row r="5287" spans="1:29" x14ac:dyDescent="0.25">
      <c r="A5287" s="31" t="s">
        <v>346</v>
      </c>
      <c r="B5287" s="23" t="s">
        <v>347</v>
      </c>
      <c r="D5287">
        <v>1</v>
      </c>
      <c r="E5287" t="s">
        <v>348</v>
      </c>
      <c r="F5287">
        <v>1</v>
      </c>
      <c r="G5287">
        <v>2007</v>
      </c>
      <c r="I5287">
        <v>21</v>
      </c>
      <c r="J5287" t="s">
        <v>121</v>
      </c>
      <c r="K5287" t="s">
        <v>47</v>
      </c>
      <c r="O5287">
        <v>0</v>
      </c>
      <c r="P5287">
        <v>0</v>
      </c>
      <c r="Q5287">
        <v>0</v>
      </c>
      <c r="R5287">
        <v>0</v>
      </c>
      <c r="W5287" t="s">
        <v>349</v>
      </c>
      <c r="AA5287">
        <v>2007</v>
      </c>
      <c r="AB5287">
        <v>9999</v>
      </c>
      <c r="AC5287" t="s">
        <v>35</v>
      </c>
    </row>
    <row r="5288" spans="1:29" x14ac:dyDescent="0.25">
      <c r="B5288" s="23" t="s">
        <v>350</v>
      </c>
      <c r="D5288">
        <v>1</v>
      </c>
      <c r="E5288" t="s">
        <v>38</v>
      </c>
      <c r="F5288">
        <v>4</v>
      </c>
      <c r="G5288">
        <v>2007</v>
      </c>
      <c r="H5288" t="s">
        <v>351</v>
      </c>
      <c r="I5288">
        <v>0.2</v>
      </c>
      <c r="J5288" t="s">
        <v>46</v>
      </c>
      <c r="K5288" t="s">
        <v>41</v>
      </c>
      <c r="O5288">
        <v>0</v>
      </c>
      <c r="P5288">
        <v>0</v>
      </c>
      <c r="Q5288">
        <v>0</v>
      </c>
      <c r="R5288">
        <v>0</v>
      </c>
      <c r="W5288" t="s">
        <v>352</v>
      </c>
      <c r="AA5288">
        <v>2007</v>
      </c>
      <c r="AB5288">
        <v>2008</v>
      </c>
      <c r="AC5288" t="s">
        <v>265</v>
      </c>
    </row>
    <row r="5289" spans="1:29" x14ac:dyDescent="0.25">
      <c r="A5289" s="31" t="s">
        <v>353</v>
      </c>
      <c r="B5289" s="23" t="s">
        <v>351</v>
      </c>
      <c r="D5289">
        <v>1</v>
      </c>
      <c r="E5289" t="s">
        <v>38</v>
      </c>
      <c r="F5289">
        <v>4</v>
      </c>
      <c r="G5289">
        <v>2007</v>
      </c>
      <c r="I5289">
        <v>30</v>
      </c>
      <c r="J5289" t="s">
        <v>46</v>
      </c>
      <c r="K5289" t="s">
        <v>47</v>
      </c>
      <c r="O5289">
        <v>0</v>
      </c>
      <c r="P5289">
        <v>0</v>
      </c>
      <c r="Q5289">
        <v>0</v>
      </c>
      <c r="R5289">
        <v>0</v>
      </c>
      <c r="W5289" t="s">
        <v>354</v>
      </c>
      <c r="AA5289">
        <v>2007</v>
      </c>
      <c r="AB5289">
        <v>9999</v>
      </c>
      <c r="AC5289" t="s">
        <v>35</v>
      </c>
    </row>
    <row r="5290" spans="1:29" x14ac:dyDescent="0.25">
      <c r="A5290" s="31" t="s">
        <v>355</v>
      </c>
      <c r="B5290" s="23" t="s">
        <v>356</v>
      </c>
      <c r="D5290">
        <v>1</v>
      </c>
      <c r="E5290" t="s">
        <v>38</v>
      </c>
      <c r="F5290">
        <v>4</v>
      </c>
      <c r="G5290">
        <v>2007</v>
      </c>
      <c r="I5290">
        <v>51</v>
      </c>
      <c r="J5290" t="s">
        <v>89</v>
      </c>
      <c r="K5290" t="s">
        <v>47</v>
      </c>
      <c r="O5290">
        <v>0</v>
      </c>
      <c r="P5290">
        <v>0</v>
      </c>
      <c r="Q5290">
        <v>0</v>
      </c>
      <c r="R5290">
        <v>0</v>
      </c>
      <c r="W5290" t="s">
        <v>357</v>
      </c>
      <c r="AA5290">
        <v>2007</v>
      </c>
      <c r="AB5290">
        <v>2008</v>
      </c>
      <c r="AC5290" t="s">
        <v>265</v>
      </c>
    </row>
    <row r="5291" spans="1:29" x14ac:dyDescent="0.25">
      <c r="A5291" s="31" t="s">
        <v>199</v>
      </c>
      <c r="B5291" s="23" t="s">
        <v>39</v>
      </c>
      <c r="D5291">
        <v>1</v>
      </c>
      <c r="E5291" t="s">
        <v>358</v>
      </c>
      <c r="F5291">
        <v>1</v>
      </c>
      <c r="G5291">
        <v>2007</v>
      </c>
      <c r="I5291">
        <v>137</v>
      </c>
      <c r="J5291" t="s">
        <v>52</v>
      </c>
      <c r="K5291" t="s">
        <v>76</v>
      </c>
      <c r="O5291">
        <v>0</v>
      </c>
      <c r="P5291">
        <v>0</v>
      </c>
      <c r="Q5291">
        <v>0</v>
      </c>
      <c r="R5291">
        <v>0</v>
      </c>
      <c r="W5291" t="s">
        <v>359</v>
      </c>
      <c r="AA5291">
        <v>2007</v>
      </c>
      <c r="AB5291">
        <v>9999</v>
      </c>
      <c r="AC5291" t="s">
        <v>35</v>
      </c>
    </row>
    <row r="5292" spans="1:29" x14ac:dyDescent="0.25">
      <c r="A5292" s="31" t="s">
        <v>153</v>
      </c>
      <c r="B5292" s="23" t="s">
        <v>360</v>
      </c>
      <c r="D5292">
        <v>4</v>
      </c>
      <c r="E5292" t="s">
        <v>155</v>
      </c>
      <c r="F5292">
        <v>3</v>
      </c>
      <c r="G5292">
        <v>2007</v>
      </c>
      <c r="I5292">
        <v>420.62180079999996</v>
      </c>
      <c r="J5292" t="s">
        <v>121</v>
      </c>
      <c r="K5292" t="s">
        <v>53</v>
      </c>
      <c r="L5292" t="s">
        <v>60</v>
      </c>
      <c r="O5292">
        <v>1</v>
      </c>
      <c r="P5292">
        <v>0</v>
      </c>
      <c r="Q5292">
        <v>0</v>
      </c>
      <c r="R5292">
        <v>0</v>
      </c>
      <c r="V5292">
        <v>1</v>
      </c>
      <c r="W5292" t="s">
        <v>361</v>
      </c>
      <c r="AA5292">
        <v>2007</v>
      </c>
      <c r="AB5292">
        <v>9999</v>
      </c>
      <c r="AC5292" t="s">
        <v>35</v>
      </c>
    </row>
    <row r="5293" spans="1:29" x14ac:dyDescent="0.25">
      <c r="A5293" s="31" t="s">
        <v>362</v>
      </c>
      <c r="B5293" s="23" t="s">
        <v>363</v>
      </c>
      <c r="D5293">
        <v>1</v>
      </c>
      <c r="E5293" t="s">
        <v>103</v>
      </c>
      <c r="F5293">
        <v>9</v>
      </c>
      <c r="G5293">
        <v>2007</v>
      </c>
      <c r="I5293">
        <v>1008</v>
      </c>
      <c r="J5293" t="s">
        <v>104</v>
      </c>
      <c r="K5293" t="s">
        <v>53</v>
      </c>
      <c r="L5293" t="s">
        <v>105</v>
      </c>
      <c r="O5293">
        <v>0</v>
      </c>
      <c r="P5293">
        <v>1</v>
      </c>
      <c r="Q5293">
        <v>0</v>
      </c>
      <c r="R5293">
        <v>0</v>
      </c>
      <c r="W5293" t="s">
        <v>106</v>
      </c>
      <c r="AA5293">
        <v>2007</v>
      </c>
      <c r="AB5293">
        <v>9999</v>
      </c>
      <c r="AC5293" t="s">
        <v>35</v>
      </c>
    </row>
    <row r="5294" spans="1:29" x14ac:dyDescent="0.25">
      <c r="A5294" s="31" t="s">
        <v>364</v>
      </c>
      <c r="B5294" s="23" t="s">
        <v>365</v>
      </c>
      <c r="C5294" t="s">
        <v>366</v>
      </c>
      <c r="D5294">
        <v>1</v>
      </c>
      <c r="E5294" t="s">
        <v>103</v>
      </c>
      <c r="F5294">
        <v>9</v>
      </c>
      <c r="G5294">
        <v>2007</v>
      </c>
      <c r="I5294">
        <v>3693</v>
      </c>
      <c r="J5294" t="s">
        <v>104</v>
      </c>
      <c r="K5294" t="s">
        <v>53</v>
      </c>
      <c r="L5294" t="s">
        <v>105</v>
      </c>
      <c r="O5294">
        <v>0</v>
      </c>
      <c r="P5294">
        <v>1</v>
      </c>
      <c r="Q5294">
        <v>0</v>
      </c>
      <c r="R5294">
        <v>0</v>
      </c>
      <c r="W5294" t="s">
        <v>106</v>
      </c>
      <c r="AA5294">
        <v>2007</v>
      </c>
      <c r="AB5294">
        <v>9999</v>
      </c>
      <c r="AC5294" t="s">
        <v>35</v>
      </c>
    </row>
    <row r="5295" spans="1:29" x14ac:dyDescent="0.25">
      <c r="A5295" s="31" t="s">
        <v>367</v>
      </c>
      <c r="B5295" s="23" t="s">
        <v>368</v>
      </c>
      <c r="C5295" t="s">
        <v>369</v>
      </c>
      <c r="D5295">
        <v>1</v>
      </c>
      <c r="E5295" t="s">
        <v>370</v>
      </c>
      <c r="F5295">
        <v>5</v>
      </c>
      <c r="G5295">
        <v>2007</v>
      </c>
      <c r="I5295">
        <v>185</v>
      </c>
      <c r="J5295" t="s">
        <v>31</v>
      </c>
      <c r="K5295" t="s">
        <v>76</v>
      </c>
      <c r="O5295">
        <v>0</v>
      </c>
      <c r="P5295">
        <v>0</v>
      </c>
      <c r="Q5295">
        <v>0</v>
      </c>
      <c r="R5295">
        <v>0</v>
      </c>
      <c r="W5295" t="s">
        <v>371</v>
      </c>
      <c r="AA5295">
        <v>2007</v>
      </c>
      <c r="AB5295">
        <v>9999</v>
      </c>
      <c r="AC5295" t="s">
        <v>35</v>
      </c>
    </row>
    <row r="5296" spans="1:29" x14ac:dyDescent="0.25">
      <c r="A5296" s="31" t="s">
        <v>372</v>
      </c>
      <c r="B5296" s="23" t="s">
        <v>373</v>
      </c>
      <c r="D5296">
        <v>1</v>
      </c>
      <c r="E5296" t="s">
        <v>45</v>
      </c>
      <c r="F5296">
        <v>4</v>
      </c>
      <c r="G5296">
        <v>2007</v>
      </c>
      <c r="I5296">
        <v>84</v>
      </c>
      <c r="J5296" t="s">
        <v>176</v>
      </c>
      <c r="K5296" t="s">
        <v>47</v>
      </c>
      <c r="O5296">
        <v>0</v>
      </c>
      <c r="P5296">
        <v>0</v>
      </c>
      <c r="Q5296">
        <v>0</v>
      </c>
      <c r="R5296">
        <v>0</v>
      </c>
      <c r="W5296" t="s">
        <v>374</v>
      </c>
      <c r="AA5296">
        <v>2007</v>
      </c>
      <c r="AB5296">
        <v>9999</v>
      </c>
      <c r="AC5296" t="s">
        <v>35</v>
      </c>
    </row>
    <row r="5297" spans="1:29" x14ac:dyDescent="0.25">
      <c r="A5297" s="31" t="s">
        <v>375</v>
      </c>
      <c r="B5297" s="23" t="s">
        <v>163</v>
      </c>
      <c r="D5297">
        <v>1</v>
      </c>
      <c r="E5297" t="s">
        <v>168</v>
      </c>
      <c r="F5297">
        <v>1</v>
      </c>
      <c r="G5297">
        <v>2007</v>
      </c>
      <c r="I5297">
        <v>51</v>
      </c>
      <c r="J5297" t="s">
        <v>52</v>
      </c>
      <c r="K5297" t="s">
        <v>47</v>
      </c>
      <c r="O5297">
        <v>0</v>
      </c>
      <c r="P5297">
        <v>0</v>
      </c>
      <c r="Q5297">
        <v>0</v>
      </c>
      <c r="R5297">
        <v>0</v>
      </c>
      <c r="W5297" t="s">
        <v>376</v>
      </c>
      <c r="AA5297">
        <v>2007</v>
      </c>
      <c r="AB5297">
        <v>9999</v>
      </c>
      <c r="AC5297" t="s">
        <v>35</v>
      </c>
    </row>
    <row r="5298" spans="1:29" x14ac:dyDescent="0.25">
      <c r="A5298" s="31" t="s">
        <v>377</v>
      </c>
      <c r="B5298" s="23" t="s">
        <v>378</v>
      </c>
      <c r="D5298">
        <v>1</v>
      </c>
      <c r="E5298" t="s">
        <v>45</v>
      </c>
      <c r="F5298">
        <v>4</v>
      </c>
      <c r="G5298">
        <v>2007</v>
      </c>
      <c r="I5298">
        <v>94</v>
      </c>
      <c r="J5298" t="s">
        <v>89</v>
      </c>
      <c r="K5298" t="s">
        <v>47</v>
      </c>
      <c r="O5298">
        <v>0</v>
      </c>
      <c r="P5298">
        <v>0</v>
      </c>
      <c r="Q5298">
        <v>0</v>
      </c>
      <c r="R5298">
        <v>0</v>
      </c>
      <c r="W5298" t="s">
        <v>379</v>
      </c>
      <c r="AA5298">
        <v>2007</v>
      </c>
      <c r="AB5298">
        <v>9999</v>
      </c>
      <c r="AC5298" t="s">
        <v>35</v>
      </c>
    </row>
    <row r="5299" spans="1:29" x14ac:dyDescent="0.25">
      <c r="A5299" s="31" t="s">
        <v>380</v>
      </c>
      <c r="B5299" s="23" t="s">
        <v>381</v>
      </c>
      <c r="D5299">
        <v>1</v>
      </c>
      <c r="E5299" t="s">
        <v>103</v>
      </c>
      <c r="F5299">
        <v>9</v>
      </c>
      <c r="G5299">
        <v>2007</v>
      </c>
      <c r="I5299">
        <v>138</v>
      </c>
      <c r="J5299" t="s">
        <v>104</v>
      </c>
      <c r="K5299" t="s">
        <v>53</v>
      </c>
      <c r="L5299" t="s">
        <v>105</v>
      </c>
      <c r="O5299">
        <v>0</v>
      </c>
      <c r="P5299">
        <v>1</v>
      </c>
      <c r="Q5299">
        <v>0</v>
      </c>
      <c r="R5299">
        <v>0</v>
      </c>
      <c r="W5299" t="s">
        <v>106</v>
      </c>
      <c r="AA5299">
        <v>2007</v>
      </c>
      <c r="AB5299">
        <v>9999</v>
      </c>
      <c r="AC5299" t="s">
        <v>35</v>
      </c>
    </row>
    <row r="5300" spans="1:29" x14ac:dyDescent="0.25">
      <c r="A5300" s="31" t="s">
        <v>382</v>
      </c>
      <c r="B5300" s="23" t="s">
        <v>383</v>
      </c>
      <c r="D5300">
        <v>1</v>
      </c>
      <c r="E5300" t="s">
        <v>80</v>
      </c>
      <c r="F5300">
        <v>8</v>
      </c>
      <c r="G5300">
        <v>2007</v>
      </c>
      <c r="I5300">
        <v>14</v>
      </c>
      <c r="J5300" t="s">
        <v>81</v>
      </c>
      <c r="K5300" t="s">
        <v>32</v>
      </c>
      <c r="O5300">
        <v>0</v>
      </c>
      <c r="P5300">
        <v>0</v>
      </c>
      <c r="Q5300">
        <v>0</v>
      </c>
      <c r="R5300">
        <v>0</v>
      </c>
      <c r="W5300" t="s">
        <v>384</v>
      </c>
      <c r="AA5300">
        <v>2007</v>
      </c>
      <c r="AB5300">
        <v>9999</v>
      </c>
      <c r="AC5300" t="s">
        <v>35</v>
      </c>
    </row>
    <row r="5301" spans="1:29" x14ac:dyDescent="0.25">
      <c r="A5301" s="31" t="s">
        <v>385</v>
      </c>
      <c r="B5301" s="23" t="s">
        <v>386</v>
      </c>
      <c r="D5301">
        <v>1</v>
      </c>
      <c r="E5301" t="s">
        <v>45</v>
      </c>
      <c r="F5301">
        <v>4</v>
      </c>
      <c r="G5301">
        <v>2007</v>
      </c>
      <c r="I5301">
        <v>121</v>
      </c>
      <c r="J5301" t="s">
        <v>46</v>
      </c>
      <c r="K5301" t="s">
        <v>76</v>
      </c>
      <c r="O5301">
        <v>0</v>
      </c>
      <c r="P5301">
        <v>0</v>
      </c>
      <c r="Q5301">
        <v>0</v>
      </c>
      <c r="R5301">
        <v>0</v>
      </c>
      <c r="W5301" t="s">
        <v>387</v>
      </c>
      <c r="AA5301">
        <v>2007</v>
      </c>
      <c r="AB5301">
        <v>9999</v>
      </c>
      <c r="AC5301" t="s">
        <v>35</v>
      </c>
    </row>
    <row r="5302" spans="1:29" x14ac:dyDescent="0.25">
      <c r="A5302" s="31" t="s">
        <v>388</v>
      </c>
      <c r="B5302" s="25" t="s">
        <v>389</v>
      </c>
      <c r="D5302">
        <v>1</v>
      </c>
      <c r="E5302" t="s">
        <v>145</v>
      </c>
      <c r="F5302">
        <v>2</v>
      </c>
      <c r="G5302">
        <v>2007</v>
      </c>
      <c r="H5302" t="s">
        <v>185</v>
      </c>
      <c r="I5302">
        <v>0.1</v>
      </c>
      <c r="J5302" t="s">
        <v>52</v>
      </c>
      <c r="K5302" t="s">
        <v>41</v>
      </c>
      <c r="O5302">
        <v>0</v>
      </c>
      <c r="P5302">
        <v>0</v>
      </c>
      <c r="Q5302">
        <v>0</v>
      </c>
      <c r="R5302">
        <v>0</v>
      </c>
      <c r="W5302" t="s">
        <v>390</v>
      </c>
      <c r="AA5302">
        <v>2007</v>
      </c>
      <c r="AB5302">
        <v>9999</v>
      </c>
      <c r="AC5302" t="s">
        <v>35</v>
      </c>
    </row>
    <row r="5303" spans="1:29" x14ac:dyDescent="0.25">
      <c r="A5303" s="31" t="s">
        <v>391</v>
      </c>
      <c r="B5303" s="23" t="s">
        <v>392</v>
      </c>
      <c r="D5303">
        <v>1</v>
      </c>
      <c r="E5303" t="s">
        <v>393</v>
      </c>
      <c r="F5303">
        <v>3</v>
      </c>
      <c r="G5303">
        <v>2007</v>
      </c>
      <c r="I5303">
        <v>8031</v>
      </c>
      <c r="J5303" t="s">
        <v>121</v>
      </c>
      <c r="K5303" t="s">
        <v>76</v>
      </c>
      <c r="O5303">
        <v>0</v>
      </c>
      <c r="P5303">
        <v>0</v>
      </c>
      <c r="Q5303">
        <v>0</v>
      </c>
      <c r="R5303">
        <v>0</v>
      </c>
      <c r="W5303" t="s">
        <v>394</v>
      </c>
      <c r="AA5303">
        <v>2007</v>
      </c>
      <c r="AB5303">
        <v>9999</v>
      </c>
      <c r="AC5303" t="s">
        <v>35</v>
      </c>
    </row>
    <row r="5304" spans="1:29" x14ac:dyDescent="0.25">
      <c r="A5304" s="31" t="s">
        <v>391</v>
      </c>
      <c r="B5304" s="23" t="s">
        <v>395</v>
      </c>
      <c r="D5304">
        <v>1</v>
      </c>
      <c r="E5304" t="s">
        <v>396</v>
      </c>
      <c r="F5304">
        <v>3</v>
      </c>
      <c r="G5304">
        <v>2007</v>
      </c>
      <c r="H5304" t="s">
        <v>392</v>
      </c>
      <c r="I5304">
        <v>2</v>
      </c>
      <c r="J5304" t="s">
        <v>121</v>
      </c>
      <c r="K5304" t="s">
        <v>41</v>
      </c>
      <c r="O5304">
        <v>0</v>
      </c>
      <c r="P5304">
        <v>0</v>
      </c>
      <c r="Q5304">
        <v>0</v>
      </c>
      <c r="R5304">
        <v>0</v>
      </c>
      <c r="W5304" t="s">
        <v>397</v>
      </c>
      <c r="AA5304">
        <v>2007</v>
      </c>
      <c r="AB5304">
        <v>9999</v>
      </c>
      <c r="AC5304" t="s">
        <v>35</v>
      </c>
    </row>
    <row r="5305" spans="1:29" x14ac:dyDescent="0.25">
      <c r="A5305" s="31" t="s">
        <v>398</v>
      </c>
      <c r="B5305" s="23" t="s">
        <v>399</v>
      </c>
      <c r="D5305">
        <v>1</v>
      </c>
      <c r="E5305" t="s">
        <v>145</v>
      </c>
      <c r="F5305">
        <v>2</v>
      </c>
      <c r="G5305">
        <v>2007</v>
      </c>
      <c r="I5305">
        <v>222</v>
      </c>
      <c r="J5305" t="s">
        <v>147</v>
      </c>
      <c r="K5305" t="s">
        <v>76</v>
      </c>
      <c r="O5305">
        <v>0</v>
      </c>
      <c r="P5305">
        <v>0</v>
      </c>
      <c r="Q5305">
        <v>0</v>
      </c>
      <c r="R5305">
        <v>0</v>
      </c>
      <c r="W5305" t="s">
        <v>400</v>
      </c>
      <c r="AA5305">
        <v>2007</v>
      </c>
      <c r="AB5305">
        <v>2008</v>
      </c>
      <c r="AC5305" t="s">
        <v>265</v>
      </c>
    </row>
    <row r="5306" spans="1:29" x14ac:dyDescent="0.25">
      <c r="A5306" s="31" t="s">
        <v>401</v>
      </c>
      <c r="B5306" s="23" t="s">
        <v>402</v>
      </c>
      <c r="D5306">
        <v>1</v>
      </c>
      <c r="E5306" t="s">
        <v>155</v>
      </c>
      <c r="F5306">
        <v>3</v>
      </c>
      <c r="G5306">
        <v>2007</v>
      </c>
      <c r="I5306">
        <v>2246</v>
      </c>
      <c r="J5306" t="s">
        <v>52</v>
      </c>
      <c r="K5306" t="s">
        <v>76</v>
      </c>
      <c r="O5306">
        <v>0</v>
      </c>
      <c r="P5306">
        <v>0</v>
      </c>
      <c r="Q5306">
        <v>0</v>
      </c>
      <c r="R5306">
        <v>0</v>
      </c>
      <c r="W5306" t="s">
        <v>403</v>
      </c>
      <c r="AA5306">
        <v>2007</v>
      </c>
      <c r="AB5306">
        <v>9999</v>
      </c>
      <c r="AC5306" t="s">
        <v>35</v>
      </c>
    </row>
    <row r="5307" spans="1:29" x14ac:dyDescent="0.25">
      <c r="A5307" s="31" t="s">
        <v>404</v>
      </c>
      <c r="B5307" s="23" t="s">
        <v>405</v>
      </c>
      <c r="C5307" t="s">
        <v>406</v>
      </c>
      <c r="D5307">
        <v>1</v>
      </c>
      <c r="E5307" t="s">
        <v>358</v>
      </c>
      <c r="F5307">
        <v>1</v>
      </c>
      <c r="G5307">
        <v>2007</v>
      </c>
      <c r="I5307">
        <v>297</v>
      </c>
      <c r="J5307" t="s">
        <v>104</v>
      </c>
      <c r="K5307" t="s">
        <v>76</v>
      </c>
      <c r="O5307">
        <v>0</v>
      </c>
      <c r="P5307">
        <v>0</v>
      </c>
      <c r="Q5307">
        <v>0</v>
      </c>
      <c r="R5307">
        <v>0</v>
      </c>
      <c r="W5307" t="s">
        <v>407</v>
      </c>
      <c r="AA5307">
        <v>2007</v>
      </c>
      <c r="AB5307">
        <v>9999</v>
      </c>
      <c r="AC5307" t="s">
        <v>35</v>
      </c>
    </row>
    <row r="5308" spans="1:29" x14ac:dyDescent="0.25">
      <c r="A5308" s="31" t="s">
        <v>408</v>
      </c>
      <c r="B5308" s="23" t="s">
        <v>409</v>
      </c>
      <c r="D5308">
        <v>1</v>
      </c>
      <c r="E5308" t="s">
        <v>103</v>
      </c>
      <c r="F5308">
        <v>9</v>
      </c>
      <c r="G5308">
        <v>2007</v>
      </c>
      <c r="I5308">
        <v>46</v>
      </c>
      <c r="J5308" t="s">
        <v>104</v>
      </c>
      <c r="K5308" t="s">
        <v>53</v>
      </c>
      <c r="L5308" t="s">
        <v>105</v>
      </c>
      <c r="O5308">
        <v>0</v>
      </c>
      <c r="P5308">
        <v>1</v>
      </c>
      <c r="Q5308">
        <v>0</v>
      </c>
      <c r="R5308">
        <v>0</v>
      </c>
      <c r="W5308" t="s">
        <v>106</v>
      </c>
      <c r="AA5308">
        <v>2007</v>
      </c>
      <c r="AB5308">
        <v>9999</v>
      </c>
      <c r="AC5308" t="s">
        <v>35</v>
      </c>
    </row>
    <row r="5309" spans="1:29" x14ac:dyDescent="0.25">
      <c r="A5309" s="31" t="s">
        <v>410</v>
      </c>
      <c r="B5309" s="23" t="s">
        <v>411</v>
      </c>
      <c r="C5309" t="s">
        <v>412</v>
      </c>
      <c r="D5309">
        <v>1</v>
      </c>
      <c r="E5309" t="s">
        <v>103</v>
      </c>
      <c r="F5309">
        <v>9</v>
      </c>
      <c r="G5309">
        <v>2007</v>
      </c>
      <c r="I5309">
        <v>165</v>
      </c>
      <c r="J5309" t="s">
        <v>104</v>
      </c>
      <c r="K5309" t="s">
        <v>53</v>
      </c>
      <c r="L5309" t="s">
        <v>105</v>
      </c>
      <c r="O5309">
        <v>0</v>
      </c>
      <c r="P5309">
        <v>1</v>
      </c>
      <c r="Q5309">
        <v>0</v>
      </c>
      <c r="R5309">
        <v>0</v>
      </c>
      <c r="W5309" t="s">
        <v>106</v>
      </c>
      <c r="AA5309">
        <v>2007</v>
      </c>
      <c r="AB5309">
        <v>9999</v>
      </c>
      <c r="AC5309" t="s">
        <v>35</v>
      </c>
    </row>
    <row r="5310" spans="1:29" x14ac:dyDescent="0.25">
      <c r="A5310" s="31" t="s">
        <v>413</v>
      </c>
      <c r="B5310" s="23" t="s">
        <v>414</v>
      </c>
      <c r="C5310" t="s">
        <v>415</v>
      </c>
      <c r="D5310">
        <v>1</v>
      </c>
      <c r="E5310" t="s">
        <v>103</v>
      </c>
      <c r="F5310">
        <v>9</v>
      </c>
      <c r="G5310">
        <v>2007</v>
      </c>
      <c r="I5310">
        <v>2859</v>
      </c>
      <c r="J5310" t="s">
        <v>104</v>
      </c>
      <c r="K5310" t="s">
        <v>53</v>
      </c>
      <c r="L5310" t="s">
        <v>105</v>
      </c>
      <c r="O5310">
        <v>0</v>
      </c>
      <c r="P5310">
        <v>1</v>
      </c>
      <c r="Q5310">
        <v>0</v>
      </c>
      <c r="R5310">
        <v>0</v>
      </c>
      <c r="W5310" t="s">
        <v>106</v>
      </c>
      <c r="AA5310">
        <v>2007</v>
      </c>
      <c r="AB5310">
        <v>9999</v>
      </c>
      <c r="AC5310" t="s">
        <v>35</v>
      </c>
    </row>
    <row r="5311" spans="1:29" x14ac:dyDescent="0.25">
      <c r="A5311" s="31" t="s">
        <v>416</v>
      </c>
      <c r="B5311" s="23" t="s">
        <v>417</v>
      </c>
      <c r="C5311" t="s">
        <v>418</v>
      </c>
      <c r="D5311">
        <v>1</v>
      </c>
      <c r="E5311" t="s">
        <v>218</v>
      </c>
      <c r="F5311">
        <v>2</v>
      </c>
      <c r="G5311">
        <v>2007</v>
      </c>
      <c r="I5311">
        <v>709</v>
      </c>
      <c r="J5311" t="s">
        <v>147</v>
      </c>
      <c r="K5311" t="s">
        <v>76</v>
      </c>
      <c r="O5311">
        <v>0</v>
      </c>
      <c r="P5311">
        <v>0</v>
      </c>
      <c r="Q5311">
        <v>0</v>
      </c>
      <c r="R5311">
        <v>0</v>
      </c>
      <c r="W5311" t="s">
        <v>419</v>
      </c>
      <c r="AA5311">
        <v>2007</v>
      </c>
      <c r="AB5311">
        <v>9999</v>
      </c>
      <c r="AC5311" t="s">
        <v>35</v>
      </c>
    </row>
    <row r="5312" spans="1:29" x14ac:dyDescent="0.25">
      <c r="A5312" s="31" t="s">
        <v>420</v>
      </c>
      <c r="B5312" s="25" t="s">
        <v>421</v>
      </c>
      <c r="D5312">
        <v>1</v>
      </c>
      <c r="E5312" t="s">
        <v>38</v>
      </c>
      <c r="F5312">
        <v>4</v>
      </c>
      <c r="G5312">
        <v>2007</v>
      </c>
      <c r="H5312" t="s">
        <v>39</v>
      </c>
      <c r="I5312">
        <v>2</v>
      </c>
      <c r="J5312" s="2" t="s">
        <v>31</v>
      </c>
      <c r="K5312" t="s">
        <v>32</v>
      </c>
      <c r="O5312">
        <v>0</v>
      </c>
      <c r="P5312">
        <v>0</v>
      </c>
      <c r="Q5312">
        <v>0</v>
      </c>
      <c r="R5312">
        <v>0</v>
      </c>
      <c r="W5312" t="s">
        <v>422</v>
      </c>
      <c r="AA5312">
        <v>2007</v>
      </c>
      <c r="AB5312">
        <v>9999</v>
      </c>
      <c r="AC5312" t="s">
        <v>35</v>
      </c>
    </row>
    <row r="5313" spans="1:29" x14ac:dyDescent="0.25">
      <c r="A5313" s="31" t="s">
        <v>423</v>
      </c>
      <c r="B5313" s="25" t="s">
        <v>424</v>
      </c>
      <c r="D5313">
        <v>1</v>
      </c>
      <c r="E5313" t="s">
        <v>85</v>
      </c>
      <c r="F5313">
        <v>1</v>
      </c>
      <c r="G5313">
        <v>2007</v>
      </c>
      <c r="H5313" t="s">
        <v>303</v>
      </c>
      <c r="J5313" t="s">
        <v>121</v>
      </c>
      <c r="K5313" t="s">
        <v>53</v>
      </c>
      <c r="L5313" t="s">
        <v>425</v>
      </c>
      <c r="O5313">
        <v>0</v>
      </c>
      <c r="P5313">
        <v>0</v>
      </c>
      <c r="Q5313">
        <v>0</v>
      </c>
      <c r="R5313">
        <v>0</v>
      </c>
      <c r="W5313" t="s">
        <v>426</v>
      </c>
      <c r="AA5313">
        <v>2007</v>
      </c>
      <c r="AB5313">
        <v>9999</v>
      </c>
      <c r="AC5313" t="s">
        <v>35</v>
      </c>
    </row>
    <row r="5314" spans="1:29" x14ac:dyDescent="0.25">
      <c r="A5314" s="31" t="s">
        <v>427</v>
      </c>
      <c r="B5314" s="23" t="s">
        <v>428</v>
      </c>
      <c r="D5314">
        <v>22</v>
      </c>
      <c r="E5314" t="s">
        <v>38</v>
      </c>
      <c r="F5314">
        <v>4</v>
      </c>
      <c r="G5314">
        <v>2007</v>
      </c>
      <c r="I5314">
        <v>1975</v>
      </c>
      <c r="J5314" t="s">
        <v>31</v>
      </c>
      <c r="K5314" t="s">
        <v>76</v>
      </c>
      <c r="O5314">
        <v>0</v>
      </c>
      <c r="P5314">
        <v>0</v>
      </c>
      <c r="Q5314">
        <v>0</v>
      </c>
      <c r="R5314">
        <v>0</v>
      </c>
      <c r="W5314" t="s">
        <v>429</v>
      </c>
      <c r="AA5314">
        <v>2007</v>
      </c>
      <c r="AB5314">
        <v>9999</v>
      </c>
      <c r="AC5314" t="s">
        <v>35</v>
      </c>
    </row>
    <row r="5315" spans="1:29" x14ac:dyDescent="0.25">
      <c r="A5315" s="31" t="s">
        <v>430</v>
      </c>
      <c r="B5315" s="23" t="s">
        <v>431</v>
      </c>
      <c r="D5315">
        <v>1</v>
      </c>
      <c r="E5315" t="s">
        <v>103</v>
      </c>
      <c r="F5315">
        <v>9</v>
      </c>
      <c r="G5315">
        <v>2007</v>
      </c>
      <c r="I5315">
        <v>3198</v>
      </c>
      <c r="J5315" t="s">
        <v>104</v>
      </c>
      <c r="K5315" t="s">
        <v>53</v>
      </c>
      <c r="L5315" t="s">
        <v>105</v>
      </c>
      <c r="O5315">
        <v>0</v>
      </c>
      <c r="P5315">
        <v>1</v>
      </c>
      <c r="Q5315">
        <v>0</v>
      </c>
      <c r="R5315">
        <v>0</v>
      </c>
      <c r="W5315" t="s">
        <v>106</v>
      </c>
      <c r="AA5315">
        <v>2007</v>
      </c>
      <c r="AB5315">
        <v>9999</v>
      </c>
      <c r="AC5315" t="s">
        <v>35</v>
      </c>
    </row>
    <row r="5316" spans="1:29" ht="30" x14ac:dyDescent="0.25">
      <c r="A5316" s="31" t="s">
        <v>432</v>
      </c>
      <c r="B5316" s="23" t="s">
        <v>433</v>
      </c>
      <c r="D5316">
        <v>1</v>
      </c>
      <c r="E5316" t="s">
        <v>80</v>
      </c>
      <c r="F5316">
        <v>8</v>
      </c>
      <c r="G5316">
        <v>2007</v>
      </c>
      <c r="I5316">
        <v>62</v>
      </c>
      <c r="J5316" t="s">
        <v>81</v>
      </c>
      <c r="K5316" t="s">
        <v>76</v>
      </c>
      <c r="O5316">
        <v>0</v>
      </c>
      <c r="P5316">
        <v>0</v>
      </c>
      <c r="Q5316">
        <v>0</v>
      </c>
      <c r="R5316">
        <v>0</v>
      </c>
      <c r="W5316" t="s">
        <v>434</v>
      </c>
      <c r="AA5316">
        <v>2007</v>
      </c>
      <c r="AB5316">
        <v>2017</v>
      </c>
      <c r="AC5316" t="s">
        <v>435</v>
      </c>
    </row>
    <row r="5317" spans="1:29" x14ac:dyDescent="0.25">
      <c r="A5317" s="31" t="s">
        <v>436</v>
      </c>
      <c r="B5317" s="23" t="s">
        <v>437</v>
      </c>
      <c r="D5317">
        <v>1</v>
      </c>
      <c r="E5317" t="s">
        <v>38</v>
      </c>
      <c r="F5317">
        <v>4</v>
      </c>
      <c r="G5317">
        <v>2007</v>
      </c>
      <c r="I5317">
        <v>14</v>
      </c>
      <c r="J5317" t="s">
        <v>151</v>
      </c>
      <c r="K5317" t="s">
        <v>47</v>
      </c>
      <c r="O5317">
        <v>0</v>
      </c>
      <c r="P5317">
        <v>0</v>
      </c>
      <c r="Q5317">
        <v>0</v>
      </c>
      <c r="R5317">
        <v>0</v>
      </c>
      <c r="W5317" t="s">
        <v>438</v>
      </c>
      <c r="AA5317">
        <v>2007</v>
      </c>
      <c r="AB5317">
        <v>2008</v>
      </c>
      <c r="AC5317" t="s">
        <v>265</v>
      </c>
    </row>
    <row r="5318" spans="1:29" x14ac:dyDescent="0.25">
      <c r="A5318" s="31" t="s">
        <v>439</v>
      </c>
      <c r="B5318" s="23" t="s">
        <v>440</v>
      </c>
      <c r="C5318" t="s">
        <v>441</v>
      </c>
      <c r="D5318">
        <v>1</v>
      </c>
      <c r="E5318" t="s">
        <v>442</v>
      </c>
      <c r="F5318">
        <v>4</v>
      </c>
      <c r="G5318">
        <v>2007</v>
      </c>
      <c r="I5318">
        <v>498</v>
      </c>
      <c r="J5318" t="s">
        <v>151</v>
      </c>
      <c r="K5318" t="s">
        <v>76</v>
      </c>
      <c r="O5318">
        <v>0</v>
      </c>
      <c r="P5318">
        <v>0</v>
      </c>
      <c r="Q5318">
        <v>0</v>
      </c>
      <c r="R5318">
        <v>0</v>
      </c>
      <c r="W5318" t="s">
        <v>443</v>
      </c>
      <c r="AA5318">
        <v>2007</v>
      </c>
      <c r="AB5318">
        <v>9999</v>
      </c>
      <c r="AC5318" t="s">
        <v>35</v>
      </c>
    </row>
    <row r="5319" spans="1:29" ht="30" x14ac:dyDescent="0.25">
      <c r="B5319" s="23" t="s">
        <v>444</v>
      </c>
      <c r="C5319" t="s">
        <v>445</v>
      </c>
      <c r="D5319">
        <v>5</v>
      </c>
      <c r="E5319" t="s">
        <v>38</v>
      </c>
      <c r="F5319">
        <v>4</v>
      </c>
      <c r="G5319">
        <v>2007</v>
      </c>
      <c r="I5319">
        <v>0.25</v>
      </c>
      <c r="J5319" t="s">
        <v>31</v>
      </c>
      <c r="K5319" t="s">
        <v>41</v>
      </c>
      <c r="O5319">
        <v>0</v>
      </c>
      <c r="P5319">
        <v>0</v>
      </c>
      <c r="Q5319">
        <v>0</v>
      </c>
      <c r="R5319">
        <v>0</v>
      </c>
      <c r="W5319" t="s">
        <v>446</v>
      </c>
      <c r="AA5319">
        <v>2007</v>
      </c>
      <c r="AB5319">
        <v>9999</v>
      </c>
      <c r="AC5319" t="s">
        <v>35</v>
      </c>
    </row>
    <row r="5320" spans="1:29" x14ac:dyDescent="0.25">
      <c r="A5320" s="31" t="s">
        <v>447</v>
      </c>
      <c r="B5320" s="23" t="s">
        <v>448</v>
      </c>
      <c r="D5320">
        <v>1</v>
      </c>
      <c r="E5320" t="s">
        <v>45</v>
      </c>
      <c r="F5320">
        <v>4</v>
      </c>
      <c r="G5320">
        <v>2007</v>
      </c>
      <c r="I5320">
        <v>36</v>
      </c>
      <c r="J5320" t="s">
        <v>52</v>
      </c>
      <c r="K5320" t="s">
        <v>32</v>
      </c>
      <c r="O5320">
        <v>0</v>
      </c>
      <c r="P5320">
        <v>0</v>
      </c>
      <c r="Q5320">
        <v>0</v>
      </c>
      <c r="R5320">
        <v>0</v>
      </c>
      <c r="W5320" t="s">
        <v>449</v>
      </c>
      <c r="AA5320">
        <v>2007</v>
      </c>
      <c r="AB5320">
        <v>9999</v>
      </c>
      <c r="AC5320" t="s">
        <v>35</v>
      </c>
    </row>
    <row r="5321" spans="1:29" x14ac:dyDescent="0.25">
      <c r="A5321" s="31" t="s">
        <v>450</v>
      </c>
      <c r="B5321" s="23" t="s">
        <v>451</v>
      </c>
      <c r="D5321">
        <v>1</v>
      </c>
      <c r="E5321" t="s">
        <v>38</v>
      </c>
      <c r="F5321">
        <v>4</v>
      </c>
      <c r="G5321">
        <v>2007</v>
      </c>
      <c r="I5321">
        <v>258</v>
      </c>
      <c r="J5321" t="s">
        <v>89</v>
      </c>
      <c r="K5321" t="s">
        <v>76</v>
      </c>
      <c r="O5321">
        <v>0</v>
      </c>
      <c r="P5321">
        <v>0</v>
      </c>
      <c r="Q5321">
        <v>0</v>
      </c>
      <c r="R5321">
        <v>0</v>
      </c>
      <c r="W5321" t="s">
        <v>452</v>
      </c>
      <c r="AA5321">
        <v>2007</v>
      </c>
      <c r="AB5321">
        <v>2008</v>
      </c>
      <c r="AC5321" t="s">
        <v>265</v>
      </c>
    </row>
    <row r="5322" spans="1:29" x14ac:dyDescent="0.25">
      <c r="A5322" s="31" t="s">
        <v>453</v>
      </c>
      <c r="B5322" s="23" t="s">
        <v>454</v>
      </c>
      <c r="C5322" t="s">
        <v>455</v>
      </c>
      <c r="D5322">
        <v>1</v>
      </c>
      <c r="E5322" t="s">
        <v>456</v>
      </c>
      <c r="F5322">
        <v>4</v>
      </c>
      <c r="G5322">
        <v>2007</v>
      </c>
      <c r="I5322">
        <v>3294</v>
      </c>
      <c r="J5322" t="s">
        <v>89</v>
      </c>
      <c r="K5322" t="s">
        <v>32</v>
      </c>
      <c r="L5322" t="s">
        <v>33</v>
      </c>
      <c r="O5322">
        <v>0</v>
      </c>
      <c r="P5322">
        <v>0</v>
      </c>
      <c r="Q5322">
        <v>0</v>
      </c>
      <c r="R5322">
        <v>1</v>
      </c>
      <c r="W5322" t="s">
        <v>457</v>
      </c>
      <c r="AA5322">
        <v>2007</v>
      </c>
      <c r="AB5322">
        <v>9999</v>
      </c>
      <c r="AC5322" t="s">
        <v>35</v>
      </c>
    </row>
    <row r="5323" spans="1:29" x14ac:dyDescent="0.25">
      <c r="A5323" s="31" t="s">
        <v>458</v>
      </c>
      <c r="B5323" s="23" t="s">
        <v>459</v>
      </c>
      <c r="D5323">
        <v>1</v>
      </c>
      <c r="E5323" t="s">
        <v>103</v>
      </c>
      <c r="F5323">
        <v>9</v>
      </c>
      <c r="G5323">
        <v>2007</v>
      </c>
      <c r="I5323">
        <v>1311</v>
      </c>
      <c r="J5323" t="s">
        <v>104</v>
      </c>
      <c r="K5323" t="s">
        <v>53</v>
      </c>
      <c r="L5323" t="s">
        <v>105</v>
      </c>
      <c r="O5323">
        <v>0</v>
      </c>
      <c r="P5323">
        <v>1</v>
      </c>
      <c r="Q5323">
        <v>0</v>
      </c>
      <c r="R5323">
        <v>0</v>
      </c>
      <c r="W5323" t="s">
        <v>106</v>
      </c>
      <c r="AA5323">
        <v>2007</v>
      </c>
      <c r="AB5323">
        <v>9999</v>
      </c>
      <c r="AC5323" t="s">
        <v>35</v>
      </c>
    </row>
    <row r="5324" spans="1:29" x14ac:dyDescent="0.25">
      <c r="A5324" s="31" t="s">
        <v>460</v>
      </c>
      <c r="B5324" s="23" t="s">
        <v>461</v>
      </c>
      <c r="D5324">
        <v>1</v>
      </c>
      <c r="E5324" t="s">
        <v>103</v>
      </c>
      <c r="F5324">
        <v>9</v>
      </c>
      <c r="G5324">
        <v>2007</v>
      </c>
      <c r="I5324">
        <v>5578</v>
      </c>
      <c r="J5324" t="s">
        <v>104</v>
      </c>
      <c r="K5324" t="s">
        <v>53</v>
      </c>
      <c r="L5324" t="s">
        <v>105</v>
      </c>
      <c r="O5324">
        <v>0</v>
      </c>
      <c r="P5324">
        <v>1</v>
      </c>
      <c r="Q5324">
        <v>0</v>
      </c>
      <c r="R5324">
        <v>0</v>
      </c>
      <c r="W5324" t="s">
        <v>106</v>
      </c>
      <c r="AA5324">
        <v>2007</v>
      </c>
      <c r="AB5324">
        <v>9999</v>
      </c>
      <c r="AC5324" t="s">
        <v>35</v>
      </c>
    </row>
    <row r="5325" spans="1:29" x14ac:dyDescent="0.25">
      <c r="A5325" s="31" t="s">
        <v>462</v>
      </c>
      <c r="B5325" s="23" t="s">
        <v>463</v>
      </c>
      <c r="D5325">
        <v>1</v>
      </c>
      <c r="E5325" t="s">
        <v>322</v>
      </c>
      <c r="F5325">
        <v>7</v>
      </c>
      <c r="G5325">
        <v>2007</v>
      </c>
      <c r="I5325">
        <v>28</v>
      </c>
      <c r="J5325" t="s">
        <v>40</v>
      </c>
      <c r="K5325" t="s">
        <v>47</v>
      </c>
      <c r="O5325">
        <v>0</v>
      </c>
      <c r="P5325">
        <v>0</v>
      </c>
      <c r="Q5325">
        <v>0</v>
      </c>
      <c r="R5325">
        <v>0</v>
      </c>
      <c r="W5325" t="s">
        <v>464</v>
      </c>
      <c r="AA5325">
        <v>2007</v>
      </c>
      <c r="AB5325">
        <v>9999</v>
      </c>
      <c r="AC5325" t="s">
        <v>35</v>
      </c>
    </row>
    <row r="5326" spans="1:29" x14ac:dyDescent="0.25">
      <c r="A5326" s="31" t="s">
        <v>465</v>
      </c>
      <c r="B5326" s="23" t="s">
        <v>466</v>
      </c>
      <c r="C5326" t="s">
        <v>467</v>
      </c>
      <c r="D5326">
        <v>1</v>
      </c>
      <c r="E5326" t="s">
        <v>468</v>
      </c>
      <c r="F5326">
        <v>7</v>
      </c>
      <c r="G5326">
        <v>2007</v>
      </c>
      <c r="I5326">
        <v>418</v>
      </c>
      <c r="J5326" t="s">
        <v>40</v>
      </c>
      <c r="K5326" t="s">
        <v>76</v>
      </c>
      <c r="O5326">
        <v>0</v>
      </c>
      <c r="P5326">
        <v>0</v>
      </c>
      <c r="Q5326">
        <v>0</v>
      </c>
      <c r="R5326">
        <v>0</v>
      </c>
      <c r="W5326" t="s">
        <v>469</v>
      </c>
      <c r="AA5326">
        <v>2007</v>
      </c>
      <c r="AB5326">
        <v>9999</v>
      </c>
      <c r="AC5326" t="s">
        <v>35</v>
      </c>
    </row>
    <row r="5327" spans="1:29" x14ac:dyDescent="0.25">
      <c r="A5327" s="31" t="s">
        <v>71</v>
      </c>
      <c r="B5327" s="23" t="s">
        <v>470</v>
      </c>
      <c r="D5327">
        <v>20</v>
      </c>
      <c r="E5327" t="s">
        <v>51</v>
      </c>
      <c r="F5327">
        <v>10</v>
      </c>
      <c r="G5327">
        <v>2007</v>
      </c>
      <c r="H5327" t="s">
        <v>72</v>
      </c>
      <c r="I5327" t="s">
        <v>471</v>
      </c>
      <c r="J5327" t="s">
        <v>59</v>
      </c>
      <c r="K5327" t="s">
        <v>47</v>
      </c>
      <c r="O5327">
        <v>0</v>
      </c>
      <c r="P5327">
        <v>0</v>
      </c>
      <c r="Q5327">
        <v>0</v>
      </c>
      <c r="R5327">
        <v>0</v>
      </c>
      <c r="W5327" t="s">
        <v>73</v>
      </c>
      <c r="AA5327">
        <v>2007</v>
      </c>
      <c r="AB5327">
        <v>9999</v>
      </c>
      <c r="AC5327" t="s">
        <v>35</v>
      </c>
    </row>
    <row r="5328" spans="1:29" x14ac:dyDescent="0.25">
      <c r="A5328" s="31" t="s">
        <v>472</v>
      </c>
      <c r="B5328" s="23" t="s">
        <v>473</v>
      </c>
      <c r="D5328">
        <v>21</v>
      </c>
      <c r="E5328" t="s">
        <v>396</v>
      </c>
      <c r="F5328">
        <v>3</v>
      </c>
      <c r="G5328">
        <v>2007</v>
      </c>
      <c r="I5328" t="s">
        <v>474</v>
      </c>
      <c r="J5328" t="s">
        <v>121</v>
      </c>
      <c r="K5328" t="s">
        <v>32</v>
      </c>
      <c r="O5328">
        <v>0</v>
      </c>
      <c r="P5328">
        <v>0</v>
      </c>
      <c r="Q5328">
        <v>0</v>
      </c>
      <c r="R5328">
        <v>0</v>
      </c>
      <c r="W5328" t="s">
        <v>475</v>
      </c>
      <c r="AA5328">
        <v>2007</v>
      </c>
      <c r="AB5328">
        <v>9999</v>
      </c>
      <c r="AC5328" t="s">
        <v>35</v>
      </c>
    </row>
    <row r="5329" spans="1:29" x14ac:dyDescent="0.25">
      <c r="A5329" s="31" t="s">
        <v>153</v>
      </c>
      <c r="B5329" s="23" t="s">
        <v>476</v>
      </c>
      <c r="D5329">
        <v>23</v>
      </c>
      <c r="E5329" t="s">
        <v>155</v>
      </c>
      <c r="F5329">
        <v>3</v>
      </c>
      <c r="G5329">
        <v>2007</v>
      </c>
      <c r="I5329">
        <v>1188.9443508500001</v>
      </c>
      <c r="J5329" t="s">
        <v>121</v>
      </c>
      <c r="K5329" t="s">
        <v>53</v>
      </c>
      <c r="L5329" t="s">
        <v>60</v>
      </c>
      <c r="O5329">
        <v>1</v>
      </c>
      <c r="P5329">
        <v>0</v>
      </c>
      <c r="Q5329">
        <v>0</v>
      </c>
      <c r="R5329">
        <v>0</v>
      </c>
      <c r="V5329">
        <v>1</v>
      </c>
      <c r="W5329" t="s">
        <v>477</v>
      </c>
      <c r="AA5329">
        <v>2007</v>
      </c>
      <c r="AB5329">
        <v>9999</v>
      </c>
      <c r="AC5329" t="s">
        <v>35</v>
      </c>
    </row>
    <row r="5330" spans="1:29" x14ac:dyDescent="0.25">
      <c r="A5330" s="31" t="s">
        <v>478</v>
      </c>
      <c r="B5330" s="23" t="s">
        <v>479</v>
      </c>
      <c r="D5330">
        <v>1</v>
      </c>
      <c r="E5330" t="s">
        <v>348</v>
      </c>
      <c r="F5330">
        <v>1</v>
      </c>
      <c r="G5330">
        <v>2007</v>
      </c>
      <c r="I5330">
        <v>156</v>
      </c>
      <c r="J5330" t="s">
        <v>52</v>
      </c>
      <c r="K5330" t="s">
        <v>76</v>
      </c>
      <c r="O5330">
        <v>0</v>
      </c>
      <c r="P5330">
        <v>0</v>
      </c>
      <c r="Q5330">
        <v>0</v>
      </c>
      <c r="R5330">
        <v>0</v>
      </c>
      <c r="W5330" t="s">
        <v>480</v>
      </c>
      <c r="AA5330">
        <v>2007</v>
      </c>
      <c r="AB5330">
        <v>9999</v>
      </c>
      <c r="AC5330" t="s">
        <v>35</v>
      </c>
    </row>
    <row r="5331" spans="1:29" x14ac:dyDescent="0.25">
      <c r="A5331" s="31" t="s">
        <v>481</v>
      </c>
      <c r="B5331" s="23" t="s">
        <v>482</v>
      </c>
      <c r="D5331">
        <v>1</v>
      </c>
      <c r="E5331" t="s">
        <v>348</v>
      </c>
      <c r="F5331">
        <v>1</v>
      </c>
      <c r="G5331">
        <v>2007</v>
      </c>
      <c r="I5331">
        <v>245</v>
      </c>
      <c r="J5331" t="s">
        <v>52</v>
      </c>
      <c r="K5331" t="s">
        <v>76</v>
      </c>
      <c r="O5331">
        <v>0</v>
      </c>
      <c r="P5331">
        <v>0</v>
      </c>
      <c r="Q5331">
        <v>0</v>
      </c>
      <c r="R5331">
        <v>0</v>
      </c>
      <c r="W5331" t="s">
        <v>480</v>
      </c>
      <c r="AA5331">
        <v>2007</v>
      </c>
      <c r="AB5331">
        <v>9999</v>
      </c>
      <c r="AC5331" t="s">
        <v>35</v>
      </c>
    </row>
    <row r="5332" spans="1:29" x14ac:dyDescent="0.25">
      <c r="A5332" s="31" t="s">
        <v>483</v>
      </c>
      <c r="B5332" s="23" t="s">
        <v>484</v>
      </c>
      <c r="D5332">
        <v>1</v>
      </c>
      <c r="E5332" t="s">
        <v>348</v>
      </c>
      <c r="F5332">
        <v>1</v>
      </c>
      <c r="G5332">
        <v>2007</v>
      </c>
      <c r="I5332">
        <v>273</v>
      </c>
      <c r="J5332" t="s">
        <v>52</v>
      </c>
      <c r="K5332" t="s">
        <v>76</v>
      </c>
      <c r="O5332">
        <v>0</v>
      </c>
      <c r="P5332">
        <v>0</v>
      </c>
      <c r="Q5332">
        <v>0</v>
      </c>
      <c r="R5332">
        <v>0</v>
      </c>
      <c r="W5332" t="s">
        <v>480</v>
      </c>
      <c r="AA5332">
        <v>2007</v>
      </c>
      <c r="AB5332">
        <v>9999</v>
      </c>
      <c r="AC5332" t="s">
        <v>35</v>
      </c>
    </row>
    <row r="5333" spans="1:29" x14ac:dyDescent="0.25">
      <c r="A5333" s="31" t="s">
        <v>485</v>
      </c>
      <c r="B5333" s="23" t="s">
        <v>486</v>
      </c>
      <c r="D5333">
        <v>1</v>
      </c>
      <c r="E5333" t="s">
        <v>348</v>
      </c>
      <c r="F5333">
        <v>1</v>
      </c>
      <c r="G5333">
        <v>2007</v>
      </c>
      <c r="I5333">
        <v>233</v>
      </c>
      <c r="J5333" t="s">
        <v>52</v>
      </c>
      <c r="K5333" t="s">
        <v>76</v>
      </c>
      <c r="O5333">
        <v>0</v>
      </c>
      <c r="P5333">
        <v>0</v>
      </c>
      <c r="Q5333">
        <v>0</v>
      </c>
      <c r="R5333">
        <v>0</v>
      </c>
      <c r="W5333" t="s">
        <v>480</v>
      </c>
      <c r="AA5333">
        <v>2007</v>
      </c>
      <c r="AB5333">
        <v>9999</v>
      </c>
      <c r="AC5333" t="s">
        <v>35</v>
      </c>
    </row>
    <row r="5334" spans="1:29" x14ac:dyDescent="0.25">
      <c r="A5334" s="31" t="s">
        <v>487</v>
      </c>
      <c r="B5334" s="23" t="s">
        <v>488</v>
      </c>
      <c r="D5334">
        <v>1</v>
      </c>
      <c r="E5334" t="s">
        <v>348</v>
      </c>
      <c r="F5334">
        <v>1</v>
      </c>
      <c r="G5334">
        <v>2007</v>
      </c>
      <c r="I5334">
        <v>161</v>
      </c>
      <c r="J5334" t="s">
        <v>52</v>
      </c>
      <c r="K5334" t="s">
        <v>76</v>
      </c>
      <c r="O5334">
        <v>0</v>
      </c>
      <c r="P5334">
        <v>0</v>
      </c>
      <c r="Q5334">
        <v>0</v>
      </c>
      <c r="R5334">
        <v>0</v>
      </c>
      <c r="W5334" t="s">
        <v>480</v>
      </c>
      <c r="AA5334">
        <v>2007</v>
      </c>
      <c r="AB5334">
        <v>9999</v>
      </c>
      <c r="AC5334" t="s">
        <v>35</v>
      </c>
    </row>
    <row r="5335" spans="1:29" x14ac:dyDescent="0.25">
      <c r="A5335" s="31" t="s">
        <v>489</v>
      </c>
      <c r="B5335" s="23" t="s">
        <v>490</v>
      </c>
      <c r="D5335">
        <v>1</v>
      </c>
      <c r="E5335" t="s">
        <v>348</v>
      </c>
      <c r="F5335">
        <v>1</v>
      </c>
      <c r="G5335">
        <v>2007</v>
      </c>
      <c r="I5335">
        <v>243</v>
      </c>
      <c r="J5335" t="s">
        <v>52</v>
      </c>
      <c r="K5335" t="s">
        <v>76</v>
      </c>
      <c r="O5335">
        <v>0</v>
      </c>
      <c r="P5335">
        <v>0</v>
      </c>
      <c r="Q5335">
        <v>0</v>
      </c>
      <c r="R5335">
        <v>0</v>
      </c>
      <c r="W5335" t="s">
        <v>480</v>
      </c>
      <c r="AA5335">
        <v>2007</v>
      </c>
      <c r="AB5335">
        <v>9999</v>
      </c>
      <c r="AC5335" t="s">
        <v>35</v>
      </c>
    </row>
    <row r="5336" spans="1:29" x14ac:dyDescent="0.25">
      <c r="A5336" s="31" t="s">
        <v>491</v>
      </c>
      <c r="B5336" s="23" t="s">
        <v>492</v>
      </c>
      <c r="D5336">
        <v>1</v>
      </c>
      <c r="E5336" t="s">
        <v>348</v>
      </c>
      <c r="F5336">
        <v>1</v>
      </c>
      <c r="G5336">
        <v>2007</v>
      </c>
      <c r="I5336">
        <v>235</v>
      </c>
      <c r="J5336" t="s">
        <v>52</v>
      </c>
      <c r="K5336" t="s">
        <v>76</v>
      </c>
      <c r="O5336">
        <v>0</v>
      </c>
      <c r="P5336">
        <v>0</v>
      </c>
      <c r="Q5336">
        <v>0</v>
      </c>
      <c r="R5336">
        <v>0</v>
      </c>
      <c r="W5336" t="s">
        <v>480</v>
      </c>
      <c r="AA5336">
        <v>2007</v>
      </c>
      <c r="AB5336">
        <v>9999</v>
      </c>
      <c r="AC5336" t="s">
        <v>35</v>
      </c>
    </row>
    <row r="5337" spans="1:29" x14ac:dyDescent="0.25">
      <c r="A5337" s="31" t="s">
        <v>493</v>
      </c>
      <c r="B5337" s="23" t="s">
        <v>494</v>
      </c>
      <c r="D5337">
        <v>1</v>
      </c>
      <c r="E5337" t="s">
        <v>348</v>
      </c>
      <c r="F5337">
        <v>1</v>
      </c>
      <c r="G5337">
        <v>2007</v>
      </c>
      <c r="I5337">
        <v>190</v>
      </c>
      <c r="J5337" t="s">
        <v>52</v>
      </c>
      <c r="K5337" t="s">
        <v>76</v>
      </c>
      <c r="O5337">
        <v>0</v>
      </c>
      <c r="P5337">
        <v>0</v>
      </c>
      <c r="Q5337">
        <v>0</v>
      </c>
      <c r="R5337">
        <v>0</v>
      </c>
      <c r="W5337" t="s">
        <v>480</v>
      </c>
      <c r="AA5337">
        <v>2007</v>
      </c>
      <c r="AB5337">
        <v>9999</v>
      </c>
      <c r="AC5337" t="s">
        <v>35</v>
      </c>
    </row>
    <row r="5338" spans="1:29" x14ac:dyDescent="0.25">
      <c r="A5338" s="31" t="s">
        <v>495</v>
      </c>
      <c r="B5338" s="23" t="s">
        <v>496</v>
      </c>
      <c r="D5338">
        <v>1</v>
      </c>
      <c r="E5338" t="s">
        <v>348</v>
      </c>
      <c r="F5338">
        <v>1</v>
      </c>
      <c r="G5338">
        <v>2007</v>
      </c>
      <c r="I5338">
        <v>161</v>
      </c>
      <c r="J5338" t="s">
        <v>52</v>
      </c>
      <c r="K5338" t="s">
        <v>76</v>
      </c>
      <c r="O5338">
        <v>0</v>
      </c>
      <c r="P5338">
        <v>0</v>
      </c>
      <c r="Q5338">
        <v>0</v>
      </c>
      <c r="R5338">
        <v>0</v>
      </c>
      <c r="W5338" t="s">
        <v>480</v>
      </c>
      <c r="AA5338">
        <v>2007</v>
      </c>
      <c r="AB5338">
        <v>9999</v>
      </c>
      <c r="AC5338" t="s">
        <v>35</v>
      </c>
    </row>
    <row r="5339" spans="1:29" x14ac:dyDescent="0.25">
      <c r="A5339" s="31" t="s">
        <v>497</v>
      </c>
      <c r="B5339" s="23" t="s">
        <v>498</v>
      </c>
      <c r="D5339">
        <v>1</v>
      </c>
      <c r="E5339" t="s">
        <v>348</v>
      </c>
      <c r="F5339">
        <v>1</v>
      </c>
      <c r="G5339">
        <v>2007</v>
      </c>
      <c r="I5339">
        <v>263</v>
      </c>
      <c r="J5339" t="s">
        <v>52</v>
      </c>
      <c r="K5339" t="s">
        <v>76</v>
      </c>
      <c r="O5339">
        <v>0</v>
      </c>
      <c r="P5339">
        <v>0</v>
      </c>
      <c r="Q5339">
        <v>0</v>
      </c>
      <c r="R5339">
        <v>0</v>
      </c>
      <c r="W5339" t="s">
        <v>480</v>
      </c>
      <c r="AA5339">
        <v>2007</v>
      </c>
      <c r="AB5339">
        <v>9999</v>
      </c>
      <c r="AC5339" t="s">
        <v>35</v>
      </c>
    </row>
    <row r="5340" spans="1:29" x14ac:dyDescent="0.25">
      <c r="A5340" s="31" t="s">
        <v>499</v>
      </c>
      <c r="B5340" s="23" t="s">
        <v>500</v>
      </c>
      <c r="D5340">
        <v>1</v>
      </c>
      <c r="E5340" t="s">
        <v>348</v>
      </c>
      <c r="F5340">
        <v>1</v>
      </c>
      <c r="G5340">
        <v>2007</v>
      </c>
      <c r="I5340">
        <v>438</v>
      </c>
      <c r="J5340" t="s">
        <v>52</v>
      </c>
      <c r="K5340" t="s">
        <v>76</v>
      </c>
      <c r="O5340">
        <v>0</v>
      </c>
      <c r="P5340">
        <v>0</v>
      </c>
      <c r="Q5340">
        <v>0</v>
      </c>
      <c r="R5340">
        <v>0</v>
      </c>
      <c r="W5340" t="s">
        <v>480</v>
      </c>
      <c r="AA5340">
        <v>2007</v>
      </c>
      <c r="AB5340">
        <v>9999</v>
      </c>
      <c r="AC5340" t="s">
        <v>35</v>
      </c>
    </row>
    <row r="5341" spans="1:29" x14ac:dyDescent="0.25">
      <c r="A5341" s="31" t="s">
        <v>501</v>
      </c>
      <c r="B5341" s="23" t="s">
        <v>502</v>
      </c>
      <c r="D5341">
        <v>1</v>
      </c>
      <c r="E5341" t="s">
        <v>348</v>
      </c>
      <c r="F5341">
        <v>1</v>
      </c>
      <c r="G5341">
        <v>2007</v>
      </c>
      <c r="I5341">
        <v>468</v>
      </c>
      <c r="J5341" t="s">
        <v>52</v>
      </c>
      <c r="K5341" t="s">
        <v>76</v>
      </c>
      <c r="O5341">
        <v>0</v>
      </c>
      <c r="P5341">
        <v>0</v>
      </c>
      <c r="Q5341">
        <v>0</v>
      </c>
      <c r="R5341">
        <v>0</v>
      </c>
      <c r="W5341" t="s">
        <v>480</v>
      </c>
      <c r="AA5341">
        <v>2007</v>
      </c>
      <c r="AB5341">
        <v>9999</v>
      </c>
      <c r="AC5341" t="s">
        <v>35</v>
      </c>
    </row>
    <row r="5342" spans="1:29" x14ac:dyDescent="0.25">
      <c r="A5342" s="31" t="s">
        <v>503</v>
      </c>
      <c r="B5342" s="23" t="s">
        <v>504</v>
      </c>
      <c r="D5342">
        <v>1</v>
      </c>
      <c r="E5342" t="s">
        <v>348</v>
      </c>
      <c r="F5342">
        <v>1</v>
      </c>
      <c r="G5342">
        <v>2007</v>
      </c>
      <c r="I5342">
        <v>192</v>
      </c>
      <c r="J5342" t="s">
        <v>52</v>
      </c>
      <c r="K5342" t="s">
        <v>76</v>
      </c>
      <c r="O5342">
        <v>0</v>
      </c>
      <c r="P5342">
        <v>0</v>
      </c>
      <c r="Q5342">
        <v>0</v>
      </c>
      <c r="R5342">
        <v>0</v>
      </c>
      <c r="W5342" t="s">
        <v>480</v>
      </c>
      <c r="AA5342">
        <v>2007</v>
      </c>
      <c r="AB5342">
        <v>9999</v>
      </c>
      <c r="AC5342" t="s">
        <v>35</v>
      </c>
    </row>
    <row r="5343" spans="1:29" x14ac:dyDescent="0.25">
      <c r="A5343" s="31" t="s">
        <v>505</v>
      </c>
      <c r="B5343" s="23" t="s">
        <v>506</v>
      </c>
      <c r="D5343">
        <v>1</v>
      </c>
      <c r="E5343" t="s">
        <v>348</v>
      </c>
      <c r="F5343">
        <v>1</v>
      </c>
      <c r="G5343">
        <v>2007</v>
      </c>
      <c r="I5343">
        <v>160</v>
      </c>
      <c r="J5343" t="s">
        <v>52</v>
      </c>
      <c r="K5343" t="s">
        <v>76</v>
      </c>
      <c r="O5343">
        <v>0</v>
      </c>
      <c r="P5343">
        <v>0</v>
      </c>
      <c r="Q5343">
        <v>0</v>
      </c>
      <c r="R5343">
        <v>0</v>
      </c>
      <c r="W5343" t="s">
        <v>480</v>
      </c>
      <c r="AA5343">
        <v>2007</v>
      </c>
      <c r="AB5343">
        <v>9999</v>
      </c>
      <c r="AC5343" t="s">
        <v>35</v>
      </c>
    </row>
    <row r="5344" spans="1:29" x14ac:dyDescent="0.25">
      <c r="A5344" s="31" t="s">
        <v>507</v>
      </c>
      <c r="B5344" s="23" t="s">
        <v>508</v>
      </c>
      <c r="D5344">
        <v>1</v>
      </c>
      <c r="E5344" t="s">
        <v>348</v>
      </c>
      <c r="F5344">
        <v>1</v>
      </c>
      <c r="G5344">
        <v>2007</v>
      </c>
      <c r="I5344">
        <v>205</v>
      </c>
      <c r="J5344" t="s">
        <v>52</v>
      </c>
      <c r="K5344" t="s">
        <v>76</v>
      </c>
      <c r="O5344">
        <v>0</v>
      </c>
      <c r="P5344">
        <v>0</v>
      </c>
      <c r="Q5344">
        <v>0</v>
      </c>
      <c r="R5344">
        <v>0</v>
      </c>
      <c r="W5344" t="s">
        <v>480</v>
      </c>
      <c r="AA5344">
        <v>2007</v>
      </c>
      <c r="AB5344">
        <v>9999</v>
      </c>
      <c r="AC5344" t="s">
        <v>35</v>
      </c>
    </row>
    <row r="5345" spans="1:29" x14ac:dyDescent="0.25">
      <c r="A5345" s="31" t="s">
        <v>509</v>
      </c>
      <c r="B5345" s="23" t="s">
        <v>510</v>
      </c>
      <c r="D5345">
        <v>1</v>
      </c>
      <c r="E5345" t="s">
        <v>348</v>
      </c>
      <c r="F5345">
        <v>1</v>
      </c>
      <c r="G5345">
        <v>2007</v>
      </c>
      <c r="I5345">
        <v>246</v>
      </c>
      <c r="J5345" t="s">
        <v>52</v>
      </c>
      <c r="K5345" t="s">
        <v>76</v>
      </c>
      <c r="O5345">
        <v>0</v>
      </c>
      <c r="P5345">
        <v>0</v>
      </c>
      <c r="Q5345">
        <v>0</v>
      </c>
      <c r="R5345">
        <v>0</v>
      </c>
      <c r="W5345" t="s">
        <v>480</v>
      </c>
      <c r="AA5345">
        <v>2007</v>
      </c>
      <c r="AB5345">
        <v>9999</v>
      </c>
      <c r="AC5345" t="s">
        <v>35</v>
      </c>
    </row>
    <row r="5346" spans="1:29" x14ac:dyDescent="0.25">
      <c r="A5346" s="31" t="s">
        <v>511</v>
      </c>
      <c r="B5346" s="23" t="s">
        <v>512</v>
      </c>
      <c r="D5346">
        <v>1</v>
      </c>
      <c r="E5346" t="s">
        <v>348</v>
      </c>
      <c r="F5346">
        <v>1</v>
      </c>
      <c r="G5346">
        <v>2007</v>
      </c>
      <c r="I5346">
        <v>242</v>
      </c>
      <c r="J5346" t="s">
        <v>52</v>
      </c>
      <c r="K5346" t="s">
        <v>76</v>
      </c>
      <c r="O5346">
        <v>0</v>
      </c>
      <c r="P5346">
        <v>0</v>
      </c>
      <c r="Q5346">
        <v>0</v>
      </c>
      <c r="R5346">
        <v>0</v>
      </c>
      <c r="W5346" t="s">
        <v>480</v>
      </c>
      <c r="AA5346">
        <v>2007</v>
      </c>
      <c r="AB5346">
        <v>9999</v>
      </c>
      <c r="AC5346" t="s">
        <v>35</v>
      </c>
    </row>
    <row r="5347" spans="1:29" x14ac:dyDescent="0.25">
      <c r="A5347" s="31" t="s">
        <v>513</v>
      </c>
      <c r="B5347" s="23" t="s">
        <v>514</v>
      </c>
      <c r="D5347">
        <v>1</v>
      </c>
      <c r="E5347" t="s">
        <v>348</v>
      </c>
      <c r="F5347">
        <v>1</v>
      </c>
      <c r="G5347">
        <v>2007</v>
      </c>
      <c r="I5347">
        <v>168</v>
      </c>
      <c r="J5347" t="s">
        <v>52</v>
      </c>
      <c r="K5347" t="s">
        <v>76</v>
      </c>
      <c r="O5347">
        <v>0</v>
      </c>
      <c r="P5347">
        <v>0</v>
      </c>
      <c r="Q5347">
        <v>0</v>
      </c>
      <c r="R5347">
        <v>0</v>
      </c>
      <c r="W5347" t="s">
        <v>480</v>
      </c>
      <c r="AA5347">
        <v>2007</v>
      </c>
      <c r="AB5347">
        <v>9999</v>
      </c>
      <c r="AC5347" t="s">
        <v>35</v>
      </c>
    </row>
    <row r="5348" spans="1:29" x14ac:dyDescent="0.25">
      <c r="A5348" s="31" t="s">
        <v>515</v>
      </c>
      <c r="B5348" s="23" t="s">
        <v>516</v>
      </c>
      <c r="D5348">
        <v>1</v>
      </c>
      <c r="E5348" t="s">
        <v>348</v>
      </c>
      <c r="F5348">
        <v>1</v>
      </c>
      <c r="G5348">
        <v>2007</v>
      </c>
      <c r="I5348">
        <v>608</v>
      </c>
      <c r="J5348" t="s">
        <v>52</v>
      </c>
      <c r="K5348" t="s">
        <v>76</v>
      </c>
      <c r="O5348">
        <v>0</v>
      </c>
      <c r="P5348">
        <v>0</v>
      </c>
      <c r="Q5348">
        <v>0</v>
      </c>
      <c r="R5348">
        <v>0</v>
      </c>
      <c r="W5348" t="s">
        <v>480</v>
      </c>
      <c r="AA5348">
        <v>2007</v>
      </c>
      <c r="AB5348">
        <v>9999</v>
      </c>
      <c r="AC5348" t="s">
        <v>35</v>
      </c>
    </row>
    <row r="5349" spans="1:29" x14ac:dyDescent="0.25">
      <c r="A5349" s="31" t="s">
        <v>517</v>
      </c>
      <c r="B5349" s="23" t="s">
        <v>518</v>
      </c>
      <c r="D5349">
        <v>1</v>
      </c>
      <c r="E5349" t="s">
        <v>348</v>
      </c>
      <c r="F5349">
        <v>1</v>
      </c>
      <c r="G5349">
        <v>2007</v>
      </c>
      <c r="I5349">
        <v>182</v>
      </c>
      <c r="J5349" t="s">
        <v>52</v>
      </c>
      <c r="K5349" t="s">
        <v>76</v>
      </c>
      <c r="O5349">
        <v>0</v>
      </c>
      <c r="P5349">
        <v>0</v>
      </c>
      <c r="Q5349">
        <v>0</v>
      </c>
      <c r="R5349">
        <v>0</v>
      </c>
      <c r="W5349" t="s">
        <v>480</v>
      </c>
      <c r="AA5349">
        <v>2007</v>
      </c>
      <c r="AB5349">
        <v>9999</v>
      </c>
      <c r="AC5349" t="s">
        <v>35</v>
      </c>
    </row>
    <row r="5350" spans="1:29" x14ac:dyDescent="0.25">
      <c r="A5350" s="31" t="s">
        <v>519</v>
      </c>
      <c r="B5350" s="23" t="s">
        <v>520</v>
      </c>
      <c r="D5350">
        <v>1</v>
      </c>
      <c r="E5350" t="s">
        <v>348</v>
      </c>
      <c r="F5350">
        <v>1</v>
      </c>
      <c r="G5350">
        <v>2007</v>
      </c>
      <c r="I5350">
        <v>242</v>
      </c>
      <c r="J5350" t="s">
        <v>52</v>
      </c>
      <c r="K5350" t="s">
        <v>76</v>
      </c>
      <c r="O5350">
        <v>0</v>
      </c>
      <c r="P5350">
        <v>0</v>
      </c>
      <c r="Q5350">
        <v>0</v>
      </c>
      <c r="R5350">
        <v>0</v>
      </c>
      <c r="W5350" t="s">
        <v>480</v>
      </c>
      <c r="AA5350">
        <v>2007</v>
      </c>
      <c r="AB5350">
        <v>9999</v>
      </c>
      <c r="AC5350" t="s">
        <v>35</v>
      </c>
    </row>
    <row r="5351" spans="1:29" x14ac:dyDescent="0.25">
      <c r="A5351" s="31" t="s">
        <v>521</v>
      </c>
      <c r="B5351" s="23" t="s">
        <v>522</v>
      </c>
      <c r="D5351">
        <v>1</v>
      </c>
      <c r="E5351" t="s">
        <v>128</v>
      </c>
      <c r="F5351">
        <v>9</v>
      </c>
      <c r="G5351">
        <v>2007</v>
      </c>
      <c r="I5351">
        <v>582</v>
      </c>
      <c r="J5351" t="s">
        <v>104</v>
      </c>
      <c r="K5351" t="s">
        <v>53</v>
      </c>
      <c r="L5351" t="s">
        <v>105</v>
      </c>
      <c r="O5351">
        <v>0</v>
      </c>
      <c r="P5351">
        <v>1</v>
      </c>
      <c r="Q5351">
        <v>0</v>
      </c>
      <c r="R5351">
        <v>0</v>
      </c>
      <c r="W5351" t="s">
        <v>106</v>
      </c>
      <c r="AA5351">
        <v>2007</v>
      </c>
      <c r="AB5351">
        <v>2007</v>
      </c>
      <c r="AC5351" t="s">
        <v>70</v>
      </c>
    </row>
    <row r="5352" spans="1:29" x14ac:dyDescent="0.25">
      <c r="A5352" s="31" t="s">
        <v>523</v>
      </c>
      <c r="B5352" s="23" t="s">
        <v>524</v>
      </c>
      <c r="D5352">
        <v>1</v>
      </c>
      <c r="E5352" t="s">
        <v>103</v>
      </c>
      <c r="F5352">
        <v>9</v>
      </c>
      <c r="G5352">
        <v>2007</v>
      </c>
      <c r="I5352">
        <v>1170</v>
      </c>
      <c r="J5352" t="s">
        <v>104</v>
      </c>
      <c r="K5352" t="s">
        <v>53</v>
      </c>
      <c r="L5352" t="s">
        <v>105</v>
      </c>
      <c r="O5352">
        <v>0</v>
      </c>
      <c r="P5352">
        <v>1</v>
      </c>
      <c r="Q5352">
        <v>0</v>
      </c>
      <c r="R5352">
        <v>0</v>
      </c>
      <c r="W5352" t="s">
        <v>106</v>
      </c>
      <c r="AA5352">
        <v>2007</v>
      </c>
      <c r="AB5352">
        <v>9999</v>
      </c>
      <c r="AC5352" t="s">
        <v>35</v>
      </c>
    </row>
    <row r="5353" spans="1:29" x14ac:dyDescent="0.25">
      <c r="A5353" s="31" t="s">
        <v>525</v>
      </c>
      <c r="B5353" s="23" t="s">
        <v>526</v>
      </c>
      <c r="D5353">
        <v>1</v>
      </c>
      <c r="E5353" t="s">
        <v>45</v>
      </c>
      <c r="F5353">
        <v>4</v>
      </c>
      <c r="G5353">
        <v>2007</v>
      </c>
      <c r="I5353">
        <v>8</v>
      </c>
      <c r="J5353" t="s">
        <v>46</v>
      </c>
      <c r="K5353" t="s">
        <v>53</v>
      </c>
      <c r="L5353" t="s">
        <v>60</v>
      </c>
      <c r="O5353">
        <v>1</v>
      </c>
      <c r="P5353">
        <v>0</v>
      </c>
      <c r="Q5353">
        <v>0</v>
      </c>
      <c r="R5353">
        <v>0</v>
      </c>
      <c r="W5353" t="s">
        <v>527</v>
      </c>
      <c r="AA5353">
        <v>2007</v>
      </c>
      <c r="AB5353">
        <v>2016</v>
      </c>
      <c r="AC5353" t="s">
        <v>528</v>
      </c>
    </row>
    <row r="5354" spans="1:29" x14ac:dyDescent="0.25">
      <c r="A5354" s="31" t="s">
        <v>529</v>
      </c>
      <c r="B5354" s="23" t="s">
        <v>530</v>
      </c>
      <c r="D5354">
        <v>1</v>
      </c>
      <c r="E5354" t="s">
        <v>58</v>
      </c>
      <c r="F5354">
        <v>4</v>
      </c>
      <c r="G5354">
        <v>2007</v>
      </c>
      <c r="I5354">
        <v>9</v>
      </c>
      <c r="J5354" t="s">
        <v>59</v>
      </c>
      <c r="K5354" t="s">
        <v>76</v>
      </c>
      <c r="O5354">
        <v>0</v>
      </c>
      <c r="P5354">
        <v>0</v>
      </c>
      <c r="Q5354">
        <v>0</v>
      </c>
      <c r="R5354">
        <v>0</v>
      </c>
      <c r="W5354" t="s">
        <v>531</v>
      </c>
      <c r="AA5354">
        <v>2007</v>
      </c>
      <c r="AB5354">
        <v>9999</v>
      </c>
      <c r="AC5354" t="s">
        <v>35</v>
      </c>
    </row>
    <row r="5355" spans="1:29" x14ac:dyDescent="0.25">
      <c r="A5355" s="31" t="s">
        <v>532</v>
      </c>
      <c r="B5355" s="23" t="s">
        <v>533</v>
      </c>
      <c r="D5355">
        <v>1</v>
      </c>
      <c r="E5355" t="s">
        <v>534</v>
      </c>
      <c r="F5355">
        <v>10</v>
      </c>
      <c r="G5355">
        <v>2007</v>
      </c>
      <c r="I5355">
        <v>2418</v>
      </c>
      <c r="J5355" t="s">
        <v>121</v>
      </c>
      <c r="K5355" t="s">
        <v>76</v>
      </c>
      <c r="O5355">
        <v>0</v>
      </c>
      <c r="P5355">
        <v>0</v>
      </c>
      <c r="Q5355">
        <v>0</v>
      </c>
      <c r="R5355">
        <v>0</v>
      </c>
      <c r="W5355" t="s">
        <v>535</v>
      </c>
      <c r="AA5355">
        <v>2007</v>
      </c>
      <c r="AB5355">
        <v>9999</v>
      </c>
      <c r="AC5355" t="s">
        <v>35</v>
      </c>
    </row>
    <row r="5356" spans="1:29" x14ac:dyDescent="0.25">
      <c r="A5356" s="31" t="s">
        <v>536</v>
      </c>
      <c r="B5356" s="23" t="s">
        <v>537</v>
      </c>
      <c r="D5356">
        <v>1</v>
      </c>
      <c r="E5356" t="s">
        <v>534</v>
      </c>
      <c r="F5356">
        <v>9</v>
      </c>
      <c r="G5356">
        <v>2007</v>
      </c>
      <c r="I5356">
        <v>826</v>
      </c>
      <c r="J5356" t="s">
        <v>104</v>
      </c>
      <c r="K5356" t="s">
        <v>53</v>
      </c>
      <c r="L5356" t="s">
        <v>105</v>
      </c>
      <c r="O5356">
        <v>0</v>
      </c>
      <c r="P5356">
        <v>1</v>
      </c>
      <c r="Q5356">
        <v>0</v>
      </c>
      <c r="R5356">
        <v>0</v>
      </c>
      <c r="W5356" t="s">
        <v>106</v>
      </c>
      <c r="AA5356">
        <v>2007</v>
      </c>
      <c r="AB5356">
        <v>9999</v>
      </c>
      <c r="AC5356" t="s">
        <v>35</v>
      </c>
    </row>
    <row r="5357" spans="1:29" x14ac:dyDescent="0.25">
      <c r="A5357" s="31" t="s">
        <v>538</v>
      </c>
      <c r="B5357" s="23" t="s">
        <v>539</v>
      </c>
      <c r="D5357">
        <v>1</v>
      </c>
      <c r="E5357" t="s">
        <v>80</v>
      </c>
      <c r="F5357">
        <v>8</v>
      </c>
      <c r="G5357">
        <v>2007</v>
      </c>
      <c r="I5357">
        <v>120</v>
      </c>
      <c r="J5357" t="s">
        <v>81</v>
      </c>
      <c r="K5357" t="s">
        <v>76</v>
      </c>
      <c r="O5357">
        <v>0</v>
      </c>
      <c r="P5357">
        <v>0</v>
      </c>
      <c r="Q5357">
        <v>0</v>
      </c>
      <c r="R5357">
        <v>0</v>
      </c>
      <c r="W5357" t="s">
        <v>540</v>
      </c>
      <c r="AA5357">
        <v>2007</v>
      </c>
      <c r="AB5357">
        <v>9999</v>
      </c>
      <c r="AC5357" t="s">
        <v>35</v>
      </c>
    </row>
    <row r="5358" spans="1:29" x14ac:dyDescent="0.25">
      <c r="A5358" s="31" t="s">
        <v>541</v>
      </c>
      <c r="B5358" s="23" t="s">
        <v>542</v>
      </c>
      <c r="D5358">
        <v>1</v>
      </c>
      <c r="E5358" t="s">
        <v>543</v>
      </c>
      <c r="F5358">
        <v>10</v>
      </c>
      <c r="G5358">
        <v>2007</v>
      </c>
      <c r="I5358">
        <v>14</v>
      </c>
      <c r="J5358" t="s">
        <v>40</v>
      </c>
      <c r="K5358" t="s">
        <v>47</v>
      </c>
      <c r="O5358">
        <v>0</v>
      </c>
      <c r="P5358">
        <v>0</v>
      </c>
      <c r="Q5358">
        <v>0</v>
      </c>
      <c r="R5358">
        <v>0</v>
      </c>
      <c r="W5358" t="s">
        <v>544</v>
      </c>
      <c r="AA5358">
        <v>2007</v>
      </c>
      <c r="AB5358">
        <v>9999</v>
      </c>
      <c r="AC5358" t="s">
        <v>35</v>
      </c>
    </row>
    <row r="5359" spans="1:29" x14ac:dyDescent="0.25">
      <c r="A5359" s="31" t="s">
        <v>545</v>
      </c>
      <c r="B5359" s="23" t="s">
        <v>546</v>
      </c>
      <c r="D5359">
        <v>1</v>
      </c>
      <c r="E5359" t="s">
        <v>543</v>
      </c>
      <c r="F5359">
        <v>10</v>
      </c>
      <c r="G5359">
        <v>2007</v>
      </c>
      <c r="I5359">
        <v>9</v>
      </c>
      <c r="J5359" t="s">
        <v>40</v>
      </c>
      <c r="K5359" t="s">
        <v>47</v>
      </c>
      <c r="O5359">
        <v>0</v>
      </c>
      <c r="P5359">
        <v>0</v>
      </c>
      <c r="Q5359">
        <v>0</v>
      </c>
      <c r="R5359">
        <v>0</v>
      </c>
      <c r="W5359" t="s">
        <v>547</v>
      </c>
      <c r="AA5359">
        <v>2007</v>
      </c>
      <c r="AB5359">
        <v>9999</v>
      </c>
      <c r="AC5359" t="s">
        <v>35</v>
      </c>
    </row>
    <row r="5360" spans="1:29" x14ac:dyDescent="0.25">
      <c r="A5360" s="31" t="s">
        <v>545</v>
      </c>
      <c r="B5360" s="23" t="s">
        <v>548</v>
      </c>
      <c r="D5360">
        <v>1</v>
      </c>
      <c r="E5360" t="s">
        <v>128</v>
      </c>
      <c r="F5360">
        <v>9</v>
      </c>
      <c r="G5360">
        <v>2007</v>
      </c>
      <c r="I5360">
        <v>26</v>
      </c>
      <c r="J5360" t="s">
        <v>104</v>
      </c>
      <c r="K5360" t="s">
        <v>76</v>
      </c>
      <c r="O5360">
        <v>0</v>
      </c>
      <c r="P5360">
        <v>0</v>
      </c>
      <c r="Q5360">
        <v>0</v>
      </c>
      <c r="R5360">
        <v>0</v>
      </c>
      <c r="W5360" t="s">
        <v>549</v>
      </c>
      <c r="AA5360">
        <v>2007</v>
      </c>
      <c r="AB5360">
        <v>9999</v>
      </c>
      <c r="AC5360" t="s">
        <v>35</v>
      </c>
    </row>
    <row r="5361" spans="1:29" ht="30" x14ac:dyDescent="0.25">
      <c r="A5361" s="31" t="s">
        <v>550</v>
      </c>
      <c r="B5361" s="23" t="s">
        <v>551</v>
      </c>
      <c r="D5361">
        <v>1</v>
      </c>
      <c r="E5361" t="s">
        <v>128</v>
      </c>
      <c r="F5361">
        <v>9</v>
      </c>
      <c r="G5361">
        <v>2007</v>
      </c>
      <c r="I5361">
        <v>14</v>
      </c>
      <c r="J5361" t="s">
        <v>104</v>
      </c>
      <c r="K5361" t="s">
        <v>76</v>
      </c>
      <c r="O5361">
        <v>0</v>
      </c>
      <c r="P5361">
        <v>0</v>
      </c>
      <c r="Q5361">
        <v>0</v>
      </c>
      <c r="R5361">
        <v>0</v>
      </c>
      <c r="W5361" t="s">
        <v>552</v>
      </c>
      <c r="AA5361">
        <v>2007</v>
      </c>
      <c r="AB5361">
        <v>2008</v>
      </c>
      <c r="AC5361" t="s">
        <v>265</v>
      </c>
    </row>
    <row r="5362" spans="1:29" x14ac:dyDescent="0.25">
      <c r="A5362" s="31" t="s">
        <v>553</v>
      </c>
      <c r="B5362" s="23" t="s">
        <v>554</v>
      </c>
      <c r="D5362">
        <v>1</v>
      </c>
      <c r="E5362" t="s">
        <v>128</v>
      </c>
      <c r="F5362">
        <v>9</v>
      </c>
      <c r="G5362">
        <v>2007</v>
      </c>
      <c r="I5362">
        <v>147</v>
      </c>
      <c r="J5362" t="s">
        <v>104</v>
      </c>
      <c r="K5362" t="s">
        <v>76</v>
      </c>
      <c r="O5362">
        <v>0</v>
      </c>
      <c r="P5362">
        <v>0</v>
      </c>
      <c r="Q5362">
        <v>0</v>
      </c>
      <c r="R5362">
        <v>0</v>
      </c>
      <c r="W5362" t="s">
        <v>555</v>
      </c>
      <c r="AA5362">
        <v>2007</v>
      </c>
      <c r="AB5362">
        <v>2008</v>
      </c>
      <c r="AC5362" t="s">
        <v>265</v>
      </c>
    </row>
    <row r="5363" spans="1:29" x14ac:dyDescent="0.25">
      <c r="A5363" s="31" t="s">
        <v>556</v>
      </c>
      <c r="B5363" s="23" t="s">
        <v>557</v>
      </c>
      <c r="D5363">
        <v>1</v>
      </c>
      <c r="E5363" t="s">
        <v>45</v>
      </c>
      <c r="F5363">
        <v>4</v>
      </c>
      <c r="G5363">
        <v>2007</v>
      </c>
      <c r="I5363">
        <v>44</v>
      </c>
      <c r="J5363" t="s">
        <v>176</v>
      </c>
      <c r="K5363" t="s">
        <v>32</v>
      </c>
      <c r="O5363">
        <v>0</v>
      </c>
      <c r="P5363">
        <v>0</v>
      </c>
      <c r="Q5363">
        <v>0</v>
      </c>
      <c r="R5363">
        <v>0</v>
      </c>
      <c r="W5363" t="s">
        <v>558</v>
      </c>
      <c r="AA5363">
        <v>2007</v>
      </c>
      <c r="AB5363">
        <v>2012</v>
      </c>
      <c r="AC5363" t="s">
        <v>302</v>
      </c>
    </row>
    <row r="5364" spans="1:29" x14ac:dyDescent="0.25">
      <c r="A5364" s="31" t="s">
        <v>559</v>
      </c>
      <c r="B5364" s="23" t="s">
        <v>560</v>
      </c>
      <c r="C5364" t="s">
        <v>561</v>
      </c>
      <c r="D5364">
        <v>1</v>
      </c>
      <c r="E5364" t="s">
        <v>103</v>
      </c>
      <c r="F5364">
        <v>9</v>
      </c>
      <c r="G5364">
        <v>2007</v>
      </c>
      <c r="I5364">
        <v>857</v>
      </c>
      <c r="J5364" t="s">
        <v>104</v>
      </c>
      <c r="K5364" t="s">
        <v>53</v>
      </c>
      <c r="L5364" t="s">
        <v>105</v>
      </c>
      <c r="O5364">
        <v>0</v>
      </c>
      <c r="P5364">
        <v>1</v>
      </c>
      <c r="Q5364">
        <v>0</v>
      </c>
      <c r="R5364">
        <v>0</v>
      </c>
      <c r="W5364" t="s">
        <v>106</v>
      </c>
      <c r="AA5364">
        <v>2007</v>
      </c>
      <c r="AB5364">
        <v>9999</v>
      </c>
      <c r="AC5364" t="s">
        <v>35</v>
      </c>
    </row>
    <row r="5365" spans="1:29" ht="30" x14ac:dyDescent="0.25">
      <c r="A5365" s="31" t="s">
        <v>562</v>
      </c>
      <c r="B5365" s="23" t="s">
        <v>563</v>
      </c>
      <c r="D5365">
        <v>1</v>
      </c>
      <c r="E5365" t="s">
        <v>80</v>
      </c>
      <c r="F5365">
        <v>8</v>
      </c>
      <c r="G5365">
        <v>2007</v>
      </c>
      <c r="I5365">
        <v>166</v>
      </c>
      <c r="J5365" t="s">
        <v>81</v>
      </c>
      <c r="K5365" t="s">
        <v>76</v>
      </c>
      <c r="O5365">
        <v>0</v>
      </c>
      <c r="P5365">
        <v>0</v>
      </c>
      <c r="Q5365">
        <v>0</v>
      </c>
      <c r="R5365">
        <v>0</v>
      </c>
      <c r="W5365" t="s">
        <v>564</v>
      </c>
      <c r="AA5365">
        <v>2007</v>
      </c>
      <c r="AB5365">
        <v>9999</v>
      </c>
      <c r="AC5365" t="s">
        <v>35</v>
      </c>
    </row>
    <row r="5366" spans="1:29" x14ac:dyDescent="0.25">
      <c r="A5366" s="31" t="s">
        <v>565</v>
      </c>
      <c r="B5366" s="23" t="s">
        <v>566</v>
      </c>
      <c r="D5366">
        <v>1</v>
      </c>
      <c r="E5366" t="s">
        <v>128</v>
      </c>
      <c r="F5366">
        <v>9</v>
      </c>
      <c r="G5366">
        <v>2007</v>
      </c>
      <c r="I5366">
        <v>98</v>
      </c>
      <c r="J5366" t="s">
        <v>104</v>
      </c>
      <c r="K5366" t="s">
        <v>76</v>
      </c>
      <c r="O5366">
        <v>0</v>
      </c>
      <c r="P5366">
        <v>0</v>
      </c>
      <c r="Q5366">
        <v>0</v>
      </c>
      <c r="R5366">
        <v>0</v>
      </c>
      <c r="W5366" t="s">
        <v>567</v>
      </c>
      <c r="AA5366">
        <v>2007</v>
      </c>
      <c r="AB5366">
        <v>2008</v>
      </c>
      <c r="AC5366" t="s">
        <v>265</v>
      </c>
    </row>
    <row r="5367" spans="1:29" x14ac:dyDescent="0.25">
      <c r="A5367" s="31" t="s">
        <v>568</v>
      </c>
      <c r="B5367" s="23" t="s">
        <v>569</v>
      </c>
      <c r="D5367">
        <v>1</v>
      </c>
      <c r="E5367" t="s">
        <v>80</v>
      </c>
      <c r="F5367">
        <v>8</v>
      </c>
      <c r="G5367">
        <v>2007</v>
      </c>
      <c r="I5367">
        <v>259</v>
      </c>
      <c r="J5367" t="s">
        <v>81</v>
      </c>
      <c r="K5367" t="s">
        <v>76</v>
      </c>
      <c r="O5367">
        <v>0</v>
      </c>
      <c r="P5367">
        <v>0</v>
      </c>
      <c r="Q5367">
        <v>0</v>
      </c>
      <c r="R5367">
        <v>0</v>
      </c>
      <c r="W5367" t="s">
        <v>570</v>
      </c>
      <c r="AA5367">
        <v>2007</v>
      </c>
      <c r="AB5367">
        <v>9999</v>
      </c>
      <c r="AC5367" t="s">
        <v>35</v>
      </c>
    </row>
    <row r="5368" spans="1:29" x14ac:dyDescent="0.25">
      <c r="A5368" s="31" t="s">
        <v>571</v>
      </c>
      <c r="B5368" s="23" t="s">
        <v>572</v>
      </c>
      <c r="D5368">
        <v>1</v>
      </c>
      <c r="E5368" t="s">
        <v>370</v>
      </c>
      <c r="F5368">
        <v>5</v>
      </c>
      <c r="G5368">
        <v>2007</v>
      </c>
      <c r="I5368">
        <v>494</v>
      </c>
      <c r="J5368" t="s">
        <v>31</v>
      </c>
      <c r="K5368" t="s">
        <v>76</v>
      </c>
      <c r="O5368">
        <v>0</v>
      </c>
      <c r="P5368">
        <v>0</v>
      </c>
      <c r="Q5368">
        <v>0</v>
      </c>
      <c r="R5368">
        <v>0</v>
      </c>
      <c r="W5368" t="s">
        <v>573</v>
      </c>
      <c r="AA5368">
        <v>2007</v>
      </c>
      <c r="AB5368">
        <v>9999</v>
      </c>
      <c r="AC5368" t="s">
        <v>35</v>
      </c>
    </row>
    <row r="5369" spans="1:29" x14ac:dyDescent="0.25">
      <c r="A5369" s="31" t="s">
        <v>574</v>
      </c>
      <c r="B5369" s="23" t="s">
        <v>575</v>
      </c>
      <c r="D5369">
        <v>1</v>
      </c>
      <c r="E5369" t="s">
        <v>222</v>
      </c>
      <c r="F5369">
        <v>1</v>
      </c>
      <c r="G5369">
        <v>2007</v>
      </c>
      <c r="I5369">
        <v>49</v>
      </c>
      <c r="J5369" t="s">
        <v>176</v>
      </c>
      <c r="K5369" t="s">
        <v>47</v>
      </c>
      <c r="O5369">
        <v>0</v>
      </c>
      <c r="P5369">
        <v>0</v>
      </c>
      <c r="Q5369">
        <v>0</v>
      </c>
      <c r="R5369">
        <v>0</v>
      </c>
      <c r="W5369" t="s">
        <v>576</v>
      </c>
      <c r="AA5369">
        <v>2007</v>
      </c>
      <c r="AB5369">
        <v>9999</v>
      </c>
      <c r="AC5369" t="s">
        <v>35</v>
      </c>
    </row>
    <row r="5370" spans="1:29" x14ac:dyDescent="0.25">
      <c r="A5370" s="31" t="s">
        <v>577</v>
      </c>
      <c r="B5370" s="25" t="s">
        <v>578</v>
      </c>
      <c r="D5370">
        <v>1</v>
      </c>
      <c r="E5370" t="s">
        <v>396</v>
      </c>
      <c r="F5370">
        <v>3</v>
      </c>
      <c r="G5370">
        <v>2007</v>
      </c>
      <c r="H5370" t="s">
        <v>579</v>
      </c>
      <c r="I5370">
        <v>7.0000000000000007E-2</v>
      </c>
      <c r="J5370" t="s">
        <v>121</v>
      </c>
      <c r="K5370" t="s">
        <v>41</v>
      </c>
      <c r="O5370">
        <v>0</v>
      </c>
      <c r="P5370">
        <v>0</v>
      </c>
      <c r="Q5370">
        <v>0</v>
      </c>
      <c r="R5370">
        <v>0</v>
      </c>
      <c r="W5370" t="s">
        <v>580</v>
      </c>
      <c r="AA5370">
        <v>2007</v>
      </c>
      <c r="AB5370">
        <v>9999</v>
      </c>
      <c r="AC5370" t="s">
        <v>35</v>
      </c>
    </row>
    <row r="5371" spans="1:29" x14ac:dyDescent="0.25">
      <c r="A5371" s="31" t="s">
        <v>581</v>
      </c>
      <c r="B5371" s="23" t="s">
        <v>582</v>
      </c>
      <c r="D5371">
        <v>1</v>
      </c>
      <c r="E5371" t="s">
        <v>80</v>
      </c>
      <c r="F5371">
        <v>8</v>
      </c>
      <c r="G5371">
        <v>2007</v>
      </c>
      <c r="H5371" t="s">
        <v>583</v>
      </c>
      <c r="I5371">
        <v>2.6</v>
      </c>
      <c r="J5371" t="s">
        <v>81</v>
      </c>
      <c r="K5371" t="s">
        <v>41</v>
      </c>
      <c r="O5371">
        <v>0</v>
      </c>
      <c r="P5371">
        <v>0</v>
      </c>
      <c r="Q5371">
        <v>0</v>
      </c>
      <c r="R5371">
        <v>0</v>
      </c>
      <c r="W5371" t="s">
        <v>584</v>
      </c>
      <c r="AA5371">
        <v>2007</v>
      </c>
      <c r="AB5371">
        <v>9999</v>
      </c>
      <c r="AC5371" t="s">
        <v>35</v>
      </c>
    </row>
    <row r="5372" spans="1:29" x14ac:dyDescent="0.25">
      <c r="A5372" s="31" t="s">
        <v>585</v>
      </c>
      <c r="B5372" s="23" t="s">
        <v>586</v>
      </c>
      <c r="D5372">
        <v>1</v>
      </c>
      <c r="E5372" t="s">
        <v>85</v>
      </c>
      <c r="F5372">
        <v>1</v>
      </c>
      <c r="G5372">
        <v>2007</v>
      </c>
      <c r="I5372">
        <v>9</v>
      </c>
      <c r="J5372" t="s">
        <v>52</v>
      </c>
      <c r="K5372" t="s">
        <v>41</v>
      </c>
      <c r="O5372">
        <v>0</v>
      </c>
      <c r="P5372">
        <v>0</v>
      </c>
      <c r="Q5372">
        <v>0</v>
      </c>
      <c r="R5372">
        <v>0</v>
      </c>
      <c r="W5372" t="s">
        <v>587</v>
      </c>
      <c r="AA5372">
        <v>2007</v>
      </c>
      <c r="AB5372">
        <v>2007</v>
      </c>
      <c r="AC5372" t="s">
        <v>70</v>
      </c>
    </row>
    <row r="5373" spans="1:29" x14ac:dyDescent="0.25">
      <c r="B5373" s="23" t="s">
        <v>588</v>
      </c>
      <c r="D5373">
        <v>1</v>
      </c>
      <c r="E5373" t="s">
        <v>128</v>
      </c>
      <c r="F5373">
        <v>9</v>
      </c>
      <c r="G5373">
        <v>2007</v>
      </c>
      <c r="H5373" t="s">
        <v>542</v>
      </c>
      <c r="I5373">
        <v>1</v>
      </c>
      <c r="J5373" t="s">
        <v>104</v>
      </c>
      <c r="K5373" t="s">
        <v>41</v>
      </c>
      <c r="O5373">
        <v>0</v>
      </c>
      <c r="P5373">
        <v>0</v>
      </c>
      <c r="Q5373">
        <v>0</v>
      </c>
      <c r="R5373">
        <v>0</v>
      </c>
      <c r="W5373" t="s">
        <v>589</v>
      </c>
      <c r="AA5373">
        <v>2007</v>
      </c>
      <c r="AB5373">
        <v>2008</v>
      </c>
      <c r="AC5373" t="s">
        <v>265</v>
      </c>
    </row>
    <row r="5374" spans="1:29" x14ac:dyDescent="0.25">
      <c r="A5374" s="31" t="s">
        <v>590</v>
      </c>
      <c r="B5374" s="23" t="s">
        <v>591</v>
      </c>
      <c r="D5374">
        <v>1</v>
      </c>
      <c r="E5374" t="s">
        <v>592</v>
      </c>
      <c r="F5374">
        <v>8</v>
      </c>
      <c r="G5374">
        <v>2007</v>
      </c>
      <c r="I5374">
        <v>4</v>
      </c>
      <c r="J5374" t="s">
        <v>81</v>
      </c>
      <c r="K5374" t="s">
        <v>41</v>
      </c>
      <c r="O5374">
        <v>0</v>
      </c>
      <c r="P5374">
        <v>0</v>
      </c>
      <c r="Q5374">
        <v>0</v>
      </c>
      <c r="R5374">
        <v>0</v>
      </c>
      <c r="W5374" t="s">
        <v>593</v>
      </c>
      <c r="AA5374">
        <v>2007</v>
      </c>
      <c r="AB5374">
        <v>9999</v>
      </c>
      <c r="AC5374" t="s">
        <v>35</v>
      </c>
    </row>
    <row r="5375" spans="1:29" x14ac:dyDescent="0.25">
      <c r="A5375" s="31" t="s">
        <v>594</v>
      </c>
      <c r="B5375" s="25" t="s">
        <v>595</v>
      </c>
      <c r="D5375">
        <v>1</v>
      </c>
      <c r="E5375" t="s">
        <v>38</v>
      </c>
      <c r="F5375">
        <v>4</v>
      </c>
      <c r="G5375">
        <v>2007</v>
      </c>
      <c r="H5375" t="s">
        <v>596</v>
      </c>
      <c r="I5375">
        <v>0.15</v>
      </c>
      <c r="J5375" t="s">
        <v>59</v>
      </c>
      <c r="K5375" t="s">
        <v>41</v>
      </c>
      <c r="O5375">
        <v>0</v>
      </c>
      <c r="P5375">
        <v>0</v>
      </c>
      <c r="Q5375">
        <v>0</v>
      </c>
      <c r="R5375">
        <v>0</v>
      </c>
      <c r="W5375" t="s">
        <v>597</v>
      </c>
      <c r="AA5375">
        <v>2007</v>
      </c>
      <c r="AB5375">
        <v>9999</v>
      </c>
      <c r="AC5375" t="s">
        <v>35</v>
      </c>
    </row>
    <row r="5376" spans="1:29" x14ac:dyDescent="0.25">
      <c r="B5376" s="23" t="s">
        <v>598</v>
      </c>
      <c r="D5376">
        <v>1</v>
      </c>
      <c r="E5376" t="s">
        <v>38</v>
      </c>
      <c r="F5376">
        <v>4</v>
      </c>
      <c r="G5376">
        <v>2007</v>
      </c>
      <c r="H5376" t="s">
        <v>599</v>
      </c>
      <c r="I5376">
        <v>0.1</v>
      </c>
      <c r="J5376" t="s">
        <v>46</v>
      </c>
      <c r="K5376" t="s">
        <v>41</v>
      </c>
      <c r="O5376">
        <v>0</v>
      </c>
      <c r="P5376">
        <v>0</v>
      </c>
      <c r="Q5376">
        <v>0</v>
      </c>
      <c r="R5376">
        <v>0</v>
      </c>
      <c r="W5376" t="s">
        <v>600</v>
      </c>
      <c r="AA5376">
        <v>2007</v>
      </c>
      <c r="AB5376">
        <v>2008</v>
      </c>
      <c r="AC5376" t="s">
        <v>265</v>
      </c>
    </row>
    <row r="5377" spans="1:29" x14ac:dyDescent="0.25">
      <c r="A5377" s="31" t="s">
        <v>601</v>
      </c>
      <c r="B5377" s="25" t="s">
        <v>602</v>
      </c>
      <c r="D5377">
        <v>1</v>
      </c>
      <c r="E5377" t="s">
        <v>145</v>
      </c>
      <c r="F5377">
        <v>2</v>
      </c>
      <c r="G5377">
        <v>2007</v>
      </c>
      <c r="H5377" t="s">
        <v>603</v>
      </c>
      <c r="I5377">
        <v>2.5000000000000001E-2</v>
      </c>
      <c r="J5377" t="s">
        <v>31</v>
      </c>
      <c r="K5377" t="s">
        <v>41</v>
      </c>
      <c r="O5377">
        <v>0</v>
      </c>
      <c r="P5377">
        <v>0</v>
      </c>
      <c r="Q5377">
        <v>0</v>
      </c>
      <c r="R5377">
        <v>0</v>
      </c>
      <c r="W5377" t="s">
        <v>604</v>
      </c>
      <c r="AA5377">
        <v>2007</v>
      </c>
      <c r="AB5377">
        <v>9999</v>
      </c>
      <c r="AC5377" t="s">
        <v>35</v>
      </c>
    </row>
    <row r="5378" spans="1:29" ht="30" x14ac:dyDescent="0.25">
      <c r="A5378" s="31" t="s">
        <v>605</v>
      </c>
      <c r="B5378" s="23" t="s">
        <v>606</v>
      </c>
      <c r="D5378">
        <v>1</v>
      </c>
      <c r="E5378" t="s">
        <v>38</v>
      </c>
      <c r="F5378">
        <v>4</v>
      </c>
      <c r="G5378">
        <v>2007</v>
      </c>
      <c r="I5378">
        <v>9</v>
      </c>
      <c r="J5378" t="s">
        <v>46</v>
      </c>
      <c r="K5378" t="s">
        <v>47</v>
      </c>
      <c r="O5378">
        <v>0</v>
      </c>
      <c r="P5378">
        <v>0</v>
      </c>
      <c r="Q5378">
        <v>0</v>
      </c>
      <c r="R5378">
        <v>0</v>
      </c>
      <c r="W5378" t="s">
        <v>607</v>
      </c>
      <c r="AA5378">
        <v>2007</v>
      </c>
      <c r="AB5378">
        <v>2008</v>
      </c>
      <c r="AC5378" t="s">
        <v>265</v>
      </c>
    </row>
    <row r="5379" spans="1:29" x14ac:dyDescent="0.25">
      <c r="A5379" s="31" t="s">
        <v>608</v>
      </c>
      <c r="B5379" s="23" t="s">
        <v>609</v>
      </c>
      <c r="D5379">
        <v>1</v>
      </c>
      <c r="E5379" t="s">
        <v>38</v>
      </c>
      <c r="F5379">
        <v>4</v>
      </c>
      <c r="G5379">
        <v>2007</v>
      </c>
      <c r="I5379">
        <v>39</v>
      </c>
      <c r="J5379" t="s">
        <v>46</v>
      </c>
      <c r="K5379" t="s">
        <v>47</v>
      </c>
      <c r="O5379">
        <v>0</v>
      </c>
      <c r="P5379">
        <v>0</v>
      </c>
      <c r="Q5379">
        <v>0</v>
      </c>
      <c r="R5379">
        <v>0</v>
      </c>
      <c r="W5379" t="s">
        <v>610</v>
      </c>
      <c r="AA5379">
        <v>2007</v>
      </c>
      <c r="AB5379">
        <v>2008</v>
      </c>
      <c r="AC5379" t="s">
        <v>265</v>
      </c>
    </row>
    <row r="5380" spans="1:29" x14ac:dyDescent="0.25">
      <c r="A5380" s="31" t="s">
        <v>611</v>
      </c>
      <c r="B5380" s="23" t="s">
        <v>612</v>
      </c>
      <c r="D5380">
        <v>1</v>
      </c>
      <c r="E5380" t="s">
        <v>103</v>
      </c>
      <c r="F5380">
        <v>9</v>
      </c>
      <c r="G5380">
        <v>2007</v>
      </c>
      <c r="I5380">
        <v>21</v>
      </c>
      <c r="J5380" t="s">
        <v>104</v>
      </c>
      <c r="K5380" t="s">
        <v>53</v>
      </c>
      <c r="L5380" t="s">
        <v>105</v>
      </c>
      <c r="O5380">
        <v>0</v>
      </c>
      <c r="P5380">
        <v>1</v>
      </c>
      <c r="Q5380">
        <v>0</v>
      </c>
      <c r="R5380">
        <v>0</v>
      </c>
      <c r="W5380" t="s">
        <v>106</v>
      </c>
      <c r="AA5380">
        <v>2007</v>
      </c>
      <c r="AB5380">
        <v>2013</v>
      </c>
      <c r="AC5380" t="s">
        <v>139</v>
      </c>
    </row>
    <row r="5381" spans="1:29" x14ac:dyDescent="0.25">
      <c r="A5381" s="31" t="s">
        <v>613</v>
      </c>
      <c r="B5381" s="23" t="s">
        <v>254</v>
      </c>
      <c r="C5381" t="s">
        <v>614</v>
      </c>
      <c r="D5381">
        <v>1</v>
      </c>
      <c r="E5381" t="s">
        <v>45</v>
      </c>
      <c r="F5381">
        <v>4</v>
      </c>
      <c r="G5381">
        <v>2007</v>
      </c>
      <c r="I5381">
        <v>395</v>
      </c>
      <c r="J5381" t="s">
        <v>89</v>
      </c>
      <c r="K5381" t="s">
        <v>76</v>
      </c>
      <c r="O5381">
        <v>0</v>
      </c>
      <c r="P5381">
        <v>0</v>
      </c>
      <c r="Q5381">
        <v>0</v>
      </c>
      <c r="R5381">
        <v>0</v>
      </c>
      <c r="W5381" t="s">
        <v>615</v>
      </c>
      <c r="AA5381">
        <v>2007</v>
      </c>
      <c r="AB5381">
        <v>9999</v>
      </c>
      <c r="AC5381" t="s">
        <v>35</v>
      </c>
    </row>
    <row r="5382" spans="1:29" x14ac:dyDescent="0.25">
      <c r="A5382" s="31" t="s">
        <v>616</v>
      </c>
      <c r="B5382" s="23" t="s">
        <v>617</v>
      </c>
      <c r="D5382">
        <v>1</v>
      </c>
      <c r="E5382" t="s">
        <v>45</v>
      </c>
      <c r="F5382">
        <v>4</v>
      </c>
      <c r="G5382">
        <v>2007</v>
      </c>
      <c r="I5382">
        <v>14</v>
      </c>
      <c r="J5382" t="s">
        <v>89</v>
      </c>
      <c r="K5382" t="s">
        <v>53</v>
      </c>
      <c r="L5382" t="s">
        <v>60</v>
      </c>
      <c r="O5382">
        <v>1</v>
      </c>
      <c r="P5382">
        <v>0</v>
      </c>
      <c r="Q5382">
        <v>0</v>
      </c>
      <c r="R5382">
        <v>0</v>
      </c>
      <c r="W5382" t="s">
        <v>618</v>
      </c>
      <c r="AA5382">
        <v>2007</v>
      </c>
      <c r="AB5382">
        <v>2016</v>
      </c>
      <c r="AC5382" t="s">
        <v>528</v>
      </c>
    </row>
    <row r="5383" spans="1:29" x14ac:dyDescent="0.25">
      <c r="A5383" s="31" t="s">
        <v>616</v>
      </c>
      <c r="B5383" s="23" t="s">
        <v>619</v>
      </c>
      <c r="D5383">
        <v>1</v>
      </c>
      <c r="E5383" t="s">
        <v>620</v>
      </c>
      <c r="F5383">
        <v>5</v>
      </c>
      <c r="G5383">
        <v>2007</v>
      </c>
      <c r="I5383">
        <v>17</v>
      </c>
      <c r="J5383" t="s">
        <v>104</v>
      </c>
      <c r="K5383" t="s">
        <v>76</v>
      </c>
      <c r="O5383">
        <v>0</v>
      </c>
      <c r="P5383">
        <v>0</v>
      </c>
      <c r="Q5383">
        <v>0</v>
      </c>
      <c r="R5383">
        <v>0</v>
      </c>
      <c r="W5383" t="s">
        <v>621</v>
      </c>
      <c r="AA5383">
        <v>2007</v>
      </c>
      <c r="AB5383">
        <v>2016</v>
      </c>
      <c r="AC5383" t="s">
        <v>528</v>
      </c>
    </row>
    <row r="5384" spans="1:29" x14ac:dyDescent="0.25">
      <c r="A5384" s="31" t="s">
        <v>622</v>
      </c>
      <c r="B5384" s="23" t="s">
        <v>623</v>
      </c>
      <c r="C5384" t="s">
        <v>624</v>
      </c>
      <c r="D5384">
        <v>1</v>
      </c>
      <c r="E5384" t="s">
        <v>625</v>
      </c>
      <c r="F5384">
        <v>4</v>
      </c>
      <c r="G5384">
        <v>2007</v>
      </c>
      <c r="I5384">
        <v>232</v>
      </c>
      <c r="J5384" t="s">
        <v>89</v>
      </c>
      <c r="K5384" t="s">
        <v>32</v>
      </c>
      <c r="O5384">
        <v>0</v>
      </c>
      <c r="P5384">
        <v>0</v>
      </c>
      <c r="Q5384">
        <v>0</v>
      </c>
      <c r="R5384">
        <v>0</v>
      </c>
      <c r="W5384" t="s">
        <v>626</v>
      </c>
      <c r="AA5384">
        <v>2007</v>
      </c>
      <c r="AB5384">
        <v>9999</v>
      </c>
      <c r="AC5384" t="s">
        <v>35</v>
      </c>
    </row>
    <row r="5385" spans="1:29" x14ac:dyDescent="0.25">
      <c r="A5385" s="31" t="s">
        <v>622</v>
      </c>
      <c r="B5385" s="23" t="s">
        <v>627</v>
      </c>
      <c r="D5385">
        <v>1</v>
      </c>
      <c r="E5385" t="s">
        <v>51</v>
      </c>
      <c r="F5385">
        <v>10</v>
      </c>
      <c r="G5385">
        <v>2007</v>
      </c>
      <c r="I5385">
        <v>189</v>
      </c>
      <c r="J5385" t="s">
        <v>52</v>
      </c>
      <c r="K5385" t="s">
        <v>76</v>
      </c>
      <c r="O5385">
        <v>0</v>
      </c>
      <c r="P5385">
        <v>0</v>
      </c>
      <c r="Q5385">
        <v>0</v>
      </c>
      <c r="R5385">
        <v>0</v>
      </c>
      <c r="W5385" t="s">
        <v>628</v>
      </c>
      <c r="AA5385">
        <v>2007</v>
      </c>
      <c r="AB5385">
        <v>9999</v>
      </c>
      <c r="AC5385" t="s">
        <v>35</v>
      </c>
    </row>
    <row r="5386" spans="1:29" x14ac:dyDescent="0.25">
      <c r="A5386" s="31" t="s">
        <v>629</v>
      </c>
      <c r="B5386" s="23" t="s">
        <v>630</v>
      </c>
      <c r="D5386">
        <v>1</v>
      </c>
      <c r="E5386" t="s">
        <v>631</v>
      </c>
      <c r="F5386">
        <v>8</v>
      </c>
      <c r="G5386">
        <v>2007</v>
      </c>
      <c r="I5386">
        <v>2</v>
      </c>
      <c r="J5386" t="s">
        <v>81</v>
      </c>
      <c r="K5386" t="s">
        <v>41</v>
      </c>
      <c r="O5386">
        <v>0</v>
      </c>
      <c r="P5386">
        <v>0</v>
      </c>
      <c r="Q5386">
        <v>0</v>
      </c>
      <c r="R5386">
        <v>0</v>
      </c>
      <c r="W5386" t="s">
        <v>632</v>
      </c>
      <c r="AA5386">
        <v>2007</v>
      </c>
      <c r="AB5386">
        <v>2014</v>
      </c>
      <c r="AC5386" t="s">
        <v>633</v>
      </c>
    </row>
    <row r="5387" spans="1:29" x14ac:dyDescent="0.25">
      <c r="A5387" s="31" t="s">
        <v>634</v>
      </c>
      <c r="B5387" s="23" t="s">
        <v>635</v>
      </c>
      <c r="D5387">
        <v>1</v>
      </c>
      <c r="E5387" t="s">
        <v>138</v>
      </c>
      <c r="F5387">
        <v>8</v>
      </c>
      <c r="G5387">
        <v>2007</v>
      </c>
      <c r="I5387">
        <v>16</v>
      </c>
      <c r="J5387" t="s">
        <v>81</v>
      </c>
      <c r="K5387" t="s">
        <v>47</v>
      </c>
      <c r="O5387">
        <v>0</v>
      </c>
      <c r="P5387">
        <v>0</v>
      </c>
      <c r="Q5387">
        <v>0</v>
      </c>
      <c r="R5387">
        <v>0</v>
      </c>
      <c r="W5387" t="s">
        <v>636</v>
      </c>
      <c r="AA5387">
        <v>2007</v>
      </c>
      <c r="AB5387">
        <v>2010</v>
      </c>
      <c r="AC5387" t="s">
        <v>91</v>
      </c>
    </row>
    <row r="5388" spans="1:29" x14ac:dyDescent="0.25">
      <c r="A5388" s="31" t="s">
        <v>637</v>
      </c>
      <c r="B5388" s="23" t="s">
        <v>638</v>
      </c>
      <c r="D5388">
        <v>1</v>
      </c>
      <c r="E5388" t="s">
        <v>38</v>
      </c>
      <c r="F5388">
        <v>4</v>
      </c>
      <c r="G5388">
        <v>2007</v>
      </c>
      <c r="H5388" t="s">
        <v>639</v>
      </c>
      <c r="I5388">
        <v>2</v>
      </c>
      <c r="J5388" t="s">
        <v>89</v>
      </c>
      <c r="K5388" t="s">
        <v>41</v>
      </c>
      <c r="O5388">
        <v>0</v>
      </c>
      <c r="P5388">
        <v>0</v>
      </c>
      <c r="Q5388">
        <v>0</v>
      </c>
      <c r="R5388">
        <v>0</v>
      </c>
      <c r="W5388" s="5" t="s">
        <v>640</v>
      </c>
      <c r="AA5388">
        <v>2007</v>
      </c>
      <c r="AB5388">
        <v>2010</v>
      </c>
      <c r="AC5388" t="s">
        <v>91</v>
      </c>
    </row>
    <row r="5389" spans="1:29" x14ac:dyDescent="0.25">
      <c r="A5389" s="31" t="s">
        <v>641</v>
      </c>
      <c r="B5389" s="23" t="s">
        <v>642</v>
      </c>
      <c r="D5389">
        <v>1</v>
      </c>
      <c r="E5389" t="s">
        <v>348</v>
      </c>
      <c r="F5389">
        <v>1</v>
      </c>
      <c r="G5389">
        <v>2007</v>
      </c>
      <c r="I5389">
        <v>3982</v>
      </c>
      <c r="J5389" t="s">
        <v>268</v>
      </c>
      <c r="K5389" t="s">
        <v>53</v>
      </c>
      <c r="L5389" t="s">
        <v>642</v>
      </c>
      <c r="O5389">
        <v>0</v>
      </c>
      <c r="P5389">
        <v>0</v>
      </c>
      <c r="Q5389">
        <v>0</v>
      </c>
      <c r="R5389">
        <v>0</v>
      </c>
      <c r="W5389" t="s">
        <v>643</v>
      </c>
      <c r="AA5389">
        <v>2007</v>
      </c>
      <c r="AB5389">
        <v>9999</v>
      </c>
      <c r="AC5389" t="s">
        <v>35</v>
      </c>
    </row>
    <row r="5390" spans="1:29" x14ac:dyDescent="0.25">
      <c r="A5390" s="31" t="s">
        <v>153</v>
      </c>
      <c r="B5390" s="23" t="s">
        <v>644</v>
      </c>
      <c r="D5390">
        <v>1</v>
      </c>
      <c r="E5390" t="s">
        <v>155</v>
      </c>
      <c r="F5390">
        <v>3</v>
      </c>
      <c r="G5390">
        <v>2007</v>
      </c>
      <c r="I5390">
        <v>102.3477</v>
      </c>
      <c r="J5390" t="s">
        <v>121</v>
      </c>
      <c r="K5390" t="s">
        <v>53</v>
      </c>
      <c r="L5390" t="s">
        <v>60</v>
      </c>
      <c r="O5390">
        <v>1</v>
      </c>
      <c r="P5390">
        <v>0</v>
      </c>
      <c r="Q5390">
        <v>0</v>
      </c>
      <c r="R5390">
        <v>0</v>
      </c>
      <c r="V5390">
        <v>1</v>
      </c>
      <c r="W5390" t="s">
        <v>645</v>
      </c>
      <c r="AA5390">
        <v>2007</v>
      </c>
      <c r="AB5390">
        <v>9999</v>
      </c>
      <c r="AC5390" t="s">
        <v>35</v>
      </c>
    </row>
    <row r="5391" spans="1:29" x14ac:dyDescent="0.25">
      <c r="A5391" s="31" t="s">
        <v>646</v>
      </c>
      <c r="B5391" s="23" t="s">
        <v>647</v>
      </c>
      <c r="D5391">
        <v>1</v>
      </c>
      <c r="E5391" t="s">
        <v>128</v>
      </c>
      <c r="F5391">
        <v>9</v>
      </c>
      <c r="G5391">
        <v>2007</v>
      </c>
      <c r="H5391" t="s">
        <v>260</v>
      </c>
      <c r="I5391">
        <v>2.75</v>
      </c>
      <c r="J5391" t="s">
        <v>104</v>
      </c>
      <c r="K5391" t="s">
        <v>41</v>
      </c>
      <c r="O5391">
        <v>0</v>
      </c>
      <c r="P5391">
        <v>0</v>
      </c>
      <c r="Q5391">
        <v>0</v>
      </c>
      <c r="R5391">
        <v>0</v>
      </c>
      <c r="W5391" t="s">
        <v>648</v>
      </c>
      <c r="AA5391">
        <v>2007</v>
      </c>
      <c r="AB5391">
        <v>2018</v>
      </c>
      <c r="AC5391" t="s">
        <v>649</v>
      </c>
    </row>
    <row r="5392" spans="1:29" x14ac:dyDescent="0.25">
      <c r="A5392" s="31" t="s">
        <v>650</v>
      </c>
      <c r="B5392" s="23" t="s">
        <v>651</v>
      </c>
      <c r="D5392">
        <v>1</v>
      </c>
      <c r="E5392" t="s">
        <v>128</v>
      </c>
      <c r="F5392">
        <v>9</v>
      </c>
      <c r="G5392">
        <v>2007</v>
      </c>
      <c r="H5392" t="s">
        <v>431</v>
      </c>
      <c r="I5392">
        <v>1.5</v>
      </c>
      <c r="J5392" t="s">
        <v>104</v>
      </c>
      <c r="K5392" t="s">
        <v>41</v>
      </c>
      <c r="O5392">
        <v>0</v>
      </c>
      <c r="P5392">
        <v>0</v>
      </c>
      <c r="Q5392">
        <v>0</v>
      </c>
      <c r="R5392">
        <v>0</v>
      </c>
      <c r="W5392" t="s">
        <v>648</v>
      </c>
      <c r="AA5392">
        <v>2007</v>
      </c>
      <c r="AB5392">
        <v>2018</v>
      </c>
      <c r="AC5392" t="s">
        <v>649</v>
      </c>
    </row>
    <row r="5393" spans="1:29" x14ac:dyDescent="0.25">
      <c r="A5393" s="31" t="s">
        <v>652</v>
      </c>
      <c r="B5393" s="23" t="s">
        <v>653</v>
      </c>
      <c r="D5393">
        <v>1</v>
      </c>
      <c r="E5393" t="s">
        <v>128</v>
      </c>
      <c r="F5393">
        <v>9</v>
      </c>
      <c r="G5393">
        <v>2007</v>
      </c>
      <c r="H5393" t="s">
        <v>461</v>
      </c>
      <c r="I5393">
        <v>2.75</v>
      </c>
      <c r="J5393" t="s">
        <v>104</v>
      </c>
      <c r="K5393" t="s">
        <v>41</v>
      </c>
      <c r="O5393">
        <v>0</v>
      </c>
      <c r="P5393">
        <v>0</v>
      </c>
      <c r="Q5393">
        <v>0</v>
      </c>
      <c r="R5393">
        <v>0</v>
      </c>
      <c r="W5393" t="s">
        <v>648</v>
      </c>
      <c r="AA5393">
        <v>2007</v>
      </c>
      <c r="AB5393">
        <v>2018</v>
      </c>
      <c r="AC5393" t="s">
        <v>649</v>
      </c>
    </row>
    <row r="5394" spans="1:29" x14ac:dyDescent="0.25">
      <c r="A5394" s="31" t="s">
        <v>654</v>
      </c>
      <c r="B5394" s="23" t="s">
        <v>655</v>
      </c>
      <c r="D5394">
        <v>1</v>
      </c>
      <c r="E5394" t="s">
        <v>128</v>
      </c>
      <c r="F5394">
        <v>9</v>
      </c>
      <c r="G5394">
        <v>2007</v>
      </c>
      <c r="H5394" t="s">
        <v>365</v>
      </c>
      <c r="I5394">
        <v>5</v>
      </c>
      <c r="J5394" t="s">
        <v>104</v>
      </c>
      <c r="K5394" t="s">
        <v>41</v>
      </c>
      <c r="O5394">
        <v>0</v>
      </c>
      <c r="P5394">
        <v>0</v>
      </c>
      <c r="Q5394">
        <v>0</v>
      </c>
      <c r="R5394">
        <v>0</v>
      </c>
      <c r="W5394" t="s">
        <v>648</v>
      </c>
      <c r="AA5394">
        <v>2007</v>
      </c>
      <c r="AB5394">
        <v>2018</v>
      </c>
      <c r="AC5394" t="s">
        <v>649</v>
      </c>
    </row>
    <row r="5395" spans="1:29" x14ac:dyDescent="0.25">
      <c r="A5395" s="31" t="s">
        <v>656</v>
      </c>
      <c r="B5395" s="23" t="s">
        <v>657</v>
      </c>
      <c r="D5395">
        <v>1</v>
      </c>
      <c r="E5395" t="s">
        <v>128</v>
      </c>
      <c r="F5395">
        <v>9</v>
      </c>
      <c r="G5395">
        <v>2007</v>
      </c>
      <c r="H5395" t="s">
        <v>658</v>
      </c>
      <c r="I5395">
        <v>1.5</v>
      </c>
      <c r="J5395" t="s">
        <v>104</v>
      </c>
      <c r="K5395" t="s">
        <v>41</v>
      </c>
      <c r="O5395">
        <v>0</v>
      </c>
      <c r="P5395">
        <v>0</v>
      </c>
      <c r="Q5395">
        <v>0</v>
      </c>
      <c r="R5395">
        <v>0</v>
      </c>
      <c r="W5395" t="s">
        <v>648</v>
      </c>
      <c r="AA5395">
        <v>2007</v>
      </c>
      <c r="AB5395">
        <v>2018</v>
      </c>
      <c r="AC5395" t="s">
        <v>649</v>
      </c>
    </row>
    <row r="5396" spans="1:29" x14ac:dyDescent="0.25">
      <c r="A5396" s="31" t="s">
        <v>659</v>
      </c>
      <c r="B5396" s="23" t="s">
        <v>660</v>
      </c>
      <c r="D5396">
        <v>1</v>
      </c>
      <c r="E5396" t="s">
        <v>128</v>
      </c>
      <c r="F5396">
        <v>9</v>
      </c>
      <c r="G5396">
        <v>2007</v>
      </c>
      <c r="H5396" t="s">
        <v>661</v>
      </c>
      <c r="I5396">
        <v>2.75</v>
      </c>
      <c r="J5396" t="s">
        <v>104</v>
      </c>
      <c r="K5396" t="s">
        <v>41</v>
      </c>
      <c r="O5396">
        <v>0</v>
      </c>
      <c r="P5396">
        <v>0</v>
      </c>
      <c r="Q5396">
        <v>0</v>
      </c>
      <c r="R5396">
        <v>0</v>
      </c>
      <c r="W5396" t="s">
        <v>648</v>
      </c>
      <c r="AA5396">
        <v>2007</v>
      </c>
      <c r="AB5396">
        <v>2018</v>
      </c>
      <c r="AC5396" t="s">
        <v>649</v>
      </c>
    </row>
    <row r="5397" spans="1:29" x14ac:dyDescent="0.25">
      <c r="B5397" s="23" t="s">
        <v>662</v>
      </c>
      <c r="D5397">
        <v>1</v>
      </c>
      <c r="E5397" t="s">
        <v>396</v>
      </c>
      <c r="F5397">
        <v>3</v>
      </c>
      <c r="G5397">
        <v>2007</v>
      </c>
      <c r="H5397" t="s">
        <v>663</v>
      </c>
      <c r="I5397">
        <v>6</v>
      </c>
      <c r="J5397" t="s">
        <v>121</v>
      </c>
      <c r="K5397" t="s">
        <v>41</v>
      </c>
      <c r="O5397">
        <v>0</v>
      </c>
      <c r="P5397">
        <v>0</v>
      </c>
      <c r="Q5397">
        <v>0</v>
      </c>
      <c r="R5397">
        <v>0</v>
      </c>
      <c r="W5397" t="s">
        <v>664</v>
      </c>
      <c r="AA5397">
        <v>2007</v>
      </c>
      <c r="AB5397">
        <v>2007</v>
      </c>
      <c r="AC5397" t="s">
        <v>70</v>
      </c>
    </row>
    <row r="5398" spans="1:29" x14ac:dyDescent="0.25">
      <c r="A5398" s="31" t="s">
        <v>199</v>
      </c>
      <c r="B5398" s="25" t="s">
        <v>665</v>
      </c>
      <c r="D5398">
        <v>1</v>
      </c>
      <c r="E5398" t="s">
        <v>45</v>
      </c>
      <c r="F5398">
        <v>4</v>
      </c>
      <c r="G5398">
        <v>2007</v>
      </c>
      <c r="H5398" t="s">
        <v>39</v>
      </c>
      <c r="I5398">
        <v>1</v>
      </c>
      <c r="J5398" t="s">
        <v>52</v>
      </c>
      <c r="K5398" t="s">
        <v>41</v>
      </c>
      <c r="O5398">
        <v>0</v>
      </c>
      <c r="P5398">
        <v>0</v>
      </c>
      <c r="Q5398">
        <v>0</v>
      </c>
      <c r="R5398">
        <v>0</v>
      </c>
      <c r="W5398" t="s">
        <v>666</v>
      </c>
      <c r="AA5398">
        <v>2007</v>
      </c>
      <c r="AB5398">
        <v>9999</v>
      </c>
      <c r="AC5398" t="s">
        <v>35</v>
      </c>
    </row>
    <row r="5399" spans="1:29" x14ac:dyDescent="0.25">
      <c r="A5399" s="31" t="s">
        <v>667</v>
      </c>
      <c r="B5399" s="23" t="s">
        <v>668</v>
      </c>
      <c r="D5399">
        <v>1</v>
      </c>
      <c r="E5399" t="s">
        <v>45</v>
      </c>
      <c r="F5399">
        <v>4</v>
      </c>
      <c r="G5399">
        <v>2007</v>
      </c>
      <c r="I5399">
        <v>20</v>
      </c>
      <c r="J5399" t="s">
        <v>121</v>
      </c>
      <c r="K5399" t="s">
        <v>41</v>
      </c>
      <c r="O5399">
        <v>0</v>
      </c>
      <c r="P5399">
        <v>0</v>
      </c>
      <c r="Q5399">
        <v>0</v>
      </c>
      <c r="R5399">
        <v>0</v>
      </c>
      <c r="W5399" t="s">
        <v>669</v>
      </c>
      <c r="AA5399">
        <v>2007</v>
      </c>
      <c r="AB5399">
        <v>9999</v>
      </c>
      <c r="AC5399" t="s">
        <v>35</v>
      </c>
    </row>
    <row r="5400" spans="1:29" x14ac:dyDescent="0.25">
      <c r="A5400" s="31" t="s">
        <v>670</v>
      </c>
      <c r="B5400" s="23" t="s">
        <v>671</v>
      </c>
      <c r="D5400">
        <v>1</v>
      </c>
      <c r="E5400" t="s">
        <v>80</v>
      </c>
      <c r="F5400">
        <v>8</v>
      </c>
      <c r="G5400">
        <v>2007</v>
      </c>
      <c r="I5400">
        <v>435</v>
      </c>
      <c r="J5400" t="s">
        <v>81</v>
      </c>
      <c r="K5400" t="s">
        <v>76</v>
      </c>
      <c r="O5400">
        <v>0</v>
      </c>
      <c r="P5400">
        <v>0</v>
      </c>
      <c r="Q5400">
        <v>0</v>
      </c>
      <c r="R5400">
        <v>0</v>
      </c>
      <c r="W5400" t="s">
        <v>672</v>
      </c>
      <c r="AA5400">
        <v>2007</v>
      </c>
      <c r="AB5400">
        <v>9999</v>
      </c>
      <c r="AC5400" t="s">
        <v>35</v>
      </c>
    </row>
    <row r="5401" spans="1:29" x14ac:dyDescent="0.25">
      <c r="A5401" s="31" t="s">
        <v>673</v>
      </c>
      <c r="B5401" s="23" t="s">
        <v>674</v>
      </c>
      <c r="D5401">
        <v>8</v>
      </c>
      <c r="E5401" t="s">
        <v>358</v>
      </c>
      <c r="F5401">
        <v>1</v>
      </c>
      <c r="G5401">
        <v>2007</v>
      </c>
      <c r="I5401">
        <v>657</v>
      </c>
      <c r="J5401" t="s">
        <v>81</v>
      </c>
      <c r="K5401" t="s">
        <v>76</v>
      </c>
      <c r="O5401">
        <v>0</v>
      </c>
      <c r="P5401">
        <v>0</v>
      </c>
      <c r="Q5401">
        <v>0</v>
      </c>
      <c r="R5401">
        <v>0</v>
      </c>
      <c r="W5401" t="s">
        <v>675</v>
      </c>
      <c r="AA5401">
        <v>2007</v>
      </c>
      <c r="AB5401">
        <v>9999</v>
      </c>
      <c r="AC5401" t="s">
        <v>35</v>
      </c>
    </row>
    <row r="5402" spans="1:29" x14ac:dyDescent="0.25">
      <c r="A5402" s="31" t="s">
        <v>676</v>
      </c>
      <c r="B5402" s="23" t="s">
        <v>677</v>
      </c>
      <c r="C5402" t="s">
        <v>678</v>
      </c>
      <c r="D5402">
        <v>1</v>
      </c>
      <c r="E5402" t="s">
        <v>168</v>
      </c>
      <c r="F5402">
        <v>1</v>
      </c>
      <c r="G5402">
        <v>2007</v>
      </c>
      <c r="I5402">
        <v>136</v>
      </c>
      <c r="J5402" t="s">
        <v>52</v>
      </c>
      <c r="K5402" t="s">
        <v>32</v>
      </c>
      <c r="O5402">
        <v>0</v>
      </c>
      <c r="P5402">
        <v>0</v>
      </c>
      <c r="Q5402">
        <v>0</v>
      </c>
      <c r="R5402">
        <v>0</v>
      </c>
      <c r="W5402" t="s">
        <v>679</v>
      </c>
      <c r="AA5402">
        <v>2007</v>
      </c>
      <c r="AB5402">
        <v>9999</v>
      </c>
      <c r="AC5402" t="s">
        <v>35</v>
      </c>
    </row>
    <row r="5403" spans="1:29" x14ac:dyDescent="0.25">
      <c r="A5403" s="31" t="s">
        <v>472</v>
      </c>
      <c r="B5403" s="23" t="s">
        <v>680</v>
      </c>
      <c r="D5403">
        <v>1</v>
      </c>
      <c r="E5403" t="s">
        <v>681</v>
      </c>
      <c r="F5403">
        <v>3</v>
      </c>
      <c r="G5403">
        <v>2007</v>
      </c>
      <c r="I5403">
        <v>23095</v>
      </c>
      <c r="J5403" t="s">
        <v>121</v>
      </c>
      <c r="K5403" t="s">
        <v>76</v>
      </c>
      <c r="O5403">
        <v>0</v>
      </c>
      <c r="P5403">
        <v>0</v>
      </c>
      <c r="Q5403">
        <v>0</v>
      </c>
      <c r="R5403">
        <v>0</v>
      </c>
      <c r="W5403" t="s">
        <v>475</v>
      </c>
      <c r="AA5403">
        <v>2007</v>
      </c>
      <c r="AB5403">
        <v>9999</v>
      </c>
      <c r="AC5403" t="s">
        <v>35</v>
      </c>
    </row>
    <row r="5404" spans="1:29" x14ac:dyDescent="0.25">
      <c r="A5404" s="31" t="s">
        <v>682</v>
      </c>
      <c r="B5404" s="23" t="s">
        <v>683</v>
      </c>
      <c r="D5404">
        <v>1</v>
      </c>
      <c r="E5404" t="s">
        <v>38</v>
      </c>
      <c r="F5404">
        <v>4</v>
      </c>
      <c r="G5404">
        <v>2007</v>
      </c>
      <c r="I5404">
        <v>17</v>
      </c>
      <c r="J5404" t="s">
        <v>89</v>
      </c>
      <c r="K5404" t="s">
        <v>32</v>
      </c>
      <c r="O5404">
        <v>0</v>
      </c>
      <c r="P5404">
        <v>0</v>
      </c>
      <c r="Q5404">
        <v>0</v>
      </c>
      <c r="R5404">
        <v>0</v>
      </c>
      <c r="W5404" t="s">
        <v>684</v>
      </c>
      <c r="AA5404">
        <v>2007</v>
      </c>
      <c r="AB5404">
        <v>2010</v>
      </c>
      <c r="AC5404" t="s">
        <v>91</v>
      </c>
    </row>
    <row r="5405" spans="1:29" x14ac:dyDescent="0.25">
      <c r="A5405" s="31" t="s">
        <v>685</v>
      </c>
      <c r="B5405" s="23" t="s">
        <v>686</v>
      </c>
      <c r="D5405">
        <v>1</v>
      </c>
      <c r="E5405" t="s">
        <v>80</v>
      </c>
      <c r="F5405">
        <v>8</v>
      </c>
      <c r="G5405">
        <v>2007</v>
      </c>
      <c r="I5405">
        <v>64</v>
      </c>
      <c r="J5405" t="s">
        <v>81</v>
      </c>
      <c r="K5405" t="s">
        <v>76</v>
      </c>
      <c r="O5405">
        <v>0</v>
      </c>
      <c r="P5405">
        <v>0</v>
      </c>
      <c r="Q5405">
        <v>0</v>
      </c>
      <c r="R5405">
        <v>0</v>
      </c>
      <c r="W5405" t="s">
        <v>687</v>
      </c>
      <c r="AA5405">
        <v>2007</v>
      </c>
      <c r="AB5405">
        <v>2017</v>
      </c>
      <c r="AC5405" t="s">
        <v>435</v>
      </c>
    </row>
    <row r="5406" spans="1:29" x14ac:dyDescent="0.25">
      <c r="A5406" s="31" t="s">
        <v>688</v>
      </c>
      <c r="B5406" s="25" t="s">
        <v>689</v>
      </c>
      <c r="D5406">
        <v>1</v>
      </c>
      <c r="E5406" t="s">
        <v>145</v>
      </c>
      <c r="F5406">
        <v>2</v>
      </c>
      <c r="G5406">
        <v>2007</v>
      </c>
      <c r="H5406" t="s">
        <v>146</v>
      </c>
      <c r="I5406">
        <v>2.5000000000000001E-2</v>
      </c>
      <c r="J5406" s="2" t="s">
        <v>147</v>
      </c>
      <c r="K5406" t="s">
        <v>41</v>
      </c>
      <c r="O5406">
        <v>0</v>
      </c>
      <c r="P5406">
        <v>0</v>
      </c>
      <c r="Q5406">
        <v>0</v>
      </c>
      <c r="R5406">
        <v>0</v>
      </c>
      <c r="W5406" t="s">
        <v>690</v>
      </c>
      <c r="AA5406">
        <v>2007</v>
      </c>
      <c r="AB5406">
        <v>9999</v>
      </c>
      <c r="AC5406" t="s">
        <v>35</v>
      </c>
    </row>
    <row r="5407" spans="1:29" x14ac:dyDescent="0.25">
      <c r="A5407" s="31" t="s">
        <v>691</v>
      </c>
      <c r="B5407" s="23" t="s">
        <v>692</v>
      </c>
      <c r="D5407">
        <v>1</v>
      </c>
      <c r="E5407" t="s">
        <v>625</v>
      </c>
      <c r="F5407">
        <v>4</v>
      </c>
      <c r="G5407">
        <v>2007</v>
      </c>
      <c r="I5407">
        <v>16</v>
      </c>
      <c r="J5407" t="s">
        <v>89</v>
      </c>
      <c r="K5407" t="s">
        <v>76</v>
      </c>
      <c r="O5407">
        <v>0</v>
      </c>
      <c r="P5407">
        <v>0</v>
      </c>
      <c r="Q5407">
        <v>0</v>
      </c>
      <c r="R5407">
        <v>0</v>
      </c>
      <c r="W5407" t="s">
        <v>693</v>
      </c>
      <c r="AA5407">
        <v>2007</v>
      </c>
      <c r="AB5407">
        <v>9999</v>
      </c>
      <c r="AC5407" t="s">
        <v>35</v>
      </c>
    </row>
    <row r="5408" spans="1:29" x14ac:dyDescent="0.25">
      <c r="A5408" s="31" t="s">
        <v>694</v>
      </c>
      <c r="B5408" s="25" t="s">
        <v>695</v>
      </c>
      <c r="C5408" t="s">
        <v>696</v>
      </c>
      <c r="D5408">
        <v>1</v>
      </c>
      <c r="E5408" t="s">
        <v>58</v>
      </c>
      <c r="F5408">
        <v>4</v>
      </c>
      <c r="G5408">
        <v>2007</v>
      </c>
      <c r="I5408">
        <v>176</v>
      </c>
      <c r="J5408" t="s">
        <v>59</v>
      </c>
      <c r="K5408" t="s">
        <v>76</v>
      </c>
      <c r="O5408">
        <v>0</v>
      </c>
      <c r="P5408">
        <v>0</v>
      </c>
      <c r="Q5408">
        <v>0</v>
      </c>
      <c r="R5408">
        <v>0</v>
      </c>
      <c r="W5408" t="s">
        <v>697</v>
      </c>
      <c r="AA5408">
        <v>2007</v>
      </c>
      <c r="AB5408">
        <v>9999</v>
      </c>
      <c r="AC5408" t="s">
        <v>35</v>
      </c>
    </row>
    <row r="5409" spans="1:29" x14ac:dyDescent="0.25">
      <c r="A5409" s="31" t="s">
        <v>698</v>
      </c>
      <c r="B5409" s="23" t="s">
        <v>699</v>
      </c>
      <c r="D5409">
        <v>1</v>
      </c>
      <c r="E5409" t="s">
        <v>155</v>
      </c>
      <c r="F5409">
        <v>3</v>
      </c>
      <c r="G5409">
        <v>2007</v>
      </c>
      <c r="H5409" t="s">
        <v>700</v>
      </c>
      <c r="I5409">
        <v>8.64</v>
      </c>
      <c r="J5409" t="s">
        <v>121</v>
      </c>
      <c r="K5409" t="s">
        <v>47</v>
      </c>
      <c r="O5409">
        <v>0</v>
      </c>
      <c r="P5409">
        <v>0</v>
      </c>
      <c r="Q5409">
        <v>0</v>
      </c>
      <c r="R5409">
        <v>0</v>
      </c>
      <c r="V5409">
        <v>1</v>
      </c>
      <c r="W5409" t="s">
        <v>701</v>
      </c>
      <c r="AA5409">
        <v>2007</v>
      </c>
      <c r="AB5409">
        <v>9999</v>
      </c>
      <c r="AC5409" t="s">
        <v>35</v>
      </c>
    </row>
    <row r="5410" spans="1:29" x14ac:dyDescent="0.25">
      <c r="A5410" s="31" t="s">
        <v>702</v>
      </c>
      <c r="B5410" s="25" t="s">
        <v>703</v>
      </c>
      <c r="D5410">
        <v>1</v>
      </c>
      <c r="E5410" t="s">
        <v>155</v>
      </c>
      <c r="F5410">
        <v>3</v>
      </c>
      <c r="G5410">
        <v>2007</v>
      </c>
      <c r="H5410" t="s">
        <v>704</v>
      </c>
      <c r="J5410" t="s">
        <v>121</v>
      </c>
      <c r="K5410" t="s">
        <v>41</v>
      </c>
      <c r="O5410">
        <v>0</v>
      </c>
      <c r="P5410">
        <v>0</v>
      </c>
      <c r="Q5410">
        <v>0</v>
      </c>
      <c r="R5410">
        <v>0</v>
      </c>
      <c r="V5410">
        <v>1</v>
      </c>
      <c r="W5410" t="s">
        <v>705</v>
      </c>
      <c r="AA5410">
        <v>2007</v>
      </c>
      <c r="AB5410">
        <v>9999</v>
      </c>
      <c r="AC5410" t="s">
        <v>35</v>
      </c>
    </row>
    <row r="5411" spans="1:29" x14ac:dyDescent="0.25">
      <c r="A5411" s="31" t="s">
        <v>706</v>
      </c>
      <c r="B5411" s="23" t="s">
        <v>707</v>
      </c>
      <c r="C5411" t="s">
        <v>708</v>
      </c>
      <c r="D5411">
        <v>1</v>
      </c>
      <c r="E5411" t="s">
        <v>155</v>
      </c>
      <c r="F5411">
        <v>3</v>
      </c>
      <c r="G5411">
        <v>2007</v>
      </c>
      <c r="I5411">
        <v>354</v>
      </c>
      <c r="J5411" t="s">
        <v>121</v>
      </c>
      <c r="K5411" t="s">
        <v>76</v>
      </c>
      <c r="O5411">
        <v>0</v>
      </c>
      <c r="P5411">
        <v>0</v>
      </c>
      <c r="Q5411">
        <v>0</v>
      </c>
      <c r="R5411">
        <v>0</v>
      </c>
      <c r="W5411" t="s">
        <v>709</v>
      </c>
      <c r="AA5411">
        <v>2007</v>
      </c>
      <c r="AB5411">
        <v>9999</v>
      </c>
      <c r="AC5411" t="s">
        <v>35</v>
      </c>
    </row>
    <row r="5412" spans="1:29" x14ac:dyDescent="0.25">
      <c r="A5412" s="31" t="s">
        <v>710</v>
      </c>
      <c r="B5412" s="23" t="s">
        <v>711</v>
      </c>
      <c r="D5412">
        <v>1</v>
      </c>
      <c r="E5412" t="s">
        <v>712</v>
      </c>
      <c r="F5412">
        <v>9</v>
      </c>
      <c r="G5412">
        <v>2007</v>
      </c>
      <c r="I5412">
        <v>70</v>
      </c>
      <c r="J5412" t="s">
        <v>104</v>
      </c>
      <c r="K5412" t="s">
        <v>32</v>
      </c>
      <c r="O5412">
        <v>0</v>
      </c>
      <c r="P5412">
        <v>0</v>
      </c>
      <c r="Q5412">
        <v>0</v>
      </c>
      <c r="R5412">
        <v>0</v>
      </c>
      <c r="W5412" t="s">
        <v>713</v>
      </c>
      <c r="AA5412">
        <v>2007</v>
      </c>
      <c r="AB5412">
        <v>9999</v>
      </c>
      <c r="AC5412" t="s">
        <v>35</v>
      </c>
    </row>
    <row r="5413" spans="1:29" x14ac:dyDescent="0.25">
      <c r="A5413" s="31" t="s">
        <v>714</v>
      </c>
      <c r="B5413" s="23" t="s">
        <v>715</v>
      </c>
      <c r="D5413">
        <v>1</v>
      </c>
      <c r="E5413" t="s">
        <v>80</v>
      </c>
      <c r="F5413">
        <v>8</v>
      </c>
      <c r="G5413">
        <v>2007</v>
      </c>
      <c r="I5413">
        <v>32</v>
      </c>
      <c r="J5413" t="s">
        <v>151</v>
      </c>
      <c r="K5413" t="s">
        <v>76</v>
      </c>
      <c r="O5413">
        <v>0</v>
      </c>
      <c r="P5413">
        <v>0</v>
      </c>
      <c r="Q5413">
        <v>0</v>
      </c>
      <c r="R5413">
        <v>0</v>
      </c>
      <c r="W5413" t="s">
        <v>716</v>
      </c>
      <c r="AA5413">
        <v>2007</v>
      </c>
      <c r="AB5413">
        <v>9999</v>
      </c>
      <c r="AC5413" t="s">
        <v>35</v>
      </c>
    </row>
    <row r="5414" spans="1:29" x14ac:dyDescent="0.25">
      <c r="A5414" s="31" t="s">
        <v>717</v>
      </c>
      <c r="B5414" s="25" t="s">
        <v>718</v>
      </c>
      <c r="D5414">
        <v>1</v>
      </c>
      <c r="E5414" t="s">
        <v>51</v>
      </c>
      <c r="F5414">
        <v>1</v>
      </c>
      <c r="G5414">
        <v>2007</v>
      </c>
      <c r="I5414">
        <v>15</v>
      </c>
      <c r="J5414" t="s">
        <v>52</v>
      </c>
      <c r="K5414" t="s">
        <v>53</v>
      </c>
      <c r="L5414" t="s">
        <v>54</v>
      </c>
      <c r="O5414">
        <v>0</v>
      </c>
      <c r="P5414">
        <v>0</v>
      </c>
      <c r="Q5414">
        <v>1</v>
      </c>
      <c r="R5414">
        <v>0</v>
      </c>
      <c r="W5414" t="s">
        <v>55</v>
      </c>
      <c r="AA5414">
        <v>2007</v>
      </c>
      <c r="AB5414">
        <v>9999</v>
      </c>
      <c r="AC5414" t="s">
        <v>35</v>
      </c>
    </row>
    <row r="5415" spans="1:29" x14ac:dyDescent="0.25">
      <c r="A5415" s="31" t="s">
        <v>719</v>
      </c>
      <c r="B5415" s="25" t="s">
        <v>720</v>
      </c>
      <c r="D5415">
        <v>1</v>
      </c>
      <c r="E5415" t="s">
        <v>51</v>
      </c>
      <c r="F5415">
        <v>1</v>
      </c>
      <c r="G5415">
        <v>2007</v>
      </c>
      <c r="I5415">
        <v>25</v>
      </c>
      <c r="J5415" t="s">
        <v>52</v>
      </c>
      <c r="K5415" t="s">
        <v>53</v>
      </c>
      <c r="L5415" t="s">
        <v>54</v>
      </c>
      <c r="O5415">
        <v>0</v>
      </c>
      <c r="P5415">
        <v>0</v>
      </c>
      <c r="Q5415">
        <v>1</v>
      </c>
      <c r="R5415">
        <v>0</v>
      </c>
      <c r="W5415" t="s">
        <v>721</v>
      </c>
      <c r="AA5415">
        <v>2007</v>
      </c>
      <c r="AB5415">
        <v>9999</v>
      </c>
      <c r="AC5415" t="s">
        <v>35</v>
      </c>
    </row>
    <row r="5416" spans="1:29" x14ac:dyDescent="0.25">
      <c r="A5416" s="31" t="s">
        <v>722</v>
      </c>
      <c r="B5416" s="23" t="s">
        <v>723</v>
      </c>
      <c r="D5416">
        <v>1</v>
      </c>
      <c r="E5416" t="s">
        <v>724</v>
      </c>
      <c r="F5416">
        <v>4</v>
      </c>
      <c r="G5416">
        <v>2007</v>
      </c>
      <c r="I5416">
        <v>1248</v>
      </c>
      <c r="J5416" t="s">
        <v>89</v>
      </c>
      <c r="K5416" t="s">
        <v>32</v>
      </c>
      <c r="L5416" t="s">
        <v>33</v>
      </c>
      <c r="O5416">
        <v>0</v>
      </c>
      <c r="P5416">
        <v>0</v>
      </c>
      <c r="Q5416">
        <v>0</v>
      </c>
      <c r="R5416">
        <v>1</v>
      </c>
      <c r="W5416" t="s">
        <v>725</v>
      </c>
      <c r="AA5416">
        <v>2007</v>
      </c>
      <c r="AB5416">
        <v>9999</v>
      </c>
      <c r="AC5416" t="s">
        <v>35</v>
      </c>
    </row>
    <row r="5417" spans="1:29" x14ac:dyDescent="0.25">
      <c r="A5417" s="31" t="s">
        <v>726</v>
      </c>
      <c r="B5417" s="25" t="s">
        <v>727</v>
      </c>
      <c r="D5417">
        <v>1</v>
      </c>
      <c r="E5417" t="s">
        <v>85</v>
      </c>
      <c r="F5417">
        <v>1</v>
      </c>
      <c r="G5417">
        <v>2007</v>
      </c>
      <c r="H5417" t="s">
        <v>205</v>
      </c>
      <c r="I5417">
        <v>10</v>
      </c>
      <c r="J5417" t="s">
        <v>52</v>
      </c>
      <c r="K5417" t="s">
        <v>41</v>
      </c>
      <c r="O5417">
        <v>0</v>
      </c>
      <c r="P5417">
        <v>0</v>
      </c>
      <c r="Q5417">
        <v>0</v>
      </c>
      <c r="R5417">
        <v>0</v>
      </c>
      <c r="W5417" t="s">
        <v>728</v>
      </c>
      <c r="AA5417">
        <v>2007</v>
      </c>
      <c r="AB5417">
        <v>9999</v>
      </c>
      <c r="AC5417" t="s">
        <v>35</v>
      </c>
    </row>
    <row r="5418" spans="1:29" x14ac:dyDescent="0.25">
      <c r="A5418" s="31" t="s">
        <v>729</v>
      </c>
      <c r="B5418" s="23" t="s">
        <v>205</v>
      </c>
      <c r="D5418">
        <v>1</v>
      </c>
      <c r="E5418" t="s">
        <v>168</v>
      </c>
      <c r="F5418">
        <v>1</v>
      </c>
      <c r="G5418">
        <v>2007</v>
      </c>
      <c r="I5418">
        <v>10240</v>
      </c>
      <c r="J5418" t="s">
        <v>52</v>
      </c>
      <c r="K5418" t="s">
        <v>76</v>
      </c>
      <c r="O5418">
        <v>0</v>
      </c>
      <c r="P5418">
        <v>0</v>
      </c>
      <c r="Q5418">
        <v>0</v>
      </c>
      <c r="R5418">
        <v>0</v>
      </c>
      <c r="W5418" t="s">
        <v>730</v>
      </c>
      <c r="AA5418">
        <v>2007</v>
      </c>
      <c r="AB5418">
        <v>9999</v>
      </c>
      <c r="AC5418" t="s">
        <v>35</v>
      </c>
    </row>
    <row r="5419" spans="1:29" x14ac:dyDescent="0.25">
      <c r="A5419" s="31" t="s">
        <v>731</v>
      </c>
      <c r="B5419" s="25" t="s">
        <v>732</v>
      </c>
      <c r="D5419">
        <v>1</v>
      </c>
      <c r="E5419" t="s">
        <v>51</v>
      </c>
      <c r="F5419">
        <v>10</v>
      </c>
      <c r="G5419">
        <v>2007</v>
      </c>
      <c r="H5419" t="s">
        <v>39</v>
      </c>
      <c r="I5419">
        <v>1.1000000000000001</v>
      </c>
      <c r="J5419" t="s">
        <v>52</v>
      </c>
      <c r="K5419" t="s">
        <v>41</v>
      </c>
      <c r="O5419">
        <v>0</v>
      </c>
      <c r="P5419">
        <v>0</v>
      </c>
      <c r="Q5419">
        <v>0</v>
      </c>
      <c r="R5419">
        <v>0</v>
      </c>
      <c r="W5419" t="s">
        <v>733</v>
      </c>
      <c r="AA5419">
        <v>2007</v>
      </c>
      <c r="AB5419">
        <v>9999</v>
      </c>
      <c r="AC5419" t="s">
        <v>35</v>
      </c>
    </row>
    <row r="5420" spans="1:29" x14ac:dyDescent="0.25">
      <c r="A5420" s="31" t="s">
        <v>734</v>
      </c>
      <c r="B5420" s="23" t="s">
        <v>735</v>
      </c>
      <c r="D5420">
        <v>1</v>
      </c>
      <c r="E5420" t="s">
        <v>736</v>
      </c>
      <c r="F5420">
        <v>4</v>
      </c>
      <c r="G5420">
        <v>2007</v>
      </c>
      <c r="I5420">
        <v>2083</v>
      </c>
      <c r="J5420" t="s">
        <v>151</v>
      </c>
      <c r="K5420" t="s">
        <v>76</v>
      </c>
      <c r="O5420">
        <v>0</v>
      </c>
      <c r="P5420">
        <v>0</v>
      </c>
      <c r="Q5420">
        <v>0</v>
      </c>
      <c r="R5420">
        <v>0</v>
      </c>
      <c r="W5420" t="s">
        <v>737</v>
      </c>
      <c r="AA5420">
        <v>2007</v>
      </c>
      <c r="AB5420">
        <v>9999</v>
      </c>
      <c r="AC5420" t="s">
        <v>35</v>
      </c>
    </row>
    <row r="5421" spans="1:29" x14ac:dyDescent="0.25">
      <c r="A5421" s="31" t="s">
        <v>738</v>
      </c>
      <c r="B5421" s="25" t="s">
        <v>739</v>
      </c>
      <c r="D5421">
        <v>1</v>
      </c>
      <c r="E5421" t="s">
        <v>128</v>
      </c>
      <c r="F5421">
        <v>9</v>
      </c>
      <c r="G5421">
        <v>2007</v>
      </c>
      <c r="H5421" t="s">
        <v>740</v>
      </c>
      <c r="I5421">
        <v>4.5</v>
      </c>
      <c r="J5421" t="s">
        <v>104</v>
      </c>
      <c r="K5421" t="s">
        <v>41</v>
      </c>
      <c r="O5421">
        <v>0</v>
      </c>
      <c r="P5421">
        <v>0</v>
      </c>
      <c r="Q5421">
        <v>0</v>
      </c>
      <c r="R5421">
        <v>0</v>
      </c>
      <c r="W5421" t="s">
        <v>741</v>
      </c>
      <c r="AA5421">
        <v>2007</v>
      </c>
      <c r="AB5421">
        <v>9999</v>
      </c>
      <c r="AC5421" t="s">
        <v>35</v>
      </c>
    </row>
    <row r="5422" spans="1:29" x14ac:dyDescent="0.25">
      <c r="A5422" s="31" t="s">
        <v>742</v>
      </c>
      <c r="B5422" s="23" t="s">
        <v>743</v>
      </c>
      <c r="D5422">
        <v>1</v>
      </c>
      <c r="E5422" t="s">
        <v>468</v>
      </c>
      <c r="F5422">
        <v>7</v>
      </c>
      <c r="G5422">
        <v>2007</v>
      </c>
      <c r="I5422">
        <v>299</v>
      </c>
      <c r="J5422" t="s">
        <v>40</v>
      </c>
      <c r="K5422" t="s">
        <v>76</v>
      </c>
      <c r="O5422">
        <v>0</v>
      </c>
      <c r="P5422">
        <v>0</v>
      </c>
      <c r="Q5422">
        <v>0</v>
      </c>
      <c r="R5422">
        <v>0</v>
      </c>
      <c r="W5422" t="s">
        <v>744</v>
      </c>
      <c r="AA5422">
        <v>2007</v>
      </c>
      <c r="AB5422">
        <v>2013</v>
      </c>
      <c r="AC5422" t="s">
        <v>139</v>
      </c>
    </row>
    <row r="5423" spans="1:29" x14ac:dyDescent="0.25">
      <c r="A5423" s="31" t="s">
        <v>745</v>
      </c>
      <c r="B5423" s="23" t="s">
        <v>746</v>
      </c>
      <c r="D5423">
        <v>1</v>
      </c>
      <c r="E5423" t="s">
        <v>468</v>
      </c>
      <c r="F5423">
        <v>7</v>
      </c>
      <c r="G5423">
        <v>2007</v>
      </c>
      <c r="I5423">
        <v>552</v>
      </c>
      <c r="J5423" t="s">
        <v>40</v>
      </c>
      <c r="K5423" t="s">
        <v>76</v>
      </c>
      <c r="O5423">
        <v>0</v>
      </c>
      <c r="P5423">
        <v>0</v>
      </c>
      <c r="Q5423">
        <v>0</v>
      </c>
      <c r="R5423">
        <v>0</v>
      </c>
      <c r="W5423" t="s">
        <v>747</v>
      </c>
      <c r="AA5423">
        <v>2007</v>
      </c>
      <c r="AB5423">
        <v>9999</v>
      </c>
      <c r="AC5423" t="s">
        <v>35</v>
      </c>
    </row>
    <row r="5424" spans="1:29" x14ac:dyDescent="0.25">
      <c r="A5424" s="31" t="s">
        <v>748</v>
      </c>
      <c r="B5424" s="23" t="s">
        <v>749</v>
      </c>
      <c r="D5424">
        <v>1</v>
      </c>
      <c r="E5424" t="s">
        <v>128</v>
      </c>
      <c r="F5424">
        <v>9</v>
      </c>
      <c r="G5424">
        <v>2007</v>
      </c>
      <c r="I5424">
        <v>495</v>
      </c>
      <c r="J5424" t="s">
        <v>104</v>
      </c>
      <c r="K5424" t="s">
        <v>76</v>
      </c>
      <c r="O5424">
        <v>0</v>
      </c>
      <c r="P5424">
        <v>0</v>
      </c>
      <c r="Q5424">
        <v>0</v>
      </c>
      <c r="R5424">
        <v>0</v>
      </c>
      <c r="W5424" t="s">
        <v>750</v>
      </c>
      <c r="AA5424">
        <v>2007</v>
      </c>
      <c r="AB5424">
        <v>2008</v>
      </c>
      <c r="AC5424" t="s">
        <v>265</v>
      </c>
    </row>
    <row r="5425" spans="1:29" x14ac:dyDescent="0.25">
      <c r="A5425" s="31" t="s">
        <v>751</v>
      </c>
      <c r="B5425" s="23" t="s">
        <v>752</v>
      </c>
      <c r="D5425">
        <v>1</v>
      </c>
      <c r="E5425" t="s">
        <v>128</v>
      </c>
      <c r="F5425">
        <v>9</v>
      </c>
      <c r="G5425">
        <v>2007</v>
      </c>
      <c r="I5425">
        <v>559</v>
      </c>
      <c r="J5425" t="s">
        <v>104</v>
      </c>
      <c r="K5425" t="s">
        <v>76</v>
      </c>
      <c r="O5425">
        <v>0</v>
      </c>
      <c r="P5425">
        <v>0</v>
      </c>
      <c r="Q5425">
        <v>0</v>
      </c>
      <c r="R5425">
        <v>0</v>
      </c>
      <c r="W5425" t="s">
        <v>753</v>
      </c>
      <c r="AA5425">
        <v>2007</v>
      </c>
      <c r="AB5425">
        <v>2008</v>
      </c>
      <c r="AC5425" t="s">
        <v>265</v>
      </c>
    </row>
    <row r="5426" spans="1:29" x14ac:dyDescent="0.25">
      <c r="A5426" s="31" t="s">
        <v>754</v>
      </c>
      <c r="B5426" s="25" t="s">
        <v>755</v>
      </c>
      <c r="D5426">
        <v>1</v>
      </c>
      <c r="E5426" t="s">
        <v>85</v>
      </c>
      <c r="F5426">
        <v>1</v>
      </c>
      <c r="G5426">
        <v>2007</v>
      </c>
      <c r="H5426" t="s">
        <v>756</v>
      </c>
      <c r="I5426">
        <v>1</v>
      </c>
      <c r="J5426" t="s">
        <v>52</v>
      </c>
      <c r="K5426" t="s">
        <v>41</v>
      </c>
      <c r="O5426">
        <v>0</v>
      </c>
      <c r="P5426">
        <v>0</v>
      </c>
      <c r="Q5426">
        <v>0</v>
      </c>
      <c r="R5426">
        <v>0</v>
      </c>
      <c r="W5426" t="s">
        <v>757</v>
      </c>
      <c r="AA5426">
        <v>2007</v>
      </c>
      <c r="AB5426">
        <v>9999</v>
      </c>
      <c r="AC5426" t="s">
        <v>35</v>
      </c>
    </row>
    <row r="5427" spans="1:29" x14ac:dyDescent="0.25">
      <c r="A5427" s="31" t="s">
        <v>758</v>
      </c>
      <c r="B5427" s="23" t="s">
        <v>759</v>
      </c>
      <c r="D5427">
        <v>1</v>
      </c>
      <c r="E5427" t="s">
        <v>760</v>
      </c>
      <c r="F5427">
        <v>7</v>
      </c>
      <c r="G5427">
        <v>2007</v>
      </c>
      <c r="I5427">
        <v>31</v>
      </c>
      <c r="J5427" t="s">
        <v>40</v>
      </c>
      <c r="K5427" t="s">
        <v>32</v>
      </c>
      <c r="O5427">
        <v>0</v>
      </c>
      <c r="P5427">
        <v>0</v>
      </c>
      <c r="Q5427">
        <v>0</v>
      </c>
      <c r="R5427">
        <v>0</v>
      </c>
      <c r="W5427" t="s">
        <v>761</v>
      </c>
      <c r="AA5427">
        <v>2007</v>
      </c>
      <c r="AB5427">
        <v>9999</v>
      </c>
      <c r="AC5427" t="s">
        <v>35</v>
      </c>
    </row>
    <row r="5428" spans="1:29" x14ac:dyDescent="0.25">
      <c r="A5428" s="31" t="s">
        <v>762</v>
      </c>
      <c r="B5428" s="23" t="s">
        <v>763</v>
      </c>
      <c r="D5428">
        <v>1</v>
      </c>
      <c r="E5428" t="s">
        <v>138</v>
      </c>
      <c r="F5428">
        <v>8</v>
      </c>
      <c r="G5428">
        <v>2007</v>
      </c>
      <c r="I5428">
        <v>11</v>
      </c>
      <c r="J5428" t="s">
        <v>81</v>
      </c>
      <c r="K5428" t="s">
        <v>76</v>
      </c>
      <c r="O5428">
        <v>0</v>
      </c>
      <c r="P5428">
        <v>0</v>
      </c>
      <c r="Q5428">
        <v>0</v>
      </c>
      <c r="R5428">
        <v>0</v>
      </c>
      <c r="W5428" t="s">
        <v>764</v>
      </c>
      <c r="AA5428">
        <v>2007</v>
      </c>
      <c r="AB5428">
        <v>2010</v>
      </c>
      <c r="AC5428" t="s">
        <v>91</v>
      </c>
    </row>
    <row r="5429" spans="1:29" x14ac:dyDescent="0.25">
      <c r="A5429" s="31" t="s">
        <v>765</v>
      </c>
      <c r="B5429" s="23" t="s">
        <v>766</v>
      </c>
      <c r="D5429">
        <v>1</v>
      </c>
      <c r="E5429" t="s">
        <v>115</v>
      </c>
      <c r="F5429">
        <v>6</v>
      </c>
      <c r="G5429">
        <v>2007</v>
      </c>
      <c r="I5429">
        <v>11</v>
      </c>
      <c r="J5429" t="s">
        <v>52</v>
      </c>
      <c r="K5429" t="s">
        <v>47</v>
      </c>
      <c r="O5429">
        <v>0</v>
      </c>
      <c r="P5429">
        <v>0</v>
      </c>
      <c r="Q5429">
        <v>0</v>
      </c>
      <c r="R5429">
        <v>0</v>
      </c>
      <c r="W5429" t="s">
        <v>767</v>
      </c>
      <c r="AA5429">
        <v>2007</v>
      </c>
      <c r="AB5429">
        <v>2012</v>
      </c>
      <c r="AC5429" t="s">
        <v>302</v>
      </c>
    </row>
    <row r="5430" spans="1:29" x14ac:dyDescent="0.25">
      <c r="A5430" s="31" t="s">
        <v>768</v>
      </c>
      <c r="B5430" s="23" t="s">
        <v>769</v>
      </c>
      <c r="C5430" t="s">
        <v>770</v>
      </c>
      <c r="D5430">
        <v>1</v>
      </c>
      <c r="E5430" t="s">
        <v>30</v>
      </c>
      <c r="F5430">
        <v>4</v>
      </c>
      <c r="G5430">
        <v>2007</v>
      </c>
      <c r="I5430">
        <v>272</v>
      </c>
      <c r="J5430" t="s">
        <v>89</v>
      </c>
      <c r="K5430" t="s">
        <v>47</v>
      </c>
      <c r="O5430">
        <v>0</v>
      </c>
      <c r="P5430">
        <v>0</v>
      </c>
      <c r="Q5430">
        <v>0</v>
      </c>
      <c r="R5430">
        <v>0</v>
      </c>
      <c r="W5430" t="s">
        <v>771</v>
      </c>
      <c r="AA5430">
        <v>2007</v>
      </c>
      <c r="AB5430">
        <v>9999</v>
      </c>
      <c r="AC5430" t="s">
        <v>35</v>
      </c>
    </row>
    <row r="5431" spans="1:29" x14ac:dyDescent="0.25">
      <c r="A5431" s="31" t="s">
        <v>772</v>
      </c>
      <c r="B5431" s="23" t="s">
        <v>773</v>
      </c>
      <c r="C5431" t="s">
        <v>774</v>
      </c>
      <c r="D5431">
        <v>1</v>
      </c>
      <c r="E5431" t="s">
        <v>358</v>
      </c>
      <c r="F5431">
        <v>1</v>
      </c>
      <c r="G5431">
        <v>2007</v>
      </c>
      <c r="I5431">
        <v>375</v>
      </c>
      <c r="J5431" t="s">
        <v>52</v>
      </c>
      <c r="K5431" t="s">
        <v>76</v>
      </c>
      <c r="O5431">
        <v>0</v>
      </c>
      <c r="P5431">
        <v>0</v>
      </c>
      <c r="Q5431">
        <v>0</v>
      </c>
      <c r="R5431">
        <v>0</v>
      </c>
      <c r="W5431" t="s">
        <v>775</v>
      </c>
      <c r="AA5431">
        <v>2007</v>
      </c>
      <c r="AB5431">
        <v>9999</v>
      </c>
      <c r="AC5431" t="s">
        <v>35</v>
      </c>
    </row>
    <row r="5432" spans="1:29" x14ac:dyDescent="0.25">
      <c r="A5432" s="31" t="s">
        <v>776</v>
      </c>
      <c r="B5432" s="23" t="s">
        <v>777</v>
      </c>
      <c r="D5432">
        <v>1</v>
      </c>
      <c r="E5432" t="s">
        <v>468</v>
      </c>
      <c r="F5432">
        <v>7</v>
      </c>
      <c r="G5432">
        <v>2007</v>
      </c>
      <c r="I5432">
        <v>170</v>
      </c>
      <c r="J5432" t="s">
        <v>40</v>
      </c>
      <c r="K5432" t="s">
        <v>47</v>
      </c>
      <c r="O5432">
        <v>0</v>
      </c>
      <c r="P5432">
        <v>0</v>
      </c>
      <c r="Q5432">
        <v>0</v>
      </c>
      <c r="R5432">
        <v>0</v>
      </c>
      <c r="W5432" t="s">
        <v>778</v>
      </c>
      <c r="AA5432">
        <v>2007</v>
      </c>
      <c r="AB5432">
        <v>2013</v>
      </c>
      <c r="AC5432" t="s">
        <v>139</v>
      </c>
    </row>
    <row r="5433" spans="1:29" x14ac:dyDescent="0.25">
      <c r="A5433" s="31" t="s">
        <v>779</v>
      </c>
      <c r="B5433" s="23" t="s">
        <v>780</v>
      </c>
      <c r="D5433">
        <v>1</v>
      </c>
      <c r="E5433" t="s">
        <v>80</v>
      </c>
      <c r="F5433">
        <v>8</v>
      </c>
      <c r="G5433">
        <v>2007</v>
      </c>
      <c r="I5433">
        <v>80</v>
      </c>
      <c r="J5433" t="s">
        <v>81</v>
      </c>
      <c r="K5433" t="s">
        <v>76</v>
      </c>
      <c r="O5433">
        <v>0</v>
      </c>
      <c r="P5433">
        <v>0</v>
      </c>
      <c r="Q5433">
        <v>0</v>
      </c>
      <c r="R5433">
        <v>0</v>
      </c>
      <c r="W5433" t="s">
        <v>781</v>
      </c>
      <c r="AA5433">
        <v>2007</v>
      </c>
      <c r="AB5433">
        <v>9999</v>
      </c>
      <c r="AC5433" t="s">
        <v>35</v>
      </c>
    </row>
    <row r="5434" spans="1:29" x14ac:dyDescent="0.25">
      <c r="A5434" s="31" t="s">
        <v>782</v>
      </c>
      <c r="B5434" s="23" t="s">
        <v>783</v>
      </c>
      <c r="D5434">
        <v>1</v>
      </c>
      <c r="E5434" t="s">
        <v>784</v>
      </c>
      <c r="F5434">
        <v>6</v>
      </c>
      <c r="G5434">
        <v>2007</v>
      </c>
      <c r="I5434">
        <v>76</v>
      </c>
      <c r="J5434" t="s">
        <v>31</v>
      </c>
      <c r="K5434" t="s">
        <v>76</v>
      </c>
      <c r="O5434">
        <v>0</v>
      </c>
      <c r="P5434">
        <v>0</v>
      </c>
      <c r="Q5434">
        <v>0</v>
      </c>
      <c r="R5434">
        <v>0</v>
      </c>
      <c r="W5434" t="s">
        <v>785</v>
      </c>
      <c r="AA5434">
        <v>2007</v>
      </c>
      <c r="AB5434">
        <v>9999</v>
      </c>
      <c r="AC5434" t="s">
        <v>35</v>
      </c>
    </row>
    <row r="5435" spans="1:29" x14ac:dyDescent="0.25">
      <c r="A5435" s="31" t="s">
        <v>786</v>
      </c>
      <c r="B5435" s="23" t="s">
        <v>787</v>
      </c>
      <c r="C5435" t="s">
        <v>788</v>
      </c>
      <c r="D5435">
        <v>1</v>
      </c>
      <c r="E5435" t="s">
        <v>120</v>
      </c>
      <c r="F5435">
        <v>3</v>
      </c>
      <c r="G5435">
        <v>2007</v>
      </c>
      <c r="I5435">
        <v>19</v>
      </c>
      <c r="J5435" t="s">
        <v>147</v>
      </c>
      <c r="K5435" t="s">
        <v>47</v>
      </c>
      <c r="O5435">
        <v>0</v>
      </c>
      <c r="P5435">
        <v>0</v>
      </c>
      <c r="Q5435">
        <v>0</v>
      </c>
      <c r="R5435">
        <v>0</v>
      </c>
      <c r="W5435" t="s">
        <v>789</v>
      </c>
      <c r="AA5435">
        <v>2007</v>
      </c>
      <c r="AB5435">
        <v>9999</v>
      </c>
      <c r="AC5435" t="s">
        <v>35</v>
      </c>
    </row>
    <row r="5436" spans="1:29" x14ac:dyDescent="0.25">
      <c r="A5436" s="31" t="s">
        <v>790</v>
      </c>
      <c r="B5436" s="23" t="s">
        <v>791</v>
      </c>
      <c r="D5436">
        <v>1</v>
      </c>
      <c r="E5436" t="s">
        <v>80</v>
      </c>
      <c r="F5436">
        <v>8</v>
      </c>
      <c r="G5436">
        <v>2007</v>
      </c>
      <c r="I5436">
        <v>99</v>
      </c>
      <c r="J5436" t="s">
        <v>81</v>
      </c>
      <c r="K5436" t="s">
        <v>76</v>
      </c>
      <c r="O5436">
        <v>0</v>
      </c>
      <c r="P5436">
        <v>0</v>
      </c>
      <c r="Q5436">
        <v>0</v>
      </c>
      <c r="R5436">
        <v>0</v>
      </c>
      <c r="W5436" t="s">
        <v>792</v>
      </c>
      <c r="AA5436">
        <v>2007</v>
      </c>
      <c r="AB5436">
        <v>9999</v>
      </c>
      <c r="AC5436" t="s">
        <v>35</v>
      </c>
    </row>
    <row r="5437" spans="1:29" x14ac:dyDescent="0.25">
      <c r="A5437" s="31" t="s">
        <v>793</v>
      </c>
      <c r="B5437" s="23" t="s">
        <v>794</v>
      </c>
      <c r="D5437">
        <v>1</v>
      </c>
      <c r="E5437" t="s">
        <v>38</v>
      </c>
      <c r="F5437">
        <v>4</v>
      </c>
      <c r="G5437">
        <v>2007</v>
      </c>
      <c r="I5437">
        <v>33</v>
      </c>
      <c r="J5437" t="s">
        <v>89</v>
      </c>
      <c r="K5437" t="s">
        <v>47</v>
      </c>
      <c r="O5437">
        <v>0</v>
      </c>
      <c r="P5437">
        <v>0</v>
      </c>
      <c r="Q5437">
        <v>0</v>
      </c>
      <c r="R5437">
        <v>0</v>
      </c>
      <c r="W5437" t="s">
        <v>795</v>
      </c>
      <c r="AA5437">
        <v>2007</v>
      </c>
      <c r="AB5437">
        <v>2010</v>
      </c>
      <c r="AC5437" t="s">
        <v>91</v>
      </c>
    </row>
    <row r="5438" spans="1:29" x14ac:dyDescent="0.25">
      <c r="A5438" s="31" t="s">
        <v>796</v>
      </c>
      <c r="B5438" s="23" t="s">
        <v>797</v>
      </c>
      <c r="C5438" t="s">
        <v>798</v>
      </c>
      <c r="D5438">
        <v>1</v>
      </c>
      <c r="E5438" t="s">
        <v>534</v>
      </c>
      <c r="F5438">
        <v>10</v>
      </c>
      <c r="G5438">
        <v>2007</v>
      </c>
      <c r="I5438">
        <v>2917</v>
      </c>
      <c r="J5438" t="s">
        <v>40</v>
      </c>
      <c r="K5438" t="s">
        <v>76</v>
      </c>
      <c r="O5438">
        <v>0</v>
      </c>
      <c r="P5438">
        <v>0</v>
      </c>
      <c r="Q5438">
        <v>0</v>
      </c>
      <c r="R5438">
        <v>0</v>
      </c>
      <c r="W5438" t="s">
        <v>799</v>
      </c>
      <c r="AA5438">
        <v>2007</v>
      </c>
      <c r="AB5438">
        <v>9999</v>
      </c>
      <c r="AC5438" t="s">
        <v>35</v>
      </c>
    </row>
    <row r="5439" spans="1:29" x14ac:dyDescent="0.25">
      <c r="A5439" s="31" t="s">
        <v>800</v>
      </c>
      <c r="B5439" s="23" t="s">
        <v>801</v>
      </c>
      <c r="C5439" t="s">
        <v>802</v>
      </c>
      <c r="D5439">
        <v>1</v>
      </c>
      <c r="E5439" t="s">
        <v>442</v>
      </c>
      <c r="F5439">
        <v>4</v>
      </c>
      <c r="G5439">
        <v>2007</v>
      </c>
      <c r="I5439">
        <v>1413</v>
      </c>
      <c r="J5439" t="s">
        <v>151</v>
      </c>
      <c r="K5439" t="s">
        <v>76</v>
      </c>
      <c r="O5439">
        <v>0</v>
      </c>
      <c r="P5439">
        <v>0</v>
      </c>
      <c r="Q5439">
        <v>0</v>
      </c>
      <c r="R5439">
        <v>0</v>
      </c>
      <c r="W5439" t="s">
        <v>803</v>
      </c>
      <c r="AA5439">
        <v>2007</v>
      </c>
      <c r="AB5439">
        <v>9999</v>
      </c>
      <c r="AC5439" t="s">
        <v>35</v>
      </c>
    </row>
    <row r="5440" spans="1:29" x14ac:dyDescent="0.25">
      <c r="A5440" s="31" t="s">
        <v>804</v>
      </c>
      <c r="B5440" s="23" t="s">
        <v>805</v>
      </c>
      <c r="D5440">
        <v>1</v>
      </c>
      <c r="E5440" t="s">
        <v>806</v>
      </c>
      <c r="F5440">
        <v>4</v>
      </c>
      <c r="G5440">
        <v>2007</v>
      </c>
      <c r="I5440">
        <v>6</v>
      </c>
      <c r="J5440" t="s">
        <v>89</v>
      </c>
      <c r="K5440" t="s">
        <v>32</v>
      </c>
      <c r="O5440">
        <v>0</v>
      </c>
      <c r="P5440">
        <v>0</v>
      </c>
      <c r="Q5440">
        <v>0</v>
      </c>
      <c r="R5440">
        <v>0</v>
      </c>
      <c r="W5440" t="s">
        <v>807</v>
      </c>
      <c r="AA5440">
        <v>2007</v>
      </c>
      <c r="AB5440">
        <v>2012</v>
      </c>
      <c r="AC5440" t="s">
        <v>302</v>
      </c>
    </row>
    <row r="5441" spans="1:29" x14ac:dyDescent="0.25">
      <c r="A5441" s="31" t="s">
        <v>808</v>
      </c>
      <c r="B5441" s="23" t="s">
        <v>809</v>
      </c>
      <c r="D5441">
        <v>1</v>
      </c>
      <c r="E5441" t="s">
        <v>80</v>
      </c>
      <c r="F5441">
        <v>8</v>
      </c>
      <c r="G5441">
        <v>2007</v>
      </c>
      <c r="I5441">
        <v>13</v>
      </c>
      <c r="J5441" t="s">
        <v>81</v>
      </c>
      <c r="K5441" t="s">
        <v>76</v>
      </c>
      <c r="O5441">
        <v>0</v>
      </c>
      <c r="P5441">
        <v>0</v>
      </c>
      <c r="Q5441">
        <v>0</v>
      </c>
      <c r="R5441">
        <v>0</v>
      </c>
      <c r="W5441" t="s">
        <v>810</v>
      </c>
      <c r="AA5441">
        <v>2007</v>
      </c>
      <c r="AB5441">
        <v>9999</v>
      </c>
      <c r="AC5441" t="s">
        <v>35</v>
      </c>
    </row>
    <row r="5442" spans="1:29" x14ac:dyDescent="0.25">
      <c r="A5442" s="31" t="s">
        <v>472</v>
      </c>
      <c r="B5442" s="23" t="s">
        <v>811</v>
      </c>
      <c r="D5442">
        <v>1</v>
      </c>
      <c r="E5442" t="s">
        <v>681</v>
      </c>
      <c r="F5442">
        <v>3</v>
      </c>
      <c r="G5442">
        <v>2007</v>
      </c>
      <c r="I5442" t="s">
        <v>812</v>
      </c>
      <c r="J5442" t="s">
        <v>121</v>
      </c>
      <c r="K5442" t="s">
        <v>53</v>
      </c>
      <c r="L5442" t="s">
        <v>53</v>
      </c>
      <c r="O5442">
        <v>0</v>
      </c>
      <c r="P5442">
        <v>0</v>
      </c>
      <c r="Q5442">
        <v>0</v>
      </c>
      <c r="R5442">
        <v>0</v>
      </c>
      <c r="W5442" t="s">
        <v>813</v>
      </c>
      <c r="AA5442">
        <v>2007</v>
      </c>
      <c r="AB5442">
        <v>9999</v>
      </c>
      <c r="AC5442" t="s">
        <v>35</v>
      </c>
    </row>
    <row r="5443" spans="1:29" x14ac:dyDescent="0.25">
      <c r="A5443" s="31" t="s">
        <v>814</v>
      </c>
      <c r="B5443" s="23" t="s">
        <v>815</v>
      </c>
      <c r="D5443">
        <v>1</v>
      </c>
      <c r="E5443" t="s">
        <v>80</v>
      </c>
      <c r="F5443">
        <v>8</v>
      </c>
      <c r="G5443">
        <v>2007</v>
      </c>
      <c r="I5443">
        <v>76</v>
      </c>
      <c r="J5443" t="s">
        <v>81</v>
      </c>
      <c r="K5443" t="s">
        <v>76</v>
      </c>
      <c r="O5443">
        <v>0</v>
      </c>
      <c r="P5443">
        <v>0</v>
      </c>
      <c r="Q5443">
        <v>0</v>
      </c>
      <c r="R5443">
        <v>0</v>
      </c>
      <c r="W5443" t="s">
        <v>816</v>
      </c>
      <c r="AA5443">
        <v>2007</v>
      </c>
      <c r="AB5443">
        <v>9999</v>
      </c>
      <c r="AC5443" t="s">
        <v>35</v>
      </c>
    </row>
    <row r="5444" spans="1:29" x14ac:dyDescent="0.25">
      <c r="A5444" s="31" t="s">
        <v>817</v>
      </c>
      <c r="B5444" s="23" t="s">
        <v>818</v>
      </c>
      <c r="D5444">
        <v>1</v>
      </c>
      <c r="E5444" t="s">
        <v>38</v>
      </c>
      <c r="F5444">
        <v>4</v>
      </c>
      <c r="G5444">
        <v>2007</v>
      </c>
      <c r="I5444">
        <v>119</v>
      </c>
      <c r="J5444" t="s">
        <v>31</v>
      </c>
      <c r="K5444" t="s">
        <v>76</v>
      </c>
      <c r="O5444">
        <v>0</v>
      </c>
      <c r="P5444">
        <v>0</v>
      </c>
      <c r="Q5444">
        <v>0</v>
      </c>
      <c r="R5444">
        <v>0</v>
      </c>
      <c r="W5444" t="s">
        <v>819</v>
      </c>
      <c r="AA5444">
        <v>2007</v>
      </c>
      <c r="AB5444">
        <v>2008</v>
      </c>
      <c r="AC5444" t="s">
        <v>265</v>
      </c>
    </row>
    <row r="5445" spans="1:29" x14ac:dyDescent="0.25">
      <c r="B5445" s="23" t="s">
        <v>820</v>
      </c>
      <c r="D5445">
        <v>1</v>
      </c>
      <c r="E5445" t="s">
        <v>138</v>
      </c>
      <c r="F5445">
        <v>8</v>
      </c>
      <c r="G5445">
        <v>2007</v>
      </c>
      <c r="I5445">
        <v>85</v>
      </c>
      <c r="J5445" t="s">
        <v>104</v>
      </c>
      <c r="K5445" t="s">
        <v>76</v>
      </c>
      <c r="O5445">
        <v>0</v>
      </c>
      <c r="P5445">
        <v>0</v>
      </c>
      <c r="Q5445">
        <v>0</v>
      </c>
      <c r="R5445">
        <v>0</v>
      </c>
      <c r="W5445" t="s">
        <v>821</v>
      </c>
      <c r="AA5445">
        <v>2007</v>
      </c>
      <c r="AB5445">
        <v>2008</v>
      </c>
      <c r="AC5445" t="s">
        <v>265</v>
      </c>
    </row>
    <row r="5446" spans="1:29" x14ac:dyDescent="0.25">
      <c r="A5446" s="31" t="s">
        <v>822</v>
      </c>
      <c r="B5446" s="23" t="s">
        <v>823</v>
      </c>
      <c r="D5446">
        <v>1</v>
      </c>
      <c r="E5446" t="s">
        <v>80</v>
      </c>
      <c r="F5446">
        <v>8</v>
      </c>
      <c r="G5446">
        <v>2007</v>
      </c>
      <c r="I5446">
        <v>179</v>
      </c>
      <c r="J5446" t="s">
        <v>81</v>
      </c>
      <c r="K5446" t="s">
        <v>76</v>
      </c>
      <c r="O5446">
        <v>0</v>
      </c>
      <c r="P5446">
        <v>0</v>
      </c>
      <c r="Q5446">
        <v>0</v>
      </c>
      <c r="R5446">
        <v>0</v>
      </c>
      <c r="W5446" t="s">
        <v>824</v>
      </c>
      <c r="AA5446">
        <v>2007</v>
      </c>
      <c r="AB5446">
        <v>9999</v>
      </c>
      <c r="AC5446" t="s">
        <v>35</v>
      </c>
    </row>
    <row r="5447" spans="1:29" x14ac:dyDescent="0.25">
      <c r="A5447" s="31" t="s">
        <v>825</v>
      </c>
      <c r="B5447" s="23" t="s">
        <v>826</v>
      </c>
      <c r="D5447">
        <v>1</v>
      </c>
      <c r="E5447" t="s">
        <v>80</v>
      </c>
      <c r="F5447">
        <v>8</v>
      </c>
      <c r="G5447">
        <v>2007</v>
      </c>
      <c r="I5447">
        <v>154</v>
      </c>
      <c r="J5447" t="s">
        <v>81</v>
      </c>
      <c r="K5447" t="s">
        <v>76</v>
      </c>
      <c r="O5447">
        <v>0</v>
      </c>
      <c r="P5447">
        <v>0</v>
      </c>
      <c r="Q5447">
        <v>0</v>
      </c>
      <c r="R5447">
        <v>0</v>
      </c>
      <c r="W5447" t="s">
        <v>827</v>
      </c>
      <c r="AA5447">
        <v>2007</v>
      </c>
      <c r="AB5447">
        <v>9999</v>
      </c>
      <c r="AC5447" t="s">
        <v>35</v>
      </c>
    </row>
    <row r="5448" spans="1:29" x14ac:dyDescent="0.25">
      <c r="A5448" s="31" t="s">
        <v>828</v>
      </c>
      <c r="B5448" s="23" t="s">
        <v>829</v>
      </c>
      <c r="D5448">
        <v>1</v>
      </c>
      <c r="E5448" t="s">
        <v>138</v>
      </c>
      <c r="F5448">
        <v>8</v>
      </c>
      <c r="G5448">
        <v>2007</v>
      </c>
      <c r="I5448">
        <v>69</v>
      </c>
      <c r="J5448" t="s">
        <v>81</v>
      </c>
      <c r="K5448" t="s">
        <v>76</v>
      </c>
      <c r="O5448">
        <v>0</v>
      </c>
      <c r="P5448">
        <v>0</v>
      </c>
      <c r="Q5448">
        <v>0</v>
      </c>
      <c r="R5448">
        <v>0</v>
      </c>
      <c r="W5448" t="s">
        <v>830</v>
      </c>
      <c r="AA5448">
        <v>2007</v>
      </c>
      <c r="AB5448">
        <v>9999</v>
      </c>
      <c r="AC5448" t="s">
        <v>35</v>
      </c>
    </row>
    <row r="5449" spans="1:29" x14ac:dyDescent="0.25">
      <c r="A5449" s="31" t="s">
        <v>831</v>
      </c>
      <c r="B5449" s="25" t="s">
        <v>832</v>
      </c>
      <c r="C5449" t="s">
        <v>833</v>
      </c>
      <c r="D5449">
        <v>1</v>
      </c>
      <c r="E5449" t="s">
        <v>38</v>
      </c>
      <c r="F5449">
        <v>4</v>
      </c>
      <c r="G5449">
        <v>2007</v>
      </c>
      <c r="H5449" t="s">
        <v>834</v>
      </c>
      <c r="I5449">
        <v>0.1</v>
      </c>
      <c r="J5449" t="s">
        <v>59</v>
      </c>
      <c r="K5449" t="s">
        <v>41</v>
      </c>
      <c r="O5449">
        <v>0</v>
      </c>
      <c r="P5449">
        <v>0</v>
      </c>
      <c r="Q5449">
        <v>0</v>
      </c>
      <c r="R5449">
        <v>0</v>
      </c>
      <c r="W5449" t="s">
        <v>835</v>
      </c>
      <c r="AA5449">
        <v>2007</v>
      </c>
      <c r="AB5449">
        <v>9999</v>
      </c>
      <c r="AC5449" t="s">
        <v>35</v>
      </c>
    </row>
    <row r="5450" spans="1:29" x14ac:dyDescent="0.25">
      <c r="A5450" s="31" t="s">
        <v>836</v>
      </c>
      <c r="B5450" s="23" t="s">
        <v>837</v>
      </c>
      <c r="D5450">
        <v>1</v>
      </c>
      <c r="E5450" t="s">
        <v>64</v>
      </c>
      <c r="F5450">
        <v>1</v>
      </c>
      <c r="G5450">
        <v>2007</v>
      </c>
      <c r="I5450">
        <v>442</v>
      </c>
      <c r="J5450" t="s">
        <v>52</v>
      </c>
      <c r="K5450" t="s">
        <v>32</v>
      </c>
      <c r="O5450">
        <v>0</v>
      </c>
      <c r="P5450">
        <v>0</v>
      </c>
      <c r="Q5450">
        <v>0</v>
      </c>
      <c r="R5450">
        <v>0</v>
      </c>
      <c r="W5450" t="s">
        <v>838</v>
      </c>
      <c r="AA5450">
        <v>2007</v>
      </c>
      <c r="AB5450">
        <v>9999</v>
      </c>
      <c r="AC5450" t="s">
        <v>35</v>
      </c>
    </row>
    <row r="5451" spans="1:29" x14ac:dyDescent="0.25">
      <c r="A5451" s="31" t="s">
        <v>839</v>
      </c>
      <c r="B5451" s="23" t="s">
        <v>840</v>
      </c>
      <c r="D5451">
        <v>1</v>
      </c>
      <c r="E5451" t="s">
        <v>85</v>
      </c>
      <c r="F5451">
        <v>1</v>
      </c>
      <c r="G5451">
        <v>2007</v>
      </c>
      <c r="H5451" t="s">
        <v>205</v>
      </c>
      <c r="I5451">
        <v>1.5</v>
      </c>
      <c r="J5451" t="s">
        <v>52</v>
      </c>
      <c r="K5451" t="s">
        <v>41</v>
      </c>
      <c r="O5451">
        <v>0</v>
      </c>
      <c r="P5451">
        <v>0</v>
      </c>
      <c r="Q5451">
        <v>0</v>
      </c>
      <c r="R5451">
        <v>0</v>
      </c>
      <c r="W5451" t="s">
        <v>841</v>
      </c>
      <c r="AA5451">
        <v>2007</v>
      </c>
      <c r="AB5451">
        <v>2008</v>
      </c>
      <c r="AC5451" t="s">
        <v>265</v>
      </c>
    </row>
    <row r="5452" spans="1:29" x14ac:dyDescent="0.25">
      <c r="A5452" s="31" t="s">
        <v>842</v>
      </c>
      <c r="B5452" s="23" t="s">
        <v>843</v>
      </c>
      <c r="D5452">
        <v>1</v>
      </c>
      <c r="E5452" t="s">
        <v>145</v>
      </c>
      <c r="F5452">
        <v>2</v>
      </c>
      <c r="G5452">
        <v>2007</v>
      </c>
      <c r="I5452">
        <v>894</v>
      </c>
      <c r="J5452" t="s">
        <v>147</v>
      </c>
      <c r="K5452" t="s">
        <v>76</v>
      </c>
      <c r="O5452">
        <v>0</v>
      </c>
      <c r="P5452">
        <v>0</v>
      </c>
      <c r="Q5452">
        <v>0</v>
      </c>
      <c r="R5452">
        <v>0</v>
      </c>
      <c r="W5452" t="s">
        <v>844</v>
      </c>
      <c r="AA5452">
        <v>2007</v>
      </c>
      <c r="AB5452">
        <v>2008</v>
      </c>
      <c r="AC5452" t="s">
        <v>265</v>
      </c>
    </row>
    <row r="5453" spans="1:29" x14ac:dyDescent="0.25">
      <c r="A5453" s="31" t="s">
        <v>845</v>
      </c>
      <c r="B5453" s="23" t="s">
        <v>846</v>
      </c>
      <c r="C5453" t="s">
        <v>847</v>
      </c>
      <c r="D5453">
        <v>1</v>
      </c>
      <c r="E5453" t="s">
        <v>300</v>
      </c>
      <c r="F5453">
        <v>9</v>
      </c>
      <c r="G5453">
        <v>2007</v>
      </c>
      <c r="I5453">
        <v>366</v>
      </c>
      <c r="J5453" t="s">
        <v>104</v>
      </c>
      <c r="K5453" t="s">
        <v>76</v>
      </c>
      <c r="O5453">
        <v>0</v>
      </c>
      <c r="P5453">
        <v>0</v>
      </c>
      <c r="Q5453">
        <v>0</v>
      </c>
      <c r="R5453">
        <v>0</v>
      </c>
      <c r="W5453" t="s">
        <v>848</v>
      </c>
      <c r="AA5453">
        <v>2007</v>
      </c>
      <c r="AB5453">
        <v>9999</v>
      </c>
      <c r="AC5453" t="s">
        <v>35</v>
      </c>
    </row>
    <row r="5454" spans="1:29" x14ac:dyDescent="0.25">
      <c r="A5454" s="31" t="s">
        <v>849</v>
      </c>
      <c r="B5454" s="23" t="s">
        <v>850</v>
      </c>
      <c r="D5454">
        <v>1</v>
      </c>
      <c r="E5454" t="s">
        <v>38</v>
      </c>
      <c r="F5454">
        <v>4</v>
      </c>
      <c r="G5454">
        <v>2007</v>
      </c>
      <c r="I5454">
        <v>112</v>
      </c>
      <c r="J5454" t="s">
        <v>31</v>
      </c>
      <c r="K5454" t="s">
        <v>76</v>
      </c>
      <c r="O5454">
        <v>0</v>
      </c>
      <c r="P5454">
        <v>0</v>
      </c>
      <c r="Q5454">
        <v>0</v>
      </c>
      <c r="R5454">
        <v>0</v>
      </c>
      <c r="W5454" t="s">
        <v>851</v>
      </c>
      <c r="AA5454">
        <v>2007</v>
      </c>
      <c r="AB5454">
        <v>2008</v>
      </c>
      <c r="AC5454" t="s">
        <v>265</v>
      </c>
    </row>
    <row r="5455" spans="1:29" x14ac:dyDescent="0.25">
      <c r="A5455" s="31" t="s">
        <v>852</v>
      </c>
      <c r="B5455" s="25" t="s">
        <v>853</v>
      </c>
      <c r="D5455">
        <v>1</v>
      </c>
      <c r="E5455" t="s">
        <v>85</v>
      </c>
      <c r="F5455">
        <v>1</v>
      </c>
      <c r="G5455">
        <v>2007</v>
      </c>
      <c r="H5455" t="s">
        <v>837</v>
      </c>
      <c r="I5455">
        <v>1</v>
      </c>
      <c r="J5455" t="s">
        <v>52</v>
      </c>
      <c r="K5455" t="s">
        <v>41</v>
      </c>
      <c r="O5455">
        <v>0</v>
      </c>
      <c r="P5455">
        <v>0</v>
      </c>
      <c r="Q5455">
        <v>0</v>
      </c>
      <c r="R5455">
        <v>0</v>
      </c>
      <c r="W5455" t="s">
        <v>838</v>
      </c>
      <c r="AA5455">
        <v>2007</v>
      </c>
      <c r="AB5455">
        <v>9999</v>
      </c>
      <c r="AC5455" t="s">
        <v>35</v>
      </c>
    </row>
    <row r="5456" spans="1:29" x14ac:dyDescent="0.25">
      <c r="A5456" s="31" t="s">
        <v>854</v>
      </c>
      <c r="B5456" s="23" t="s">
        <v>855</v>
      </c>
      <c r="D5456">
        <v>1</v>
      </c>
      <c r="E5456" t="s">
        <v>85</v>
      </c>
      <c r="F5456">
        <v>1</v>
      </c>
      <c r="G5456">
        <v>2007</v>
      </c>
      <c r="H5456" t="s">
        <v>63</v>
      </c>
      <c r="I5456">
        <v>1</v>
      </c>
      <c r="J5456" t="s">
        <v>52</v>
      </c>
      <c r="K5456" t="s">
        <v>41</v>
      </c>
      <c r="O5456">
        <v>0</v>
      </c>
      <c r="P5456">
        <v>0</v>
      </c>
      <c r="Q5456">
        <v>0</v>
      </c>
      <c r="R5456">
        <v>0</v>
      </c>
      <c r="W5456" t="s">
        <v>856</v>
      </c>
      <c r="AA5456">
        <v>2007</v>
      </c>
      <c r="AB5456">
        <v>2009</v>
      </c>
      <c r="AC5456" t="s">
        <v>236</v>
      </c>
    </row>
    <row r="5457" spans="1:29" x14ac:dyDescent="0.25">
      <c r="A5457" s="31" t="s">
        <v>857</v>
      </c>
      <c r="B5457" s="25" t="s">
        <v>858</v>
      </c>
      <c r="D5457">
        <v>1</v>
      </c>
      <c r="E5457" t="s">
        <v>859</v>
      </c>
      <c r="F5457">
        <v>5</v>
      </c>
      <c r="G5457">
        <v>2007</v>
      </c>
      <c r="I5457">
        <v>7</v>
      </c>
      <c r="J5457" t="s">
        <v>31</v>
      </c>
      <c r="K5457" t="s">
        <v>41</v>
      </c>
      <c r="O5457">
        <v>0</v>
      </c>
      <c r="P5457">
        <v>0</v>
      </c>
      <c r="Q5457">
        <v>0</v>
      </c>
      <c r="R5457">
        <v>0</v>
      </c>
      <c r="W5457" t="s">
        <v>860</v>
      </c>
      <c r="AA5457">
        <v>2007</v>
      </c>
      <c r="AB5457">
        <v>2015</v>
      </c>
      <c r="AC5457" t="s">
        <v>861</v>
      </c>
    </row>
    <row r="5458" spans="1:29" x14ac:dyDescent="0.25">
      <c r="A5458" s="31" t="s">
        <v>862</v>
      </c>
      <c r="B5458" s="23" t="s">
        <v>863</v>
      </c>
      <c r="C5458" t="s">
        <v>864</v>
      </c>
      <c r="D5458">
        <v>1</v>
      </c>
      <c r="E5458" t="s">
        <v>442</v>
      </c>
      <c r="F5458">
        <v>4</v>
      </c>
      <c r="G5458">
        <v>2007</v>
      </c>
      <c r="I5458">
        <v>377</v>
      </c>
      <c r="J5458" t="s">
        <v>151</v>
      </c>
      <c r="K5458" t="s">
        <v>76</v>
      </c>
      <c r="O5458">
        <v>0</v>
      </c>
      <c r="P5458">
        <v>0</v>
      </c>
      <c r="Q5458">
        <v>0</v>
      </c>
      <c r="R5458">
        <v>0</v>
      </c>
      <c r="W5458" t="s">
        <v>865</v>
      </c>
      <c r="AA5458">
        <v>2007</v>
      </c>
      <c r="AB5458">
        <v>9999</v>
      </c>
      <c r="AC5458" t="s">
        <v>35</v>
      </c>
    </row>
    <row r="5459" spans="1:29" x14ac:dyDescent="0.25">
      <c r="A5459" s="31" t="s">
        <v>866</v>
      </c>
      <c r="B5459" s="23" t="s">
        <v>867</v>
      </c>
      <c r="C5459" t="s">
        <v>868</v>
      </c>
      <c r="D5459">
        <v>1</v>
      </c>
      <c r="E5459" t="s">
        <v>869</v>
      </c>
      <c r="F5459">
        <v>4</v>
      </c>
      <c r="G5459">
        <v>2007</v>
      </c>
      <c r="I5459">
        <v>166</v>
      </c>
      <c r="J5459" t="s">
        <v>89</v>
      </c>
      <c r="K5459" t="s">
        <v>76</v>
      </c>
      <c r="O5459">
        <v>0</v>
      </c>
      <c r="P5459">
        <v>0</v>
      </c>
      <c r="Q5459">
        <v>0</v>
      </c>
      <c r="R5459">
        <v>0</v>
      </c>
      <c r="W5459" t="s">
        <v>870</v>
      </c>
      <c r="AA5459">
        <v>2007</v>
      </c>
      <c r="AB5459">
        <v>9999</v>
      </c>
      <c r="AC5459" t="s">
        <v>35</v>
      </c>
    </row>
    <row r="5460" spans="1:29" x14ac:dyDescent="0.25">
      <c r="A5460" s="31" t="s">
        <v>871</v>
      </c>
      <c r="B5460" s="23" t="s">
        <v>872</v>
      </c>
      <c r="C5460" t="s">
        <v>873</v>
      </c>
      <c r="D5460">
        <v>1</v>
      </c>
      <c r="E5460" t="s">
        <v>874</v>
      </c>
      <c r="F5460">
        <v>1</v>
      </c>
      <c r="G5460">
        <v>2007</v>
      </c>
      <c r="I5460">
        <v>1224</v>
      </c>
      <c r="J5460" t="s">
        <v>52</v>
      </c>
      <c r="K5460" t="s">
        <v>47</v>
      </c>
      <c r="O5460">
        <v>0</v>
      </c>
      <c r="P5460">
        <v>0</v>
      </c>
      <c r="Q5460">
        <v>0</v>
      </c>
      <c r="R5460">
        <v>0</v>
      </c>
      <c r="W5460" t="s">
        <v>875</v>
      </c>
      <c r="AA5460">
        <v>2007</v>
      </c>
      <c r="AB5460">
        <v>9999</v>
      </c>
      <c r="AC5460" t="s">
        <v>35</v>
      </c>
    </row>
    <row r="5461" spans="1:29" x14ac:dyDescent="0.25">
      <c r="A5461" s="31" t="s">
        <v>876</v>
      </c>
      <c r="B5461" s="23" t="s">
        <v>877</v>
      </c>
      <c r="C5461" t="s">
        <v>878</v>
      </c>
      <c r="D5461">
        <v>1</v>
      </c>
      <c r="E5461" t="s">
        <v>168</v>
      </c>
      <c r="F5461">
        <v>1</v>
      </c>
      <c r="G5461">
        <v>2007</v>
      </c>
      <c r="I5461">
        <v>52</v>
      </c>
      <c r="J5461" t="s">
        <v>52</v>
      </c>
      <c r="K5461" t="s">
        <v>47</v>
      </c>
      <c r="O5461">
        <v>0</v>
      </c>
      <c r="P5461">
        <v>0</v>
      </c>
      <c r="Q5461">
        <v>0</v>
      </c>
      <c r="R5461">
        <v>0</v>
      </c>
      <c r="W5461" t="s">
        <v>879</v>
      </c>
      <c r="AA5461">
        <v>2007</v>
      </c>
      <c r="AB5461">
        <v>9999</v>
      </c>
      <c r="AC5461" t="s">
        <v>35</v>
      </c>
    </row>
    <row r="5462" spans="1:29" x14ac:dyDescent="0.25">
      <c r="A5462" s="31" t="s">
        <v>880</v>
      </c>
      <c r="B5462" s="23" t="s">
        <v>881</v>
      </c>
      <c r="C5462" t="s">
        <v>882</v>
      </c>
      <c r="D5462">
        <v>1</v>
      </c>
      <c r="E5462" t="s">
        <v>103</v>
      </c>
      <c r="F5462">
        <v>9</v>
      </c>
      <c r="G5462">
        <v>2007</v>
      </c>
      <c r="I5462">
        <v>3554</v>
      </c>
      <c r="J5462" t="s">
        <v>104</v>
      </c>
      <c r="K5462" t="s">
        <v>53</v>
      </c>
      <c r="L5462" t="s">
        <v>105</v>
      </c>
      <c r="O5462">
        <v>0</v>
      </c>
      <c r="P5462">
        <v>1</v>
      </c>
      <c r="Q5462">
        <v>0</v>
      </c>
      <c r="R5462">
        <v>0</v>
      </c>
      <c r="W5462" t="s">
        <v>106</v>
      </c>
      <c r="AA5462">
        <v>2007</v>
      </c>
      <c r="AB5462">
        <v>9999</v>
      </c>
      <c r="AC5462" t="s">
        <v>35</v>
      </c>
    </row>
    <row r="5463" spans="1:29" x14ac:dyDescent="0.25">
      <c r="A5463" s="31" t="s">
        <v>883</v>
      </c>
      <c r="B5463" s="23" t="s">
        <v>884</v>
      </c>
      <c r="C5463" t="s">
        <v>885</v>
      </c>
      <c r="D5463">
        <v>1</v>
      </c>
      <c r="E5463" t="s">
        <v>45</v>
      </c>
      <c r="F5463">
        <v>4</v>
      </c>
      <c r="G5463">
        <v>2007</v>
      </c>
      <c r="I5463">
        <v>101</v>
      </c>
      <c r="J5463" t="s">
        <v>176</v>
      </c>
      <c r="K5463" t="s">
        <v>76</v>
      </c>
      <c r="O5463">
        <v>0</v>
      </c>
      <c r="P5463">
        <v>0</v>
      </c>
      <c r="Q5463">
        <v>0</v>
      </c>
      <c r="R5463">
        <v>0</v>
      </c>
      <c r="W5463" t="s">
        <v>886</v>
      </c>
      <c r="AA5463">
        <v>2007</v>
      </c>
      <c r="AB5463">
        <v>9999</v>
      </c>
      <c r="AC5463" t="s">
        <v>35</v>
      </c>
    </row>
    <row r="5464" spans="1:29" x14ac:dyDescent="0.25">
      <c r="A5464" s="31" t="s">
        <v>887</v>
      </c>
      <c r="B5464" s="23" t="s">
        <v>888</v>
      </c>
      <c r="C5464" t="s">
        <v>889</v>
      </c>
      <c r="D5464">
        <v>1</v>
      </c>
      <c r="E5464" t="s">
        <v>335</v>
      </c>
      <c r="F5464">
        <v>1</v>
      </c>
      <c r="G5464">
        <v>2007</v>
      </c>
      <c r="I5464">
        <v>656</v>
      </c>
      <c r="J5464" t="s">
        <v>176</v>
      </c>
      <c r="K5464" t="s">
        <v>76</v>
      </c>
      <c r="O5464">
        <v>0</v>
      </c>
      <c r="P5464">
        <v>0</v>
      </c>
      <c r="Q5464">
        <v>0</v>
      </c>
      <c r="R5464">
        <v>0</v>
      </c>
      <c r="W5464" t="s">
        <v>890</v>
      </c>
      <c r="AA5464">
        <v>2007</v>
      </c>
      <c r="AB5464">
        <v>9999</v>
      </c>
      <c r="AC5464" t="s">
        <v>35</v>
      </c>
    </row>
    <row r="5465" spans="1:29" x14ac:dyDescent="0.25">
      <c r="A5465" s="31" t="s">
        <v>891</v>
      </c>
      <c r="B5465" s="23" t="s">
        <v>892</v>
      </c>
      <c r="D5465">
        <v>1</v>
      </c>
      <c r="E5465" t="s">
        <v>145</v>
      </c>
      <c r="F5465">
        <v>2</v>
      </c>
      <c r="G5465">
        <v>2007</v>
      </c>
      <c r="I5465">
        <v>11</v>
      </c>
      <c r="J5465" t="s">
        <v>147</v>
      </c>
      <c r="K5465" t="s">
        <v>76</v>
      </c>
      <c r="O5465">
        <v>0</v>
      </c>
      <c r="P5465">
        <v>0</v>
      </c>
      <c r="Q5465">
        <v>0</v>
      </c>
      <c r="R5465">
        <v>0</v>
      </c>
      <c r="W5465" t="s">
        <v>893</v>
      </c>
      <c r="AA5465">
        <v>2007</v>
      </c>
      <c r="AB5465">
        <v>2008</v>
      </c>
      <c r="AC5465" t="s">
        <v>265</v>
      </c>
    </row>
    <row r="5466" spans="1:29" x14ac:dyDescent="0.25">
      <c r="A5466" s="31" t="s">
        <v>894</v>
      </c>
      <c r="B5466" s="25" t="s">
        <v>895</v>
      </c>
      <c r="D5466">
        <v>1</v>
      </c>
      <c r="E5466" t="s">
        <v>38</v>
      </c>
      <c r="F5466">
        <v>4</v>
      </c>
      <c r="G5466">
        <v>2007</v>
      </c>
      <c r="H5466" t="s">
        <v>896</v>
      </c>
      <c r="I5466">
        <v>0.01</v>
      </c>
      <c r="J5466" t="s">
        <v>151</v>
      </c>
      <c r="K5466" t="s">
        <v>53</v>
      </c>
      <c r="L5466" t="s">
        <v>53</v>
      </c>
      <c r="O5466">
        <v>0</v>
      </c>
      <c r="P5466">
        <v>0</v>
      </c>
      <c r="Q5466">
        <v>0</v>
      </c>
      <c r="R5466">
        <v>0</v>
      </c>
      <c r="W5466" t="s">
        <v>897</v>
      </c>
      <c r="AA5466">
        <v>2007</v>
      </c>
      <c r="AB5466">
        <v>9999</v>
      </c>
      <c r="AC5466" t="s">
        <v>35</v>
      </c>
    </row>
    <row r="5467" spans="1:29" x14ac:dyDescent="0.25">
      <c r="B5467" s="23" t="s">
        <v>898</v>
      </c>
      <c r="D5467">
        <v>1</v>
      </c>
      <c r="E5467" t="s">
        <v>38</v>
      </c>
      <c r="F5467">
        <v>4</v>
      </c>
      <c r="G5467">
        <v>2007</v>
      </c>
      <c r="H5467" t="s">
        <v>596</v>
      </c>
      <c r="I5467">
        <v>0.01</v>
      </c>
      <c r="J5467" t="s">
        <v>89</v>
      </c>
      <c r="K5467" t="s">
        <v>41</v>
      </c>
      <c r="O5467">
        <v>0</v>
      </c>
      <c r="P5467">
        <v>0</v>
      </c>
      <c r="Q5467">
        <v>0</v>
      </c>
      <c r="R5467">
        <v>0</v>
      </c>
      <c r="W5467" t="s">
        <v>899</v>
      </c>
      <c r="AA5467">
        <v>2007</v>
      </c>
      <c r="AB5467">
        <v>2008</v>
      </c>
      <c r="AC5467" t="s">
        <v>265</v>
      </c>
    </row>
    <row r="5468" spans="1:29" x14ac:dyDescent="0.25">
      <c r="A5468" s="31" t="s">
        <v>900</v>
      </c>
      <c r="B5468" s="25" t="s">
        <v>901</v>
      </c>
      <c r="D5468">
        <v>1</v>
      </c>
      <c r="E5468" t="s">
        <v>38</v>
      </c>
      <c r="F5468">
        <v>4</v>
      </c>
      <c r="G5468">
        <v>2007</v>
      </c>
      <c r="H5468" t="s">
        <v>896</v>
      </c>
      <c r="I5468">
        <v>1</v>
      </c>
      <c r="J5468" t="s">
        <v>151</v>
      </c>
      <c r="K5468" t="s">
        <v>53</v>
      </c>
      <c r="L5468" t="s">
        <v>902</v>
      </c>
      <c r="O5468">
        <v>0</v>
      </c>
      <c r="P5468">
        <v>0</v>
      </c>
      <c r="Q5468">
        <v>0</v>
      </c>
      <c r="R5468">
        <v>0</v>
      </c>
      <c r="W5468" t="s">
        <v>903</v>
      </c>
      <c r="AA5468">
        <v>2007</v>
      </c>
      <c r="AB5468">
        <v>9999</v>
      </c>
      <c r="AC5468" t="s">
        <v>35</v>
      </c>
    </row>
    <row r="5469" spans="1:29" x14ac:dyDescent="0.25">
      <c r="A5469" s="31" t="s">
        <v>904</v>
      </c>
      <c r="B5469" s="23" t="s">
        <v>905</v>
      </c>
      <c r="D5469">
        <v>1</v>
      </c>
      <c r="E5469" t="s">
        <v>38</v>
      </c>
      <c r="F5469">
        <v>4</v>
      </c>
      <c r="G5469">
        <v>2007</v>
      </c>
      <c r="H5469" t="s">
        <v>906</v>
      </c>
      <c r="I5469">
        <v>0.5</v>
      </c>
      <c r="J5469" t="s">
        <v>59</v>
      </c>
      <c r="K5469" t="s">
        <v>53</v>
      </c>
      <c r="L5469" t="s">
        <v>902</v>
      </c>
      <c r="O5469">
        <v>0</v>
      </c>
      <c r="P5469">
        <v>0</v>
      </c>
      <c r="Q5469">
        <v>0</v>
      </c>
      <c r="R5469">
        <v>0</v>
      </c>
      <c r="W5469" t="s">
        <v>907</v>
      </c>
      <c r="AA5469">
        <v>2007</v>
      </c>
      <c r="AB5469">
        <v>9999</v>
      </c>
      <c r="AC5469" t="s">
        <v>35</v>
      </c>
    </row>
    <row r="5470" spans="1:29" x14ac:dyDescent="0.25">
      <c r="A5470" s="31" t="s">
        <v>908</v>
      </c>
      <c r="B5470" s="23" t="s">
        <v>909</v>
      </c>
      <c r="C5470" t="s">
        <v>910</v>
      </c>
      <c r="D5470">
        <v>1</v>
      </c>
      <c r="E5470" t="s">
        <v>911</v>
      </c>
      <c r="F5470">
        <v>1</v>
      </c>
      <c r="G5470">
        <v>2007</v>
      </c>
      <c r="I5470">
        <v>75</v>
      </c>
      <c r="J5470" t="s">
        <v>176</v>
      </c>
      <c r="K5470" t="s">
        <v>76</v>
      </c>
      <c r="O5470">
        <v>0</v>
      </c>
      <c r="P5470">
        <v>0</v>
      </c>
      <c r="Q5470">
        <v>0</v>
      </c>
      <c r="R5470">
        <v>0</v>
      </c>
      <c r="W5470" t="s">
        <v>912</v>
      </c>
      <c r="AA5470">
        <v>2007</v>
      </c>
      <c r="AB5470">
        <v>9999</v>
      </c>
      <c r="AC5470" t="s">
        <v>35</v>
      </c>
    </row>
    <row r="5471" spans="1:29" x14ac:dyDescent="0.25">
      <c r="A5471" s="31" t="s">
        <v>913</v>
      </c>
      <c r="B5471" s="23" t="s">
        <v>914</v>
      </c>
      <c r="C5471" t="s">
        <v>915</v>
      </c>
      <c r="D5471">
        <v>1</v>
      </c>
      <c r="E5471" t="s">
        <v>911</v>
      </c>
      <c r="F5471">
        <v>1</v>
      </c>
      <c r="G5471">
        <v>2007</v>
      </c>
      <c r="I5471">
        <v>11</v>
      </c>
      <c r="J5471" t="s">
        <v>268</v>
      </c>
      <c r="K5471" t="s">
        <v>32</v>
      </c>
      <c r="O5471">
        <v>0</v>
      </c>
      <c r="P5471">
        <v>0</v>
      </c>
      <c r="Q5471">
        <v>0</v>
      </c>
      <c r="R5471">
        <v>0</v>
      </c>
      <c r="W5471" t="s">
        <v>916</v>
      </c>
      <c r="AA5471">
        <v>2007</v>
      </c>
      <c r="AB5471">
        <v>9999</v>
      </c>
      <c r="AC5471" t="s">
        <v>35</v>
      </c>
    </row>
    <row r="5472" spans="1:29" x14ac:dyDescent="0.25">
      <c r="B5472" s="23" t="s">
        <v>917</v>
      </c>
      <c r="D5472">
        <v>1</v>
      </c>
      <c r="E5472" t="s">
        <v>38</v>
      </c>
      <c r="F5472">
        <v>4</v>
      </c>
      <c r="G5472">
        <v>2007</v>
      </c>
      <c r="H5472" t="s">
        <v>918</v>
      </c>
      <c r="I5472">
        <v>3.5</v>
      </c>
      <c r="J5472" t="s">
        <v>176</v>
      </c>
      <c r="K5472" t="s">
        <v>53</v>
      </c>
      <c r="L5472" t="s">
        <v>53</v>
      </c>
      <c r="O5472">
        <v>0</v>
      </c>
      <c r="P5472">
        <v>0</v>
      </c>
      <c r="Q5472">
        <v>0</v>
      </c>
      <c r="R5472">
        <v>0</v>
      </c>
      <c r="W5472" t="s">
        <v>919</v>
      </c>
      <c r="AA5472">
        <v>2007</v>
      </c>
      <c r="AB5472">
        <v>2011</v>
      </c>
      <c r="AC5472" t="s">
        <v>191</v>
      </c>
    </row>
    <row r="5473" spans="1:29" x14ac:dyDescent="0.25">
      <c r="A5473" s="31" t="s">
        <v>920</v>
      </c>
      <c r="B5473" s="23" t="s">
        <v>921</v>
      </c>
      <c r="D5473">
        <v>1</v>
      </c>
      <c r="E5473" t="s">
        <v>138</v>
      </c>
      <c r="F5473">
        <v>8</v>
      </c>
      <c r="G5473">
        <v>2007</v>
      </c>
      <c r="I5473">
        <v>6</v>
      </c>
      <c r="J5473" t="s">
        <v>81</v>
      </c>
      <c r="K5473" t="s">
        <v>76</v>
      </c>
      <c r="O5473">
        <v>0</v>
      </c>
      <c r="P5473">
        <v>0</v>
      </c>
      <c r="Q5473">
        <v>0</v>
      </c>
      <c r="R5473">
        <v>0</v>
      </c>
      <c r="W5473" t="s">
        <v>922</v>
      </c>
      <c r="AA5473">
        <v>2007</v>
      </c>
      <c r="AB5473">
        <v>2008</v>
      </c>
      <c r="AC5473" t="s">
        <v>265</v>
      </c>
    </row>
    <row r="5474" spans="1:29" x14ac:dyDescent="0.25">
      <c r="A5474" s="31" t="s">
        <v>97</v>
      </c>
      <c r="B5474" s="23" t="s">
        <v>99</v>
      </c>
      <c r="C5474" t="s">
        <v>923</v>
      </c>
      <c r="D5474">
        <v>1</v>
      </c>
      <c r="E5474" t="s">
        <v>45</v>
      </c>
      <c r="F5474">
        <v>4</v>
      </c>
      <c r="G5474">
        <v>2007</v>
      </c>
      <c r="I5474">
        <v>238</v>
      </c>
      <c r="J5474" t="s">
        <v>89</v>
      </c>
      <c r="K5474" t="s">
        <v>76</v>
      </c>
      <c r="O5474">
        <v>0</v>
      </c>
      <c r="P5474">
        <v>0</v>
      </c>
      <c r="Q5474">
        <v>0</v>
      </c>
      <c r="R5474">
        <v>0</v>
      </c>
      <c r="W5474" t="s">
        <v>924</v>
      </c>
      <c r="AA5474">
        <v>2007</v>
      </c>
      <c r="AB5474">
        <v>9999</v>
      </c>
      <c r="AC5474" t="s">
        <v>35</v>
      </c>
    </row>
    <row r="5475" spans="1:29" x14ac:dyDescent="0.25">
      <c r="A5475" s="31" t="s">
        <v>925</v>
      </c>
      <c r="B5475" s="23" t="s">
        <v>926</v>
      </c>
      <c r="C5475" t="s">
        <v>927</v>
      </c>
      <c r="D5475">
        <v>1</v>
      </c>
      <c r="E5475" t="s">
        <v>103</v>
      </c>
      <c r="F5475">
        <v>9</v>
      </c>
      <c r="G5475">
        <v>2007</v>
      </c>
      <c r="I5475">
        <v>2485</v>
      </c>
      <c r="J5475" t="s">
        <v>151</v>
      </c>
      <c r="K5475" t="s">
        <v>53</v>
      </c>
      <c r="L5475" t="s">
        <v>105</v>
      </c>
      <c r="O5475">
        <v>0</v>
      </c>
      <c r="P5475">
        <v>0</v>
      </c>
      <c r="Q5475">
        <v>0</v>
      </c>
      <c r="R5475">
        <v>0</v>
      </c>
      <c r="W5475" t="s">
        <v>928</v>
      </c>
      <c r="AA5475">
        <v>2007</v>
      </c>
      <c r="AB5475">
        <v>9999</v>
      </c>
      <c r="AC5475" t="s">
        <v>35</v>
      </c>
    </row>
    <row r="5476" spans="1:29" x14ac:dyDescent="0.25">
      <c r="A5476" s="31" t="s">
        <v>929</v>
      </c>
      <c r="B5476" s="23" t="s">
        <v>930</v>
      </c>
      <c r="C5476" t="s">
        <v>931</v>
      </c>
      <c r="D5476">
        <v>1</v>
      </c>
      <c r="E5476" t="s">
        <v>45</v>
      </c>
      <c r="F5476">
        <v>4</v>
      </c>
      <c r="G5476">
        <v>2007</v>
      </c>
      <c r="I5476">
        <v>536</v>
      </c>
      <c r="J5476" t="s">
        <v>31</v>
      </c>
      <c r="K5476" t="s">
        <v>76</v>
      </c>
      <c r="O5476">
        <v>0</v>
      </c>
      <c r="P5476">
        <v>0</v>
      </c>
      <c r="Q5476">
        <v>0</v>
      </c>
      <c r="R5476">
        <v>0</v>
      </c>
      <c r="W5476" t="s">
        <v>932</v>
      </c>
      <c r="AA5476">
        <v>2007</v>
      </c>
      <c r="AB5476">
        <v>9999</v>
      </c>
      <c r="AC5476" t="s">
        <v>35</v>
      </c>
    </row>
    <row r="5477" spans="1:29" x14ac:dyDescent="0.25">
      <c r="A5477" s="31" t="s">
        <v>933</v>
      </c>
      <c r="B5477" s="25" t="s">
        <v>934</v>
      </c>
      <c r="C5477" t="s">
        <v>935</v>
      </c>
      <c r="D5477">
        <v>1</v>
      </c>
      <c r="E5477" t="s">
        <v>681</v>
      </c>
      <c r="F5477">
        <v>3</v>
      </c>
      <c r="G5477">
        <v>2007</v>
      </c>
      <c r="I5477" t="s">
        <v>812</v>
      </c>
      <c r="J5477" t="s">
        <v>121</v>
      </c>
      <c r="K5477" t="s">
        <v>47</v>
      </c>
      <c r="O5477">
        <v>0</v>
      </c>
      <c r="P5477">
        <v>0</v>
      </c>
      <c r="Q5477">
        <v>0</v>
      </c>
      <c r="R5477">
        <v>0</v>
      </c>
      <c r="W5477" t="s">
        <v>936</v>
      </c>
      <c r="AA5477">
        <v>2007</v>
      </c>
      <c r="AB5477">
        <v>9999</v>
      </c>
      <c r="AC5477" t="s">
        <v>35</v>
      </c>
    </row>
    <row r="5478" spans="1:29" x14ac:dyDescent="0.25">
      <c r="A5478" s="31" t="s">
        <v>937</v>
      </c>
      <c r="B5478" s="23" t="s">
        <v>938</v>
      </c>
      <c r="D5478">
        <v>1</v>
      </c>
      <c r="E5478" t="s">
        <v>103</v>
      </c>
      <c r="F5478">
        <v>9</v>
      </c>
      <c r="G5478">
        <v>2007</v>
      </c>
      <c r="I5478">
        <v>617</v>
      </c>
      <c r="J5478" t="s">
        <v>104</v>
      </c>
      <c r="K5478" t="s">
        <v>53</v>
      </c>
      <c r="L5478" t="s">
        <v>105</v>
      </c>
      <c r="O5478">
        <v>0</v>
      </c>
      <c r="P5478">
        <v>1</v>
      </c>
      <c r="Q5478">
        <v>0</v>
      </c>
      <c r="R5478">
        <v>0</v>
      </c>
      <c r="W5478" t="s">
        <v>106</v>
      </c>
      <c r="AA5478">
        <v>2007</v>
      </c>
      <c r="AB5478">
        <v>9999</v>
      </c>
      <c r="AC5478" t="s">
        <v>35</v>
      </c>
    </row>
    <row r="5479" spans="1:29" x14ac:dyDescent="0.25">
      <c r="A5479" s="31" t="s">
        <v>939</v>
      </c>
      <c r="B5479" s="23" t="s">
        <v>940</v>
      </c>
      <c r="D5479">
        <v>1</v>
      </c>
      <c r="E5479" t="s">
        <v>80</v>
      </c>
      <c r="F5479">
        <v>8</v>
      </c>
      <c r="G5479">
        <v>2007</v>
      </c>
      <c r="I5479">
        <v>80</v>
      </c>
      <c r="J5479" s="2" t="s">
        <v>81</v>
      </c>
      <c r="K5479" t="s">
        <v>76</v>
      </c>
      <c r="O5479">
        <v>0</v>
      </c>
      <c r="P5479">
        <v>0</v>
      </c>
      <c r="Q5479">
        <v>0</v>
      </c>
      <c r="R5479">
        <v>0</v>
      </c>
      <c r="W5479" t="s">
        <v>941</v>
      </c>
      <c r="AA5479">
        <v>2007</v>
      </c>
      <c r="AB5479">
        <v>9999</v>
      </c>
      <c r="AC5479" t="s">
        <v>35</v>
      </c>
    </row>
    <row r="5480" spans="1:29" x14ac:dyDescent="0.25">
      <c r="A5480" s="31" t="s">
        <v>629</v>
      </c>
      <c r="B5480" s="23" t="s">
        <v>942</v>
      </c>
      <c r="D5480">
        <v>1</v>
      </c>
      <c r="E5480" t="s">
        <v>138</v>
      </c>
      <c r="F5480">
        <v>8</v>
      </c>
      <c r="G5480">
        <v>2007</v>
      </c>
      <c r="H5480" t="s">
        <v>630</v>
      </c>
      <c r="I5480">
        <v>2</v>
      </c>
      <c r="J5480" t="s">
        <v>81</v>
      </c>
      <c r="K5480" t="s">
        <v>41</v>
      </c>
      <c r="O5480">
        <v>0</v>
      </c>
      <c r="P5480">
        <v>0</v>
      </c>
      <c r="Q5480">
        <v>0</v>
      </c>
      <c r="R5480">
        <v>0</v>
      </c>
      <c r="W5480" t="s">
        <v>943</v>
      </c>
      <c r="AA5480">
        <v>2007</v>
      </c>
      <c r="AB5480">
        <v>2014</v>
      </c>
      <c r="AC5480" t="s">
        <v>633</v>
      </c>
    </row>
    <row r="5481" spans="1:29" x14ac:dyDescent="0.25">
      <c r="A5481" s="31" t="s">
        <v>944</v>
      </c>
      <c r="B5481" s="23" t="s">
        <v>945</v>
      </c>
      <c r="D5481">
        <v>1</v>
      </c>
      <c r="E5481" s="6" t="s">
        <v>128</v>
      </c>
      <c r="F5481">
        <v>9</v>
      </c>
      <c r="G5481">
        <v>2007</v>
      </c>
      <c r="I5481">
        <v>37</v>
      </c>
      <c r="J5481" t="s">
        <v>104</v>
      </c>
      <c r="K5481" t="s">
        <v>53</v>
      </c>
      <c r="L5481" t="s">
        <v>105</v>
      </c>
      <c r="O5481">
        <v>0</v>
      </c>
      <c r="P5481">
        <v>1</v>
      </c>
      <c r="Q5481">
        <v>0</v>
      </c>
      <c r="R5481">
        <v>0</v>
      </c>
      <c r="W5481" t="s">
        <v>106</v>
      </c>
      <c r="AA5481">
        <v>2007</v>
      </c>
      <c r="AB5481">
        <v>2010</v>
      </c>
      <c r="AC5481" t="s">
        <v>91</v>
      </c>
    </row>
    <row r="5482" spans="1:29" x14ac:dyDescent="0.25">
      <c r="A5482" s="31" t="s">
        <v>153</v>
      </c>
      <c r="B5482" s="23" t="s">
        <v>946</v>
      </c>
      <c r="D5482">
        <v>58</v>
      </c>
      <c r="E5482" t="s">
        <v>155</v>
      </c>
      <c r="F5482">
        <v>3</v>
      </c>
      <c r="G5482">
        <v>2007</v>
      </c>
      <c r="I5482">
        <v>2588.0733510499995</v>
      </c>
      <c r="J5482" t="s">
        <v>121</v>
      </c>
      <c r="K5482" t="s">
        <v>53</v>
      </c>
      <c r="L5482" t="s">
        <v>60</v>
      </c>
      <c r="O5482">
        <v>1</v>
      </c>
      <c r="P5482">
        <v>0</v>
      </c>
      <c r="Q5482">
        <v>0</v>
      </c>
      <c r="R5482">
        <v>0</v>
      </c>
      <c r="V5482">
        <v>1</v>
      </c>
      <c r="W5482" t="s">
        <v>947</v>
      </c>
      <c r="AA5482">
        <v>2007</v>
      </c>
      <c r="AB5482">
        <v>9999</v>
      </c>
      <c r="AC5482" t="s">
        <v>35</v>
      </c>
    </row>
    <row r="5483" spans="1:29" x14ac:dyDescent="0.25">
      <c r="A5483" s="31" t="s">
        <v>153</v>
      </c>
      <c r="B5483" s="23" t="s">
        <v>948</v>
      </c>
      <c r="D5483">
        <v>1</v>
      </c>
      <c r="E5483" t="s">
        <v>155</v>
      </c>
      <c r="F5483">
        <v>3</v>
      </c>
      <c r="G5483">
        <v>2007</v>
      </c>
      <c r="H5483" t="s">
        <v>154</v>
      </c>
      <c r="I5483">
        <v>2</v>
      </c>
      <c r="J5483" t="s">
        <v>121</v>
      </c>
      <c r="K5483" t="s">
        <v>41</v>
      </c>
      <c r="O5483">
        <v>0</v>
      </c>
      <c r="P5483">
        <v>0</v>
      </c>
      <c r="Q5483">
        <v>0</v>
      </c>
      <c r="R5483">
        <v>0</v>
      </c>
      <c r="W5483" t="s">
        <v>949</v>
      </c>
      <c r="AA5483">
        <v>2007</v>
      </c>
      <c r="AB5483">
        <v>9999</v>
      </c>
      <c r="AC5483" t="s">
        <v>35</v>
      </c>
    </row>
    <row r="5484" spans="1:29" x14ac:dyDescent="0.25">
      <c r="A5484" s="31" t="s">
        <v>950</v>
      </c>
      <c r="B5484" s="23" t="s">
        <v>951</v>
      </c>
      <c r="C5484" t="s">
        <v>952</v>
      </c>
      <c r="D5484">
        <v>1</v>
      </c>
      <c r="E5484" t="s">
        <v>218</v>
      </c>
      <c r="F5484">
        <v>2</v>
      </c>
      <c r="G5484">
        <v>2007</v>
      </c>
      <c r="I5484">
        <v>996</v>
      </c>
      <c r="J5484" t="s">
        <v>147</v>
      </c>
      <c r="K5484" t="s">
        <v>32</v>
      </c>
      <c r="O5484">
        <v>0</v>
      </c>
      <c r="P5484">
        <v>0</v>
      </c>
      <c r="Q5484">
        <v>0</v>
      </c>
      <c r="R5484">
        <v>0</v>
      </c>
      <c r="W5484" t="s">
        <v>953</v>
      </c>
      <c r="AA5484">
        <v>2007</v>
      </c>
      <c r="AB5484">
        <v>9999</v>
      </c>
      <c r="AC5484" t="s">
        <v>35</v>
      </c>
    </row>
    <row r="5485" spans="1:29" x14ac:dyDescent="0.25">
      <c r="A5485" s="31" t="s">
        <v>954</v>
      </c>
      <c r="B5485" s="23" t="s">
        <v>955</v>
      </c>
      <c r="C5485" t="s">
        <v>956</v>
      </c>
      <c r="D5485">
        <v>1</v>
      </c>
      <c r="E5485" t="s">
        <v>218</v>
      </c>
      <c r="F5485">
        <v>2</v>
      </c>
      <c r="G5485">
        <v>2007</v>
      </c>
      <c r="I5485">
        <v>324</v>
      </c>
      <c r="J5485" t="s">
        <v>147</v>
      </c>
      <c r="K5485" t="s">
        <v>47</v>
      </c>
      <c r="O5485">
        <v>0</v>
      </c>
      <c r="P5485">
        <v>0</v>
      </c>
      <c r="Q5485">
        <v>0</v>
      </c>
      <c r="R5485">
        <v>0</v>
      </c>
      <c r="W5485" t="s">
        <v>957</v>
      </c>
      <c r="AA5485">
        <v>2007</v>
      </c>
      <c r="AB5485">
        <v>9999</v>
      </c>
      <c r="AC5485" t="s">
        <v>35</v>
      </c>
    </row>
    <row r="5486" spans="1:29" x14ac:dyDescent="0.25">
      <c r="A5486" s="31" t="s">
        <v>958</v>
      </c>
      <c r="B5486" s="25" t="s">
        <v>959</v>
      </c>
      <c r="D5486">
        <v>1</v>
      </c>
      <c r="E5486" t="s">
        <v>51</v>
      </c>
      <c r="F5486">
        <v>1</v>
      </c>
      <c r="G5486">
        <v>2007</v>
      </c>
      <c r="I5486">
        <v>49</v>
      </c>
      <c r="J5486" t="s">
        <v>52</v>
      </c>
      <c r="K5486" t="s">
        <v>53</v>
      </c>
      <c r="L5486" t="s">
        <v>54</v>
      </c>
      <c r="O5486">
        <v>0</v>
      </c>
      <c r="P5486">
        <v>0</v>
      </c>
      <c r="Q5486">
        <v>1</v>
      </c>
      <c r="R5486">
        <v>0</v>
      </c>
      <c r="W5486" t="s">
        <v>55</v>
      </c>
      <c r="AA5486">
        <v>2007</v>
      </c>
      <c r="AB5486">
        <v>9999</v>
      </c>
      <c r="AC5486" t="s">
        <v>35</v>
      </c>
    </row>
    <row r="5487" spans="1:29" x14ac:dyDescent="0.25">
      <c r="A5487" s="31" t="s">
        <v>960</v>
      </c>
      <c r="B5487" s="23" t="s">
        <v>961</v>
      </c>
      <c r="D5487">
        <v>1</v>
      </c>
      <c r="E5487" t="s">
        <v>168</v>
      </c>
      <c r="F5487">
        <v>1</v>
      </c>
      <c r="G5487">
        <v>2007</v>
      </c>
      <c r="I5487">
        <v>2136</v>
      </c>
      <c r="J5487" t="s">
        <v>52</v>
      </c>
      <c r="K5487" t="s">
        <v>76</v>
      </c>
      <c r="O5487">
        <v>0</v>
      </c>
      <c r="P5487">
        <v>0</v>
      </c>
      <c r="Q5487">
        <v>0</v>
      </c>
      <c r="R5487">
        <v>0</v>
      </c>
      <c r="W5487" t="s">
        <v>962</v>
      </c>
      <c r="AA5487">
        <v>2007</v>
      </c>
      <c r="AB5487">
        <v>9999</v>
      </c>
      <c r="AC5487" t="s">
        <v>35</v>
      </c>
    </row>
    <row r="5488" spans="1:29" x14ac:dyDescent="0.25">
      <c r="A5488" s="31" t="s">
        <v>963</v>
      </c>
      <c r="B5488" s="23" t="s">
        <v>658</v>
      </c>
      <c r="D5488">
        <v>1</v>
      </c>
      <c r="E5488" t="s">
        <v>103</v>
      </c>
      <c r="F5488">
        <v>9</v>
      </c>
      <c r="G5488">
        <v>2007</v>
      </c>
      <c r="I5488">
        <v>3404</v>
      </c>
      <c r="J5488" t="s">
        <v>104</v>
      </c>
      <c r="K5488" t="s">
        <v>53</v>
      </c>
      <c r="L5488" t="s">
        <v>105</v>
      </c>
      <c r="O5488">
        <v>0</v>
      </c>
      <c r="P5488">
        <v>1</v>
      </c>
      <c r="Q5488">
        <v>0</v>
      </c>
      <c r="R5488">
        <v>0</v>
      </c>
      <c r="W5488" t="s">
        <v>106</v>
      </c>
      <c r="AA5488">
        <v>2007</v>
      </c>
      <c r="AB5488">
        <v>9999</v>
      </c>
      <c r="AC5488" t="s">
        <v>35</v>
      </c>
    </row>
    <row r="5489" spans="1:29" x14ac:dyDescent="0.25">
      <c r="A5489" s="31" t="s">
        <v>964</v>
      </c>
      <c r="B5489" s="23" t="s">
        <v>965</v>
      </c>
      <c r="D5489">
        <v>1</v>
      </c>
      <c r="E5489" t="s">
        <v>80</v>
      </c>
      <c r="F5489">
        <v>8</v>
      </c>
      <c r="G5489">
        <v>2007</v>
      </c>
      <c r="I5489">
        <v>46</v>
      </c>
      <c r="J5489" t="s">
        <v>46</v>
      </c>
      <c r="K5489" t="s">
        <v>76</v>
      </c>
      <c r="O5489">
        <v>0</v>
      </c>
      <c r="P5489">
        <v>0</v>
      </c>
      <c r="Q5489">
        <v>0</v>
      </c>
      <c r="R5489">
        <v>0</v>
      </c>
      <c r="W5489" t="s">
        <v>966</v>
      </c>
      <c r="AA5489">
        <v>2007</v>
      </c>
      <c r="AB5489">
        <v>9999</v>
      </c>
      <c r="AC5489" t="s">
        <v>35</v>
      </c>
    </row>
    <row r="5490" spans="1:29" x14ac:dyDescent="0.25">
      <c r="A5490" s="31" t="s">
        <v>967</v>
      </c>
      <c r="B5490" s="23" t="s">
        <v>661</v>
      </c>
      <c r="D5490">
        <v>1</v>
      </c>
      <c r="E5490" t="s">
        <v>103</v>
      </c>
      <c r="F5490">
        <v>9</v>
      </c>
      <c r="G5490">
        <v>2007</v>
      </c>
      <c r="I5490">
        <v>4627</v>
      </c>
      <c r="J5490" t="s">
        <v>104</v>
      </c>
      <c r="K5490" t="s">
        <v>53</v>
      </c>
      <c r="L5490" t="s">
        <v>105</v>
      </c>
      <c r="O5490">
        <v>0</v>
      </c>
      <c r="P5490">
        <v>1</v>
      </c>
      <c r="Q5490">
        <v>0</v>
      </c>
      <c r="R5490">
        <v>0</v>
      </c>
      <c r="W5490" t="s">
        <v>106</v>
      </c>
      <c r="AA5490">
        <v>2007</v>
      </c>
      <c r="AB5490">
        <v>9999</v>
      </c>
      <c r="AC5490" t="s">
        <v>35</v>
      </c>
    </row>
    <row r="5491" spans="1:29" x14ac:dyDescent="0.25">
      <c r="A5491" s="31" t="s">
        <v>968</v>
      </c>
      <c r="B5491" s="25" t="s">
        <v>969</v>
      </c>
      <c r="D5491">
        <v>1</v>
      </c>
      <c r="E5491" t="s">
        <v>85</v>
      </c>
      <c r="F5491">
        <v>1</v>
      </c>
      <c r="G5491">
        <v>2007</v>
      </c>
      <c r="H5491" t="s">
        <v>970</v>
      </c>
      <c r="I5491">
        <v>0.15</v>
      </c>
      <c r="J5491" t="s">
        <v>176</v>
      </c>
      <c r="K5491" t="s">
        <v>41</v>
      </c>
      <c r="O5491">
        <v>0</v>
      </c>
      <c r="P5491">
        <v>0</v>
      </c>
      <c r="Q5491">
        <v>0</v>
      </c>
      <c r="R5491">
        <v>0</v>
      </c>
      <c r="W5491" t="s">
        <v>971</v>
      </c>
      <c r="AA5491">
        <v>2007</v>
      </c>
      <c r="AB5491">
        <v>9999</v>
      </c>
      <c r="AC5491" t="s">
        <v>35</v>
      </c>
    </row>
    <row r="5492" spans="1:29" x14ac:dyDescent="0.25">
      <c r="A5492" s="31" t="s">
        <v>972</v>
      </c>
      <c r="B5492" s="23" t="s">
        <v>973</v>
      </c>
      <c r="D5492">
        <v>1</v>
      </c>
      <c r="E5492" t="s">
        <v>128</v>
      </c>
      <c r="F5492">
        <v>9</v>
      </c>
      <c r="G5492">
        <v>2007</v>
      </c>
      <c r="I5492">
        <v>10</v>
      </c>
      <c r="J5492" t="s">
        <v>104</v>
      </c>
      <c r="K5492" t="s">
        <v>53</v>
      </c>
      <c r="L5492" t="s">
        <v>53</v>
      </c>
      <c r="O5492">
        <v>0</v>
      </c>
      <c r="P5492">
        <v>0</v>
      </c>
      <c r="Q5492">
        <v>0</v>
      </c>
      <c r="R5492">
        <v>0</v>
      </c>
      <c r="W5492" t="s">
        <v>974</v>
      </c>
      <c r="AA5492">
        <v>2007</v>
      </c>
      <c r="AB5492">
        <v>2007</v>
      </c>
      <c r="AC5492" t="s">
        <v>70</v>
      </c>
    </row>
    <row r="5493" spans="1:29" x14ac:dyDescent="0.25">
      <c r="A5493" s="31" t="s">
        <v>975</v>
      </c>
      <c r="B5493" s="23" t="s">
        <v>976</v>
      </c>
      <c r="D5493">
        <v>1</v>
      </c>
      <c r="E5493" t="s">
        <v>977</v>
      </c>
      <c r="F5493">
        <v>1</v>
      </c>
      <c r="G5493">
        <v>2007</v>
      </c>
      <c r="I5493">
        <v>14</v>
      </c>
      <c r="J5493" t="s">
        <v>121</v>
      </c>
      <c r="K5493" t="s">
        <v>41</v>
      </c>
      <c r="O5493">
        <v>0</v>
      </c>
      <c r="P5493">
        <v>0</v>
      </c>
      <c r="Q5493">
        <v>0</v>
      </c>
      <c r="R5493">
        <v>0</v>
      </c>
      <c r="W5493" t="s">
        <v>978</v>
      </c>
      <c r="AA5493">
        <v>2007</v>
      </c>
      <c r="AB5493">
        <v>9999</v>
      </c>
      <c r="AC5493" t="s">
        <v>35</v>
      </c>
    </row>
    <row r="5494" spans="1:29" x14ac:dyDescent="0.25">
      <c r="A5494" s="31" t="s">
        <v>979</v>
      </c>
      <c r="B5494" s="23" t="s">
        <v>980</v>
      </c>
      <c r="D5494">
        <v>1</v>
      </c>
      <c r="E5494" t="s">
        <v>85</v>
      </c>
      <c r="F5494">
        <v>1</v>
      </c>
      <c r="G5494">
        <v>2007</v>
      </c>
      <c r="I5494">
        <v>84</v>
      </c>
      <c r="J5494" t="s">
        <v>52</v>
      </c>
      <c r="K5494" t="s">
        <v>47</v>
      </c>
      <c r="O5494">
        <v>0</v>
      </c>
      <c r="P5494">
        <v>0</v>
      </c>
      <c r="Q5494">
        <v>0</v>
      </c>
      <c r="R5494">
        <v>0</v>
      </c>
      <c r="W5494" t="s">
        <v>981</v>
      </c>
      <c r="AA5494">
        <v>2007</v>
      </c>
      <c r="AB5494">
        <v>2008</v>
      </c>
      <c r="AC5494" t="s">
        <v>265</v>
      </c>
    </row>
    <row r="5495" spans="1:29" x14ac:dyDescent="0.25">
      <c r="A5495" s="31" t="s">
        <v>982</v>
      </c>
      <c r="B5495" s="23" t="s">
        <v>983</v>
      </c>
      <c r="D5495">
        <v>1</v>
      </c>
      <c r="E5495" t="s">
        <v>300</v>
      </c>
      <c r="F5495">
        <v>9</v>
      </c>
      <c r="G5495">
        <v>2007</v>
      </c>
      <c r="I5495">
        <v>123</v>
      </c>
      <c r="J5495" t="s">
        <v>104</v>
      </c>
      <c r="K5495" t="s">
        <v>32</v>
      </c>
      <c r="O5495">
        <v>0</v>
      </c>
      <c r="P5495">
        <v>0</v>
      </c>
      <c r="Q5495">
        <v>0</v>
      </c>
      <c r="R5495">
        <v>0</v>
      </c>
      <c r="W5495" t="s">
        <v>984</v>
      </c>
      <c r="AA5495">
        <v>2007</v>
      </c>
      <c r="AB5495">
        <v>2012</v>
      </c>
      <c r="AC5495" t="s">
        <v>302</v>
      </c>
    </row>
    <row r="5496" spans="1:29" x14ac:dyDescent="0.25">
      <c r="A5496" s="31" t="s">
        <v>985</v>
      </c>
      <c r="B5496" s="23" t="s">
        <v>986</v>
      </c>
      <c r="C5496" t="s">
        <v>987</v>
      </c>
      <c r="D5496">
        <v>1</v>
      </c>
      <c r="E5496" t="s">
        <v>988</v>
      </c>
      <c r="F5496">
        <v>4</v>
      </c>
      <c r="G5496">
        <v>2007</v>
      </c>
      <c r="I5496">
        <v>173</v>
      </c>
      <c r="J5496" t="s">
        <v>89</v>
      </c>
      <c r="K5496" t="s">
        <v>76</v>
      </c>
      <c r="O5496">
        <v>0</v>
      </c>
      <c r="P5496">
        <v>0</v>
      </c>
      <c r="Q5496">
        <v>0</v>
      </c>
      <c r="R5496">
        <v>0</v>
      </c>
      <c r="W5496" t="s">
        <v>989</v>
      </c>
      <c r="AA5496">
        <v>2007</v>
      </c>
      <c r="AB5496">
        <v>9999</v>
      </c>
      <c r="AC5496" t="s">
        <v>35</v>
      </c>
    </row>
    <row r="5497" spans="1:29" x14ac:dyDescent="0.25">
      <c r="A5497" s="31" t="s">
        <v>990</v>
      </c>
      <c r="B5497" s="23" t="s">
        <v>991</v>
      </c>
      <c r="D5497">
        <v>1</v>
      </c>
      <c r="E5497" t="s">
        <v>38</v>
      </c>
      <c r="F5497">
        <v>4</v>
      </c>
      <c r="G5497">
        <v>2007</v>
      </c>
      <c r="I5497">
        <v>207</v>
      </c>
      <c r="J5497" t="s">
        <v>89</v>
      </c>
      <c r="K5497" t="s">
        <v>32</v>
      </c>
      <c r="O5497">
        <v>0</v>
      </c>
      <c r="P5497">
        <v>0</v>
      </c>
      <c r="Q5497">
        <v>0</v>
      </c>
      <c r="R5497">
        <v>0</v>
      </c>
      <c r="W5497" t="s">
        <v>992</v>
      </c>
      <c r="AA5497">
        <v>2007</v>
      </c>
      <c r="AB5497">
        <v>2009</v>
      </c>
      <c r="AC5497" t="s">
        <v>236</v>
      </c>
    </row>
    <row r="5498" spans="1:29" x14ac:dyDescent="0.25">
      <c r="A5498" s="31" t="s">
        <v>993</v>
      </c>
      <c r="B5498" s="23" t="s">
        <v>129</v>
      </c>
      <c r="D5498">
        <v>1</v>
      </c>
      <c r="E5498" t="s">
        <v>994</v>
      </c>
      <c r="F5498">
        <v>1</v>
      </c>
      <c r="G5498">
        <v>2007</v>
      </c>
      <c r="I5498">
        <v>150</v>
      </c>
      <c r="J5498" t="s">
        <v>104</v>
      </c>
      <c r="K5498" t="s">
        <v>76</v>
      </c>
      <c r="O5498">
        <v>0</v>
      </c>
      <c r="P5498">
        <v>0</v>
      </c>
      <c r="Q5498">
        <v>0</v>
      </c>
      <c r="R5498">
        <v>0</v>
      </c>
      <c r="W5498" t="s">
        <v>995</v>
      </c>
      <c r="AA5498">
        <v>2007</v>
      </c>
      <c r="AB5498">
        <v>9999</v>
      </c>
      <c r="AC5498" t="s">
        <v>35</v>
      </c>
    </row>
    <row r="5499" spans="1:29" x14ac:dyDescent="0.25">
      <c r="A5499" s="31" t="s">
        <v>996</v>
      </c>
      <c r="B5499" s="23" t="s">
        <v>997</v>
      </c>
      <c r="D5499">
        <v>1</v>
      </c>
      <c r="E5499" t="s">
        <v>38</v>
      </c>
      <c r="F5499">
        <v>4</v>
      </c>
      <c r="G5499">
        <v>2007</v>
      </c>
      <c r="H5499" t="s">
        <v>998</v>
      </c>
      <c r="I5499">
        <v>1.25</v>
      </c>
      <c r="J5499" t="s">
        <v>151</v>
      </c>
      <c r="K5499" t="s">
        <v>41</v>
      </c>
      <c r="O5499">
        <v>0</v>
      </c>
      <c r="P5499">
        <v>0</v>
      </c>
      <c r="Q5499">
        <v>0</v>
      </c>
      <c r="R5499">
        <v>0</v>
      </c>
      <c r="W5499" t="s">
        <v>999</v>
      </c>
      <c r="AA5499">
        <v>2007</v>
      </c>
      <c r="AB5499">
        <v>9999</v>
      </c>
      <c r="AC5499" t="s">
        <v>35</v>
      </c>
    </row>
    <row r="5500" spans="1:29" x14ac:dyDescent="0.25">
      <c r="A5500" s="31" t="s">
        <v>1000</v>
      </c>
      <c r="B5500" s="23" t="s">
        <v>1001</v>
      </c>
      <c r="D5500">
        <v>1</v>
      </c>
      <c r="E5500" t="s">
        <v>38</v>
      </c>
      <c r="F5500">
        <v>4</v>
      </c>
      <c r="G5500">
        <v>2007</v>
      </c>
      <c r="I5500">
        <v>6963</v>
      </c>
      <c r="J5500" t="s">
        <v>89</v>
      </c>
      <c r="K5500" t="s">
        <v>32</v>
      </c>
      <c r="O5500">
        <v>0</v>
      </c>
      <c r="P5500">
        <v>0</v>
      </c>
      <c r="Q5500">
        <v>0</v>
      </c>
      <c r="R5500">
        <v>0</v>
      </c>
      <c r="W5500" t="s">
        <v>1002</v>
      </c>
      <c r="AA5500">
        <v>2007</v>
      </c>
      <c r="AB5500">
        <v>2010</v>
      </c>
      <c r="AC5500" t="s">
        <v>91</v>
      </c>
    </row>
    <row r="5501" spans="1:29" x14ac:dyDescent="0.25">
      <c r="A5501" s="31" t="s">
        <v>1003</v>
      </c>
      <c r="B5501" s="23" t="s">
        <v>1004</v>
      </c>
      <c r="D5501">
        <v>1</v>
      </c>
      <c r="E5501" t="s">
        <v>128</v>
      </c>
      <c r="F5501">
        <v>9</v>
      </c>
      <c r="G5501">
        <v>2007</v>
      </c>
      <c r="I5501">
        <v>820</v>
      </c>
      <c r="J5501" t="s">
        <v>104</v>
      </c>
      <c r="K5501" t="s">
        <v>53</v>
      </c>
      <c r="L5501" t="s">
        <v>105</v>
      </c>
      <c r="O5501">
        <v>0</v>
      </c>
      <c r="P5501">
        <v>1</v>
      </c>
      <c r="Q5501">
        <v>0</v>
      </c>
      <c r="R5501">
        <v>0</v>
      </c>
      <c r="W5501" t="s">
        <v>106</v>
      </c>
      <c r="AA5501">
        <v>2007</v>
      </c>
      <c r="AB5501">
        <v>2009</v>
      </c>
      <c r="AC5501" t="s">
        <v>236</v>
      </c>
    </row>
    <row r="5502" spans="1:29" x14ac:dyDescent="0.25">
      <c r="A5502" s="31" t="s">
        <v>1005</v>
      </c>
      <c r="B5502" s="23" t="s">
        <v>1006</v>
      </c>
      <c r="D5502">
        <v>1</v>
      </c>
      <c r="E5502" t="s">
        <v>80</v>
      </c>
      <c r="F5502">
        <v>8</v>
      </c>
      <c r="G5502">
        <v>2007</v>
      </c>
      <c r="I5502">
        <v>7.5</v>
      </c>
      <c r="J5502" t="s">
        <v>104</v>
      </c>
      <c r="K5502" t="s">
        <v>53</v>
      </c>
      <c r="L5502" t="s">
        <v>53</v>
      </c>
      <c r="O5502">
        <v>0</v>
      </c>
      <c r="P5502">
        <v>0</v>
      </c>
      <c r="Q5502">
        <v>0</v>
      </c>
      <c r="R5502">
        <v>0</v>
      </c>
      <c r="W5502" t="s">
        <v>1007</v>
      </c>
      <c r="AA5502">
        <v>2007</v>
      </c>
      <c r="AB5502">
        <v>2016</v>
      </c>
      <c r="AC5502" t="s">
        <v>528</v>
      </c>
    </row>
    <row r="5503" spans="1:29" x14ac:dyDescent="0.25">
      <c r="A5503" s="31" t="s">
        <v>1008</v>
      </c>
      <c r="B5503" s="23" t="s">
        <v>1009</v>
      </c>
      <c r="D5503">
        <v>1</v>
      </c>
      <c r="E5503" t="s">
        <v>155</v>
      </c>
      <c r="F5503">
        <v>3</v>
      </c>
      <c r="G5503">
        <v>2007</v>
      </c>
      <c r="I5503">
        <v>1078</v>
      </c>
      <c r="J5503" t="s">
        <v>121</v>
      </c>
      <c r="K5503" t="s">
        <v>47</v>
      </c>
      <c r="O5503">
        <v>0</v>
      </c>
      <c r="P5503">
        <v>0</v>
      </c>
      <c r="Q5503">
        <v>0</v>
      </c>
      <c r="R5503">
        <v>0</v>
      </c>
      <c r="W5503" t="s">
        <v>1010</v>
      </c>
      <c r="AA5503">
        <v>2007</v>
      </c>
      <c r="AB5503">
        <v>9999</v>
      </c>
      <c r="AC5503" t="s">
        <v>35</v>
      </c>
    </row>
    <row r="5504" spans="1:29" x14ac:dyDescent="0.25">
      <c r="A5504" s="31" t="s">
        <v>1011</v>
      </c>
      <c r="B5504" s="23" t="s">
        <v>1012</v>
      </c>
      <c r="D5504">
        <v>1</v>
      </c>
      <c r="E5504" t="s">
        <v>103</v>
      </c>
      <c r="F5504">
        <v>9</v>
      </c>
      <c r="G5504">
        <v>2007</v>
      </c>
      <c r="I5504">
        <v>953</v>
      </c>
      <c r="J5504" t="s">
        <v>104</v>
      </c>
      <c r="K5504" t="s">
        <v>53</v>
      </c>
      <c r="L5504" t="s">
        <v>105</v>
      </c>
      <c r="O5504">
        <v>0</v>
      </c>
      <c r="P5504">
        <v>1</v>
      </c>
      <c r="Q5504">
        <v>0</v>
      </c>
      <c r="R5504">
        <v>0</v>
      </c>
      <c r="W5504" t="s">
        <v>106</v>
      </c>
      <c r="AA5504">
        <v>2007</v>
      </c>
      <c r="AB5504">
        <v>9999</v>
      </c>
      <c r="AC5504" t="s">
        <v>35</v>
      </c>
    </row>
    <row r="5505" spans="1:29" x14ac:dyDescent="0.25">
      <c r="A5505" s="31" t="s">
        <v>1013</v>
      </c>
      <c r="B5505" s="25" t="s">
        <v>1014</v>
      </c>
      <c r="D5505">
        <v>1</v>
      </c>
      <c r="E5505" t="s">
        <v>128</v>
      </c>
      <c r="F5505">
        <v>9</v>
      </c>
      <c r="G5505">
        <v>2007</v>
      </c>
      <c r="H5505" t="s">
        <v>297</v>
      </c>
      <c r="I5505">
        <v>4.2</v>
      </c>
      <c r="J5505" t="s">
        <v>104</v>
      </c>
      <c r="K5505" t="s">
        <v>41</v>
      </c>
      <c r="O5505">
        <v>0</v>
      </c>
      <c r="P5505">
        <v>0</v>
      </c>
      <c r="Q5505">
        <v>0</v>
      </c>
      <c r="R5505">
        <v>0</v>
      </c>
      <c r="W5505" t="s">
        <v>1015</v>
      </c>
      <c r="AA5505">
        <v>2007</v>
      </c>
      <c r="AB5505">
        <v>9999</v>
      </c>
      <c r="AC5505" t="s">
        <v>35</v>
      </c>
    </row>
    <row r="5506" spans="1:29" x14ac:dyDescent="0.25">
      <c r="A5506" s="31" t="s">
        <v>1016</v>
      </c>
      <c r="B5506" s="25" t="s">
        <v>1017</v>
      </c>
      <c r="D5506">
        <v>1</v>
      </c>
      <c r="E5506" t="s">
        <v>396</v>
      </c>
      <c r="F5506">
        <v>3</v>
      </c>
      <c r="G5506">
        <v>2007</v>
      </c>
      <c r="H5506" t="s">
        <v>1018</v>
      </c>
      <c r="I5506">
        <v>0.01</v>
      </c>
      <c r="J5506" t="s">
        <v>121</v>
      </c>
      <c r="K5506" t="s">
        <v>41</v>
      </c>
      <c r="O5506">
        <v>0</v>
      </c>
      <c r="P5506">
        <v>0</v>
      </c>
      <c r="Q5506">
        <v>0</v>
      </c>
      <c r="R5506">
        <v>0</v>
      </c>
      <c r="W5506" t="s">
        <v>1019</v>
      </c>
      <c r="AA5506">
        <v>2007</v>
      </c>
      <c r="AB5506">
        <v>9999</v>
      </c>
      <c r="AC5506" t="s">
        <v>35</v>
      </c>
    </row>
    <row r="5507" spans="1:29" x14ac:dyDescent="0.25">
      <c r="A5507" s="31" t="s">
        <v>1020</v>
      </c>
      <c r="B5507" s="23" t="s">
        <v>1021</v>
      </c>
      <c r="D5507">
        <v>1</v>
      </c>
      <c r="E5507" t="s">
        <v>103</v>
      </c>
      <c r="F5507">
        <v>9</v>
      </c>
      <c r="G5507">
        <v>2007</v>
      </c>
      <c r="I5507">
        <v>14</v>
      </c>
      <c r="J5507" t="s">
        <v>104</v>
      </c>
      <c r="K5507" t="s">
        <v>41</v>
      </c>
      <c r="O5507">
        <v>0</v>
      </c>
      <c r="P5507">
        <v>0</v>
      </c>
      <c r="Q5507">
        <v>0</v>
      </c>
      <c r="R5507">
        <v>0</v>
      </c>
      <c r="W5507" t="s">
        <v>1022</v>
      </c>
      <c r="AA5507">
        <v>2007</v>
      </c>
      <c r="AB5507">
        <v>9999</v>
      </c>
      <c r="AC5507" t="s">
        <v>35</v>
      </c>
    </row>
    <row r="5508" spans="1:29" x14ac:dyDescent="0.25">
      <c r="A5508" s="31" t="s">
        <v>1023</v>
      </c>
      <c r="B5508" s="26" t="s">
        <v>1024</v>
      </c>
      <c r="D5508">
        <v>1</v>
      </c>
      <c r="E5508" t="s">
        <v>145</v>
      </c>
      <c r="F5508">
        <v>2</v>
      </c>
      <c r="G5508">
        <v>2007</v>
      </c>
      <c r="H5508" t="s">
        <v>892</v>
      </c>
      <c r="I5508">
        <v>3</v>
      </c>
      <c r="J5508" t="s">
        <v>147</v>
      </c>
      <c r="K5508" t="s">
        <v>41</v>
      </c>
      <c r="O5508">
        <v>0</v>
      </c>
      <c r="P5508">
        <v>0</v>
      </c>
      <c r="Q5508">
        <v>0</v>
      </c>
      <c r="R5508">
        <v>0</v>
      </c>
      <c r="W5508" t="s">
        <v>1025</v>
      </c>
      <c r="AA5508">
        <v>2007</v>
      </c>
      <c r="AB5508">
        <v>9999</v>
      </c>
      <c r="AC5508" t="s">
        <v>35</v>
      </c>
    </row>
    <row r="5509" spans="1:29" x14ac:dyDescent="0.25">
      <c r="B5509" s="23" t="s">
        <v>1026</v>
      </c>
      <c r="D5509">
        <v>24</v>
      </c>
      <c r="F5509">
        <v>3</v>
      </c>
      <c r="G5509">
        <v>2007</v>
      </c>
      <c r="H5509" t="s">
        <v>392</v>
      </c>
      <c r="I5509" t="s">
        <v>1027</v>
      </c>
      <c r="J5509" t="s">
        <v>121</v>
      </c>
      <c r="K5509" t="s">
        <v>41</v>
      </c>
      <c r="O5509">
        <v>0</v>
      </c>
      <c r="P5509">
        <v>0</v>
      </c>
      <c r="Q5509">
        <v>0</v>
      </c>
      <c r="R5509">
        <v>0</v>
      </c>
      <c r="W5509" t="s">
        <v>1028</v>
      </c>
      <c r="AA5509">
        <v>2007</v>
      </c>
      <c r="AB5509">
        <v>9999</v>
      </c>
      <c r="AC5509" t="s">
        <v>35</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ktdokument" ma:contentTypeID="0x01010071463EE47383564B9EFAD3A2A8DF5E7C00F72FDD1696780846A8D2F1D3A63F554A" ma:contentTypeVersion="9" ma:contentTypeDescription="Skapa ett nytt listobjekt." ma:contentTypeScope="" ma:versionID="d2e9abdc171afedf44026ba6e109315d">
  <xsd:schema xmlns:xsd="http://www.w3.org/2001/XMLSchema" xmlns:xs="http://www.w3.org/2001/XMLSchema" xmlns:p="http://schemas.microsoft.com/office/2006/metadata/properties" xmlns:ns2="14571de3-10a2-42ef-a9fd-7aa13da44c0f" xmlns:ns3="FE1AB69C-9022-4D1B-919D-C54984DD93CE" xmlns:ns4="ff7d7821-5ef6-4ae9-98b8-cdd40ff3f0fb" xmlns:ns5="13118985-8954-49d6-b58b-d36e0983f832" targetNamespace="http://schemas.microsoft.com/office/2006/metadata/properties" ma:root="true" ma:fieldsID="ab2eb28d3c8a702a1dc96b269d968fe4" ns2:_="" ns3:_="" ns4:_="" ns5:_="">
    <xsd:import namespace="14571de3-10a2-42ef-a9fd-7aa13da44c0f"/>
    <xsd:import namespace="FE1AB69C-9022-4D1B-919D-C54984DD93CE"/>
    <xsd:import namespace="ff7d7821-5ef6-4ae9-98b8-cdd40ff3f0fb"/>
    <xsd:import namespace="13118985-8954-49d6-b58b-d36e0983f832"/>
    <xsd:element name="properties">
      <xsd:complexType>
        <xsd:sequence>
          <xsd:element name="documentManagement">
            <xsd:complexType>
              <xsd:all>
                <xsd:element ref="ns2:DualiteDocRegDate" minOccurs="0"/>
                <xsd:element ref="ns3:KIT_sc_ManagementCode" minOccurs="0"/>
                <xsd:element ref="ns4:DualiteCaseNumber" minOccurs="0"/>
                <xsd:element ref="ns5:MediaServiceMetadata" minOccurs="0"/>
                <xsd:element ref="ns5:MediaServiceFastMetadata" minOccurs="0"/>
                <xsd:element ref="ns5:MediaServiceSearchProperties" minOccurs="0"/>
                <xsd:element ref="ns5: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571de3-10a2-42ef-a9fd-7aa13da44c0f" elementFormDefault="qualified">
    <xsd:import namespace="http://schemas.microsoft.com/office/2006/documentManagement/types"/>
    <xsd:import namespace="http://schemas.microsoft.com/office/infopath/2007/PartnerControls"/>
    <xsd:element name="DualiteDocRegDate" ma:index="8" nillable="true" ma:displayName="Diariefört" ma:description="Anger vilket datum dokumentet senast registrerades i diariet" ma:format="DateTime" ma:internalName="DualiteDocReg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E1AB69C-9022-4D1B-919D-C54984DD93CE" elementFormDefault="qualified">
    <xsd:import namespace="http://schemas.microsoft.com/office/2006/documentManagement/types"/>
    <xsd:import namespace="http://schemas.microsoft.com/office/infopath/2007/PartnerControls"/>
    <xsd:element name="KIT_sc_ManagementCode" ma:index="9" nillable="true" ma:displayName="Verksamhetskod" ma:default="112007" ma:description="Format: xxxxxx" ma:internalName="KIT_sc_ManagementCode">
      <xsd:simpleType>
        <xsd:restriction base="dms:Text">
          <xsd:maxLength value="7"/>
        </xsd:restriction>
      </xsd:simpleType>
    </xsd:element>
  </xsd:schema>
  <xsd:schema xmlns:xsd="http://www.w3.org/2001/XMLSchema" xmlns:xs="http://www.w3.org/2001/XMLSchema" xmlns:dms="http://schemas.microsoft.com/office/2006/documentManagement/types" xmlns:pc="http://schemas.microsoft.com/office/infopath/2007/PartnerControls" targetNamespace="ff7d7821-5ef6-4ae9-98b8-cdd40ff3f0fb" elementFormDefault="qualified">
    <xsd:import namespace="http://schemas.microsoft.com/office/2006/documentManagement/types"/>
    <xsd:import namespace="http://schemas.microsoft.com/office/infopath/2007/PartnerControls"/>
    <xsd:element name="DualiteCaseNumber" ma:index="10" nillable="true" ma:displayName="Ärendenummer" ma:description="Anger vilket ärende dokumentet senast diariefördes i" ma:internalName="DualiteCaseNumb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118985-8954-49d6-b58b-d36e0983f83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KIT_sc_ManagementCode xmlns="FE1AB69C-9022-4D1B-919D-C54984DD93CE">112007</KIT_sc_ManagementCod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794090-6567-4AD0-A2AE-97DD319849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571de3-10a2-42ef-a9fd-7aa13da44c0f"/>
    <ds:schemaRef ds:uri="FE1AB69C-9022-4D1B-919D-C54984DD93CE"/>
    <ds:schemaRef ds:uri="ff7d7821-5ef6-4ae9-98b8-cdd40ff3f0fb"/>
    <ds:schemaRef ds:uri="13118985-8954-49d6-b58b-d36e0983f8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086560-81E9-4E48-ACA5-DE21882388C8}">
  <ds:schemaRefs>
    <ds:schemaRef ds:uri="http://schemas.microsoft.com/office/2006/documentManagement/types"/>
    <ds:schemaRef ds:uri="http://schemas.microsoft.com/office/infopath/2007/PartnerControls"/>
    <ds:schemaRef ds:uri="http://purl.org/dc/elements/1.1/"/>
    <ds:schemaRef ds:uri="FE1AB69C-9022-4D1B-919D-C54984DD93CE"/>
    <ds:schemaRef ds:uri="ff7d7821-5ef6-4ae9-98b8-cdd40ff3f0fb"/>
    <ds:schemaRef ds:uri="http://schemas.microsoft.com/office/2006/metadata/properties"/>
    <ds:schemaRef ds:uri="http://purl.org/dc/terms/"/>
    <ds:schemaRef ds:uri="http://schemas.openxmlformats.org/package/2006/metadata/core-properties"/>
    <ds:schemaRef ds:uri="13118985-8954-49d6-b58b-d36e0983f832"/>
    <ds:schemaRef ds:uri="14571de3-10a2-42ef-a9fd-7aa13da44c0f"/>
    <ds:schemaRef ds:uri="http://www.w3.org/XML/1998/namespace"/>
    <ds:schemaRef ds:uri="http://purl.org/dc/dcmitype/"/>
  </ds:schemaRefs>
</ds:datastoreItem>
</file>

<file path=customXml/itemProps3.xml><?xml version="1.0" encoding="utf-8"?>
<ds:datastoreItem xmlns:ds="http://schemas.openxmlformats.org/officeDocument/2006/customXml" ds:itemID="{AB70FB8D-B941-4A89-9890-B2643B215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5</vt:i4>
      </vt:variant>
    </vt:vector>
  </HeadingPairs>
  <TitlesOfParts>
    <vt:vector size="5" baseType="lpstr">
      <vt:lpstr>Information </vt:lpstr>
      <vt:lpstr>Summerande statistik 2026</vt:lpstr>
      <vt:lpstr>Tidsserier 2007-2026</vt:lpstr>
      <vt:lpstr>Förteckning 2026</vt:lpstr>
      <vt:lpstr>Förteckning 2007-2026</vt:lpstr>
    </vt:vector>
  </TitlesOfParts>
  <Company>Statskontoret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Statskontoret</dc:creator>
  <cp:lastModifiedBy>Ulf Waltré</cp:lastModifiedBy>
  <dcterms:created xsi:type="dcterms:W3CDTF">2025-04-28T11:00:17Z</dcterms:created>
  <dcterms:modified xsi:type="dcterms:W3CDTF">2026-06-25T07:32:07Z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0x01010071463EE47383564B9EFAD3A2A8DF5E7C00F72FDD1696780846A8D2F1D3A63F554A</vt:lpwstr>
  </property>
</Properties>
</file>